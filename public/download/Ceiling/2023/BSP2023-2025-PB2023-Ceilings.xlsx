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Project\MEF-BPO\documents\Master Data Setup\Ceiling\2023\"/>
    </mc:Choice>
  </mc:AlternateContent>
  <xr:revisionPtr revIDLastSave="0" documentId="13_ncr:1_{085137B3-284C-4BFA-8519-FB3615A7DF20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Ceiling-Entity-2023" sheetId="6" r:id="rId1"/>
    <sheet name="Ceiling-Data-Detail-2023" sheetId="8" r:id="rId2"/>
    <sheet name="Ceiling_exp_group" sheetId="5" r:id="rId3"/>
    <sheet name="Ceiling_exp_type" sheetId="4" r:id="rId4"/>
    <sheet name="Ceiling-Entity-2023 (2)" sheetId="9" r:id="rId5"/>
    <sheet name="Ceiling-Detail-Exp-Type-202 (2)" sheetId="7" r:id="rId6"/>
    <sheet name="BSP2023-2025 PB2023 Ceiling (2)" sheetId="3" r:id="rId7"/>
  </sheets>
  <definedNames>
    <definedName name="_xlnm._FilterDatabase" localSheetId="1" hidden="1">'Ceiling-Data-Detail-2023'!$A$1:$T$170</definedName>
    <definedName name="_xlnm._FilterDatabase" localSheetId="5" hidden="1">'Ceiling-Detail-Exp-Type-202 (2)'!$A$1:$T$170</definedName>
    <definedName name="_xlnm._FilterDatabase" localSheetId="0" hidden="1">'Ceiling-Entity-2023'!$A$1:$T$171</definedName>
    <definedName name="_xlnm._FilterDatabase" localSheetId="4" hidden="1">'Ceiling-Entity-2023 (2)'!$A$1:$U$1</definedName>
    <definedName name="_xlnm.Print_Area" localSheetId="6">'BSP2023-2025 PB2023 Ceiling (2)'!$A$1:$K$195</definedName>
    <definedName name="_xlnm.Print_Area" localSheetId="1">'Ceiling-Data-Detail-2023'!$J$1:$S$170</definedName>
    <definedName name="_xlnm.Print_Area" localSheetId="5">'Ceiling-Detail-Exp-Type-202 (2)'!$J$1:$S$170</definedName>
    <definedName name="_xlnm.Print_Area" localSheetId="0">'Ceiling-Entity-2023'!$J$1:$S$171</definedName>
    <definedName name="_xlnm.Print_Area" localSheetId="4">'Ceiling-Entity-2023 (2)'!$K$1:$T$170</definedName>
    <definedName name="_xlnm.Print_Titles" localSheetId="6">'BSP2023-2025 PB2023 Ceiling (2)'!$11:$13</definedName>
    <definedName name="_xlnm.Print_Titles" localSheetId="1">'Ceiling-Data-Detail-2023'!#REF!</definedName>
    <definedName name="_xlnm.Print_Titles" localSheetId="5">'Ceiling-Detail-Exp-Type-202 (2)'!#REF!</definedName>
    <definedName name="_xlnm.Print_Titles" localSheetId="0">'Ceiling-Entity-2023'!#REF!</definedName>
    <definedName name="_xlnm.Print_Titles" localSheetId="4">'Ceiling-Entity-2023 (2)'!#REF!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0" i="9" l="1"/>
  <c r="I81" i="9"/>
  <c r="I78" i="9"/>
  <c r="I75" i="9"/>
  <c r="I72" i="9"/>
  <c r="I69" i="9"/>
  <c r="I66" i="9"/>
  <c r="I63" i="9"/>
  <c r="I60" i="9"/>
  <c r="I57" i="9"/>
  <c r="I54" i="9"/>
  <c r="I51" i="9"/>
  <c r="I48" i="9"/>
  <c r="I45" i="9"/>
  <c r="I42" i="9"/>
  <c r="I39" i="9"/>
  <c r="I36" i="9"/>
  <c r="I33" i="9"/>
  <c r="I30" i="9"/>
  <c r="I27" i="9"/>
  <c r="I24" i="9"/>
  <c r="I21" i="9"/>
  <c r="I18" i="9"/>
  <c r="I15" i="9"/>
  <c r="I12" i="9"/>
  <c r="I9" i="9"/>
  <c r="I6" i="9"/>
  <c r="I3" i="9"/>
  <c r="Q2" i="9"/>
  <c r="T2" i="9" s="1"/>
  <c r="P2" i="9"/>
  <c r="S2" i="9" s="1"/>
  <c r="O2" i="9"/>
  <c r="R2" i="9" s="1"/>
  <c r="N2" i="9"/>
  <c r="M2" i="9"/>
  <c r="L2" i="9"/>
  <c r="H90" i="8"/>
  <c r="H81" i="8"/>
  <c r="H78" i="8"/>
  <c r="H75" i="8"/>
  <c r="H72" i="8"/>
  <c r="H69" i="8"/>
  <c r="H66" i="8"/>
  <c r="H63" i="8"/>
  <c r="H60" i="8"/>
  <c r="H57" i="8"/>
  <c r="H54" i="8"/>
  <c r="H51" i="8"/>
  <c r="H48" i="8"/>
  <c r="H45" i="8"/>
  <c r="H42" i="8"/>
  <c r="H39" i="8"/>
  <c r="H36" i="8"/>
  <c r="H33" i="8"/>
  <c r="H30" i="8"/>
  <c r="H27" i="8"/>
  <c r="H24" i="8"/>
  <c r="H21" i="8"/>
  <c r="H18" i="8"/>
  <c r="H15" i="8"/>
  <c r="H12" i="8"/>
  <c r="H9" i="8"/>
  <c r="H6" i="8"/>
  <c r="H3" i="8"/>
  <c r="P2" i="8"/>
  <c r="O2" i="8"/>
  <c r="N2" i="8"/>
  <c r="M2" i="8"/>
  <c r="L2" i="8"/>
  <c r="K2" i="8"/>
  <c r="H90" i="7"/>
  <c r="H81" i="7"/>
  <c r="H78" i="7"/>
  <c r="H75" i="7"/>
  <c r="H72" i="7"/>
  <c r="H69" i="7"/>
  <c r="H66" i="7"/>
  <c r="H63" i="7"/>
  <c r="H60" i="7"/>
  <c r="H57" i="7"/>
  <c r="H54" i="7"/>
  <c r="H51" i="7"/>
  <c r="H48" i="7"/>
  <c r="H45" i="7"/>
  <c r="H42" i="7"/>
  <c r="H39" i="7"/>
  <c r="H36" i="7"/>
  <c r="H33" i="7"/>
  <c r="H30" i="7"/>
  <c r="H27" i="7"/>
  <c r="H24" i="7"/>
  <c r="H21" i="7"/>
  <c r="H18" i="7"/>
  <c r="H15" i="7"/>
  <c r="H12" i="7"/>
  <c r="H9" i="7"/>
  <c r="H6" i="7"/>
  <c r="H3" i="7"/>
  <c r="P2" i="7"/>
  <c r="O2" i="7"/>
  <c r="S2" i="7" s="1"/>
  <c r="N2" i="7"/>
  <c r="Q2" i="7" s="1"/>
  <c r="M2" i="7"/>
  <c r="L2" i="7"/>
  <c r="K2" i="7"/>
  <c r="H90" i="6"/>
  <c r="H81" i="6"/>
  <c r="H78" i="6"/>
  <c r="H75" i="6"/>
  <c r="H72" i="6"/>
  <c r="H69" i="6"/>
  <c r="H66" i="6"/>
  <c r="H63" i="6"/>
  <c r="H60" i="6"/>
  <c r="H57" i="6"/>
  <c r="H54" i="6"/>
  <c r="H51" i="6"/>
  <c r="H48" i="6"/>
  <c r="H45" i="6"/>
  <c r="H42" i="6"/>
  <c r="H39" i="6"/>
  <c r="H36" i="6"/>
  <c r="H33" i="6"/>
  <c r="H30" i="6"/>
  <c r="H27" i="6"/>
  <c r="H24" i="6"/>
  <c r="H21" i="6"/>
  <c r="H18" i="6"/>
  <c r="H15" i="6"/>
  <c r="H12" i="6"/>
  <c r="H9" i="6"/>
  <c r="H6" i="6"/>
  <c r="H3" i="6"/>
  <c r="P2" i="6"/>
  <c r="O2" i="6"/>
  <c r="N2" i="6"/>
  <c r="M2" i="6"/>
  <c r="L2" i="6"/>
  <c r="K2" i="6"/>
  <c r="R2" i="7" l="1"/>
  <c r="Q2" i="8"/>
  <c r="S2" i="8"/>
  <c r="R2" i="8"/>
  <c r="R2" i="6"/>
  <c r="Q2" i="6"/>
  <c r="S2" i="6"/>
  <c r="D195" i="3"/>
  <c r="C195" i="3"/>
  <c r="E194" i="3"/>
  <c r="D194" i="3"/>
  <c r="C193" i="3"/>
  <c r="B193" i="3"/>
  <c r="E192" i="3"/>
  <c r="F192" i="3" s="1"/>
  <c r="I192" i="3" s="1"/>
  <c r="D192" i="3"/>
  <c r="C192" i="3"/>
  <c r="N191" i="3"/>
  <c r="H191" i="3"/>
  <c r="D191" i="3"/>
  <c r="E191" i="3" s="1"/>
  <c r="D190" i="3"/>
  <c r="C190" i="3"/>
  <c r="B190" i="3"/>
  <c r="E189" i="3"/>
  <c r="D189" i="3"/>
  <c r="C189" i="3"/>
  <c r="F188" i="3"/>
  <c r="D188" i="3"/>
  <c r="E188" i="3" s="1"/>
  <c r="D187" i="3"/>
  <c r="C187" i="3"/>
  <c r="B187" i="3"/>
  <c r="E186" i="3"/>
  <c r="C186" i="3"/>
  <c r="D186" i="3" s="1"/>
  <c r="D184" i="3" s="1"/>
  <c r="D185" i="3"/>
  <c r="E185" i="3" s="1"/>
  <c r="B184" i="3"/>
  <c r="C183" i="3"/>
  <c r="D182" i="3"/>
  <c r="B181" i="3"/>
  <c r="C180" i="3"/>
  <c r="D179" i="3"/>
  <c r="B178" i="3"/>
  <c r="I177" i="3"/>
  <c r="F177" i="3"/>
  <c r="G177" i="3" s="1"/>
  <c r="J177" i="3" s="1"/>
  <c r="D177" i="3"/>
  <c r="E177" i="3" s="1"/>
  <c r="C177" i="3"/>
  <c r="J176" i="3"/>
  <c r="G176" i="3"/>
  <c r="E176" i="3"/>
  <c r="F176" i="3" s="1"/>
  <c r="D176" i="3"/>
  <c r="G175" i="3"/>
  <c r="C175" i="3"/>
  <c r="B175" i="3"/>
  <c r="D174" i="3"/>
  <c r="C174" i="3"/>
  <c r="E173" i="3"/>
  <c r="D173" i="3"/>
  <c r="C172" i="3"/>
  <c r="B172" i="3"/>
  <c r="D171" i="3"/>
  <c r="C171" i="3"/>
  <c r="H170" i="3"/>
  <c r="E170" i="3"/>
  <c r="D170" i="3"/>
  <c r="C169" i="3"/>
  <c r="B169" i="3"/>
  <c r="C168" i="3"/>
  <c r="D168" i="3" s="1"/>
  <c r="N167" i="3"/>
  <c r="H167" i="3"/>
  <c r="D167" i="3"/>
  <c r="E167" i="3" s="1"/>
  <c r="C166" i="3"/>
  <c r="B166" i="3"/>
  <c r="C165" i="3"/>
  <c r="D165" i="3" s="1"/>
  <c r="D163" i="3" s="1"/>
  <c r="N164" i="3"/>
  <c r="D164" i="3"/>
  <c r="E164" i="3" s="1"/>
  <c r="C163" i="3"/>
  <c r="B163" i="3"/>
  <c r="H162" i="3"/>
  <c r="E162" i="3"/>
  <c r="C162" i="3"/>
  <c r="D162" i="3" s="1"/>
  <c r="D160" i="3" s="1"/>
  <c r="F161" i="3"/>
  <c r="G161" i="3" s="1"/>
  <c r="D161" i="3"/>
  <c r="E161" i="3" s="1"/>
  <c r="B160" i="3"/>
  <c r="C159" i="3"/>
  <c r="D158" i="3"/>
  <c r="E158" i="3" s="1"/>
  <c r="B157" i="3"/>
  <c r="C156" i="3"/>
  <c r="D155" i="3"/>
  <c r="E155" i="3" s="1"/>
  <c r="B154" i="3"/>
  <c r="D153" i="3"/>
  <c r="E153" i="3" s="1"/>
  <c r="C153" i="3"/>
  <c r="E152" i="3"/>
  <c r="F152" i="3" s="1"/>
  <c r="D152" i="3"/>
  <c r="C151" i="3"/>
  <c r="B151" i="3"/>
  <c r="D150" i="3"/>
  <c r="C150" i="3"/>
  <c r="E149" i="3"/>
  <c r="D149" i="3"/>
  <c r="C148" i="3"/>
  <c r="B148" i="3"/>
  <c r="D147" i="3"/>
  <c r="C147" i="3"/>
  <c r="E146" i="3"/>
  <c r="D146" i="3"/>
  <c r="C145" i="3"/>
  <c r="B145" i="3"/>
  <c r="E144" i="3"/>
  <c r="F144" i="3" s="1"/>
  <c r="D144" i="3"/>
  <c r="C144" i="3"/>
  <c r="N143" i="3"/>
  <c r="H143" i="3"/>
  <c r="F143" i="3"/>
  <c r="G143" i="3" s="1"/>
  <c r="E143" i="3"/>
  <c r="D143" i="3"/>
  <c r="D142" i="3"/>
  <c r="C142" i="3"/>
  <c r="B142" i="3"/>
  <c r="E141" i="3"/>
  <c r="C141" i="3"/>
  <c r="D141" i="3" s="1"/>
  <c r="D139" i="3" s="1"/>
  <c r="F140" i="3"/>
  <c r="D140" i="3"/>
  <c r="E140" i="3" s="1"/>
  <c r="C139" i="3"/>
  <c r="B139" i="3"/>
  <c r="C138" i="3"/>
  <c r="D138" i="3" s="1"/>
  <c r="D136" i="3" s="1"/>
  <c r="D137" i="3"/>
  <c r="E137" i="3" s="1"/>
  <c r="B136" i="3"/>
  <c r="C135" i="3"/>
  <c r="D134" i="3"/>
  <c r="E134" i="3" s="1"/>
  <c r="B133" i="3"/>
  <c r="C132" i="3"/>
  <c r="D131" i="3"/>
  <c r="E131" i="3" s="1"/>
  <c r="B130" i="3"/>
  <c r="D129" i="3"/>
  <c r="C129" i="3"/>
  <c r="C127" i="3" s="1"/>
  <c r="E128" i="3"/>
  <c r="D128" i="3"/>
  <c r="B127" i="3"/>
  <c r="D126" i="3"/>
  <c r="C126" i="3"/>
  <c r="E125" i="3"/>
  <c r="D125" i="3"/>
  <c r="C124" i="3"/>
  <c r="B124" i="3"/>
  <c r="D123" i="3"/>
  <c r="C123" i="3"/>
  <c r="E122" i="3"/>
  <c r="D122" i="3"/>
  <c r="C121" i="3"/>
  <c r="B121" i="3"/>
  <c r="B120" i="3"/>
  <c r="C119" i="3"/>
  <c r="B119" i="3"/>
  <c r="B118" i="3" s="1"/>
  <c r="N117" i="3"/>
  <c r="H117" i="3"/>
  <c r="E117" i="3"/>
  <c r="F117" i="3" s="1"/>
  <c r="D117" i="3"/>
  <c r="N116" i="3"/>
  <c r="H116" i="3"/>
  <c r="E116" i="3"/>
  <c r="F116" i="3" s="1"/>
  <c r="D116" i="3"/>
  <c r="N115" i="3"/>
  <c r="H115" i="3"/>
  <c r="E115" i="3"/>
  <c r="D115" i="3"/>
  <c r="C115" i="3"/>
  <c r="B115" i="3"/>
  <c r="N114" i="3"/>
  <c r="J114" i="3"/>
  <c r="I114" i="3"/>
  <c r="H114" i="3"/>
  <c r="D114" i="3"/>
  <c r="D113" i="3"/>
  <c r="E113" i="3" s="1"/>
  <c r="E112" i="3"/>
  <c r="D112" i="3"/>
  <c r="C112" i="3"/>
  <c r="B112" i="3"/>
  <c r="C111" i="3"/>
  <c r="B111" i="3"/>
  <c r="H110" i="3"/>
  <c r="E110" i="3"/>
  <c r="F110" i="3" s="1"/>
  <c r="D110" i="3"/>
  <c r="B109" i="3"/>
  <c r="B108" i="3"/>
  <c r="D107" i="3"/>
  <c r="C107" i="3"/>
  <c r="B107" i="3"/>
  <c r="B106" i="3"/>
  <c r="D105" i="3"/>
  <c r="E105" i="3" s="1"/>
  <c r="D104" i="3"/>
  <c r="E104" i="3" s="1"/>
  <c r="D103" i="3"/>
  <c r="C103" i="3"/>
  <c r="B103" i="3"/>
  <c r="H102" i="3"/>
  <c r="F102" i="3"/>
  <c r="I102" i="3" s="1"/>
  <c r="E102" i="3"/>
  <c r="N102" i="3" s="1"/>
  <c r="D102" i="3"/>
  <c r="H101" i="3"/>
  <c r="F101" i="3"/>
  <c r="I101" i="3" s="1"/>
  <c r="E101" i="3"/>
  <c r="N101" i="3" s="1"/>
  <c r="D101" i="3"/>
  <c r="F100" i="3"/>
  <c r="I100" i="3" s="1"/>
  <c r="E100" i="3"/>
  <c r="N100" i="3" s="1"/>
  <c r="D100" i="3"/>
  <c r="C100" i="3"/>
  <c r="B100" i="3"/>
  <c r="H100" i="3" s="1"/>
  <c r="D99" i="3"/>
  <c r="E99" i="3" s="1"/>
  <c r="H98" i="3"/>
  <c r="D98" i="3"/>
  <c r="E98" i="3" s="1"/>
  <c r="D97" i="3"/>
  <c r="C97" i="3"/>
  <c r="B97" i="3"/>
  <c r="N96" i="3"/>
  <c r="F96" i="3"/>
  <c r="I96" i="3" s="1"/>
  <c r="E96" i="3"/>
  <c r="H96" i="3" s="1"/>
  <c r="D96" i="3"/>
  <c r="N95" i="3"/>
  <c r="F95" i="3"/>
  <c r="I95" i="3" s="1"/>
  <c r="E95" i="3"/>
  <c r="H95" i="3" s="1"/>
  <c r="D95" i="3"/>
  <c r="N94" i="3"/>
  <c r="F94" i="3"/>
  <c r="I94" i="3" s="1"/>
  <c r="E94" i="3"/>
  <c r="D94" i="3"/>
  <c r="C94" i="3"/>
  <c r="B94" i="3"/>
  <c r="D93" i="3"/>
  <c r="E93" i="3" s="1"/>
  <c r="D92" i="3"/>
  <c r="E92" i="3" s="1"/>
  <c r="C91" i="3"/>
  <c r="B91" i="3"/>
  <c r="H90" i="3"/>
  <c r="G90" i="3"/>
  <c r="J90" i="3" s="1"/>
  <c r="F90" i="3"/>
  <c r="I90" i="3" s="1"/>
  <c r="E90" i="3"/>
  <c r="N90" i="3" s="1"/>
  <c r="D90" i="3"/>
  <c r="H89" i="3"/>
  <c r="F89" i="3"/>
  <c r="I89" i="3" s="1"/>
  <c r="E89" i="3"/>
  <c r="N89" i="3" s="1"/>
  <c r="D89" i="3"/>
  <c r="H88" i="3"/>
  <c r="E88" i="3"/>
  <c r="N88" i="3" s="1"/>
  <c r="D88" i="3"/>
  <c r="C88" i="3"/>
  <c r="B88" i="3"/>
  <c r="D87" i="3"/>
  <c r="E87" i="3" s="1"/>
  <c r="D86" i="3"/>
  <c r="E86" i="3" s="1"/>
  <c r="N86" i="3" s="1"/>
  <c r="C85" i="3"/>
  <c r="B85" i="3"/>
  <c r="C84" i="3"/>
  <c r="D83" i="3"/>
  <c r="E83" i="3" s="1"/>
  <c r="C82" i="3"/>
  <c r="B82" i="3"/>
  <c r="N81" i="3"/>
  <c r="E81" i="3"/>
  <c r="H81" i="3" s="1"/>
  <c r="D81" i="3"/>
  <c r="N80" i="3"/>
  <c r="E80" i="3"/>
  <c r="H80" i="3" s="1"/>
  <c r="D80" i="3"/>
  <c r="N79" i="3"/>
  <c r="E79" i="3"/>
  <c r="H79" i="3" s="1"/>
  <c r="D79" i="3"/>
  <c r="C79" i="3"/>
  <c r="B79" i="3"/>
  <c r="D78" i="3"/>
  <c r="E78" i="3" s="1"/>
  <c r="D77" i="3"/>
  <c r="E77" i="3" s="1"/>
  <c r="C76" i="3"/>
  <c r="B76" i="3"/>
  <c r="E75" i="3"/>
  <c r="F75" i="3" s="1"/>
  <c r="D75" i="3"/>
  <c r="F74" i="3"/>
  <c r="I74" i="3" s="1"/>
  <c r="E74" i="3"/>
  <c r="D74" i="3"/>
  <c r="D73" i="3"/>
  <c r="C73" i="3"/>
  <c r="B73" i="3"/>
  <c r="D72" i="3"/>
  <c r="E72" i="3" s="1"/>
  <c r="H72" i="3" s="1"/>
  <c r="H71" i="3"/>
  <c r="D71" i="3"/>
  <c r="E71" i="3" s="1"/>
  <c r="D70" i="3"/>
  <c r="C70" i="3"/>
  <c r="B70" i="3"/>
  <c r="E69" i="3"/>
  <c r="D69" i="3"/>
  <c r="N68" i="3"/>
  <c r="E68" i="3"/>
  <c r="D68" i="3"/>
  <c r="E67" i="3"/>
  <c r="H67" i="3" s="1"/>
  <c r="D67" i="3"/>
  <c r="C67" i="3"/>
  <c r="B67" i="3"/>
  <c r="E66" i="3"/>
  <c r="F66" i="3" s="1"/>
  <c r="D66" i="3"/>
  <c r="D64" i="3" s="1"/>
  <c r="C66" i="3"/>
  <c r="H65" i="3"/>
  <c r="F65" i="3"/>
  <c r="I65" i="3" s="1"/>
  <c r="E65" i="3"/>
  <c r="N65" i="3" s="1"/>
  <c r="D65" i="3"/>
  <c r="C64" i="3"/>
  <c r="B64" i="3"/>
  <c r="D63" i="3"/>
  <c r="E63" i="3" s="1"/>
  <c r="H63" i="3" s="1"/>
  <c r="D62" i="3"/>
  <c r="E62" i="3" s="1"/>
  <c r="D61" i="3"/>
  <c r="C61" i="3"/>
  <c r="B61" i="3"/>
  <c r="D60" i="3"/>
  <c r="E60" i="3" s="1"/>
  <c r="H60" i="3" s="1"/>
  <c r="N59" i="3"/>
  <c r="D59" i="3"/>
  <c r="E59" i="3" s="1"/>
  <c r="C58" i="3"/>
  <c r="B58" i="3"/>
  <c r="H57" i="3"/>
  <c r="F57" i="3"/>
  <c r="I57" i="3" s="1"/>
  <c r="E57" i="3"/>
  <c r="N57" i="3" s="1"/>
  <c r="D57" i="3"/>
  <c r="H56" i="3"/>
  <c r="F56" i="3"/>
  <c r="I56" i="3" s="1"/>
  <c r="D56" i="3"/>
  <c r="E56" i="3" s="1"/>
  <c r="F55" i="3"/>
  <c r="D55" i="3"/>
  <c r="C55" i="3"/>
  <c r="B55" i="3"/>
  <c r="D54" i="3"/>
  <c r="E54" i="3" s="1"/>
  <c r="D53" i="3"/>
  <c r="E53" i="3" s="1"/>
  <c r="C52" i="3"/>
  <c r="B52" i="3"/>
  <c r="D51" i="3"/>
  <c r="E51" i="3" s="1"/>
  <c r="H51" i="3" s="1"/>
  <c r="D50" i="3"/>
  <c r="E50" i="3" s="1"/>
  <c r="H50" i="3" s="1"/>
  <c r="C49" i="3"/>
  <c r="B49" i="3"/>
  <c r="D48" i="3"/>
  <c r="E48" i="3" s="1"/>
  <c r="E47" i="3"/>
  <c r="N47" i="3" s="1"/>
  <c r="D47" i="3"/>
  <c r="D46" i="3"/>
  <c r="C46" i="3"/>
  <c r="B46" i="3"/>
  <c r="I45" i="3"/>
  <c r="H45" i="3"/>
  <c r="G45" i="3"/>
  <c r="J45" i="3" s="1"/>
  <c r="F45" i="3"/>
  <c r="E45" i="3"/>
  <c r="N45" i="3" s="1"/>
  <c r="D45" i="3"/>
  <c r="H44" i="3"/>
  <c r="F44" i="3"/>
  <c r="I44" i="3" s="1"/>
  <c r="E44" i="3"/>
  <c r="N44" i="3" s="1"/>
  <c r="D44" i="3"/>
  <c r="E43" i="3"/>
  <c r="D43" i="3"/>
  <c r="C43" i="3"/>
  <c r="B43" i="3"/>
  <c r="H43" i="3" s="1"/>
  <c r="C42" i="3"/>
  <c r="D41" i="3"/>
  <c r="B40" i="3"/>
  <c r="D39" i="3"/>
  <c r="E39" i="3" s="1"/>
  <c r="E38" i="3"/>
  <c r="N38" i="3" s="1"/>
  <c r="D38" i="3"/>
  <c r="C37" i="3"/>
  <c r="B37" i="3"/>
  <c r="H36" i="3"/>
  <c r="E36" i="3"/>
  <c r="F36" i="3" s="1"/>
  <c r="D36" i="3"/>
  <c r="H35" i="3"/>
  <c r="E35" i="3"/>
  <c r="F35" i="3" s="1"/>
  <c r="D35" i="3"/>
  <c r="H34" i="3"/>
  <c r="E34" i="3"/>
  <c r="N34" i="3" s="1"/>
  <c r="D34" i="3"/>
  <c r="C34" i="3"/>
  <c r="B34" i="3"/>
  <c r="N33" i="3"/>
  <c r="E33" i="3"/>
  <c r="H33" i="3" s="1"/>
  <c r="D33" i="3"/>
  <c r="N32" i="3"/>
  <c r="E32" i="3"/>
  <c r="H32" i="3" s="1"/>
  <c r="D32" i="3"/>
  <c r="E31" i="3"/>
  <c r="H31" i="3" s="1"/>
  <c r="D31" i="3"/>
  <c r="C31" i="3"/>
  <c r="B31" i="3"/>
  <c r="N31" i="3" s="1"/>
  <c r="D30" i="3"/>
  <c r="D29" i="3"/>
  <c r="E29" i="3" s="1"/>
  <c r="D28" i="3"/>
  <c r="C28" i="3"/>
  <c r="B28" i="3"/>
  <c r="B27" i="3"/>
  <c r="C26" i="3"/>
  <c r="C17" i="3" s="1"/>
  <c r="B26" i="3"/>
  <c r="B25" i="3"/>
  <c r="B24" i="3" s="1"/>
  <c r="N22" i="3"/>
  <c r="J22" i="3"/>
  <c r="I22" i="3"/>
  <c r="H22" i="3"/>
  <c r="D22" i="3"/>
  <c r="N21" i="3"/>
  <c r="J21" i="3"/>
  <c r="I21" i="3"/>
  <c r="H21" i="3"/>
  <c r="D21" i="3"/>
  <c r="C21" i="3"/>
  <c r="J20" i="3"/>
  <c r="G20" i="3"/>
  <c r="F20" i="3"/>
  <c r="I20" i="3" s="1"/>
  <c r="E20" i="3"/>
  <c r="D20" i="3"/>
  <c r="C20" i="3"/>
  <c r="B20" i="3"/>
  <c r="H20" i="3" s="1"/>
  <c r="V19" i="3"/>
  <c r="U19" i="3"/>
  <c r="T19" i="3"/>
  <c r="N19" i="3"/>
  <c r="J19" i="3"/>
  <c r="I19" i="3"/>
  <c r="H19" i="3"/>
  <c r="D19" i="3"/>
  <c r="N18" i="3"/>
  <c r="J18" i="3"/>
  <c r="I18" i="3"/>
  <c r="H18" i="3"/>
  <c r="N17" i="3"/>
  <c r="M17" i="3"/>
  <c r="J17" i="3"/>
  <c r="I17" i="3"/>
  <c r="H17" i="3"/>
  <c r="J16" i="3"/>
  <c r="G16" i="3"/>
  <c r="F16" i="3"/>
  <c r="I16" i="3" s="1"/>
  <c r="E16" i="3"/>
  <c r="B16" i="3"/>
  <c r="H16" i="3" s="1"/>
  <c r="G15" i="3"/>
  <c r="E15" i="3"/>
  <c r="F34" i="3" l="1"/>
  <c r="I34" i="3" s="1"/>
  <c r="I35" i="3"/>
  <c r="G35" i="3"/>
  <c r="D17" i="3"/>
  <c r="H78" i="3"/>
  <c r="F78" i="3"/>
  <c r="N78" i="3"/>
  <c r="E37" i="3"/>
  <c r="N39" i="3"/>
  <c r="H39" i="3"/>
  <c r="F39" i="3"/>
  <c r="I36" i="3"/>
  <c r="G36" i="3"/>
  <c r="J36" i="3" s="1"/>
  <c r="D40" i="3"/>
  <c r="N104" i="3"/>
  <c r="H104" i="3"/>
  <c r="F104" i="3"/>
  <c r="E103" i="3"/>
  <c r="N48" i="3"/>
  <c r="F48" i="3"/>
  <c r="H48" i="3"/>
  <c r="O42" i="3"/>
  <c r="N105" i="3"/>
  <c r="H105" i="3"/>
  <c r="F105" i="3"/>
  <c r="H77" i="3"/>
  <c r="F77" i="3"/>
  <c r="E76" i="3"/>
  <c r="N77" i="3"/>
  <c r="N15" i="3"/>
  <c r="I75" i="3"/>
  <c r="F73" i="3"/>
  <c r="G75" i="3"/>
  <c r="J75" i="3" s="1"/>
  <c r="N92" i="3"/>
  <c r="H92" i="3"/>
  <c r="F92" i="3"/>
  <c r="E91" i="3"/>
  <c r="E28" i="3"/>
  <c r="H29" i="3"/>
  <c r="N29" i="3"/>
  <c r="F29" i="3"/>
  <c r="F64" i="3"/>
  <c r="I66" i="3"/>
  <c r="G66" i="3"/>
  <c r="J66" i="3" s="1"/>
  <c r="N93" i="3"/>
  <c r="H93" i="3"/>
  <c r="F93" i="3"/>
  <c r="F47" i="3"/>
  <c r="E30" i="3"/>
  <c r="F54" i="3"/>
  <c r="N54" i="3"/>
  <c r="D58" i="3"/>
  <c r="J143" i="3"/>
  <c r="B15" i="3"/>
  <c r="H15" i="3" s="1"/>
  <c r="H38" i="3"/>
  <c r="E46" i="3"/>
  <c r="H47" i="3"/>
  <c r="D49" i="3"/>
  <c r="N50" i="3"/>
  <c r="H54" i="3"/>
  <c r="F60" i="3"/>
  <c r="G89" i="3"/>
  <c r="F99" i="3"/>
  <c r="N99" i="3"/>
  <c r="F128" i="3"/>
  <c r="N128" i="3"/>
  <c r="H128" i="3"/>
  <c r="N137" i="3"/>
  <c r="H137" i="3"/>
  <c r="F137" i="3"/>
  <c r="E179" i="3"/>
  <c r="E184" i="3"/>
  <c r="N185" i="3"/>
  <c r="H185" i="3"/>
  <c r="N20" i="3"/>
  <c r="F38" i="3"/>
  <c r="I55" i="3"/>
  <c r="E73" i="3"/>
  <c r="N35" i="3"/>
  <c r="N36" i="3"/>
  <c r="N43" i="3"/>
  <c r="E49" i="3"/>
  <c r="F62" i="3"/>
  <c r="E61" i="3"/>
  <c r="N62" i="3"/>
  <c r="H69" i="3"/>
  <c r="F69" i="3"/>
  <c r="D91" i="3"/>
  <c r="H99" i="3"/>
  <c r="G102" i="3"/>
  <c r="J102" i="3" s="1"/>
  <c r="F185" i="3"/>
  <c r="F151" i="3"/>
  <c r="I151" i="3" s="1"/>
  <c r="I152" i="3"/>
  <c r="G152" i="3"/>
  <c r="H86" i="3"/>
  <c r="F86" i="3"/>
  <c r="E85" i="3"/>
  <c r="D26" i="3"/>
  <c r="F32" i="3"/>
  <c r="F33" i="3"/>
  <c r="E41" i="3"/>
  <c r="F43" i="3"/>
  <c r="I43" i="3" s="1"/>
  <c r="G44" i="3"/>
  <c r="F51" i="3"/>
  <c r="E55" i="3"/>
  <c r="N56" i="3"/>
  <c r="G57" i="3"/>
  <c r="J57" i="3" s="1"/>
  <c r="N60" i="3"/>
  <c r="H62" i="3"/>
  <c r="G65" i="3"/>
  <c r="N67" i="3"/>
  <c r="N74" i="3"/>
  <c r="H74" i="3"/>
  <c r="F83" i="3"/>
  <c r="N83" i="3"/>
  <c r="H87" i="3"/>
  <c r="F87" i="3"/>
  <c r="F88" i="3"/>
  <c r="I88" i="3" s="1"/>
  <c r="H94" i="3"/>
  <c r="D109" i="3"/>
  <c r="D145" i="3"/>
  <c r="E147" i="3"/>
  <c r="N16" i="3"/>
  <c r="F50" i="3"/>
  <c r="N75" i="3"/>
  <c r="H75" i="3"/>
  <c r="C108" i="3"/>
  <c r="C106" i="3" s="1"/>
  <c r="C109" i="3"/>
  <c r="E64" i="3"/>
  <c r="N66" i="3"/>
  <c r="H66" i="3"/>
  <c r="F72" i="3"/>
  <c r="N72" i="3"/>
  <c r="F53" i="3"/>
  <c r="E52" i="3"/>
  <c r="N53" i="3"/>
  <c r="H59" i="3"/>
  <c r="E58" i="3"/>
  <c r="F71" i="3"/>
  <c r="E70" i="3"/>
  <c r="N71" i="3"/>
  <c r="D76" i="3"/>
  <c r="N112" i="3"/>
  <c r="H112" i="3"/>
  <c r="F122" i="3"/>
  <c r="N122" i="3"/>
  <c r="D42" i="3"/>
  <c r="E42" i="3" s="1"/>
  <c r="D52" i="3"/>
  <c r="C27" i="3"/>
  <c r="C40" i="3"/>
  <c r="F15" i="3"/>
  <c r="I15" i="3" s="1"/>
  <c r="D37" i="3"/>
  <c r="N51" i="3"/>
  <c r="H53" i="3"/>
  <c r="G56" i="3"/>
  <c r="F59" i="3"/>
  <c r="H68" i="3"/>
  <c r="F68" i="3"/>
  <c r="N69" i="3"/>
  <c r="G74" i="3"/>
  <c r="H83" i="3"/>
  <c r="D85" i="3"/>
  <c r="N87" i="3"/>
  <c r="G101" i="3"/>
  <c r="N113" i="3"/>
  <c r="H113" i="3"/>
  <c r="F113" i="3"/>
  <c r="F107" i="3" s="1"/>
  <c r="H122" i="3"/>
  <c r="E182" i="3"/>
  <c r="H189" i="3"/>
  <c r="F189" i="3"/>
  <c r="N189" i="3"/>
  <c r="F63" i="3"/>
  <c r="N63" i="3"/>
  <c r="F98" i="3"/>
  <c r="E97" i="3"/>
  <c r="N98" i="3"/>
  <c r="E126" i="3"/>
  <c r="D124" i="3"/>
  <c r="E165" i="3"/>
  <c r="I117" i="3"/>
  <c r="G117" i="3"/>
  <c r="J117" i="3" s="1"/>
  <c r="D135" i="3"/>
  <c r="C133" i="3"/>
  <c r="E150" i="3"/>
  <c r="D148" i="3"/>
  <c r="E168" i="3"/>
  <c r="D166" i="3"/>
  <c r="N170" i="3"/>
  <c r="F170" i="3"/>
  <c r="E175" i="3"/>
  <c r="N177" i="3"/>
  <c r="H177" i="3"/>
  <c r="C178" i="3"/>
  <c r="D180" i="3"/>
  <c r="E180" i="3" s="1"/>
  <c r="D183" i="3"/>
  <c r="E183" i="3" s="1"/>
  <c r="C181" i="3"/>
  <c r="I110" i="3"/>
  <c r="G110" i="3"/>
  <c r="D119" i="3"/>
  <c r="H140" i="3"/>
  <c r="E139" i="3"/>
  <c r="N155" i="3"/>
  <c r="H155" i="3"/>
  <c r="F155" i="3"/>
  <c r="H158" i="3"/>
  <c r="F158" i="3"/>
  <c r="N158" i="3"/>
  <c r="E160" i="3"/>
  <c r="N161" i="3"/>
  <c r="H161" i="3"/>
  <c r="H188" i="3"/>
  <c r="E187" i="3"/>
  <c r="D121" i="3"/>
  <c r="E123" i="3"/>
  <c r="N131" i="3"/>
  <c r="H131" i="3"/>
  <c r="F131" i="3"/>
  <c r="I140" i="3"/>
  <c r="G140" i="3"/>
  <c r="J161" i="3"/>
  <c r="H173" i="3"/>
  <c r="F173" i="3"/>
  <c r="N173" i="3"/>
  <c r="N186" i="3"/>
  <c r="F186" i="3"/>
  <c r="I188" i="3"/>
  <c r="G188" i="3"/>
  <c r="N194" i="3"/>
  <c r="F194" i="3"/>
  <c r="F80" i="3"/>
  <c r="F81" i="3"/>
  <c r="G95" i="3"/>
  <c r="G96" i="3"/>
  <c r="J96" i="3" s="1"/>
  <c r="E107" i="3"/>
  <c r="F125" i="3"/>
  <c r="N125" i="3"/>
  <c r="E129" i="3"/>
  <c r="D127" i="3"/>
  <c r="E138" i="3"/>
  <c r="N140" i="3"/>
  <c r="F142" i="3"/>
  <c r="I144" i="3"/>
  <c r="N146" i="3"/>
  <c r="F146" i="3"/>
  <c r="E151" i="3"/>
  <c r="N153" i="3"/>
  <c r="H153" i="3"/>
  <c r="C154" i="3"/>
  <c r="D156" i="3"/>
  <c r="D159" i="3"/>
  <c r="C157" i="3"/>
  <c r="I161" i="3"/>
  <c r="H164" i="3"/>
  <c r="E163" i="3"/>
  <c r="D169" i="3"/>
  <c r="E171" i="3"/>
  <c r="H186" i="3"/>
  <c r="N188" i="3"/>
  <c r="G192" i="3"/>
  <c r="J192" i="3" s="1"/>
  <c r="H194" i="3"/>
  <c r="D84" i="3"/>
  <c r="N110" i="3"/>
  <c r="I116" i="3"/>
  <c r="G116" i="3"/>
  <c r="F115" i="3"/>
  <c r="I115" i="3" s="1"/>
  <c r="H125" i="3"/>
  <c r="G144" i="3"/>
  <c r="J144" i="3" s="1"/>
  <c r="H146" i="3"/>
  <c r="F153" i="3"/>
  <c r="F164" i="3"/>
  <c r="F175" i="3"/>
  <c r="I176" i="3"/>
  <c r="D111" i="3"/>
  <c r="C130" i="3"/>
  <c r="C120" i="3"/>
  <c r="C118" i="3" s="1"/>
  <c r="D132" i="3"/>
  <c r="H134" i="3"/>
  <c r="F134" i="3"/>
  <c r="N134" i="3"/>
  <c r="H141" i="3"/>
  <c r="F141" i="3"/>
  <c r="N141" i="3"/>
  <c r="H149" i="3"/>
  <c r="F149" i="3"/>
  <c r="N149" i="3"/>
  <c r="N162" i="3"/>
  <c r="F162" i="3"/>
  <c r="F167" i="3"/>
  <c r="E166" i="3"/>
  <c r="E174" i="3"/>
  <c r="D172" i="3"/>
  <c r="F191" i="3"/>
  <c r="E190" i="3"/>
  <c r="D193" i="3"/>
  <c r="E195" i="3"/>
  <c r="I143" i="3"/>
  <c r="H144" i="3"/>
  <c r="H152" i="3"/>
  <c r="H176" i="3"/>
  <c r="H192" i="3"/>
  <c r="N144" i="3"/>
  <c r="N152" i="3"/>
  <c r="N176" i="3"/>
  <c r="N192" i="3"/>
  <c r="C136" i="3"/>
  <c r="E142" i="3"/>
  <c r="D151" i="3"/>
  <c r="C160" i="3"/>
  <c r="D175" i="3"/>
  <c r="C184" i="3"/>
  <c r="I107" i="3" l="1"/>
  <c r="I134" i="3"/>
  <c r="G134" i="3"/>
  <c r="N171" i="3"/>
  <c r="H171" i="3"/>
  <c r="F171" i="3"/>
  <c r="F169" i="3" s="1"/>
  <c r="I169" i="3" s="1"/>
  <c r="J110" i="3"/>
  <c r="G98" i="3"/>
  <c r="F97" i="3"/>
  <c r="I97" i="3" s="1"/>
  <c r="I98" i="3"/>
  <c r="J74" i="3"/>
  <c r="G73" i="3"/>
  <c r="J73" i="3" s="1"/>
  <c r="H58" i="3"/>
  <c r="N58" i="3"/>
  <c r="G33" i="3"/>
  <c r="J33" i="3" s="1"/>
  <c r="I33" i="3"/>
  <c r="N73" i="3"/>
  <c r="H73" i="3"/>
  <c r="I128" i="3"/>
  <c r="G128" i="3"/>
  <c r="N28" i="3"/>
  <c r="H28" i="3"/>
  <c r="I149" i="3"/>
  <c r="G149" i="3"/>
  <c r="N138" i="3"/>
  <c r="F138" i="3"/>
  <c r="H138" i="3"/>
  <c r="I131" i="3"/>
  <c r="G131" i="3"/>
  <c r="I170" i="3"/>
  <c r="G170" i="3"/>
  <c r="N147" i="3"/>
  <c r="H147" i="3"/>
  <c r="F147" i="3"/>
  <c r="E145" i="3"/>
  <c r="I32" i="3"/>
  <c r="G32" i="3"/>
  <c r="F31" i="3"/>
  <c r="I31" i="3" s="1"/>
  <c r="G137" i="3"/>
  <c r="I137" i="3"/>
  <c r="I78" i="3"/>
  <c r="G78" i="3"/>
  <c r="J78" i="3" s="1"/>
  <c r="H174" i="3"/>
  <c r="F174" i="3"/>
  <c r="N174" i="3"/>
  <c r="E172" i="3"/>
  <c r="E132" i="3"/>
  <c r="E120" i="3" s="1"/>
  <c r="D130" i="3"/>
  <c r="G80" i="3"/>
  <c r="F79" i="3"/>
  <c r="I79" i="3" s="1"/>
  <c r="I80" i="3"/>
  <c r="G63" i="3"/>
  <c r="J63" i="3" s="1"/>
  <c r="I63" i="3"/>
  <c r="G68" i="3"/>
  <c r="F67" i="3"/>
  <c r="I67" i="3" s="1"/>
  <c r="I68" i="3"/>
  <c r="I83" i="3"/>
  <c r="G83" i="3"/>
  <c r="G38" i="3"/>
  <c r="F37" i="3"/>
  <c r="I37" i="3" s="1"/>
  <c r="I38" i="3"/>
  <c r="G99" i="3"/>
  <c r="J99" i="3" s="1"/>
  <c r="I99" i="3"/>
  <c r="N91" i="3"/>
  <c r="H91" i="3"/>
  <c r="N129" i="3"/>
  <c r="H129" i="3"/>
  <c r="F129" i="3"/>
  <c r="F127" i="3" s="1"/>
  <c r="I127" i="3" s="1"/>
  <c r="N160" i="3"/>
  <c r="H160" i="3"/>
  <c r="O66" i="3"/>
  <c r="O57" i="3"/>
  <c r="O87" i="3"/>
  <c r="C18" i="3"/>
  <c r="C25" i="3"/>
  <c r="C24" i="3" s="1"/>
  <c r="I92" i="3"/>
  <c r="G92" i="3"/>
  <c r="F91" i="3"/>
  <c r="I91" i="3" s="1"/>
  <c r="I48" i="3"/>
  <c r="G48" i="3"/>
  <c r="J48" i="3" s="1"/>
  <c r="N166" i="3"/>
  <c r="H166" i="3"/>
  <c r="I146" i="3"/>
  <c r="G146" i="3"/>
  <c r="F145" i="3"/>
  <c r="I145" i="3" s="1"/>
  <c r="N123" i="3"/>
  <c r="H123" i="3"/>
  <c r="F123" i="3"/>
  <c r="H139" i="3"/>
  <c r="N139" i="3"/>
  <c r="I189" i="3"/>
  <c r="G189" i="3"/>
  <c r="J189" i="3" s="1"/>
  <c r="F187" i="3"/>
  <c r="I187" i="3" s="1"/>
  <c r="G39" i="3"/>
  <c r="J39" i="3" s="1"/>
  <c r="I39" i="3"/>
  <c r="G167" i="3"/>
  <c r="I167" i="3"/>
  <c r="I125" i="3"/>
  <c r="G125" i="3"/>
  <c r="F124" i="3"/>
  <c r="I124" i="3" s="1"/>
  <c r="D120" i="3"/>
  <c r="H126" i="3"/>
  <c r="F126" i="3"/>
  <c r="N126" i="3"/>
  <c r="E124" i="3"/>
  <c r="G55" i="3"/>
  <c r="J55" i="3" s="1"/>
  <c r="J56" i="3"/>
  <c r="G43" i="3"/>
  <c r="J43" i="3" s="1"/>
  <c r="J44" i="3"/>
  <c r="E127" i="3"/>
  <c r="I162" i="3"/>
  <c r="G162" i="3"/>
  <c r="F160" i="3"/>
  <c r="I160" i="3" s="1"/>
  <c r="J116" i="3"/>
  <c r="G115" i="3"/>
  <c r="J115" i="3" s="1"/>
  <c r="E159" i="3"/>
  <c r="D157" i="3"/>
  <c r="N107" i="3"/>
  <c r="H107" i="3"/>
  <c r="J140" i="3"/>
  <c r="G158" i="3"/>
  <c r="I158" i="3"/>
  <c r="D118" i="3"/>
  <c r="H150" i="3"/>
  <c r="F150" i="3"/>
  <c r="F148" i="3" s="1"/>
  <c r="I148" i="3" s="1"/>
  <c r="N150" i="3"/>
  <c r="E148" i="3"/>
  <c r="D181" i="3"/>
  <c r="N70" i="3"/>
  <c r="H70" i="3"/>
  <c r="I72" i="3"/>
  <c r="G72" i="3"/>
  <c r="J72" i="3" s="1"/>
  <c r="I87" i="3"/>
  <c r="G87" i="3"/>
  <c r="J87" i="3" s="1"/>
  <c r="J65" i="3"/>
  <c r="G64" i="3"/>
  <c r="J64" i="3" s="1"/>
  <c r="J152" i="3"/>
  <c r="G69" i="3"/>
  <c r="J69" i="3" s="1"/>
  <c r="I69" i="3"/>
  <c r="N184" i="3"/>
  <c r="H184" i="3"/>
  <c r="I93" i="3"/>
  <c r="G93" i="3"/>
  <c r="J93" i="3" s="1"/>
  <c r="I105" i="3"/>
  <c r="G105" i="3"/>
  <c r="J105" i="3" s="1"/>
  <c r="I104" i="3"/>
  <c r="G104" i="3"/>
  <c r="F103" i="3"/>
  <c r="I103" i="3" s="1"/>
  <c r="G191" i="3"/>
  <c r="F190" i="3"/>
  <c r="I190" i="3" s="1"/>
  <c r="I191" i="3"/>
  <c r="I164" i="3"/>
  <c r="G164" i="3"/>
  <c r="G94" i="3"/>
  <c r="J94" i="3" s="1"/>
  <c r="J95" i="3"/>
  <c r="N175" i="3"/>
  <c r="H175" i="3"/>
  <c r="E135" i="3"/>
  <c r="D133" i="3"/>
  <c r="I122" i="3"/>
  <c r="G122" i="3"/>
  <c r="F121" i="3"/>
  <c r="N179" i="3"/>
  <c r="H179" i="3"/>
  <c r="F179" i="3"/>
  <c r="F119" i="3" s="1"/>
  <c r="E178" i="3"/>
  <c r="G153" i="3"/>
  <c r="J153" i="3" s="1"/>
  <c r="I153" i="3"/>
  <c r="G81" i="3"/>
  <c r="J81" i="3" s="1"/>
  <c r="I81" i="3"/>
  <c r="I155" i="3"/>
  <c r="G155" i="3"/>
  <c r="I113" i="3"/>
  <c r="F112" i="3"/>
  <c r="I112" i="3" s="1"/>
  <c r="G113" i="3"/>
  <c r="E119" i="3"/>
  <c r="N64" i="3"/>
  <c r="H64" i="3"/>
  <c r="G185" i="3"/>
  <c r="F184" i="3"/>
  <c r="I184" i="3" s="1"/>
  <c r="I185" i="3"/>
  <c r="N61" i="3"/>
  <c r="H61" i="3"/>
  <c r="N46" i="3"/>
  <c r="H46" i="3"/>
  <c r="J15" i="3"/>
  <c r="N142" i="3"/>
  <c r="H142" i="3"/>
  <c r="H163" i="3"/>
  <c r="N163" i="3"/>
  <c r="I173" i="3"/>
  <c r="G173" i="3"/>
  <c r="F172" i="3"/>
  <c r="I172" i="3" s="1"/>
  <c r="G62" i="3"/>
  <c r="F61" i="3"/>
  <c r="I61" i="3" s="1"/>
  <c r="I62" i="3"/>
  <c r="G54" i="3"/>
  <c r="J54" i="3" s="1"/>
  <c r="I54" i="3"/>
  <c r="E169" i="3"/>
  <c r="E84" i="3"/>
  <c r="D82" i="3"/>
  <c r="N151" i="3"/>
  <c r="H151" i="3"/>
  <c r="I194" i="3"/>
  <c r="G194" i="3"/>
  <c r="F183" i="3"/>
  <c r="N183" i="3"/>
  <c r="H183" i="3"/>
  <c r="H165" i="3"/>
  <c r="F165" i="3"/>
  <c r="F163" i="3" s="1"/>
  <c r="I163" i="3" s="1"/>
  <c r="N165" i="3"/>
  <c r="N52" i="3"/>
  <c r="H52" i="3"/>
  <c r="N55" i="3"/>
  <c r="H55" i="3"/>
  <c r="H85" i="3"/>
  <c r="N85" i="3"/>
  <c r="H49" i="3"/>
  <c r="N49" i="3"/>
  <c r="J89" i="3"/>
  <c r="G88" i="3"/>
  <c r="J88" i="3" s="1"/>
  <c r="H30" i="3"/>
  <c r="N30" i="3"/>
  <c r="F30" i="3"/>
  <c r="I64" i="3"/>
  <c r="H76" i="3"/>
  <c r="N76" i="3"/>
  <c r="I141" i="3"/>
  <c r="G141" i="3"/>
  <c r="J141" i="3" s="1"/>
  <c r="F139" i="3"/>
  <c r="I139" i="3" s="1"/>
  <c r="H180" i="3"/>
  <c r="N180" i="3"/>
  <c r="F180" i="3"/>
  <c r="F168" i="3"/>
  <c r="F166" i="3" s="1"/>
  <c r="I166" i="3" s="1"/>
  <c r="N168" i="3"/>
  <c r="H168" i="3"/>
  <c r="J101" i="3"/>
  <c r="G100" i="3"/>
  <c r="J100" i="3" s="1"/>
  <c r="I59" i="3"/>
  <c r="G59" i="3"/>
  <c r="F58" i="3"/>
  <c r="I58" i="3" s="1"/>
  <c r="G53" i="3"/>
  <c r="F52" i="3"/>
  <c r="I52" i="3" s="1"/>
  <c r="I53" i="3"/>
  <c r="O111" i="3"/>
  <c r="I51" i="3"/>
  <c r="G51" i="3"/>
  <c r="J51" i="3" s="1"/>
  <c r="I86" i="3"/>
  <c r="G86" i="3"/>
  <c r="F85" i="3"/>
  <c r="I85" i="3" s="1"/>
  <c r="E136" i="3"/>
  <c r="I60" i="3"/>
  <c r="G60" i="3"/>
  <c r="J60" i="3" s="1"/>
  <c r="I47" i="3"/>
  <c r="G47" i="3"/>
  <c r="F46" i="3"/>
  <c r="I46" i="3" s="1"/>
  <c r="I29" i="3"/>
  <c r="G29" i="3"/>
  <c r="I77" i="3"/>
  <c r="G77" i="3"/>
  <c r="F76" i="3"/>
  <c r="I76" i="3" s="1"/>
  <c r="N195" i="3"/>
  <c r="H195" i="3"/>
  <c r="F195" i="3"/>
  <c r="F193" i="3" s="1"/>
  <c r="I193" i="3" s="1"/>
  <c r="E193" i="3"/>
  <c r="E111" i="3"/>
  <c r="D108" i="3"/>
  <c r="D106" i="3" s="1"/>
  <c r="J188" i="3"/>
  <c r="G187" i="3"/>
  <c r="J187" i="3" s="1"/>
  <c r="H42" i="3"/>
  <c r="N42" i="3"/>
  <c r="F42" i="3"/>
  <c r="N103" i="3"/>
  <c r="H103" i="3"/>
  <c r="G34" i="3"/>
  <c r="J34" i="3" s="1"/>
  <c r="J35" i="3"/>
  <c r="N190" i="3"/>
  <c r="H190" i="3"/>
  <c r="I175" i="3"/>
  <c r="J175" i="3"/>
  <c r="E156" i="3"/>
  <c r="D154" i="3"/>
  <c r="I142" i="3"/>
  <c r="I186" i="3"/>
  <c r="G186" i="3"/>
  <c r="J186" i="3" s="1"/>
  <c r="H187" i="3"/>
  <c r="N187" i="3"/>
  <c r="N97" i="3"/>
  <c r="H97" i="3"/>
  <c r="H182" i="3"/>
  <c r="F182" i="3"/>
  <c r="E181" i="3"/>
  <c r="N182" i="3"/>
  <c r="E121" i="3"/>
  <c r="F70" i="3"/>
  <c r="I70" i="3" s="1"/>
  <c r="G71" i="3"/>
  <c r="I71" i="3"/>
  <c r="I50" i="3"/>
  <c r="G50" i="3"/>
  <c r="F49" i="3"/>
  <c r="I49" i="3" s="1"/>
  <c r="H41" i="3"/>
  <c r="N41" i="3"/>
  <c r="F41" i="3"/>
  <c r="E40" i="3"/>
  <c r="O84" i="3"/>
  <c r="D178" i="3"/>
  <c r="G142" i="3"/>
  <c r="J142" i="3" s="1"/>
  <c r="E26" i="3"/>
  <c r="I73" i="3"/>
  <c r="N37" i="3"/>
  <c r="H37" i="3"/>
  <c r="N120" i="3" l="1"/>
  <c r="H120" i="3"/>
  <c r="T22" i="3"/>
  <c r="T23" i="3" s="1"/>
  <c r="I119" i="3"/>
  <c r="U21" i="3"/>
  <c r="J155" i="3"/>
  <c r="I138" i="3"/>
  <c r="G138" i="3"/>
  <c r="J138" i="3" s="1"/>
  <c r="H26" i="3"/>
  <c r="N26" i="3"/>
  <c r="T17" i="3"/>
  <c r="H181" i="3"/>
  <c r="N181" i="3"/>
  <c r="J47" i="3"/>
  <c r="G46" i="3"/>
  <c r="J46" i="3" s="1"/>
  <c r="J185" i="3"/>
  <c r="G184" i="3"/>
  <c r="J184" i="3" s="1"/>
  <c r="H148" i="3"/>
  <c r="N148" i="3"/>
  <c r="G139" i="3"/>
  <c r="J139" i="3" s="1"/>
  <c r="G124" i="3"/>
  <c r="J124" i="3" s="1"/>
  <c r="J125" i="3"/>
  <c r="J92" i="3"/>
  <c r="G91" i="3"/>
  <c r="J91" i="3" s="1"/>
  <c r="G67" i="3"/>
  <c r="J67" i="3" s="1"/>
  <c r="J68" i="3"/>
  <c r="H172" i="3"/>
  <c r="N172" i="3"/>
  <c r="J137" i="3"/>
  <c r="G136" i="3"/>
  <c r="G61" i="3"/>
  <c r="J61" i="3" s="1"/>
  <c r="J62" i="3"/>
  <c r="I171" i="3"/>
  <c r="G171" i="3"/>
  <c r="J171" i="3" s="1"/>
  <c r="G49" i="3"/>
  <c r="J49" i="3" s="1"/>
  <c r="J50" i="3"/>
  <c r="G182" i="3"/>
  <c r="F181" i="3"/>
  <c r="I181" i="3" s="1"/>
  <c r="I182" i="3"/>
  <c r="J77" i="3"/>
  <c r="G76" i="3"/>
  <c r="J76" i="3" s="1"/>
  <c r="N84" i="3"/>
  <c r="H84" i="3"/>
  <c r="F84" i="3"/>
  <c r="E82" i="3"/>
  <c r="G190" i="3"/>
  <c r="J190" i="3" s="1"/>
  <c r="J191" i="3"/>
  <c r="J146" i="3"/>
  <c r="G129" i="3"/>
  <c r="J129" i="3" s="1"/>
  <c r="I129" i="3"/>
  <c r="J170" i="3"/>
  <c r="G169" i="3"/>
  <c r="J169" i="3" s="1"/>
  <c r="I30" i="3"/>
  <c r="G30" i="3"/>
  <c r="J158" i="3"/>
  <c r="E108" i="3"/>
  <c r="N111" i="3"/>
  <c r="H111" i="3"/>
  <c r="F111" i="3"/>
  <c r="E109" i="3"/>
  <c r="G183" i="3"/>
  <c r="J183" i="3" s="1"/>
  <c r="I183" i="3"/>
  <c r="N169" i="3"/>
  <c r="H169" i="3"/>
  <c r="G172" i="3"/>
  <c r="J172" i="3" s="1"/>
  <c r="J173" i="3"/>
  <c r="I121" i="3"/>
  <c r="G150" i="3"/>
  <c r="J150" i="3" s="1"/>
  <c r="I150" i="3"/>
  <c r="J162" i="3"/>
  <c r="G160" i="3"/>
  <c r="J160" i="3" s="1"/>
  <c r="N124" i="3"/>
  <c r="H124" i="3"/>
  <c r="J38" i="3"/>
  <c r="G37" i="3"/>
  <c r="J37" i="3" s="1"/>
  <c r="G174" i="3"/>
  <c r="J174" i="3" s="1"/>
  <c r="I174" i="3"/>
  <c r="G31" i="3"/>
  <c r="J31" i="3" s="1"/>
  <c r="J32" i="3"/>
  <c r="G148" i="3"/>
  <c r="J148" i="3" s="1"/>
  <c r="J149" i="3"/>
  <c r="J134" i="3"/>
  <c r="G58" i="3"/>
  <c r="J58" i="3" s="1"/>
  <c r="J59" i="3"/>
  <c r="H156" i="3"/>
  <c r="N156" i="3"/>
  <c r="F156" i="3"/>
  <c r="F120" i="3" s="1"/>
  <c r="E154" i="3"/>
  <c r="N193" i="3"/>
  <c r="H193" i="3"/>
  <c r="F28" i="3"/>
  <c r="I28" i="3" s="1"/>
  <c r="H119" i="3"/>
  <c r="N119" i="3"/>
  <c r="E118" i="3"/>
  <c r="T21" i="3"/>
  <c r="J122" i="3"/>
  <c r="J104" i="3"/>
  <c r="G103" i="3"/>
  <c r="J103" i="3" s="1"/>
  <c r="D18" i="3"/>
  <c r="D16" i="3" s="1"/>
  <c r="D15" i="3" s="1"/>
  <c r="C16" i="3"/>
  <c r="C15" i="3" s="1"/>
  <c r="J83" i="3"/>
  <c r="J131" i="3"/>
  <c r="G97" i="3"/>
  <c r="J97" i="3" s="1"/>
  <c r="J98" i="3"/>
  <c r="F136" i="3"/>
  <c r="I136" i="3" s="1"/>
  <c r="H40" i="3"/>
  <c r="N40" i="3"/>
  <c r="J71" i="3"/>
  <c r="G70" i="3"/>
  <c r="J70" i="3" s="1"/>
  <c r="I42" i="3"/>
  <c r="G42" i="3"/>
  <c r="J42" i="3" s="1"/>
  <c r="I195" i="3"/>
  <c r="G195" i="3"/>
  <c r="J195" i="3" s="1"/>
  <c r="J29" i="3"/>
  <c r="G26" i="3"/>
  <c r="G28" i="3"/>
  <c r="J28" i="3" s="1"/>
  <c r="N136" i="3"/>
  <c r="H136" i="3"/>
  <c r="J194" i="3"/>
  <c r="G193" i="3"/>
  <c r="J193" i="3" s="1"/>
  <c r="G112" i="3"/>
  <c r="J112" i="3" s="1"/>
  <c r="J113" i="3"/>
  <c r="D27" i="3"/>
  <c r="D25" i="3" s="1"/>
  <c r="D24" i="3" s="1"/>
  <c r="I126" i="3"/>
  <c r="G126" i="3"/>
  <c r="J126" i="3" s="1"/>
  <c r="J167" i="3"/>
  <c r="N145" i="3"/>
  <c r="H145" i="3"/>
  <c r="N135" i="3"/>
  <c r="H135" i="3"/>
  <c r="F135" i="3"/>
  <c r="E133" i="3"/>
  <c r="I41" i="3"/>
  <c r="G41" i="3"/>
  <c r="F40" i="3"/>
  <c r="I40" i="3" s="1"/>
  <c r="G52" i="3"/>
  <c r="J52" i="3" s="1"/>
  <c r="J53" i="3"/>
  <c r="I168" i="3"/>
  <c r="G168" i="3"/>
  <c r="J168" i="3" s="1"/>
  <c r="J164" i="3"/>
  <c r="N127" i="3"/>
  <c r="H127" i="3"/>
  <c r="I123" i="3"/>
  <c r="G123" i="3"/>
  <c r="G121" i="3" s="1"/>
  <c r="J121" i="3" s="1"/>
  <c r="G79" i="3"/>
  <c r="J79" i="3" s="1"/>
  <c r="J80" i="3"/>
  <c r="I147" i="3"/>
  <c r="G147" i="3"/>
  <c r="J147" i="3" s="1"/>
  <c r="G107" i="3"/>
  <c r="I179" i="3"/>
  <c r="F178" i="3"/>
  <c r="I178" i="3" s="1"/>
  <c r="G179" i="3"/>
  <c r="G119" i="3" s="1"/>
  <c r="H132" i="3"/>
  <c r="N132" i="3"/>
  <c r="F132" i="3"/>
  <c r="E130" i="3"/>
  <c r="N121" i="3"/>
  <c r="H121" i="3"/>
  <c r="F26" i="3"/>
  <c r="G85" i="3"/>
  <c r="J85" i="3" s="1"/>
  <c r="J86" i="3"/>
  <c r="I180" i="3"/>
  <c r="G180" i="3"/>
  <c r="J180" i="3" s="1"/>
  <c r="I165" i="3"/>
  <c r="G165" i="3"/>
  <c r="J165" i="3" s="1"/>
  <c r="N178" i="3"/>
  <c r="H178" i="3"/>
  <c r="G151" i="3"/>
  <c r="J151" i="3" s="1"/>
  <c r="F159" i="3"/>
  <c r="N159" i="3"/>
  <c r="H159" i="3"/>
  <c r="E157" i="3"/>
  <c r="G127" i="3"/>
  <c r="J127" i="3" s="1"/>
  <c r="J128" i="3"/>
  <c r="J119" i="3" l="1"/>
  <c r="V21" i="3"/>
  <c r="I120" i="3"/>
  <c r="U22" i="3"/>
  <c r="F118" i="3"/>
  <c r="N82" i="3"/>
  <c r="H82" i="3"/>
  <c r="H118" i="3"/>
  <c r="N118" i="3"/>
  <c r="T20" i="3"/>
  <c r="I84" i="3"/>
  <c r="G84" i="3"/>
  <c r="F82" i="3"/>
  <c r="I82" i="3" s="1"/>
  <c r="I156" i="3"/>
  <c r="G156" i="3"/>
  <c r="F154" i="3"/>
  <c r="I154" i="3" s="1"/>
  <c r="N130" i="3"/>
  <c r="H130" i="3"/>
  <c r="N108" i="3"/>
  <c r="H108" i="3"/>
  <c r="E106" i="3"/>
  <c r="E27" i="3"/>
  <c r="G132" i="3"/>
  <c r="G120" i="3" s="1"/>
  <c r="I132" i="3"/>
  <c r="F130" i="3"/>
  <c r="I130" i="3" s="1"/>
  <c r="J41" i="3"/>
  <c r="G40" i="3"/>
  <c r="J40" i="3" s="1"/>
  <c r="G163" i="3"/>
  <c r="J163" i="3" s="1"/>
  <c r="G145" i="3"/>
  <c r="J145" i="3" s="1"/>
  <c r="J107" i="3"/>
  <c r="G159" i="3"/>
  <c r="I159" i="3"/>
  <c r="F157" i="3"/>
  <c r="I157" i="3" s="1"/>
  <c r="H133" i="3"/>
  <c r="N133" i="3"/>
  <c r="G166" i="3"/>
  <c r="J166" i="3" s="1"/>
  <c r="F27" i="3"/>
  <c r="F25" i="3" s="1"/>
  <c r="J179" i="3"/>
  <c r="G178" i="3"/>
  <c r="J178" i="3" s="1"/>
  <c r="G135" i="3"/>
  <c r="I135" i="3"/>
  <c r="F133" i="3"/>
  <c r="I133" i="3" s="1"/>
  <c r="H109" i="3"/>
  <c r="N109" i="3"/>
  <c r="J30" i="3"/>
  <c r="V17" i="3"/>
  <c r="J26" i="3"/>
  <c r="G181" i="3"/>
  <c r="J181" i="3" s="1"/>
  <c r="J182" i="3"/>
  <c r="H157" i="3"/>
  <c r="N157" i="3"/>
  <c r="U17" i="3"/>
  <c r="I26" i="3"/>
  <c r="J123" i="3"/>
  <c r="N154" i="3"/>
  <c r="H154" i="3"/>
  <c r="G111" i="3"/>
  <c r="I111" i="3"/>
  <c r="F108" i="3"/>
  <c r="F109" i="3"/>
  <c r="I109" i="3" s="1"/>
  <c r="J136" i="3"/>
  <c r="V22" i="3" l="1"/>
  <c r="J120" i="3"/>
  <c r="G118" i="3"/>
  <c r="I25" i="3"/>
  <c r="F24" i="3"/>
  <c r="U16" i="3"/>
  <c r="N27" i="3"/>
  <c r="T18" i="3"/>
  <c r="H27" i="3"/>
  <c r="E25" i="3"/>
  <c r="H106" i="3"/>
  <c r="N106" i="3"/>
  <c r="I118" i="3"/>
  <c r="U20" i="3"/>
  <c r="J111" i="3"/>
  <c r="G108" i="3"/>
  <c r="G109" i="3"/>
  <c r="J109" i="3" s="1"/>
  <c r="J84" i="3"/>
  <c r="G82" i="3"/>
  <c r="J82" i="3" s="1"/>
  <c r="U18" i="3"/>
  <c r="I27" i="3"/>
  <c r="J132" i="3"/>
  <c r="G130" i="3"/>
  <c r="J130" i="3" s="1"/>
  <c r="J135" i="3"/>
  <c r="G133" i="3"/>
  <c r="J133" i="3" s="1"/>
  <c r="J156" i="3"/>
  <c r="G154" i="3"/>
  <c r="J154" i="3" s="1"/>
  <c r="I108" i="3"/>
  <c r="F106" i="3"/>
  <c r="I106" i="3" s="1"/>
  <c r="J159" i="3"/>
  <c r="G157" i="3"/>
  <c r="J157" i="3" s="1"/>
  <c r="U15" i="3" l="1"/>
  <c r="P42" i="3"/>
  <c r="P57" i="3"/>
  <c r="P111" i="3"/>
  <c r="P66" i="3"/>
  <c r="P84" i="3"/>
  <c r="P87" i="3"/>
  <c r="J118" i="3"/>
  <c r="V20" i="3"/>
  <c r="H25" i="3"/>
  <c r="N25" i="3"/>
  <c r="E24" i="3"/>
  <c r="T16" i="3"/>
  <c r="T15" i="3" s="1"/>
  <c r="J108" i="3"/>
  <c r="G106" i="3"/>
  <c r="J106" i="3" s="1"/>
  <c r="G27" i="3"/>
  <c r="N24" i="3" l="1"/>
  <c r="H24" i="3"/>
  <c r="I24" i="3"/>
  <c r="V18" i="3"/>
  <c r="J27" i="3"/>
  <c r="G25" i="3"/>
  <c r="V16" i="3" l="1"/>
  <c r="V15" i="3" s="1"/>
  <c r="J25" i="3"/>
  <c r="G24" i="3"/>
  <c r="J24" i="3" s="1"/>
</calcChain>
</file>

<file path=xl/sharedStrings.xml><?xml version="1.0" encoding="utf-8"?>
<sst xmlns="http://schemas.openxmlformats.org/spreadsheetml/2006/main" count="2684" uniqueCount="250">
  <si>
    <t>ពិដានចំណាយចរន្ត</t>
  </si>
  <si>
    <t>បរិយាយមុខសញ្ញា</t>
  </si>
  <si>
    <t>សរុបរួមក្រសួង</t>
  </si>
  <si>
    <t>I. រដ្ឋបាលកណ្ដាល</t>
  </si>
  <si>
    <t>-បន្ទុកបុគ្គលិក</t>
  </si>
  <si>
    <t>-ក្រៅបន្ទុកបុគ្គលិក</t>
  </si>
  <si>
    <t>១. ខេត្តបន្ទាយមានជ័យ</t>
  </si>
  <si>
    <t>២. ខេត្ត​បាត់ដំបង</t>
  </si>
  <si>
    <t>៣. ខេត្ត​កំពង់ចាម</t>
  </si>
  <si>
    <t>៩. ខេត្តកោះកុង</t>
  </si>
  <si>
    <t>៨. ខេត្តកណ្ដាល</t>
  </si>
  <si>
    <t>៧. ខេត្តកំពត</t>
  </si>
  <si>
    <t>៦. ខេត្ត​កំពង់ធំ</t>
  </si>
  <si>
    <t>៥. ខេត្តកំពង់ស្ពឺ</t>
  </si>
  <si>
    <t>៤. ខេត្ត​កំពង់ឆ្នាំង</t>
  </si>
  <si>
    <t>១០. ខេត្ត​ក្រចេះ</t>
  </si>
  <si>
    <t>១១. ខេត្ត​មណ្ឌលគិរី</t>
  </si>
  <si>
    <t>១២. រាជធានីភ្នំពេញ</t>
  </si>
  <si>
    <t>១៣. ខេត្ត​ព្រះវិហារ</t>
  </si>
  <si>
    <t>១៤. ខេត្តព្រៃវែង</t>
  </si>
  <si>
    <t>១៥. ខេត្តពោធិ៍សាត់</t>
  </si>
  <si>
    <t>១៦. ខេត្ត​រតនគិរី</t>
  </si>
  <si>
    <t>១៧. ខេត្ត​សៀមរាប</t>
  </si>
  <si>
    <t>១៨. ខេត្ត​ព្រះសីហនុ</t>
  </si>
  <si>
    <t>១៩. ខេត្ត​ស្ទឹងត្រែង</t>
  </si>
  <si>
    <t>២០. ខេត្ត​ស្វាយរៀង</t>
  </si>
  <si>
    <t>២១. ខេត្ត​តាកែវ</t>
  </si>
  <si>
    <t>២២. ខេត្ត​ឧត្តរមានជ័យ</t>
  </si>
  <si>
    <t>២៣. ខេត្តកែប</t>
  </si>
  <si>
    <t>២៤. ខេត្តប៉ៃលិន</t>
  </si>
  <si>
    <t>២៥. ខេត្តត្បូងឃ្មុំ</t>
  </si>
  <si>
    <t>2-1</t>
  </si>
  <si>
    <t>លម្អៀងការបែងចែក និង​ពិដានរួមក្រសួង</t>
  </si>
  <si>
    <t>លានរៀល</t>
  </si>
  <si>
    <t>កំណត់សម្គាល់</t>
  </si>
  <si>
    <t>8=(5-4)/4</t>
  </si>
  <si>
    <t>9=(6-5)/5</t>
  </si>
  <si>
    <t>ឯកតា :លានរៀល</t>
  </si>
  <si>
    <t>ច្បាប់
ឆ្នាំ២០២២</t>
  </si>
  <si>
    <t>ផ្នែកទី១៖ ​ពិដានចំណាយចរន្ត ឆ្នាំ២០២៣-២០២៥ សរុបរួមក្រសួង (យោងសារាចរលេខ ០៣ សរណន ចុះថ្ងៃទី០៨ ខែមិថុនា ឆ្នាំ២០២២)</t>
  </si>
  <si>
    <t>មិនបូកបញ្ចូលប្រាក់រង្វាន់</t>
  </si>
  <si>
    <t>ក្នុងនោះគ្រឹះស្ថានសាធារណៈរដ្ឋបាល</t>
  </si>
  <si>
    <t>លម្អៀង
2023-2022</t>
  </si>
  <si>
    <t>ផ្នែកទី២៖ ​ពិដានចំណាយចរន្ត ឆ្នាំ២០២៣-២០២៥ តាមអង្គភាពថវិកា</t>
  </si>
  <si>
    <t>២៧.១ អគ្គលេខាធិការដ្ឋាន​ក្រសួងសេដ្ឋកិច្ច​និងហិរញ្ញវត្ថុ​</t>
  </si>
  <si>
    <t>២៧.២ មជ្ឍមណ្ឌលបណ្ដុះធុរកិច្ចថ្មី "តេជោ"​</t>
  </si>
  <si>
    <t>១. អនុកម្មវិធីទី១.១ អគ្គនាយកដ្ឋាន​គោលនយោបាយ</t>
  </si>
  <si>
    <t>២. អនុកម្មវិធីទី១.២ អគ្គលេខាធិការដ្ឋាន​គណៈកម្មាធិការជាតិ​ផលិតភាពសេដ្ឋកិច្ច​កម្ពុជា</t>
  </si>
  <si>
    <t>៣. អនុកម្មវិធីទី១.៣ ឧត្តម​ក្រុមប្រឹក្សាសេដ្ឋកិច្ចជាតិ</t>
  </si>
  <si>
    <t>៤. អនុកម្មវិធីទី១.៤ អគ្គលេខាធិការដ្ឋានក្រុមប្រឹក្សាជាតិគាំពារសង្គម</t>
  </si>
  <si>
    <t>៥. អនុកម្មវិធីទី២.១ អគ្គលេខាធិការដ្ឋាន អសហ.</t>
  </si>
  <si>
    <t>៦. អនុកម្មវិធីទី២.១ អង្គភាពសវនកម្មផ្ទៃក្នុង អសហ.</t>
  </si>
  <si>
    <t>៧. អនុកម្មវិធីទី២.២ និយ័តករធានារ៉ាប់រងកម្ពុជា</t>
  </si>
  <si>
    <t>៨. អនុកម្មវិធីទី២.៣ និយ័តករមូលបត្រកម្ពុជា</t>
  </si>
  <si>
    <t>៩. អនុកម្មវិធីទី២.៤ និយ័តករបរធនបាលកិច្ច</t>
  </si>
  <si>
    <t>១០. អនុកម្មវិធីទី២.៥ និយ័តករគណនេយ្យនិងសវនកម្ម</t>
  </si>
  <si>
    <t>១១. អនុកម្មវិធីទី២.៦ និយ័តករអាជីវកម្មអចលនវត្ថុនិងបញ្ចាំ</t>
  </si>
  <si>
    <t>១២. អនុកម្មវិធីទី៣.១ អគ្គនាយកដ្ឋាន​គយនិងរដ្ឋាករកម្ពុជា</t>
  </si>
  <si>
    <t>១៣. អនុកម្មវិធីទី៣.២ អគ្គនាយកដ្ឋាន​ពន្ធដារ</t>
  </si>
  <si>
    <t>១៤. អនុកម្មវិធីទី៣.៣ អគ្គនាយកដ្ឋាន​ទ្រព្យសម្បត្តិរដ្ឋ​និង​ចំណូលមិនមែនសារពើពន្ធ</t>
  </si>
  <si>
    <t>១៦. អនុកម្មវិធីទី៤.១ អគ្គនាយកដ្ឋាន​ថវិកា</t>
  </si>
  <si>
    <t>១៧. អនុកម្មវិធីទី៤.២ អគ្គនាយកដ្ឋាន​ហិរញ្ញវត្ថុ​រដ្ឋបាល​ថ្នាក់ក្រោមជាតិ</t>
  </si>
  <si>
    <t>១៨. អនុកម្មវិធីទី៤.៣ អគ្គនាយកដ្ឋាន​លទ្ធកម្មសាធារណៈ</t>
  </si>
  <si>
    <t>១៩. អនុកម្មវិធីទី៤.៤ អគ្គនាយកដ្ឋាន​រតនាគារជាតិ</t>
  </si>
  <si>
    <t>២០. អនុកម្មវិធីទី៤.៥ អគ្គនាយកដ្ឋានសហប្រតិបត្តិការអន្តរជាតិ​និង​គ្រប់គ្រង​បំណុល</t>
  </si>
  <si>
    <t>២១. អនុកម្មវិធីទី៤.៦ អគ្គនាយកដ្ឋានភាពជាដៃគូរវាងរដ្ឋនិងឯកជន​</t>
  </si>
  <si>
    <t>២៣. អនុកម្មវិធីទី៤.៨ អគ្គាធិការដ្ឋាន</t>
  </si>
  <si>
    <t>២៥. អនុកម្មវិធីទី៥.១ វិទ្យាស្ថានសេដ្ឋកិច្ច​និងហិរញ្ញវត្ថុ​</t>
  </si>
  <si>
    <t>២៦. អនុកម្មវិធីទី៥.២ លេខាធិការដ្ឋាន​ក្រុមប្រឹក្សានីតិកម្ម</t>
  </si>
  <si>
    <t>២៧. អនុកម្មវិធីទី៥.៣ អគ្គលេខាធិការដ្ឋាន​ក្រសួងសេដ្ឋកិច្ច​និងហិរញ្ញវត្ថុ​</t>
  </si>
  <si>
    <t>២៨. អនុកម្មវិធីទី៥.៤ អគ្គនាយកដ្ឋានសវនកម្ម​ផ្ទៃក្នុង</t>
  </si>
  <si>
    <t>ចំណាយ
មិនប្រចាំ</t>
  </si>
  <si>
    <t>3=1-2</t>
  </si>
  <si>
    <t>7=(4-1)/1</t>
  </si>
  <si>
    <t>II. មន្ទីរសេដ្ឋកិច្ច​និងហិរញ្ញវត្ថុ​ រាជធានី ខេត្ត</t>
  </si>
  <si>
    <t>ចំណាយប្រចាំ</t>
  </si>
  <si>
    <t>អត្រា</t>
  </si>
  <si>
    <t>បរិយាយកំណើន</t>
  </si>
  <si>
    <t>មិនគិតបញ្ចូលរង្វាន់ 24.000ល៛</t>
  </si>
  <si>
    <t>បន្ទុកបុគ្គលិក ២០២៣ ថ្នាក់កណ្ដាល</t>
  </si>
  <si>
    <t>បន្ទុកបុគ្គលិក ២០២៣ មន្ទីរ</t>
  </si>
  <si>
    <t>ក្រៅបន្ទុកបុគ្គលិក ២០២៣ ថ្នាក់កណ្ដាល</t>
  </si>
  <si>
    <t>ក្រៅបន្ទុកបុគ្គលិក ២០២៣ មន្ទីរ</t>
  </si>
  <si>
    <t>បន្ទុកបុគ្គលិក ២០២៤-២០២៥ ថ្នាក់កណ្ដាល</t>
  </si>
  <si>
    <t>បន្ទុកបុគ្គលិក ២០២៤-២០២៥ មន្ទីរ</t>
  </si>
  <si>
    <t>ក្រៅបន្ទុកបុគ្គលិក ២០២៤-២០២៥ ថ្នាក់កណ្ដាល</t>
  </si>
  <si>
    <t>ក្រៅបន្ទុកបុគ្គលិក ២០២៤-២០២៥ មន្ទីរ</t>
  </si>
  <si>
    <t>មិនប្រចាំ៖ 60055=183,9ល៛; 61072=266,5ល៛</t>
  </si>
  <si>
    <t>មិនប្រចាំ៖ 61072=72ល៛</t>
  </si>
  <si>
    <t>មិនប្រចាំ៖ 60=330ល៛; 61=3.206ល៛ (គម្រោងចុះបញ្ជីអចលនទ្រព្យ)</t>
  </si>
  <si>
    <t>មិនប្រចាំ៖ 61052=200ល៛</t>
  </si>
  <si>
    <t>ឆ្នាំ២០២២៖ 6005=97,8ល៛; 6105=368,7ល៛</t>
  </si>
  <si>
    <t>ឆ្នាំ២០២២៖ 6005=70,8ល៛; 6105=328,2ល៛</t>
  </si>
  <si>
    <t>ឆ្នាំ២០២២៖ 6005=188,2ល៛; 6105=363,1ល៛</t>
  </si>
  <si>
    <t>ឆ្នាំ២០២២៖ 6005=44ល៛; 6105=105,2ល៛</t>
  </si>
  <si>
    <t>ឆ្នាំ២០២២៖ 6005=70ល៛; 6105=254,4ល៛</t>
  </si>
  <si>
    <t>ឆ្នាំ២០២២៖ 6005=64,5ល៛; 6105=296ល៛</t>
  </si>
  <si>
    <t>ឆ្នាំ២០២២៖ 6005=28,1ល៛; 6105=72,9ល៛</t>
  </si>
  <si>
    <t>ឆ្នាំ២០២២៖ 6005=66ល៛; 6105=127,8ល៛</t>
  </si>
  <si>
    <t>ឆ្នាំ២០២២៖ 6005=29,6ល៛; 6105=101,5ល៛</t>
  </si>
  <si>
    <t>ឆ្នាំ២០២២៖ 6005=67,2ល៛; 6105=373,7ល៛</t>
  </si>
  <si>
    <t>ឆ្នាំ២០២២៖ 6005=58ល៛; 6105=164ល៛</t>
  </si>
  <si>
    <t>ឆ្នាំ២០២២៖ 6005=64,9ល៛; 6105=139,8ល៛</t>
  </si>
  <si>
    <t>ឆ្នាំ២០២២៖ 6005=33ល៛; 6105=310ល៛</t>
  </si>
  <si>
    <t>ឆ្នាំ២០២២៖ 6005=188,7ល៛; 6105=298ល៛</t>
  </si>
  <si>
    <t>ឆ្នាំ២០២២៖ 6005=142,9ល៛; 6105=392,6ល៛</t>
  </si>
  <si>
    <t>ឆ្នាំ២០២២៖ 6005=69,7ល៛; 6105=155ល៛</t>
  </si>
  <si>
    <t>ឆ្នាំ២០២២៖ 6005=24,8ល៛; 6105=114,8ល៛</t>
  </si>
  <si>
    <t>ឆ្នាំ២០២២៖ 6005=48,4ល៛; 6105=150ល៛</t>
  </si>
  <si>
    <t>ឆ្នាំ២០២២៖ 6005=85,8ល៛; 6105=304,5ល៛</t>
  </si>
  <si>
    <t>ឆ្នាំ២០២២៖ 6005=68ល៛; 6105=119,3ល៛</t>
  </si>
  <si>
    <t>ឆ្នាំ២០២២៖ 6005=64,5ល៛; 6105=334,9ល៛</t>
  </si>
  <si>
    <t>ឆ្នាំ២០២២៖ 6005=87,5ល៛; 6105=137,5ល៛</t>
  </si>
  <si>
    <t>ឆ្នាំ២០២២៖ 6005=129ល៛; 6105=207,5ល៛</t>
  </si>
  <si>
    <t>ឆ្នាំ២០២២៖ 6005=81,6ល៛; 6105=138ល៛</t>
  </si>
  <si>
    <t>ឆ្នាំ២០២២៖ 6005=42,6ល៛; 6105=56,9ល៛</t>
  </si>
  <si>
    <t>មិនប្រចាំ៖ 64=264ល៛ (គម្រោងចុះបញ្ជីអចលនទ្រព្យ)</t>
  </si>
  <si>
    <t>នាយកដ្ឋានថ្មី ២</t>
  </si>
  <si>
    <t>នាយកដ្ឋានថ្មី ១</t>
  </si>
  <si>
    <t>មិនប្រចាំ៖ 61052=1.373,5ល៛; នាយកដ្ឋានថ្មី ១</t>
  </si>
  <si>
    <t>មិនប្រចាំ៖ 60055=331ល៛; 61052=100ល៛; នាយកដ្ឋានថ្មី ១ + វិចារ.</t>
  </si>
  <si>
    <t>ទុកឥណទាននៅអនុកម្មវិធីគាំទ្របណ្ដោះអាសន្ន</t>
  </si>
  <si>
    <t>កំណត់សម្គាល់សម្រាប់ការបែងចែកពិដានចំណាយ</t>
  </si>
  <si>
    <t xml:space="preserve">ថ្នាក់កណ្ដាល៖ </t>
  </si>
  <si>
    <t>-សម្រាប់បន្ទុកបុគ្គលិក ពុំមានកំណត់ពិដានតាមអង្គភាពឡើយ។ អង្គភាពថវិកាត្រូវគ្រោងតាមទិន្នន័យជាក់ស្ដែងក្នុងតារាងបៀវត្សខែមិថុនា ឆ្នាំ២០២២ និងបម្រែបម្រួលដែលមានគោលការណ៍រួចហើយ។</t>
  </si>
  <si>
    <t xml:space="preserve">ថ្នាក់មូលដ្ឋាន៖ </t>
  </si>
  <si>
    <t>-សម្រាប់បន្ទុកបុគ្គលិក កំណើន ៩,៥% សម្រាប់ឆ្នាំ២០២៣ ប៉ុន្តែអង្គភាពថវិកាត្រូវគ្រោងតាមទិន្នន័យជាក់ស្ដែងក្នុងតារាងបៀវត្សខែមិថុនា ឆ្នាំ២០២២ និងបម្រែបម្រួលដែលមានគោលការណ៍រួចហើយ។</t>
  </si>
  <si>
    <t>សម្រាប់ឆ្នាំ២០២៤ និងឆ្នាំ២០២៥, បន្ទុកបុគ្គលិកកើន ៥%/ឆ្នាំ ទាំងថ្នាក់កណ្ដាល និងមន្ទីរ រីឯក្រៅបន្ទុកបុគ្គលិក កើន ១,២%/ឆ្នាំ សម្រាប់ថ្នាក់កណ្ដាល និងកើន ៣%/ឆ្នាំ សម្រាប់មន្ទីរ។</t>
  </si>
  <si>
    <t>-សម្រាប់ក្រៅបន្ទុកបុគ្គលិក មូលដ្ឋានគ្រោងឆ្នាំ២០២៣ គឺឥណទានច្បាប់ឆ្នាំ២០២២ ដកឥណទានចំណាយគណនី ៦០០៥ និង ៦១០៥ ដោយផ្ដល់កំណើន ៣% ជាចំណែកសមាមាត្រ និងបន្ថែមចំណែកស្មើគ្នា ៨,៨លាន៛/មន្ទីរ រួចទើបបូកបញ្ចូលឥណទានចំណាយគណនី ៦០០៥ និង ៦១០៥ ស្មើច្បាប់ឆ្នាំ២០២២តាមមន្ទីរនីមួយៗវិញ។</t>
  </si>
  <si>
    <t>អត្រាកើន/ថយ</t>
  </si>
  <si>
    <t>តារាងកំណត់ពិដានចំណាយចរន្ត សម្រាប់ការរៀបចំផែនការយុទ្ធសាស្ត្រថវិកាឆ្នាំ២០២៣-២០២៥</t>
  </si>
  <si>
    <t>និងគម្រោងថវិកាឆ្នាំ២០២៣ របស់ក្រសួងសេដ្ឋកិច្ច​និងហិរញ្ញវត្ថុ</t>
  </si>
  <si>
    <t>នាយកដ្ឋានថ្មី ២ + បេសកកម្ម</t>
  </si>
  <si>
    <t>នាយកដ្ឋានថ្មី ១ + បេសកកម្ម</t>
  </si>
  <si>
    <t>បេសកកម្ម</t>
  </si>
  <si>
    <t>-សម្រាប់ក្រៅបន្ទុកបុគ្គលិក មូលដ្ឋានគ្រោងឆ្នាំ២០២៣ គឺឥណទានច្បាប់ឆ្នាំ២០២២ ដកឥណទានចំណាយមិនប្រចាំ ដោយបន្ថែមជូន ១៥០លាន៛/នាយកដ្ឋាន សម្រាប់អង្គភាពថវិកាមានបម្រែបម្រួលរចនាសម្ព័ន្ធ និងបន្ថែម ១០០-២០០លាន៛ សម្រាប់អង្គភាពថវិកា​ដែល​បាន​រងបេសកកម្មខ្លាំងប៉ះពាល់សកម្មភាពជំនាញកាលពីឆ្នាំ២០២០-២០២១។</t>
  </si>
  <si>
    <t>២២. អនុកម្មវិធីទី៤.៧ អគ្គ.ដោះស្រាយ​ផលប៉ះពាល់ដោយសារ​គម្រោង​អភិវឌ្ឍន៍</t>
  </si>
  <si>
    <t>១៥. អនុកម្មវិធីទី៣.៤ អគ្គលេខា.គណៈកម្មការគ្រប់គ្រងល្បែងពាណិជ្ជកម្មកម្ពុជា</t>
  </si>
  <si>
    <t>២៤. អនុកម្មវិធីទី៤.៩ អគ្គ.​គណៈ.ដឹកនាំ​ការងារ​កែទម្រង់​.​ហិរញ្ញវត្ថុ​សាធារណៈ</t>
  </si>
  <si>
    <t>id</t>
  </si>
  <si>
    <t>exp_ceiling_type</t>
  </si>
  <si>
    <t>-</t>
  </si>
  <si>
    <t>remark</t>
  </si>
  <si>
    <t>sub_program_id</t>
  </si>
  <si>
    <t>entity_id</t>
  </si>
  <si>
    <t>description</t>
  </si>
  <si>
    <t>ceiling_rule</t>
  </si>
  <si>
    <t>reg_expense</t>
  </si>
  <si>
    <t>non_reg_expense</t>
  </si>
  <si>
    <t>ceiling_tran_year_0</t>
  </si>
  <si>
    <t>ceiling_tran_year_1</t>
  </si>
  <si>
    <t>ceiling_tran_year_2</t>
  </si>
  <si>
    <t>increase_rate_year_0</t>
  </si>
  <si>
    <t>increase_rate_year_1</t>
  </si>
  <si>
    <t>increase_rate_year_2</t>
  </si>
  <si>
    <t>entity</t>
  </si>
  <si>
    <t>និយ័តករធានារ៉ាប់រងកម្ពុជា</t>
  </si>
  <si>
    <t>និយ័តករមូលបត្រកម្ពុជា</t>
  </si>
  <si>
    <t>និយ័តករបរធនបាលកិច្ច</t>
  </si>
  <si>
    <t>និយ័តករគណនេយ្យនិងសវនកម្ម</t>
  </si>
  <si>
    <t>និយ័តករអាជីវកម្មអចលនវត្ថុនិងបញ្ចាំ</t>
  </si>
  <si>
    <t>អគ្គនាយកដ្ឋានភាពជាដៃគូរវាងរដ្ឋនិងឯកជន​</t>
  </si>
  <si>
    <t>អគ្គាធិការដ្ឋាន</t>
  </si>
  <si>
    <t>entity_parent_id</t>
  </si>
  <si>
    <t>name_en</t>
  </si>
  <si>
    <t>name_kh</t>
  </si>
  <si>
    <t>order_level</t>
  </si>
  <si>
    <t>អគ្គនាយកដ្ឋានគោលនយោបាយ</t>
  </si>
  <si>
    <t>អគ្គលេខាធិការដ្ឋានគណៈកម្មាធិការជាតិផលិតភាពសេដ្ឋកិច្ច​កម្ពុជា</t>
  </si>
  <si>
    <t>ឧត្តមក្រុមប្រឹក្សាសេដ្ឋកិច្ចជាតិ</t>
  </si>
  <si>
    <t>អគ្គលេខាធិការដ្ឋាន​ក្រុមប្រឹក្សាជាតិគាំពារសង្គម</t>
  </si>
  <si>
    <t>អគ្គលេខាធិការដ្ឋាន​អាជ្ញាធរសេវាហិរញ្ញវត្ថុ​មិនមែនធនាគារ</t>
  </si>
  <si>
    <t>អង្គភាពសវនកម្មផ្ទៃក្នុង ​នៃអាជ្ញាធរសេវាហិរញ្ញវត្ថុ​មិនមែនធនាគារ</t>
  </si>
  <si>
    <t>អគ្គនាយកដ្ឋានគយនិងរដ្ឋាករកម្ពុជា</t>
  </si>
  <si>
    <t>អគ្គនាយកដ្ឋានពន្ធដារ</t>
  </si>
  <si>
    <t>អគ្គនាយកដ្ឋានទ្រព្យសម្បត្តិរដ្ឋនិងចំណូលមិនមែនសារពើពន្ធ</t>
  </si>
  <si>
    <t>អគ្គលេខាធិការដ្ឋានគណៈកម្មការគ្រប់គ្រងល្បែងពាណិជ្ជកម្មកម្ពុជា</t>
  </si>
  <si>
    <t>អគ្គនាយកដ្ឋានថវិកា</t>
  </si>
  <si>
    <t>អគ្គនាយកដ្ឋានហិរញ្ញវត្ថុរដ្ឋបាលថ្នាក់ក្រោមជាតិ</t>
  </si>
  <si>
    <t>អគ្គនាយកដ្ឋានលទ្ធកម្មសាធារណៈ</t>
  </si>
  <si>
    <t>អគ្គនាយកដ្ឋានរតនាគារជាតិ</t>
  </si>
  <si>
    <t>អគ្គនាយកដ្ឋានសហប្រតិបត្តិការអន្តរជាតិនិងគ្រប់គ្រងបំណុល</t>
  </si>
  <si>
    <t>អគ្គនាយកដ្ឋានដោះស្រាយផលប៉ះពាល់ដោយសារគម្រោងអភិវឌ្ឍន៍</t>
  </si>
  <si>
    <t>អគ្គលេខាធិការដ្ឋានគណៈកម្មាធិការដឹកនាំការងារកែទម្រង់ការគ្រប់គ្រងហិរញ្ញវត្ថុសាធារណៈ</t>
  </si>
  <si>
    <t>វិទ្យាស្ថានសេដ្ឋកិច្ចនិងហិរញ្ញវត្ថុ</t>
  </si>
  <si>
    <t>លេខាធិការដ្ឋានក្រុមប្រឹក្សានីតិកម្ម</t>
  </si>
  <si>
    <t>អគ្គលេខាធិការដ្ឋានក្រសួងសេដ្ឋកិច្ចនិងហិរញ្ញវត្ថុ</t>
  </si>
  <si>
    <t>មជ្ឈមណ្ឌលបណ្តុះធុរកិច្ចថ្មី "តេជោ"</t>
  </si>
  <si>
    <t>អគ្គនាយកដ្ឋានសវនកម្មផ្ទៃក្នុង</t>
  </si>
  <si>
    <t>មន្ទីរ សហវ. ខេត្តបន្ទាយមានជ័យ</t>
  </si>
  <si>
    <t>មន្ទីរ សហវ. ខេត្តបាត់ដំបង</t>
  </si>
  <si>
    <t>មន្ទីរ សហវ. ខេត្តកំពង់ចាម</t>
  </si>
  <si>
    <t>មន្ទីរ សហវ. ខេត្តកំពង់ឆ្នាំង</t>
  </si>
  <si>
    <t>មន្ទីរ សហវ. ខេត្តកំពង់ស្ពឺ</t>
  </si>
  <si>
    <t>មន្ទីរ សហវ. ខេត្តកំពង់ធំ</t>
  </si>
  <si>
    <t>មន្ទីរ សហវ. ខេត្តកំពត</t>
  </si>
  <si>
    <t>មន្ទីរ សហវ. ខេត្តកណ្តាល</t>
  </si>
  <si>
    <t>មន្ទីរ សហវ. ខេត្តកោះកុង</t>
  </si>
  <si>
    <t>មន្ទីរ សហវ. ខេត្តក្រចេះ</t>
  </si>
  <si>
    <t>មន្ទីរ សហវ. ខេត្តមណ្ឌលគិរី</t>
  </si>
  <si>
    <t>មន្ទីរ សហវ. រាជធានីភ្នំពេញ</t>
  </si>
  <si>
    <t>មន្ទីរ សហវ. ខេត្តព្រះវិហារ</t>
  </si>
  <si>
    <t>មន្ទីរ សហវ. ខេត្តព្រៃវែង</t>
  </si>
  <si>
    <t>មន្ទីរ សហវ. ខេត្តពោធិ៍សាត់</t>
  </si>
  <si>
    <t>មន្ទីរ សហវ. ខេត្តរតនគិរី</t>
  </si>
  <si>
    <t>មន្ទីរ សហវ. ខេត្តសៀមរាប</t>
  </si>
  <si>
    <t>មន្ទីរ សហវ. ខេត្តព្រះសីហនុ</t>
  </si>
  <si>
    <t>មន្ទីរ សហវ. ខេត្តស្ទឹងត្រែង</t>
  </si>
  <si>
    <t>មន្ទីរ សហវ. ខេត្តស្វាយរៀង</t>
  </si>
  <si>
    <t>មន្ទីរ សហវ. ខេត្តតាកែវ</t>
  </si>
  <si>
    <t>មន្ទីរ សហវ. ខេត្តឧត្តរមានជ័យ</t>
  </si>
  <si>
    <t>មន្ទីរ សហវ. ខេត្តកែប</t>
  </si>
  <si>
    <t>មន្ទីរ សហវ. ខេត្តប៉ៃលិន</t>
  </si>
  <si>
    <t>មន្ទីរ សហវ. ខេត្តត្បូងឃ្មុំ</t>
  </si>
  <si>
    <t>ceiling_exp_group</t>
  </si>
  <si>
    <t>structure_code</t>
  </si>
  <si>
    <t>អនុកម្មវិធីទី១.១ អគ្គនាយកដ្ឋាន​គោលនយោបាយ</t>
  </si>
  <si>
    <t>អនុកម្មវិធីទី១.២ អគ្គលេខាធិការដ្ឋាន​គណៈកម្មាធិការជាតិ​ផលិតភាពសេដ្ឋកិច្ច​កម្ពុជា</t>
  </si>
  <si>
    <t>អនុកម្មវិធីទី១.៣ ឧត្តម​ក្រុមប្រឹក្សាសេដ្ឋកិច្ចជាតិ</t>
  </si>
  <si>
    <t>អនុកម្មវិធីទី១.៤ អគ្គលេខាធិការដ្ឋានក្រុមប្រឹក្សាជាតិគាំពារសង្គម</t>
  </si>
  <si>
    <t>អនុកម្មវិធីទី២.១ អគ្គលេខាធិការដ្ឋាន អសហ.</t>
  </si>
  <si>
    <t>អនុកម្មវិធីទី២.១ អង្គភាពសវនកម្មផ្ទៃក្នុង អសហ.</t>
  </si>
  <si>
    <t>អនុកម្មវិធីទី២.២ និយ័តករធានារ៉ាប់រងកម្ពុជា</t>
  </si>
  <si>
    <t>អនុកម្មវិធីទី២.៣ និយ័តករមូលបត្រកម្ពុជា</t>
  </si>
  <si>
    <t>អនុកម្មវិធីទី២.៤ និយ័តករបរធនបាលកិច្ច</t>
  </si>
  <si>
    <t>អនុកម្មវិធីទី២.៥ និយ័តករគណនេយ្យនិងសវនកម្ម</t>
  </si>
  <si>
    <t>អនុកម្មវិធីទី២.៦ និយ័តករអាជីវកម្មអចលនវត្ថុនិងបញ្ចាំ</t>
  </si>
  <si>
    <t>អនុកម្មវិធីទី៣.២ អគ្គនាយកដ្ឋាន​ពន្ធដារ</t>
  </si>
  <si>
    <t>អនុកម្មវិធីទី៣.៣ អគ្គនាយកដ្ឋាន​ទ្រព្យសម្បត្តិរដ្ឋ​និង​ចំណូលមិនមែនសារពើពន្ធ</t>
  </si>
  <si>
    <t>អនុកម្មវិធីទី៣.៤ អគ្គលេខា.គណៈកម្មការគ្រប់គ្រងល្បែងពាណិជ្ជកម្មកម្ពុជា</t>
  </si>
  <si>
    <t>អនុកម្មវិធីទី៤.១ អគ្គនាយកដ្ឋាន​ថវិកា</t>
  </si>
  <si>
    <t>អនុកម្មវិធីទី៤.២ អគ្គនាយកដ្ឋាន​ហិរញ្ញវត្ថុ​រដ្ឋបាល​ថ្នាក់ក្រោមជាតិ</t>
  </si>
  <si>
    <t>អនុកម្មវិធីទី៤.៣ អគ្គនាយកដ្ឋាន​លទ្ធកម្មសាធារណៈ</t>
  </si>
  <si>
    <t>អនុកម្មវិធីទី៤.៤ អគ្គនាយកដ្ឋាន​រតនាគារជាតិ</t>
  </si>
  <si>
    <t>អនុកម្មវិធីទី៤.៥ អគ្គនាយកដ្ឋានសហប្រតិបត្តិការអន្តរជាតិ​និង​គ្រប់គ្រង​បំណុល</t>
  </si>
  <si>
    <t>អនុកម្មវិធីទី៤.៦ អគ្គនាយកដ្ឋានភាពជាដៃគូរវាងរដ្ឋនិងឯកជន​</t>
  </si>
  <si>
    <t>អនុកម្មវិធីទី៤.៧ អគ្គ.ដោះស្រាយ​ផលប៉ះពាល់ដោយសារ​គម្រោង​អភិវឌ្ឍន៍</t>
  </si>
  <si>
    <t>អនុកម្មវិធីទី៤.៨ អគ្គាធិការដ្ឋាន</t>
  </si>
  <si>
    <t>អនុកម្មវិធីទី៤.៩ អគ្គ.​គណៈ.ដឹកនាំ​ការងារ​កែទម្រង់​.​ហិរញ្ញវត្ថុ​សាធារណៈ</t>
  </si>
  <si>
    <t>អនុកម្មវិធីទី៥.១ វិទ្យាស្ថានសេដ្ឋកិច្ច​និងហិរញ្ញវត្ថុ​</t>
  </si>
  <si>
    <t>អនុកម្មវិធីទី៥.២ លេខាធិការដ្ឋាន​ក្រុមប្រឹក្សានីតិកម្ម</t>
  </si>
  <si>
    <t>អនុកម្មវិធីទី៥.៣ អគ្គលេខាធិការដ្ឋាន​ក្រសួងសេដ្ឋកិច្ច​និងហិរញ្ញវត្ថុ​</t>
  </si>
  <si>
    <t>អគ្គលេខាធិការដ្ឋាន​ក្រសួងសេដ្ឋកិច្ច​និងហិរញ្ញវត្ថុ​</t>
  </si>
  <si>
    <t>មជ្ឍមណ្ឌលបណ្ដុះធុរកិច្ចថ្មី "តេជោ"​</t>
  </si>
  <si>
    <t>អនុកម្មវិធីទី៥.៤ អគ្គនាយកដ្ឋានសវនកម្ម​ផ្ទៃក្នុង</t>
  </si>
  <si>
    <t>អនុកម្មវិធីទី៣.១ អគ្គនាយកដ្ឋាន​គយនិងរដ្ឋាករកម្ពុជា</t>
  </si>
  <si>
    <t>parent_id</t>
  </si>
  <si>
    <t>ceiling_entity_id</t>
  </si>
  <si>
    <t>មន្ទីរសេដ្ឋកិច្ច​និងហិរញ្ញវត្ថុ​ រាជធានី ខេត្ត</t>
  </si>
  <si>
    <t>ceiling_exp_type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</si>
</sst>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_ ;\-#,##0.0\ "/>
    <numFmt numFmtId="165" formatCode="0.0%"/>
    <numFmt numFmtId="166" formatCode="0.0"/>
    <numFmt numFmtId="167" formatCode="[$-12000425]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Khmer MEF2"/>
    </font>
    <font>
      <sz val="11"/>
      <color theme="1"/>
      <name val="Khmer MEF1"/>
    </font>
    <font>
      <sz val="11"/>
      <color theme="1"/>
      <name val="Arial Narrow"/>
      <family val="2"/>
    </font>
    <font>
      <b/>
      <sz val="11"/>
      <color theme="1"/>
      <name val="Khmer MEF1"/>
    </font>
    <font>
      <b/>
      <sz val="11"/>
      <color theme="1"/>
      <name val="Arial Narrow"/>
      <family val="2"/>
    </font>
    <font>
      <b/>
      <sz val="11"/>
      <color theme="5" tint="-0.249977111117893"/>
      <name val="Arial Narrow"/>
      <family val="2"/>
    </font>
    <font>
      <b/>
      <sz val="11"/>
      <color rgb="FF0000FF"/>
      <name val="Arial Narrow"/>
      <family val="2"/>
    </font>
    <font>
      <sz val="12"/>
      <color rgb="FF009900"/>
      <name val="Khmer MEF2"/>
    </font>
    <font>
      <sz val="11"/>
      <color rgb="FF008000"/>
      <name val="Khmer MEF2"/>
    </font>
    <font>
      <b/>
      <sz val="11"/>
      <color rgb="FF008000"/>
      <name val="Arial Narrow"/>
      <family val="2"/>
    </font>
    <font>
      <sz val="10"/>
      <color theme="1"/>
      <name val="Arial Narrow"/>
      <family val="2"/>
    </font>
    <font>
      <sz val="11"/>
      <color theme="5" tint="-0.249977111117893"/>
      <name val="Khmer MEF2"/>
    </font>
    <font>
      <sz val="11"/>
      <color rgb="FF0000FF"/>
      <name val="Khmer MEF2"/>
    </font>
    <font>
      <sz val="11"/>
      <name val="Khmer MEF2"/>
    </font>
    <font>
      <b/>
      <sz val="11"/>
      <name val="Arial Narrow"/>
      <family val="2"/>
    </font>
    <font>
      <b/>
      <sz val="11"/>
      <name val="Khmer MEF1"/>
    </font>
    <font>
      <sz val="8"/>
      <color theme="1"/>
      <name val="Khmer MEF1"/>
    </font>
    <font>
      <sz val="9"/>
      <color theme="1"/>
      <name val="Khmer MEF1"/>
    </font>
    <font>
      <sz val="10"/>
      <color theme="1"/>
      <name val="Khmer MEF1"/>
    </font>
    <font>
      <b/>
      <sz val="10"/>
      <color theme="1"/>
      <name val="Khmer MEF1"/>
    </font>
    <font>
      <b/>
      <sz val="10"/>
      <color rgb="FF008000"/>
      <name val="Khmer MEF1"/>
    </font>
    <font>
      <b/>
      <sz val="10"/>
      <color theme="5" tint="-0.249977111117893"/>
      <name val="Khmer MEF1"/>
    </font>
    <font>
      <b/>
      <sz val="10"/>
      <color rgb="FF0000FF"/>
      <name val="Khmer MEF1"/>
    </font>
    <font>
      <b/>
      <sz val="10"/>
      <name val="Khmer MEF1"/>
    </font>
    <font>
      <i/>
      <u/>
      <sz val="10"/>
      <color theme="1"/>
      <name val="Khmer MEF1"/>
    </font>
    <font>
      <u/>
      <sz val="11"/>
      <color theme="1"/>
      <name val="Khmer MEF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D9E1F2"/>
        <bgColor indexed="64"/>
      </patternFill>
    </fill>
  </fills>
  <borders count="35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Continuous"/>
    </xf>
    <xf numFmtId="0" fontId="9" fillId="0" borderId="0" xfId="0" applyFont="1" applyAlignment="1">
      <alignment horizontal="centerContinuous"/>
    </xf>
    <xf numFmtId="164" fontId="7" fillId="3" borderId="0" xfId="1" applyNumberFormat="1" applyFont="1" applyFill="1" applyBorder="1"/>
    <xf numFmtId="164" fontId="4" fillId="0" borderId="0" xfId="1" applyNumberFormat="1" applyFont="1" applyBorder="1"/>
    <xf numFmtId="164" fontId="8" fillId="4" borderId="0" xfId="1" applyNumberFormat="1" applyFont="1" applyFill="1" applyBorder="1"/>
    <xf numFmtId="164" fontId="6" fillId="0" borderId="0" xfId="1" applyNumberFormat="1" applyFont="1" applyBorder="1"/>
    <xf numFmtId="164" fontId="11" fillId="2" borderId="0" xfId="1" applyNumberFormat="1" applyFont="1" applyFill="1" applyBorder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16" fillId="0" borderId="0" xfId="1" applyNumberFormat="1" applyFont="1" applyFill="1" applyBorder="1"/>
    <xf numFmtId="164" fontId="16" fillId="0" borderId="4" xfId="1" applyNumberFormat="1" applyFont="1" applyFill="1" applyBorder="1" applyAlignment="1">
      <alignment horizontal="centerContinuous"/>
    </xf>
    <xf numFmtId="165" fontId="16" fillId="0" borderId="4" xfId="2" applyNumberFormat="1" applyFont="1" applyFill="1" applyBorder="1" applyAlignment="1">
      <alignment horizontal="centerContinuous"/>
    </xf>
    <xf numFmtId="164" fontId="16" fillId="0" borderId="12" xfId="1" applyNumberFormat="1" applyFont="1" applyFill="1" applyBorder="1" applyAlignment="1">
      <alignment horizontal="centerContinuous"/>
    </xf>
    <xf numFmtId="165" fontId="16" fillId="0" borderId="12" xfId="2" applyNumberFormat="1" applyFont="1" applyFill="1" applyBorder="1" applyAlignment="1">
      <alignment horizontal="centerContinuous"/>
    </xf>
    <xf numFmtId="0" fontId="16" fillId="0" borderId="0" xfId="0" applyFont="1"/>
    <xf numFmtId="0" fontId="11" fillId="0" borderId="0" xfId="0" applyFont="1"/>
    <xf numFmtId="0" fontId="6" fillId="0" borderId="0" xfId="0" applyFont="1"/>
    <xf numFmtId="9" fontId="4" fillId="0" borderId="0" xfId="0" applyNumberFormat="1" applyFont="1"/>
    <xf numFmtId="0" fontId="17" fillId="0" borderId="15" xfId="0" applyFont="1" applyBorder="1" applyAlignment="1">
      <alignment horizontal="centerContinuous"/>
    </xf>
    <xf numFmtId="0" fontId="0" fillId="0" borderId="0" xfId="0" applyAlignment="1">
      <alignment horizontal="center"/>
    </xf>
    <xf numFmtId="0" fontId="15" fillId="0" borderId="14" xfId="0" applyFont="1" applyBorder="1" applyAlignment="1">
      <alignment horizontal="centerContinuous" vertical="top"/>
    </xf>
    <xf numFmtId="0" fontId="15" fillId="0" borderId="20" xfId="0" applyFont="1" applyBorder="1" applyAlignment="1">
      <alignment horizontal="centerContinuous" vertical="top"/>
    </xf>
    <xf numFmtId="0" fontId="3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10" xfId="0" applyFont="1" applyBorder="1" applyAlignment="1">
      <alignment horizontal="center" vertical="center" wrapText="1"/>
    </xf>
    <xf numFmtId="0" fontId="22" fillId="2" borderId="17" xfId="0" applyFont="1" applyFill="1" applyBorder="1" applyAlignment="1">
      <alignment vertical="center"/>
    </xf>
    <xf numFmtId="0" fontId="23" fillId="3" borderId="17" xfId="0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4" fillId="4" borderId="17" xfId="0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166" fontId="12" fillId="0" borderId="17" xfId="0" applyNumberFormat="1" applyFont="1" applyBorder="1" applyAlignment="1">
      <alignment horizontal="right" vertical="center"/>
    </xf>
    <xf numFmtId="0" fontId="21" fillId="5" borderId="17" xfId="0" applyFont="1" applyFill="1" applyBorder="1" applyAlignment="1">
      <alignment vertical="center"/>
    </xf>
    <xf numFmtId="166" fontId="12" fillId="0" borderId="17" xfId="0" applyNumberFormat="1" applyFont="1" applyBorder="1" applyAlignment="1">
      <alignment vertical="center"/>
    </xf>
    <xf numFmtId="0" fontId="21" fillId="6" borderId="17" xfId="0" applyFont="1" applyFill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5" fillId="0" borderId="21" xfId="0" applyFont="1" applyBorder="1" applyAlignment="1">
      <alignment horizontal="centerContinuous" vertical="center"/>
    </xf>
    <xf numFmtId="0" fontId="10" fillId="2" borderId="16" xfId="0" applyFont="1" applyFill="1" applyBorder="1" applyAlignment="1">
      <alignment horizontal="center" vertical="center"/>
    </xf>
    <xf numFmtId="164" fontId="11" fillId="2" borderId="5" xfId="1" applyNumberFormat="1" applyFont="1" applyFill="1" applyBorder="1" applyAlignment="1">
      <alignment vertical="center"/>
    </xf>
    <xf numFmtId="165" fontId="11" fillId="2" borderId="5" xfId="2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164" fontId="11" fillId="2" borderId="0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3" fillId="3" borderId="16" xfId="0" applyFont="1" applyFill="1" applyBorder="1" applyAlignment="1">
      <alignment vertical="center"/>
    </xf>
    <xf numFmtId="164" fontId="7" fillId="3" borderId="5" xfId="1" applyNumberFormat="1" applyFont="1" applyFill="1" applyBorder="1" applyAlignment="1">
      <alignment vertical="center"/>
    </xf>
    <xf numFmtId="165" fontId="7" fillId="3" borderId="5" xfId="2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164" fontId="7" fillId="3" borderId="0" xfId="1" applyNumberFormat="1" applyFont="1" applyFill="1" applyBorder="1" applyAlignment="1">
      <alignment vertical="center"/>
    </xf>
    <xf numFmtId="164" fontId="4" fillId="0" borderId="5" xfId="1" applyNumberFormat="1" applyFont="1" applyBorder="1" applyAlignment="1">
      <alignment vertical="center"/>
    </xf>
    <xf numFmtId="165" fontId="4" fillId="0" borderId="5" xfId="2" applyNumberFormat="1" applyFont="1" applyBorder="1" applyAlignment="1">
      <alignment horizontal="right" vertical="center"/>
    </xf>
    <xf numFmtId="164" fontId="4" fillId="0" borderId="0" xfId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14" fillId="4" borderId="16" xfId="0" applyFont="1" applyFill="1" applyBorder="1" applyAlignment="1">
      <alignment vertical="center"/>
    </xf>
    <xf numFmtId="164" fontId="8" fillId="4" borderId="5" xfId="1" applyNumberFormat="1" applyFont="1" applyFill="1" applyBorder="1" applyAlignment="1">
      <alignment vertical="center"/>
    </xf>
    <xf numFmtId="165" fontId="8" fillId="4" borderId="5" xfId="2" applyNumberFormat="1" applyFont="1" applyFill="1" applyBorder="1" applyAlignment="1">
      <alignment horizontal="right" vertical="center"/>
    </xf>
    <xf numFmtId="164" fontId="8" fillId="4" borderId="0" xfId="1" applyNumberFormat="1" applyFont="1" applyFill="1" applyBorder="1" applyAlignment="1">
      <alignment vertical="center"/>
    </xf>
    <xf numFmtId="164" fontId="4" fillId="0" borderId="13" xfId="1" applyNumberFormat="1" applyFont="1" applyBorder="1" applyAlignment="1">
      <alignment vertical="center"/>
    </xf>
    <xf numFmtId="165" fontId="4" fillId="0" borderId="13" xfId="2" applyNumberFormat="1" applyFont="1" applyBorder="1" applyAlignment="1">
      <alignment horizontal="right" vertical="center"/>
    </xf>
    <xf numFmtId="0" fontId="3" fillId="0" borderId="16" xfId="0" quotePrefix="1" applyFont="1" applyBorder="1" applyAlignment="1">
      <alignment horizontal="left" vertical="center" indent="2"/>
    </xf>
    <xf numFmtId="0" fontId="3" fillId="0" borderId="18" xfId="0" quotePrefix="1" applyFont="1" applyBorder="1" applyAlignment="1">
      <alignment horizontal="left" vertical="center" indent="2"/>
    </xf>
    <xf numFmtId="164" fontId="6" fillId="5" borderId="5" xfId="1" applyNumberFormat="1" applyFont="1" applyFill="1" applyBorder="1" applyAlignment="1">
      <alignment vertical="center"/>
    </xf>
    <xf numFmtId="165" fontId="6" fillId="5" borderId="5" xfId="2" applyNumberFormat="1" applyFont="1" applyFill="1" applyBorder="1" applyAlignment="1">
      <alignment horizontal="right" vertical="center"/>
    </xf>
    <xf numFmtId="164" fontId="4" fillId="0" borderId="5" xfId="1" applyNumberFormat="1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164" fontId="6" fillId="6" borderId="5" xfId="1" applyNumberFormat="1" applyFont="1" applyFill="1" applyBorder="1" applyAlignment="1">
      <alignment vertical="center"/>
    </xf>
    <xf numFmtId="165" fontId="6" fillId="6" borderId="5" xfId="2" applyNumberFormat="1" applyFont="1" applyFill="1" applyBorder="1" applyAlignment="1">
      <alignment horizontal="right" vertical="center"/>
    </xf>
    <xf numFmtId="164" fontId="4" fillId="0" borderId="23" xfId="1" applyNumberFormat="1" applyFont="1" applyBorder="1" applyAlignment="1">
      <alignment vertical="center"/>
    </xf>
    <xf numFmtId="165" fontId="4" fillId="0" borderId="23" xfId="2" applyNumberFormat="1" applyFont="1" applyBorder="1" applyAlignment="1">
      <alignment horizontal="right" vertical="center"/>
    </xf>
    <xf numFmtId="0" fontId="3" fillId="0" borderId="16" xfId="0" quotePrefix="1" applyFont="1" applyBorder="1" applyAlignment="1">
      <alignment horizontal="left" vertical="center" indent="4"/>
    </xf>
    <xf numFmtId="0" fontId="5" fillId="5" borderId="16" xfId="0" applyFont="1" applyFill="1" applyBorder="1" applyAlignment="1">
      <alignment horizontal="left" vertical="center" indent="2"/>
    </xf>
    <xf numFmtId="0" fontId="3" fillId="0" borderId="22" xfId="0" quotePrefix="1" applyFont="1" applyBorder="1" applyAlignment="1">
      <alignment horizontal="left" vertical="center" indent="2"/>
    </xf>
    <xf numFmtId="0" fontId="26" fillId="0" borderId="0" xfId="0" applyFont="1" applyAlignment="1">
      <alignment horizontal="right"/>
    </xf>
    <xf numFmtId="167" fontId="19" fillId="0" borderId="7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0" fontId="5" fillId="7" borderId="16" xfId="0" applyFont="1" applyFill="1" applyBorder="1" applyAlignment="1">
      <alignment vertical="center"/>
    </xf>
    <xf numFmtId="164" fontId="6" fillId="7" borderId="5" xfId="1" applyNumberFormat="1" applyFont="1" applyFill="1" applyBorder="1" applyAlignment="1">
      <alignment vertical="center"/>
    </xf>
    <xf numFmtId="165" fontId="6" fillId="7" borderId="5" xfId="2" applyNumberFormat="1" applyFont="1" applyFill="1" applyBorder="1" applyAlignment="1">
      <alignment horizontal="right" vertical="center"/>
    </xf>
    <xf numFmtId="0" fontId="21" fillId="7" borderId="17" xfId="0" applyFont="1" applyFill="1" applyBorder="1" applyAlignment="1">
      <alignment vertical="center"/>
    </xf>
    <xf numFmtId="0" fontId="19" fillId="7" borderId="0" xfId="0" applyFont="1" applyFill="1" applyAlignment="1">
      <alignment vertical="center"/>
    </xf>
    <xf numFmtId="165" fontId="4" fillId="7" borderId="0" xfId="0" applyNumberFormat="1" applyFont="1" applyFill="1" applyAlignment="1">
      <alignment vertical="center"/>
    </xf>
    <xf numFmtId="0" fontId="19" fillId="2" borderId="0" xfId="0" applyFont="1" applyFill="1" applyAlignment="1">
      <alignment vertical="center"/>
    </xf>
    <xf numFmtId="165" fontId="4" fillId="2" borderId="0" xfId="0" applyNumberFormat="1" applyFont="1" applyFill="1" applyAlignment="1">
      <alignment vertical="center"/>
    </xf>
    <xf numFmtId="164" fontId="8" fillId="8" borderId="5" xfId="1" applyNumberFormat="1" applyFont="1" applyFill="1" applyBorder="1" applyAlignment="1">
      <alignment vertical="center"/>
    </xf>
    <xf numFmtId="0" fontId="19" fillId="8" borderId="0" xfId="0" applyFont="1" applyFill="1" applyAlignment="1">
      <alignment vertical="center"/>
    </xf>
    <xf numFmtId="165" fontId="4" fillId="8" borderId="0" xfId="0" applyNumberFormat="1" applyFont="1" applyFill="1" applyAlignment="1">
      <alignment vertical="center"/>
    </xf>
    <xf numFmtId="0" fontId="19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0" borderId="0" xfId="2" applyNumberFormat="1" applyFont="1"/>
    <xf numFmtId="164" fontId="4" fillId="0" borderId="0" xfId="1" applyNumberFormat="1" applyFont="1"/>
    <xf numFmtId="165" fontId="4" fillId="0" borderId="0" xfId="2" applyNumberFormat="1" applyFont="1" applyAlignment="1">
      <alignment vertical="center"/>
    </xf>
    <xf numFmtId="164" fontId="4" fillId="0" borderId="13" xfId="1" applyNumberFormat="1" applyFont="1" applyFill="1" applyBorder="1" applyAlignment="1">
      <alignment vertical="center"/>
    </xf>
    <xf numFmtId="0" fontId="27" fillId="0" borderId="0" xfId="0" applyFont="1"/>
    <xf numFmtId="0" fontId="17" fillId="0" borderId="15" xfId="0" applyFont="1" applyBorder="1" applyAlignment="1">
      <alignment horizontal="left"/>
    </xf>
    <xf numFmtId="0" fontId="25" fillId="0" borderId="21" xfId="0" applyFont="1" applyBorder="1" applyAlignment="1">
      <alignment horizontal="left" vertical="center"/>
    </xf>
    <xf numFmtId="0" fontId="16" fillId="0" borderId="0" xfId="0" applyFont="1" applyAlignment="1">
      <alignment horizontal="left"/>
    </xf>
    <xf numFmtId="164" fontId="16" fillId="0" borderId="0" xfId="1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164" fontId="4" fillId="0" borderId="13" xfId="1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4" fillId="4" borderId="28" xfId="0" applyFont="1" applyFill="1" applyBorder="1" applyAlignment="1">
      <alignment vertical="center"/>
    </xf>
    <xf numFmtId="164" fontId="8" fillId="4" borderId="29" xfId="1" applyNumberFormat="1" applyFont="1" applyFill="1" applyBorder="1" applyAlignment="1">
      <alignment vertical="center"/>
    </xf>
    <xf numFmtId="165" fontId="8" fillId="4" borderId="29" xfId="2" applyNumberFormat="1" applyFont="1" applyFill="1" applyBorder="1" applyAlignment="1">
      <alignment horizontal="right" vertical="center"/>
    </xf>
    <xf numFmtId="0" fontId="24" fillId="4" borderId="30" xfId="0" applyFont="1" applyFill="1" applyBorder="1" applyAlignment="1">
      <alignment vertical="center"/>
    </xf>
    <xf numFmtId="0" fontId="3" fillId="0" borderId="31" xfId="0" quotePrefix="1" applyFont="1" applyBorder="1" applyAlignment="1">
      <alignment horizontal="left" vertical="center" indent="2"/>
    </xf>
    <xf numFmtId="164" fontId="4" fillId="0" borderId="32" xfId="1" applyNumberFormat="1" applyFont="1" applyBorder="1" applyAlignment="1">
      <alignment vertical="center"/>
    </xf>
    <xf numFmtId="165" fontId="4" fillId="0" borderId="32" xfId="2" applyNumberFormat="1" applyFont="1" applyBorder="1" applyAlignment="1">
      <alignment horizontal="right" vertical="center"/>
    </xf>
    <xf numFmtId="0" fontId="20" fillId="0" borderId="33" xfId="0" applyFont="1" applyBorder="1" applyAlignment="1">
      <alignment vertical="center"/>
    </xf>
    <xf numFmtId="0" fontId="13" fillId="3" borderId="34" xfId="0" applyFont="1" applyFill="1" applyBorder="1" applyAlignment="1">
      <alignment vertical="center"/>
    </xf>
    <xf numFmtId="0" fontId="3" fillId="0" borderId="0" xfId="0" quotePrefix="1" applyFont="1"/>
    <xf numFmtId="0" fontId="3" fillId="0" borderId="0" xfId="0" quotePrefix="1" applyFont="1" applyAlignment="1">
      <alignment horizontal="left" wrapText="1" indent="2"/>
    </xf>
    <xf numFmtId="0" fontId="3" fillId="0" borderId="0" xfId="0" quotePrefix="1" applyFont="1" applyAlignment="1">
      <alignment horizontal="left" vertical="top" wrapText="1" indent="2"/>
    </xf>
    <xf numFmtId="0" fontId="18" fillId="0" borderId="3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9E1F2"/>
      <color rgb="FFFFE1E1"/>
      <color rgb="FF0000FF"/>
      <color rgb="FF0080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62343</xdr:colOff>
      <xdr:row>0</xdr:row>
      <xdr:rowOff>69271</xdr:rowOff>
    </xdr:from>
    <xdr:ext cx="1829155" cy="80964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2C91EB-96D7-4A7F-9717-A903778582D3}"/>
            </a:ext>
          </a:extLst>
        </xdr:cNvPr>
        <xdr:cNvSpPr txBox="1"/>
      </xdr:nvSpPr>
      <xdr:spPr>
        <a:xfrm>
          <a:off x="62343" y="69271"/>
          <a:ext cx="1829155" cy="809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ក្រសួងសេដ្ឋកិច្ច​និងហិរញ្ញវត្ថុ</a:t>
          </a:r>
        </a:p>
        <a:p>
          <a:pPr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អគ្គលេខាធិការដ្ឋាន​</a:t>
          </a:r>
        </a:p>
        <a:p>
          <a:pPr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នាយកដ្ឋានផែនការថវិកា</a:t>
          </a:r>
        </a:p>
      </xdr:txBody>
    </xdr:sp>
    <xdr:clientData/>
  </xdr:oneCellAnchor>
  <xdr:twoCellAnchor>
    <xdr:from>
      <xdr:col>5</xdr:col>
      <xdr:colOff>177801</xdr:colOff>
      <xdr:row>0</xdr:row>
      <xdr:rowOff>0</xdr:rowOff>
    </xdr:from>
    <xdr:to>
      <xdr:col>10</xdr:col>
      <xdr:colOff>603251</xdr:colOff>
      <xdr:row>6</xdr:row>
      <xdr:rowOff>130384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D2BF4EB-BE35-41FF-B279-931FE1EA6080}"/>
            </a:ext>
          </a:extLst>
        </xdr:cNvPr>
        <xdr:cNvGrpSpPr/>
      </xdr:nvGrpSpPr>
      <xdr:grpSpPr>
        <a:xfrm>
          <a:off x="8458948" y="0"/>
          <a:ext cx="3615391" cy="952149"/>
          <a:chOff x="5299364" y="145472"/>
          <a:chExt cx="1722849" cy="1211039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991FD6C-FFC5-C844-376F-94ACA6D7C740}"/>
              </a:ext>
            </a:extLst>
          </xdr:cNvPr>
          <xdr:cNvSpPr txBox="1"/>
        </xdr:nvSpPr>
        <xdr:spPr>
          <a:xfrm>
            <a:off x="5299364" y="450272"/>
            <a:ext cx="1720792" cy="34118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>
              <a:lnSpc>
                <a:spcPct val="80000"/>
              </a:lnSpc>
            </a:pPr>
            <a:r>
              <a:rPr lang="km-KH" sz="1100">
                <a:latin typeface="Khmer MEF1" panose="02000506000000020004" pitchFamily="2" charset="0"/>
                <a:cs typeface="Khmer MEF1" panose="02000506000000020004" pitchFamily="2" charset="0"/>
              </a:rPr>
              <a:t>ជាតិ សាសនា ព្រះមហាក្សត្រ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EF06E91-4137-B72B-6EE5-470FF9C9F4FB}"/>
              </a:ext>
            </a:extLst>
          </xdr:cNvPr>
          <xdr:cNvSpPr txBox="1"/>
        </xdr:nvSpPr>
        <xdr:spPr>
          <a:xfrm>
            <a:off x="5313219" y="145472"/>
            <a:ext cx="1708994" cy="38638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>
              <a:lnSpc>
                <a:spcPct val="80000"/>
              </a:lnSpc>
            </a:pPr>
            <a:r>
              <a:rPr lang="km-KH" sz="1300">
                <a:latin typeface="Khmer MEF2" panose="02000506000000020004" pitchFamily="2" charset="0"/>
                <a:cs typeface="Khmer MEF2" panose="02000506000000020004" pitchFamily="2" charset="0"/>
              </a:rPr>
              <a:t>ព្រះរាជាណាចក្រកម្ពុជា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F677D82F-69FE-67D3-31BB-AED246794D3A}"/>
              </a:ext>
            </a:extLst>
          </xdr:cNvPr>
          <xdr:cNvSpPr txBox="1"/>
        </xdr:nvSpPr>
        <xdr:spPr>
          <a:xfrm>
            <a:off x="5657631" y="540326"/>
            <a:ext cx="933589" cy="8161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>
              <a:lnSpc>
                <a:spcPct val="80000"/>
              </a:lnSpc>
            </a:pPr>
            <a:r>
              <a:rPr lang="en-AU" sz="3200">
                <a:latin typeface="Tacteing" pitchFamily="2" charset="0"/>
                <a:cs typeface="Khmer MEF1" panose="02000506000000020004" pitchFamily="2" charset="0"/>
              </a:rPr>
              <a:t>6</a:t>
            </a:r>
            <a:endParaRPr lang="km-KH" sz="1100">
              <a:latin typeface="Tacteing" pitchFamily="2" charset="0"/>
              <a:cs typeface="Khmer MEF1" panose="02000506000000020004" pitchFamily="2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C96A-7129-4907-82F6-19B807B63898}">
  <sheetPr filterMode="1">
    <pageSetUpPr fitToPage="1"/>
  </sheetPr>
  <dimension ref="A1:T171"/>
  <sheetViews>
    <sheetView tabSelected="1" topLeftCell="J1" zoomScale="55" zoomScaleNormal="55" workbookViewId="0">
      <selection activeCell="S9" sqref="S9"/>
    </sheetView>
  </sheetViews>
  <sheetFormatPr defaultRowHeight="14.75" x14ac:dyDescent="0.75"/>
  <cols>
    <col min="2" max="2" width="20.86328125" customWidth="1"/>
    <col min="3" max="3" width="17.953125" customWidth="1"/>
    <col min="4" max="4" width="18.54296875" customWidth="1"/>
    <col min="5" max="5" width="22.08984375" customWidth="1"/>
    <col min="6" max="6" width="4.86328125" hidden="1" customWidth="1"/>
    <col min="7" max="7" width="55.26953125" customWidth="1"/>
    <col min="8" max="8" width="27.90625" customWidth="1"/>
    <col min="9" max="10" width="78.54296875" customWidth="1"/>
    <col min="11" max="11" width="14.40625" customWidth="1"/>
    <col min="12" max="12" width="14.5" customWidth="1"/>
    <col min="13" max="13" width="17.453125" customWidth="1"/>
    <col min="14" max="14" width="24.31640625" customWidth="1"/>
    <col min="15" max="15" width="30.81640625" customWidth="1"/>
    <col min="16" max="16" width="26.40625" customWidth="1"/>
    <col min="17" max="17" width="20.58984375" customWidth="1"/>
    <col min="18" max="18" width="20.86328125" customWidth="1"/>
    <col min="19" max="20" width="24.31640625" customWidth="1"/>
  </cols>
  <sheetData>
    <row r="1" spans="1:20" x14ac:dyDescent="0.75">
      <c r="A1" t="s">
        <v>139</v>
      </c>
      <c r="B1" t="s">
        <v>214</v>
      </c>
      <c r="C1" t="s">
        <v>143</v>
      </c>
      <c r="D1" t="s">
        <v>144</v>
      </c>
      <c r="E1" t="s">
        <v>163</v>
      </c>
      <c r="F1" t="s">
        <v>140</v>
      </c>
      <c r="G1" t="s">
        <v>155</v>
      </c>
      <c r="H1" t="s">
        <v>215</v>
      </c>
      <c r="I1" t="s">
        <v>145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142</v>
      </c>
    </row>
    <row r="2" spans="1:20" ht="27.5" hidden="1" x14ac:dyDescent="0.75">
      <c r="G2" s="52" t="s">
        <v>3</v>
      </c>
      <c r="H2" s="119"/>
      <c r="I2" s="53"/>
      <c r="J2" s="53"/>
      <c r="K2" s="53">
        <f>K3+K4</f>
        <v>3287.8</v>
      </c>
      <c r="L2" s="53">
        <f>L3+L4</f>
        <v>0</v>
      </c>
      <c r="M2" s="53">
        <f>M3+M4</f>
        <v>3287.8</v>
      </c>
      <c r="N2" s="53">
        <f t="shared" ref="N2:P2" si="0">N3+N4</f>
        <v>3687.8</v>
      </c>
      <c r="O2" s="53">
        <f t="shared" si="0"/>
        <v>3824.6000000000004</v>
      </c>
      <c r="P2" s="53">
        <f t="shared" si="0"/>
        <v>3967.8</v>
      </c>
      <c r="Q2" s="54">
        <f t="shared" ref="Q2" si="1">IFERROR(N2/K2-1,"-")</f>
        <v>0.12166190157552159</v>
      </c>
      <c r="R2" s="54">
        <f t="shared" ref="R2:S2" si="2">IFERROR(O2/N2-1,"-")</f>
        <v>3.7095287163078305E-2</v>
      </c>
      <c r="S2" s="54">
        <f t="shared" si="2"/>
        <v>3.7441823981592792E-2</v>
      </c>
    </row>
    <row r="3" spans="1:20" s="3" customFormat="1" ht="25.15" customHeight="1" x14ac:dyDescent="2.5">
      <c r="A3" s="3">
        <v>1</v>
      </c>
      <c r="B3" s="3">
        <v>1</v>
      </c>
      <c r="C3" s="3">
        <v>1</v>
      </c>
      <c r="D3" s="3">
        <v>1</v>
      </c>
      <c r="G3" s="84" t="s">
        <v>167</v>
      </c>
      <c r="H3" s="84" t="str">
        <f>LEFT(I3, FIND(" ", I3)-1)</f>
        <v>អនុកម្មវិធីទី១.១</v>
      </c>
      <c r="I3" s="84" t="s">
        <v>216</v>
      </c>
      <c r="J3" s="84" t="s">
        <v>46</v>
      </c>
      <c r="K3" s="85">
        <v>2069.4</v>
      </c>
      <c r="L3" s="85">
        <v>0</v>
      </c>
      <c r="M3" s="85">
        <v>2069.4</v>
      </c>
      <c r="N3" s="85">
        <v>2469.4</v>
      </c>
      <c r="O3" s="85">
        <v>2545.3000000000002</v>
      </c>
      <c r="P3" s="85">
        <v>2624.5</v>
      </c>
      <c r="Q3" s="86">
        <v>0.19329274185754319</v>
      </c>
      <c r="R3" s="86">
        <v>3.0736211225398824E-2</v>
      </c>
      <c r="S3" s="86">
        <v>3.1116174910619465E-2</v>
      </c>
      <c r="T3" s="87"/>
    </row>
    <row r="4" spans="1:20" s="2" customFormat="1" ht="25.15" hidden="1" customHeight="1" x14ac:dyDescent="2.5">
      <c r="A4" s="3">
        <v>1</v>
      </c>
      <c r="B4" s="3">
        <v>1</v>
      </c>
      <c r="F4" s="2">
        <v>1</v>
      </c>
      <c r="G4" s="68" t="s">
        <v>4</v>
      </c>
      <c r="H4" s="68"/>
      <c r="I4" s="68" t="s">
        <v>4</v>
      </c>
      <c r="J4" s="68" t="s">
        <v>4</v>
      </c>
      <c r="K4" s="57">
        <v>1218.4000000000001</v>
      </c>
      <c r="L4" s="57"/>
      <c r="M4" s="57">
        <v>1218.4000000000001</v>
      </c>
      <c r="N4" s="57">
        <v>1218.4000000000001</v>
      </c>
      <c r="O4" s="57">
        <v>1279.3</v>
      </c>
      <c r="P4" s="57">
        <v>1343.3</v>
      </c>
      <c r="Q4" s="58">
        <v>0</v>
      </c>
      <c r="R4" s="58">
        <v>4.9983585029546918E-2</v>
      </c>
      <c r="S4" s="58">
        <v>5.0027358711795422E-2</v>
      </c>
      <c r="T4" s="37"/>
    </row>
    <row r="5" spans="1:20" s="2" customFormat="1" ht="25.15" hidden="1" customHeight="1" x14ac:dyDescent="2.5">
      <c r="A5" s="3">
        <v>1</v>
      </c>
      <c r="B5" s="3">
        <v>1</v>
      </c>
      <c r="F5" s="2">
        <v>2</v>
      </c>
      <c r="G5" s="68" t="s">
        <v>5</v>
      </c>
      <c r="H5" s="68"/>
      <c r="I5" s="68" t="s">
        <v>5</v>
      </c>
      <c r="J5" s="68" t="s">
        <v>5</v>
      </c>
      <c r="K5" s="57">
        <v>851</v>
      </c>
      <c r="L5" s="57"/>
      <c r="M5" s="57">
        <v>851</v>
      </c>
      <c r="N5" s="57">
        <v>1251</v>
      </c>
      <c r="O5" s="57">
        <v>1266</v>
      </c>
      <c r="P5" s="57">
        <v>1281.2</v>
      </c>
      <c r="Q5" s="58">
        <v>0.47003525264394819</v>
      </c>
      <c r="R5" s="58">
        <v>1.1990407673860837E-2</v>
      </c>
      <c r="S5" s="58">
        <v>1.2006319115323905E-2</v>
      </c>
      <c r="T5" s="37" t="s">
        <v>132</v>
      </c>
    </row>
    <row r="6" spans="1:20" s="3" customFormat="1" ht="25.15" customHeight="1" x14ac:dyDescent="2.5">
      <c r="A6" s="3">
        <v>2</v>
      </c>
      <c r="B6" s="3">
        <v>1</v>
      </c>
      <c r="C6" s="3">
        <v>2</v>
      </c>
      <c r="D6" s="3">
        <v>19</v>
      </c>
      <c r="G6" s="84" t="s">
        <v>168</v>
      </c>
      <c r="H6" s="84" t="str">
        <f>LEFT(I6, FIND(" ", I6)-1)</f>
        <v>អនុកម្មវិធីទី១.២</v>
      </c>
      <c r="I6" s="84" t="s">
        <v>217</v>
      </c>
      <c r="J6" s="84" t="s">
        <v>47</v>
      </c>
      <c r="K6" s="85">
        <v>647</v>
      </c>
      <c r="L6" s="85">
        <v>0</v>
      </c>
      <c r="M6" s="85">
        <v>647</v>
      </c>
      <c r="N6" s="85">
        <v>647</v>
      </c>
      <c r="O6" s="85">
        <v>654.79999999999995</v>
      </c>
      <c r="P6" s="85">
        <v>662.7</v>
      </c>
      <c r="Q6" s="86">
        <v>0</v>
      </c>
      <c r="R6" s="86">
        <v>1.2055641421947483E-2</v>
      </c>
      <c r="S6" s="86">
        <v>1.2064752596212758E-2</v>
      </c>
      <c r="T6" s="87"/>
    </row>
    <row r="7" spans="1:20" s="2" customFormat="1" ht="25.15" hidden="1" customHeight="1" x14ac:dyDescent="2.5">
      <c r="A7" s="3">
        <v>2</v>
      </c>
      <c r="B7" s="3">
        <v>1</v>
      </c>
      <c r="F7" s="2">
        <v>1</v>
      </c>
      <c r="G7" s="68" t="s">
        <v>4</v>
      </c>
      <c r="H7" s="68"/>
      <c r="I7" s="68" t="s">
        <v>4</v>
      </c>
      <c r="J7" s="68" t="s">
        <v>4</v>
      </c>
      <c r="K7" s="57">
        <v>0</v>
      </c>
      <c r="L7" s="57"/>
      <c r="M7" s="57">
        <v>0</v>
      </c>
      <c r="N7" s="57">
        <v>0</v>
      </c>
      <c r="O7" s="57">
        <v>0</v>
      </c>
      <c r="P7" s="57">
        <v>0</v>
      </c>
      <c r="Q7" s="58" t="s">
        <v>141</v>
      </c>
      <c r="R7" s="58" t="s">
        <v>141</v>
      </c>
      <c r="S7" s="58" t="s">
        <v>141</v>
      </c>
      <c r="T7" s="37"/>
    </row>
    <row r="8" spans="1:20" s="2" customFormat="1" ht="25.15" hidden="1" customHeight="1" x14ac:dyDescent="2.5">
      <c r="A8" s="3">
        <v>2</v>
      </c>
      <c r="B8" s="3">
        <v>1</v>
      </c>
      <c r="F8" s="2">
        <v>2</v>
      </c>
      <c r="G8" s="68" t="s">
        <v>5</v>
      </c>
      <c r="H8" s="68"/>
      <c r="I8" s="68" t="s">
        <v>5</v>
      </c>
      <c r="J8" s="68" t="s">
        <v>5</v>
      </c>
      <c r="K8" s="57">
        <v>647</v>
      </c>
      <c r="L8" s="57"/>
      <c r="M8" s="57">
        <v>647</v>
      </c>
      <c r="N8" s="57">
        <v>647</v>
      </c>
      <c r="O8" s="57">
        <v>654.79999999999995</v>
      </c>
      <c r="P8" s="57">
        <v>662.7</v>
      </c>
      <c r="Q8" s="58">
        <v>0</v>
      </c>
      <c r="R8" s="58">
        <v>1.2055641421947483E-2</v>
      </c>
      <c r="S8" s="58">
        <v>1.2064752596212758E-2</v>
      </c>
      <c r="T8" s="37"/>
    </row>
    <row r="9" spans="1:20" s="3" customFormat="1" ht="25.15" customHeight="1" x14ac:dyDescent="2.5">
      <c r="A9" s="3">
        <v>3</v>
      </c>
      <c r="B9" s="3">
        <v>1</v>
      </c>
      <c r="C9" s="3">
        <v>3</v>
      </c>
      <c r="D9" s="3">
        <v>18</v>
      </c>
      <c r="G9" s="84" t="s">
        <v>169</v>
      </c>
      <c r="H9" s="84" t="str">
        <f>LEFT(I9, FIND(" ", I9)-1)</f>
        <v>អនុកម្មវិធីទី១.៣</v>
      </c>
      <c r="I9" s="84" t="s">
        <v>218</v>
      </c>
      <c r="J9" s="84" t="s">
        <v>48</v>
      </c>
      <c r="K9" s="85">
        <v>950</v>
      </c>
      <c r="L9" s="85">
        <v>0</v>
      </c>
      <c r="M9" s="85">
        <v>950</v>
      </c>
      <c r="N9" s="85">
        <v>950</v>
      </c>
      <c r="O9" s="85">
        <v>961.4</v>
      </c>
      <c r="P9" s="85">
        <v>972.9</v>
      </c>
      <c r="Q9" s="86">
        <v>0</v>
      </c>
      <c r="R9" s="86">
        <v>1.2000000000000011E-2</v>
      </c>
      <c r="S9" s="86">
        <v>1.1961722488038173E-2</v>
      </c>
      <c r="T9" s="87"/>
    </row>
    <row r="10" spans="1:20" s="2" customFormat="1" ht="25.15" hidden="1" customHeight="1" x14ac:dyDescent="2.5">
      <c r="A10" s="3">
        <v>3</v>
      </c>
      <c r="B10" s="3">
        <v>1</v>
      </c>
      <c r="D10" s="3"/>
      <c r="E10" s="3"/>
      <c r="F10" s="3">
        <v>1</v>
      </c>
      <c r="G10" s="68" t="s">
        <v>4</v>
      </c>
      <c r="H10" s="68"/>
      <c r="I10" s="68" t="s">
        <v>4</v>
      </c>
      <c r="J10" s="68" t="s">
        <v>4</v>
      </c>
      <c r="K10" s="57">
        <v>0</v>
      </c>
      <c r="L10" s="57"/>
      <c r="M10" s="57">
        <v>0</v>
      </c>
      <c r="N10" s="57">
        <v>0</v>
      </c>
      <c r="O10" s="57">
        <v>0</v>
      </c>
      <c r="P10" s="57">
        <v>0</v>
      </c>
      <c r="Q10" s="58" t="s">
        <v>141</v>
      </c>
      <c r="R10" s="58" t="s">
        <v>141</v>
      </c>
      <c r="S10" s="58" t="s">
        <v>141</v>
      </c>
      <c r="T10" s="37"/>
    </row>
    <row r="11" spans="1:20" s="2" customFormat="1" ht="25.15" hidden="1" customHeight="1" x14ac:dyDescent="2.5">
      <c r="A11" s="3">
        <v>3</v>
      </c>
      <c r="B11" s="3">
        <v>1</v>
      </c>
      <c r="D11" s="3"/>
      <c r="E11" s="3"/>
      <c r="F11" s="3">
        <v>2</v>
      </c>
      <c r="G11" s="68" t="s">
        <v>5</v>
      </c>
      <c r="H11" s="68"/>
      <c r="I11" s="68" t="s">
        <v>5</v>
      </c>
      <c r="J11" s="68" t="s">
        <v>5</v>
      </c>
      <c r="K11" s="57">
        <v>950</v>
      </c>
      <c r="L11" s="57"/>
      <c r="M11" s="57">
        <v>950</v>
      </c>
      <c r="N11" s="57">
        <v>950</v>
      </c>
      <c r="O11" s="57">
        <v>961.4</v>
      </c>
      <c r="P11" s="57">
        <v>972.9</v>
      </c>
      <c r="Q11" s="58">
        <v>0</v>
      </c>
      <c r="R11" s="58">
        <v>1.2000000000000011E-2</v>
      </c>
      <c r="S11" s="58">
        <v>1.1961722488038173E-2</v>
      </c>
      <c r="T11" s="37"/>
    </row>
    <row r="12" spans="1:20" s="3" customFormat="1" ht="25.15" customHeight="1" x14ac:dyDescent="2.5">
      <c r="A12" s="3">
        <v>4</v>
      </c>
      <c r="B12" s="3">
        <v>1</v>
      </c>
      <c r="C12" s="3">
        <v>4</v>
      </c>
      <c r="D12" s="3">
        <v>20</v>
      </c>
      <c r="G12" s="84" t="s">
        <v>170</v>
      </c>
      <c r="H12" s="84" t="str">
        <f>LEFT(I12, FIND(" ", I12)-1)</f>
        <v>អនុកម្មវិធីទី១.៤</v>
      </c>
      <c r="I12" s="84" t="s">
        <v>219</v>
      </c>
      <c r="J12" s="84" t="s">
        <v>49</v>
      </c>
      <c r="K12" s="85">
        <v>733.7</v>
      </c>
      <c r="L12" s="85">
        <v>0</v>
      </c>
      <c r="M12" s="85">
        <v>733.7</v>
      </c>
      <c r="N12" s="85">
        <v>983.7</v>
      </c>
      <c r="O12" s="85">
        <v>1007.7</v>
      </c>
      <c r="P12" s="85">
        <v>1032.5999999999999</v>
      </c>
      <c r="Q12" s="86">
        <v>0.34073872154831664</v>
      </c>
      <c r="R12" s="86">
        <v>2.439768222018901E-2</v>
      </c>
      <c r="S12" s="86">
        <v>2.4709735040190361E-2</v>
      </c>
      <c r="T12" s="87"/>
    </row>
    <row r="13" spans="1:20" s="2" customFormat="1" ht="25.15" hidden="1" customHeight="1" x14ac:dyDescent="2.5">
      <c r="A13" s="3">
        <v>4</v>
      </c>
      <c r="B13" s="3">
        <v>1</v>
      </c>
      <c r="D13" s="3"/>
      <c r="E13" s="3"/>
      <c r="F13" s="3">
        <v>1</v>
      </c>
      <c r="G13" s="68" t="s">
        <v>4</v>
      </c>
      <c r="H13" s="68"/>
      <c r="I13" s="68" t="s">
        <v>4</v>
      </c>
      <c r="J13" s="68" t="s">
        <v>4</v>
      </c>
      <c r="K13" s="57">
        <v>321.7</v>
      </c>
      <c r="L13" s="57"/>
      <c r="M13" s="57">
        <v>321.7</v>
      </c>
      <c r="N13" s="57">
        <v>321.7</v>
      </c>
      <c r="O13" s="57">
        <v>337.8</v>
      </c>
      <c r="P13" s="57">
        <v>354.7</v>
      </c>
      <c r="Q13" s="58">
        <v>0</v>
      </c>
      <c r="R13" s="58">
        <v>5.0046627292508639E-2</v>
      </c>
      <c r="S13" s="58">
        <v>5.002960331557138E-2</v>
      </c>
      <c r="T13" s="37"/>
    </row>
    <row r="14" spans="1:20" s="2" customFormat="1" ht="25.15" hidden="1" customHeight="1" x14ac:dyDescent="2.5">
      <c r="A14" s="3">
        <v>4</v>
      </c>
      <c r="B14" s="3">
        <v>1</v>
      </c>
      <c r="D14" s="3"/>
      <c r="E14" s="3"/>
      <c r="F14" s="3">
        <v>2</v>
      </c>
      <c r="G14" s="68" t="s">
        <v>5</v>
      </c>
      <c r="H14" s="68"/>
      <c r="I14" s="68" t="s">
        <v>5</v>
      </c>
      <c r="J14" s="68" t="s">
        <v>5</v>
      </c>
      <c r="K14" s="57">
        <v>412</v>
      </c>
      <c r="L14" s="57"/>
      <c r="M14" s="57">
        <v>412</v>
      </c>
      <c r="N14" s="57">
        <v>662</v>
      </c>
      <c r="O14" s="57">
        <v>669.9</v>
      </c>
      <c r="P14" s="57">
        <v>677.9</v>
      </c>
      <c r="Q14" s="58">
        <v>0.60679611650485432</v>
      </c>
      <c r="R14" s="58">
        <v>1.1933534743202356E-2</v>
      </c>
      <c r="S14" s="58">
        <v>1.1942080907598074E-2</v>
      </c>
      <c r="T14" s="37" t="s">
        <v>133</v>
      </c>
    </row>
    <row r="15" spans="1:20" s="3" customFormat="1" ht="25.15" customHeight="1" x14ac:dyDescent="2.5">
      <c r="A15" s="3">
        <v>5</v>
      </c>
      <c r="B15" s="3">
        <v>1</v>
      </c>
      <c r="C15" s="3">
        <v>6</v>
      </c>
      <c r="D15" s="3">
        <v>23</v>
      </c>
      <c r="G15" s="84" t="s">
        <v>171</v>
      </c>
      <c r="H15" s="84" t="str">
        <f>LEFT(I15, FIND(" ", I15)-1)</f>
        <v>អនុកម្មវិធីទី២.១</v>
      </c>
      <c r="I15" s="84" t="s">
        <v>220</v>
      </c>
      <c r="J15" s="84" t="s">
        <v>50</v>
      </c>
      <c r="K15" s="85">
        <v>4444.7</v>
      </c>
      <c r="L15" s="85">
        <v>433.7</v>
      </c>
      <c r="M15" s="85">
        <v>4011</v>
      </c>
      <c r="N15" s="85">
        <v>4011</v>
      </c>
      <c r="O15" s="85">
        <v>4117.8999999999996</v>
      </c>
      <c r="P15" s="85">
        <v>4229</v>
      </c>
      <c r="Q15" s="86">
        <v>-9.7576889328863547E-2</v>
      </c>
      <c r="R15" s="86">
        <v>2.6651707803540203E-2</v>
      </c>
      <c r="S15" s="86">
        <v>2.6979771242623851E-2</v>
      </c>
      <c r="T15" s="87"/>
    </row>
    <row r="16" spans="1:20" s="2" customFormat="1" ht="25.15" hidden="1" customHeight="1" x14ac:dyDescent="2.5">
      <c r="A16" s="3">
        <v>5</v>
      </c>
      <c r="B16" s="3">
        <v>1</v>
      </c>
      <c r="D16" s="3"/>
      <c r="E16" s="3"/>
      <c r="F16" s="3">
        <v>1</v>
      </c>
      <c r="G16" s="68" t="s">
        <v>4</v>
      </c>
      <c r="H16" s="68"/>
      <c r="I16" s="68" t="s">
        <v>4</v>
      </c>
      <c r="J16" s="68" t="s">
        <v>4</v>
      </c>
      <c r="K16" s="57">
        <v>1546.7</v>
      </c>
      <c r="L16" s="57"/>
      <c r="M16" s="57">
        <v>1546.7</v>
      </c>
      <c r="N16" s="57">
        <v>1546.7</v>
      </c>
      <c r="O16" s="57">
        <v>1624</v>
      </c>
      <c r="P16" s="57">
        <v>1705.2</v>
      </c>
      <c r="Q16" s="58">
        <v>0</v>
      </c>
      <c r="R16" s="58">
        <v>4.9977371177345242E-2</v>
      </c>
      <c r="S16" s="58">
        <v>5.0000000000000044E-2</v>
      </c>
      <c r="T16" s="37"/>
    </row>
    <row r="17" spans="1:20" s="2" customFormat="1" ht="25.15" hidden="1" customHeight="1" x14ac:dyDescent="2.5">
      <c r="A17" s="3">
        <v>5</v>
      </c>
      <c r="B17" s="3">
        <v>1</v>
      </c>
      <c r="D17" s="3"/>
      <c r="E17" s="3"/>
      <c r="F17" s="3">
        <v>2</v>
      </c>
      <c r="G17" s="68" t="s">
        <v>5</v>
      </c>
      <c r="H17" s="68"/>
      <c r="I17" s="68" t="s">
        <v>5</v>
      </c>
      <c r="J17" s="68" t="s">
        <v>5</v>
      </c>
      <c r="K17" s="57">
        <v>2898</v>
      </c>
      <c r="L17" s="57">
        <v>433.7</v>
      </c>
      <c r="M17" s="57">
        <v>2464.3000000000002</v>
      </c>
      <c r="N17" s="57">
        <v>2464.3000000000002</v>
      </c>
      <c r="O17" s="57">
        <v>2493.9</v>
      </c>
      <c r="P17" s="57">
        <v>2523.8000000000002</v>
      </c>
      <c r="Q17" s="58">
        <v>-0.14965493443754307</v>
      </c>
      <c r="R17" s="58">
        <v>1.2011524570872067E-2</v>
      </c>
      <c r="S17" s="58">
        <v>1.1989253779221443E-2</v>
      </c>
      <c r="T17" s="37" t="s">
        <v>87</v>
      </c>
    </row>
    <row r="18" spans="1:20" s="3" customFormat="1" ht="25.15" customHeight="1" x14ac:dyDescent="2.5">
      <c r="A18" s="3">
        <v>6</v>
      </c>
      <c r="B18" s="3">
        <v>1</v>
      </c>
      <c r="C18" s="3">
        <v>6</v>
      </c>
      <c r="D18" s="3">
        <v>134</v>
      </c>
      <c r="G18" s="84" t="s">
        <v>172</v>
      </c>
      <c r="H18" s="84" t="str">
        <f>LEFT(I18, FIND(" ", I18)-1)</f>
        <v>អនុកម្មវិធីទី២.១</v>
      </c>
      <c r="I18" s="84" t="s">
        <v>221</v>
      </c>
      <c r="J18" s="84" t="s">
        <v>51</v>
      </c>
      <c r="K18" s="85">
        <v>150</v>
      </c>
      <c r="L18" s="85">
        <v>0</v>
      </c>
      <c r="M18" s="85">
        <v>150</v>
      </c>
      <c r="N18" s="85">
        <v>150</v>
      </c>
      <c r="O18" s="85">
        <v>151.80000000000001</v>
      </c>
      <c r="P18" s="85">
        <v>153.6</v>
      </c>
      <c r="Q18" s="86">
        <v>0</v>
      </c>
      <c r="R18" s="86">
        <v>1.2000000000000011E-2</v>
      </c>
      <c r="S18" s="86">
        <v>1.1857707509881354E-2</v>
      </c>
      <c r="T18" s="87"/>
    </row>
    <row r="19" spans="1:20" s="2" customFormat="1" ht="25.15" hidden="1" customHeight="1" x14ac:dyDescent="2.5">
      <c r="A19" s="3">
        <v>6</v>
      </c>
      <c r="B19" s="3">
        <v>1</v>
      </c>
      <c r="D19" s="3"/>
      <c r="E19" s="3"/>
      <c r="F19" s="3">
        <v>1</v>
      </c>
      <c r="G19" s="68" t="s">
        <v>4</v>
      </c>
      <c r="H19" s="68"/>
      <c r="I19" s="68" t="s">
        <v>4</v>
      </c>
      <c r="J19" s="68" t="s">
        <v>4</v>
      </c>
      <c r="K19" s="57">
        <v>0</v>
      </c>
      <c r="L19" s="57"/>
      <c r="M19" s="57">
        <v>0</v>
      </c>
      <c r="N19" s="57">
        <v>0</v>
      </c>
      <c r="O19" s="57">
        <v>0</v>
      </c>
      <c r="P19" s="57">
        <v>0</v>
      </c>
      <c r="Q19" s="58" t="s">
        <v>141</v>
      </c>
      <c r="R19" s="58" t="s">
        <v>141</v>
      </c>
      <c r="S19" s="58" t="s">
        <v>141</v>
      </c>
      <c r="T19" s="37"/>
    </row>
    <row r="20" spans="1:20" s="2" customFormat="1" ht="25.15" hidden="1" customHeight="1" x14ac:dyDescent="2.5">
      <c r="A20" s="3">
        <v>6</v>
      </c>
      <c r="B20" s="3">
        <v>1</v>
      </c>
      <c r="D20" s="3"/>
      <c r="E20" s="3"/>
      <c r="F20" s="3">
        <v>2</v>
      </c>
      <c r="G20" s="68" t="s">
        <v>5</v>
      </c>
      <c r="H20" s="68"/>
      <c r="I20" s="68" t="s">
        <v>5</v>
      </c>
      <c r="J20" s="68" t="s">
        <v>5</v>
      </c>
      <c r="K20" s="57">
        <v>150</v>
      </c>
      <c r="L20" s="57"/>
      <c r="M20" s="57">
        <v>150</v>
      </c>
      <c r="N20" s="57">
        <v>150</v>
      </c>
      <c r="O20" s="57">
        <v>151.80000000000001</v>
      </c>
      <c r="P20" s="57">
        <v>153.6</v>
      </c>
      <c r="Q20" s="58">
        <v>0</v>
      </c>
      <c r="R20" s="58">
        <v>1.2000000000000011E-2</v>
      </c>
      <c r="S20" s="58">
        <v>1.1857707509881354E-2</v>
      </c>
      <c r="T20" s="37"/>
    </row>
    <row r="21" spans="1:20" s="3" customFormat="1" ht="25.15" customHeight="1" x14ac:dyDescent="2.5">
      <c r="A21" s="3">
        <v>7</v>
      </c>
      <c r="B21" s="3">
        <v>1</v>
      </c>
      <c r="C21" s="3">
        <v>7</v>
      </c>
      <c r="D21" s="3">
        <v>24</v>
      </c>
      <c r="G21" s="84" t="s">
        <v>156</v>
      </c>
      <c r="H21" s="84" t="str">
        <f>LEFT(I21, FIND(" ", I21)-1)</f>
        <v>អនុកម្មវិធីទី២.២</v>
      </c>
      <c r="I21" s="84" t="s">
        <v>222</v>
      </c>
      <c r="J21" s="84" t="s">
        <v>52</v>
      </c>
      <c r="K21" s="85">
        <v>592</v>
      </c>
      <c r="L21" s="85">
        <v>0</v>
      </c>
      <c r="M21" s="85">
        <v>592</v>
      </c>
      <c r="N21" s="85">
        <v>592</v>
      </c>
      <c r="O21" s="85">
        <v>615.29999999999995</v>
      </c>
      <c r="P21" s="85">
        <v>639.6</v>
      </c>
      <c r="Q21" s="86">
        <v>0</v>
      </c>
      <c r="R21" s="86">
        <v>3.9358108108108025E-2</v>
      </c>
      <c r="S21" s="86">
        <v>3.949293027791323E-2</v>
      </c>
      <c r="T21" s="87"/>
    </row>
    <row r="22" spans="1:20" s="2" customFormat="1" ht="25.15" hidden="1" customHeight="1" x14ac:dyDescent="2.5">
      <c r="A22" s="3">
        <v>7</v>
      </c>
      <c r="B22" s="3">
        <v>1</v>
      </c>
      <c r="D22" s="3"/>
      <c r="E22" s="3"/>
      <c r="F22" s="3">
        <v>1</v>
      </c>
      <c r="G22" s="68" t="s">
        <v>4</v>
      </c>
      <c r="H22" s="68"/>
      <c r="I22" s="68" t="s">
        <v>4</v>
      </c>
      <c r="J22" s="68" t="s">
        <v>4</v>
      </c>
      <c r="K22" s="57">
        <v>425</v>
      </c>
      <c r="L22" s="57"/>
      <c r="M22" s="57">
        <v>425</v>
      </c>
      <c r="N22" s="57">
        <v>425</v>
      </c>
      <c r="O22" s="57">
        <v>446.3</v>
      </c>
      <c r="P22" s="57">
        <v>468.6</v>
      </c>
      <c r="Q22" s="58">
        <v>0</v>
      </c>
      <c r="R22" s="58">
        <v>5.01176470588236E-2</v>
      </c>
      <c r="S22" s="58">
        <v>4.996639032041239E-2</v>
      </c>
      <c r="T22" s="37"/>
    </row>
    <row r="23" spans="1:20" s="2" customFormat="1" ht="25.15" hidden="1" customHeight="1" x14ac:dyDescent="2.5">
      <c r="A23" s="3">
        <v>7</v>
      </c>
      <c r="B23" s="3">
        <v>1</v>
      </c>
      <c r="D23" s="3"/>
      <c r="E23" s="3"/>
      <c r="F23" s="3">
        <v>2</v>
      </c>
      <c r="G23" s="68" t="s">
        <v>5</v>
      </c>
      <c r="H23" s="68"/>
      <c r="I23" s="68" t="s">
        <v>5</v>
      </c>
      <c r="J23" s="68" t="s">
        <v>5</v>
      </c>
      <c r="K23" s="57">
        <v>167</v>
      </c>
      <c r="L23" s="57"/>
      <c r="M23" s="57">
        <v>167</v>
      </c>
      <c r="N23" s="57">
        <v>167</v>
      </c>
      <c r="O23" s="57">
        <v>169</v>
      </c>
      <c r="P23" s="57">
        <v>171</v>
      </c>
      <c r="Q23" s="58">
        <v>0</v>
      </c>
      <c r="R23" s="58">
        <v>1.1976047904191711E-2</v>
      </c>
      <c r="S23" s="58">
        <v>1.1834319526627279E-2</v>
      </c>
      <c r="T23" s="37"/>
    </row>
    <row r="24" spans="1:20" s="3" customFormat="1" ht="25.15" customHeight="1" x14ac:dyDescent="2.5">
      <c r="A24" s="3">
        <v>8</v>
      </c>
      <c r="B24" s="3">
        <v>1</v>
      </c>
      <c r="C24" s="3">
        <v>8</v>
      </c>
      <c r="D24" s="3">
        <v>15</v>
      </c>
      <c r="G24" s="84" t="s">
        <v>157</v>
      </c>
      <c r="H24" s="84" t="str">
        <f>LEFT(I24, FIND(" ", I24)-1)</f>
        <v>អនុកម្មវិធីទី២.៣</v>
      </c>
      <c r="I24" s="84" t="s">
        <v>223</v>
      </c>
      <c r="J24" s="84" t="s">
        <v>53</v>
      </c>
      <c r="K24" s="85">
        <v>1515.1</v>
      </c>
      <c r="L24" s="85">
        <v>0</v>
      </c>
      <c r="M24" s="85">
        <v>1515.1</v>
      </c>
      <c r="N24" s="85">
        <v>1515.1</v>
      </c>
      <c r="O24" s="85">
        <v>1572.1</v>
      </c>
      <c r="P24" s="85">
        <v>1631.6</v>
      </c>
      <c r="Q24" s="86">
        <v>0</v>
      </c>
      <c r="R24" s="86">
        <v>3.7621279123490226E-2</v>
      </c>
      <c r="S24" s="86">
        <v>3.7847465173971084E-2</v>
      </c>
      <c r="T24" s="87"/>
    </row>
    <row r="25" spans="1:20" s="2" customFormat="1" ht="25.15" hidden="1" customHeight="1" x14ac:dyDescent="2.5">
      <c r="A25" s="3">
        <v>8</v>
      </c>
      <c r="B25" s="3">
        <v>1</v>
      </c>
      <c r="D25" s="3"/>
      <c r="E25" s="3"/>
      <c r="F25" s="3">
        <v>1</v>
      </c>
      <c r="G25" s="68" t="s">
        <v>4</v>
      </c>
      <c r="H25" s="68"/>
      <c r="I25" s="68" t="s">
        <v>4</v>
      </c>
      <c r="J25" s="68" t="s">
        <v>4</v>
      </c>
      <c r="K25" s="57">
        <v>1019.1</v>
      </c>
      <c r="L25" s="57"/>
      <c r="M25" s="57">
        <v>1019.1</v>
      </c>
      <c r="N25" s="57">
        <v>1019.1</v>
      </c>
      <c r="O25" s="57">
        <v>1070.0999999999999</v>
      </c>
      <c r="P25" s="57">
        <v>1123.5999999999999</v>
      </c>
      <c r="Q25" s="58">
        <v>0</v>
      </c>
      <c r="R25" s="58">
        <v>5.0044156608772372E-2</v>
      </c>
      <c r="S25" s="58">
        <v>4.9995327539482215E-2</v>
      </c>
      <c r="T25" s="37"/>
    </row>
    <row r="26" spans="1:20" s="2" customFormat="1" ht="25.15" hidden="1" customHeight="1" x14ac:dyDescent="2.5">
      <c r="A26" s="3">
        <v>8</v>
      </c>
      <c r="B26" s="3">
        <v>1</v>
      </c>
      <c r="D26" s="3"/>
      <c r="E26" s="3"/>
      <c r="F26" s="3">
        <v>2</v>
      </c>
      <c r="G26" s="68" t="s">
        <v>5</v>
      </c>
      <c r="H26" s="68"/>
      <c r="I26" s="68" t="s">
        <v>5</v>
      </c>
      <c r="J26" s="68" t="s">
        <v>5</v>
      </c>
      <c r="K26" s="57">
        <v>496</v>
      </c>
      <c r="L26" s="57"/>
      <c r="M26" s="57">
        <v>496</v>
      </c>
      <c r="N26" s="57">
        <v>496</v>
      </c>
      <c r="O26" s="57">
        <v>502</v>
      </c>
      <c r="P26" s="57">
        <v>508</v>
      </c>
      <c r="Q26" s="58">
        <v>0</v>
      </c>
      <c r="R26" s="58">
        <v>1.2096774193548487E-2</v>
      </c>
      <c r="S26" s="58">
        <v>1.195219123505975E-2</v>
      </c>
      <c r="T26" s="37"/>
    </row>
    <row r="27" spans="1:20" s="3" customFormat="1" ht="25.15" customHeight="1" x14ac:dyDescent="2.5">
      <c r="A27" s="3">
        <v>9</v>
      </c>
      <c r="B27" s="3">
        <v>1</v>
      </c>
      <c r="C27" s="3">
        <v>9</v>
      </c>
      <c r="D27" s="3">
        <v>25</v>
      </c>
      <c r="G27" s="84" t="s">
        <v>158</v>
      </c>
      <c r="H27" s="84" t="str">
        <f>LEFT(I27, FIND(" ", I27)-1)</f>
        <v>អនុកម្មវិធីទី២.៤</v>
      </c>
      <c r="I27" s="84" t="s">
        <v>224</v>
      </c>
      <c r="J27" s="84" t="s">
        <v>54</v>
      </c>
      <c r="K27" s="85">
        <v>509.4</v>
      </c>
      <c r="L27" s="85">
        <v>0</v>
      </c>
      <c r="M27" s="85">
        <v>509.4</v>
      </c>
      <c r="N27" s="85">
        <v>509.4</v>
      </c>
      <c r="O27" s="85">
        <v>530.6</v>
      </c>
      <c r="P27" s="85">
        <v>552.79999999999995</v>
      </c>
      <c r="Q27" s="86">
        <v>0</v>
      </c>
      <c r="R27" s="86">
        <v>4.1617589320769532E-2</v>
      </c>
      <c r="S27" s="86">
        <v>4.1839427063701251E-2</v>
      </c>
      <c r="T27" s="87"/>
    </row>
    <row r="28" spans="1:20" s="2" customFormat="1" ht="25.15" hidden="1" customHeight="1" x14ac:dyDescent="2.5">
      <c r="A28" s="3">
        <v>9</v>
      </c>
      <c r="B28" s="3">
        <v>1</v>
      </c>
      <c r="D28" s="3"/>
      <c r="E28" s="3"/>
      <c r="F28" s="3">
        <v>1</v>
      </c>
      <c r="G28" s="68" t="s">
        <v>4</v>
      </c>
      <c r="H28" s="68"/>
      <c r="I28" s="68" t="s">
        <v>4</v>
      </c>
      <c r="J28" s="68" t="s">
        <v>4</v>
      </c>
      <c r="K28" s="57">
        <v>396.4</v>
      </c>
      <c r="L28" s="57"/>
      <c r="M28" s="57">
        <v>396.4</v>
      </c>
      <c r="N28" s="57">
        <v>396.4</v>
      </c>
      <c r="O28" s="57">
        <v>416.2</v>
      </c>
      <c r="P28" s="57">
        <v>437</v>
      </c>
      <c r="Q28" s="58">
        <v>0</v>
      </c>
      <c r="R28" s="58">
        <v>4.9949545913219096E-2</v>
      </c>
      <c r="S28" s="58">
        <v>4.997597308986057E-2</v>
      </c>
      <c r="T28" s="37"/>
    </row>
    <row r="29" spans="1:20" s="2" customFormat="1" ht="25.15" hidden="1" customHeight="1" x14ac:dyDescent="2.5">
      <c r="A29" s="3">
        <v>9</v>
      </c>
      <c r="B29" s="3">
        <v>1</v>
      </c>
      <c r="D29" s="3"/>
      <c r="E29" s="3"/>
      <c r="F29" s="3">
        <v>2</v>
      </c>
      <c r="G29" s="68" t="s">
        <v>5</v>
      </c>
      <c r="H29" s="68"/>
      <c r="I29" s="68" t="s">
        <v>5</v>
      </c>
      <c r="J29" s="68" t="s">
        <v>5</v>
      </c>
      <c r="K29" s="57">
        <v>113</v>
      </c>
      <c r="L29" s="57"/>
      <c r="M29" s="57">
        <v>113</v>
      </c>
      <c r="N29" s="57">
        <v>113</v>
      </c>
      <c r="O29" s="57">
        <v>114.4</v>
      </c>
      <c r="P29" s="57">
        <v>115.8</v>
      </c>
      <c r="Q29" s="58">
        <v>0</v>
      </c>
      <c r="R29" s="58">
        <v>1.2389380530973604E-2</v>
      </c>
      <c r="S29" s="58">
        <v>1.2237762237762073E-2</v>
      </c>
      <c r="T29" s="37"/>
    </row>
    <row r="30" spans="1:20" s="3" customFormat="1" ht="25.15" customHeight="1" x14ac:dyDescent="2.5">
      <c r="A30" s="3">
        <v>10</v>
      </c>
      <c r="B30" s="3">
        <v>1</v>
      </c>
      <c r="C30" s="3">
        <v>10</v>
      </c>
      <c r="D30" s="3">
        <v>16</v>
      </c>
      <c r="G30" s="84" t="s">
        <v>159</v>
      </c>
      <c r="H30" s="84" t="str">
        <f>LEFT(I30, FIND(" ", I30)-1)</f>
        <v>អនុកម្មវិធីទី២.៥</v>
      </c>
      <c r="I30" s="84" t="s">
        <v>225</v>
      </c>
      <c r="J30" s="84" t="s">
        <v>55</v>
      </c>
      <c r="K30" s="85">
        <v>894.9</v>
      </c>
      <c r="L30" s="85">
        <v>72</v>
      </c>
      <c r="M30" s="85">
        <v>822.9</v>
      </c>
      <c r="N30" s="85">
        <v>822.9</v>
      </c>
      <c r="O30" s="85">
        <v>853.1</v>
      </c>
      <c r="P30" s="85">
        <v>884.6</v>
      </c>
      <c r="Q30" s="86">
        <v>-8.0455916862219201E-2</v>
      </c>
      <c r="R30" s="86">
        <v>3.6699477457771357E-2</v>
      </c>
      <c r="S30" s="86">
        <v>3.6924158949712904E-2</v>
      </c>
      <c r="T30" s="87"/>
    </row>
    <row r="31" spans="1:20" s="2" customFormat="1" ht="25.15" hidden="1" customHeight="1" x14ac:dyDescent="2.5">
      <c r="A31" s="3">
        <v>10</v>
      </c>
      <c r="B31" s="3">
        <v>1</v>
      </c>
      <c r="D31" s="3"/>
      <c r="E31" s="3"/>
      <c r="F31" s="3">
        <v>1</v>
      </c>
      <c r="G31" s="68" t="s">
        <v>4</v>
      </c>
      <c r="H31" s="68"/>
      <c r="I31" s="68" t="s">
        <v>4</v>
      </c>
      <c r="J31" s="68" t="s">
        <v>4</v>
      </c>
      <c r="K31" s="57">
        <v>533.9</v>
      </c>
      <c r="L31" s="57"/>
      <c r="M31" s="57">
        <v>533.9</v>
      </c>
      <c r="N31" s="57">
        <v>533.9</v>
      </c>
      <c r="O31" s="57">
        <v>560.6</v>
      </c>
      <c r="P31" s="57">
        <v>588.6</v>
      </c>
      <c r="Q31" s="58">
        <v>0</v>
      </c>
      <c r="R31" s="58">
        <v>5.0009365049634935E-2</v>
      </c>
      <c r="S31" s="58">
        <v>4.9946485907955696E-2</v>
      </c>
      <c r="T31" s="37"/>
    </row>
    <row r="32" spans="1:20" s="2" customFormat="1" ht="25.15" hidden="1" customHeight="1" x14ac:dyDescent="2.5">
      <c r="A32" s="3">
        <v>10</v>
      </c>
      <c r="B32" s="3">
        <v>1</v>
      </c>
      <c r="D32" s="3"/>
      <c r="E32" s="3"/>
      <c r="F32" s="3">
        <v>2</v>
      </c>
      <c r="G32" s="68" t="s">
        <v>5</v>
      </c>
      <c r="H32" s="68"/>
      <c r="I32" s="68" t="s">
        <v>5</v>
      </c>
      <c r="J32" s="68" t="s">
        <v>5</v>
      </c>
      <c r="K32" s="57">
        <v>361</v>
      </c>
      <c r="L32" s="57">
        <v>72</v>
      </c>
      <c r="M32" s="57">
        <v>289</v>
      </c>
      <c r="N32" s="57">
        <v>289</v>
      </c>
      <c r="O32" s="57">
        <v>292.5</v>
      </c>
      <c r="P32" s="57">
        <v>296</v>
      </c>
      <c r="Q32" s="58">
        <v>-0.19944598337950137</v>
      </c>
      <c r="R32" s="58">
        <v>1.211072664359869E-2</v>
      </c>
      <c r="S32" s="58">
        <v>1.1965811965811923E-2</v>
      </c>
      <c r="T32" s="37" t="s">
        <v>88</v>
      </c>
    </row>
    <row r="33" spans="1:20" s="3" customFormat="1" ht="25.15" customHeight="1" x14ac:dyDescent="2.5">
      <c r="A33" s="3">
        <v>11</v>
      </c>
      <c r="B33" s="3">
        <v>1</v>
      </c>
      <c r="C33" s="3">
        <v>11</v>
      </c>
      <c r="D33" s="3">
        <v>26</v>
      </c>
      <c r="G33" s="84" t="s">
        <v>160</v>
      </c>
      <c r="H33" s="84" t="str">
        <f>LEFT(I33, FIND(" ", I33)-1)</f>
        <v>អនុកម្មវិធីទី២.៦</v>
      </c>
      <c r="I33" s="84" t="s">
        <v>226</v>
      </c>
      <c r="J33" s="84" t="s">
        <v>56</v>
      </c>
      <c r="K33" s="85">
        <v>671.3</v>
      </c>
      <c r="L33" s="85">
        <v>0</v>
      </c>
      <c r="M33" s="85">
        <v>671.3</v>
      </c>
      <c r="N33" s="85">
        <v>671.3</v>
      </c>
      <c r="O33" s="85">
        <v>700.3</v>
      </c>
      <c r="P33" s="85">
        <v>730.69999999999993</v>
      </c>
      <c r="Q33" s="86">
        <v>0</v>
      </c>
      <c r="R33" s="86">
        <v>4.3199761656487423E-2</v>
      </c>
      <c r="S33" s="86">
        <v>4.3409967156932794E-2</v>
      </c>
      <c r="T33" s="87"/>
    </row>
    <row r="34" spans="1:20" s="2" customFormat="1" ht="25.15" hidden="1" customHeight="1" x14ac:dyDescent="2.5">
      <c r="A34" s="3">
        <v>11</v>
      </c>
      <c r="B34" s="3">
        <v>1</v>
      </c>
      <c r="C34" s="3"/>
      <c r="D34" s="3"/>
      <c r="E34" s="3"/>
      <c r="F34" s="3">
        <v>1</v>
      </c>
      <c r="G34" s="68" t="s">
        <v>4</v>
      </c>
      <c r="H34" s="68"/>
      <c r="I34" s="68" t="s">
        <v>4</v>
      </c>
      <c r="J34" s="68" t="s">
        <v>4</v>
      </c>
      <c r="K34" s="57">
        <v>551.29999999999995</v>
      </c>
      <c r="L34" s="57"/>
      <c r="M34" s="57">
        <v>551.29999999999995</v>
      </c>
      <c r="N34" s="57">
        <v>551.29999999999995</v>
      </c>
      <c r="O34" s="57">
        <v>578.9</v>
      </c>
      <c r="P34" s="57">
        <v>607.79999999999995</v>
      </c>
      <c r="Q34" s="58">
        <v>0</v>
      </c>
      <c r="R34" s="58">
        <v>5.0063486305097049E-2</v>
      </c>
      <c r="S34" s="58">
        <v>4.992226636724828E-2</v>
      </c>
      <c r="T34" s="37"/>
    </row>
    <row r="35" spans="1:20" s="2" customFormat="1" ht="25.15" hidden="1" customHeight="1" x14ac:dyDescent="2.5">
      <c r="A35" s="3">
        <v>11</v>
      </c>
      <c r="B35" s="3">
        <v>1</v>
      </c>
      <c r="C35" s="3"/>
      <c r="D35" s="3"/>
      <c r="E35" s="3"/>
      <c r="F35" s="3">
        <v>2</v>
      </c>
      <c r="G35" s="68" t="s">
        <v>5</v>
      </c>
      <c r="H35" s="68"/>
      <c r="I35" s="68" t="s">
        <v>5</v>
      </c>
      <c r="J35" s="68" t="s">
        <v>5</v>
      </c>
      <c r="K35" s="57">
        <v>120</v>
      </c>
      <c r="L35" s="57"/>
      <c r="M35" s="57">
        <v>120</v>
      </c>
      <c r="N35" s="57">
        <v>120</v>
      </c>
      <c r="O35" s="57">
        <v>121.4</v>
      </c>
      <c r="P35" s="57">
        <v>122.9</v>
      </c>
      <c r="Q35" s="58">
        <v>0</v>
      </c>
      <c r="R35" s="58">
        <v>1.1666666666666714E-2</v>
      </c>
      <c r="S35" s="58">
        <v>1.2355848434925765E-2</v>
      </c>
      <c r="T35" s="37"/>
    </row>
    <row r="36" spans="1:20" s="3" customFormat="1" ht="25.15" customHeight="1" x14ac:dyDescent="2.5">
      <c r="A36" s="3">
        <v>12</v>
      </c>
      <c r="B36" s="3">
        <v>1</v>
      </c>
      <c r="C36" s="3">
        <v>13</v>
      </c>
      <c r="D36" s="3">
        <v>6</v>
      </c>
      <c r="G36" s="84" t="s">
        <v>173</v>
      </c>
      <c r="H36" s="84" t="str">
        <f>LEFT(I36, FIND(" ", I36)-1)</f>
        <v>អនុកម្មវិធីទី៣.១</v>
      </c>
      <c r="I36" s="84" t="s">
        <v>245</v>
      </c>
      <c r="J36" s="84" t="s">
        <v>57</v>
      </c>
      <c r="K36" s="85">
        <v>78640.5</v>
      </c>
      <c r="L36" s="85">
        <v>0</v>
      </c>
      <c r="M36" s="85">
        <v>78640.5</v>
      </c>
      <c r="N36" s="85">
        <v>54790.5</v>
      </c>
      <c r="O36" s="85">
        <v>56300.899999999994</v>
      </c>
      <c r="P36" s="85">
        <v>57872.1</v>
      </c>
      <c r="Q36" s="86">
        <v>-0.30327884487000978</v>
      </c>
      <c r="R36" s="86">
        <v>2.7566822715616723E-2</v>
      </c>
      <c r="S36" s="86">
        <v>2.7907191536902687E-2</v>
      </c>
      <c r="T36" s="87"/>
    </row>
    <row r="37" spans="1:20" s="2" customFormat="1" ht="25.15" hidden="1" customHeight="1" x14ac:dyDescent="2.5">
      <c r="A37" s="3">
        <v>12</v>
      </c>
      <c r="B37" s="3">
        <v>1</v>
      </c>
      <c r="C37" s="3"/>
      <c r="D37" s="3"/>
      <c r="E37" s="3"/>
      <c r="F37" s="3">
        <v>1</v>
      </c>
      <c r="G37" s="68" t="s">
        <v>4</v>
      </c>
      <c r="H37" s="68"/>
      <c r="I37" s="68" t="s">
        <v>4</v>
      </c>
      <c r="J37" s="68" t="s">
        <v>4</v>
      </c>
      <c r="K37" s="57">
        <v>46446.3</v>
      </c>
      <c r="L37" s="57"/>
      <c r="M37" s="57">
        <v>46446.3</v>
      </c>
      <c r="N37" s="57">
        <v>22446.300000000003</v>
      </c>
      <c r="O37" s="57">
        <v>23568.6</v>
      </c>
      <c r="P37" s="57">
        <v>24747</v>
      </c>
      <c r="Q37" s="58">
        <v>-0.51672576717628749</v>
      </c>
      <c r="R37" s="58">
        <v>4.9999331738415531E-2</v>
      </c>
      <c r="S37" s="58">
        <v>4.9998727119981767E-2</v>
      </c>
      <c r="T37" s="37" t="s">
        <v>78</v>
      </c>
    </row>
    <row r="38" spans="1:20" s="2" customFormat="1" ht="25.15" hidden="1" customHeight="1" x14ac:dyDescent="2.5">
      <c r="A38" s="3">
        <v>12</v>
      </c>
      <c r="B38" s="3">
        <v>1</v>
      </c>
      <c r="C38" s="3"/>
      <c r="D38" s="3"/>
      <c r="E38" s="3"/>
      <c r="F38" s="3">
        <v>2</v>
      </c>
      <c r="G38" s="68" t="s">
        <v>5</v>
      </c>
      <c r="H38" s="68"/>
      <c r="I38" s="68" t="s">
        <v>5</v>
      </c>
      <c r="J38" s="68" t="s">
        <v>5</v>
      </c>
      <c r="K38" s="57">
        <v>32194.2</v>
      </c>
      <c r="L38" s="57"/>
      <c r="M38" s="57">
        <v>32194.2</v>
      </c>
      <c r="N38" s="57">
        <v>32344.2</v>
      </c>
      <c r="O38" s="57">
        <v>32732.3</v>
      </c>
      <c r="P38" s="57">
        <v>33125.1</v>
      </c>
      <c r="Q38" s="58">
        <v>4.6592243323331228E-3</v>
      </c>
      <c r="R38" s="58">
        <v>1.1999060109695092E-2</v>
      </c>
      <c r="S38" s="58">
        <v>1.2000378830696157E-2</v>
      </c>
      <c r="T38" s="37" t="s">
        <v>118</v>
      </c>
    </row>
    <row r="39" spans="1:20" s="3" customFormat="1" ht="25.15" customHeight="1" x14ac:dyDescent="2.5">
      <c r="A39" s="3">
        <v>13</v>
      </c>
      <c r="B39" s="3">
        <v>1</v>
      </c>
      <c r="C39" s="3">
        <v>14</v>
      </c>
      <c r="D39" s="3">
        <v>7</v>
      </c>
      <c r="G39" s="84" t="s">
        <v>174</v>
      </c>
      <c r="H39" s="84" t="str">
        <f>LEFT(I39, FIND(" ", I39)-1)</f>
        <v>អនុកម្មវិធីទី៣.២</v>
      </c>
      <c r="I39" s="84" t="s">
        <v>227</v>
      </c>
      <c r="J39" s="84" t="s">
        <v>58</v>
      </c>
      <c r="K39" s="85">
        <v>223280.8</v>
      </c>
      <c r="L39" s="85">
        <v>3800</v>
      </c>
      <c r="M39" s="85">
        <v>219480.8</v>
      </c>
      <c r="N39" s="85">
        <v>219480.8</v>
      </c>
      <c r="O39" s="85">
        <v>223828.7</v>
      </c>
      <c r="P39" s="85">
        <v>228314.5</v>
      </c>
      <c r="Q39" s="86">
        <v>-1.7018928631570618E-2</v>
      </c>
      <c r="R39" s="86">
        <v>1.9809933260677148E-2</v>
      </c>
      <c r="S39" s="86">
        <v>2.0041219021510681E-2</v>
      </c>
      <c r="T39" s="87"/>
    </row>
    <row r="40" spans="1:20" s="2" customFormat="1" ht="25.15" hidden="1" customHeight="1" x14ac:dyDescent="2.5">
      <c r="A40" s="3">
        <v>13</v>
      </c>
      <c r="B40" s="3">
        <v>1</v>
      </c>
      <c r="C40" s="3"/>
      <c r="D40" s="3"/>
      <c r="E40" s="3"/>
      <c r="F40" s="3">
        <v>1</v>
      </c>
      <c r="G40" s="68" t="s">
        <v>4</v>
      </c>
      <c r="H40" s="68"/>
      <c r="I40" s="68" t="s">
        <v>4</v>
      </c>
      <c r="J40" s="68" t="s">
        <v>4</v>
      </c>
      <c r="K40" s="57">
        <v>45374.8</v>
      </c>
      <c r="L40" s="57">
        <v>264</v>
      </c>
      <c r="M40" s="57">
        <v>45110.8</v>
      </c>
      <c r="N40" s="57">
        <v>45110.8</v>
      </c>
      <c r="O40" s="57">
        <v>47366.3</v>
      </c>
      <c r="P40" s="57">
        <v>49734.6</v>
      </c>
      <c r="Q40" s="58">
        <v>-5.8182074631734082E-3</v>
      </c>
      <c r="R40" s="58">
        <v>4.999911329437734E-2</v>
      </c>
      <c r="S40" s="58">
        <v>4.9999683319152943E-2</v>
      </c>
      <c r="T40" s="37" t="s">
        <v>116</v>
      </c>
    </row>
    <row r="41" spans="1:20" s="2" customFormat="1" ht="25.15" hidden="1" customHeight="1" x14ac:dyDescent="2.5">
      <c r="A41" s="3">
        <v>13</v>
      </c>
      <c r="B41" s="3">
        <v>1</v>
      </c>
      <c r="C41" s="3"/>
      <c r="D41" s="3"/>
      <c r="E41" s="3"/>
      <c r="F41" s="3">
        <v>2</v>
      </c>
      <c r="G41" s="68" t="s">
        <v>5</v>
      </c>
      <c r="H41" s="68"/>
      <c r="I41" s="68" t="s">
        <v>5</v>
      </c>
      <c r="J41" s="68" t="s">
        <v>5</v>
      </c>
      <c r="K41" s="57">
        <v>177906</v>
      </c>
      <c r="L41" s="57">
        <v>3536</v>
      </c>
      <c r="M41" s="57">
        <v>174370</v>
      </c>
      <c r="N41" s="57">
        <v>174370</v>
      </c>
      <c r="O41" s="57">
        <v>176462.4</v>
      </c>
      <c r="P41" s="57">
        <v>178579.9</v>
      </c>
      <c r="Q41" s="58">
        <v>-1.9875664676851867E-2</v>
      </c>
      <c r="R41" s="58">
        <v>1.1999770602741267E-2</v>
      </c>
      <c r="S41" s="58">
        <v>1.1999723453834932E-2</v>
      </c>
      <c r="T41" s="37" t="s">
        <v>89</v>
      </c>
    </row>
    <row r="42" spans="1:20" s="3" customFormat="1" ht="25.15" customHeight="1" x14ac:dyDescent="2.5">
      <c r="A42" s="3">
        <v>14</v>
      </c>
      <c r="B42" s="3">
        <v>1</v>
      </c>
      <c r="C42" s="3">
        <v>15</v>
      </c>
      <c r="D42" s="3">
        <v>8</v>
      </c>
      <c r="G42" s="84" t="s">
        <v>175</v>
      </c>
      <c r="H42" s="84" t="str">
        <f>LEFT(I42, FIND(" ", I42)-1)</f>
        <v>អនុកម្មវិធីទី៣.៣</v>
      </c>
      <c r="I42" s="84" t="s">
        <v>228</v>
      </c>
      <c r="J42" s="84" t="s">
        <v>59</v>
      </c>
      <c r="K42" s="85">
        <v>6227.8</v>
      </c>
      <c r="L42" s="85">
        <v>0</v>
      </c>
      <c r="M42" s="85">
        <v>6227.8</v>
      </c>
      <c r="N42" s="85">
        <v>6327.8</v>
      </c>
      <c r="O42" s="85">
        <v>6480.7000000000007</v>
      </c>
      <c r="P42" s="85">
        <v>6639.3</v>
      </c>
      <c r="Q42" s="86">
        <v>1.6057034586852481E-2</v>
      </c>
      <c r="R42" s="86">
        <v>2.4163216283700661E-2</v>
      </c>
      <c r="S42" s="86">
        <v>2.4472664989892978E-2</v>
      </c>
      <c r="T42" s="87"/>
    </row>
    <row r="43" spans="1:20" s="2" customFormat="1" ht="25.15" hidden="1" customHeight="1" x14ac:dyDescent="2.5">
      <c r="A43" s="3">
        <v>14</v>
      </c>
      <c r="B43" s="3">
        <v>1</v>
      </c>
      <c r="C43" s="3"/>
      <c r="D43" s="3"/>
      <c r="E43" s="3"/>
      <c r="F43" s="3">
        <v>1</v>
      </c>
      <c r="G43" s="68" t="s">
        <v>4</v>
      </c>
      <c r="H43" s="68"/>
      <c r="I43" s="68" t="s">
        <v>4</v>
      </c>
      <c r="J43" s="68" t="s">
        <v>4</v>
      </c>
      <c r="K43" s="57">
        <v>2026.8</v>
      </c>
      <c r="L43" s="57"/>
      <c r="M43" s="57">
        <v>2026.8</v>
      </c>
      <c r="N43" s="57">
        <v>2026.8</v>
      </c>
      <c r="O43" s="57">
        <v>2128.1</v>
      </c>
      <c r="P43" s="57">
        <v>2234.5</v>
      </c>
      <c r="Q43" s="58">
        <v>0</v>
      </c>
      <c r="R43" s="58">
        <v>4.9980264456285672E-2</v>
      </c>
      <c r="S43" s="58">
        <v>4.9997650486349299E-2</v>
      </c>
      <c r="T43" s="37"/>
    </row>
    <row r="44" spans="1:20" s="2" customFormat="1" ht="25.15" hidden="1" customHeight="1" x14ac:dyDescent="2.5">
      <c r="A44" s="3">
        <v>14</v>
      </c>
      <c r="B44" s="3">
        <v>1</v>
      </c>
      <c r="C44" s="3"/>
      <c r="D44" s="3"/>
      <c r="E44" s="3"/>
      <c r="F44" s="3">
        <v>2</v>
      </c>
      <c r="G44" s="68" t="s">
        <v>5</v>
      </c>
      <c r="H44" s="68"/>
      <c r="I44" s="68" t="s">
        <v>5</v>
      </c>
      <c r="J44" s="68" t="s">
        <v>5</v>
      </c>
      <c r="K44" s="57">
        <v>4201</v>
      </c>
      <c r="L44" s="57"/>
      <c r="M44" s="57">
        <v>4201</v>
      </c>
      <c r="N44" s="57">
        <v>4301</v>
      </c>
      <c r="O44" s="57">
        <v>4352.6000000000004</v>
      </c>
      <c r="P44" s="57">
        <v>4404.8</v>
      </c>
      <c r="Q44" s="58">
        <v>2.3803856224708486E-2</v>
      </c>
      <c r="R44" s="58">
        <v>1.1997209951174259E-2</v>
      </c>
      <c r="S44" s="58">
        <v>1.1992831870605958E-2</v>
      </c>
      <c r="T44" s="37" t="s">
        <v>134</v>
      </c>
    </row>
    <row r="45" spans="1:20" s="3" customFormat="1" ht="25.15" customHeight="1" x14ac:dyDescent="2.5">
      <c r="A45" s="3">
        <v>15</v>
      </c>
      <c r="B45" s="3">
        <v>1</v>
      </c>
      <c r="C45" s="3">
        <v>16</v>
      </c>
      <c r="D45" s="3">
        <v>27</v>
      </c>
      <c r="G45" s="84" t="s">
        <v>176</v>
      </c>
      <c r="H45" s="84" t="str">
        <f>LEFT(I45, FIND(" ", I45)-1)</f>
        <v>អនុកម្មវិធីទី៣.៤</v>
      </c>
      <c r="I45" s="84" t="s">
        <v>229</v>
      </c>
      <c r="J45" s="84" t="s">
        <v>137</v>
      </c>
      <c r="K45" s="85">
        <v>1837.4</v>
      </c>
      <c r="L45" s="85">
        <v>0</v>
      </c>
      <c r="M45" s="85">
        <v>1837.4</v>
      </c>
      <c r="N45" s="85">
        <v>1837.4</v>
      </c>
      <c r="O45" s="85">
        <v>1879</v>
      </c>
      <c r="P45" s="85">
        <v>1922.1</v>
      </c>
      <c r="Q45" s="86">
        <v>0</v>
      </c>
      <c r="R45" s="86">
        <v>2.2640687928594749E-2</v>
      </c>
      <c r="S45" s="86">
        <v>2.2937732836615154E-2</v>
      </c>
      <c r="T45" s="87"/>
    </row>
    <row r="46" spans="1:20" s="2" customFormat="1" ht="25.15" hidden="1" customHeight="1" x14ac:dyDescent="2.5">
      <c r="A46" s="3">
        <v>15</v>
      </c>
      <c r="B46" s="3">
        <v>1</v>
      </c>
      <c r="C46" s="3"/>
      <c r="D46" s="3"/>
      <c r="E46" s="3"/>
      <c r="F46" s="3">
        <v>1</v>
      </c>
      <c r="G46" s="68" t="s">
        <v>4</v>
      </c>
      <c r="H46" s="68"/>
      <c r="I46" s="68" t="s">
        <v>4</v>
      </c>
      <c r="J46" s="68" t="s">
        <v>4</v>
      </c>
      <c r="K46" s="57">
        <v>514.4</v>
      </c>
      <c r="L46" s="57"/>
      <c r="M46" s="57">
        <v>514.4</v>
      </c>
      <c r="N46" s="57">
        <v>514.4</v>
      </c>
      <c r="O46" s="57">
        <v>540.1</v>
      </c>
      <c r="P46" s="57">
        <v>567.1</v>
      </c>
      <c r="Q46" s="58">
        <v>0</v>
      </c>
      <c r="R46" s="58">
        <v>4.9961119751166461E-2</v>
      </c>
      <c r="S46" s="58">
        <v>4.9990742455100934E-2</v>
      </c>
      <c r="T46" s="37"/>
    </row>
    <row r="47" spans="1:20" s="2" customFormat="1" ht="25.15" hidden="1" customHeight="1" x14ac:dyDescent="2.5">
      <c r="A47" s="3">
        <v>15</v>
      </c>
      <c r="B47" s="3">
        <v>1</v>
      </c>
      <c r="C47" s="3"/>
      <c r="D47" s="3"/>
      <c r="E47" s="3"/>
      <c r="F47" s="3">
        <v>2</v>
      </c>
      <c r="G47" s="68" t="s">
        <v>5</v>
      </c>
      <c r="H47" s="68"/>
      <c r="I47" s="68" t="s">
        <v>5</v>
      </c>
      <c r="J47" s="68" t="s">
        <v>5</v>
      </c>
      <c r="K47" s="57">
        <v>1323</v>
      </c>
      <c r="L47" s="57"/>
      <c r="M47" s="57">
        <v>1323</v>
      </c>
      <c r="N47" s="57">
        <v>1323</v>
      </c>
      <c r="O47" s="57">
        <v>1338.9</v>
      </c>
      <c r="P47" s="57">
        <v>1355</v>
      </c>
      <c r="Q47" s="58">
        <v>0</v>
      </c>
      <c r="R47" s="58">
        <v>1.2018140589569182E-2</v>
      </c>
      <c r="S47" s="58">
        <v>1.2024796474717991E-2</v>
      </c>
      <c r="T47" s="37"/>
    </row>
    <row r="48" spans="1:20" s="3" customFormat="1" ht="25.15" customHeight="1" x14ac:dyDescent="2.5">
      <c r="A48" s="3">
        <v>16</v>
      </c>
      <c r="B48" s="3">
        <v>1</v>
      </c>
      <c r="C48" s="3">
        <v>18</v>
      </c>
      <c r="D48" s="3">
        <v>3</v>
      </c>
      <c r="G48" s="84" t="s">
        <v>177</v>
      </c>
      <c r="H48" s="84" t="str">
        <f>LEFT(I48, FIND(" ", I48)-1)</f>
        <v>អនុកម្មវិធីទី៤.១</v>
      </c>
      <c r="I48" s="84" t="s">
        <v>230</v>
      </c>
      <c r="J48" s="84" t="s">
        <v>60</v>
      </c>
      <c r="K48" s="85">
        <v>7995.2</v>
      </c>
      <c r="L48" s="85">
        <v>0</v>
      </c>
      <c r="M48" s="85">
        <v>7995.2</v>
      </c>
      <c r="N48" s="85">
        <v>8295.2000000000007</v>
      </c>
      <c r="O48" s="85">
        <v>8589.7000000000007</v>
      </c>
      <c r="P48" s="85">
        <v>8897.4</v>
      </c>
      <c r="Q48" s="86">
        <v>3.7522513508104982E-2</v>
      </c>
      <c r="R48" s="86">
        <v>3.5502459253544227E-2</v>
      </c>
      <c r="S48" s="86">
        <v>3.5821972827921655E-2</v>
      </c>
      <c r="T48" s="87"/>
    </row>
    <row r="49" spans="1:20" s="2" customFormat="1" ht="25.15" hidden="1" customHeight="1" x14ac:dyDescent="2.5">
      <c r="A49" s="3">
        <v>16</v>
      </c>
      <c r="B49" s="3">
        <v>1</v>
      </c>
      <c r="C49" s="3"/>
      <c r="D49" s="3"/>
      <c r="E49" s="3"/>
      <c r="F49" s="3">
        <v>1</v>
      </c>
      <c r="G49" s="68" t="s">
        <v>4</v>
      </c>
      <c r="H49" s="68"/>
      <c r="I49" s="68" t="s">
        <v>4</v>
      </c>
      <c r="J49" s="68" t="s">
        <v>4</v>
      </c>
      <c r="K49" s="57">
        <v>5129.2</v>
      </c>
      <c r="L49" s="57"/>
      <c r="M49" s="57">
        <v>5129.2</v>
      </c>
      <c r="N49" s="57">
        <v>5129.2</v>
      </c>
      <c r="O49" s="57">
        <v>5385.7</v>
      </c>
      <c r="P49" s="57">
        <v>5655</v>
      </c>
      <c r="Q49" s="58">
        <v>0</v>
      </c>
      <c r="R49" s="58">
        <v>5.0007798487093469E-2</v>
      </c>
      <c r="S49" s="58">
        <v>5.0002785153276275E-2</v>
      </c>
      <c r="T49" s="37"/>
    </row>
    <row r="50" spans="1:20" s="2" customFormat="1" ht="25.15" hidden="1" customHeight="1" x14ac:dyDescent="2.5">
      <c r="A50" s="3">
        <v>16</v>
      </c>
      <c r="B50" s="3">
        <v>1</v>
      </c>
      <c r="C50" s="3"/>
      <c r="D50" s="3"/>
      <c r="E50" s="3"/>
      <c r="F50" s="3">
        <v>2</v>
      </c>
      <c r="G50" s="68" t="s">
        <v>5</v>
      </c>
      <c r="H50" s="68"/>
      <c r="I50" s="68" t="s">
        <v>5</v>
      </c>
      <c r="J50" s="68" t="s">
        <v>5</v>
      </c>
      <c r="K50" s="57">
        <v>2866</v>
      </c>
      <c r="L50" s="57"/>
      <c r="M50" s="57">
        <v>2866</v>
      </c>
      <c r="N50" s="57">
        <v>3166</v>
      </c>
      <c r="O50" s="57">
        <v>3204</v>
      </c>
      <c r="P50" s="57">
        <v>3242.4</v>
      </c>
      <c r="Q50" s="58">
        <v>0.10467550593161201</v>
      </c>
      <c r="R50" s="58">
        <v>1.2002526847757489E-2</v>
      </c>
      <c r="S50" s="58">
        <v>1.1985018726591745E-2</v>
      </c>
      <c r="T50" s="37" t="s">
        <v>133</v>
      </c>
    </row>
    <row r="51" spans="1:20" s="3" customFormat="1" ht="25.15" customHeight="1" x14ac:dyDescent="2.5">
      <c r="A51" s="3">
        <v>17</v>
      </c>
      <c r="B51" s="3">
        <v>1</v>
      </c>
      <c r="C51" s="3">
        <v>19</v>
      </c>
      <c r="D51" s="3">
        <v>4</v>
      </c>
      <c r="G51" s="84" t="s">
        <v>178</v>
      </c>
      <c r="H51" s="84" t="str">
        <f>LEFT(I51, FIND(" ", I51)-1)</f>
        <v>អនុកម្មវិធីទី៤.២</v>
      </c>
      <c r="I51" s="84" t="s">
        <v>231</v>
      </c>
      <c r="J51" s="84" t="s">
        <v>61</v>
      </c>
      <c r="K51" s="85">
        <v>2792.4</v>
      </c>
      <c r="L51" s="85">
        <v>0</v>
      </c>
      <c r="M51" s="85">
        <v>2792.4</v>
      </c>
      <c r="N51" s="85">
        <v>2892.4</v>
      </c>
      <c r="O51" s="85">
        <v>2991.7</v>
      </c>
      <c r="P51" s="85">
        <v>3095.3999999999996</v>
      </c>
      <c r="Q51" s="86">
        <v>3.5811488325454777E-2</v>
      </c>
      <c r="R51" s="86">
        <v>3.4331351127091514E-2</v>
      </c>
      <c r="S51" s="86">
        <v>3.4662566433800057E-2</v>
      </c>
      <c r="T51" s="87"/>
    </row>
    <row r="52" spans="1:20" s="2" customFormat="1" ht="25.15" hidden="1" customHeight="1" x14ac:dyDescent="2.5">
      <c r="A52" s="3">
        <v>17</v>
      </c>
      <c r="B52" s="3">
        <v>1</v>
      </c>
      <c r="C52" s="3"/>
      <c r="D52" s="3"/>
      <c r="E52" s="3"/>
      <c r="F52" s="3">
        <v>1</v>
      </c>
      <c r="G52" s="68" t="s">
        <v>4</v>
      </c>
      <c r="H52" s="68"/>
      <c r="I52" s="68" t="s">
        <v>4</v>
      </c>
      <c r="J52" s="68" t="s">
        <v>4</v>
      </c>
      <c r="K52" s="57">
        <v>1699.4</v>
      </c>
      <c r="L52" s="57"/>
      <c r="M52" s="57">
        <v>1699.4</v>
      </c>
      <c r="N52" s="57">
        <v>1699.4</v>
      </c>
      <c r="O52" s="57">
        <v>1784.4</v>
      </c>
      <c r="P52" s="57">
        <v>1873.6</v>
      </c>
      <c r="Q52" s="58">
        <v>0</v>
      </c>
      <c r="R52" s="58">
        <v>5.0017653289396335E-2</v>
      </c>
      <c r="S52" s="58">
        <v>4.9988791750728456E-2</v>
      </c>
      <c r="T52" s="37"/>
    </row>
    <row r="53" spans="1:20" s="2" customFormat="1" ht="25.15" hidden="1" customHeight="1" x14ac:dyDescent="2.5">
      <c r="A53" s="3">
        <v>17</v>
      </c>
      <c r="B53" s="3">
        <v>1</v>
      </c>
      <c r="C53" s="3"/>
      <c r="D53" s="3"/>
      <c r="E53" s="3"/>
      <c r="F53" s="3">
        <v>2</v>
      </c>
      <c r="G53" s="68" t="s">
        <v>5</v>
      </c>
      <c r="H53" s="68"/>
      <c r="I53" s="68" t="s">
        <v>5</v>
      </c>
      <c r="J53" s="68" t="s">
        <v>5</v>
      </c>
      <c r="K53" s="57">
        <v>1093</v>
      </c>
      <c r="L53" s="57"/>
      <c r="M53" s="57">
        <v>1093</v>
      </c>
      <c r="N53" s="57">
        <v>1193</v>
      </c>
      <c r="O53" s="57">
        <v>1207.3</v>
      </c>
      <c r="P53" s="57">
        <v>1221.8</v>
      </c>
      <c r="Q53" s="58">
        <v>9.1491308325708953E-2</v>
      </c>
      <c r="R53" s="58">
        <v>1.1986588432522982E-2</v>
      </c>
      <c r="S53" s="58">
        <v>1.2010270852315097E-2</v>
      </c>
      <c r="T53" s="37" t="s">
        <v>134</v>
      </c>
    </row>
    <row r="54" spans="1:20" s="3" customFormat="1" ht="25.15" customHeight="1" x14ac:dyDescent="2.5">
      <c r="A54" s="3">
        <v>18</v>
      </c>
      <c r="B54" s="3">
        <v>1</v>
      </c>
      <c r="C54" s="3">
        <v>20</v>
      </c>
      <c r="D54" s="3">
        <v>5</v>
      </c>
      <c r="G54" s="84" t="s">
        <v>179</v>
      </c>
      <c r="H54" s="84" t="str">
        <f>LEFT(I54, FIND(" ", I54)-1)</f>
        <v>អនុកម្មវិធីទី៤.៣</v>
      </c>
      <c r="I54" s="84" t="s">
        <v>232</v>
      </c>
      <c r="J54" s="84" t="s">
        <v>62</v>
      </c>
      <c r="K54" s="85">
        <v>2646.2</v>
      </c>
      <c r="L54" s="85">
        <v>0</v>
      </c>
      <c r="M54" s="85">
        <v>2646.2</v>
      </c>
      <c r="N54" s="85">
        <v>2746.2</v>
      </c>
      <c r="O54" s="85">
        <v>2864.4</v>
      </c>
      <c r="P54" s="85">
        <v>2988.2999999999997</v>
      </c>
      <c r="Q54" s="86">
        <v>3.7790038545839399E-2</v>
      </c>
      <c r="R54" s="86">
        <v>4.3041293423639937E-2</v>
      </c>
      <c r="S54" s="86">
        <v>4.3255131964809346E-2</v>
      </c>
      <c r="T54" s="87"/>
    </row>
    <row r="55" spans="1:20" s="2" customFormat="1" ht="25.15" hidden="1" customHeight="1" x14ac:dyDescent="2.5">
      <c r="A55" s="3">
        <v>18</v>
      </c>
      <c r="B55" s="3">
        <v>1</v>
      </c>
      <c r="C55" s="3"/>
      <c r="D55" s="3"/>
      <c r="E55" s="3"/>
      <c r="F55" s="3">
        <v>1</v>
      </c>
      <c r="G55" s="68" t="s">
        <v>4</v>
      </c>
      <c r="H55" s="68"/>
      <c r="I55" s="68" t="s">
        <v>4</v>
      </c>
      <c r="J55" s="68" t="s">
        <v>4</v>
      </c>
      <c r="K55" s="57">
        <v>2244.1999999999998</v>
      </c>
      <c r="L55" s="57"/>
      <c r="M55" s="57">
        <v>2244.1999999999998</v>
      </c>
      <c r="N55" s="57">
        <v>2244.1999999999998</v>
      </c>
      <c r="O55" s="57">
        <v>2356.4</v>
      </c>
      <c r="P55" s="57">
        <v>2474.1999999999998</v>
      </c>
      <c r="Q55" s="58">
        <v>0</v>
      </c>
      <c r="R55" s="58">
        <v>4.9995544069156184E-2</v>
      </c>
      <c r="S55" s="58">
        <v>4.9991512476659228E-2</v>
      </c>
      <c r="T55" s="37"/>
    </row>
    <row r="56" spans="1:20" s="2" customFormat="1" ht="25.15" hidden="1" customHeight="1" x14ac:dyDescent="2.5">
      <c r="A56" s="3">
        <v>18</v>
      </c>
      <c r="B56" s="3">
        <v>1</v>
      </c>
      <c r="C56" s="3"/>
      <c r="D56" s="3"/>
      <c r="E56" s="3"/>
      <c r="F56" s="3">
        <v>2</v>
      </c>
      <c r="G56" s="68" t="s">
        <v>5</v>
      </c>
      <c r="H56" s="68"/>
      <c r="I56" s="68" t="s">
        <v>5</v>
      </c>
      <c r="J56" s="68" t="s">
        <v>5</v>
      </c>
      <c r="K56" s="57">
        <v>402</v>
      </c>
      <c r="L56" s="57"/>
      <c r="M56" s="57">
        <v>402</v>
      </c>
      <c r="N56" s="57">
        <v>502</v>
      </c>
      <c r="O56" s="57">
        <v>508</v>
      </c>
      <c r="P56" s="57">
        <v>514.1</v>
      </c>
      <c r="Q56" s="58">
        <v>0.24875621890547261</v>
      </c>
      <c r="R56" s="58">
        <v>1.195219123505975E-2</v>
      </c>
      <c r="S56" s="58">
        <v>1.2007874015748099E-2</v>
      </c>
      <c r="T56" s="37" t="s">
        <v>134</v>
      </c>
    </row>
    <row r="57" spans="1:20" s="3" customFormat="1" ht="25.15" customHeight="1" x14ac:dyDescent="2.5">
      <c r="A57" s="3">
        <v>19</v>
      </c>
      <c r="B57" s="3">
        <v>1</v>
      </c>
      <c r="C57" s="3">
        <v>21</v>
      </c>
      <c r="D57" s="3">
        <v>9</v>
      </c>
      <c r="G57" s="84" t="s">
        <v>180</v>
      </c>
      <c r="H57" s="84" t="str">
        <f>LEFT(I57, FIND(" ", I57)-1)</f>
        <v>អនុកម្មវិធីទី៤.៤</v>
      </c>
      <c r="I57" s="84" t="s">
        <v>233</v>
      </c>
      <c r="J57" s="84" t="s">
        <v>63</v>
      </c>
      <c r="K57" s="85">
        <v>17961.099999999999</v>
      </c>
      <c r="L57" s="85">
        <v>1373.5</v>
      </c>
      <c r="M57" s="85">
        <v>16587.599999999999</v>
      </c>
      <c r="N57" s="85">
        <v>16837.599999999999</v>
      </c>
      <c r="O57" s="85">
        <v>17487.2</v>
      </c>
      <c r="P57" s="85">
        <v>18167</v>
      </c>
      <c r="Q57" s="86">
        <v>-6.2551848160747436E-2</v>
      </c>
      <c r="R57" s="86">
        <v>3.8580320235663157E-2</v>
      </c>
      <c r="S57" s="86">
        <v>3.8874147948213533E-2</v>
      </c>
      <c r="T57" s="87"/>
    </row>
    <row r="58" spans="1:20" s="2" customFormat="1" ht="25.15" hidden="1" customHeight="1" x14ac:dyDescent="2.5">
      <c r="A58" s="3">
        <v>19</v>
      </c>
      <c r="B58" s="3">
        <v>1</v>
      </c>
      <c r="C58" s="3"/>
      <c r="D58" s="3"/>
      <c r="E58" s="3"/>
      <c r="F58" s="3">
        <v>1</v>
      </c>
      <c r="G58" s="68" t="s">
        <v>4</v>
      </c>
      <c r="H58" s="68"/>
      <c r="I58" s="68" t="s">
        <v>4</v>
      </c>
      <c r="J58" s="68" t="s">
        <v>4</v>
      </c>
      <c r="K58" s="57">
        <v>11778.1</v>
      </c>
      <c r="L58" s="57"/>
      <c r="M58" s="57">
        <v>11778.1</v>
      </c>
      <c r="N58" s="57">
        <v>11778.1</v>
      </c>
      <c r="O58" s="57">
        <v>12367</v>
      </c>
      <c r="P58" s="57">
        <v>12985.4</v>
      </c>
      <c r="Q58" s="58">
        <v>0</v>
      </c>
      <c r="R58" s="58">
        <v>4.9999575483312242E-2</v>
      </c>
      <c r="S58" s="58">
        <v>5.0004043017708444E-2</v>
      </c>
      <c r="T58" s="37"/>
    </row>
    <row r="59" spans="1:20" s="2" customFormat="1" ht="25.15" hidden="1" customHeight="1" x14ac:dyDescent="2.5">
      <c r="A59" s="3">
        <v>19</v>
      </c>
      <c r="B59" s="3">
        <v>1</v>
      </c>
      <c r="C59" s="3"/>
      <c r="D59" s="3"/>
      <c r="E59" s="3"/>
      <c r="F59" s="3">
        <v>2</v>
      </c>
      <c r="G59" s="68" t="s">
        <v>5</v>
      </c>
      <c r="H59" s="68"/>
      <c r="I59" s="68" t="s">
        <v>5</v>
      </c>
      <c r="J59" s="68" t="s">
        <v>5</v>
      </c>
      <c r="K59" s="57">
        <v>6183</v>
      </c>
      <c r="L59" s="57">
        <v>1373.5</v>
      </c>
      <c r="M59" s="57">
        <v>4809.5</v>
      </c>
      <c r="N59" s="57">
        <v>5059.5</v>
      </c>
      <c r="O59" s="57">
        <v>5120.2</v>
      </c>
      <c r="P59" s="57">
        <v>5181.6000000000004</v>
      </c>
      <c r="Q59" s="58">
        <v>-0.1817079087821446</v>
      </c>
      <c r="R59" s="58">
        <v>1.1997232928155022E-2</v>
      </c>
      <c r="S59" s="58">
        <v>1.1991719073473739E-2</v>
      </c>
      <c r="T59" s="37" t="s">
        <v>119</v>
      </c>
    </row>
    <row r="60" spans="1:20" s="3" customFormat="1" ht="25.15" customHeight="1" x14ac:dyDescent="2.5">
      <c r="A60" s="3">
        <v>20</v>
      </c>
      <c r="B60" s="3">
        <v>1</v>
      </c>
      <c r="C60" s="3">
        <v>22</v>
      </c>
      <c r="D60" s="3">
        <v>13</v>
      </c>
      <c r="G60" s="84" t="s">
        <v>181</v>
      </c>
      <c r="H60" s="84" t="str">
        <f>LEFT(I60, FIND(" ", I60)-1)</f>
        <v>អនុកម្មវិធីទី៤.៥</v>
      </c>
      <c r="I60" s="84" t="s">
        <v>234</v>
      </c>
      <c r="J60" s="84" t="s">
        <v>64</v>
      </c>
      <c r="K60" s="85">
        <v>15485.8</v>
      </c>
      <c r="L60" s="85">
        <v>0</v>
      </c>
      <c r="M60" s="85">
        <v>15485.8</v>
      </c>
      <c r="N60" s="85">
        <v>15735.8</v>
      </c>
      <c r="O60" s="85">
        <v>15975.800000000001</v>
      </c>
      <c r="P60" s="85">
        <v>16221.3</v>
      </c>
      <c r="Q60" s="86">
        <v>1.6143822082165693E-2</v>
      </c>
      <c r="R60" s="86">
        <v>1.5251846108872869E-2</v>
      </c>
      <c r="S60" s="86">
        <v>1.5366992576271388E-2</v>
      </c>
      <c r="T60" s="87"/>
    </row>
    <row r="61" spans="1:20" s="2" customFormat="1" ht="25.15" hidden="1" customHeight="1" x14ac:dyDescent="2.5">
      <c r="A61" s="3">
        <v>20</v>
      </c>
      <c r="B61" s="3">
        <v>1</v>
      </c>
      <c r="C61" s="3"/>
      <c r="D61" s="3"/>
      <c r="E61" s="3"/>
      <c r="F61" s="3">
        <v>1</v>
      </c>
      <c r="G61" s="68" t="s">
        <v>4</v>
      </c>
      <c r="H61" s="68"/>
      <c r="I61" s="68" t="s">
        <v>4</v>
      </c>
      <c r="J61" s="68" t="s">
        <v>4</v>
      </c>
      <c r="K61" s="57">
        <v>1345.8</v>
      </c>
      <c r="L61" s="57"/>
      <c r="M61" s="57">
        <v>1345.8</v>
      </c>
      <c r="N61" s="57">
        <v>1345.8</v>
      </c>
      <c r="O61" s="57">
        <v>1413.1</v>
      </c>
      <c r="P61" s="57">
        <v>1483.8</v>
      </c>
      <c r="Q61" s="58">
        <v>0</v>
      </c>
      <c r="R61" s="58">
        <v>5.0007430524594998E-2</v>
      </c>
      <c r="S61" s="58">
        <v>5.0031844880050969E-2</v>
      </c>
      <c r="T61" s="37"/>
    </row>
    <row r="62" spans="1:20" s="2" customFormat="1" ht="25.15" hidden="1" customHeight="1" x14ac:dyDescent="2.5">
      <c r="A62" s="3">
        <v>20</v>
      </c>
      <c r="B62" s="3">
        <v>1</v>
      </c>
      <c r="C62" s="3"/>
      <c r="D62" s="3"/>
      <c r="E62" s="3"/>
      <c r="F62" s="3">
        <v>2</v>
      </c>
      <c r="G62" s="68" t="s">
        <v>5</v>
      </c>
      <c r="H62" s="68"/>
      <c r="I62" s="68" t="s">
        <v>5</v>
      </c>
      <c r="J62" s="68" t="s">
        <v>5</v>
      </c>
      <c r="K62" s="57">
        <v>14140</v>
      </c>
      <c r="L62" s="57"/>
      <c r="M62" s="57">
        <v>14140</v>
      </c>
      <c r="N62" s="57">
        <v>14390</v>
      </c>
      <c r="O62" s="57">
        <v>14562.7</v>
      </c>
      <c r="P62" s="57">
        <v>14737.5</v>
      </c>
      <c r="Q62" s="58">
        <v>1.7680339462517791E-2</v>
      </c>
      <c r="R62" s="58">
        <v>1.2001389854065403E-2</v>
      </c>
      <c r="S62" s="58">
        <v>1.2003268624636965E-2</v>
      </c>
      <c r="T62" s="37" t="s">
        <v>118</v>
      </c>
    </row>
    <row r="63" spans="1:20" s="3" customFormat="1" ht="25.15" customHeight="1" x14ac:dyDescent="2.5">
      <c r="A63" s="3">
        <v>21</v>
      </c>
      <c r="B63" s="3">
        <v>1</v>
      </c>
      <c r="C63" s="3">
        <v>23</v>
      </c>
      <c r="D63" s="3">
        <v>491</v>
      </c>
      <c r="G63" s="84" t="s">
        <v>161</v>
      </c>
      <c r="H63" s="84" t="str">
        <f>LEFT(I63, FIND(" ", I63)-1)</f>
        <v>អនុកម្មវិធីទី៤.៦</v>
      </c>
      <c r="I63" s="84" t="s">
        <v>235</v>
      </c>
      <c r="J63" s="84" t="s">
        <v>65</v>
      </c>
      <c r="K63" s="85">
        <v>252</v>
      </c>
      <c r="L63" s="85">
        <v>0</v>
      </c>
      <c r="M63" s="85">
        <v>252</v>
      </c>
      <c r="N63" s="85">
        <v>552</v>
      </c>
      <c r="O63" s="85">
        <v>558.6</v>
      </c>
      <c r="P63" s="85">
        <v>565.29999999999995</v>
      </c>
      <c r="Q63" s="86">
        <v>1.1904761904761907</v>
      </c>
      <c r="R63" s="86">
        <v>1.1956521739130421E-2</v>
      </c>
      <c r="S63" s="86">
        <v>1.199427139276743E-2</v>
      </c>
      <c r="T63" s="87"/>
    </row>
    <row r="64" spans="1:20" s="2" customFormat="1" ht="25.15" hidden="1" customHeight="1" x14ac:dyDescent="2.5">
      <c r="A64" s="3">
        <v>21</v>
      </c>
      <c r="B64" s="3">
        <v>1</v>
      </c>
      <c r="C64" s="3"/>
      <c r="D64" s="3"/>
      <c r="E64" s="3"/>
      <c r="F64" s="3">
        <v>1</v>
      </c>
      <c r="G64" s="68" t="s">
        <v>4</v>
      </c>
      <c r="H64" s="68"/>
      <c r="I64" s="68" t="s">
        <v>4</v>
      </c>
      <c r="J64" s="68" t="s">
        <v>4</v>
      </c>
      <c r="K64" s="57">
        <v>0</v>
      </c>
      <c r="L64" s="57"/>
      <c r="M64" s="57">
        <v>0</v>
      </c>
      <c r="N64" s="57">
        <v>0</v>
      </c>
      <c r="O64" s="57">
        <v>0</v>
      </c>
      <c r="P64" s="57">
        <v>0</v>
      </c>
      <c r="Q64" s="58" t="s">
        <v>141</v>
      </c>
      <c r="R64" s="58" t="s">
        <v>141</v>
      </c>
      <c r="S64" s="58" t="s">
        <v>141</v>
      </c>
      <c r="T64" s="37"/>
    </row>
    <row r="65" spans="1:20" s="2" customFormat="1" ht="25.15" hidden="1" customHeight="1" x14ac:dyDescent="2.5">
      <c r="A65" s="3">
        <v>21</v>
      </c>
      <c r="B65" s="3">
        <v>1</v>
      </c>
      <c r="C65" s="3"/>
      <c r="D65" s="3"/>
      <c r="E65" s="3"/>
      <c r="F65" s="3">
        <v>2</v>
      </c>
      <c r="G65" s="68" t="s">
        <v>5</v>
      </c>
      <c r="H65" s="68"/>
      <c r="I65" s="68" t="s">
        <v>5</v>
      </c>
      <c r="J65" s="68" t="s">
        <v>5</v>
      </c>
      <c r="K65" s="57">
        <v>252</v>
      </c>
      <c r="L65" s="57"/>
      <c r="M65" s="57">
        <v>252</v>
      </c>
      <c r="N65" s="57">
        <v>552</v>
      </c>
      <c r="O65" s="57">
        <v>558.6</v>
      </c>
      <c r="P65" s="57">
        <v>565.29999999999995</v>
      </c>
      <c r="Q65" s="58">
        <v>1.1904761904761907</v>
      </c>
      <c r="R65" s="58">
        <v>1.1956521739130421E-2</v>
      </c>
      <c r="S65" s="58">
        <v>1.199427139276743E-2</v>
      </c>
      <c r="T65" s="37" t="s">
        <v>117</v>
      </c>
    </row>
    <row r="66" spans="1:20" s="3" customFormat="1" ht="25.15" customHeight="1" x14ac:dyDescent="2.5">
      <c r="A66" s="3">
        <v>22</v>
      </c>
      <c r="B66" s="3">
        <v>1</v>
      </c>
      <c r="C66" s="3">
        <v>24</v>
      </c>
      <c r="D66" s="3">
        <v>12</v>
      </c>
      <c r="G66" s="84" t="s">
        <v>182</v>
      </c>
      <c r="H66" s="84" t="str">
        <f>LEFT(I66, FIND(" ", I66)-1)</f>
        <v>អនុកម្មវិធីទី៤.៧</v>
      </c>
      <c r="I66" s="84" t="s">
        <v>236</v>
      </c>
      <c r="J66" s="84" t="s">
        <v>136</v>
      </c>
      <c r="K66" s="85">
        <v>1433</v>
      </c>
      <c r="L66" s="85">
        <v>0</v>
      </c>
      <c r="M66" s="85">
        <v>1433</v>
      </c>
      <c r="N66" s="85">
        <v>1533</v>
      </c>
      <c r="O66" s="85">
        <v>1599.6000000000001</v>
      </c>
      <c r="P66" s="85">
        <v>1669.4</v>
      </c>
      <c r="Q66" s="86">
        <v>6.9783670621074601E-2</v>
      </c>
      <c r="R66" s="86">
        <v>4.3444227005871028E-2</v>
      </c>
      <c r="S66" s="86">
        <v>4.3635908977244231E-2</v>
      </c>
      <c r="T66" s="87"/>
    </row>
    <row r="67" spans="1:20" s="2" customFormat="1" ht="25.15" hidden="1" customHeight="1" x14ac:dyDescent="2.5">
      <c r="A67" s="3">
        <v>22</v>
      </c>
      <c r="B67" s="3">
        <v>1</v>
      </c>
      <c r="C67" s="3"/>
      <c r="D67" s="3"/>
      <c r="E67" s="3"/>
      <c r="F67" s="3">
        <v>1</v>
      </c>
      <c r="G67" s="68" t="s">
        <v>4</v>
      </c>
      <c r="H67" s="68"/>
      <c r="I67" s="68" t="s">
        <v>4</v>
      </c>
      <c r="J67" s="68" t="s">
        <v>4</v>
      </c>
      <c r="K67" s="57">
        <v>1268</v>
      </c>
      <c r="L67" s="57"/>
      <c r="M67" s="57">
        <v>1268</v>
      </c>
      <c r="N67" s="57">
        <v>1268</v>
      </c>
      <c r="O67" s="57">
        <v>1331.4</v>
      </c>
      <c r="P67" s="57">
        <v>1398</v>
      </c>
      <c r="Q67" s="58">
        <v>0</v>
      </c>
      <c r="R67" s="58">
        <v>5.0000000000000044E-2</v>
      </c>
      <c r="S67" s="58">
        <v>5.0022532672374886E-2</v>
      </c>
      <c r="T67" s="37"/>
    </row>
    <row r="68" spans="1:20" s="2" customFormat="1" ht="25.15" hidden="1" customHeight="1" x14ac:dyDescent="2.5">
      <c r="A68" s="3">
        <v>22</v>
      </c>
      <c r="B68" s="3">
        <v>1</v>
      </c>
      <c r="C68" s="3"/>
      <c r="D68" s="3"/>
      <c r="E68" s="3"/>
      <c r="F68" s="3">
        <v>2</v>
      </c>
      <c r="G68" s="68" t="s">
        <v>5</v>
      </c>
      <c r="H68" s="68"/>
      <c r="I68" s="68" t="s">
        <v>5</v>
      </c>
      <c r="J68" s="68" t="s">
        <v>5</v>
      </c>
      <c r="K68" s="57">
        <v>165</v>
      </c>
      <c r="L68" s="57"/>
      <c r="M68" s="57">
        <v>165</v>
      </c>
      <c r="N68" s="57">
        <v>265</v>
      </c>
      <c r="O68" s="57">
        <v>268.2</v>
      </c>
      <c r="P68" s="57">
        <v>271.39999999999998</v>
      </c>
      <c r="Q68" s="58">
        <v>0.60606060606060597</v>
      </c>
      <c r="R68" s="58">
        <v>1.2075471698113072E-2</v>
      </c>
      <c r="S68" s="58">
        <v>1.1931394481730084E-2</v>
      </c>
      <c r="T68" s="37" t="s">
        <v>134</v>
      </c>
    </row>
    <row r="69" spans="1:20" s="3" customFormat="1" ht="25.15" customHeight="1" x14ac:dyDescent="2.5">
      <c r="A69" s="3">
        <v>23</v>
      </c>
      <c r="B69" s="3">
        <v>1</v>
      </c>
      <c r="C69" s="3">
        <v>25</v>
      </c>
      <c r="D69" s="3">
        <v>10</v>
      </c>
      <c r="G69" s="84" t="s">
        <v>162</v>
      </c>
      <c r="H69" s="84" t="str">
        <f>LEFT(I69, FIND(" ", I69)-1)</f>
        <v>អនុកម្មវិធីទី៤.៨</v>
      </c>
      <c r="I69" s="84" t="s">
        <v>237</v>
      </c>
      <c r="J69" s="84" t="s">
        <v>66</v>
      </c>
      <c r="K69" s="85">
        <v>2632.9</v>
      </c>
      <c r="L69" s="85">
        <v>0</v>
      </c>
      <c r="M69" s="85">
        <v>2632.9</v>
      </c>
      <c r="N69" s="85">
        <v>2782.9</v>
      </c>
      <c r="O69" s="85">
        <v>2891.8</v>
      </c>
      <c r="P69" s="85">
        <v>3005.7999999999997</v>
      </c>
      <c r="Q69" s="86">
        <v>5.6971400357020752E-2</v>
      </c>
      <c r="R69" s="86">
        <v>3.9131840885407332E-2</v>
      </c>
      <c r="S69" s="86">
        <v>3.9421813403416328E-2</v>
      </c>
      <c r="T69" s="87"/>
    </row>
    <row r="70" spans="1:20" s="2" customFormat="1" ht="25.15" hidden="1" customHeight="1" x14ac:dyDescent="2.5">
      <c r="A70" s="3">
        <v>23</v>
      </c>
      <c r="B70" s="3">
        <v>1</v>
      </c>
      <c r="C70" s="3"/>
      <c r="D70" s="3"/>
      <c r="E70" s="3"/>
      <c r="F70" s="3">
        <v>1</v>
      </c>
      <c r="G70" s="68" t="s">
        <v>4</v>
      </c>
      <c r="H70" s="68"/>
      <c r="I70" s="68" t="s">
        <v>4</v>
      </c>
      <c r="J70" s="68" t="s">
        <v>4</v>
      </c>
      <c r="K70" s="57">
        <v>1988.9</v>
      </c>
      <c r="L70" s="57"/>
      <c r="M70" s="57">
        <v>1988.9</v>
      </c>
      <c r="N70" s="57">
        <v>1988.9</v>
      </c>
      <c r="O70" s="57">
        <v>2088.3000000000002</v>
      </c>
      <c r="P70" s="57">
        <v>2192.6999999999998</v>
      </c>
      <c r="Q70" s="58">
        <v>0</v>
      </c>
      <c r="R70" s="58">
        <v>4.9977374428075816E-2</v>
      </c>
      <c r="S70" s="58">
        <v>4.9992817123976296E-2</v>
      </c>
      <c r="T70" s="37"/>
    </row>
    <row r="71" spans="1:20" s="2" customFormat="1" ht="25.15" hidden="1" customHeight="1" x14ac:dyDescent="2.5">
      <c r="A71" s="3">
        <v>23</v>
      </c>
      <c r="B71" s="3">
        <v>1</v>
      </c>
      <c r="C71" s="3"/>
      <c r="D71" s="3"/>
      <c r="E71" s="3"/>
      <c r="F71" s="3">
        <v>2</v>
      </c>
      <c r="G71" s="68" t="s">
        <v>5</v>
      </c>
      <c r="H71" s="68"/>
      <c r="I71" s="68" t="s">
        <v>5</v>
      </c>
      <c r="J71" s="68" t="s">
        <v>5</v>
      </c>
      <c r="K71" s="57">
        <v>644</v>
      </c>
      <c r="L71" s="57"/>
      <c r="M71" s="57">
        <v>644</v>
      </c>
      <c r="N71" s="57">
        <v>794</v>
      </c>
      <c r="O71" s="57">
        <v>803.5</v>
      </c>
      <c r="P71" s="57">
        <v>813.1</v>
      </c>
      <c r="Q71" s="58">
        <v>0.23291925465838514</v>
      </c>
      <c r="R71" s="58">
        <v>1.1964735516372782E-2</v>
      </c>
      <c r="S71" s="58">
        <v>1.1947728686994452E-2</v>
      </c>
      <c r="T71" s="37" t="s">
        <v>134</v>
      </c>
    </row>
    <row r="72" spans="1:20" s="3" customFormat="1" ht="25.15" customHeight="1" x14ac:dyDescent="2.5">
      <c r="A72" s="3">
        <v>24</v>
      </c>
      <c r="B72" s="3">
        <v>1</v>
      </c>
      <c r="C72" s="3">
        <v>26</v>
      </c>
      <c r="D72" s="3">
        <v>17</v>
      </c>
      <c r="G72" s="84" t="s">
        <v>183</v>
      </c>
      <c r="H72" s="84" t="str">
        <f>LEFT(I72, FIND(" ", I72)-1)</f>
        <v>អនុកម្មវិធីទី៤.៩</v>
      </c>
      <c r="I72" s="84" t="s">
        <v>238</v>
      </c>
      <c r="J72" s="84" t="s">
        <v>138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6" t="s">
        <v>141</v>
      </c>
      <c r="R72" s="86" t="s">
        <v>141</v>
      </c>
      <c r="S72" s="86" t="s">
        <v>141</v>
      </c>
      <c r="T72" s="87"/>
    </row>
    <row r="73" spans="1:20" s="2" customFormat="1" ht="25.15" hidden="1" customHeight="1" x14ac:dyDescent="2.5">
      <c r="A73" s="3">
        <v>24</v>
      </c>
      <c r="B73" s="3">
        <v>1</v>
      </c>
      <c r="C73" s="3"/>
      <c r="D73" s="3"/>
      <c r="E73" s="3"/>
      <c r="F73" s="3">
        <v>1</v>
      </c>
      <c r="G73" s="68" t="s">
        <v>4</v>
      </c>
      <c r="H73" s="68"/>
      <c r="I73" s="68" t="s">
        <v>4</v>
      </c>
      <c r="J73" s="68" t="s">
        <v>4</v>
      </c>
      <c r="K73" s="57">
        <v>0</v>
      </c>
      <c r="L73" s="57"/>
      <c r="M73" s="57">
        <v>0</v>
      </c>
      <c r="N73" s="57">
        <v>0</v>
      </c>
      <c r="O73" s="57">
        <v>0</v>
      </c>
      <c r="P73" s="57">
        <v>0</v>
      </c>
      <c r="Q73" s="58" t="s">
        <v>141</v>
      </c>
      <c r="R73" s="58" t="s">
        <v>141</v>
      </c>
      <c r="S73" s="58" t="s">
        <v>141</v>
      </c>
      <c r="T73" s="37"/>
    </row>
    <row r="74" spans="1:20" s="2" customFormat="1" ht="25.15" hidden="1" customHeight="1" x14ac:dyDescent="2.5">
      <c r="A74" s="3">
        <v>24</v>
      </c>
      <c r="B74" s="3">
        <v>1</v>
      </c>
      <c r="C74" s="3"/>
      <c r="D74" s="3"/>
      <c r="E74" s="3"/>
      <c r="F74" s="3">
        <v>2</v>
      </c>
      <c r="G74" s="68" t="s">
        <v>5</v>
      </c>
      <c r="H74" s="68"/>
      <c r="I74" s="68" t="s">
        <v>5</v>
      </c>
      <c r="J74" s="68" t="s">
        <v>5</v>
      </c>
      <c r="K74" s="57">
        <v>0</v>
      </c>
      <c r="L74" s="57"/>
      <c r="M74" s="57">
        <v>0</v>
      </c>
      <c r="N74" s="57">
        <v>0</v>
      </c>
      <c r="O74" s="57">
        <v>0</v>
      </c>
      <c r="P74" s="57">
        <v>0</v>
      </c>
      <c r="Q74" s="58" t="s">
        <v>141</v>
      </c>
      <c r="R74" s="58" t="s">
        <v>141</v>
      </c>
      <c r="S74" s="58" t="s">
        <v>141</v>
      </c>
      <c r="T74" s="37"/>
    </row>
    <row r="75" spans="1:20" s="3" customFormat="1" ht="25.15" customHeight="1" x14ac:dyDescent="2.5">
      <c r="A75" s="3">
        <v>25</v>
      </c>
      <c r="B75" s="3">
        <v>1</v>
      </c>
      <c r="C75" s="3">
        <v>28</v>
      </c>
      <c r="D75" s="3">
        <v>14</v>
      </c>
      <c r="G75" s="84" t="s">
        <v>184</v>
      </c>
      <c r="H75" s="84" t="str">
        <f>LEFT(I75, FIND(" ", I75)-1)</f>
        <v>អនុកម្មវិធីទី៥.១</v>
      </c>
      <c r="I75" s="84" t="s">
        <v>239</v>
      </c>
      <c r="J75" s="84" t="s">
        <v>67</v>
      </c>
      <c r="K75" s="85">
        <v>1354.8</v>
      </c>
      <c r="L75" s="85">
        <v>0</v>
      </c>
      <c r="M75" s="85">
        <v>1354.8</v>
      </c>
      <c r="N75" s="85">
        <v>1554.8</v>
      </c>
      <c r="O75" s="85">
        <v>1604.2</v>
      </c>
      <c r="P75" s="85">
        <v>1655.8000000000002</v>
      </c>
      <c r="Q75" s="86">
        <v>0.14762326542663118</v>
      </c>
      <c r="R75" s="86">
        <v>3.177257525083621E-2</v>
      </c>
      <c r="S75" s="86">
        <v>3.2165565390849027E-2</v>
      </c>
      <c r="T75" s="87"/>
    </row>
    <row r="76" spans="1:20" s="2" customFormat="1" ht="25.15" hidden="1" customHeight="1" x14ac:dyDescent="2.5">
      <c r="A76" s="3">
        <v>25</v>
      </c>
      <c r="B76" s="3">
        <v>1</v>
      </c>
      <c r="C76" s="3"/>
      <c r="D76" s="3"/>
      <c r="E76" s="3"/>
      <c r="F76" s="3">
        <v>1</v>
      </c>
      <c r="G76" s="68" t="s">
        <v>4</v>
      </c>
      <c r="H76" s="68"/>
      <c r="I76" s="68" t="s">
        <v>4</v>
      </c>
      <c r="J76" s="68" t="s">
        <v>4</v>
      </c>
      <c r="K76" s="57">
        <v>808.8</v>
      </c>
      <c r="L76" s="57"/>
      <c r="M76" s="57">
        <v>808.8</v>
      </c>
      <c r="N76" s="57">
        <v>808.8</v>
      </c>
      <c r="O76" s="57">
        <v>849.2</v>
      </c>
      <c r="P76" s="57">
        <v>891.7</v>
      </c>
      <c r="Q76" s="58">
        <v>0</v>
      </c>
      <c r="R76" s="58">
        <v>4.9950544015826104E-2</v>
      </c>
      <c r="S76" s="58">
        <v>5.0047103155911543E-2</v>
      </c>
      <c r="T76" s="37"/>
    </row>
    <row r="77" spans="1:20" s="2" customFormat="1" ht="25.15" hidden="1" customHeight="1" x14ac:dyDescent="2.5">
      <c r="A77" s="3">
        <v>25</v>
      </c>
      <c r="B77" s="3">
        <v>1</v>
      </c>
      <c r="C77" s="3"/>
      <c r="D77" s="3"/>
      <c r="E77" s="3"/>
      <c r="F77" s="3">
        <v>2</v>
      </c>
      <c r="G77" s="68" t="s">
        <v>5</v>
      </c>
      <c r="H77" s="68"/>
      <c r="I77" s="68" t="s">
        <v>5</v>
      </c>
      <c r="J77" s="68" t="s">
        <v>5</v>
      </c>
      <c r="K77" s="57">
        <v>546</v>
      </c>
      <c r="L77" s="57"/>
      <c r="M77" s="57">
        <v>546</v>
      </c>
      <c r="N77" s="57">
        <v>746</v>
      </c>
      <c r="O77" s="57">
        <v>755</v>
      </c>
      <c r="P77" s="57">
        <v>764.1</v>
      </c>
      <c r="Q77" s="58">
        <v>0.36630036630036633</v>
      </c>
      <c r="R77" s="58">
        <v>1.2064343163538771E-2</v>
      </c>
      <c r="S77" s="58">
        <v>1.2052980132450264E-2</v>
      </c>
      <c r="T77" s="37" t="s">
        <v>133</v>
      </c>
    </row>
    <row r="78" spans="1:20" s="3" customFormat="1" ht="25.15" customHeight="1" x14ac:dyDescent="2.5">
      <c r="A78" s="3">
        <v>26</v>
      </c>
      <c r="B78" s="3">
        <v>1</v>
      </c>
      <c r="C78" s="3">
        <v>29</v>
      </c>
      <c r="D78" s="3">
        <v>21</v>
      </c>
      <c r="G78" s="84" t="s">
        <v>185</v>
      </c>
      <c r="H78" s="84" t="str">
        <f>LEFT(I78, FIND(" ", I78)-1)</f>
        <v>អនុកម្មវិធីទី៥.២</v>
      </c>
      <c r="I78" s="84" t="s">
        <v>240</v>
      </c>
      <c r="J78" s="84" t="s">
        <v>68</v>
      </c>
      <c r="K78" s="85">
        <v>1595.4</v>
      </c>
      <c r="L78" s="85">
        <v>0</v>
      </c>
      <c r="M78" s="85">
        <v>1595.4</v>
      </c>
      <c r="N78" s="85">
        <v>1695.4</v>
      </c>
      <c r="O78" s="85">
        <v>1752</v>
      </c>
      <c r="P78" s="85">
        <v>1811.1</v>
      </c>
      <c r="Q78" s="86">
        <v>6.2680205591074234E-2</v>
      </c>
      <c r="R78" s="86">
        <v>3.3384452046714586E-2</v>
      </c>
      <c r="S78" s="86">
        <v>3.3732876712328608E-2</v>
      </c>
      <c r="T78" s="87"/>
    </row>
    <row r="79" spans="1:20" s="2" customFormat="1" ht="25.15" hidden="1" customHeight="1" x14ac:dyDescent="2.5">
      <c r="A79" s="3">
        <v>26</v>
      </c>
      <c r="B79" s="3">
        <v>1</v>
      </c>
      <c r="C79" s="3"/>
      <c r="D79" s="3"/>
      <c r="E79" s="3"/>
      <c r="F79" s="3">
        <v>1</v>
      </c>
      <c r="G79" s="68" t="s">
        <v>4</v>
      </c>
      <c r="H79" s="68"/>
      <c r="I79" s="68" t="s">
        <v>4</v>
      </c>
      <c r="J79" s="68" t="s">
        <v>4</v>
      </c>
      <c r="K79" s="57">
        <v>953.4</v>
      </c>
      <c r="L79" s="57"/>
      <c r="M79" s="57">
        <v>953.4</v>
      </c>
      <c r="N79" s="57">
        <v>953.4</v>
      </c>
      <c r="O79" s="57">
        <v>1001.1</v>
      </c>
      <c r="P79" s="57">
        <v>1051.2</v>
      </c>
      <c r="Q79" s="58">
        <v>0</v>
      </c>
      <c r="R79" s="58">
        <v>5.0031466331025953E-2</v>
      </c>
      <c r="S79" s="58">
        <v>5.0044950554390288E-2</v>
      </c>
      <c r="T79" s="37"/>
    </row>
    <row r="80" spans="1:20" s="2" customFormat="1" ht="25.15" hidden="1" customHeight="1" x14ac:dyDescent="2.5">
      <c r="A80" s="3">
        <v>26</v>
      </c>
      <c r="B80" s="3">
        <v>1</v>
      </c>
      <c r="C80" s="3"/>
      <c r="D80" s="3"/>
      <c r="E80" s="3"/>
      <c r="F80" s="3">
        <v>2</v>
      </c>
      <c r="G80" s="68" t="s">
        <v>5</v>
      </c>
      <c r="H80" s="68"/>
      <c r="I80" s="68" t="s">
        <v>5</v>
      </c>
      <c r="J80" s="68" t="s">
        <v>5</v>
      </c>
      <c r="K80" s="57">
        <v>642</v>
      </c>
      <c r="L80" s="57"/>
      <c r="M80" s="57">
        <v>642</v>
      </c>
      <c r="N80" s="57">
        <v>742</v>
      </c>
      <c r="O80" s="57">
        <v>750.9</v>
      </c>
      <c r="P80" s="57">
        <v>759.9</v>
      </c>
      <c r="Q80" s="58">
        <v>0.15576323987538943</v>
      </c>
      <c r="R80" s="58">
        <v>1.1994609164420522E-2</v>
      </c>
      <c r="S80" s="58">
        <v>1.1985617259288928E-2</v>
      </c>
      <c r="T80" s="37" t="s">
        <v>134</v>
      </c>
    </row>
    <row r="81" spans="1:20" s="3" customFormat="1" ht="25.15" customHeight="1" x14ac:dyDescent="2.5">
      <c r="A81" s="3">
        <v>27</v>
      </c>
      <c r="B81" s="3">
        <v>1</v>
      </c>
      <c r="C81" s="3">
        <v>30</v>
      </c>
      <c r="D81" s="3">
        <v>2</v>
      </c>
      <c r="G81" s="84" t="s">
        <v>186</v>
      </c>
      <c r="H81" s="84" t="str">
        <f>LEFT(I81, FIND(" ", I81)-1)</f>
        <v>អនុកម្មវិធីទី៥.៣</v>
      </c>
      <c r="I81" s="84" t="s">
        <v>241</v>
      </c>
      <c r="J81" s="84" t="s">
        <v>69</v>
      </c>
      <c r="K81" s="85">
        <v>47634.8</v>
      </c>
      <c r="L81" s="85">
        <v>631</v>
      </c>
      <c r="M81" s="85">
        <v>47003.8</v>
      </c>
      <c r="N81" s="85">
        <v>58352</v>
      </c>
      <c r="O81" s="85">
        <v>60077</v>
      </c>
      <c r="P81" s="85">
        <v>61934.3</v>
      </c>
      <c r="Q81" s="86">
        <v>0.22498677437503667</v>
      </c>
      <c r="R81" s="86">
        <v>2.9561968741431244E-2</v>
      </c>
      <c r="S81" s="86">
        <v>3.0915325332490085E-2</v>
      </c>
      <c r="T81" s="87"/>
    </row>
    <row r="82" spans="1:20" s="2" customFormat="1" ht="25.15" hidden="1" customHeight="1" x14ac:dyDescent="2.5">
      <c r="A82" s="3">
        <v>27</v>
      </c>
      <c r="B82" s="3">
        <v>1</v>
      </c>
      <c r="C82" s="3"/>
      <c r="D82" s="3"/>
      <c r="E82" s="3"/>
      <c r="F82" s="3">
        <v>1</v>
      </c>
      <c r="G82" s="68" t="s">
        <v>4</v>
      </c>
      <c r="H82" s="68"/>
      <c r="I82" s="68" t="s">
        <v>4</v>
      </c>
      <c r="J82" s="68" t="s">
        <v>4</v>
      </c>
      <c r="K82" s="57">
        <v>15324</v>
      </c>
      <c r="L82" s="57">
        <v>0</v>
      </c>
      <c r="M82" s="57">
        <v>15324</v>
      </c>
      <c r="N82" s="57">
        <v>26381</v>
      </c>
      <c r="O82" s="57">
        <v>27700.3</v>
      </c>
      <c r="P82" s="57">
        <v>29085.399999999998</v>
      </c>
      <c r="Q82" s="58">
        <v>0.72154789872096048</v>
      </c>
      <c r="R82" s="58">
        <v>5.0009476517190343E-2</v>
      </c>
      <c r="S82" s="58">
        <v>5.0003068558824193E-2</v>
      </c>
      <c r="T82" s="37"/>
    </row>
    <row r="83" spans="1:20" s="2" customFormat="1" ht="25.15" hidden="1" customHeight="1" x14ac:dyDescent="2.5">
      <c r="A83" s="3">
        <v>27</v>
      </c>
      <c r="B83" s="3">
        <v>1</v>
      </c>
      <c r="C83" s="3"/>
      <c r="D83" s="3"/>
      <c r="E83" s="3"/>
      <c r="F83" s="3">
        <v>2</v>
      </c>
      <c r="G83" s="68" t="s">
        <v>5</v>
      </c>
      <c r="H83" s="68"/>
      <c r="I83" s="68" t="s">
        <v>5</v>
      </c>
      <c r="J83" s="68" t="s">
        <v>5</v>
      </c>
      <c r="K83" s="57">
        <v>32310.799999999999</v>
      </c>
      <c r="L83" s="57">
        <v>631</v>
      </c>
      <c r="M83" s="57">
        <v>31679.8</v>
      </c>
      <c r="N83" s="72">
        <v>31971</v>
      </c>
      <c r="O83" s="72">
        <v>32376.7</v>
      </c>
      <c r="P83" s="72">
        <v>32848.9</v>
      </c>
      <c r="Q83" s="58">
        <v>-1.0516607450140492E-2</v>
      </c>
      <c r="R83" s="58">
        <v>1.2689624972631375E-2</v>
      </c>
      <c r="S83" s="58">
        <v>1.458456235502692E-2</v>
      </c>
      <c r="T83" s="37"/>
    </row>
    <row r="84" spans="1:20" s="3" customFormat="1" ht="25.15" customHeight="1" x14ac:dyDescent="2.5">
      <c r="A84" s="3">
        <v>28</v>
      </c>
      <c r="B84" s="3">
        <v>1</v>
      </c>
      <c r="D84" s="3">
        <v>2</v>
      </c>
      <c r="E84" s="3">
        <v>2</v>
      </c>
      <c r="G84" s="79" t="s">
        <v>186</v>
      </c>
      <c r="H84" s="79"/>
      <c r="I84" s="79" t="s">
        <v>242</v>
      </c>
      <c r="J84" s="79" t="s">
        <v>44</v>
      </c>
      <c r="K84" s="70">
        <v>41867.800000000003</v>
      </c>
      <c r="L84" s="70">
        <v>431</v>
      </c>
      <c r="M84" s="70">
        <v>41436.800000000003</v>
      </c>
      <c r="N84" s="70">
        <v>53250</v>
      </c>
      <c r="O84" s="70">
        <v>54822</v>
      </c>
      <c r="P84" s="70">
        <v>56522.3</v>
      </c>
      <c r="Q84" s="71">
        <v>0.27186047511452704</v>
      </c>
      <c r="R84" s="71">
        <v>2.9521126760563288E-2</v>
      </c>
      <c r="S84" s="71">
        <v>3.1014921017110009E-2</v>
      </c>
      <c r="T84" s="41"/>
    </row>
    <row r="85" spans="1:20" s="2" customFormat="1" ht="25.15" hidden="1" customHeight="1" x14ac:dyDescent="2.5">
      <c r="A85" s="3">
        <v>28</v>
      </c>
      <c r="B85" s="3">
        <v>1</v>
      </c>
      <c r="C85" s="3"/>
      <c r="D85" s="3"/>
      <c r="E85" s="3">
        <v>2</v>
      </c>
      <c r="F85" s="3">
        <v>1</v>
      </c>
      <c r="G85" s="78" t="s">
        <v>4</v>
      </c>
      <c r="H85" s="78"/>
      <c r="I85" s="78" t="s">
        <v>4</v>
      </c>
      <c r="J85" s="78" t="s">
        <v>4</v>
      </c>
      <c r="K85" s="57">
        <v>15324</v>
      </c>
      <c r="L85" s="57"/>
      <c r="M85" s="57">
        <v>15324</v>
      </c>
      <c r="N85" s="57">
        <v>26381</v>
      </c>
      <c r="O85" s="57">
        <v>27700.3</v>
      </c>
      <c r="P85" s="57">
        <v>29085.399999999998</v>
      </c>
      <c r="Q85" s="58">
        <v>0.72154789872096048</v>
      </c>
      <c r="R85" s="58">
        <v>5.0009476517190343E-2</v>
      </c>
      <c r="S85" s="58">
        <v>5.0003068558824193E-2</v>
      </c>
      <c r="T85" s="37" t="s">
        <v>121</v>
      </c>
    </row>
    <row r="86" spans="1:20" s="2" customFormat="1" ht="25.15" hidden="1" customHeight="1" x14ac:dyDescent="2.5">
      <c r="A86" s="3">
        <v>28</v>
      </c>
      <c r="B86" s="3">
        <v>1</v>
      </c>
      <c r="C86" s="3"/>
      <c r="D86" s="3"/>
      <c r="E86" s="3"/>
      <c r="F86" s="3">
        <v>2</v>
      </c>
      <c r="G86" s="78" t="s">
        <v>5</v>
      </c>
      <c r="H86" s="78"/>
      <c r="I86" s="78" t="s">
        <v>5</v>
      </c>
      <c r="J86" s="78" t="s">
        <v>5</v>
      </c>
      <c r="K86" s="57">
        <v>26543.8</v>
      </c>
      <c r="L86" s="57">
        <v>431</v>
      </c>
      <c r="M86" s="57">
        <v>26112.799999999999</v>
      </c>
      <c r="N86" s="57">
        <v>26869</v>
      </c>
      <c r="O86" s="72">
        <v>27121.7</v>
      </c>
      <c r="P86" s="72">
        <v>27436.9</v>
      </c>
      <c r="Q86" s="58">
        <v>1.2251448549190469E-2</v>
      </c>
      <c r="R86" s="58">
        <v>9.4048903941346129E-3</v>
      </c>
      <c r="S86" s="58">
        <v>1.1621690380765326E-2</v>
      </c>
      <c r="T86" s="37" t="s">
        <v>120</v>
      </c>
    </row>
    <row r="87" spans="1:20" s="3" customFormat="1" ht="25.15" customHeight="1" x14ac:dyDescent="2.5">
      <c r="A87" s="3">
        <v>29</v>
      </c>
      <c r="B87" s="3">
        <v>1</v>
      </c>
      <c r="D87" s="3">
        <v>40</v>
      </c>
      <c r="E87" s="3">
        <v>2</v>
      </c>
      <c r="G87" s="79" t="s">
        <v>187</v>
      </c>
      <c r="H87" s="79"/>
      <c r="I87" s="79" t="s">
        <v>243</v>
      </c>
      <c r="J87" s="79" t="s">
        <v>45</v>
      </c>
      <c r="K87" s="70">
        <v>5767</v>
      </c>
      <c r="L87" s="70">
        <v>200</v>
      </c>
      <c r="M87" s="70">
        <v>5567</v>
      </c>
      <c r="N87" s="70">
        <v>5102</v>
      </c>
      <c r="O87" s="70">
        <v>5255</v>
      </c>
      <c r="P87" s="70">
        <v>5412</v>
      </c>
      <c r="Q87" s="71">
        <v>-0.11531125368475814</v>
      </c>
      <c r="R87" s="71">
        <v>2.9988239905919256E-2</v>
      </c>
      <c r="S87" s="71">
        <v>2.987630827783061E-2</v>
      </c>
      <c r="T87" s="41"/>
    </row>
    <row r="88" spans="1:20" s="2" customFormat="1" ht="25.15" hidden="1" customHeight="1" x14ac:dyDescent="2.5">
      <c r="A88" s="3">
        <v>29</v>
      </c>
      <c r="B88" s="3">
        <v>1</v>
      </c>
      <c r="C88" s="3"/>
      <c r="D88" s="3"/>
      <c r="E88" s="3"/>
      <c r="F88" s="3">
        <v>1</v>
      </c>
      <c r="G88" s="78" t="s">
        <v>4</v>
      </c>
      <c r="H88" s="78"/>
      <c r="I88" s="78" t="s">
        <v>4</v>
      </c>
      <c r="J88" s="78" t="s">
        <v>4</v>
      </c>
      <c r="K88" s="57">
        <v>0</v>
      </c>
      <c r="L88" s="57"/>
      <c r="M88" s="57">
        <v>0</v>
      </c>
      <c r="N88" s="57">
        <v>0</v>
      </c>
      <c r="O88" s="57">
        <v>0</v>
      </c>
      <c r="P88" s="57">
        <v>0</v>
      </c>
      <c r="Q88" s="58" t="s">
        <v>141</v>
      </c>
      <c r="R88" s="58" t="s">
        <v>141</v>
      </c>
      <c r="S88" s="58" t="s">
        <v>141</v>
      </c>
      <c r="T88" s="37"/>
    </row>
    <row r="89" spans="1:20" s="2" customFormat="1" ht="25.15" hidden="1" customHeight="1" x14ac:dyDescent="2.5">
      <c r="A89" s="3">
        <v>29</v>
      </c>
      <c r="B89" s="3">
        <v>1</v>
      </c>
      <c r="C89" s="3"/>
      <c r="D89" s="3"/>
      <c r="E89" s="3"/>
      <c r="F89" s="3">
        <v>2</v>
      </c>
      <c r="G89" s="78" t="s">
        <v>5</v>
      </c>
      <c r="H89" s="78"/>
      <c r="I89" s="78" t="s">
        <v>5</v>
      </c>
      <c r="J89" s="78" t="s">
        <v>5</v>
      </c>
      <c r="K89" s="57">
        <v>5767</v>
      </c>
      <c r="L89" s="57">
        <v>200</v>
      </c>
      <c r="M89" s="57">
        <v>5567</v>
      </c>
      <c r="N89" s="72">
        <v>5102</v>
      </c>
      <c r="O89" s="72">
        <v>5255</v>
      </c>
      <c r="P89" s="72">
        <v>5412</v>
      </c>
      <c r="Q89" s="58">
        <v>-0.11531125368475814</v>
      </c>
      <c r="R89" s="58">
        <v>2.9988239905919256E-2</v>
      </c>
      <c r="S89" s="58">
        <v>2.987630827783061E-2</v>
      </c>
      <c r="T89" s="37" t="s">
        <v>90</v>
      </c>
    </row>
    <row r="90" spans="1:20" s="3" customFormat="1" ht="25.15" customHeight="1" x14ac:dyDescent="2.5">
      <c r="A90" s="3">
        <v>30</v>
      </c>
      <c r="B90" s="3">
        <v>1</v>
      </c>
      <c r="C90" s="3">
        <v>31</v>
      </c>
      <c r="D90" s="3">
        <v>11</v>
      </c>
      <c r="G90" s="84" t="s">
        <v>188</v>
      </c>
      <c r="H90" s="84" t="str">
        <f>LEFT(I90, FIND(" ", I90)-1)</f>
        <v>អនុកម្មវិធីទី៥.៤</v>
      </c>
      <c r="I90" s="84" t="s">
        <v>244</v>
      </c>
      <c r="J90" s="84" t="s">
        <v>70</v>
      </c>
      <c r="K90" s="85">
        <v>1195.4000000000001</v>
      </c>
      <c r="L90" s="85">
        <v>0</v>
      </c>
      <c r="M90" s="85">
        <v>1195.4000000000001</v>
      </c>
      <c r="N90" s="85">
        <v>1295.4000000000001</v>
      </c>
      <c r="O90" s="85">
        <v>1339.4</v>
      </c>
      <c r="P90" s="85">
        <v>1385.3</v>
      </c>
      <c r="Q90" s="86">
        <v>8.3654007026936483E-2</v>
      </c>
      <c r="R90" s="86">
        <v>3.3966342442488751E-2</v>
      </c>
      <c r="S90" s="86">
        <v>3.426907570553972E-2</v>
      </c>
      <c r="T90" s="87"/>
    </row>
    <row r="91" spans="1:20" s="2" customFormat="1" ht="25.15" hidden="1" customHeight="1" x14ac:dyDescent="2.5">
      <c r="A91" s="3">
        <v>30</v>
      </c>
      <c r="B91" s="3">
        <v>1</v>
      </c>
      <c r="C91" s="3"/>
      <c r="D91" s="3"/>
      <c r="E91" s="3"/>
      <c r="F91" s="3">
        <v>1</v>
      </c>
      <c r="G91" s="68" t="s">
        <v>4</v>
      </c>
      <c r="H91" s="68"/>
      <c r="I91" s="68" t="s">
        <v>4</v>
      </c>
      <c r="J91" s="68" t="s">
        <v>4</v>
      </c>
      <c r="K91" s="57">
        <v>747.4</v>
      </c>
      <c r="L91" s="57"/>
      <c r="M91" s="57">
        <v>747.4</v>
      </c>
      <c r="N91" s="57">
        <v>747.4</v>
      </c>
      <c r="O91" s="57">
        <v>784.8</v>
      </c>
      <c r="P91" s="57">
        <v>824</v>
      </c>
      <c r="Q91" s="58">
        <v>0</v>
      </c>
      <c r="R91" s="58">
        <v>5.0040139149049923E-2</v>
      </c>
      <c r="S91" s="58">
        <v>4.9949031600407867E-2</v>
      </c>
      <c r="T91" s="37"/>
    </row>
    <row r="92" spans="1:20" s="2" customFormat="1" ht="25.15" hidden="1" customHeight="1" x14ac:dyDescent="2.5">
      <c r="A92" s="3">
        <v>30</v>
      </c>
      <c r="B92" s="3">
        <v>1</v>
      </c>
      <c r="C92" s="3"/>
      <c r="D92" s="3"/>
      <c r="E92" s="3"/>
      <c r="F92" s="3">
        <v>2</v>
      </c>
      <c r="G92" s="115" t="s">
        <v>5</v>
      </c>
      <c r="H92" s="115"/>
      <c r="I92" s="115" t="s">
        <v>5</v>
      </c>
      <c r="J92" s="115" t="s">
        <v>5</v>
      </c>
      <c r="K92" s="116">
        <v>448</v>
      </c>
      <c r="L92" s="116"/>
      <c r="M92" s="116">
        <v>448</v>
      </c>
      <c r="N92" s="116">
        <v>548</v>
      </c>
      <c r="O92" s="116">
        <v>554.6</v>
      </c>
      <c r="P92" s="116">
        <v>561.29999999999995</v>
      </c>
      <c r="Q92" s="117">
        <v>0.22321428571428581</v>
      </c>
      <c r="R92" s="117">
        <v>1.2043795620438003E-2</v>
      </c>
      <c r="S92" s="117">
        <v>1.2080778939776327E-2</v>
      </c>
      <c r="T92" s="118" t="s">
        <v>134</v>
      </c>
    </row>
    <row r="93" spans="1:20" s="3" customFormat="1" ht="25.15" customHeight="1" x14ac:dyDescent="2.5">
      <c r="A93" s="3">
        <v>31</v>
      </c>
      <c r="B93" s="3">
        <v>2</v>
      </c>
      <c r="D93" s="3">
        <v>28</v>
      </c>
      <c r="G93" s="111" t="s">
        <v>248</v>
      </c>
      <c r="H93" s="111"/>
      <c r="I93" s="111" t="s">
        <v>74</v>
      </c>
      <c r="J93" s="111" t="s">
        <v>74</v>
      </c>
      <c r="K93" s="112">
        <v>26450.999999999993</v>
      </c>
      <c r="L93" s="112">
        <v>7329.9000000000005</v>
      </c>
      <c r="M93" s="112">
        <v>19121.099999999999</v>
      </c>
      <c r="N93" s="112">
        <v>28005.999999999993</v>
      </c>
      <c r="O93" s="112">
        <v>29102</v>
      </c>
      <c r="P93" s="112">
        <v>30244</v>
      </c>
      <c r="Q93" s="113">
        <v>5.8787947525613449E-2</v>
      </c>
      <c r="R93" s="113">
        <v>3.9134471184746333E-2</v>
      </c>
      <c r="S93" s="113">
        <v>3.9241289258470147E-2</v>
      </c>
      <c r="T93" s="114"/>
    </row>
    <row r="94" spans="1:20" s="2" customFormat="1" ht="25.15" hidden="1" customHeight="1" x14ac:dyDescent="2.5">
      <c r="B94" s="3">
        <v>2</v>
      </c>
      <c r="C94" s="3"/>
      <c r="D94" s="3"/>
      <c r="E94" s="3"/>
      <c r="F94" s="3">
        <v>1</v>
      </c>
      <c r="G94" s="68" t="s">
        <v>4</v>
      </c>
      <c r="H94" s="68"/>
      <c r="I94" s="68" t="s">
        <v>4</v>
      </c>
      <c r="J94" s="68" t="s">
        <v>4</v>
      </c>
      <c r="K94" s="57">
        <v>11724.999999999998</v>
      </c>
      <c r="L94" s="57">
        <v>0</v>
      </c>
      <c r="M94" s="57">
        <v>11724.999999999998</v>
      </c>
      <c r="N94" s="57">
        <v>12838.999999999998</v>
      </c>
      <c r="O94" s="57">
        <v>13481.000000000002</v>
      </c>
      <c r="P94" s="57">
        <v>14154.999999999998</v>
      </c>
      <c r="Q94" s="58">
        <v>9.5010660980810346E-2</v>
      </c>
      <c r="R94" s="58">
        <v>5.0003894384298198E-2</v>
      </c>
      <c r="S94" s="58">
        <v>4.9996291076329413E-2</v>
      </c>
      <c r="T94" s="42"/>
    </row>
    <row r="95" spans="1:20" s="2" customFormat="1" ht="25.15" hidden="1" customHeight="1" x14ac:dyDescent="2.5">
      <c r="B95" s="3">
        <v>2</v>
      </c>
      <c r="C95" s="3"/>
      <c r="D95" s="3"/>
      <c r="E95" s="3"/>
      <c r="F95" s="3">
        <v>2</v>
      </c>
      <c r="G95" s="68" t="s">
        <v>5</v>
      </c>
      <c r="H95" s="68"/>
      <c r="I95" s="68" t="s">
        <v>5</v>
      </c>
      <c r="J95" s="68" t="s">
        <v>5</v>
      </c>
      <c r="K95" s="57">
        <v>14725.999999999996</v>
      </c>
      <c r="L95" s="57">
        <v>7329.9000000000005</v>
      </c>
      <c r="M95" s="57">
        <v>7396.0999999999995</v>
      </c>
      <c r="N95" s="57">
        <v>15166.999999999996</v>
      </c>
      <c r="O95" s="57">
        <v>15621</v>
      </c>
      <c r="P95" s="57">
        <v>16089</v>
      </c>
      <c r="Q95" s="58">
        <v>2.994703245959518E-2</v>
      </c>
      <c r="R95" s="58">
        <v>2.9933408056965982E-2</v>
      </c>
      <c r="S95" s="58">
        <v>2.9959669675436951E-2</v>
      </c>
      <c r="T95" s="42"/>
    </row>
    <row r="96" spans="1:20" s="2" customFormat="1" ht="25.15" hidden="1" customHeight="1" x14ac:dyDescent="2.5">
      <c r="B96" s="3"/>
      <c r="C96" s="3"/>
      <c r="D96" s="3"/>
      <c r="E96" s="3"/>
      <c r="F96" s="3"/>
      <c r="G96" s="68" t="s">
        <v>248</v>
      </c>
      <c r="H96" s="68"/>
      <c r="I96" s="68"/>
      <c r="J96" s="68"/>
      <c r="K96" s="57"/>
      <c r="L96" s="57"/>
      <c r="M96" s="57"/>
      <c r="N96" s="57"/>
      <c r="O96" s="57"/>
      <c r="P96" s="57"/>
      <c r="Q96" s="58"/>
      <c r="R96" s="58"/>
      <c r="S96" s="58"/>
      <c r="T96" s="42"/>
    </row>
    <row r="97" spans="1:20" s="3" customFormat="1" ht="25.15" customHeight="1" x14ac:dyDescent="2.5">
      <c r="A97" s="3">
        <v>32</v>
      </c>
      <c r="B97" s="3">
        <v>2</v>
      </c>
      <c r="D97" s="3">
        <v>147</v>
      </c>
      <c r="E97" s="3">
        <v>28</v>
      </c>
      <c r="G97" s="73" t="s">
        <v>189</v>
      </c>
      <c r="H97" s="73"/>
      <c r="I97" s="73" t="s">
        <v>6</v>
      </c>
      <c r="J97" s="73" t="s">
        <v>6</v>
      </c>
      <c r="K97" s="74">
        <v>1422</v>
      </c>
      <c r="L97" s="74">
        <v>466.5</v>
      </c>
      <c r="M97" s="74">
        <v>955.50000000000011</v>
      </c>
      <c r="N97" s="74">
        <v>1498.3</v>
      </c>
      <c r="O97" s="74">
        <v>1556.4</v>
      </c>
      <c r="P97" s="74">
        <v>1616.9</v>
      </c>
      <c r="Q97" s="75">
        <v>5.365682137834038E-2</v>
      </c>
      <c r="R97" s="75">
        <v>3.877728091837418E-2</v>
      </c>
      <c r="S97" s="75">
        <v>3.887175533281928E-2</v>
      </c>
      <c r="T97" s="43"/>
    </row>
    <row r="98" spans="1:20" s="2" customFormat="1" ht="25.15" hidden="1" customHeight="1" x14ac:dyDescent="2.5">
      <c r="A98" s="3">
        <v>31</v>
      </c>
      <c r="B98" s="3">
        <v>2</v>
      </c>
      <c r="C98" s="3"/>
      <c r="D98" s="3"/>
      <c r="E98" s="3">
        <v>28</v>
      </c>
      <c r="F98" s="3">
        <v>1</v>
      </c>
      <c r="G98" s="68" t="s">
        <v>4</v>
      </c>
      <c r="H98" s="68"/>
      <c r="I98" s="68" t="s">
        <v>4</v>
      </c>
      <c r="J98" s="68" t="s">
        <v>4</v>
      </c>
      <c r="K98" s="57">
        <v>598.20000000000005</v>
      </c>
      <c r="L98" s="57"/>
      <c r="M98" s="57">
        <v>598.20000000000005</v>
      </c>
      <c r="N98" s="57">
        <v>655</v>
      </c>
      <c r="O98" s="57">
        <v>687.8</v>
      </c>
      <c r="P98" s="57">
        <v>722.2</v>
      </c>
      <c r="Q98" s="58">
        <v>9.495152123035755E-2</v>
      </c>
      <c r="R98" s="58">
        <v>5.0076335877862421E-2</v>
      </c>
      <c r="S98" s="58">
        <v>5.0014539110206702E-2</v>
      </c>
      <c r="T98" s="37"/>
    </row>
    <row r="99" spans="1:20" s="2" customFormat="1" ht="25.15" hidden="1" customHeight="1" x14ac:dyDescent="2.5">
      <c r="A99" s="3">
        <v>31</v>
      </c>
      <c r="B99" s="3">
        <v>2</v>
      </c>
      <c r="C99" s="3"/>
      <c r="D99" s="3"/>
      <c r="E99" s="3">
        <v>28</v>
      </c>
      <c r="F99" s="3">
        <v>2</v>
      </c>
      <c r="G99" s="68" t="s">
        <v>5</v>
      </c>
      <c r="H99" s="68"/>
      <c r="I99" s="68" t="s">
        <v>5</v>
      </c>
      <c r="J99" s="68" t="s">
        <v>5</v>
      </c>
      <c r="K99" s="57">
        <v>823.80000000000007</v>
      </c>
      <c r="L99" s="57">
        <v>466.5</v>
      </c>
      <c r="M99" s="57">
        <v>357.30000000000007</v>
      </c>
      <c r="N99" s="57">
        <v>843.3</v>
      </c>
      <c r="O99" s="57">
        <v>868.6</v>
      </c>
      <c r="P99" s="57">
        <v>894.7</v>
      </c>
      <c r="Q99" s="58">
        <v>2.3670793882009988E-2</v>
      </c>
      <c r="R99" s="58">
        <v>3.0001185817621234E-2</v>
      </c>
      <c r="S99" s="58">
        <v>3.0048353672576633E-2</v>
      </c>
      <c r="T99" s="37" t="s">
        <v>91</v>
      </c>
    </row>
    <row r="100" spans="1:20" s="3" customFormat="1" ht="25.15" customHeight="1" x14ac:dyDescent="2.5">
      <c r="A100" s="3">
        <v>33</v>
      </c>
      <c r="B100" s="3">
        <v>2</v>
      </c>
      <c r="D100" s="3">
        <v>148</v>
      </c>
      <c r="E100" s="3">
        <v>28</v>
      </c>
      <c r="G100" s="73" t="s">
        <v>190</v>
      </c>
      <c r="H100" s="73"/>
      <c r="I100" s="73" t="s">
        <v>7</v>
      </c>
      <c r="J100" s="73" t="s">
        <v>7</v>
      </c>
      <c r="K100" s="74">
        <v>1465.5</v>
      </c>
      <c r="L100" s="74">
        <v>399</v>
      </c>
      <c r="M100" s="74">
        <v>1066.5</v>
      </c>
      <c r="N100" s="74">
        <v>1549</v>
      </c>
      <c r="O100" s="74">
        <v>1609.9</v>
      </c>
      <c r="P100" s="74">
        <v>1673.3</v>
      </c>
      <c r="Q100" s="75">
        <v>5.6977140907540136E-2</v>
      </c>
      <c r="R100" s="75">
        <v>3.9315687540348643E-2</v>
      </c>
      <c r="S100" s="75">
        <v>3.9381328032797036E-2</v>
      </c>
      <c r="T100" s="43"/>
    </row>
    <row r="101" spans="1:20" s="2" customFormat="1" ht="25.15" hidden="1" customHeight="1" x14ac:dyDescent="2.5">
      <c r="A101" s="3">
        <v>32</v>
      </c>
      <c r="B101" s="3">
        <v>2</v>
      </c>
      <c r="C101" s="3"/>
      <c r="D101" s="3"/>
      <c r="E101" s="3">
        <v>28</v>
      </c>
      <c r="F101" s="3">
        <v>1</v>
      </c>
      <c r="G101" s="68" t="s">
        <v>4</v>
      </c>
      <c r="H101" s="68"/>
      <c r="I101" s="68" t="s">
        <v>4</v>
      </c>
      <c r="J101" s="68" t="s">
        <v>4</v>
      </c>
      <c r="K101" s="57">
        <v>657.2</v>
      </c>
      <c r="L101" s="57"/>
      <c r="M101" s="57">
        <v>657.2</v>
      </c>
      <c r="N101" s="57">
        <v>719.6</v>
      </c>
      <c r="O101" s="57">
        <v>755.6</v>
      </c>
      <c r="P101" s="57">
        <v>793.4</v>
      </c>
      <c r="Q101" s="58">
        <v>9.4948265368228757E-2</v>
      </c>
      <c r="R101" s="58">
        <v>5.0027793218454741E-2</v>
      </c>
      <c r="S101" s="58">
        <v>5.0026469031233312E-2</v>
      </c>
      <c r="T101" s="37"/>
    </row>
    <row r="102" spans="1:20" s="2" customFormat="1" ht="25.15" hidden="1" customHeight="1" x14ac:dyDescent="2.5">
      <c r="A102" s="3">
        <v>32</v>
      </c>
      <c r="B102" s="3">
        <v>2</v>
      </c>
      <c r="C102" s="3"/>
      <c r="D102" s="3"/>
      <c r="E102" s="3">
        <v>28</v>
      </c>
      <c r="F102" s="3">
        <v>2</v>
      </c>
      <c r="G102" s="68" t="s">
        <v>5</v>
      </c>
      <c r="H102" s="68"/>
      <c r="I102" s="68" t="s">
        <v>5</v>
      </c>
      <c r="J102" s="68" t="s">
        <v>5</v>
      </c>
      <c r="K102" s="57">
        <v>808.30000000000007</v>
      </c>
      <c r="L102" s="57">
        <v>399</v>
      </c>
      <c r="M102" s="57">
        <v>409.30000000000007</v>
      </c>
      <c r="N102" s="57">
        <v>829.4</v>
      </c>
      <c r="O102" s="57">
        <v>854.3</v>
      </c>
      <c r="P102" s="57">
        <v>879.9</v>
      </c>
      <c r="Q102" s="58">
        <v>2.6104169244092423E-2</v>
      </c>
      <c r="R102" s="58">
        <v>3.0021702435495623E-2</v>
      </c>
      <c r="S102" s="58">
        <v>2.9966054079363147E-2</v>
      </c>
      <c r="T102" s="37" t="s">
        <v>92</v>
      </c>
    </row>
    <row r="103" spans="1:20" s="3" customFormat="1" ht="25.15" customHeight="1" x14ac:dyDescent="2.5">
      <c r="A103" s="3">
        <v>34</v>
      </c>
      <c r="B103" s="3">
        <v>2</v>
      </c>
      <c r="D103" s="3">
        <v>149</v>
      </c>
      <c r="E103" s="3">
        <v>28</v>
      </c>
      <c r="G103" s="73" t="s">
        <v>191</v>
      </c>
      <c r="H103" s="73"/>
      <c r="I103" s="73" t="s">
        <v>8</v>
      </c>
      <c r="J103" s="73" t="s">
        <v>8</v>
      </c>
      <c r="K103" s="74">
        <v>1304.4000000000001</v>
      </c>
      <c r="L103" s="74">
        <v>551.29999999999995</v>
      </c>
      <c r="M103" s="74">
        <v>753.10000000000014</v>
      </c>
      <c r="N103" s="74">
        <v>1365.9</v>
      </c>
      <c r="O103" s="74">
        <v>1417.1</v>
      </c>
      <c r="P103" s="74">
        <v>1470.2</v>
      </c>
      <c r="Q103" s="75">
        <v>4.7148114075437064E-2</v>
      </c>
      <c r="R103" s="75">
        <v>3.7484442492129677E-2</v>
      </c>
      <c r="S103" s="75">
        <v>3.7470891256792038E-2</v>
      </c>
      <c r="T103" s="43"/>
    </row>
    <row r="104" spans="1:20" s="2" customFormat="1" ht="25.15" hidden="1" customHeight="1" x14ac:dyDescent="2.5">
      <c r="A104" s="3">
        <v>33</v>
      </c>
      <c r="B104" s="3">
        <v>2</v>
      </c>
      <c r="C104" s="3"/>
      <c r="D104" s="3"/>
      <c r="E104" s="3">
        <v>28</v>
      </c>
      <c r="F104" s="3">
        <v>1</v>
      </c>
      <c r="G104" s="68" t="s">
        <v>4</v>
      </c>
      <c r="H104" s="68"/>
      <c r="I104" s="68" t="s">
        <v>4</v>
      </c>
      <c r="J104" s="68" t="s">
        <v>4</v>
      </c>
      <c r="K104" s="57">
        <v>463.1</v>
      </c>
      <c r="L104" s="57"/>
      <c r="M104" s="57">
        <v>463.1</v>
      </c>
      <c r="N104" s="57">
        <v>507.1</v>
      </c>
      <c r="O104" s="57">
        <v>532.5</v>
      </c>
      <c r="P104" s="57">
        <v>559.1</v>
      </c>
      <c r="Q104" s="58">
        <v>9.5011876484560664E-2</v>
      </c>
      <c r="R104" s="58">
        <v>5.0088739893512146E-2</v>
      </c>
      <c r="S104" s="58">
        <v>4.9953051643192525E-2</v>
      </c>
      <c r="T104" s="37"/>
    </row>
    <row r="105" spans="1:20" s="2" customFormat="1" ht="25.15" hidden="1" customHeight="1" x14ac:dyDescent="2.5">
      <c r="A105" s="3">
        <v>33</v>
      </c>
      <c r="B105" s="3">
        <v>2</v>
      </c>
      <c r="C105" s="3"/>
      <c r="D105" s="3"/>
      <c r="E105" s="3">
        <v>28</v>
      </c>
      <c r="F105" s="3">
        <v>2</v>
      </c>
      <c r="G105" s="68" t="s">
        <v>5</v>
      </c>
      <c r="H105" s="68"/>
      <c r="I105" s="68" t="s">
        <v>5</v>
      </c>
      <c r="J105" s="68" t="s">
        <v>5</v>
      </c>
      <c r="K105" s="57">
        <v>841.30000000000007</v>
      </c>
      <c r="L105" s="57">
        <v>551.29999999999995</v>
      </c>
      <c r="M105" s="57">
        <v>290.00000000000011</v>
      </c>
      <c r="N105" s="57">
        <v>858.8</v>
      </c>
      <c r="O105" s="57">
        <v>884.6</v>
      </c>
      <c r="P105" s="57">
        <v>911.1</v>
      </c>
      <c r="Q105" s="58">
        <v>2.0801141091168374E-2</v>
      </c>
      <c r="R105" s="58">
        <v>3.0041918956683844E-2</v>
      </c>
      <c r="S105" s="58">
        <v>2.9957042731177941E-2</v>
      </c>
      <c r="T105" s="37" t="s">
        <v>93</v>
      </c>
    </row>
    <row r="106" spans="1:20" s="3" customFormat="1" ht="25.15" customHeight="1" x14ac:dyDescent="2.5">
      <c r="A106" s="3">
        <v>35</v>
      </c>
      <c r="B106" s="3">
        <v>2</v>
      </c>
      <c r="D106" s="3">
        <v>150</v>
      </c>
      <c r="E106" s="3">
        <v>28</v>
      </c>
      <c r="G106" s="73" t="s">
        <v>192</v>
      </c>
      <c r="H106" s="73"/>
      <c r="I106" s="73" t="s">
        <v>14</v>
      </c>
      <c r="J106" s="73" t="s">
        <v>14</v>
      </c>
      <c r="K106" s="74">
        <v>907.8</v>
      </c>
      <c r="L106" s="74">
        <v>149.19999999999999</v>
      </c>
      <c r="M106" s="74">
        <v>758.6</v>
      </c>
      <c r="N106" s="74">
        <v>967.8</v>
      </c>
      <c r="O106" s="74">
        <v>1006.4</v>
      </c>
      <c r="P106" s="74">
        <v>1046.7</v>
      </c>
      <c r="Q106" s="75">
        <v>6.6093853271645742E-2</v>
      </c>
      <c r="R106" s="75">
        <v>3.9884273610250043E-2</v>
      </c>
      <c r="S106" s="75">
        <v>4.0043720190779064E-2</v>
      </c>
      <c r="T106" s="43"/>
    </row>
    <row r="107" spans="1:20" s="2" customFormat="1" ht="25.15" hidden="1" customHeight="1" x14ac:dyDescent="2.5">
      <c r="A107" s="3">
        <v>34</v>
      </c>
      <c r="B107" s="3">
        <v>2</v>
      </c>
      <c r="C107" s="3"/>
      <c r="D107" s="3"/>
      <c r="E107" s="3">
        <v>28</v>
      </c>
      <c r="F107" s="3">
        <v>1</v>
      </c>
      <c r="G107" s="68" t="s">
        <v>4</v>
      </c>
      <c r="H107" s="68"/>
      <c r="I107" s="68" t="s">
        <v>4</v>
      </c>
      <c r="J107" s="68" t="s">
        <v>4</v>
      </c>
      <c r="K107" s="57">
        <v>438.4</v>
      </c>
      <c r="L107" s="57"/>
      <c r="M107" s="57">
        <v>438.4</v>
      </c>
      <c r="N107" s="57">
        <v>480</v>
      </c>
      <c r="O107" s="57">
        <v>504</v>
      </c>
      <c r="P107" s="57">
        <v>529.20000000000005</v>
      </c>
      <c r="Q107" s="58">
        <v>9.4890510948905105E-2</v>
      </c>
      <c r="R107" s="58">
        <v>5.0000000000000044E-2</v>
      </c>
      <c r="S107" s="58">
        <v>5.0000000000000044E-2</v>
      </c>
      <c r="T107" s="37"/>
    </row>
    <row r="108" spans="1:20" s="2" customFormat="1" ht="25.15" hidden="1" customHeight="1" x14ac:dyDescent="2.5">
      <c r="A108" s="3">
        <v>34</v>
      </c>
      <c r="B108" s="3">
        <v>2</v>
      </c>
      <c r="C108" s="3"/>
      <c r="D108" s="3"/>
      <c r="E108" s="3">
        <v>28</v>
      </c>
      <c r="F108" s="3">
        <v>2</v>
      </c>
      <c r="G108" s="68" t="s">
        <v>5</v>
      </c>
      <c r="H108" s="68"/>
      <c r="I108" s="68" t="s">
        <v>5</v>
      </c>
      <c r="J108" s="68" t="s">
        <v>5</v>
      </c>
      <c r="K108" s="57">
        <v>469.40000000000003</v>
      </c>
      <c r="L108" s="57">
        <v>149.19999999999999</v>
      </c>
      <c r="M108" s="57">
        <v>320.20000000000005</v>
      </c>
      <c r="N108" s="57">
        <v>487.8</v>
      </c>
      <c r="O108" s="57">
        <v>502.4</v>
      </c>
      <c r="P108" s="57">
        <v>517.5</v>
      </c>
      <c r="Q108" s="58">
        <v>3.9198977417980396E-2</v>
      </c>
      <c r="R108" s="58">
        <v>2.9930299302993069E-2</v>
      </c>
      <c r="S108" s="58">
        <v>3.0055732484076447E-2</v>
      </c>
      <c r="T108" s="37" t="s">
        <v>94</v>
      </c>
    </row>
    <row r="109" spans="1:20" s="3" customFormat="1" ht="25.15" customHeight="1" x14ac:dyDescent="2.5">
      <c r="A109" s="3">
        <v>36</v>
      </c>
      <c r="B109" s="3">
        <v>2</v>
      </c>
      <c r="D109" s="3">
        <v>151</v>
      </c>
      <c r="E109" s="3">
        <v>28</v>
      </c>
      <c r="G109" s="73" t="s">
        <v>193</v>
      </c>
      <c r="H109" s="73"/>
      <c r="I109" s="73" t="s">
        <v>13</v>
      </c>
      <c r="J109" s="73" t="s">
        <v>13</v>
      </c>
      <c r="K109" s="74">
        <v>1056.0999999999999</v>
      </c>
      <c r="L109" s="74">
        <v>324.39999999999998</v>
      </c>
      <c r="M109" s="74">
        <v>731.69999999999993</v>
      </c>
      <c r="N109" s="74">
        <v>1117.4000000000001</v>
      </c>
      <c r="O109" s="74">
        <v>1161.3</v>
      </c>
      <c r="P109" s="74">
        <v>1206.9000000000001</v>
      </c>
      <c r="Q109" s="75">
        <v>5.8043745857400131E-2</v>
      </c>
      <c r="R109" s="75">
        <v>3.9287632002863671E-2</v>
      </c>
      <c r="S109" s="75">
        <v>3.9266339447171283E-2</v>
      </c>
      <c r="T109" s="43"/>
    </row>
    <row r="110" spans="1:20" s="2" customFormat="1" ht="25.15" hidden="1" customHeight="1" x14ac:dyDescent="2.5">
      <c r="A110" s="3">
        <v>35</v>
      </c>
      <c r="B110" s="3">
        <v>2</v>
      </c>
      <c r="C110" s="3"/>
      <c r="D110" s="3"/>
      <c r="E110" s="3">
        <v>28</v>
      </c>
      <c r="F110" s="3">
        <v>1</v>
      </c>
      <c r="G110" s="68" t="s">
        <v>4</v>
      </c>
      <c r="H110" s="68"/>
      <c r="I110" s="68" t="s">
        <v>4</v>
      </c>
      <c r="J110" s="68" t="s">
        <v>4</v>
      </c>
      <c r="K110" s="57">
        <v>470.4</v>
      </c>
      <c r="L110" s="57"/>
      <c r="M110" s="57">
        <v>470.4</v>
      </c>
      <c r="N110" s="57">
        <v>515.1</v>
      </c>
      <c r="O110" s="57">
        <v>540.9</v>
      </c>
      <c r="P110" s="57">
        <v>567.9</v>
      </c>
      <c r="Q110" s="58">
        <v>9.5025510204081787E-2</v>
      </c>
      <c r="R110" s="58">
        <v>5.0087361677344067E-2</v>
      </c>
      <c r="S110" s="58">
        <v>4.991680532445919E-2</v>
      </c>
      <c r="T110" s="37"/>
    </row>
    <row r="111" spans="1:20" s="2" customFormat="1" ht="25.15" hidden="1" customHeight="1" x14ac:dyDescent="2.5">
      <c r="A111" s="3">
        <v>35</v>
      </c>
      <c r="B111" s="3">
        <v>2</v>
      </c>
      <c r="C111" s="3"/>
      <c r="D111" s="3"/>
      <c r="E111" s="3">
        <v>28</v>
      </c>
      <c r="F111" s="3">
        <v>2</v>
      </c>
      <c r="G111" s="68" t="s">
        <v>5</v>
      </c>
      <c r="H111" s="68"/>
      <c r="I111" s="68" t="s">
        <v>5</v>
      </c>
      <c r="J111" s="68" t="s">
        <v>5</v>
      </c>
      <c r="K111" s="57">
        <v>585.69999999999993</v>
      </c>
      <c r="L111" s="57">
        <v>324.39999999999998</v>
      </c>
      <c r="M111" s="57">
        <v>261.29999999999995</v>
      </c>
      <c r="N111" s="57">
        <v>602.29999999999995</v>
      </c>
      <c r="O111" s="57">
        <v>620.4</v>
      </c>
      <c r="P111" s="57">
        <v>639</v>
      </c>
      <c r="Q111" s="58">
        <v>2.8342154686699761E-2</v>
      </c>
      <c r="R111" s="58">
        <v>3.0051469367424977E-2</v>
      </c>
      <c r="S111" s="58">
        <v>2.9980657640232167E-2</v>
      </c>
      <c r="T111" s="37" t="s">
        <v>95</v>
      </c>
    </row>
    <row r="112" spans="1:20" s="3" customFormat="1" ht="25.15" customHeight="1" x14ac:dyDescent="2.5">
      <c r="A112" s="3">
        <v>37</v>
      </c>
      <c r="B112" s="3">
        <v>2</v>
      </c>
      <c r="D112" s="3">
        <v>152</v>
      </c>
      <c r="E112" s="3">
        <v>28</v>
      </c>
      <c r="G112" s="73" t="s">
        <v>194</v>
      </c>
      <c r="H112" s="73"/>
      <c r="I112" s="73" t="s">
        <v>12</v>
      </c>
      <c r="J112" s="73" t="s">
        <v>12</v>
      </c>
      <c r="K112" s="74">
        <v>1028.3000000000002</v>
      </c>
      <c r="L112" s="74">
        <v>360.5</v>
      </c>
      <c r="M112" s="74">
        <v>667.80000000000007</v>
      </c>
      <c r="N112" s="74">
        <v>1088.8</v>
      </c>
      <c r="O112" s="74">
        <v>1132.0999999999999</v>
      </c>
      <c r="P112" s="74">
        <v>1177.2</v>
      </c>
      <c r="Q112" s="75">
        <v>5.8834970339394888E-2</v>
      </c>
      <c r="R112" s="75">
        <v>3.9768552534900747E-2</v>
      </c>
      <c r="S112" s="75">
        <v>3.9837470188146096E-2</v>
      </c>
      <c r="T112" s="43"/>
    </row>
    <row r="113" spans="1:20" s="2" customFormat="1" ht="25.15" hidden="1" customHeight="1" x14ac:dyDescent="2.5">
      <c r="A113" s="3">
        <v>36</v>
      </c>
      <c r="B113" s="3">
        <v>2</v>
      </c>
      <c r="C113" s="3"/>
      <c r="D113" s="3"/>
      <c r="E113" s="3">
        <v>28</v>
      </c>
      <c r="F113" s="3">
        <v>1</v>
      </c>
      <c r="G113" s="68" t="s">
        <v>4</v>
      </c>
      <c r="H113" s="68"/>
      <c r="I113" s="68" t="s">
        <v>4</v>
      </c>
      <c r="J113" s="68" t="s">
        <v>4</v>
      </c>
      <c r="K113" s="57">
        <v>485.9</v>
      </c>
      <c r="L113" s="57"/>
      <c r="M113" s="57">
        <v>485.9</v>
      </c>
      <c r="N113" s="57">
        <v>532.1</v>
      </c>
      <c r="O113" s="57">
        <v>558.70000000000005</v>
      </c>
      <c r="P113" s="57">
        <v>586.6</v>
      </c>
      <c r="Q113" s="58">
        <v>9.5081292447005694E-2</v>
      </c>
      <c r="R113" s="58">
        <v>4.9990603270062106E-2</v>
      </c>
      <c r="S113" s="58">
        <v>4.9937354573116099E-2</v>
      </c>
      <c r="T113" s="37"/>
    </row>
    <row r="114" spans="1:20" s="2" customFormat="1" ht="25.15" hidden="1" customHeight="1" x14ac:dyDescent="2.5">
      <c r="A114" s="3">
        <v>36</v>
      </c>
      <c r="B114" s="3">
        <v>2</v>
      </c>
      <c r="C114" s="3"/>
      <c r="D114" s="3"/>
      <c r="E114" s="3">
        <v>28</v>
      </c>
      <c r="F114" s="3">
        <v>2</v>
      </c>
      <c r="G114" s="68" t="s">
        <v>5</v>
      </c>
      <c r="H114" s="68"/>
      <c r="I114" s="68" t="s">
        <v>5</v>
      </c>
      <c r="J114" s="68" t="s">
        <v>5</v>
      </c>
      <c r="K114" s="57">
        <v>542.40000000000009</v>
      </c>
      <c r="L114" s="57">
        <v>360.5</v>
      </c>
      <c r="M114" s="57">
        <v>181.90000000000009</v>
      </c>
      <c r="N114" s="57">
        <v>556.69999999999993</v>
      </c>
      <c r="O114" s="57">
        <v>573.4</v>
      </c>
      <c r="P114" s="57">
        <v>590.6</v>
      </c>
      <c r="Q114" s="58">
        <v>2.6364306784660396E-2</v>
      </c>
      <c r="R114" s="58">
        <v>2.9998203700377202E-2</v>
      </c>
      <c r="S114" s="58">
        <v>2.9996512033484635E-2</v>
      </c>
      <c r="T114" s="37" t="s">
        <v>96</v>
      </c>
    </row>
    <row r="115" spans="1:20" s="3" customFormat="1" ht="25.15" customHeight="1" x14ac:dyDescent="2.5">
      <c r="A115" s="3">
        <v>38</v>
      </c>
      <c r="B115" s="3">
        <v>2</v>
      </c>
      <c r="D115" s="3">
        <v>153</v>
      </c>
      <c r="E115" s="3">
        <v>28</v>
      </c>
      <c r="G115" s="73" t="s">
        <v>195</v>
      </c>
      <c r="H115" s="73"/>
      <c r="I115" s="73" t="s">
        <v>11</v>
      </c>
      <c r="J115" s="73" t="s">
        <v>11</v>
      </c>
      <c r="K115" s="74">
        <v>873.6</v>
      </c>
      <c r="L115" s="74">
        <v>101</v>
      </c>
      <c r="M115" s="74">
        <v>772.6</v>
      </c>
      <c r="N115" s="74">
        <v>931.5</v>
      </c>
      <c r="O115" s="74">
        <v>968.09999999999991</v>
      </c>
      <c r="P115" s="74">
        <v>1006.3</v>
      </c>
      <c r="Q115" s="75">
        <v>6.6277472527472403E-2</v>
      </c>
      <c r="R115" s="75">
        <v>3.9291465378421764E-2</v>
      </c>
      <c r="S115" s="75">
        <v>3.9458733601900775E-2</v>
      </c>
      <c r="T115" s="43"/>
    </row>
    <row r="116" spans="1:20" s="2" customFormat="1" ht="25.15" hidden="1" customHeight="1" x14ac:dyDescent="2.5">
      <c r="A116" s="3">
        <v>37</v>
      </c>
      <c r="B116" s="3">
        <v>2</v>
      </c>
      <c r="C116" s="3"/>
      <c r="D116" s="3"/>
      <c r="E116" s="3">
        <v>28</v>
      </c>
      <c r="F116" s="3">
        <v>1</v>
      </c>
      <c r="G116" s="68" t="s">
        <v>4</v>
      </c>
      <c r="H116" s="68"/>
      <c r="I116" s="68" t="s">
        <v>4</v>
      </c>
      <c r="J116" s="68" t="s">
        <v>4</v>
      </c>
      <c r="K116" s="57">
        <v>398.7</v>
      </c>
      <c r="L116" s="57"/>
      <c r="M116" s="57">
        <v>398.7</v>
      </c>
      <c r="N116" s="57">
        <v>436.6</v>
      </c>
      <c r="O116" s="57">
        <v>458.4</v>
      </c>
      <c r="P116" s="57">
        <v>481.3</v>
      </c>
      <c r="Q116" s="58">
        <v>9.505894156007022E-2</v>
      </c>
      <c r="R116" s="58">
        <v>4.9931287219422638E-2</v>
      </c>
      <c r="S116" s="58">
        <v>4.9956369982548043E-2</v>
      </c>
      <c r="T116" s="37"/>
    </row>
    <row r="117" spans="1:20" s="2" customFormat="1" ht="25.15" hidden="1" customHeight="1" x14ac:dyDescent="2.5">
      <c r="A117" s="3">
        <v>37</v>
      </c>
      <c r="B117" s="3">
        <v>2</v>
      </c>
      <c r="C117" s="3"/>
      <c r="D117" s="3"/>
      <c r="E117" s="3">
        <v>28</v>
      </c>
      <c r="F117" s="3">
        <v>2</v>
      </c>
      <c r="G117" s="68" t="s">
        <v>5</v>
      </c>
      <c r="H117" s="68"/>
      <c r="I117" s="68" t="s">
        <v>5</v>
      </c>
      <c r="J117" s="68" t="s">
        <v>5</v>
      </c>
      <c r="K117" s="57">
        <v>474.90000000000003</v>
      </c>
      <c r="L117" s="57">
        <v>101</v>
      </c>
      <c r="M117" s="57">
        <v>373.90000000000003</v>
      </c>
      <c r="N117" s="57">
        <v>494.90000000000003</v>
      </c>
      <c r="O117" s="57">
        <v>509.7</v>
      </c>
      <c r="P117" s="57">
        <v>525</v>
      </c>
      <c r="Q117" s="58">
        <v>4.2114129290376834E-2</v>
      </c>
      <c r="R117" s="58">
        <v>2.9905031319458431E-2</v>
      </c>
      <c r="S117" s="58">
        <v>3.0017657445556178E-2</v>
      </c>
      <c r="T117" s="37" t="s">
        <v>97</v>
      </c>
    </row>
    <row r="118" spans="1:20" s="3" customFormat="1" ht="25.15" customHeight="1" x14ac:dyDescent="2.5">
      <c r="A118" s="3">
        <v>39</v>
      </c>
      <c r="B118" s="3">
        <v>2</v>
      </c>
      <c r="D118" s="3">
        <v>154</v>
      </c>
      <c r="E118" s="3">
        <v>28</v>
      </c>
      <c r="G118" s="73" t="s">
        <v>196</v>
      </c>
      <c r="H118" s="73"/>
      <c r="I118" s="73" t="s">
        <v>10</v>
      </c>
      <c r="J118" s="73" t="s">
        <v>10</v>
      </c>
      <c r="K118" s="74">
        <v>1037.9000000000001</v>
      </c>
      <c r="L118" s="74">
        <v>193.8</v>
      </c>
      <c r="M118" s="74">
        <v>844.1</v>
      </c>
      <c r="N118" s="74">
        <v>1108.2</v>
      </c>
      <c r="O118" s="74">
        <v>1153.5999999999999</v>
      </c>
      <c r="P118" s="74">
        <v>1201</v>
      </c>
      <c r="Q118" s="75">
        <v>6.7732922246844574E-2</v>
      </c>
      <c r="R118" s="75">
        <v>4.0967334416170287E-2</v>
      </c>
      <c r="S118" s="75">
        <v>4.1088765603328747E-2</v>
      </c>
      <c r="T118" s="43"/>
    </row>
    <row r="119" spans="1:20" s="2" customFormat="1" ht="25.15" hidden="1" customHeight="1" x14ac:dyDescent="2.5">
      <c r="A119" s="3">
        <v>38</v>
      </c>
      <c r="B119" s="3">
        <v>2</v>
      </c>
      <c r="C119" s="3"/>
      <c r="D119" s="3"/>
      <c r="E119" s="3">
        <v>28</v>
      </c>
      <c r="F119" s="3">
        <v>1</v>
      </c>
      <c r="G119" s="68" t="s">
        <v>4</v>
      </c>
      <c r="H119" s="68"/>
      <c r="I119" s="68" t="s">
        <v>4</v>
      </c>
      <c r="J119" s="68" t="s">
        <v>4</v>
      </c>
      <c r="K119" s="57">
        <v>557</v>
      </c>
      <c r="L119" s="57"/>
      <c r="M119" s="57">
        <v>557</v>
      </c>
      <c r="N119" s="57">
        <v>609.9</v>
      </c>
      <c r="O119" s="57">
        <v>640.4</v>
      </c>
      <c r="P119" s="57">
        <v>672.4</v>
      </c>
      <c r="Q119" s="58">
        <v>9.4973070017953187E-2</v>
      </c>
      <c r="R119" s="58">
        <v>5.0008198065256693E-2</v>
      </c>
      <c r="S119" s="58">
        <v>4.9968769519050493E-2</v>
      </c>
      <c r="T119" s="37"/>
    </row>
    <row r="120" spans="1:20" s="2" customFormat="1" ht="25.15" hidden="1" customHeight="1" x14ac:dyDescent="2.5">
      <c r="A120" s="3">
        <v>38</v>
      </c>
      <c r="B120" s="3">
        <v>2</v>
      </c>
      <c r="C120" s="3"/>
      <c r="D120" s="3"/>
      <c r="E120" s="3">
        <v>28</v>
      </c>
      <c r="F120" s="3">
        <v>2</v>
      </c>
      <c r="G120" s="68" t="s">
        <v>5</v>
      </c>
      <c r="H120" s="68"/>
      <c r="I120" s="68" t="s">
        <v>5</v>
      </c>
      <c r="J120" s="68" t="s">
        <v>5</v>
      </c>
      <c r="K120" s="57">
        <v>480.90000000000003</v>
      </c>
      <c r="L120" s="57">
        <v>193.8</v>
      </c>
      <c r="M120" s="57">
        <v>287.10000000000002</v>
      </c>
      <c r="N120" s="57">
        <v>498.3</v>
      </c>
      <c r="O120" s="57">
        <v>513.20000000000005</v>
      </c>
      <c r="P120" s="57">
        <v>528.6</v>
      </c>
      <c r="Q120" s="58">
        <v>3.6182158452900737E-2</v>
      </c>
      <c r="R120" s="58">
        <v>2.9901665663255139E-2</v>
      </c>
      <c r="S120" s="58">
        <v>3.000779423226807E-2</v>
      </c>
      <c r="T120" s="37" t="s">
        <v>98</v>
      </c>
    </row>
    <row r="121" spans="1:20" s="3" customFormat="1" ht="25.15" customHeight="1" x14ac:dyDescent="2.5">
      <c r="A121" s="3">
        <v>40</v>
      </c>
      <c r="B121" s="3">
        <v>2</v>
      </c>
      <c r="D121" s="3">
        <v>155</v>
      </c>
      <c r="E121" s="3">
        <v>28</v>
      </c>
      <c r="G121" s="73" t="s">
        <v>197</v>
      </c>
      <c r="H121" s="73"/>
      <c r="I121" s="73" t="s">
        <v>9</v>
      </c>
      <c r="J121" s="73" t="s">
        <v>9</v>
      </c>
      <c r="K121" s="74">
        <v>699.1</v>
      </c>
      <c r="L121" s="74">
        <v>131.1</v>
      </c>
      <c r="M121" s="74">
        <v>568</v>
      </c>
      <c r="N121" s="74">
        <v>748.6</v>
      </c>
      <c r="O121" s="74">
        <v>779.09999999999991</v>
      </c>
      <c r="P121" s="74">
        <v>810.9</v>
      </c>
      <c r="Q121" s="75">
        <v>7.0805321127163534E-2</v>
      </c>
      <c r="R121" s="75">
        <v>4.0742719743521061E-2</v>
      </c>
      <c r="S121" s="75">
        <v>4.081632653061229E-2</v>
      </c>
      <c r="T121" s="43"/>
    </row>
    <row r="122" spans="1:20" s="2" customFormat="1" ht="25.15" hidden="1" customHeight="1" x14ac:dyDescent="2.5">
      <c r="A122" s="3">
        <v>39</v>
      </c>
      <c r="B122" s="3">
        <v>2</v>
      </c>
      <c r="C122" s="3"/>
      <c r="D122" s="3"/>
      <c r="E122" s="3">
        <v>28</v>
      </c>
      <c r="F122" s="3">
        <v>1</v>
      </c>
      <c r="G122" s="68" t="s">
        <v>4</v>
      </c>
      <c r="H122" s="68"/>
      <c r="I122" s="68" t="s">
        <v>4</v>
      </c>
      <c r="J122" s="68" t="s">
        <v>4</v>
      </c>
      <c r="K122" s="57">
        <v>364.6</v>
      </c>
      <c r="L122" s="57"/>
      <c r="M122" s="57">
        <v>364.6</v>
      </c>
      <c r="N122" s="57">
        <v>399.2</v>
      </c>
      <c r="O122" s="57">
        <v>419.2</v>
      </c>
      <c r="P122" s="57">
        <v>440.2</v>
      </c>
      <c r="Q122" s="58">
        <v>9.4898518924849018E-2</v>
      </c>
      <c r="R122" s="58">
        <v>5.0100200400801542E-2</v>
      </c>
      <c r="S122" s="58">
        <v>5.0095419847328237E-2</v>
      </c>
      <c r="T122" s="37"/>
    </row>
    <row r="123" spans="1:20" s="2" customFormat="1" ht="25.15" hidden="1" customHeight="1" x14ac:dyDescent="2.5">
      <c r="A123" s="3">
        <v>39</v>
      </c>
      <c r="B123" s="3">
        <v>2</v>
      </c>
      <c r="C123" s="3"/>
      <c r="D123" s="3"/>
      <c r="E123" s="3">
        <v>28</v>
      </c>
      <c r="F123" s="3">
        <v>2</v>
      </c>
      <c r="G123" s="68" t="s">
        <v>5</v>
      </c>
      <c r="H123" s="68"/>
      <c r="I123" s="68" t="s">
        <v>5</v>
      </c>
      <c r="J123" s="68" t="s">
        <v>5</v>
      </c>
      <c r="K123" s="57">
        <v>334.5</v>
      </c>
      <c r="L123" s="57">
        <v>131.1</v>
      </c>
      <c r="M123" s="57">
        <v>203.4</v>
      </c>
      <c r="N123" s="57">
        <v>349.40000000000003</v>
      </c>
      <c r="O123" s="57">
        <v>359.9</v>
      </c>
      <c r="P123" s="57">
        <v>370.7</v>
      </c>
      <c r="Q123" s="58">
        <v>4.4544095665171923E-2</v>
      </c>
      <c r="R123" s="58">
        <v>3.0051516886090202E-2</v>
      </c>
      <c r="S123" s="58">
        <v>3.0008335648791462E-2</v>
      </c>
      <c r="T123" s="37" t="s">
        <v>99</v>
      </c>
    </row>
    <row r="124" spans="1:20" s="3" customFormat="1" ht="25.15" customHeight="1" x14ac:dyDescent="2.5">
      <c r="A124" s="3">
        <v>41</v>
      </c>
      <c r="B124" s="3">
        <v>2</v>
      </c>
      <c r="D124" s="3">
        <v>156</v>
      </c>
      <c r="E124" s="3">
        <v>28</v>
      </c>
      <c r="G124" s="73" t="s">
        <v>198</v>
      </c>
      <c r="H124" s="73"/>
      <c r="I124" s="73" t="s">
        <v>15</v>
      </c>
      <c r="J124" s="73" t="s">
        <v>15</v>
      </c>
      <c r="K124" s="74">
        <v>1052.3000000000002</v>
      </c>
      <c r="L124" s="74">
        <v>440.9</v>
      </c>
      <c r="M124" s="74">
        <v>611.40000000000009</v>
      </c>
      <c r="N124" s="74">
        <v>1101.5</v>
      </c>
      <c r="O124" s="74">
        <v>1142</v>
      </c>
      <c r="P124" s="74">
        <v>1184.0999999999999</v>
      </c>
      <c r="Q124" s="75">
        <v>4.6754727739237723E-2</v>
      </c>
      <c r="R124" s="75">
        <v>3.6768043576940634E-2</v>
      </c>
      <c r="S124" s="75">
        <v>3.6865148861646047E-2</v>
      </c>
      <c r="T124" s="43"/>
    </row>
    <row r="125" spans="1:20" s="2" customFormat="1" ht="25.15" hidden="1" customHeight="1" x14ac:dyDescent="2.5">
      <c r="A125" s="3">
        <v>40</v>
      </c>
      <c r="B125" s="3">
        <v>2</v>
      </c>
      <c r="C125" s="3"/>
      <c r="D125" s="3"/>
      <c r="E125" s="3">
        <v>28</v>
      </c>
      <c r="F125" s="3">
        <v>1</v>
      </c>
      <c r="G125" s="68" t="s">
        <v>4</v>
      </c>
      <c r="H125" s="68"/>
      <c r="I125" s="68" t="s">
        <v>4</v>
      </c>
      <c r="J125" s="68" t="s">
        <v>4</v>
      </c>
      <c r="K125" s="57">
        <v>340.4</v>
      </c>
      <c r="L125" s="57"/>
      <c r="M125" s="57">
        <v>340.4</v>
      </c>
      <c r="N125" s="57">
        <v>372.7</v>
      </c>
      <c r="O125" s="57">
        <v>391.3</v>
      </c>
      <c r="P125" s="57">
        <v>410.9</v>
      </c>
      <c r="Q125" s="58">
        <v>9.4888366627497112E-2</v>
      </c>
      <c r="R125" s="58">
        <v>4.9906090689562754E-2</v>
      </c>
      <c r="S125" s="58">
        <v>5.0089445438282532E-2</v>
      </c>
      <c r="T125" s="37"/>
    </row>
    <row r="126" spans="1:20" s="2" customFormat="1" ht="25.15" hidden="1" customHeight="1" x14ac:dyDescent="2.5">
      <c r="A126" s="3">
        <v>40</v>
      </c>
      <c r="B126" s="3">
        <v>2</v>
      </c>
      <c r="C126" s="3"/>
      <c r="D126" s="3"/>
      <c r="E126" s="3">
        <v>28</v>
      </c>
      <c r="F126" s="3">
        <v>2</v>
      </c>
      <c r="G126" s="68" t="s">
        <v>5</v>
      </c>
      <c r="H126" s="68"/>
      <c r="I126" s="68" t="s">
        <v>5</v>
      </c>
      <c r="J126" s="68" t="s">
        <v>5</v>
      </c>
      <c r="K126" s="57">
        <v>711.90000000000009</v>
      </c>
      <c r="L126" s="57">
        <v>440.9</v>
      </c>
      <c r="M126" s="57">
        <v>271.00000000000011</v>
      </c>
      <c r="N126" s="57">
        <v>728.8</v>
      </c>
      <c r="O126" s="57">
        <v>750.7</v>
      </c>
      <c r="P126" s="57">
        <v>773.2</v>
      </c>
      <c r="Q126" s="58">
        <v>2.3739289226014648E-2</v>
      </c>
      <c r="R126" s="58">
        <v>3.0049396267837647E-2</v>
      </c>
      <c r="S126" s="58">
        <v>2.9972026108964878E-2</v>
      </c>
      <c r="T126" s="37" t="s">
        <v>100</v>
      </c>
    </row>
    <row r="127" spans="1:20" s="3" customFormat="1" ht="25.15" customHeight="1" x14ac:dyDescent="2.5">
      <c r="A127" s="3">
        <v>42</v>
      </c>
      <c r="B127" s="3">
        <v>2</v>
      </c>
      <c r="D127" s="3">
        <v>157</v>
      </c>
      <c r="E127" s="3">
        <v>28</v>
      </c>
      <c r="G127" s="73" t="s">
        <v>199</v>
      </c>
      <c r="H127" s="73"/>
      <c r="I127" s="73" t="s">
        <v>16</v>
      </c>
      <c r="J127" s="73" t="s">
        <v>16</v>
      </c>
      <c r="K127" s="74">
        <v>740</v>
      </c>
      <c r="L127" s="74">
        <v>222</v>
      </c>
      <c r="M127" s="74">
        <v>518</v>
      </c>
      <c r="N127" s="74">
        <v>787.4</v>
      </c>
      <c r="O127" s="74">
        <v>818.8</v>
      </c>
      <c r="P127" s="74">
        <v>851.5</v>
      </c>
      <c r="Q127" s="75">
        <v>6.4054054054053955E-2</v>
      </c>
      <c r="R127" s="75">
        <v>3.9878079756159535E-2</v>
      </c>
      <c r="S127" s="75">
        <v>3.9936492427943282E-2</v>
      </c>
      <c r="T127" s="43"/>
    </row>
    <row r="128" spans="1:20" s="2" customFormat="1" ht="25.15" hidden="1" customHeight="1" x14ac:dyDescent="2.5">
      <c r="A128" s="3">
        <v>41</v>
      </c>
      <c r="B128" s="3">
        <v>2</v>
      </c>
      <c r="C128" s="3"/>
      <c r="D128" s="3"/>
      <c r="E128" s="3">
        <v>28</v>
      </c>
      <c r="F128" s="3">
        <v>1</v>
      </c>
      <c r="G128" s="68" t="s">
        <v>4</v>
      </c>
      <c r="H128" s="68"/>
      <c r="I128" s="68" t="s">
        <v>4</v>
      </c>
      <c r="J128" s="68" t="s">
        <v>4</v>
      </c>
      <c r="K128" s="57">
        <v>355</v>
      </c>
      <c r="L128" s="57"/>
      <c r="M128" s="57">
        <v>355</v>
      </c>
      <c r="N128" s="57">
        <v>388.7</v>
      </c>
      <c r="O128" s="57">
        <v>408.1</v>
      </c>
      <c r="P128" s="57">
        <v>428.5</v>
      </c>
      <c r="Q128" s="58">
        <v>9.4929577464788695E-2</v>
      </c>
      <c r="R128" s="58">
        <v>4.9909956264471367E-2</v>
      </c>
      <c r="S128" s="58">
        <v>4.9987748100955631E-2</v>
      </c>
      <c r="T128" s="37"/>
    </row>
    <row r="129" spans="1:20" s="2" customFormat="1" ht="25.15" hidden="1" customHeight="1" x14ac:dyDescent="2.5">
      <c r="A129" s="3">
        <v>41</v>
      </c>
      <c r="B129" s="3">
        <v>2</v>
      </c>
      <c r="C129" s="3"/>
      <c r="D129" s="3"/>
      <c r="E129" s="3">
        <v>28</v>
      </c>
      <c r="F129" s="3">
        <v>2</v>
      </c>
      <c r="G129" s="68" t="s">
        <v>5</v>
      </c>
      <c r="H129" s="68"/>
      <c r="I129" s="68" t="s">
        <v>5</v>
      </c>
      <c r="J129" s="68" t="s">
        <v>5</v>
      </c>
      <c r="K129" s="57">
        <v>385.00000000000006</v>
      </c>
      <c r="L129" s="57">
        <v>222</v>
      </c>
      <c r="M129" s="57">
        <v>163.00000000000006</v>
      </c>
      <c r="N129" s="57">
        <v>398.7</v>
      </c>
      <c r="O129" s="57">
        <v>410.7</v>
      </c>
      <c r="P129" s="57">
        <v>423</v>
      </c>
      <c r="Q129" s="58">
        <v>3.5584415584415385E-2</v>
      </c>
      <c r="R129" s="58">
        <v>3.0097817908201652E-2</v>
      </c>
      <c r="S129" s="58">
        <v>2.9948867786705691E-2</v>
      </c>
      <c r="T129" s="37" t="s">
        <v>101</v>
      </c>
    </row>
    <row r="130" spans="1:20" s="3" customFormat="1" ht="25.15" customHeight="1" x14ac:dyDescent="2.5">
      <c r="A130" s="3">
        <v>43</v>
      </c>
      <c r="B130" s="3">
        <v>2</v>
      </c>
      <c r="D130" s="3">
        <v>158</v>
      </c>
      <c r="E130" s="3">
        <v>28</v>
      </c>
      <c r="G130" s="73" t="s">
        <v>200</v>
      </c>
      <c r="H130" s="73"/>
      <c r="I130" s="73" t="s">
        <v>17</v>
      </c>
      <c r="J130" s="73" t="s">
        <v>17</v>
      </c>
      <c r="K130" s="74">
        <v>1404.5</v>
      </c>
      <c r="L130" s="74">
        <v>204.70000000000002</v>
      </c>
      <c r="M130" s="74">
        <v>1199.8</v>
      </c>
      <c r="N130" s="74">
        <v>1511.8000000000002</v>
      </c>
      <c r="O130" s="74">
        <v>1578</v>
      </c>
      <c r="P130" s="74">
        <v>1647.3</v>
      </c>
      <c r="Q130" s="75">
        <v>7.6397294410822436E-2</v>
      </c>
      <c r="R130" s="75">
        <v>4.3788860960444431E-2</v>
      </c>
      <c r="S130" s="75">
        <v>4.3916349809886013E-2</v>
      </c>
      <c r="T130" s="43"/>
    </row>
    <row r="131" spans="1:20" s="2" customFormat="1" ht="25.15" hidden="1" customHeight="1" x14ac:dyDescent="2.5">
      <c r="A131" s="3">
        <v>42</v>
      </c>
      <c r="B131" s="3">
        <v>2</v>
      </c>
      <c r="C131" s="3"/>
      <c r="D131" s="3"/>
      <c r="E131" s="3">
        <v>28</v>
      </c>
      <c r="F131" s="3">
        <v>1</v>
      </c>
      <c r="G131" s="68" t="s">
        <v>4</v>
      </c>
      <c r="H131" s="68"/>
      <c r="I131" s="68" t="s">
        <v>4</v>
      </c>
      <c r="J131" s="68" t="s">
        <v>4</v>
      </c>
      <c r="K131" s="57">
        <v>954.8</v>
      </c>
      <c r="L131" s="57"/>
      <c r="M131" s="57">
        <v>954.8</v>
      </c>
      <c r="N131" s="57">
        <v>1045.9000000000001</v>
      </c>
      <c r="O131" s="57">
        <v>1098.1000000000001</v>
      </c>
      <c r="P131" s="57">
        <v>1153</v>
      </c>
      <c r="Q131" s="58">
        <v>9.5412651864264841E-2</v>
      </c>
      <c r="R131" s="58">
        <v>4.9909169136628684E-2</v>
      </c>
      <c r="S131" s="58">
        <v>4.9995446680630051E-2</v>
      </c>
      <c r="T131" s="37"/>
    </row>
    <row r="132" spans="1:20" s="2" customFormat="1" ht="25.15" hidden="1" customHeight="1" x14ac:dyDescent="2.5">
      <c r="A132" s="3">
        <v>42</v>
      </c>
      <c r="B132" s="3">
        <v>2</v>
      </c>
      <c r="C132" s="3"/>
      <c r="D132" s="3"/>
      <c r="E132" s="3">
        <v>28</v>
      </c>
      <c r="F132" s="3">
        <v>2</v>
      </c>
      <c r="G132" s="68" t="s">
        <v>5</v>
      </c>
      <c r="H132" s="68"/>
      <c r="I132" s="68" t="s">
        <v>5</v>
      </c>
      <c r="J132" s="68" t="s">
        <v>5</v>
      </c>
      <c r="K132" s="57">
        <v>449.7</v>
      </c>
      <c r="L132" s="57">
        <v>204.70000000000002</v>
      </c>
      <c r="M132" s="57">
        <v>244.99999999999997</v>
      </c>
      <c r="N132" s="57">
        <v>465.90000000000003</v>
      </c>
      <c r="O132" s="57">
        <v>479.9</v>
      </c>
      <c r="P132" s="57">
        <v>494.3</v>
      </c>
      <c r="Q132" s="58">
        <v>3.6024016010673954E-2</v>
      </c>
      <c r="R132" s="58">
        <v>3.0049366816913281E-2</v>
      </c>
      <c r="S132" s="58">
        <v>3.0006251302354681E-2</v>
      </c>
      <c r="T132" s="37" t="s">
        <v>102</v>
      </c>
    </row>
    <row r="133" spans="1:20" s="3" customFormat="1" ht="25.15" customHeight="1" x14ac:dyDescent="2.5">
      <c r="A133" s="3">
        <v>44</v>
      </c>
      <c r="B133" s="3">
        <v>2</v>
      </c>
      <c r="D133" s="3">
        <v>159</v>
      </c>
      <c r="E133" s="3">
        <v>28</v>
      </c>
      <c r="G133" s="73" t="s">
        <v>201</v>
      </c>
      <c r="H133" s="73"/>
      <c r="I133" s="73" t="s">
        <v>18</v>
      </c>
      <c r="J133" s="73" t="s">
        <v>18</v>
      </c>
      <c r="K133" s="74">
        <v>909.2</v>
      </c>
      <c r="L133" s="74">
        <v>343</v>
      </c>
      <c r="M133" s="74">
        <v>566.20000000000005</v>
      </c>
      <c r="N133" s="74">
        <v>957.59999999999991</v>
      </c>
      <c r="O133" s="74">
        <v>993.90000000000009</v>
      </c>
      <c r="P133" s="74">
        <v>1031.7</v>
      </c>
      <c r="Q133" s="75">
        <v>5.3233611966563954E-2</v>
      </c>
      <c r="R133" s="75">
        <v>3.7907268170426223E-2</v>
      </c>
      <c r="S133" s="75">
        <v>3.8031995170540345E-2</v>
      </c>
      <c r="T133" s="43"/>
    </row>
    <row r="134" spans="1:20" s="2" customFormat="1" ht="25.15" hidden="1" customHeight="1" x14ac:dyDescent="2.5">
      <c r="A134" s="3">
        <v>43</v>
      </c>
      <c r="B134" s="3">
        <v>2</v>
      </c>
      <c r="C134" s="3"/>
      <c r="D134" s="3"/>
      <c r="E134" s="3">
        <v>28</v>
      </c>
      <c r="F134" s="3">
        <v>1</v>
      </c>
      <c r="G134" s="68" t="s">
        <v>4</v>
      </c>
      <c r="H134" s="68"/>
      <c r="I134" s="68" t="s">
        <v>4</v>
      </c>
      <c r="J134" s="68" t="s">
        <v>4</v>
      </c>
      <c r="K134" s="57">
        <v>347.7</v>
      </c>
      <c r="L134" s="57"/>
      <c r="M134" s="57">
        <v>347.7</v>
      </c>
      <c r="N134" s="57">
        <v>380.7</v>
      </c>
      <c r="O134" s="57">
        <v>399.7</v>
      </c>
      <c r="P134" s="57">
        <v>419.7</v>
      </c>
      <c r="Q134" s="58">
        <v>9.4909404659188956E-2</v>
      </c>
      <c r="R134" s="58">
        <v>4.990806409246118E-2</v>
      </c>
      <c r="S134" s="58">
        <v>5.0037528146109622E-2</v>
      </c>
      <c r="T134" s="37"/>
    </row>
    <row r="135" spans="1:20" s="2" customFormat="1" ht="25.15" hidden="1" customHeight="1" x14ac:dyDescent="2.5">
      <c r="A135" s="3">
        <v>43</v>
      </c>
      <c r="B135" s="3">
        <v>2</v>
      </c>
      <c r="C135" s="3"/>
      <c r="D135" s="3"/>
      <c r="E135" s="3">
        <v>28</v>
      </c>
      <c r="F135" s="3">
        <v>2</v>
      </c>
      <c r="G135" s="68" t="s">
        <v>5</v>
      </c>
      <c r="H135" s="68"/>
      <c r="I135" s="68" t="s">
        <v>5</v>
      </c>
      <c r="J135" s="68" t="s">
        <v>5</v>
      </c>
      <c r="K135" s="57">
        <v>561.5</v>
      </c>
      <c r="L135" s="57">
        <v>343</v>
      </c>
      <c r="M135" s="57">
        <v>218.5</v>
      </c>
      <c r="N135" s="57">
        <v>576.9</v>
      </c>
      <c r="O135" s="57">
        <v>594.20000000000005</v>
      </c>
      <c r="P135" s="57">
        <v>612</v>
      </c>
      <c r="Q135" s="58">
        <v>2.7426536064113938E-2</v>
      </c>
      <c r="R135" s="58">
        <v>2.9987866181313994E-2</v>
      </c>
      <c r="S135" s="58">
        <v>2.9956243688993522E-2</v>
      </c>
      <c r="T135" s="37" t="s">
        <v>103</v>
      </c>
    </row>
    <row r="136" spans="1:20" s="3" customFormat="1" ht="25.15" customHeight="1" x14ac:dyDescent="2.5">
      <c r="A136" s="3">
        <v>45</v>
      </c>
      <c r="B136" s="3">
        <v>2</v>
      </c>
      <c r="D136" s="3">
        <v>160</v>
      </c>
      <c r="E136" s="3">
        <v>28</v>
      </c>
      <c r="G136" s="73" t="s">
        <v>202</v>
      </c>
      <c r="H136" s="73"/>
      <c r="I136" s="73" t="s">
        <v>19</v>
      </c>
      <c r="J136" s="73" t="s">
        <v>19</v>
      </c>
      <c r="K136" s="74">
        <v>1562.7</v>
      </c>
      <c r="L136" s="74">
        <v>486.7</v>
      </c>
      <c r="M136" s="74">
        <v>1076</v>
      </c>
      <c r="N136" s="74">
        <v>1642.3</v>
      </c>
      <c r="O136" s="74">
        <v>1704</v>
      </c>
      <c r="P136" s="74">
        <v>1768.6999999999998</v>
      </c>
      <c r="Q136" s="75">
        <v>5.093748000255971E-2</v>
      </c>
      <c r="R136" s="75">
        <v>3.7569262619497001E-2</v>
      </c>
      <c r="S136" s="75">
        <v>3.7969483568075058E-2</v>
      </c>
      <c r="T136" s="43"/>
    </row>
    <row r="137" spans="1:20" s="2" customFormat="1" ht="25.15" hidden="1" customHeight="1" x14ac:dyDescent="2.5">
      <c r="A137" s="3">
        <v>44</v>
      </c>
      <c r="B137" s="3">
        <v>2</v>
      </c>
      <c r="C137" s="3"/>
      <c r="D137" s="3"/>
      <c r="E137" s="3">
        <v>28</v>
      </c>
      <c r="F137" s="3">
        <v>1</v>
      </c>
      <c r="G137" s="68" t="s">
        <v>4</v>
      </c>
      <c r="H137" s="68"/>
      <c r="I137" s="68" t="s">
        <v>4</v>
      </c>
      <c r="J137" s="68" t="s">
        <v>4</v>
      </c>
      <c r="K137" s="57">
        <v>607.70000000000005</v>
      </c>
      <c r="L137" s="57"/>
      <c r="M137" s="57">
        <v>607.70000000000005</v>
      </c>
      <c r="N137" s="57">
        <v>665.4</v>
      </c>
      <c r="O137" s="57">
        <v>698.7</v>
      </c>
      <c r="P137" s="57">
        <v>733.6</v>
      </c>
      <c r="Q137" s="58">
        <v>9.4948165213098346E-2</v>
      </c>
      <c r="R137" s="58">
        <v>5.0045085662759448E-2</v>
      </c>
      <c r="S137" s="58">
        <v>4.9949906970087277E-2</v>
      </c>
      <c r="T137" s="37"/>
    </row>
    <row r="138" spans="1:20" s="2" customFormat="1" ht="25.15" hidden="1" customHeight="1" x14ac:dyDescent="2.5">
      <c r="A138" s="3">
        <v>44</v>
      </c>
      <c r="B138" s="3">
        <v>2</v>
      </c>
      <c r="C138" s="3"/>
      <c r="D138" s="3"/>
      <c r="E138" s="3">
        <v>28</v>
      </c>
      <c r="F138" s="3">
        <v>2</v>
      </c>
      <c r="G138" s="68" t="s">
        <v>5</v>
      </c>
      <c r="H138" s="68"/>
      <c r="I138" s="68" t="s">
        <v>5</v>
      </c>
      <c r="J138" s="68" t="s">
        <v>5</v>
      </c>
      <c r="K138" s="57">
        <v>955</v>
      </c>
      <c r="L138" s="57">
        <v>486.7</v>
      </c>
      <c r="M138" s="57">
        <v>468.3</v>
      </c>
      <c r="N138" s="57">
        <v>976.9</v>
      </c>
      <c r="O138" s="57">
        <v>1005.3000000000001</v>
      </c>
      <c r="P138" s="57">
        <v>1035.0999999999999</v>
      </c>
      <c r="Q138" s="58">
        <v>2.2931937172774752E-2</v>
      </c>
      <c r="R138" s="58">
        <v>2.9071552871327677E-2</v>
      </c>
      <c r="S138" s="58">
        <v>2.9642892668855003E-2</v>
      </c>
      <c r="T138" s="37" t="s">
        <v>104</v>
      </c>
    </row>
    <row r="139" spans="1:20" s="3" customFormat="1" ht="25.15" customHeight="1" x14ac:dyDescent="2.5">
      <c r="A139" s="3">
        <v>46</v>
      </c>
      <c r="B139" s="3">
        <v>2</v>
      </c>
      <c r="D139" s="3">
        <v>161</v>
      </c>
      <c r="E139" s="3">
        <v>28</v>
      </c>
      <c r="G139" s="73" t="s">
        <v>203</v>
      </c>
      <c r="H139" s="73"/>
      <c r="I139" s="73" t="s">
        <v>20</v>
      </c>
      <c r="J139" s="73" t="s">
        <v>20</v>
      </c>
      <c r="K139" s="74">
        <v>1205.9000000000001</v>
      </c>
      <c r="L139" s="74">
        <v>535.5</v>
      </c>
      <c r="M139" s="74">
        <v>670.40000000000009</v>
      </c>
      <c r="N139" s="74">
        <v>1260.1999999999998</v>
      </c>
      <c r="O139" s="74">
        <v>1306.5999999999999</v>
      </c>
      <c r="P139" s="74">
        <v>1354.8</v>
      </c>
      <c r="Q139" s="75">
        <v>4.5028609337424141E-2</v>
      </c>
      <c r="R139" s="75">
        <v>3.6819552451991866E-2</v>
      </c>
      <c r="S139" s="75">
        <v>3.688963722638916E-2</v>
      </c>
      <c r="T139" s="43"/>
    </row>
    <row r="140" spans="1:20" s="2" customFormat="1" ht="25.15" hidden="1" customHeight="1" x14ac:dyDescent="2.5">
      <c r="A140" s="3">
        <v>45</v>
      </c>
      <c r="B140" s="3">
        <v>2</v>
      </c>
      <c r="C140" s="3"/>
      <c r="D140" s="3"/>
      <c r="E140" s="3">
        <v>28</v>
      </c>
      <c r="F140" s="3">
        <v>1</v>
      </c>
      <c r="G140" s="68" t="s">
        <v>4</v>
      </c>
      <c r="H140" s="68"/>
      <c r="I140" s="68" t="s">
        <v>4</v>
      </c>
      <c r="J140" s="68" t="s">
        <v>4</v>
      </c>
      <c r="K140" s="57">
        <v>390.5</v>
      </c>
      <c r="L140" s="57"/>
      <c r="M140" s="57">
        <v>390.5</v>
      </c>
      <c r="N140" s="57">
        <v>427.6</v>
      </c>
      <c r="O140" s="57">
        <v>449</v>
      </c>
      <c r="P140" s="57">
        <v>471.5</v>
      </c>
      <c r="Q140" s="58">
        <v>9.5006402048655625E-2</v>
      </c>
      <c r="R140" s="58">
        <v>5.0046772684751994E-2</v>
      </c>
      <c r="S140" s="58">
        <v>5.0111358574610243E-2</v>
      </c>
      <c r="T140" s="37"/>
    </row>
    <row r="141" spans="1:20" s="2" customFormat="1" ht="25.15" hidden="1" customHeight="1" x14ac:dyDescent="2.5">
      <c r="A141" s="3">
        <v>45</v>
      </c>
      <c r="B141" s="3">
        <v>2</v>
      </c>
      <c r="C141" s="3"/>
      <c r="D141" s="3"/>
      <c r="E141" s="3">
        <v>28</v>
      </c>
      <c r="F141" s="3">
        <v>2</v>
      </c>
      <c r="G141" s="68" t="s">
        <v>5</v>
      </c>
      <c r="H141" s="68"/>
      <c r="I141" s="68" t="s">
        <v>5</v>
      </c>
      <c r="J141" s="68" t="s">
        <v>5</v>
      </c>
      <c r="K141" s="57">
        <v>815.40000000000009</v>
      </c>
      <c r="L141" s="57">
        <v>535.5</v>
      </c>
      <c r="M141" s="57">
        <v>279.90000000000009</v>
      </c>
      <c r="N141" s="57">
        <v>832.59999999999991</v>
      </c>
      <c r="O141" s="57">
        <v>857.6</v>
      </c>
      <c r="P141" s="57">
        <v>883.3</v>
      </c>
      <c r="Q141" s="58">
        <v>2.1093941623742785E-2</v>
      </c>
      <c r="R141" s="58">
        <v>3.0026423252462298E-2</v>
      </c>
      <c r="S141" s="58">
        <v>2.9967350746268551E-2</v>
      </c>
      <c r="T141" s="37" t="s">
        <v>105</v>
      </c>
    </row>
    <row r="142" spans="1:20" s="3" customFormat="1" ht="25.15" customHeight="1" x14ac:dyDescent="2.5">
      <c r="A142" s="3">
        <v>47</v>
      </c>
      <c r="B142" s="3">
        <v>2</v>
      </c>
      <c r="D142" s="3">
        <v>162</v>
      </c>
      <c r="E142" s="3">
        <v>28</v>
      </c>
      <c r="G142" s="73" t="s">
        <v>204</v>
      </c>
      <c r="H142" s="73"/>
      <c r="I142" s="73" t="s">
        <v>21</v>
      </c>
      <c r="J142" s="73" t="s">
        <v>21</v>
      </c>
      <c r="K142" s="74">
        <v>883.8</v>
      </c>
      <c r="L142" s="74">
        <v>224.7</v>
      </c>
      <c r="M142" s="74">
        <v>659.09999999999991</v>
      </c>
      <c r="N142" s="74">
        <v>938.90000000000009</v>
      </c>
      <c r="O142" s="74">
        <v>976</v>
      </c>
      <c r="P142" s="74">
        <v>1014.5999999999999</v>
      </c>
      <c r="Q142" s="75">
        <v>6.2344421814890305E-2</v>
      </c>
      <c r="R142" s="75">
        <v>3.9514325274256912E-2</v>
      </c>
      <c r="S142" s="75">
        <v>3.9549180327868694E-2</v>
      </c>
      <c r="T142" s="43"/>
    </row>
    <row r="143" spans="1:20" s="2" customFormat="1" ht="25.15" hidden="1" customHeight="1" x14ac:dyDescent="2.5">
      <c r="A143" s="3">
        <v>46</v>
      </c>
      <c r="B143" s="3">
        <v>2</v>
      </c>
      <c r="C143" s="3"/>
      <c r="D143" s="3"/>
      <c r="E143" s="3">
        <v>28</v>
      </c>
      <c r="F143" s="3">
        <v>1</v>
      </c>
      <c r="G143" s="68" t="s">
        <v>4</v>
      </c>
      <c r="H143" s="68"/>
      <c r="I143" s="68" t="s">
        <v>4</v>
      </c>
      <c r="J143" s="68" t="s">
        <v>4</v>
      </c>
      <c r="K143" s="57">
        <v>407.4</v>
      </c>
      <c r="L143" s="57"/>
      <c r="M143" s="57">
        <v>407.4</v>
      </c>
      <c r="N143" s="57">
        <v>446.1</v>
      </c>
      <c r="O143" s="57">
        <v>468.4</v>
      </c>
      <c r="P143" s="57">
        <v>491.8</v>
      </c>
      <c r="Q143" s="58">
        <v>9.4992636229749738E-2</v>
      </c>
      <c r="R143" s="58">
        <v>4.9988791750728456E-2</v>
      </c>
      <c r="S143" s="58">
        <v>4.9957301451750702E-2</v>
      </c>
      <c r="T143" s="37"/>
    </row>
    <row r="144" spans="1:20" s="2" customFormat="1" ht="25.15" hidden="1" customHeight="1" x14ac:dyDescent="2.5">
      <c r="A144" s="3">
        <v>46</v>
      </c>
      <c r="B144" s="3">
        <v>2</v>
      </c>
      <c r="C144" s="3"/>
      <c r="D144" s="3"/>
      <c r="E144" s="3">
        <v>28</v>
      </c>
      <c r="F144" s="3">
        <v>2</v>
      </c>
      <c r="G144" s="68" t="s">
        <v>5</v>
      </c>
      <c r="H144" s="68"/>
      <c r="I144" s="68" t="s">
        <v>5</v>
      </c>
      <c r="J144" s="68" t="s">
        <v>5</v>
      </c>
      <c r="K144" s="57">
        <v>476.4</v>
      </c>
      <c r="L144" s="57">
        <v>224.7</v>
      </c>
      <c r="M144" s="57">
        <v>251.7</v>
      </c>
      <c r="N144" s="57">
        <v>492.8</v>
      </c>
      <c r="O144" s="57">
        <v>507.6</v>
      </c>
      <c r="P144" s="57">
        <v>522.79999999999995</v>
      </c>
      <c r="Q144" s="58">
        <v>3.4424853064651595E-2</v>
      </c>
      <c r="R144" s="58">
        <v>3.0032467532467466E-2</v>
      </c>
      <c r="S144" s="58">
        <v>2.9944838455476575E-2</v>
      </c>
      <c r="T144" s="37" t="s">
        <v>106</v>
      </c>
    </row>
    <row r="145" spans="1:20" s="3" customFormat="1" ht="25.15" customHeight="1" x14ac:dyDescent="2.5">
      <c r="A145" s="3">
        <v>48</v>
      </c>
      <c r="B145" s="3">
        <v>2</v>
      </c>
      <c r="D145" s="3">
        <v>163</v>
      </c>
      <c r="E145" s="3">
        <v>28</v>
      </c>
      <c r="G145" s="73" t="s">
        <v>205</v>
      </c>
      <c r="H145" s="73"/>
      <c r="I145" s="73" t="s">
        <v>22</v>
      </c>
      <c r="J145" s="73" t="s">
        <v>22</v>
      </c>
      <c r="K145" s="74">
        <v>1212.0999999999999</v>
      </c>
      <c r="L145" s="74">
        <v>139.6</v>
      </c>
      <c r="M145" s="74">
        <v>1072.5</v>
      </c>
      <c r="N145" s="74">
        <v>1288.3</v>
      </c>
      <c r="O145" s="74">
        <v>1338.8000000000002</v>
      </c>
      <c r="P145" s="74">
        <v>1391.5</v>
      </c>
      <c r="Q145" s="75">
        <v>6.2866100156752758E-2</v>
      </c>
      <c r="R145" s="75">
        <v>3.9198944345261388E-2</v>
      </c>
      <c r="S145" s="75">
        <v>3.9363609202270444E-2</v>
      </c>
      <c r="T145" s="43"/>
    </row>
    <row r="146" spans="1:20" s="2" customFormat="1" ht="25.15" hidden="1" customHeight="1" x14ac:dyDescent="2.5">
      <c r="A146" s="3">
        <v>47</v>
      </c>
      <c r="B146" s="3">
        <v>2</v>
      </c>
      <c r="C146" s="3"/>
      <c r="D146" s="3"/>
      <c r="E146" s="3">
        <v>28</v>
      </c>
      <c r="F146" s="3">
        <v>1</v>
      </c>
      <c r="G146" s="68" t="s">
        <v>4</v>
      </c>
      <c r="H146" s="68"/>
      <c r="I146" s="68" t="s">
        <v>4</v>
      </c>
      <c r="J146" s="68" t="s">
        <v>4</v>
      </c>
      <c r="K146" s="57">
        <v>542</v>
      </c>
      <c r="L146" s="57"/>
      <c r="M146" s="57">
        <v>542</v>
      </c>
      <c r="N146" s="57">
        <v>593.5</v>
      </c>
      <c r="O146" s="57">
        <v>623.20000000000005</v>
      </c>
      <c r="P146" s="57">
        <v>654.4</v>
      </c>
      <c r="Q146" s="58">
        <v>9.5018450184501946E-2</v>
      </c>
      <c r="R146" s="58">
        <v>5.0042122999157668E-2</v>
      </c>
      <c r="S146" s="58">
        <v>5.0064184852374627E-2</v>
      </c>
      <c r="T146" s="37"/>
    </row>
    <row r="147" spans="1:20" s="2" customFormat="1" ht="25.15" hidden="1" customHeight="1" x14ac:dyDescent="2.5">
      <c r="A147" s="3">
        <v>47</v>
      </c>
      <c r="B147" s="3">
        <v>2</v>
      </c>
      <c r="C147" s="3"/>
      <c r="D147" s="3"/>
      <c r="E147" s="3">
        <v>28</v>
      </c>
      <c r="F147" s="3">
        <v>2</v>
      </c>
      <c r="G147" s="68" t="s">
        <v>5</v>
      </c>
      <c r="H147" s="68"/>
      <c r="I147" s="68" t="s">
        <v>5</v>
      </c>
      <c r="J147" s="68" t="s">
        <v>5</v>
      </c>
      <c r="K147" s="57">
        <v>670.1</v>
      </c>
      <c r="L147" s="57">
        <v>139.6</v>
      </c>
      <c r="M147" s="57">
        <v>530.5</v>
      </c>
      <c r="N147" s="57">
        <v>694.8</v>
      </c>
      <c r="O147" s="57">
        <v>715.6</v>
      </c>
      <c r="P147" s="57">
        <v>737.1</v>
      </c>
      <c r="Q147" s="58">
        <v>3.6860170123862002E-2</v>
      </c>
      <c r="R147" s="58">
        <v>2.9936672423719113E-2</v>
      </c>
      <c r="S147" s="58">
        <v>3.0044717719396319E-2</v>
      </c>
      <c r="T147" s="37" t="s">
        <v>107</v>
      </c>
    </row>
    <row r="148" spans="1:20" s="3" customFormat="1" ht="25.15" customHeight="1" x14ac:dyDescent="2.5">
      <c r="A148" s="3">
        <v>49</v>
      </c>
      <c r="B148" s="3">
        <v>2</v>
      </c>
      <c r="D148" s="3">
        <v>164</v>
      </c>
      <c r="E148" s="3">
        <v>28</v>
      </c>
      <c r="G148" s="73" t="s">
        <v>206</v>
      </c>
      <c r="H148" s="73"/>
      <c r="I148" s="73" t="s">
        <v>23</v>
      </c>
      <c r="J148" s="73" t="s">
        <v>23</v>
      </c>
      <c r="K148" s="74">
        <v>897.2</v>
      </c>
      <c r="L148" s="74">
        <v>198.4</v>
      </c>
      <c r="M148" s="74">
        <v>698.80000000000007</v>
      </c>
      <c r="N148" s="74">
        <v>956.2</v>
      </c>
      <c r="O148" s="74">
        <v>994.7</v>
      </c>
      <c r="P148" s="74">
        <v>1034.8000000000002</v>
      </c>
      <c r="Q148" s="75">
        <v>6.576014266607233E-2</v>
      </c>
      <c r="R148" s="75">
        <v>4.026354319180081E-2</v>
      </c>
      <c r="S148" s="75">
        <v>4.0313662410777162E-2</v>
      </c>
      <c r="T148" s="43"/>
    </row>
    <row r="149" spans="1:20" s="2" customFormat="1" ht="25.15" hidden="1" customHeight="1" x14ac:dyDescent="2.5">
      <c r="A149" s="3">
        <v>48</v>
      </c>
      <c r="B149" s="3">
        <v>2</v>
      </c>
      <c r="C149" s="3"/>
      <c r="D149" s="3"/>
      <c r="E149" s="3">
        <v>28</v>
      </c>
      <c r="F149" s="3">
        <v>1</v>
      </c>
      <c r="G149" s="68" t="s">
        <v>4</v>
      </c>
      <c r="H149" s="68"/>
      <c r="I149" s="68" t="s">
        <v>4</v>
      </c>
      <c r="J149" s="68" t="s">
        <v>4</v>
      </c>
      <c r="K149" s="57">
        <v>449.1</v>
      </c>
      <c r="L149" s="57"/>
      <c r="M149" s="57">
        <v>449.1</v>
      </c>
      <c r="N149" s="57">
        <v>491.8</v>
      </c>
      <c r="O149" s="57">
        <v>516.4</v>
      </c>
      <c r="P149" s="57">
        <v>542.20000000000005</v>
      </c>
      <c r="Q149" s="58">
        <v>9.5079046982854631E-2</v>
      </c>
      <c r="R149" s="58">
        <v>5.0020333468889788E-2</v>
      </c>
      <c r="S149" s="58">
        <v>4.9961270333075181E-2</v>
      </c>
      <c r="T149" s="37"/>
    </row>
    <row r="150" spans="1:20" s="2" customFormat="1" ht="25.15" hidden="1" customHeight="1" x14ac:dyDescent="2.5">
      <c r="A150" s="3">
        <v>48</v>
      </c>
      <c r="B150" s="3">
        <v>2</v>
      </c>
      <c r="C150" s="3"/>
      <c r="D150" s="3"/>
      <c r="E150" s="3">
        <v>28</v>
      </c>
      <c r="F150" s="3">
        <v>2</v>
      </c>
      <c r="G150" s="68" t="s">
        <v>5</v>
      </c>
      <c r="H150" s="68"/>
      <c r="I150" s="68" t="s">
        <v>5</v>
      </c>
      <c r="J150" s="68" t="s">
        <v>5</v>
      </c>
      <c r="K150" s="57">
        <v>448.1</v>
      </c>
      <c r="L150" s="57">
        <v>198.4</v>
      </c>
      <c r="M150" s="57">
        <v>249.70000000000002</v>
      </c>
      <c r="N150" s="57">
        <v>464.40000000000003</v>
      </c>
      <c r="O150" s="57">
        <v>478.3</v>
      </c>
      <c r="P150" s="57">
        <v>492.6</v>
      </c>
      <c r="Q150" s="58">
        <v>3.6375808971211843E-2</v>
      </c>
      <c r="R150" s="58">
        <v>2.9931093884582261E-2</v>
      </c>
      <c r="S150" s="58">
        <v>2.9897553836504276E-2</v>
      </c>
      <c r="T150" s="37" t="s">
        <v>108</v>
      </c>
    </row>
    <row r="151" spans="1:20" s="3" customFormat="1" ht="25.15" customHeight="1" x14ac:dyDescent="2.5">
      <c r="A151" s="3">
        <v>50</v>
      </c>
      <c r="B151" s="3">
        <v>2</v>
      </c>
      <c r="D151" s="3">
        <v>165</v>
      </c>
      <c r="E151" s="3">
        <v>28</v>
      </c>
      <c r="G151" s="73" t="s">
        <v>207</v>
      </c>
      <c r="H151" s="73"/>
      <c r="I151" s="73" t="s">
        <v>24</v>
      </c>
      <c r="J151" s="73" t="s">
        <v>24</v>
      </c>
      <c r="K151" s="74">
        <v>1000.1999999999999</v>
      </c>
      <c r="L151" s="74">
        <v>390.3</v>
      </c>
      <c r="M151" s="74">
        <v>609.89999999999986</v>
      </c>
      <c r="N151" s="74">
        <v>1048</v>
      </c>
      <c r="O151" s="74">
        <v>1086.4000000000001</v>
      </c>
      <c r="P151" s="74">
        <v>1126.4000000000001</v>
      </c>
      <c r="Q151" s="75">
        <v>4.7790441911617743E-2</v>
      </c>
      <c r="R151" s="75">
        <v>3.6641221374045907E-2</v>
      </c>
      <c r="S151" s="75">
        <v>3.6818851251841034E-2</v>
      </c>
      <c r="T151" s="43"/>
    </row>
    <row r="152" spans="1:20" s="2" customFormat="1" ht="25.15" hidden="1" customHeight="1" x14ac:dyDescent="2.5">
      <c r="A152" s="3">
        <v>49</v>
      </c>
      <c r="B152" s="3">
        <v>2</v>
      </c>
      <c r="C152" s="3"/>
      <c r="D152" s="3"/>
      <c r="E152" s="3">
        <v>28</v>
      </c>
      <c r="F152" s="3">
        <v>1</v>
      </c>
      <c r="G152" s="68" t="s">
        <v>4</v>
      </c>
      <c r="H152" s="68"/>
      <c r="I152" s="68" t="s">
        <v>4</v>
      </c>
      <c r="J152" s="68" t="s">
        <v>4</v>
      </c>
      <c r="K152" s="57">
        <v>319.39999999999998</v>
      </c>
      <c r="L152" s="57"/>
      <c r="M152" s="57">
        <v>319.39999999999998</v>
      </c>
      <c r="N152" s="57">
        <v>349.7</v>
      </c>
      <c r="O152" s="57">
        <v>367.2</v>
      </c>
      <c r="P152" s="57">
        <v>385.6</v>
      </c>
      <c r="Q152" s="58">
        <v>9.4865372573575524E-2</v>
      </c>
      <c r="R152" s="58">
        <v>5.0042893909064912E-2</v>
      </c>
      <c r="S152" s="58">
        <v>5.0108932461873756E-2</v>
      </c>
      <c r="T152" s="37"/>
    </row>
    <row r="153" spans="1:20" s="2" customFormat="1" ht="25.15" hidden="1" customHeight="1" x14ac:dyDescent="2.5">
      <c r="A153" s="3">
        <v>49</v>
      </c>
      <c r="B153" s="3">
        <v>2</v>
      </c>
      <c r="C153" s="3"/>
      <c r="D153" s="3"/>
      <c r="E153" s="3">
        <v>28</v>
      </c>
      <c r="F153" s="3">
        <v>2</v>
      </c>
      <c r="G153" s="68" t="s">
        <v>5</v>
      </c>
      <c r="H153" s="68"/>
      <c r="I153" s="68" t="s">
        <v>5</v>
      </c>
      <c r="J153" s="68" t="s">
        <v>5</v>
      </c>
      <c r="K153" s="57">
        <v>680.8</v>
      </c>
      <c r="L153" s="57">
        <v>390.3</v>
      </c>
      <c r="M153" s="57">
        <v>290.49999999999994</v>
      </c>
      <c r="N153" s="57">
        <v>698.3</v>
      </c>
      <c r="O153" s="57">
        <v>719.2</v>
      </c>
      <c r="P153" s="57">
        <v>740.8</v>
      </c>
      <c r="Q153" s="58">
        <v>2.5705052878965962E-2</v>
      </c>
      <c r="R153" s="58">
        <v>2.9929829586137879E-2</v>
      </c>
      <c r="S153" s="58">
        <v>3.0033370411568283E-2</v>
      </c>
      <c r="T153" s="37" t="s">
        <v>109</v>
      </c>
    </row>
    <row r="154" spans="1:20" s="3" customFormat="1" ht="25.15" customHeight="1" x14ac:dyDescent="2.5">
      <c r="A154" s="3">
        <v>51</v>
      </c>
      <c r="B154" s="3">
        <v>2</v>
      </c>
      <c r="D154" s="3">
        <v>166</v>
      </c>
      <c r="E154" s="3">
        <v>28</v>
      </c>
      <c r="G154" s="73" t="s">
        <v>208</v>
      </c>
      <c r="H154" s="73"/>
      <c r="I154" s="73" t="s">
        <v>25</v>
      </c>
      <c r="J154" s="73" t="s">
        <v>25</v>
      </c>
      <c r="K154" s="74">
        <v>1007.8</v>
      </c>
      <c r="L154" s="74">
        <v>187.3</v>
      </c>
      <c r="M154" s="74">
        <v>820.5</v>
      </c>
      <c r="N154" s="74">
        <v>1075.8</v>
      </c>
      <c r="O154" s="74">
        <v>1119.7</v>
      </c>
      <c r="P154" s="74">
        <v>1165.5</v>
      </c>
      <c r="Q154" s="75">
        <v>6.7473705100218329E-2</v>
      </c>
      <c r="R154" s="75">
        <v>4.0806841420338413E-2</v>
      </c>
      <c r="S154" s="75">
        <v>4.0903813521478982E-2</v>
      </c>
      <c r="T154" s="43"/>
    </row>
    <row r="155" spans="1:20" s="2" customFormat="1" ht="25.15" hidden="1" customHeight="1" x14ac:dyDescent="2.5">
      <c r="A155" s="3">
        <v>50</v>
      </c>
      <c r="B155" s="3">
        <v>2</v>
      </c>
      <c r="C155" s="3"/>
      <c r="D155" s="3"/>
      <c r="E155" s="3">
        <v>28</v>
      </c>
      <c r="F155" s="3">
        <v>1</v>
      </c>
      <c r="G155" s="68" t="s">
        <v>4</v>
      </c>
      <c r="H155" s="68"/>
      <c r="I155" s="68" t="s">
        <v>4</v>
      </c>
      <c r="J155" s="68" t="s">
        <v>4</v>
      </c>
      <c r="K155" s="57">
        <v>532</v>
      </c>
      <c r="L155" s="57"/>
      <c r="M155" s="57">
        <v>532</v>
      </c>
      <c r="N155" s="57">
        <v>582.5</v>
      </c>
      <c r="O155" s="57">
        <v>611.6</v>
      </c>
      <c r="P155" s="57">
        <v>642.20000000000005</v>
      </c>
      <c r="Q155" s="58">
        <v>9.492481203007519E-2</v>
      </c>
      <c r="R155" s="58">
        <v>4.9957081545064508E-2</v>
      </c>
      <c r="S155" s="58">
        <v>5.0032701111837774E-2</v>
      </c>
      <c r="T155" s="37"/>
    </row>
    <row r="156" spans="1:20" s="2" customFormat="1" ht="25.15" hidden="1" customHeight="1" x14ac:dyDescent="2.5">
      <c r="A156" s="3">
        <v>50</v>
      </c>
      <c r="B156" s="3">
        <v>2</v>
      </c>
      <c r="C156" s="3"/>
      <c r="D156" s="3"/>
      <c r="E156" s="3">
        <v>28</v>
      </c>
      <c r="F156" s="3">
        <v>2</v>
      </c>
      <c r="G156" s="68" t="s">
        <v>5</v>
      </c>
      <c r="H156" s="68"/>
      <c r="I156" s="68" t="s">
        <v>5</v>
      </c>
      <c r="J156" s="68" t="s">
        <v>5</v>
      </c>
      <c r="K156" s="57">
        <v>475.8</v>
      </c>
      <c r="L156" s="57">
        <v>187.3</v>
      </c>
      <c r="M156" s="57">
        <v>288.5</v>
      </c>
      <c r="N156" s="57">
        <v>493.3</v>
      </c>
      <c r="O156" s="57">
        <v>508.1</v>
      </c>
      <c r="P156" s="57">
        <v>523.29999999999995</v>
      </c>
      <c r="Q156" s="58">
        <v>3.6780159730979367E-2</v>
      </c>
      <c r="R156" s="58">
        <v>3.000202716399758E-2</v>
      </c>
      <c r="S156" s="58">
        <v>2.9915370989962442E-2</v>
      </c>
      <c r="T156" s="37" t="s">
        <v>110</v>
      </c>
    </row>
    <row r="157" spans="1:20" s="3" customFormat="1" ht="25.15" customHeight="1" x14ac:dyDescent="2.5">
      <c r="A157" s="3">
        <v>52</v>
      </c>
      <c r="B157" s="3">
        <v>2</v>
      </c>
      <c r="D157" s="3">
        <v>167</v>
      </c>
      <c r="E157" s="3">
        <v>28</v>
      </c>
      <c r="G157" s="73" t="s">
        <v>209</v>
      </c>
      <c r="H157" s="73"/>
      <c r="I157" s="73" t="s">
        <v>26</v>
      </c>
      <c r="J157" s="73" t="s">
        <v>26</v>
      </c>
      <c r="K157" s="74">
        <v>1434.6</v>
      </c>
      <c r="L157" s="74">
        <v>399.4</v>
      </c>
      <c r="M157" s="74">
        <v>1035.2</v>
      </c>
      <c r="N157" s="74">
        <v>1513.5</v>
      </c>
      <c r="O157" s="74">
        <v>1572.1</v>
      </c>
      <c r="P157" s="74">
        <v>1633</v>
      </c>
      <c r="Q157" s="75">
        <v>5.4997908824759634E-2</v>
      </c>
      <c r="R157" s="75">
        <v>3.8718202841096838E-2</v>
      </c>
      <c r="S157" s="75">
        <v>3.8737993766299939E-2</v>
      </c>
      <c r="T157" s="43"/>
    </row>
    <row r="158" spans="1:20" s="2" customFormat="1" ht="25.15" hidden="1" customHeight="1" x14ac:dyDescent="2.5">
      <c r="A158" s="3">
        <v>51</v>
      </c>
      <c r="B158" s="3">
        <v>2</v>
      </c>
      <c r="C158" s="3"/>
      <c r="D158" s="3"/>
      <c r="E158" s="3">
        <v>28</v>
      </c>
      <c r="F158" s="3">
        <v>1</v>
      </c>
      <c r="G158" s="68" t="s">
        <v>4</v>
      </c>
      <c r="H158" s="68"/>
      <c r="I158" s="68" t="s">
        <v>4</v>
      </c>
      <c r="J158" s="68" t="s">
        <v>4</v>
      </c>
      <c r="K158" s="57">
        <v>600.79999999999995</v>
      </c>
      <c r="L158" s="57"/>
      <c r="M158" s="57">
        <v>600.79999999999995</v>
      </c>
      <c r="N158" s="57">
        <v>657.9</v>
      </c>
      <c r="O158" s="57">
        <v>690.8</v>
      </c>
      <c r="P158" s="57">
        <v>725.3</v>
      </c>
      <c r="Q158" s="58">
        <v>9.5039946737683234E-2</v>
      </c>
      <c r="R158" s="58">
        <v>5.0007599939200453E-2</v>
      </c>
      <c r="S158" s="58">
        <v>4.9942096120439983E-2</v>
      </c>
      <c r="T158" s="37"/>
    </row>
    <row r="159" spans="1:20" s="2" customFormat="1" ht="25.15" hidden="1" customHeight="1" x14ac:dyDescent="2.5">
      <c r="A159" s="3">
        <v>51</v>
      </c>
      <c r="B159" s="3">
        <v>2</v>
      </c>
      <c r="C159" s="3"/>
      <c r="D159" s="3"/>
      <c r="E159" s="3">
        <v>28</v>
      </c>
      <c r="F159" s="3">
        <v>2</v>
      </c>
      <c r="G159" s="68" t="s">
        <v>5</v>
      </c>
      <c r="H159" s="68"/>
      <c r="I159" s="68" t="s">
        <v>5</v>
      </c>
      <c r="J159" s="68" t="s">
        <v>5</v>
      </c>
      <c r="K159" s="57">
        <v>833.80000000000007</v>
      </c>
      <c r="L159" s="57">
        <v>399.4</v>
      </c>
      <c r="M159" s="57">
        <v>434.40000000000009</v>
      </c>
      <c r="N159" s="57">
        <v>855.59999999999991</v>
      </c>
      <c r="O159" s="57">
        <v>881.3</v>
      </c>
      <c r="P159" s="57">
        <v>907.7</v>
      </c>
      <c r="Q159" s="58">
        <v>2.614535859918421E-2</v>
      </c>
      <c r="R159" s="58">
        <v>3.0037400654511437E-2</v>
      </c>
      <c r="S159" s="58">
        <v>2.9955747191648729E-2</v>
      </c>
      <c r="T159" s="37" t="s">
        <v>111</v>
      </c>
    </row>
    <row r="160" spans="1:20" s="3" customFormat="1" ht="25.15" customHeight="1" x14ac:dyDescent="2.5">
      <c r="A160" s="3">
        <v>53</v>
      </c>
      <c r="B160" s="3">
        <v>2</v>
      </c>
      <c r="D160" s="3">
        <v>168</v>
      </c>
      <c r="E160" s="3">
        <v>28</v>
      </c>
      <c r="G160" s="73" t="s">
        <v>210</v>
      </c>
      <c r="H160" s="73"/>
      <c r="I160" s="73" t="s">
        <v>27</v>
      </c>
      <c r="J160" s="73" t="s">
        <v>27</v>
      </c>
      <c r="K160" s="74">
        <v>701.4</v>
      </c>
      <c r="L160" s="74">
        <v>225</v>
      </c>
      <c r="M160" s="74">
        <v>476.4</v>
      </c>
      <c r="N160" s="74">
        <v>742.2</v>
      </c>
      <c r="O160" s="74">
        <v>770.4</v>
      </c>
      <c r="P160" s="74">
        <v>799.8</v>
      </c>
      <c r="Q160" s="75">
        <v>5.8169375534645074E-2</v>
      </c>
      <c r="R160" s="75">
        <v>3.7995149555375862E-2</v>
      </c>
      <c r="S160" s="75">
        <v>3.8161993769470381E-2</v>
      </c>
      <c r="T160" s="43"/>
    </row>
    <row r="161" spans="1:20" s="2" customFormat="1" ht="25.15" hidden="1" customHeight="1" x14ac:dyDescent="2.5">
      <c r="A161" s="3">
        <v>52</v>
      </c>
      <c r="B161" s="3">
        <v>2</v>
      </c>
      <c r="C161" s="3"/>
      <c r="D161" s="3"/>
      <c r="E161" s="3">
        <v>28</v>
      </c>
      <c r="F161" s="3">
        <v>1</v>
      </c>
      <c r="G161" s="68" t="s">
        <v>4</v>
      </c>
      <c r="H161" s="68"/>
      <c r="I161" s="68" t="s">
        <v>4</v>
      </c>
      <c r="J161" s="68" t="s">
        <v>4</v>
      </c>
      <c r="K161" s="57">
        <v>272.89999999999998</v>
      </c>
      <c r="L161" s="57"/>
      <c r="M161" s="57">
        <v>272.89999999999998</v>
      </c>
      <c r="N161" s="57">
        <v>298.8</v>
      </c>
      <c r="O161" s="57">
        <v>313.7</v>
      </c>
      <c r="P161" s="57">
        <v>329.4</v>
      </c>
      <c r="Q161" s="58">
        <v>9.4906559179186667E-2</v>
      </c>
      <c r="R161" s="58">
        <v>4.986613119143235E-2</v>
      </c>
      <c r="S161" s="58">
        <v>5.0047816385081267E-2</v>
      </c>
      <c r="T161" s="37"/>
    </row>
    <row r="162" spans="1:20" s="2" customFormat="1" ht="25.15" hidden="1" customHeight="1" x14ac:dyDescent="2.5">
      <c r="A162" s="3">
        <v>52</v>
      </c>
      <c r="B162" s="3">
        <v>2</v>
      </c>
      <c r="C162" s="3"/>
      <c r="D162" s="3"/>
      <c r="E162" s="3">
        <v>28</v>
      </c>
      <c r="F162" s="3">
        <v>2</v>
      </c>
      <c r="G162" s="68" t="s">
        <v>5</v>
      </c>
      <c r="H162" s="68"/>
      <c r="I162" s="68" t="s">
        <v>5</v>
      </c>
      <c r="J162" s="68" t="s">
        <v>5</v>
      </c>
      <c r="K162" s="57">
        <v>428.5</v>
      </c>
      <c r="L162" s="57">
        <v>225</v>
      </c>
      <c r="M162" s="57">
        <v>203.5</v>
      </c>
      <c r="N162" s="57">
        <v>443.40000000000003</v>
      </c>
      <c r="O162" s="57">
        <v>456.7</v>
      </c>
      <c r="P162" s="57">
        <v>470.4</v>
      </c>
      <c r="Q162" s="58">
        <v>3.47724620770129E-2</v>
      </c>
      <c r="R162" s="58">
        <v>2.9995489400090003E-2</v>
      </c>
      <c r="S162" s="58">
        <v>2.9997810378804335E-2</v>
      </c>
      <c r="T162" s="37" t="s">
        <v>112</v>
      </c>
    </row>
    <row r="163" spans="1:20" s="3" customFormat="1" ht="25.15" customHeight="1" x14ac:dyDescent="2.5">
      <c r="A163" s="3">
        <v>54</v>
      </c>
      <c r="B163" s="3">
        <v>2</v>
      </c>
      <c r="D163" s="3">
        <v>169</v>
      </c>
      <c r="E163" s="3">
        <v>28</v>
      </c>
      <c r="G163" s="73" t="s">
        <v>211</v>
      </c>
      <c r="H163" s="73"/>
      <c r="I163" s="73" t="s">
        <v>28</v>
      </c>
      <c r="J163" s="73" t="s">
        <v>28</v>
      </c>
      <c r="K163" s="74">
        <v>904.7</v>
      </c>
      <c r="L163" s="74">
        <v>336.5</v>
      </c>
      <c r="M163" s="74">
        <v>568.20000000000005</v>
      </c>
      <c r="N163" s="74">
        <v>952.9</v>
      </c>
      <c r="O163" s="74">
        <v>989</v>
      </c>
      <c r="P163" s="74">
        <v>1026.5</v>
      </c>
      <c r="Q163" s="75">
        <v>5.327732950149211E-2</v>
      </c>
      <c r="R163" s="75">
        <v>3.7884353027600071E-2</v>
      </c>
      <c r="S163" s="75">
        <v>3.7917087967644036E-2</v>
      </c>
      <c r="T163" s="43"/>
    </row>
    <row r="164" spans="1:20" s="2" customFormat="1" ht="25.15" hidden="1" customHeight="1" x14ac:dyDescent="2.5">
      <c r="A164" s="3">
        <v>53</v>
      </c>
      <c r="B164" s="3">
        <v>2</v>
      </c>
      <c r="C164" s="3"/>
      <c r="D164" s="3"/>
      <c r="E164" s="3">
        <v>28</v>
      </c>
      <c r="F164" s="3">
        <v>1</v>
      </c>
      <c r="G164" s="68" t="s">
        <v>4</v>
      </c>
      <c r="H164" s="68"/>
      <c r="I164" s="68" t="s">
        <v>4</v>
      </c>
      <c r="J164" s="68" t="s">
        <v>4</v>
      </c>
      <c r="K164" s="57">
        <v>342.9</v>
      </c>
      <c r="L164" s="57"/>
      <c r="M164" s="57">
        <v>342.9</v>
      </c>
      <c r="N164" s="57">
        <v>375.5</v>
      </c>
      <c r="O164" s="57">
        <v>394.3</v>
      </c>
      <c r="P164" s="57">
        <v>414</v>
      </c>
      <c r="Q164" s="58">
        <v>9.5071449402158059E-2</v>
      </c>
      <c r="R164" s="58">
        <v>5.0066577896138442E-2</v>
      </c>
      <c r="S164" s="58">
        <v>4.9961957900076071E-2</v>
      </c>
      <c r="T164" s="37"/>
    </row>
    <row r="165" spans="1:20" s="2" customFormat="1" ht="25.15" hidden="1" customHeight="1" x14ac:dyDescent="2.5">
      <c r="A165" s="3">
        <v>53</v>
      </c>
      <c r="B165" s="3">
        <v>2</v>
      </c>
      <c r="C165" s="3"/>
      <c r="D165" s="3"/>
      <c r="E165" s="3">
        <v>28</v>
      </c>
      <c r="F165" s="3">
        <v>2</v>
      </c>
      <c r="G165" s="68" t="s">
        <v>5</v>
      </c>
      <c r="H165" s="68"/>
      <c r="I165" s="68" t="s">
        <v>5</v>
      </c>
      <c r="J165" s="68" t="s">
        <v>5</v>
      </c>
      <c r="K165" s="57">
        <v>561.80000000000007</v>
      </c>
      <c r="L165" s="57">
        <v>336.5</v>
      </c>
      <c r="M165" s="57">
        <v>225.30000000000007</v>
      </c>
      <c r="N165" s="57">
        <v>577.4</v>
      </c>
      <c r="O165" s="57">
        <v>594.70000000000005</v>
      </c>
      <c r="P165" s="57">
        <v>612.5</v>
      </c>
      <c r="Q165" s="58">
        <v>2.7767888928444062E-2</v>
      </c>
      <c r="R165" s="58">
        <v>2.9961898164184486E-2</v>
      </c>
      <c r="S165" s="58">
        <v>2.9931057676139128E-2</v>
      </c>
      <c r="T165" s="37" t="s">
        <v>113</v>
      </c>
    </row>
    <row r="166" spans="1:20" s="3" customFormat="1" ht="25.15" customHeight="1" x14ac:dyDescent="2.5">
      <c r="A166" s="3">
        <v>55</v>
      </c>
      <c r="B166" s="3">
        <v>2</v>
      </c>
      <c r="D166" s="3">
        <v>170</v>
      </c>
      <c r="E166" s="3">
        <v>28</v>
      </c>
      <c r="G166" s="73" t="s">
        <v>212</v>
      </c>
      <c r="H166" s="73"/>
      <c r="I166" s="73" t="s">
        <v>29</v>
      </c>
      <c r="J166" s="73" t="s">
        <v>29</v>
      </c>
      <c r="K166" s="74">
        <v>934</v>
      </c>
      <c r="L166" s="74">
        <v>219.6</v>
      </c>
      <c r="M166" s="74">
        <v>714.4</v>
      </c>
      <c r="N166" s="74">
        <v>991.69999999999993</v>
      </c>
      <c r="O166" s="74">
        <v>1030.7</v>
      </c>
      <c r="P166" s="74">
        <v>1071.3000000000002</v>
      </c>
      <c r="Q166" s="75">
        <v>6.1777301927194772E-2</v>
      </c>
      <c r="R166" s="75">
        <v>3.9326409196329681E-2</v>
      </c>
      <c r="S166" s="75">
        <v>3.9390705345881516E-2</v>
      </c>
      <c r="T166" s="43"/>
    </row>
    <row r="167" spans="1:20" s="2" customFormat="1" ht="25.15" hidden="1" customHeight="1" x14ac:dyDescent="2.5">
      <c r="A167" s="3">
        <v>54</v>
      </c>
      <c r="B167" s="3">
        <v>2</v>
      </c>
      <c r="C167" s="3"/>
      <c r="D167" s="3"/>
      <c r="E167" s="3">
        <v>28</v>
      </c>
      <c r="F167" s="3">
        <v>1</v>
      </c>
      <c r="G167" s="68" t="s">
        <v>4</v>
      </c>
      <c r="H167" s="68"/>
      <c r="I167" s="68" t="s">
        <v>4</v>
      </c>
      <c r="J167" s="68" t="s">
        <v>4</v>
      </c>
      <c r="K167" s="57">
        <v>423.4</v>
      </c>
      <c r="L167" s="57"/>
      <c r="M167" s="57">
        <v>423.4</v>
      </c>
      <c r="N167" s="57">
        <v>463.6</v>
      </c>
      <c r="O167" s="57">
        <v>486.8</v>
      </c>
      <c r="P167" s="57">
        <v>511.1</v>
      </c>
      <c r="Q167" s="58">
        <v>9.4945677846008714E-2</v>
      </c>
      <c r="R167" s="58">
        <v>5.0043140638481365E-2</v>
      </c>
      <c r="S167" s="58">
        <v>4.9917830731306623E-2</v>
      </c>
      <c r="T167" s="37"/>
    </row>
    <row r="168" spans="1:20" s="2" customFormat="1" ht="25.15" hidden="1" customHeight="1" x14ac:dyDescent="2.5">
      <c r="A168" s="3">
        <v>54</v>
      </c>
      <c r="B168" s="3">
        <v>2</v>
      </c>
      <c r="C168" s="3"/>
      <c r="D168" s="3"/>
      <c r="E168" s="3">
        <v>28</v>
      </c>
      <c r="F168" s="3">
        <v>2</v>
      </c>
      <c r="G168" s="68" t="s">
        <v>5</v>
      </c>
      <c r="H168" s="68"/>
      <c r="I168" s="68" t="s">
        <v>5</v>
      </c>
      <c r="J168" s="68" t="s">
        <v>5</v>
      </c>
      <c r="K168" s="57">
        <v>510.59999999999997</v>
      </c>
      <c r="L168" s="57">
        <v>219.6</v>
      </c>
      <c r="M168" s="57">
        <v>291</v>
      </c>
      <c r="N168" s="57">
        <v>528.09999999999991</v>
      </c>
      <c r="O168" s="57">
        <v>543.9</v>
      </c>
      <c r="P168" s="57">
        <v>560.20000000000005</v>
      </c>
      <c r="Q168" s="58">
        <v>3.4273403838621208E-2</v>
      </c>
      <c r="R168" s="58">
        <v>2.9918576027267774E-2</v>
      </c>
      <c r="S168" s="58">
        <v>2.9968744254458723E-2</v>
      </c>
      <c r="T168" s="37" t="s">
        <v>114</v>
      </c>
    </row>
    <row r="169" spans="1:20" s="3" customFormat="1" ht="25.15" customHeight="1" x14ac:dyDescent="2.5">
      <c r="A169" s="3">
        <v>56</v>
      </c>
      <c r="B169" s="3">
        <v>2</v>
      </c>
      <c r="D169" s="3">
        <v>171</v>
      </c>
      <c r="E169" s="3">
        <v>28</v>
      </c>
      <c r="G169" s="73" t="s">
        <v>213</v>
      </c>
      <c r="H169" s="73"/>
      <c r="I169" s="73" t="s">
        <v>30</v>
      </c>
      <c r="J169" s="73" t="s">
        <v>30</v>
      </c>
      <c r="K169" s="74">
        <v>805.90000000000009</v>
      </c>
      <c r="L169" s="74">
        <v>99.5</v>
      </c>
      <c r="M169" s="74">
        <v>706.40000000000009</v>
      </c>
      <c r="N169" s="74">
        <v>862.2</v>
      </c>
      <c r="O169" s="74">
        <v>896.9</v>
      </c>
      <c r="P169" s="74">
        <v>933.1</v>
      </c>
      <c r="Q169" s="75">
        <v>6.9859784092319188E-2</v>
      </c>
      <c r="R169" s="75">
        <v>4.0245882625840723E-2</v>
      </c>
      <c r="S169" s="75">
        <v>4.0361244285873621E-2</v>
      </c>
      <c r="T169" s="43"/>
    </row>
    <row r="170" spans="1:20" s="2" customFormat="1" ht="25.15" hidden="1" customHeight="1" x14ac:dyDescent="2.5">
      <c r="A170" s="3">
        <v>55</v>
      </c>
      <c r="B170" s="3">
        <v>2</v>
      </c>
      <c r="C170" s="3"/>
      <c r="D170" s="3"/>
      <c r="E170" s="3"/>
      <c r="F170" s="3">
        <v>1</v>
      </c>
      <c r="G170" s="68" t="s">
        <v>4</v>
      </c>
      <c r="H170" s="68"/>
      <c r="I170" s="68" t="s">
        <v>4</v>
      </c>
      <c r="J170" s="68" t="s">
        <v>4</v>
      </c>
      <c r="K170" s="57">
        <v>405.5</v>
      </c>
      <c r="L170" s="57"/>
      <c r="M170" s="57">
        <v>405.5</v>
      </c>
      <c r="N170" s="57">
        <v>444</v>
      </c>
      <c r="O170" s="57">
        <v>466.2</v>
      </c>
      <c r="P170" s="57">
        <v>489.5</v>
      </c>
      <c r="Q170" s="58">
        <v>9.4944512946979032E-2</v>
      </c>
      <c r="R170" s="58">
        <v>5.0000000000000044E-2</v>
      </c>
      <c r="S170" s="58">
        <v>4.9978549978550113E-2</v>
      </c>
      <c r="T170" s="37"/>
    </row>
    <row r="171" spans="1:20" s="2" customFormat="1" ht="25.15" hidden="1" customHeight="1" thickBot="1" x14ac:dyDescent="2.65">
      <c r="A171" s="3">
        <v>55</v>
      </c>
      <c r="B171" s="3">
        <v>2</v>
      </c>
      <c r="C171" s="3"/>
      <c r="D171" s="3"/>
      <c r="E171" s="3"/>
      <c r="F171" s="3">
        <v>2</v>
      </c>
      <c r="G171" s="80" t="s">
        <v>5</v>
      </c>
      <c r="H171" s="80"/>
      <c r="I171" s="80" t="s">
        <v>5</v>
      </c>
      <c r="J171" s="80" t="s">
        <v>5</v>
      </c>
      <c r="K171" s="76">
        <v>400.40000000000003</v>
      </c>
      <c r="L171" s="76">
        <v>99.5</v>
      </c>
      <c r="M171" s="76">
        <v>300.90000000000003</v>
      </c>
      <c r="N171" s="76">
        <v>418.2</v>
      </c>
      <c r="O171" s="76">
        <v>430.7</v>
      </c>
      <c r="P171" s="76">
        <v>443.6</v>
      </c>
      <c r="Q171" s="77">
        <v>4.4455544455544338E-2</v>
      </c>
      <c r="R171" s="77">
        <v>2.989000478240067E-2</v>
      </c>
      <c r="S171" s="77">
        <v>2.9951242163919201E-2</v>
      </c>
      <c r="T171" s="44" t="s">
        <v>115</v>
      </c>
    </row>
  </sheetData>
  <autoFilter ref="A1:T171" xr:uid="{4FF4C96A-7129-4907-82F6-19B807B63898}">
    <filterColumn colId="3">
      <customFilters>
        <customFilter operator="notEqual" val=" "/>
      </customFilters>
    </filterColumn>
  </autoFilter>
  <printOptions horizontalCentered="1"/>
  <pageMargins left="0.39370078740157483" right="0.39370078740157483" top="0.39370078740157483" bottom="0.39370078740157483" header="0.31496062992125984" footer="0.19685039370078741"/>
  <pageSetup paperSize="9" scale="74" fitToHeight="0" orientation="portrait" r:id="rId1"/>
  <headerFooter>
    <oddFooter>&amp;C&amp;"Khmer MEF1,Regular"&amp;9ទំព័រ&amp;"-,Regular"&amp;11 &amp;"Limon S1,Normal"&amp;18&amp;P&amp;"-,Regular"&amp;11 &amp;"Khmer MEF1,Regular"&amp;9នៃ&amp;"-,Regular"&amp;11 &amp;"Limon S1,Normal"&amp;18&amp;N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18D0-1CF2-4478-8C19-1B06C6CAE77C}">
  <sheetPr>
    <pageSetUpPr fitToPage="1"/>
  </sheetPr>
  <dimension ref="A1:T170"/>
  <sheetViews>
    <sheetView zoomScale="85" zoomScaleNormal="85" workbookViewId="0">
      <selection sqref="A1:XFD1"/>
    </sheetView>
  </sheetViews>
  <sheetFormatPr defaultRowHeight="14.75" x14ac:dyDescent="0.75"/>
  <cols>
    <col min="1" max="1" width="18.6796875" customWidth="1"/>
    <col min="2" max="2" width="12.453125" hidden="1" customWidth="1"/>
    <col min="3" max="3" width="18.6796875" customWidth="1"/>
    <col min="4" max="4" width="17.953125" hidden="1" customWidth="1"/>
    <col min="5" max="5" width="17.2265625" hidden="1" customWidth="1"/>
    <col min="6" max="6" width="18.76953125" customWidth="1"/>
    <col min="7" max="7" width="55.26953125" customWidth="1"/>
    <col min="8" max="8" width="27.90625" hidden="1" customWidth="1"/>
    <col min="9" max="10" width="78.54296875" hidden="1" customWidth="1"/>
    <col min="11" max="11" width="14.40625" customWidth="1"/>
    <col min="12" max="12" width="14.5" customWidth="1"/>
    <col min="13" max="13" width="17.453125" customWidth="1"/>
    <col min="14" max="14" width="16.6796875" customWidth="1"/>
    <col min="15" max="15" width="17.58984375" customWidth="1"/>
    <col min="16" max="16" width="17.81640625" customWidth="1"/>
    <col min="17" max="17" width="19.26953125" customWidth="1"/>
    <col min="18" max="18" width="19.453125" customWidth="1"/>
    <col min="19" max="19" width="19.76953125" customWidth="1"/>
    <col min="20" max="20" width="55" bestFit="1" customWidth="1"/>
  </cols>
  <sheetData>
    <row r="1" spans="1:20" x14ac:dyDescent="0.75">
      <c r="A1" t="s">
        <v>247</v>
      </c>
      <c r="B1" t="s">
        <v>246</v>
      </c>
      <c r="C1" t="s">
        <v>214</v>
      </c>
      <c r="D1" t="s">
        <v>143</v>
      </c>
      <c r="E1" t="s">
        <v>144</v>
      </c>
      <c r="F1" t="s">
        <v>249</v>
      </c>
      <c r="G1" t="s">
        <v>155</v>
      </c>
      <c r="H1" t="s">
        <v>215</v>
      </c>
      <c r="I1" t="s">
        <v>145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142</v>
      </c>
    </row>
    <row r="2" spans="1:20" ht="27.5" x14ac:dyDescent="0.75">
      <c r="G2" s="52" t="s">
        <v>3</v>
      </c>
      <c r="H2" s="119"/>
      <c r="I2" s="53"/>
      <c r="J2" s="53"/>
      <c r="K2" s="53">
        <f>K3+K4</f>
        <v>3287.8</v>
      </c>
      <c r="L2" s="53">
        <f>L3+L4</f>
        <v>0</v>
      </c>
      <c r="M2" s="53">
        <f>M3+M4</f>
        <v>3287.8</v>
      </c>
      <c r="N2" s="53">
        <f t="shared" ref="N2:P2" si="0">N3+N4</f>
        <v>3687.8</v>
      </c>
      <c r="O2" s="53">
        <f t="shared" si="0"/>
        <v>3824.6000000000004</v>
      </c>
      <c r="P2" s="53">
        <f t="shared" si="0"/>
        <v>3967.8</v>
      </c>
      <c r="Q2" s="54">
        <f t="shared" ref="Q2" si="1">IFERROR(N2/K2-1,"-")</f>
        <v>0.12166190157552159</v>
      </c>
      <c r="R2" s="54">
        <f t="shared" ref="R2:S2" si="2">IFERROR(O2/N2-1,"-")</f>
        <v>3.7095287163078305E-2</v>
      </c>
      <c r="S2" s="54">
        <f t="shared" si="2"/>
        <v>3.7441823981592792E-2</v>
      </c>
    </row>
    <row r="3" spans="1:20" s="3" customFormat="1" ht="25.15" customHeight="1" x14ac:dyDescent="2.5">
      <c r="A3" s="3">
        <v>1</v>
      </c>
      <c r="C3" s="3">
        <v>1</v>
      </c>
      <c r="D3" s="3">
        <v>1</v>
      </c>
      <c r="E3" s="3">
        <v>1</v>
      </c>
      <c r="G3" s="84" t="s">
        <v>167</v>
      </c>
      <c r="H3" s="84" t="str">
        <f>LEFT(I3, FIND(" ", I3)-1)</f>
        <v>អនុកម្មវិធីទី១.១</v>
      </c>
      <c r="I3" s="84" t="s">
        <v>216</v>
      </c>
      <c r="J3" s="84" t="s">
        <v>46</v>
      </c>
      <c r="K3" s="85">
        <v>2069.4</v>
      </c>
      <c r="L3" s="85">
        <v>0</v>
      </c>
      <c r="M3" s="85">
        <v>2069.4</v>
      </c>
      <c r="N3" s="85">
        <v>2469.4</v>
      </c>
      <c r="O3" s="85">
        <v>2545.3000000000002</v>
      </c>
      <c r="P3" s="85">
        <v>2624.5</v>
      </c>
      <c r="Q3" s="86">
        <v>0.19329274185754319</v>
      </c>
      <c r="R3" s="86">
        <v>3.0736211225398824E-2</v>
      </c>
      <c r="S3" s="86">
        <v>3.1116174910619465E-2</v>
      </c>
      <c r="T3" s="87"/>
    </row>
    <row r="4" spans="1:20" s="2" customFormat="1" ht="25.15" customHeight="1" x14ac:dyDescent="2.5">
      <c r="A4" s="3">
        <v>1</v>
      </c>
      <c r="C4" s="3">
        <v>1</v>
      </c>
      <c r="F4" s="2">
        <v>1</v>
      </c>
      <c r="G4" s="68" t="s">
        <v>4</v>
      </c>
      <c r="H4" s="68"/>
      <c r="I4" s="68" t="s">
        <v>4</v>
      </c>
      <c r="J4" s="68" t="s">
        <v>4</v>
      </c>
      <c r="K4" s="57">
        <v>1218.4000000000001</v>
      </c>
      <c r="L4" s="57"/>
      <c r="M4" s="57">
        <v>1218.4000000000001</v>
      </c>
      <c r="N4" s="57">
        <v>1218.4000000000001</v>
      </c>
      <c r="O4" s="57">
        <v>1279.3</v>
      </c>
      <c r="P4" s="57">
        <v>1343.3</v>
      </c>
      <c r="Q4" s="58">
        <v>0</v>
      </c>
      <c r="R4" s="58">
        <v>4.9983585029546918E-2</v>
      </c>
      <c r="S4" s="58">
        <v>5.0027358711795422E-2</v>
      </c>
      <c r="T4" s="37"/>
    </row>
    <row r="5" spans="1:20" s="2" customFormat="1" ht="25.15" customHeight="1" x14ac:dyDescent="2.5">
      <c r="A5" s="3">
        <v>1</v>
      </c>
      <c r="C5" s="3">
        <v>1</v>
      </c>
      <c r="F5" s="2">
        <v>2</v>
      </c>
      <c r="G5" s="68" t="s">
        <v>5</v>
      </c>
      <c r="H5" s="68"/>
      <c r="I5" s="68" t="s">
        <v>5</v>
      </c>
      <c r="J5" s="68" t="s">
        <v>5</v>
      </c>
      <c r="K5" s="57">
        <v>851</v>
      </c>
      <c r="L5" s="57"/>
      <c r="M5" s="57">
        <v>851</v>
      </c>
      <c r="N5" s="57">
        <v>1251</v>
      </c>
      <c r="O5" s="57">
        <v>1266</v>
      </c>
      <c r="P5" s="57">
        <v>1281.2</v>
      </c>
      <c r="Q5" s="58">
        <v>0.47003525264394819</v>
      </c>
      <c r="R5" s="58">
        <v>1.1990407673860837E-2</v>
      </c>
      <c r="S5" s="58">
        <v>1.2006319115323905E-2</v>
      </c>
      <c r="T5" s="37" t="s">
        <v>132</v>
      </c>
    </row>
    <row r="6" spans="1:20" s="3" customFormat="1" ht="25.15" customHeight="1" x14ac:dyDescent="2.5">
      <c r="A6" s="3">
        <v>2</v>
      </c>
      <c r="C6" s="3">
        <v>1</v>
      </c>
      <c r="D6" s="3">
        <v>2</v>
      </c>
      <c r="E6" s="3">
        <v>19</v>
      </c>
      <c r="G6" s="84" t="s">
        <v>168</v>
      </c>
      <c r="H6" s="84" t="str">
        <f>LEFT(I6, FIND(" ", I6)-1)</f>
        <v>អនុកម្មវិធីទី១.២</v>
      </c>
      <c r="I6" s="84" t="s">
        <v>217</v>
      </c>
      <c r="J6" s="84" t="s">
        <v>47</v>
      </c>
      <c r="K6" s="85">
        <v>647</v>
      </c>
      <c r="L6" s="85">
        <v>0</v>
      </c>
      <c r="M6" s="85">
        <v>647</v>
      </c>
      <c r="N6" s="85">
        <v>647</v>
      </c>
      <c r="O6" s="85">
        <v>654.79999999999995</v>
      </c>
      <c r="P6" s="85">
        <v>662.7</v>
      </c>
      <c r="Q6" s="86">
        <v>0</v>
      </c>
      <c r="R6" s="86">
        <v>1.2055641421947483E-2</v>
      </c>
      <c r="S6" s="86">
        <v>1.2064752596212758E-2</v>
      </c>
      <c r="T6" s="87"/>
    </row>
    <row r="7" spans="1:20" s="2" customFormat="1" ht="25.15" customHeight="1" x14ac:dyDescent="2.5">
      <c r="A7" s="3">
        <v>2</v>
      </c>
      <c r="C7" s="3">
        <v>1</v>
      </c>
      <c r="F7" s="2">
        <v>1</v>
      </c>
      <c r="G7" s="68" t="s">
        <v>4</v>
      </c>
      <c r="H7" s="68"/>
      <c r="I7" s="68" t="s">
        <v>4</v>
      </c>
      <c r="J7" s="68" t="s">
        <v>4</v>
      </c>
      <c r="K7" s="57">
        <v>0</v>
      </c>
      <c r="L7" s="57"/>
      <c r="M7" s="57">
        <v>0</v>
      </c>
      <c r="N7" s="57">
        <v>0</v>
      </c>
      <c r="O7" s="57">
        <v>0</v>
      </c>
      <c r="P7" s="57">
        <v>0</v>
      </c>
      <c r="Q7" s="58" t="s">
        <v>141</v>
      </c>
      <c r="R7" s="58" t="s">
        <v>141</v>
      </c>
      <c r="S7" s="58" t="s">
        <v>141</v>
      </c>
      <c r="T7" s="37"/>
    </row>
    <row r="8" spans="1:20" s="2" customFormat="1" ht="25.15" customHeight="1" x14ac:dyDescent="2.5">
      <c r="A8" s="3">
        <v>2</v>
      </c>
      <c r="C8" s="3">
        <v>1</v>
      </c>
      <c r="F8" s="2">
        <v>2</v>
      </c>
      <c r="G8" s="68" t="s">
        <v>5</v>
      </c>
      <c r="H8" s="68"/>
      <c r="I8" s="68" t="s">
        <v>5</v>
      </c>
      <c r="J8" s="68" t="s">
        <v>5</v>
      </c>
      <c r="K8" s="57">
        <v>647</v>
      </c>
      <c r="L8" s="57"/>
      <c r="M8" s="57">
        <v>647</v>
      </c>
      <c r="N8" s="57">
        <v>647</v>
      </c>
      <c r="O8" s="57">
        <v>654.79999999999995</v>
      </c>
      <c r="P8" s="57">
        <v>662.7</v>
      </c>
      <c r="Q8" s="58">
        <v>0</v>
      </c>
      <c r="R8" s="58">
        <v>1.2055641421947483E-2</v>
      </c>
      <c r="S8" s="58">
        <v>1.2064752596212758E-2</v>
      </c>
      <c r="T8" s="37"/>
    </row>
    <row r="9" spans="1:20" s="3" customFormat="1" ht="25.15" customHeight="1" x14ac:dyDescent="2.5">
      <c r="A9" s="3">
        <v>3</v>
      </c>
      <c r="C9" s="3">
        <v>1</v>
      </c>
      <c r="D9" s="3">
        <v>3</v>
      </c>
      <c r="E9" s="3">
        <v>18</v>
      </c>
      <c r="G9" s="84" t="s">
        <v>169</v>
      </c>
      <c r="H9" s="84" t="str">
        <f>LEFT(I9, FIND(" ", I9)-1)</f>
        <v>អនុកម្មវិធីទី១.៣</v>
      </c>
      <c r="I9" s="84" t="s">
        <v>218</v>
      </c>
      <c r="J9" s="84" t="s">
        <v>48</v>
      </c>
      <c r="K9" s="85">
        <v>950</v>
      </c>
      <c r="L9" s="85">
        <v>0</v>
      </c>
      <c r="M9" s="85">
        <v>950</v>
      </c>
      <c r="N9" s="85">
        <v>950</v>
      </c>
      <c r="O9" s="85">
        <v>961.4</v>
      </c>
      <c r="P9" s="85">
        <v>972.9</v>
      </c>
      <c r="Q9" s="86">
        <v>0</v>
      </c>
      <c r="R9" s="86">
        <v>1.2000000000000011E-2</v>
      </c>
      <c r="S9" s="86">
        <v>1.1961722488038173E-2</v>
      </c>
      <c r="T9" s="87"/>
    </row>
    <row r="10" spans="1:20" s="2" customFormat="1" ht="25.15" customHeight="1" x14ac:dyDescent="2.5">
      <c r="A10" s="3">
        <v>3</v>
      </c>
      <c r="C10" s="3">
        <v>1</v>
      </c>
      <c r="E10" s="3"/>
      <c r="F10" s="3">
        <v>1</v>
      </c>
      <c r="G10" s="68" t="s">
        <v>4</v>
      </c>
      <c r="H10" s="68"/>
      <c r="I10" s="68" t="s">
        <v>4</v>
      </c>
      <c r="J10" s="68" t="s">
        <v>4</v>
      </c>
      <c r="K10" s="57">
        <v>0</v>
      </c>
      <c r="L10" s="57"/>
      <c r="M10" s="57">
        <v>0</v>
      </c>
      <c r="N10" s="57">
        <v>0</v>
      </c>
      <c r="O10" s="57">
        <v>0</v>
      </c>
      <c r="P10" s="57">
        <v>0</v>
      </c>
      <c r="Q10" s="58" t="s">
        <v>141</v>
      </c>
      <c r="R10" s="58" t="s">
        <v>141</v>
      </c>
      <c r="S10" s="58" t="s">
        <v>141</v>
      </c>
      <c r="T10" s="37"/>
    </row>
    <row r="11" spans="1:20" s="2" customFormat="1" ht="25.15" customHeight="1" x14ac:dyDescent="2.5">
      <c r="A11" s="3">
        <v>3</v>
      </c>
      <c r="C11" s="3">
        <v>1</v>
      </c>
      <c r="E11" s="3"/>
      <c r="F11" s="3">
        <v>2</v>
      </c>
      <c r="G11" s="68" t="s">
        <v>5</v>
      </c>
      <c r="H11" s="68"/>
      <c r="I11" s="68" t="s">
        <v>5</v>
      </c>
      <c r="J11" s="68" t="s">
        <v>5</v>
      </c>
      <c r="K11" s="57">
        <v>950</v>
      </c>
      <c r="L11" s="57"/>
      <c r="M11" s="57">
        <v>950</v>
      </c>
      <c r="N11" s="57">
        <v>950</v>
      </c>
      <c r="O11" s="57">
        <v>961.4</v>
      </c>
      <c r="P11" s="57">
        <v>972.9</v>
      </c>
      <c r="Q11" s="58">
        <v>0</v>
      </c>
      <c r="R11" s="58">
        <v>1.2000000000000011E-2</v>
      </c>
      <c r="S11" s="58">
        <v>1.1961722488038173E-2</v>
      </c>
      <c r="T11" s="37"/>
    </row>
    <row r="12" spans="1:20" s="3" customFormat="1" ht="25.15" customHeight="1" x14ac:dyDescent="2.5">
      <c r="A12" s="3">
        <v>4</v>
      </c>
      <c r="C12" s="3">
        <v>1</v>
      </c>
      <c r="D12" s="3">
        <v>4</v>
      </c>
      <c r="E12" s="3">
        <v>20</v>
      </c>
      <c r="G12" s="84" t="s">
        <v>170</v>
      </c>
      <c r="H12" s="84" t="str">
        <f>LEFT(I12, FIND(" ", I12)-1)</f>
        <v>អនុកម្មវិធីទី១.៤</v>
      </c>
      <c r="I12" s="84" t="s">
        <v>219</v>
      </c>
      <c r="J12" s="84" t="s">
        <v>49</v>
      </c>
      <c r="K12" s="85">
        <v>733.7</v>
      </c>
      <c r="L12" s="85">
        <v>0</v>
      </c>
      <c r="M12" s="85">
        <v>733.7</v>
      </c>
      <c r="N12" s="85">
        <v>983.7</v>
      </c>
      <c r="O12" s="85">
        <v>1007.7</v>
      </c>
      <c r="P12" s="85">
        <v>1032.5999999999999</v>
      </c>
      <c r="Q12" s="86">
        <v>0.34073872154831664</v>
      </c>
      <c r="R12" s="86">
        <v>2.439768222018901E-2</v>
      </c>
      <c r="S12" s="86">
        <v>2.4709735040190361E-2</v>
      </c>
      <c r="T12" s="87"/>
    </row>
    <row r="13" spans="1:20" s="2" customFormat="1" ht="25.15" customHeight="1" x14ac:dyDescent="2.5">
      <c r="A13" s="3">
        <v>4</v>
      </c>
      <c r="C13" s="3">
        <v>1</v>
      </c>
      <c r="E13" s="3"/>
      <c r="F13" s="3">
        <v>1</v>
      </c>
      <c r="G13" s="68" t="s">
        <v>4</v>
      </c>
      <c r="H13" s="68"/>
      <c r="I13" s="68" t="s">
        <v>4</v>
      </c>
      <c r="J13" s="68" t="s">
        <v>4</v>
      </c>
      <c r="K13" s="57">
        <v>321.7</v>
      </c>
      <c r="L13" s="57"/>
      <c r="M13" s="57">
        <v>321.7</v>
      </c>
      <c r="N13" s="57">
        <v>321.7</v>
      </c>
      <c r="O13" s="57">
        <v>337.8</v>
      </c>
      <c r="P13" s="57">
        <v>354.7</v>
      </c>
      <c r="Q13" s="58">
        <v>0</v>
      </c>
      <c r="R13" s="58">
        <v>5.0046627292508639E-2</v>
      </c>
      <c r="S13" s="58">
        <v>5.002960331557138E-2</v>
      </c>
      <c r="T13" s="37"/>
    </row>
    <row r="14" spans="1:20" s="2" customFormat="1" ht="25.15" customHeight="1" x14ac:dyDescent="2.5">
      <c r="A14" s="3">
        <v>4</v>
      </c>
      <c r="C14" s="3">
        <v>1</v>
      </c>
      <c r="E14" s="3"/>
      <c r="F14" s="3">
        <v>2</v>
      </c>
      <c r="G14" s="68" t="s">
        <v>5</v>
      </c>
      <c r="H14" s="68"/>
      <c r="I14" s="68" t="s">
        <v>5</v>
      </c>
      <c r="J14" s="68" t="s">
        <v>5</v>
      </c>
      <c r="K14" s="57">
        <v>412</v>
      </c>
      <c r="L14" s="57"/>
      <c r="M14" s="57">
        <v>412</v>
      </c>
      <c r="N14" s="57">
        <v>662</v>
      </c>
      <c r="O14" s="57">
        <v>669.9</v>
      </c>
      <c r="P14" s="57">
        <v>677.9</v>
      </c>
      <c r="Q14" s="58">
        <v>0.60679611650485432</v>
      </c>
      <c r="R14" s="58">
        <v>1.1933534743202356E-2</v>
      </c>
      <c r="S14" s="58">
        <v>1.1942080907598074E-2</v>
      </c>
      <c r="T14" s="37" t="s">
        <v>133</v>
      </c>
    </row>
    <row r="15" spans="1:20" s="3" customFormat="1" ht="25.15" customHeight="1" x14ac:dyDescent="2.5">
      <c r="A15" s="3">
        <v>5</v>
      </c>
      <c r="C15" s="3">
        <v>1</v>
      </c>
      <c r="D15" s="3">
        <v>6</v>
      </c>
      <c r="E15" s="3">
        <v>23</v>
      </c>
      <c r="G15" s="84" t="s">
        <v>171</v>
      </c>
      <c r="H15" s="84" t="str">
        <f>LEFT(I15, FIND(" ", I15)-1)</f>
        <v>អនុកម្មវិធីទី២.១</v>
      </c>
      <c r="I15" s="84" t="s">
        <v>220</v>
      </c>
      <c r="J15" s="84" t="s">
        <v>50</v>
      </c>
      <c r="K15" s="85">
        <v>4444.7</v>
      </c>
      <c r="L15" s="85">
        <v>433.7</v>
      </c>
      <c r="M15" s="85">
        <v>4011</v>
      </c>
      <c r="N15" s="85">
        <v>4011</v>
      </c>
      <c r="O15" s="85">
        <v>4117.8999999999996</v>
      </c>
      <c r="P15" s="85">
        <v>4229</v>
      </c>
      <c r="Q15" s="86">
        <v>-9.7576889328863547E-2</v>
      </c>
      <c r="R15" s="86">
        <v>2.6651707803540203E-2</v>
      </c>
      <c r="S15" s="86">
        <v>2.6979771242623851E-2</v>
      </c>
      <c r="T15" s="87"/>
    </row>
    <row r="16" spans="1:20" s="2" customFormat="1" ht="25.15" customHeight="1" x14ac:dyDescent="2.5">
      <c r="A16" s="3">
        <v>5</v>
      </c>
      <c r="C16" s="3">
        <v>1</v>
      </c>
      <c r="E16" s="3"/>
      <c r="F16" s="3">
        <v>1</v>
      </c>
      <c r="G16" s="68" t="s">
        <v>4</v>
      </c>
      <c r="H16" s="68"/>
      <c r="I16" s="68" t="s">
        <v>4</v>
      </c>
      <c r="J16" s="68" t="s">
        <v>4</v>
      </c>
      <c r="K16" s="57">
        <v>1546.7</v>
      </c>
      <c r="L16" s="57"/>
      <c r="M16" s="57">
        <v>1546.7</v>
      </c>
      <c r="N16" s="57">
        <v>1546.7</v>
      </c>
      <c r="O16" s="57">
        <v>1624</v>
      </c>
      <c r="P16" s="57">
        <v>1705.2</v>
      </c>
      <c r="Q16" s="58">
        <v>0</v>
      </c>
      <c r="R16" s="58">
        <v>4.9977371177345242E-2</v>
      </c>
      <c r="S16" s="58">
        <v>5.0000000000000044E-2</v>
      </c>
      <c r="T16" s="37"/>
    </row>
    <row r="17" spans="1:20" s="2" customFormat="1" ht="25.15" customHeight="1" x14ac:dyDescent="2.5">
      <c r="A17" s="3">
        <v>5</v>
      </c>
      <c r="C17" s="3">
        <v>1</v>
      </c>
      <c r="E17" s="3"/>
      <c r="F17" s="3">
        <v>2</v>
      </c>
      <c r="G17" s="68" t="s">
        <v>5</v>
      </c>
      <c r="H17" s="68"/>
      <c r="I17" s="68" t="s">
        <v>5</v>
      </c>
      <c r="J17" s="68" t="s">
        <v>5</v>
      </c>
      <c r="K17" s="57">
        <v>2898</v>
      </c>
      <c r="L17" s="57">
        <v>433.7</v>
      </c>
      <c r="M17" s="57">
        <v>2464.3000000000002</v>
      </c>
      <c r="N17" s="57">
        <v>2464.3000000000002</v>
      </c>
      <c r="O17" s="57">
        <v>2493.9</v>
      </c>
      <c r="P17" s="57">
        <v>2523.8000000000002</v>
      </c>
      <c r="Q17" s="58">
        <v>-0.14965493443754307</v>
      </c>
      <c r="R17" s="58">
        <v>1.2011524570872067E-2</v>
      </c>
      <c r="S17" s="58">
        <v>1.1989253779221443E-2</v>
      </c>
      <c r="T17" s="37" t="s">
        <v>87</v>
      </c>
    </row>
    <row r="18" spans="1:20" s="3" customFormat="1" ht="25.15" customHeight="1" x14ac:dyDescent="2.5">
      <c r="A18" s="3">
        <v>6</v>
      </c>
      <c r="C18" s="3">
        <v>1</v>
      </c>
      <c r="D18" s="3">
        <v>6</v>
      </c>
      <c r="E18" s="3">
        <v>134</v>
      </c>
      <c r="G18" s="84" t="s">
        <v>172</v>
      </c>
      <c r="H18" s="84" t="str">
        <f>LEFT(I18, FIND(" ", I18)-1)</f>
        <v>អនុកម្មវិធីទី២.១</v>
      </c>
      <c r="I18" s="84" t="s">
        <v>221</v>
      </c>
      <c r="J18" s="84" t="s">
        <v>51</v>
      </c>
      <c r="K18" s="85">
        <v>150</v>
      </c>
      <c r="L18" s="85">
        <v>0</v>
      </c>
      <c r="M18" s="85">
        <v>150</v>
      </c>
      <c r="N18" s="85">
        <v>150</v>
      </c>
      <c r="O18" s="85">
        <v>151.80000000000001</v>
      </c>
      <c r="P18" s="85">
        <v>153.6</v>
      </c>
      <c r="Q18" s="86">
        <v>0</v>
      </c>
      <c r="R18" s="86">
        <v>1.2000000000000011E-2</v>
      </c>
      <c r="S18" s="86">
        <v>1.1857707509881354E-2</v>
      </c>
      <c r="T18" s="87"/>
    </row>
    <row r="19" spans="1:20" s="2" customFormat="1" ht="25.15" customHeight="1" x14ac:dyDescent="2.5">
      <c r="A19" s="3">
        <v>6</v>
      </c>
      <c r="C19" s="3">
        <v>1</v>
      </c>
      <c r="E19" s="3"/>
      <c r="F19" s="3">
        <v>1</v>
      </c>
      <c r="G19" s="68" t="s">
        <v>4</v>
      </c>
      <c r="H19" s="68"/>
      <c r="I19" s="68" t="s">
        <v>4</v>
      </c>
      <c r="J19" s="68" t="s">
        <v>4</v>
      </c>
      <c r="K19" s="57">
        <v>0</v>
      </c>
      <c r="L19" s="57"/>
      <c r="M19" s="57">
        <v>0</v>
      </c>
      <c r="N19" s="57">
        <v>0</v>
      </c>
      <c r="O19" s="57">
        <v>0</v>
      </c>
      <c r="P19" s="57">
        <v>0</v>
      </c>
      <c r="Q19" s="58" t="s">
        <v>141</v>
      </c>
      <c r="R19" s="58" t="s">
        <v>141</v>
      </c>
      <c r="S19" s="58" t="s">
        <v>141</v>
      </c>
      <c r="T19" s="37"/>
    </row>
    <row r="20" spans="1:20" s="2" customFormat="1" ht="25.15" customHeight="1" x14ac:dyDescent="2.5">
      <c r="A20" s="3">
        <v>6</v>
      </c>
      <c r="C20" s="3">
        <v>1</v>
      </c>
      <c r="E20" s="3"/>
      <c r="F20" s="3">
        <v>2</v>
      </c>
      <c r="G20" s="68" t="s">
        <v>5</v>
      </c>
      <c r="H20" s="68"/>
      <c r="I20" s="68" t="s">
        <v>5</v>
      </c>
      <c r="J20" s="68" t="s">
        <v>5</v>
      </c>
      <c r="K20" s="57">
        <v>150</v>
      </c>
      <c r="L20" s="57"/>
      <c r="M20" s="57">
        <v>150</v>
      </c>
      <c r="N20" s="57">
        <v>150</v>
      </c>
      <c r="O20" s="57">
        <v>151.80000000000001</v>
      </c>
      <c r="P20" s="57">
        <v>153.6</v>
      </c>
      <c r="Q20" s="58">
        <v>0</v>
      </c>
      <c r="R20" s="58">
        <v>1.2000000000000011E-2</v>
      </c>
      <c r="S20" s="58">
        <v>1.1857707509881354E-2</v>
      </c>
      <c r="T20" s="37"/>
    </row>
    <row r="21" spans="1:20" s="3" customFormat="1" ht="25.15" customHeight="1" x14ac:dyDescent="2.5">
      <c r="A21" s="3">
        <v>7</v>
      </c>
      <c r="C21" s="3">
        <v>1</v>
      </c>
      <c r="D21" s="3">
        <v>7</v>
      </c>
      <c r="E21" s="3">
        <v>24</v>
      </c>
      <c r="G21" s="84" t="s">
        <v>156</v>
      </c>
      <c r="H21" s="84" t="str">
        <f>LEFT(I21, FIND(" ", I21)-1)</f>
        <v>អនុកម្មវិធីទី២.២</v>
      </c>
      <c r="I21" s="84" t="s">
        <v>222</v>
      </c>
      <c r="J21" s="84" t="s">
        <v>52</v>
      </c>
      <c r="K21" s="85">
        <v>592</v>
      </c>
      <c r="L21" s="85">
        <v>0</v>
      </c>
      <c r="M21" s="85">
        <v>592</v>
      </c>
      <c r="N21" s="85">
        <v>592</v>
      </c>
      <c r="O21" s="85">
        <v>615.29999999999995</v>
      </c>
      <c r="P21" s="85">
        <v>639.6</v>
      </c>
      <c r="Q21" s="86">
        <v>0</v>
      </c>
      <c r="R21" s="86">
        <v>3.9358108108108025E-2</v>
      </c>
      <c r="S21" s="86">
        <v>3.949293027791323E-2</v>
      </c>
      <c r="T21" s="87"/>
    </row>
    <row r="22" spans="1:20" s="2" customFormat="1" ht="25.15" customHeight="1" x14ac:dyDescent="2.5">
      <c r="A22" s="3">
        <v>7</v>
      </c>
      <c r="C22" s="3">
        <v>1</v>
      </c>
      <c r="E22" s="3"/>
      <c r="F22" s="3">
        <v>1</v>
      </c>
      <c r="G22" s="68" t="s">
        <v>4</v>
      </c>
      <c r="H22" s="68"/>
      <c r="I22" s="68" t="s">
        <v>4</v>
      </c>
      <c r="J22" s="68" t="s">
        <v>4</v>
      </c>
      <c r="K22" s="57">
        <v>425</v>
      </c>
      <c r="L22" s="57"/>
      <c r="M22" s="57">
        <v>425</v>
      </c>
      <c r="N22" s="57">
        <v>425</v>
      </c>
      <c r="O22" s="57">
        <v>446.3</v>
      </c>
      <c r="P22" s="57">
        <v>468.6</v>
      </c>
      <c r="Q22" s="58">
        <v>0</v>
      </c>
      <c r="R22" s="58">
        <v>5.01176470588236E-2</v>
      </c>
      <c r="S22" s="58">
        <v>4.996639032041239E-2</v>
      </c>
      <c r="T22" s="37"/>
    </row>
    <row r="23" spans="1:20" s="2" customFormat="1" ht="25.15" customHeight="1" x14ac:dyDescent="2.5">
      <c r="A23" s="3">
        <v>7</v>
      </c>
      <c r="C23" s="3">
        <v>1</v>
      </c>
      <c r="E23" s="3"/>
      <c r="F23" s="3">
        <v>2</v>
      </c>
      <c r="G23" s="68" t="s">
        <v>5</v>
      </c>
      <c r="H23" s="68"/>
      <c r="I23" s="68" t="s">
        <v>5</v>
      </c>
      <c r="J23" s="68" t="s">
        <v>5</v>
      </c>
      <c r="K23" s="57">
        <v>167</v>
      </c>
      <c r="L23" s="57"/>
      <c r="M23" s="57">
        <v>167</v>
      </c>
      <c r="N23" s="57">
        <v>167</v>
      </c>
      <c r="O23" s="57">
        <v>169</v>
      </c>
      <c r="P23" s="57">
        <v>171</v>
      </c>
      <c r="Q23" s="58">
        <v>0</v>
      </c>
      <c r="R23" s="58">
        <v>1.1976047904191711E-2</v>
      </c>
      <c r="S23" s="58">
        <v>1.1834319526627279E-2</v>
      </c>
      <c r="T23" s="37"/>
    </row>
    <row r="24" spans="1:20" s="3" customFormat="1" ht="25.15" customHeight="1" x14ac:dyDescent="2.5">
      <c r="A24" s="3">
        <v>8</v>
      </c>
      <c r="C24" s="3">
        <v>1</v>
      </c>
      <c r="D24" s="3">
        <v>8</v>
      </c>
      <c r="E24" s="3">
        <v>15</v>
      </c>
      <c r="G24" s="84" t="s">
        <v>157</v>
      </c>
      <c r="H24" s="84" t="str">
        <f>LEFT(I24, FIND(" ", I24)-1)</f>
        <v>អនុកម្មវិធីទី២.៣</v>
      </c>
      <c r="I24" s="84" t="s">
        <v>223</v>
      </c>
      <c r="J24" s="84" t="s">
        <v>53</v>
      </c>
      <c r="K24" s="85">
        <v>1515.1</v>
      </c>
      <c r="L24" s="85">
        <v>0</v>
      </c>
      <c r="M24" s="85">
        <v>1515.1</v>
      </c>
      <c r="N24" s="85">
        <v>1515.1</v>
      </c>
      <c r="O24" s="85">
        <v>1572.1</v>
      </c>
      <c r="P24" s="85">
        <v>1631.6</v>
      </c>
      <c r="Q24" s="86">
        <v>0</v>
      </c>
      <c r="R24" s="86">
        <v>3.7621279123490226E-2</v>
      </c>
      <c r="S24" s="86">
        <v>3.7847465173971084E-2</v>
      </c>
      <c r="T24" s="87"/>
    </row>
    <row r="25" spans="1:20" s="2" customFormat="1" ht="25.15" customHeight="1" x14ac:dyDescent="2.5">
      <c r="A25" s="3">
        <v>8</v>
      </c>
      <c r="C25" s="3">
        <v>1</v>
      </c>
      <c r="E25" s="3"/>
      <c r="F25" s="3">
        <v>1</v>
      </c>
      <c r="G25" s="68" t="s">
        <v>4</v>
      </c>
      <c r="H25" s="68"/>
      <c r="I25" s="68" t="s">
        <v>4</v>
      </c>
      <c r="J25" s="68" t="s">
        <v>4</v>
      </c>
      <c r="K25" s="57">
        <v>1019.1</v>
      </c>
      <c r="L25" s="57"/>
      <c r="M25" s="57">
        <v>1019.1</v>
      </c>
      <c r="N25" s="57">
        <v>1019.1</v>
      </c>
      <c r="O25" s="57">
        <v>1070.0999999999999</v>
      </c>
      <c r="P25" s="57">
        <v>1123.5999999999999</v>
      </c>
      <c r="Q25" s="58">
        <v>0</v>
      </c>
      <c r="R25" s="58">
        <v>5.0044156608772372E-2</v>
      </c>
      <c r="S25" s="58">
        <v>4.9995327539482215E-2</v>
      </c>
      <c r="T25" s="37"/>
    </row>
    <row r="26" spans="1:20" s="2" customFormat="1" ht="25.15" customHeight="1" x14ac:dyDescent="2.5">
      <c r="A26" s="3">
        <v>8</v>
      </c>
      <c r="C26" s="3">
        <v>1</v>
      </c>
      <c r="E26" s="3"/>
      <c r="F26" s="3">
        <v>2</v>
      </c>
      <c r="G26" s="68" t="s">
        <v>5</v>
      </c>
      <c r="H26" s="68"/>
      <c r="I26" s="68" t="s">
        <v>5</v>
      </c>
      <c r="J26" s="68" t="s">
        <v>5</v>
      </c>
      <c r="K26" s="57">
        <v>496</v>
      </c>
      <c r="L26" s="57"/>
      <c r="M26" s="57">
        <v>496</v>
      </c>
      <c r="N26" s="57">
        <v>496</v>
      </c>
      <c r="O26" s="57">
        <v>502</v>
      </c>
      <c r="P26" s="57">
        <v>508</v>
      </c>
      <c r="Q26" s="58">
        <v>0</v>
      </c>
      <c r="R26" s="58">
        <v>1.2096774193548487E-2</v>
      </c>
      <c r="S26" s="58">
        <v>1.195219123505975E-2</v>
      </c>
      <c r="T26" s="37"/>
    </row>
    <row r="27" spans="1:20" s="3" customFormat="1" ht="25.15" customHeight="1" x14ac:dyDescent="2.5">
      <c r="A27" s="3">
        <v>9</v>
      </c>
      <c r="C27" s="3">
        <v>1</v>
      </c>
      <c r="D27" s="3">
        <v>9</v>
      </c>
      <c r="E27" s="3">
        <v>25</v>
      </c>
      <c r="G27" s="84" t="s">
        <v>158</v>
      </c>
      <c r="H27" s="84" t="str">
        <f>LEFT(I27, FIND(" ", I27)-1)</f>
        <v>អនុកម្មវិធីទី២.៤</v>
      </c>
      <c r="I27" s="84" t="s">
        <v>224</v>
      </c>
      <c r="J27" s="84" t="s">
        <v>54</v>
      </c>
      <c r="K27" s="85">
        <v>509.4</v>
      </c>
      <c r="L27" s="85">
        <v>0</v>
      </c>
      <c r="M27" s="85">
        <v>509.4</v>
      </c>
      <c r="N27" s="85">
        <v>509.4</v>
      </c>
      <c r="O27" s="85">
        <v>530.6</v>
      </c>
      <c r="P27" s="85">
        <v>552.79999999999995</v>
      </c>
      <c r="Q27" s="86">
        <v>0</v>
      </c>
      <c r="R27" s="86">
        <v>4.1617589320769532E-2</v>
      </c>
      <c r="S27" s="86">
        <v>4.1839427063701251E-2</v>
      </c>
      <c r="T27" s="87"/>
    </row>
    <row r="28" spans="1:20" s="2" customFormat="1" ht="25.15" customHeight="1" x14ac:dyDescent="2.5">
      <c r="A28" s="3">
        <v>9</v>
      </c>
      <c r="C28" s="3">
        <v>1</v>
      </c>
      <c r="E28" s="3"/>
      <c r="F28" s="3">
        <v>1</v>
      </c>
      <c r="G28" s="68" t="s">
        <v>4</v>
      </c>
      <c r="H28" s="68"/>
      <c r="I28" s="68" t="s">
        <v>4</v>
      </c>
      <c r="J28" s="68" t="s">
        <v>4</v>
      </c>
      <c r="K28" s="57">
        <v>396.4</v>
      </c>
      <c r="L28" s="57"/>
      <c r="M28" s="57">
        <v>396.4</v>
      </c>
      <c r="N28" s="57">
        <v>396.4</v>
      </c>
      <c r="O28" s="57">
        <v>416.2</v>
      </c>
      <c r="P28" s="57">
        <v>437</v>
      </c>
      <c r="Q28" s="58">
        <v>0</v>
      </c>
      <c r="R28" s="58">
        <v>4.9949545913219096E-2</v>
      </c>
      <c r="S28" s="58">
        <v>4.997597308986057E-2</v>
      </c>
      <c r="T28" s="37"/>
    </row>
    <row r="29" spans="1:20" s="2" customFormat="1" ht="25.15" customHeight="1" x14ac:dyDescent="2.5">
      <c r="A29" s="3">
        <v>9</v>
      </c>
      <c r="C29" s="3">
        <v>1</v>
      </c>
      <c r="E29" s="3"/>
      <c r="F29" s="3">
        <v>2</v>
      </c>
      <c r="G29" s="68" t="s">
        <v>5</v>
      </c>
      <c r="H29" s="68"/>
      <c r="I29" s="68" t="s">
        <v>5</v>
      </c>
      <c r="J29" s="68" t="s">
        <v>5</v>
      </c>
      <c r="K29" s="57">
        <v>113</v>
      </c>
      <c r="L29" s="57"/>
      <c r="M29" s="57">
        <v>113</v>
      </c>
      <c r="N29" s="57">
        <v>113</v>
      </c>
      <c r="O29" s="57">
        <v>114.4</v>
      </c>
      <c r="P29" s="57">
        <v>115.8</v>
      </c>
      <c r="Q29" s="58">
        <v>0</v>
      </c>
      <c r="R29" s="58">
        <v>1.2389380530973604E-2</v>
      </c>
      <c r="S29" s="58">
        <v>1.2237762237762073E-2</v>
      </c>
      <c r="T29" s="37"/>
    </row>
    <row r="30" spans="1:20" s="3" customFormat="1" ht="25.15" customHeight="1" x14ac:dyDescent="2.5">
      <c r="A30" s="3">
        <v>10</v>
      </c>
      <c r="C30" s="3">
        <v>1</v>
      </c>
      <c r="D30" s="3">
        <v>10</v>
      </c>
      <c r="E30" s="3">
        <v>16</v>
      </c>
      <c r="G30" s="84" t="s">
        <v>159</v>
      </c>
      <c r="H30" s="84" t="str">
        <f>LEFT(I30, FIND(" ", I30)-1)</f>
        <v>អនុកម្មវិធីទី២.៥</v>
      </c>
      <c r="I30" s="84" t="s">
        <v>225</v>
      </c>
      <c r="J30" s="84" t="s">
        <v>55</v>
      </c>
      <c r="K30" s="85">
        <v>894.9</v>
      </c>
      <c r="L30" s="85">
        <v>72</v>
      </c>
      <c r="M30" s="85">
        <v>822.9</v>
      </c>
      <c r="N30" s="85">
        <v>822.9</v>
      </c>
      <c r="O30" s="85">
        <v>853.1</v>
      </c>
      <c r="P30" s="85">
        <v>884.6</v>
      </c>
      <c r="Q30" s="86">
        <v>-8.0455916862219201E-2</v>
      </c>
      <c r="R30" s="86">
        <v>3.6699477457771357E-2</v>
      </c>
      <c r="S30" s="86">
        <v>3.6924158949712904E-2</v>
      </c>
      <c r="T30" s="87"/>
    </row>
    <row r="31" spans="1:20" s="2" customFormat="1" ht="25.15" customHeight="1" x14ac:dyDescent="2.5">
      <c r="A31" s="3">
        <v>10</v>
      </c>
      <c r="C31" s="3">
        <v>1</v>
      </c>
      <c r="E31" s="3"/>
      <c r="F31" s="3">
        <v>1</v>
      </c>
      <c r="G31" s="68" t="s">
        <v>4</v>
      </c>
      <c r="H31" s="68"/>
      <c r="I31" s="68" t="s">
        <v>4</v>
      </c>
      <c r="J31" s="68" t="s">
        <v>4</v>
      </c>
      <c r="K31" s="57">
        <v>533.9</v>
      </c>
      <c r="L31" s="57"/>
      <c r="M31" s="57">
        <v>533.9</v>
      </c>
      <c r="N31" s="57">
        <v>533.9</v>
      </c>
      <c r="O31" s="57">
        <v>560.6</v>
      </c>
      <c r="P31" s="57">
        <v>588.6</v>
      </c>
      <c r="Q31" s="58">
        <v>0</v>
      </c>
      <c r="R31" s="58">
        <v>5.0009365049634935E-2</v>
      </c>
      <c r="S31" s="58">
        <v>4.9946485907955696E-2</v>
      </c>
      <c r="T31" s="37"/>
    </row>
    <row r="32" spans="1:20" s="2" customFormat="1" ht="25.15" customHeight="1" x14ac:dyDescent="2.5">
      <c r="A32" s="3">
        <v>10</v>
      </c>
      <c r="C32" s="3">
        <v>1</v>
      </c>
      <c r="E32" s="3"/>
      <c r="F32" s="3">
        <v>2</v>
      </c>
      <c r="G32" s="68" t="s">
        <v>5</v>
      </c>
      <c r="H32" s="68"/>
      <c r="I32" s="68" t="s">
        <v>5</v>
      </c>
      <c r="J32" s="68" t="s">
        <v>5</v>
      </c>
      <c r="K32" s="57">
        <v>361</v>
      </c>
      <c r="L32" s="57">
        <v>72</v>
      </c>
      <c r="M32" s="57">
        <v>289</v>
      </c>
      <c r="N32" s="57">
        <v>289</v>
      </c>
      <c r="O32" s="57">
        <v>292.5</v>
      </c>
      <c r="P32" s="57">
        <v>296</v>
      </c>
      <c r="Q32" s="58">
        <v>-0.19944598337950137</v>
      </c>
      <c r="R32" s="58">
        <v>1.211072664359869E-2</v>
      </c>
      <c r="S32" s="58">
        <v>1.1965811965811923E-2</v>
      </c>
      <c r="T32" s="37" t="s">
        <v>88</v>
      </c>
    </row>
    <row r="33" spans="1:20" s="3" customFormat="1" ht="25.15" customHeight="1" x14ac:dyDescent="2.5">
      <c r="A33" s="3">
        <v>11</v>
      </c>
      <c r="C33" s="3">
        <v>1</v>
      </c>
      <c r="D33" s="3">
        <v>11</v>
      </c>
      <c r="E33" s="3">
        <v>26</v>
      </c>
      <c r="G33" s="84" t="s">
        <v>160</v>
      </c>
      <c r="H33" s="84" t="str">
        <f>LEFT(I33, FIND(" ", I33)-1)</f>
        <v>អនុកម្មវិធីទី២.៦</v>
      </c>
      <c r="I33" s="84" t="s">
        <v>226</v>
      </c>
      <c r="J33" s="84" t="s">
        <v>56</v>
      </c>
      <c r="K33" s="85">
        <v>671.3</v>
      </c>
      <c r="L33" s="85">
        <v>0</v>
      </c>
      <c r="M33" s="85">
        <v>671.3</v>
      </c>
      <c r="N33" s="85">
        <v>671.3</v>
      </c>
      <c r="O33" s="85">
        <v>700.3</v>
      </c>
      <c r="P33" s="85">
        <v>730.69999999999993</v>
      </c>
      <c r="Q33" s="86">
        <v>0</v>
      </c>
      <c r="R33" s="86">
        <v>4.3199761656487423E-2</v>
      </c>
      <c r="S33" s="86">
        <v>4.3409967156932794E-2</v>
      </c>
      <c r="T33" s="87"/>
    </row>
    <row r="34" spans="1:20" s="2" customFormat="1" ht="25.15" customHeight="1" x14ac:dyDescent="2.5">
      <c r="A34" s="3">
        <v>11</v>
      </c>
      <c r="C34" s="3">
        <v>1</v>
      </c>
      <c r="D34" s="3"/>
      <c r="E34" s="3"/>
      <c r="F34" s="3">
        <v>1</v>
      </c>
      <c r="G34" s="68" t="s">
        <v>4</v>
      </c>
      <c r="H34" s="68"/>
      <c r="I34" s="68" t="s">
        <v>4</v>
      </c>
      <c r="J34" s="68" t="s">
        <v>4</v>
      </c>
      <c r="K34" s="57">
        <v>551.29999999999995</v>
      </c>
      <c r="L34" s="57"/>
      <c r="M34" s="57">
        <v>551.29999999999995</v>
      </c>
      <c r="N34" s="57">
        <v>551.29999999999995</v>
      </c>
      <c r="O34" s="57">
        <v>578.9</v>
      </c>
      <c r="P34" s="57">
        <v>607.79999999999995</v>
      </c>
      <c r="Q34" s="58">
        <v>0</v>
      </c>
      <c r="R34" s="58">
        <v>5.0063486305097049E-2</v>
      </c>
      <c r="S34" s="58">
        <v>4.992226636724828E-2</v>
      </c>
      <c r="T34" s="37"/>
    </row>
    <row r="35" spans="1:20" s="2" customFormat="1" ht="25.15" customHeight="1" x14ac:dyDescent="2.5">
      <c r="A35" s="3">
        <v>11</v>
      </c>
      <c r="C35" s="3">
        <v>1</v>
      </c>
      <c r="D35" s="3"/>
      <c r="E35" s="3"/>
      <c r="F35" s="3">
        <v>2</v>
      </c>
      <c r="G35" s="68" t="s">
        <v>5</v>
      </c>
      <c r="H35" s="68"/>
      <c r="I35" s="68" t="s">
        <v>5</v>
      </c>
      <c r="J35" s="68" t="s">
        <v>5</v>
      </c>
      <c r="K35" s="57">
        <v>120</v>
      </c>
      <c r="L35" s="57"/>
      <c r="M35" s="57">
        <v>120</v>
      </c>
      <c r="N35" s="57">
        <v>120</v>
      </c>
      <c r="O35" s="57">
        <v>121.4</v>
      </c>
      <c r="P35" s="57">
        <v>122.9</v>
      </c>
      <c r="Q35" s="58">
        <v>0</v>
      </c>
      <c r="R35" s="58">
        <v>1.1666666666666714E-2</v>
      </c>
      <c r="S35" s="58">
        <v>1.2355848434925765E-2</v>
      </c>
      <c r="T35" s="37"/>
    </row>
    <row r="36" spans="1:20" s="3" customFormat="1" ht="25.15" customHeight="1" x14ac:dyDescent="2.5">
      <c r="A36" s="3">
        <v>12</v>
      </c>
      <c r="C36" s="3">
        <v>1</v>
      </c>
      <c r="D36" s="3">
        <v>13</v>
      </c>
      <c r="E36" s="3">
        <v>6</v>
      </c>
      <c r="G36" s="84" t="s">
        <v>173</v>
      </c>
      <c r="H36" s="84" t="str">
        <f>LEFT(I36, FIND(" ", I36)-1)</f>
        <v>អនុកម្មវិធីទី៣.១</v>
      </c>
      <c r="I36" s="84" t="s">
        <v>245</v>
      </c>
      <c r="J36" s="84" t="s">
        <v>57</v>
      </c>
      <c r="K36" s="85">
        <v>78640.5</v>
      </c>
      <c r="L36" s="85">
        <v>0</v>
      </c>
      <c r="M36" s="85">
        <v>78640.5</v>
      </c>
      <c r="N36" s="85">
        <v>54790.5</v>
      </c>
      <c r="O36" s="85">
        <v>56300.899999999994</v>
      </c>
      <c r="P36" s="85">
        <v>57872.1</v>
      </c>
      <c r="Q36" s="86">
        <v>-0.30327884487000978</v>
      </c>
      <c r="R36" s="86">
        <v>2.7566822715616723E-2</v>
      </c>
      <c r="S36" s="86">
        <v>2.7907191536902687E-2</v>
      </c>
      <c r="T36" s="87"/>
    </row>
    <row r="37" spans="1:20" s="2" customFormat="1" ht="25.15" customHeight="1" x14ac:dyDescent="2.5">
      <c r="A37" s="3">
        <v>12</v>
      </c>
      <c r="C37" s="3">
        <v>1</v>
      </c>
      <c r="D37" s="3"/>
      <c r="E37" s="3"/>
      <c r="F37" s="3">
        <v>1</v>
      </c>
      <c r="G37" s="68" t="s">
        <v>4</v>
      </c>
      <c r="H37" s="68"/>
      <c r="I37" s="68" t="s">
        <v>4</v>
      </c>
      <c r="J37" s="68" t="s">
        <v>4</v>
      </c>
      <c r="K37" s="57">
        <v>46446.3</v>
      </c>
      <c r="L37" s="57"/>
      <c r="M37" s="57">
        <v>46446.3</v>
      </c>
      <c r="N37" s="57">
        <v>22446.300000000003</v>
      </c>
      <c r="O37" s="57">
        <v>23568.6</v>
      </c>
      <c r="P37" s="57">
        <v>24747</v>
      </c>
      <c r="Q37" s="58">
        <v>-0.51672576717628749</v>
      </c>
      <c r="R37" s="58">
        <v>4.9999331738415531E-2</v>
      </c>
      <c r="S37" s="58">
        <v>4.9998727119981767E-2</v>
      </c>
      <c r="T37" s="37" t="s">
        <v>78</v>
      </c>
    </row>
    <row r="38" spans="1:20" s="2" customFormat="1" ht="25.15" customHeight="1" x14ac:dyDescent="2.5">
      <c r="A38" s="3">
        <v>12</v>
      </c>
      <c r="C38" s="3">
        <v>1</v>
      </c>
      <c r="D38" s="3"/>
      <c r="E38" s="3"/>
      <c r="F38" s="3">
        <v>2</v>
      </c>
      <c r="G38" s="68" t="s">
        <v>5</v>
      </c>
      <c r="H38" s="68"/>
      <c r="I38" s="68" t="s">
        <v>5</v>
      </c>
      <c r="J38" s="68" t="s">
        <v>5</v>
      </c>
      <c r="K38" s="57">
        <v>32194.2</v>
      </c>
      <c r="L38" s="57"/>
      <c r="M38" s="57">
        <v>32194.2</v>
      </c>
      <c r="N38" s="57">
        <v>32344.2</v>
      </c>
      <c r="O38" s="57">
        <v>32732.3</v>
      </c>
      <c r="P38" s="57">
        <v>33125.1</v>
      </c>
      <c r="Q38" s="58">
        <v>4.6592243323331228E-3</v>
      </c>
      <c r="R38" s="58">
        <v>1.1999060109695092E-2</v>
      </c>
      <c r="S38" s="58">
        <v>1.2000378830696157E-2</v>
      </c>
      <c r="T38" s="37" t="s">
        <v>118</v>
      </c>
    </row>
    <row r="39" spans="1:20" s="3" customFormat="1" ht="25.15" customHeight="1" x14ac:dyDescent="2.5">
      <c r="A39" s="3">
        <v>13</v>
      </c>
      <c r="C39" s="3">
        <v>1</v>
      </c>
      <c r="D39" s="3">
        <v>14</v>
      </c>
      <c r="E39" s="3">
        <v>7</v>
      </c>
      <c r="G39" s="84" t="s">
        <v>174</v>
      </c>
      <c r="H39" s="84" t="str">
        <f>LEFT(I39, FIND(" ", I39)-1)</f>
        <v>អនុកម្មវិធីទី៣.២</v>
      </c>
      <c r="I39" s="84" t="s">
        <v>227</v>
      </c>
      <c r="J39" s="84" t="s">
        <v>58</v>
      </c>
      <c r="K39" s="85">
        <v>223280.8</v>
      </c>
      <c r="L39" s="85">
        <v>3800</v>
      </c>
      <c r="M39" s="85">
        <v>219480.8</v>
      </c>
      <c r="N39" s="85">
        <v>219480.8</v>
      </c>
      <c r="O39" s="85">
        <v>223828.7</v>
      </c>
      <c r="P39" s="85">
        <v>228314.5</v>
      </c>
      <c r="Q39" s="86">
        <v>-1.7018928631570618E-2</v>
      </c>
      <c r="R39" s="86">
        <v>1.9809933260677148E-2</v>
      </c>
      <c r="S39" s="86">
        <v>2.0041219021510681E-2</v>
      </c>
      <c r="T39" s="87"/>
    </row>
    <row r="40" spans="1:20" s="2" customFormat="1" ht="25.15" customHeight="1" x14ac:dyDescent="2.5">
      <c r="A40" s="3">
        <v>13</v>
      </c>
      <c r="C40" s="3">
        <v>1</v>
      </c>
      <c r="D40" s="3"/>
      <c r="E40" s="3"/>
      <c r="F40" s="3">
        <v>1</v>
      </c>
      <c r="G40" s="68" t="s">
        <v>4</v>
      </c>
      <c r="H40" s="68"/>
      <c r="I40" s="68" t="s">
        <v>4</v>
      </c>
      <c r="J40" s="68" t="s">
        <v>4</v>
      </c>
      <c r="K40" s="57">
        <v>45374.8</v>
      </c>
      <c r="L40" s="57">
        <v>264</v>
      </c>
      <c r="M40" s="57">
        <v>45110.8</v>
      </c>
      <c r="N40" s="57">
        <v>45110.8</v>
      </c>
      <c r="O40" s="57">
        <v>47366.3</v>
      </c>
      <c r="P40" s="57">
        <v>49734.6</v>
      </c>
      <c r="Q40" s="58">
        <v>-5.8182074631734082E-3</v>
      </c>
      <c r="R40" s="58">
        <v>4.999911329437734E-2</v>
      </c>
      <c r="S40" s="58">
        <v>4.9999683319152943E-2</v>
      </c>
      <c r="T40" s="37" t="s">
        <v>116</v>
      </c>
    </row>
    <row r="41" spans="1:20" s="2" customFormat="1" ht="25.15" customHeight="1" x14ac:dyDescent="2.5">
      <c r="A41" s="3">
        <v>13</v>
      </c>
      <c r="C41" s="3">
        <v>1</v>
      </c>
      <c r="D41" s="3"/>
      <c r="E41" s="3"/>
      <c r="F41" s="3">
        <v>2</v>
      </c>
      <c r="G41" s="68" t="s">
        <v>5</v>
      </c>
      <c r="H41" s="68"/>
      <c r="I41" s="68" t="s">
        <v>5</v>
      </c>
      <c r="J41" s="68" t="s">
        <v>5</v>
      </c>
      <c r="K41" s="57">
        <v>177906</v>
      </c>
      <c r="L41" s="57">
        <v>3536</v>
      </c>
      <c r="M41" s="57">
        <v>174370</v>
      </c>
      <c r="N41" s="57">
        <v>174370</v>
      </c>
      <c r="O41" s="57">
        <v>176462.4</v>
      </c>
      <c r="P41" s="57">
        <v>178579.9</v>
      </c>
      <c r="Q41" s="58">
        <v>-1.9875664676851867E-2</v>
      </c>
      <c r="R41" s="58">
        <v>1.1999770602741267E-2</v>
      </c>
      <c r="S41" s="58">
        <v>1.1999723453834932E-2</v>
      </c>
      <c r="T41" s="37" t="s">
        <v>89</v>
      </c>
    </row>
    <row r="42" spans="1:20" s="3" customFormat="1" ht="25.15" customHeight="1" x14ac:dyDescent="2.5">
      <c r="A42" s="3">
        <v>14</v>
      </c>
      <c r="C42" s="3">
        <v>1</v>
      </c>
      <c r="D42" s="3">
        <v>15</v>
      </c>
      <c r="E42" s="3">
        <v>8</v>
      </c>
      <c r="G42" s="84" t="s">
        <v>175</v>
      </c>
      <c r="H42" s="84" t="str">
        <f>LEFT(I42, FIND(" ", I42)-1)</f>
        <v>អនុកម្មវិធីទី៣.៣</v>
      </c>
      <c r="I42" s="84" t="s">
        <v>228</v>
      </c>
      <c r="J42" s="84" t="s">
        <v>59</v>
      </c>
      <c r="K42" s="85">
        <v>6227.8</v>
      </c>
      <c r="L42" s="85">
        <v>0</v>
      </c>
      <c r="M42" s="85">
        <v>6227.8</v>
      </c>
      <c r="N42" s="85">
        <v>6327.8</v>
      </c>
      <c r="O42" s="85">
        <v>6480.7000000000007</v>
      </c>
      <c r="P42" s="85">
        <v>6639.3</v>
      </c>
      <c r="Q42" s="86">
        <v>1.6057034586852481E-2</v>
      </c>
      <c r="R42" s="86">
        <v>2.4163216283700661E-2</v>
      </c>
      <c r="S42" s="86">
        <v>2.4472664989892978E-2</v>
      </c>
      <c r="T42" s="87"/>
    </row>
    <row r="43" spans="1:20" s="2" customFormat="1" ht="25.15" customHeight="1" x14ac:dyDescent="2.5">
      <c r="A43" s="3">
        <v>14</v>
      </c>
      <c r="C43" s="3">
        <v>1</v>
      </c>
      <c r="D43" s="3"/>
      <c r="E43" s="3"/>
      <c r="F43" s="3">
        <v>1</v>
      </c>
      <c r="G43" s="68" t="s">
        <v>4</v>
      </c>
      <c r="H43" s="68"/>
      <c r="I43" s="68" t="s">
        <v>4</v>
      </c>
      <c r="J43" s="68" t="s">
        <v>4</v>
      </c>
      <c r="K43" s="57">
        <v>2026.8</v>
      </c>
      <c r="L43" s="57"/>
      <c r="M43" s="57">
        <v>2026.8</v>
      </c>
      <c r="N43" s="57">
        <v>2026.8</v>
      </c>
      <c r="O43" s="57">
        <v>2128.1</v>
      </c>
      <c r="P43" s="57">
        <v>2234.5</v>
      </c>
      <c r="Q43" s="58">
        <v>0</v>
      </c>
      <c r="R43" s="58">
        <v>4.9980264456285672E-2</v>
      </c>
      <c r="S43" s="58">
        <v>4.9997650486349299E-2</v>
      </c>
      <c r="T43" s="37"/>
    </row>
    <row r="44" spans="1:20" s="2" customFormat="1" ht="25.15" customHeight="1" x14ac:dyDescent="2.5">
      <c r="A44" s="3">
        <v>14</v>
      </c>
      <c r="C44" s="3">
        <v>1</v>
      </c>
      <c r="D44" s="3"/>
      <c r="E44" s="3"/>
      <c r="F44" s="3">
        <v>2</v>
      </c>
      <c r="G44" s="68" t="s">
        <v>5</v>
      </c>
      <c r="H44" s="68"/>
      <c r="I44" s="68" t="s">
        <v>5</v>
      </c>
      <c r="J44" s="68" t="s">
        <v>5</v>
      </c>
      <c r="K44" s="57">
        <v>4201</v>
      </c>
      <c r="L44" s="57"/>
      <c r="M44" s="57">
        <v>4201</v>
      </c>
      <c r="N44" s="57">
        <v>4301</v>
      </c>
      <c r="O44" s="57">
        <v>4352.6000000000004</v>
      </c>
      <c r="P44" s="57">
        <v>4404.8</v>
      </c>
      <c r="Q44" s="58">
        <v>2.3803856224708486E-2</v>
      </c>
      <c r="R44" s="58">
        <v>1.1997209951174259E-2</v>
      </c>
      <c r="S44" s="58">
        <v>1.1992831870605958E-2</v>
      </c>
      <c r="T44" s="37" t="s">
        <v>134</v>
      </c>
    </row>
    <row r="45" spans="1:20" s="3" customFormat="1" ht="25.15" customHeight="1" x14ac:dyDescent="2.5">
      <c r="A45" s="3">
        <v>15</v>
      </c>
      <c r="C45" s="3">
        <v>1</v>
      </c>
      <c r="D45" s="3">
        <v>16</v>
      </c>
      <c r="E45" s="3">
        <v>27</v>
      </c>
      <c r="G45" s="84" t="s">
        <v>176</v>
      </c>
      <c r="H45" s="84" t="str">
        <f>LEFT(I45, FIND(" ", I45)-1)</f>
        <v>អនុកម្មវិធីទី៣.៤</v>
      </c>
      <c r="I45" s="84" t="s">
        <v>229</v>
      </c>
      <c r="J45" s="84" t="s">
        <v>137</v>
      </c>
      <c r="K45" s="85">
        <v>1837.4</v>
      </c>
      <c r="L45" s="85">
        <v>0</v>
      </c>
      <c r="M45" s="85">
        <v>1837.4</v>
      </c>
      <c r="N45" s="85">
        <v>1837.4</v>
      </c>
      <c r="O45" s="85">
        <v>1879</v>
      </c>
      <c r="P45" s="85">
        <v>1922.1</v>
      </c>
      <c r="Q45" s="86">
        <v>0</v>
      </c>
      <c r="R45" s="86">
        <v>2.2640687928594749E-2</v>
      </c>
      <c r="S45" s="86">
        <v>2.2937732836615154E-2</v>
      </c>
      <c r="T45" s="87"/>
    </row>
    <row r="46" spans="1:20" s="2" customFormat="1" ht="25.15" customHeight="1" x14ac:dyDescent="2.5">
      <c r="A46" s="3">
        <v>15</v>
      </c>
      <c r="C46" s="3">
        <v>1</v>
      </c>
      <c r="D46" s="3"/>
      <c r="E46" s="3"/>
      <c r="F46" s="3">
        <v>1</v>
      </c>
      <c r="G46" s="68" t="s">
        <v>4</v>
      </c>
      <c r="H46" s="68"/>
      <c r="I46" s="68" t="s">
        <v>4</v>
      </c>
      <c r="J46" s="68" t="s">
        <v>4</v>
      </c>
      <c r="K46" s="57">
        <v>514.4</v>
      </c>
      <c r="L46" s="57"/>
      <c r="M46" s="57">
        <v>514.4</v>
      </c>
      <c r="N46" s="57">
        <v>514.4</v>
      </c>
      <c r="O46" s="57">
        <v>540.1</v>
      </c>
      <c r="P46" s="57">
        <v>567.1</v>
      </c>
      <c r="Q46" s="58">
        <v>0</v>
      </c>
      <c r="R46" s="58">
        <v>4.9961119751166461E-2</v>
      </c>
      <c r="S46" s="58">
        <v>4.9990742455100934E-2</v>
      </c>
      <c r="T46" s="37"/>
    </row>
    <row r="47" spans="1:20" s="2" customFormat="1" ht="25.15" customHeight="1" x14ac:dyDescent="2.5">
      <c r="A47" s="3">
        <v>15</v>
      </c>
      <c r="C47" s="3">
        <v>1</v>
      </c>
      <c r="D47" s="3"/>
      <c r="E47" s="3"/>
      <c r="F47" s="3">
        <v>2</v>
      </c>
      <c r="G47" s="68" t="s">
        <v>5</v>
      </c>
      <c r="H47" s="68"/>
      <c r="I47" s="68" t="s">
        <v>5</v>
      </c>
      <c r="J47" s="68" t="s">
        <v>5</v>
      </c>
      <c r="K47" s="57">
        <v>1323</v>
      </c>
      <c r="L47" s="57"/>
      <c r="M47" s="57">
        <v>1323</v>
      </c>
      <c r="N47" s="57">
        <v>1323</v>
      </c>
      <c r="O47" s="57">
        <v>1338.9</v>
      </c>
      <c r="P47" s="57">
        <v>1355</v>
      </c>
      <c r="Q47" s="58">
        <v>0</v>
      </c>
      <c r="R47" s="58">
        <v>1.2018140589569182E-2</v>
      </c>
      <c r="S47" s="58">
        <v>1.2024796474717991E-2</v>
      </c>
      <c r="T47" s="37"/>
    </row>
    <row r="48" spans="1:20" s="3" customFormat="1" ht="25.15" customHeight="1" x14ac:dyDescent="2.5">
      <c r="A48" s="3">
        <v>16</v>
      </c>
      <c r="C48" s="3">
        <v>1</v>
      </c>
      <c r="D48" s="3">
        <v>18</v>
      </c>
      <c r="E48" s="3">
        <v>3</v>
      </c>
      <c r="G48" s="84" t="s">
        <v>177</v>
      </c>
      <c r="H48" s="84" t="str">
        <f>LEFT(I48, FIND(" ", I48)-1)</f>
        <v>អនុកម្មវិធីទី៤.១</v>
      </c>
      <c r="I48" s="84" t="s">
        <v>230</v>
      </c>
      <c r="J48" s="84" t="s">
        <v>60</v>
      </c>
      <c r="K48" s="85">
        <v>7995.2</v>
      </c>
      <c r="L48" s="85">
        <v>0</v>
      </c>
      <c r="M48" s="85">
        <v>7995.2</v>
      </c>
      <c r="N48" s="85">
        <v>8295.2000000000007</v>
      </c>
      <c r="O48" s="85">
        <v>8589.7000000000007</v>
      </c>
      <c r="P48" s="85">
        <v>8897.4</v>
      </c>
      <c r="Q48" s="86">
        <v>3.7522513508104982E-2</v>
      </c>
      <c r="R48" s="86">
        <v>3.5502459253544227E-2</v>
      </c>
      <c r="S48" s="86">
        <v>3.5821972827921655E-2</v>
      </c>
      <c r="T48" s="87"/>
    </row>
    <row r="49" spans="1:20" s="2" customFormat="1" ht="25.15" customHeight="1" x14ac:dyDescent="2.5">
      <c r="A49" s="3">
        <v>16</v>
      </c>
      <c r="C49" s="3">
        <v>1</v>
      </c>
      <c r="D49" s="3"/>
      <c r="E49" s="3"/>
      <c r="F49" s="3">
        <v>1</v>
      </c>
      <c r="G49" s="68" t="s">
        <v>4</v>
      </c>
      <c r="H49" s="68"/>
      <c r="I49" s="68" t="s">
        <v>4</v>
      </c>
      <c r="J49" s="68" t="s">
        <v>4</v>
      </c>
      <c r="K49" s="57">
        <v>5129.2</v>
      </c>
      <c r="L49" s="57"/>
      <c r="M49" s="57">
        <v>5129.2</v>
      </c>
      <c r="N49" s="57">
        <v>5129.2</v>
      </c>
      <c r="O49" s="57">
        <v>5385.7</v>
      </c>
      <c r="P49" s="57">
        <v>5655</v>
      </c>
      <c r="Q49" s="58">
        <v>0</v>
      </c>
      <c r="R49" s="58">
        <v>5.0007798487093469E-2</v>
      </c>
      <c r="S49" s="58">
        <v>5.0002785153276275E-2</v>
      </c>
      <c r="T49" s="37"/>
    </row>
    <row r="50" spans="1:20" s="2" customFormat="1" ht="25.15" customHeight="1" x14ac:dyDescent="2.5">
      <c r="A50" s="3">
        <v>16</v>
      </c>
      <c r="C50" s="3">
        <v>1</v>
      </c>
      <c r="D50" s="3"/>
      <c r="E50" s="3"/>
      <c r="F50" s="3">
        <v>2</v>
      </c>
      <c r="G50" s="68" t="s">
        <v>5</v>
      </c>
      <c r="H50" s="68"/>
      <c r="I50" s="68" t="s">
        <v>5</v>
      </c>
      <c r="J50" s="68" t="s">
        <v>5</v>
      </c>
      <c r="K50" s="57">
        <v>2866</v>
      </c>
      <c r="L50" s="57"/>
      <c r="M50" s="57">
        <v>2866</v>
      </c>
      <c r="N50" s="57">
        <v>3166</v>
      </c>
      <c r="O50" s="57">
        <v>3204</v>
      </c>
      <c r="P50" s="57">
        <v>3242.4</v>
      </c>
      <c r="Q50" s="58">
        <v>0.10467550593161201</v>
      </c>
      <c r="R50" s="58">
        <v>1.2002526847757489E-2</v>
      </c>
      <c r="S50" s="58">
        <v>1.1985018726591745E-2</v>
      </c>
      <c r="T50" s="37" t="s">
        <v>133</v>
      </c>
    </row>
    <row r="51" spans="1:20" s="3" customFormat="1" ht="25.15" customHeight="1" x14ac:dyDescent="2.5">
      <c r="A51" s="3">
        <v>17</v>
      </c>
      <c r="C51" s="3">
        <v>1</v>
      </c>
      <c r="D51" s="3">
        <v>19</v>
      </c>
      <c r="E51" s="3">
        <v>4</v>
      </c>
      <c r="G51" s="84" t="s">
        <v>178</v>
      </c>
      <c r="H51" s="84" t="str">
        <f>LEFT(I51, FIND(" ", I51)-1)</f>
        <v>អនុកម្មវិធីទី៤.២</v>
      </c>
      <c r="I51" s="84" t="s">
        <v>231</v>
      </c>
      <c r="J51" s="84" t="s">
        <v>61</v>
      </c>
      <c r="K51" s="85">
        <v>2792.4</v>
      </c>
      <c r="L51" s="85">
        <v>0</v>
      </c>
      <c r="M51" s="85">
        <v>2792.4</v>
      </c>
      <c r="N51" s="85">
        <v>2892.4</v>
      </c>
      <c r="O51" s="85">
        <v>2991.7</v>
      </c>
      <c r="P51" s="85">
        <v>3095.3999999999996</v>
      </c>
      <c r="Q51" s="86">
        <v>3.5811488325454777E-2</v>
      </c>
      <c r="R51" s="86">
        <v>3.4331351127091514E-2</v>
      </c>
      <c r="S51" s="86">
        <v>3.4662566433800057E-2</v>
      </c>
      <c r="T51" s="87"/>
    </row>
    <row r="52" spans="1:20" s="2" customFormat="1" ht="25.15" customHeight="1" x14ac:dyDescent="2.5">
      <c r="A52" s="3">
        <v>17</v>
      </c>
      <c r="C52" s="3">
        <v>1</v>
      </c>
      <c r="D52" s="3"/>
      <c r="E52" s="3"/>
      <c r="F52" s="3">
        <v>1</v>
      </c>
      <c r="G52" s="68" t="s">
        <v>4</v>
      </c>
      <c r="H52" s="68"/>
      <c r="I52" s="68" t="s">
        <v>4</v>
      </c>
      <c r="J52" s="68" t="s">
        <v>4</v>
      </c>
      <c r="K52" s="57">
        <v>1699.4</v>
      </c>
      <c r="L52" s="57"/>
      <c r="M52" s="57">
        <v>1699.4</v>
      </c>
      <c r="N52" s="57">
        <v>1699.4</v>
      </c>
      <c r="O52" s="57">
        <v>1784.4</v>
      </c>
      <c r="P52" s="57">
        <v>1873.6</v>
      </c>
      <c r="Q52" s="58">
        <v>0</v>
      </c>
      <c r="R52" s="58">
        <v>5.0017653289396335E-2</v>
      </c>
      <c r="S52" s="58">
        <v>4.9988791750728456E-2</v>
      </c>
      <c r="T52" s="37"/>
    </row>
    <row r="53" spans="1:20" s="2" customFormat="1" ht="25.15" customHeight="1" x14ac:dyDescent="2.5">
      <c r="A53" s="3">
        <v>17</v>
      </c>
      <c r="C53" s="3">
        <v>1</v>
      </c>
      <c r="D53" s="3"/>
      <c r="E53" s="3"/>
      <c r="F53" s="3">
        <v>2</v>
      </c>
      <c r="G53" s="68" t="s">
        <v>5</v>
      </c>
      <c r="H53" s="68"/>
      <c r="I53" s="68" t="s">
        <v>5</v>
      </c>
      <c r="J53" s="68" t="s">
        <v>5</v>
      </c>
      <c r="K53" s="57">
        <v>1093</v>
      </c>
      <c r="L53" s="57"/>
      <c r="M53" s="57">
        <v>1093</v>
      </c>
      <c r="N53" s="57">
        <v>1193</v>
      </c>
      <c r="O53" s="57">
        <v>1207.3</v>
      </c>
      <c r="P53" s="57">
        <v>1221.8</v>
      </c>
      <c r="Q53" s="58">
        <v>9.1491308325708953E-2</v>
      </c>
      <c r="R53" s="58">
        <v>1.1986588432522982E-2</v>
      </c>
      <c r="S53" s="58">
        <v>1.2010270852315097E-2</v>
      </c>
      <c r="T53" s="37" t="s">
        <v>134</v>
      </c>
    </row>
    <row r="54" spans="1:20" s="3" customFormat="1" ht="25.15" customHeight="1" x14ac:dyDescent="2.5">
      <c r="A54" s="3">
        <v>18</v>
      </c>
      <c r="C54" s="3">
        <v>1</v>
      </c>
      <c r="D54" s="3">
        <v>20</v>
      </c>
      <c r="E54" s="3">
        <v>5</v>
      </c>
      <c r="G54" s="84" t="s">
        <v>179</v>
      </c>
      <c r="H54" s="84" t="str">
        <f>LEFT(I54, FIND(" ", I54)-1)</f>
        <v>អនុកម្មវិធីទី៤.៣</v>
      </c>
      <c r="I54" s="84" t="s">
        <v>232</v>
      </c>
      <c r="J54" s="84" t="s">
        <v>62</v>
      </c>
      <c r="K54" s="85">
        <v>2646.2</v>
      </c>
      <c r="L54" s="85">
        <v>0</v>
      </c>
      <c r="M54" s="85">
        <v>2646.2</v>
      </c>
      <c r="N54" s="85">
        <v>2746.2</v>
      </c>
      <c r="O54" s="85">
        <v>2864.4</v>
      </c>
      <c r="P54" s="85">
        <v>2988.2999999999997</v>
      </c>
      <c r="Q54" s="86">
        <v>3.7790038545839399E-2</v>
      </c>
      <c r="R54" s="86">
        <v>4.3041293423639937E-2</v>
      </c>
      <c r="S54" s="86">
        <v>4.3255131964809346E-2</v>
      </c>
      <c r="T54" s="87"/>
    </row>
    <row r="55" spans="1:20" s="2" customFormat="1" ht="25.15" customHeight="1" x14ac:dyDescent="2.5">
      <c r="A55" s="3">
        <v>18</v>
      </c>
      <c r="C55" s="3">
        <v>1</v>
      </c>
      <c r="D55" s="3"/>
      <c r="E55" s="3"/>
      <c r="F55" s="3">
        <v>1</v>
      </c>
      <c r="G55" s="68" t="s">
        <v>4</v>
      </c>
      <c r="H55" s="68"/>
      <c r="I55" s="68" t="s">
        <v>4</v>
      </c>
      <c r="J55" s="68" t="s">
        <v>4</v>
      </c>
      <c r="K55" s="57">
        <v>2244.1999999999998</v>
      </c>
      <c r="L55" s="57"/>
      <c r="M55" s="57">
        <v>2244.1999999999998</v>
      </c>
      <c r="N55" s="57">
        <v>2244.1999999999998</v>
      </c>
      <c r="O55" s="57">
        <v>2356.4</v>
      </c>
      <c r="P55" s="57">
        <v>2474.1999999999998</v>
      </c>
      <c r="Q55" s="58">
        <v>0</v>
      </c>
      <c r="R55" s="58">
        <v>4.9995544069156184E-2</v>
      </c>
      <c r="S55" s="58">
        <v>4.9991512476659228E-2</v>
      </c>
      <c r="T55" s="37"/>
    </row>
    <row r="56" spans="1:20" s="2" customFormat="1" ht="25.15" customHeight="1" x14ac:dyDescent="2.5">
      <c r="A56" s="3">
        <v>18</v>
      </c>
      <c r="C56" s="3">
        <v>1</v>
      </c>
      <c r="D56" s="3"/>
      <c r="E56" s="3"/>
      <c r="F56" s="3">
        <v>2</v>
      </c>
      <c r="G56" s="68" t="s">
        <v>5</v>
      </c>
      <c r="H56" s="68"/>
      <c r="I56" s="68" t="s">
        <v>5</v>
      </c>
      <c r="J56" s="68" t="s">
        <v>5</v>
      </c>
      <c r="K56" s="57">
        <v>402</v>
      </c>
      <c r="L56" s="57"/>
      <c r="M56" s="57">
        <v>402</v>
      </c>
      <c r="N56" s="57">
        <v>502</v>
      </c>
      <c r="O56" s="57">
        <v>508</v>
      </c>
      <c r="P56" s="57">
        <v>514.1</v>
      </c>
      <c r="Q56" s="58">
        <v>0.24875621890547261</v>
      </c>
      <c r="R56" s="58">
        <v>1.195219123505975E-2</v>
      </c>
      <c r="S56" s="58">
        <v>1.2007874015748099E-2</v>
      </c>
      <c r="T56" s="37" t="s">
        <v>134</v>
      </c>
    </row>
    <row r="57" spans="1:20" s="3" customFormat="1" ht="25.15" customHeight="1" x14ac:dyDescent="2.5">
      <c r="A57" s="3">
        <v>19</v>
      </c>
      <c r="C57" s="3">
        <v>1</v>
      </c>
      <c r="D57" s="3">
        <v>21</v>
      </c>
      <c r="E57" s="3">
        <v>9</v>
      </c>
      <c r="G57" s="84" t="s">
        <v>180</v>
      </c>
      <c r="H57" s="84" t="str">
        <f>LEFT(I57, FIND(" ", I57)-1)</f>
        <v>អនុកម្មវិធីទី៤.៤</v>
      </c>
      <c r="I57" s="84" t="s">
        <v>233</v>
      </c>
      <c r="J57" s="84" t="s">
        <v>63</v>
      </c>
      <c r="K57" s="85">
        <v>17961.099999999999</v>
      </c>
      <c r="L57" s="85">
        <v>1373.5</v>
      </c>
      <c r="M57" s="85">
        <v>16587.599999999999</v>
      </c>
      <c r="N57" s="85">
        <v>16837.599999999999</v>
      </c>
      <c r="O57" s="85">
        <v>17487.2</v>
      </c>
      <c r="P57" s="85">
        <v>18167</v>
      </c>
      <c r="Q57" s="86">
        <v>-6.2551848160747436E-2</v>
      </c>
      <c r="R57" s="86">
        <v>3.8580320235663157E-2</v>
      </c>
      <c r="S57" s="86">
        <v>3.8874147948213533E-2</v>
      </c>
      <c r="T57" s="87"/>
    </row>
    <row r="58" spans="1:20" s="2" customFormat="1" ht="25.15" customHeight="1" x14ac:dyDescent="2.5">
      <c r="A58" s="3">
        <v>19</v>
      </c>
      <c r="C58" s="3">
        <v>1</v>
      </c>
      <c r="D58" s="3"/>
      <c r="E58" s="3"/>
      <c r="F58" s="3">
        <v>1</v>
      </c>
      <c r="G58" s="68" t="s">
        <v>4</v>
      </c>
      <c r="H58" s="68"/>
      <c r="I58" s="68" t="s">
        <v>4</v>
      </c>
      <c r="J58" s="68" t="s">
        <v>4</v>
      </c>
      <c r="K58" s="57">
        <v>11778.1</v>
      </c>
      <c r="L58" s="57"/>
      <c r="M58" s="57">
        <v>11778.1</v>
      </c>
      <c r="N58" s="57">
        <v>11778.1</v>
      </c>
      <c r="O58" s="57">
        <v>12367</v>
      </c>
      <c r="P58" s="57">
        <v>12985.4</v>
      </c>
      <c r="Q58" s="58">
        <v>0</v>
      </c>
      <c r="R58" s="58">
        <v>4.9999575483312242E-2</v>
      </c>
      <c r="S58" s="58">
        <v>5.0004043017708444E-2</v>
      </c>
      <c r="T58" s="37"/>
    </row>
    <row r="59" spans="1:20" s="2" customFormat="1" ht="25.15" customHeight="1" x14ac:dyDescent="2.5">
      <c r="A59" s="3">
        <v>19</v>
      </c>
      <c r="C59" s="3">
        <v>1</v>
      </c>
      <c r="D59" s="3"/>
      <c r="E59" s="3"/>
      <c r="F59" s="3">
        <v>2</v>
      </c>
      <c r="G59" s="68" t="s">
        <v>5</v>
      </c>
      <c r="H59" s="68"/>
      <c r="I59" s="68" t="s">
        <v>5</v>
      </c>
      <c r="J59" s="68" t="s">
        <v>5</v>
      </c>
      <c r="K59" s="57">
        <v>6183</v>
      </c>
      <c r="L59" s="57">
        <v>1373.5</v>
      </c>
      <c r="M59" s="57">
        <v>4809.5</v>
      </c>
      <c r="N59" s="57">
        <v>5059.5</v>
      </c>
      <c r="O59" s="57">
        <v>5120.2</v>
      </c>
      <c r="P59" s="57">
        <v>5181.6000000000004</v>
      </c>
      <c r="Q59" s="58">
        <v>-0.1817079087821446</v>
      </c>
      <c r="R59" s="58">
        <v>1.1997232928155022E-2</v>
      </c>
      <c r="S59" s="58">
        <v>1.1991719073473739E-2</v>
      </c>
      <c r="T59" s="37" t="s">
        <v>119</v>
      </c>
    </row>
    <row r="60" spans="1:20" s="3" customFormat="1" ht="25.15" customHeight="1" x14ac:dyDescent="2.5">
      <c r="A60" s="3">
        <v>20</v>
      </c>
      <c r="C60" s="3">
        <v>1</v>
      </c>
      <c r="D60" s="3">
        <v>22</v>
      </c>
      <c r="E60" s="3">
        <v>13</v>
      </c>
      <c r="G60" s="84" t="s">
        <v>181</v>
      </c>
      <c r="H60" s="84" t="str">
        <f>LEFT(I60, FIND(" ", I60)-1)</f>
        <v>អនុកម្មវិធីទី៤.៥</v>
      </c>
      <c r="I60" s="84" t="s">
        <v>234</v>
      </c>
      <c r="J60" s="84" t="s">
        <v>64</v>
      </c>
      <c r="K60" s="85">
        <v>15485.8</v>
      </c>
      <c r="L60" s="85">
        <v>0</v>
      </c>
      <c r="M60" s="85">
        <v>15485.8</v>
      </c>
      <c r="N60" s="85">
        <v>15735.8</v>
      </c>
      <c r="O60" s="85">
        <v>15975.800000000001</v>
      </c>
      <c r="P60" s="85">
        <v>16221.3</v>
      </c>
      <c r="Q60" s="86">
        <v>1.6143822082165693E-2</v>
      </c>
      <c r="R60" s="86">
        <v>1.5251846108872869E-2</v>
      </c>
      <c r="S60" s="86">
        <v>1.5366992576271388E-2</v>
      </c>
      <c r="T60" s="87"/>
    </row>
    <row r="61" spans="1:20" s="2" customFormat="1" ht="25.15" customHeight="1" x14ac:dyDescent="2.5">
      <c r="A61" s="3">
        <v>20</v>
      </c>
      <c r="C61" s="3">
        <v>1</v>
      </c>
      <c r="D61" s="3"/>
      <c r="E61" s="3"/>
      <c r="F61" s="3">
        <v>1</v>
      </c>
      <c r="G61" s="68" t="s">
        <v>4</v>
      </c>
      <c r="H61" s="68"/>
      <c r="I61" s="68" t="s">
        <v>4</v>
      </c>
      <c r="J61" s="68" t="s">
        <v>4</v>
      </c>
      <c r="K61" s="57">
        <v>1345.8</v>
      </c>
      <c r="L61" s="57"/>
      <c r="M61" s="57">
        <v>1345.8</v>
      </c>
      <c r="N61" s="57">
        <v>1345.8</v>
      </c>
      <c r="O61" s="57">
        <v>1413.1</v>
      </c>
      <c r="P61" s="57">
        <v>1483.8</v>
      </c>
      <c r="Q61" s="58">
        <v>0</v>
      </c>
      <c r="R61" s="58">
        <v>5.0007430524594998E-2</v>
      </c>
      <c r="S61" s="58">
        <v>5.0031844880050969E-2</v>
      </c>
      <c r="T61" s="37"/>
    </row>
    <row r="62" spans="1:20" s="2" customFormat="1" ht="25.15" customHeight="1" x14ac:dyDescent="2.5">
      <c r="A62" s="3">
        <v>20</v>
      </c>
      <c r="C62" s="3">
        <v>1</v>
      </c>
      <c r="D62" s="3"/>
      <c r="E62" s="3"/>
      <c r="F62" s="3">
        <v>2</v>
      </c>
      <c r="G62" s="68" t="s">
        <v>5</v>
      </c>
      <c r="H62" s="68"/>
      <c r="I62" s="68" t="s">
        <v>5</v>
      </c>
      <c r="J62" s="68" t="s">
        <v>5</v>
      </c>
      <c r="K62" s="57">
        <v>14140</v>
      </c>
      <c r="L62" s="57"/>
      <c r="M62" s="57">
        <v>14140</v>
      </c>
      <c r="N62" s="57">
        <v>14390</v>
      </c>
      <c r="O62" s="57">
        <v>14562.7</v>
      </c>
      <c r="P62" s="57">
        <v>14737.5</v>
      </c>
      <c r="Q62" s="58">
        <v>1.7680339462517791E-2</v>
      </c>
      <c r="R62" s="58">
        <v>1.2001389854065403E-2</v>
      </c>
      <c r="S62" s="58">
        <v>1.2003268624636965E-2</v>
      </c>
      <c r="T62" s="37" t="s">
        <v>118</v>
      </c>
    </row>
    <row r="63" spans="1:20" s="3" customFormat="1" ht="25.15" customHeight="1" x14ac:dyDescent="2.5">
      <c r="A63" s="3">
        <v>21</v>
      </c>
      <c r="C63" s="3">
        <v>1</v>
      </c>
      <c r="D63" s="3">
        <v>23</v>
      </c>
      <c r="E63" s="3">
        <v>491</v>
      </c>
      <c r="G63" s="84" t="s">
        <v>161</v>
      </c>
      <c r="H63" s="84" t="str">
        <f>LEFT(I63, FIND(" ", I63)-1)</f>
        <v>អនុកម្មវិធីទី៤.៦</v>
      </c>
      <c r="I63" s="84" t="s">
        <v>235</v>
      </c>
      <c r="J63" s="84" t="s">
        <v>65</v>
      </c>
      <c r="K63" s="85">
        <v>252</v>
      </c>
      <c r="L63" s="85">
        <v>0</v>
      </c>
      <c r="M63" s="85">
        <v>252</v>
      </c>
      <c r="N63" s="85">
        <v>552</v>
      </c>
      <c r="O63" s="85">
        <v>558.6</v>
      </c>
      <c r="P63" s="85">
        <v>565.29999999999995</v>
      </c>
      <c r="Q63" s="86">
        <v>1.1904761904761907</v>
      </c>
      <c r="R63" s="86">
        <v>1.1956521739130421E-2</v>
      </c>
      <c r="S63" s="86">
        <v>1.199427139276743E-2</v>
      </c>
      <c r="T63" s="87"/>
    </row>
    <row r="64" spans="1:20" s="2" customFormat="1" ht="25.15" customHeight="1" x14ac:dyDescent="2.5">
      <c r="A64" s="3">
        <v>21</v>
      </c>
      <c r="C64" s="3">
        <v>1</v>
      </c>
      <c r="D64" s="3"/>
      <c r="E64" s="3"/>
      <c r="F64" s="3">
        <v>1</v>
      </c>
      <c r="G64" s="68" t="s">
        <v>4</v>
      </c>
      <c r="H64" s="68"/>
      <c r="I64" s="68" t="s">
        <v>4</v>
      </c>
      <c r="J64" s="68" t="s">
        <v>4</v>
      </c>
      <c r="K64" s="57">
        <v>0</v>
      </c>
      <c r="L64" s="57"/>
      <c r="M64" s="57">
        <v>0</v>
      </c>
      <c r="N64" s="57">
        <v>0</v>
      </c>
      <c r="O64" s="57">
        <v>0</v>
      </c>
      <c r="P64" s="57">
        <v>0</v>
      </c>
      <c r="Q64" s="58" t="s">
        <v>141</v>
      </c>
      <c r="R64" s="58" t="s">
        <v>141</v>
      </c>
      <c r="S64" s="58" t="s">
        <v>141</v>
      </c>
      <c r="T64" s="37"/>
    </row>
    <row r="65" spans="1:20" s="2" customFormat="1" ht="25.15" customHeight="1" x14ac:dyDescent="2.5">
      <c r="A65" s="3">
        <v>21</v>
      </c>
      <c r="C65" s="3">
        <v>1</v>
      </c>
      <c r="D65" s="3"/>
      <c r="E65" s="3"/>
      <c r="F65" s="3">
        <v>2</v>
      </c>
      <c r="G65" s="68" t="s">
        <v>5</v>
      </c>
      <c r="H65" s="68"/>
      <c r="I65" s="68" t="s">
        <v>5</v>
      </c>
      <c r="J65" s="68" t="s">
        <v>5</v>
      </c>
      <c r="K65" s="57">
        <v>252</v>
      </c>
      <c r="L65" s="57"/>
      <c r="M65" s="57">
        <v>252</v>
      </c>
      <c r="N65" s="57">
        <v>552</v>
      </c>
      <c r="O65" s="57">
        <v>558.6</v>
      </c>
      <c r="P65" s="57">
        <v>565.29999999999995</v>
      </c>
      <c r="Q65" s="58">
        <v>1.1904761904761907</v>
      </c>
      <c r="R65" s="58">
        <v>1.1956521739130421E-2</v>
      </c>
      <c r="S65" s="58">
        <v>1.199427139276743E-2</v>
      </c>
      <c r="T65" s="37" t="s">
        <v>117</v>
      </c>
    </row>
    <row r="66" spans="1:20" s="3" customFormat="1" ht="25.15" customHeight="1" x14ac:dyDescent="2.5">
      <c r="A66" s="3">
        <v>22</v>
      </c>
      <c r="C66" s="3">
        <v>1</v>
      </c>
      <c r="D66" s="3">
        <v>24</v>
      </c>
      <c r="E66" s="3">
        <v>12</v>
      </c>
      <c r="G66" s="84" t="s">
        <v>182</v>
      </c>
      <c r="H66" s="84" t="str">
        <f>LEFT(I66, FIND(" ", I66)-1)</f>
        <v>អនុកម្មវិធីទី៤.៧</v>
      </c>
      <c r="I66" s="84" t="s">
        <v>236</v>
      </c>
      <c r="J66" s="84" t="s">
        <v>136</v>
      </c>
      <c r="K66" s="85">
        <v>1433</v>
      </c>
      <c r="L66" s="85">
        <v>0</v>
      </c>
      <c r="M66" s="85">
        <v>1433</v>
      </c>
      <c r="N66" s="85">
        <v>1533</v>
      </c>
      <c r="O66" s="85">
        <v>1599.6000000000001</v>
      </c>
      <c r="P66" s="85">
        <v>1669.4</v>
      </c>
      <c r="Q66" s="86">
        <v>6.9783670621074601E-2</v>
      </c>
      <c r="R66" s="86">
        <v>4.3444227005871028E-2</v>
      </c>
      <c r="S66" s="86">
        <v>4.3635908977244231E-2</v>
      </c>
      <c r="T66" s="87"/>
    </row>
    <row r="67" spans="1:20" s="2" customFormat="1" ht="25.15" customHeight="1" x14ac:dyDescent="2.5">
      <c r="A67" s="3">
        <v>22</v>
      </c>
      <c r="C67" s="3">
        <v>1</v>
      </c>
      <c r="D67" s="3"/>
      <c r="E67" s="3"/>
      <c r="F67" s="3">
        <v>1</v>
      </c>
      <c r="G67" s="68" t="s">
        <v>4</v>
      </c>
      <c r="H67" s="68"/>
      <c r="I67" s="68" t="s">
        <v>4</v>
      </c>
      <c r="J67" s="68" t="s">
        <v>4</v>
      </c>
      <c r="K67" s="57">
        <v>1268</v>
      </c>
      <c r="L67" s="57"/>
      <c r="M67" s="57">
        <v>1268</v>
      </c>
      <c r="N67" s="57">
        <v>1268</v>
      </c>
      <c r="O67" s="57">
        <v>1331.4</v>
      </c>
      <c r="P67" s="57">
        <v>1398</v>
      </c>
      <c r="Q67" s="58">
        <v>0</v>
      </c>
      <c r="R67" s="58">
        <v>5.0000000000000044E-2</v>
      </c>
      <c r="S67" s="58">
        <v>5.0022532672374886E-2</v>
      </c>
      <c r="T67" s="37"/>
    </row>
    <row r="68" spans="1:20" s="2" customFormat="1" ht="25.15" customHeight="1" x14ac:dyDescent="2.5">
      <c r="A68" s="3">
        <v>22</v>
      </c>
      <c r="C68" s="3">
        <v>1</v>
      </c>
      <c r="D68" s="3"/>
      <c r="E68" s="3"/>
      <c r="F68" s="3">
        <v>2</v>
      </c>
      <c r="G68" s="68" t="s">
        <v>5</v>
      </c>
      <c r="H68" s="68"/>
      <c r="I68" s="68" t="s">
        <v>5</v>
      </c>
      <c r="J68" s="68" t="s">
        <v>5</v>
      </c>
      <c r="K68" s="57">
        <v>165</v>
      </c>
      <c r="L68" s="57"/>
      <c r="M68" s="57">
        <v>165</v>
      </c>
      <c r="N68" s="57">
        <v>265</v>
      </c>
      <c r="O68" s="57">
        <v>268.2</v>
      </c>
      <c r="P68" s="57">
        <v>271.39999999999998</v>
      </c>
      <c r="Q68" s="58">
        <v>0.60606060606060597</v>
      </c>
      <c r="R68" s="58">
        <v>1.2075471698113072E-2</v>
      </c>
      <c r="S68" s="58">
        <v>1.1931394481730084E-2</v>
      </c>
      <c r="T68" s="37" t="s">
        <v>134</v>
      </c>
    </row>
    <row r="69" spans="1:20" s="3" customFormat="1" ht="25.15" customHeight="1" x14ac:dyDescent="2.5">
      <c r="A69" s="3">
        <v>23</v>
      </c>
      <c r="C69" s="3">
        <v>1</v>
      </c>
      <c r="D69" s="3">
        <v>25</v>
      </c>
      <c r="E69" s="3">
        <v>10</v>
      </c>
      <c r="G69" s="84" t="s">
        <v>162</v>
      </c>
      <c r="H69" s="84" t="str">
        <f>LEFT(I69, FIND(" ", I69)-1)</f>
        <v>អនុកម្មវិធីទី៤.៨</v>
      </c>
      <c r="I69" s="84" t="s">
        <v>237</v>
      </c>
      <c r="J69" s="84" t="s">
        <v>66</v>
      </c>
      <c r="K69" s="85">
        <v>2632.9</v>
      </c>
      <c r="L69" s="85">
        <v>0</v>
      </c>
      <c r="M69" s="85">
        <v>2632.9</v>
      </c>
      <c r="N69" s="85">
        <v>2782.9</v>
      </c>
      <c r="O69" s="85">
        <v>2891.8</v>
      </c>
      <c r="P69" s="85">
        <v>3005.7999999999997</v>
      </c>
      <c r="Q69" s="86">
        <v>5.6971400357020752E-2</v>
      </c>
      <c r="R69" s="86">
        <v>3.9131840885407332E-2</v>
      </c>
      <c r="S69" s="86">
        <v>3.9421813403416328E-2</v>
      </c>
      <c r="T69" s="87"/>
    </row>
    <row r="70" spans="1:20" s="2" customFormat="1" ht="25.15" customHeight="1" x14ac:dyDescent="2.5">
      <c r="A70" s="3">
        <v>23</v>
      </c>
      <c r="C70" s="3">
        <v>1</v>
      </c>
      <c r="D70" s="3"/>
      <c r="E70" s="3"/>
      <c r="F70" s="3">
        <v>1</v>
      </c>
      <c r="G70" s="68" t="s">
        <v>4</v>
      </c>
      <c r="H70" s="68"/>
      <c r="I70" s="68" t="s">
        <v>4</v>
      </c>
      <c r="J70" s="68" t="s">
        <v>4</v>
      </c>
      <c r="K70" s="57">
        <v>1988.9</v>
      </c>
      <c r="L70" s="57"/>
      <c r="M70" s="57">
        <v>1988.9</v>
      </c>
      <c r="N70" s="57">
        <v>1988.9</v>
      </c>
      <c r="O70" s="57">
        <v>2088.3000000000002</v>
      </c>
      <c r="P70" s="57">
        <v>2192.6999999999998</v>
      </c>
      <c r="Q70" s="58">
        <v>0</v>
      </c>
      <c r="R70" s="58">
        <v>4.9977374428075816E-2</v>
      </c>
      <c r="S70" s="58">
        <v>4.9992817123976296E-2</v>
      </c>
      <c r="T70" s="37"/>
    </row>
    <row r="71" spans="1:20" s="2" customFormat="1" ht="25.15" customHeight="1" x14ac:dyDescent="2.5">
      <c r="A71" s="3">
        <v>23</v>
      </c>
      <c r="C71" s="3">
        <v>1</v>
      </c>
      <c r="D71" s="3"/>
      <c r="E71" s="3"/>
      <c r="F71" s="3">
        <v>2</v>
      </c>
      <c r="G71" s="68" t="s">
        <v>5</v>
      </c>
      <c r="H71" s="68"/>
      <c r="I71" s="68" t="s">
        <v>5</v>
      </c>
      <c r="J71" s="68" t="s">
        <v>5</v>
      </c>
      <c r="K71" s="57">
        <v>644</v>
      </c>
      <c r="L71" s="57"/>
      <c r="M71" s="57">
        <v>644</v>
      </c>
      <c r="N71" s="57">
        <v>794</v>
      </c>
      <c r="O71" s="57">
        <v>803.5</v>
      </c>
      <c r="P71" s="57">
        <v>813.1</v>
      </c>
      <c r="Q71" s="58">
        <v>0.23291925465838514</v>
      </c>
      <c r="R71" s="58">
        <v>1.1964735516372782E-2</v>
      </c>
      <c r="S71" s="58">
        <v>1.1947728686994452E-2</v>
      </c>
      <c r="T71" s="37" t="s">
        <v>134</v>
      </c>
    </row>
    <row r="72" spans="1:20" s="3" customFormat="1" ht="25.15" customHeight="1" x14ac:dyDescent="2.5">
      <c r="A72" s="3">
        <v>24</v>
      </c>
      <c r="C72" s="3">
        <v>1</v>
      </c>
      <c r="D72" s="3">
        <v>26</v>
      </c>
      <c r="E72" s="3">
        <v>17</v>
      </c>
      <c r="G72" s="84" t="s">
        <v>183</v>
      </c>
      <c r="H72" s="84" t="str">
        <f>LEFT(I72, FIND(" ", I72)-1)</f>
        <v>អនុកម្មវិធីទី៤.៩</v>
      </c>
      <c r="I72" s="84" t="s">
        <v>238</v>
      </c>
      <c r="J72" s="84" t="s">
        <v>138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6" t="s">
        <v>141</v>
      </c>
      <c r="R72" s="86" t="s">
        <v>141</v>
      </c>
      <c r="S72" s="86" t="s">
        <v>141</v>
      </c>
      <c r="T72" s="87"/>
    </row>
    <row r="73" spans="1:20" s="2" customFormat="1" ht="25.15" customHeight="1" x14ac:dyDescent="2.5">
      <c r="A73" s="3">
        <v>24</v>
      </c>
      <c r="C73" s="3">
        <v>1</v>
      </c>
      <c r="D73" s="3"/>
      <c r="E73" s="3"/>
      <c r="F73" s="3">
        <v>1</v>
      </c>
      <c r="G73" s="68" t="s">
        <v>4</v>
      </c>
      <c r="H73" s="68"/>
      <c r="I73" s="68" t="s">
        <v>4</v>
      </c>
      <c r="J73" s="68" t="s">
        <v>4</v>
      </c>
      <c r="K73" s="57">
        <v>0</v>
      </c>
      <c r="L73" s="57"/>
      <c r="M73" s="57">
        <v>0</v>
      </c>
      <c r="N73" s="57">
        <v>0</v>
      </c>
      <c r="O73" s="57">
        <v>0</v>
      </c>
      <c r="P73" s="57">
        <v>0</v>
      </c>
      <c r="Q73" s="58" t="s">
        <v>141</v>
      </c>
      <c r="R73" s="58" t="s">
        <v>141</v>
      </c>
      <c r="S73" s="58" t="s">
        <v>141</v>
      </c>
      <c r="T73" s="37"/>
    </row>
    <row r="74" spans="1:20" s="2" customFormat="1" ht="25.15" customHeight="1" x14ac:dyDescent="2.5">
      <c r="A74" s="3">
        <v>24</v>
      </c>
      <c r="C74" s="3">
        <v>1</v>
      </c>
      <c r="D74" s="3"/>
      <c r="E74" s="3"/>
      <c r="F74" s="3">
        <v>2</v>
      </c>
      <c r="G74" s="68" t="s">
        <v>5</v>
      </c>
      <c r="H74" s="68"/>
      <c r="I74" s="68" t="s">
        <v>5</v>
      </c>
      <c r="J74" s="68" t="s">
        <v>5</v>
      </c>
      <c r="K74" s="57">
        <v>0</v>
      </c>
      <c r="L74" s="57"/>
      <c r="M74" s="57">
        <v>0</v>
      </c>
      <c r="N74" s="57">
        <v>0</v>
      </c>
      <c r="O74" s="57">
        <v>0</v>
      </c>
      <c r="P74" s="57">
        <v>0</v>
      </c>
      <c r="Q74" s="58" t="s">
        <v>141</v>
      </c>
      <c r="R74" s="58" t="s">
        <v>141</v>
      </c>
      <c r="S74" s="58" t="s">
        <v>141</v>
      </c>
      <c r="T74" s="37"/>
    </row>
    <row r="75" spans="1:20" s="3" customFormat="1" ht="25.15" customHeight="1" x14ac:dyDescent="2.5">
      <c r="A75" s="3">
        <v>25</v>
      </c>
      <c r="C75" s="3">
        <v>1</v>
      </c>
      <c r="D75" s="3">
        <v>28</v>
      </c>
      <c r="E75" s="3">
        <v>14</v>
      </c>
      <c r="G75" s="84" t="s">
        <v>184</v>
      </c>
      <c r="H75" s="84" t="str">
        <f>LEFT(I75, FIND(" ", I75)-1)</f>
        <v>អនុកម្មវិធីទី៥.១</v>
      </c>
      <c r="I75" s="84" t="s">
        <v>239</v>
      </c>
      <c r="J75" s="84" t="s">
        <v>67</v>
      </c>
      <c r="K75" s="85">
        <v>1354.8</v>
      </c>
      <c r="L75" s="85">
        <v>0</v>
      </c>
      <c r="M75" s="85">
        <v>1354.8</v>
      </c>
      <c r="N75" s="85">
        <v>1554.8</v>
      </c>
      <c r="O75" s="85">
        <v>1604.2</v>
      </c>
      <c r="P75" s="85">
        <v>1655.8000000000002</v>
      </c>
      <c r="Q75" s="86">
        <v>0.14762326542663118</v>
      </c>
      <c r="R75" s="86">
        <v>3.177257525083621E-2</v>
      </c>
      <c r="S75" s="86">
        <v>3.2165565390849027E-2</v>
      </c>
      <c r="T75" s="87"/>
    </row>
    <row r="76" spans="1:20" s="2" customFormat="1" ht="25.15" customHeight="1" x14ac:dyDescent="2.5">
      <c r="A76" s="3">
        <v>25</v>
      </c>
      <c r="C76" s="3">
        <v>1</v>
      </c>
      <c r="D76" s="3"/>
      <c r="E76" s="3"/>
      <c r="F76" s="3">
        <v>1</v>
      </c>
      <c r="G76" s="68" t="s">
        <v>4</v>
      </c>
      <c r="H76" s="68"/>
      <c r="I76" s="68" t="s">
        <v>4</v>
      </c>
      <c r="J76" s="68" t="s">
        <v>4</v>
      </c>
      <c r="K76" s="57">
        <v>808.8</v>
      </c>
      <c r="L76" s="57"/>
      <c r="M76" s="57">
        <v>808.8</v>
      </c>
      <c r="N76" s="57">
        <v>808.8</v>
      </c>
      <c r="O76" s="57">
        <v>849.2</v>
      </c>
      <c r="P76" s="57">
        <v>891.7</v>
      </c>
      <c r="Q76" s="58">
        <v>0</v>
      </c>
      <c r="R76" s="58">
        <v>4.9950544015826104E-2</v>
      </c>
      <c r="S76" s="58">
        <v>5.0047103155911543E-2</v>
      </c>
      <c r="T76" s="37"/>
    </row>
    <row r="77" spans="1:20" s="2" customFormat="1" ht="25.15" customHeight="1" x14ac:dyDescent="2.5">
      <c r="A77" s="3">
        <v>25</v>
      </c>
      <c r="C77" s="3">
        <v>1</v>
      </c>
      <c r="D77" s="3"/>
      <c r="E77" s="3"/>
      <c r="F77" s="3">
        <v>2</v>
      </c>
      <c r="G77" s="68" t="s">
        <v>5</v>
      </c>
      <c r="H77" s="68"/>
      <c r="I77" s="68" t="s">
        <v>5</v>
      </c>
      <c r="J77" s="68" t="s">
        <v>5</v>
      </c>
      <c r="K77" s="57">
        <v>546</v>
      </c>
      <c r="L77" s="57"/>
      <c r="M77" s="57">
        <v>546</v>
      </c>
      <c r="N77" s="57">
        <v>746</v>
      </c>
      <c r="O77" s="57">
        <v>755</v>
      </c>
      <c r="P77" s="57">
        <v>764.1</v>
      </c>
      <c r="Q77" s="58">
        <v>0.36630036630036633</v>
      </c>
      <c r="R77" s="58">
        <v>1.2064343163538771E-2</v>
      </c>
      <c r="S77" s="58">
        <v>1.2052980132450264E-2</v>
      </c>
      <c r="T77" s="37" t="s">
        <v>133</v>
      </c>
    </row>
    <row r="78" spans="1:20" s="3" customFormat="1" ht="25.15" customHeight="1" x14ac:dyDescent="2.5">
      <c r="A78" s="3">
        <v>26</v>
      </c>
      <c r="C78" s="3">
        <v>1</v>
      </c>
      <c r="D78" s="3">
        <v>29</v>
      </c>
      <c r="E78" s="3">
        <v>21</v>
      </c>
      <c r="G78" s="84" t="s">
        <v>185</v>
      </c>
      <c r="H78" s="84" t="str">
        <f>LEFT(I78, FIND(" ", I78)-1)</f>
        <v>អនុកម្មវិធីទី៥.២</v>
      </c>
      <c r="I78" s="84" t="s">
        <v>240</v>
      </c>
      <c r="J78" s="84" t="s">
        <v>68</v>
      </c>
      <c r="K78" s="85">
        <v>1595.4</v>
      </c>
      <c r="L78" s="85">
        <v>0</v>
      </c>
      <c r="M78" s="85">
        <v>1595.4</v>
      </c>
      <c r="N78" s="85">
        <v>1695.4</v>
      </c>
      <c r="O78" s="85">
        <v>1752</v>
      </c>
      <c r="P78" s="85">
        <v>1811.1</v>
      </c>
      <c r="Q78" s="86">
        <v>6.2680205591074234E-2</v>
      </c>
      <c r="R78" s="86">
        <v>3.3384452046714586E-2</v>
      </c>
      <c r="S78" s="86">
        <v>3.3732876712328608E-2</v>
      </c>
      <c r="T78" s="87"/>
    </row>
    <row r="79" spans="1:20" s="2" customFormat="1" ht="25.15" customHeight="1" x14ac:dyDescent="2.5">
      <c r="A79" s="3">
        <v>26</v>
      </c>
      <c r="C79" s="3">
        <v>1</v>
      </c>
      <c r="D79" s="3"/>
      <c r="E79" s="3"/>
      <c r="F79" s="3">
        <v>1</v>
      </c>
      <c r="G79" s="68" t="s">
        <v>4</v>
      </c>
      <c r="H79" s="68"/>
      <c r="I79" s="68" t="s">
        <v>4</v>
      </c>
      <c r="J79" s="68" t="s">
        <v>4</v>
      </c>
      <c r="K79" s="57">
        <v>953.4</v>
      </c>
      <c r="L79" s="57"/>
      <c r="M79" s="57">
        <v>953.4</v>
      </c>
      <c r="N79" s="57">
        <v>953.4</v>
      </c>
      <c r="O79" s="57">
        <v>1001.1</v>
      </c>
      <c r="P79" s="57">
        <v>1051.2</v>
      </c>
      <c r="Q79" s="58">
        <v>0</v>
      </c>
      <c r="R79" s="58">
        <v>5.0031466331025953E-2</v>
      </c>
      <c r="S79" s="58">
        <v>5.0044950554390288E-2</v>
      </c>
      <c r="T79" s="37"/>
    </row>
    <row r="80" spans="1:20" s="2" customFormat="1" ht="25.15" customHeight="1" x14ac:dyDescent="2.5">
      <c r="A80" s="3">
        <v>26</v>
      </c>
      <c r="C80" s="3">
        <v>1</v>
      </c>
      <c r="D80" s="3"/>
      <c r="E80" s="3"/>
      <c r="F80" s="3">
        <v>2</v>
      </c>
      <c r="G80" s="68" t="s">
        <v>5</v>
      </c>
      <c r="H80" s="68"/>
      <c r="I80" s="68" t="s">
        <v>5</v>
      </c>
      <c r="J80" s="68" t="s">
        <v>5</v>
      </c>
      <c r="K80" s="57">
        <v>642</v>
      </c>
      <c r="L80" s="57"/>
      <c r="M80" s="57">
        <v>642</v>
      </c>
      <c r="N80" s="57">
        <v>742</v>
      </c>
      <c r="O80" s="57">
        <v>750.9</v>
      </c>
      <c r="P80" s="57">
        <v>759.9</v>
      </c>
      <c r="Q80" s="58">
        <v>0.15576323987538943</v>
      </c>
      <c r="R80" s="58">
        <v>1.1994609164420522E-2</v>
      </c>
      <c r="S80" s="58">
        <v>1.1985617259288928E-2</v>
      </c>
      <c r="T80" s="37" t="s">
        <v>134</v>
      </c>
    </row>
    <row r="81" spans="1:20" s="3" customFormat="1" ht="25.15" customHeight="1" x14ac:dyDescent="2.5">
      <c r="A81" s="3">
        <v>27</v>
      </c>
      <c r="C81" s="3">
        <v>1</v>
      </c>
      <c r="D81" s="3">
        <v>30</v>
      </c>
      <c r="E81" s="3">
        <v>2</v>
      </c>
      <c r="G81" s="84" t="s">
        <v>186</v>
      </c>
      <c r="H81" s="84" t="str">
        <f>LEFT(I81, FIND(" ", I81)-1)</f>
        <v>អនុកម្មវិធីទី៥.៣</v>
      </c>
      <c r="I81" s="84" t="s">
        <v>241</v>
      </c>
      <c r="J81" s="84" t="s">
        <v>69</v>
      </c>
      <c r="K81" s="85">
        <v>47634.8</v>
      </c>
      <c r="L81" s="85">
        <v>631</v>
      </c>
      <c r="M81" s="85">
        <v>47003.8</v>
      </c>
      <c r="N81" s="85">
        <v>58352</v>
      </c>
      <c r="O81" s="85">
        <v>60077</v>
      </c>
      <c r="P81" s="85">
        <v>61934.3</v>
      </c>
      <c r="Q81" s="86">
        <v>0.22498677437503667</v>
      </c>
      <c r="R81" s="86">
        <v>2.9561968741431244E-2</v>
      </c>
      <c r="S81" s="86">
        <v>3.0915325332490085E-2</v>
      </c>
      <c r="T81" s="87"/>
    </row>
    <row r="82" spans="1:20" s="2" customFormat="1" ht="25.15" customHeight="1" x14ac:dyDescent="2.5">
      <c r="A82" s="3">
        <v>27</v>
      </c>
      <c r="C82" s="3">
        <v>1</v>
      </c>
      <c r="D82" s="3"/>
      <c r="E82" s="3"/>
      <c r="F82" s="3">
        <v>1</v>
      </c>
      <c r="G82" s="68" t="s">
        <v>4</v>
      </c>
      <c r="H82" s="68"/>
      <c r="I82" s="68" t="s">
        <v>4</v>
      </c>
      <c r="J82" s="68" t="s">
        <v>4</v>
      </c>
      <c r="K82" s="57">
        <v>15324</v>
      </c>
      <c r="L82" s="57">
        <v>0</v>
      </c>
      <c r="M82" s="57">
        <v>15324</v>
      </c>
      <c r="N82" s="57">
        <v>26381</v>
      </c>
      <c r="O82" s="57">
        <v>27700.3</v>
      </c>
      <c r="P82" s="57">
        <v>29085.399999999998</v>
      </c>
      <c r="Q82" s="58">
        <v>0.72154789872096048</v>
      </c>
      <c r="R82" s="58">
        <v>5.0009476517190343E-2</v>
      </c>
      <c r="S82" s="58">
        <v>5.0003068558824193E-2</v>
      </c>
      <c r="T82" s="37"/>
    </row>
    <row r="83" spans="1:20" s="2" customFormat="1" ht="25.15" customHeight="1" x14ac:dyDescent="2.5">
      <c r="A83" s="3">
        <v>27</v>
      </c>
      <c r="C83" s="3">
        <v>1</v>
      </c>
      <c r="D83" s="3"/>
      <c r="E83" s="3"/>
      <c r="F83" s="3">
        <v>2</v>
      </c>
      <c r="G83" s="68" t="s">
        <v>5</v>
      </c>
      <c r="H83" s="68"/>
      <c r="I83" s="68" t="s">
        <v>5</v>
      </c>
      <c r="J83" s="68" t="s">
        <v>5</v>
      </c>
      <c r="K83" s="57">
        <v>32310.799999999999</v>
      </c>
      <c r="L83" s="57">
        <v>631</v>
      </c>
      <c r="M83" s="57">
        <v>31679.8</v>
      </c>
      <c r="N83" s="72">
        <v>31971</v>
      </c>
      <c r="O83" s="72">
        <v>32376.7</v>
      </c>
      <c r="P83" s="72">
        <v>32848.9</v>
      </c>
      <c r="Q83" s="58">
        <v>-1.0516607450140492E-2</v>
      </c>
      <c r="R83" s="58">
        <v>1.2689624972631375E-2</v>
      </c>
      <c r="S83" s="58">
        <v>1.458456235502692E-2</v>
      </c>
      <c r="T83" s="37"/>
    </row>
    <row r="84" spans="1:20" s="3" customFormat="1" ht="25.15" customHeight="1" x14ac:dyDescent="2.5">
      <c r="A84" s="3">
        <v>28</v>
      </c>
      <c r="C84" s="3">
        <v>1</v>
      </c>
      <c r="E84" s="3">
        <v>2</v>
      </c>
      <c r="G84" s="79" t="s">
        <v>186</v>
      </c>
      <c r="H84" s="79"/>
      <c r="I84" s="79" t="s">
        <v>242</v>
      </c>
      <c r="J84" s="79" t="s">
        <v>44</v>
      </c>
      <c r="K84" s="70">
        <v>41867.800000000003</v>
      </c>
      <c r="L84" s="70">
        <v>431</v>
      </c>
      <c r="M84" s="70">
        <v>41436.800000000003</v>
      </c>
      <c r="N84" s="70">
        <v>53250</v>
      </c>
      <c r="O84" s="70">
        <v>54822</v>
      </c>
      <c r="P84" s="70">
        <v>56522.3</v>
      </c>
      <c r="Q84" s="71">
        <v>0.27186047511452704</v>
      </c>
      <c r="R84" s="71">
        <v>2.9521126760563288E-2</v>
      </c>
      <c r="S84" s="71">
        <v>3.1014921017110009E-2</v>
      </c>
      <c r="T84" s="41"/>
    </row>
    <row r="85" spans="1:20" s="2" customFormat="1" ht="25.15" customHeight="1" x14ac:dyDescent="2.5">
      <c r="A85" s="3">
        <v>28</v>
      </c>
      <c r="C85" s="3">
        <v>1</v>
      </c>
      <c r="D85" s="3"/>
      <c r="E85" s="3"/>
      <c r="F85" s="3">
        <v>1</v>
      </c>
      <c r="G85" s="78" t="s">
        <v>4</v>
      </c>
      <c r="H85" s="78"/>
      <c r="I85" s="78" t="s">
        <v>4</v>
      </c>
      <c r="J85" s="78" t="s">
        <v>4</v>
      </c>
      <c r="K85" s="57">
        <v>15324</v>
      </c>
      <c r="L85" s="57"/>
      <c r="M85" s="57">
        <v>15324</v>
      </c>
      <c r="N85" s="57">
        <v>26381</v>
      </c>
      <c r="O85" s="57">
        <v>27700.3</v>
      </c>
      <c r="P85" s="57">
        <v>29085.399999999998</v>
      </c>
      <c r="Q85" s="58">
        <v>0.72154789872096048</v>
      </c>
      <c r="R85" s="58">
        <v>5.0009476517190343E-2</v>
      </c>
      <c r="S85" s="58">
        <v>5.0003068558824193E-2</v>
      </c>
      <c r="T85" s="37" t="s">
        <v>121</v>
      </c>
    </row>
    <row r="86" spans="1:20" s="2" customFormat="1" ht="25.15" customHeight="1" x14ac:dyDescent="2.5">
      <c r="A86" s="3">
        <v>28</v>
      </c>
      <c r="C86" s="3">
        <v>1</v>
      </c>
      <c r="D86" s="3"/>
      <c r="E86" s="3"/>
      <c r="F86" s="3">
        <v>2</v>
      </c>
      <c r="G86" s="78" t="s">
        <v>5</v>
      </c>
      <c r="H86" s="78"/>
      <c r="I86" s="78" t="s">
        <v>5</v>
      </c>
      <c r="J86" s="78" t="s">
        <v>5</v>
      </c>
      <c r="K86" s="57">
        <v>26543.8</v>
      </c>
      <c r="L86" s="57">
        <v>431</v>
      </c>
      <c r="M86" s="57">
        <v>26112.799999999999</v>
      </c>
      <c r="N86" s="57">
        <v>26869</v>
      </c>
      <c r="O86" s="72">
        <v>27121.7</v>
      </c>
      <c r="P86" s="72">
        <v>27436.9</v>
      </c>
      <c r="Q86" s="58">
        <v>1.2251448549190469E-2</v>
      </c>
      <c r="R86" s="58">
        <v>9.4048903941346129E-3</v>
      </c>
      <c r="S86" s="58">
        <v>1.1621690380765326E-2</v>
      </c>
      <c r="T86" s="37" t="s">
        <v>120</v>
      </c>
    </row>
    <row r="87" spans="1:20" s="3" customFormat="1" ht="25.15" customHeight="1" x14ac:dyDescent="2.5">
      <c r="A87" s="3">
        <v>29</v>
      </c>
      <c r="C87" s="3">
        <v>1</v>
      </c>
      <c r="E87" s="3">
        <v>40</v>
      </c>
      <c r="G87" s="79" t="s">
        <v>187</v>
      </c>
      <c r="H87" s="79"/>
      <c r="I87" s="79" t="s">
        <v>243</v>
      </c>
      <c r="J87" s="79" t="s">
        <v>45</v>
      </c>
      <c r="K87" s="70">
        <v>5767</v>
      </c>
      <c r="L87" s="70">
        <v>200</v>
      </c>
      <c r="M87" s="70">
        <v>5567</v>
      </c>
      <c r="N87" s="70">
        <v>5102</v>
      </c>
      <c r="O87" s="70">
        <v>5255</v>
      </c>
      <c r="P87" s="70">
        <v>5412</v>
      </c>
      <c r="Q87" s="71">
        <v>-0.11531125368475814</v>
      </c>
      <c r="R87" s="71">
        <v>2.9988239905919256E-2</v>
      </c>
      <c r="S87" s="71">
        <v>2.987630827783061E-2</v>
      </c>
      <c r="T87" s="41"/>
    </row>
    <row r="88" spans="1:20" s="2" customFormat="1" ht="25.15" customHeight="1" x14ac:dyDescent="2.5">
      <c r="A88" s="3">
        <v>29</v>
      </c>
      <c r="C88" s="3">
        <v>1</v>
      </c>
      <c r="D88" s="3"/>
      <c r="E88" s="3"/>
      <c r="F88" s="3">
        <v>1</v>
      </c>
      <c r="G88" s="78" t="s">
        <v>4</v>
      </c>
      <c r="H88" s="78"/>
      <c r="I88" s="78" t="s">
        <v>4</v>
      </c>
      <c r="J88" s="78" t="s">
        <v>4</v>
      </c>
      <c r="K88" s="57">
        <v>0</v>
      </c>
      <c r="L88" s="57"/>
      <c r="M88" s="57">
        <v>0</v>
      </c>
      <c r="N88" s="57">
        <v>0</v>
      </c>
      <c r="O88" s="57">
        <v>0</v>
      </c>
      <c r="P88" s="57">
        <v>0</v>
      </c>
      <c r="Q88" s="58" t="s">
        <v>141</v>
      </c>
      <c r="R88" s="58" t="s">
        <v>141</v>
      </c>
      <c r="S88" s="58" t="s">
        <v>141</v>
      </c>
      <c r="T88" s="37"/>
    </row>
    <row r="89" spans="1:20" s="2" customFormat="1" ht="25.15" customHeight="1" x14ac:dyDescent="2.5">
      <c r="A89" s="3">
        <v>29</v>
      </c>
      <c r="C89" s="3">
        <v>1</v>
      </c>
      <c r="D89" s="3"/>
      <c r="E89" s="3"/>
      <c r="F89" s="3">
        <v>2</v>
      </c>
      <c r="G89" s="78" t="s">
        <v>5</v>
      </c>
      <c r="H89" s="78"/>
      <c r="I89" s="78" t="s">
        <v>5</v>
      </c>
      <c r="J89" s="78" t="s">
        <v>5</v>
      </c>
      <c r="K89" s="57">
        <v>5767</v>
      </c>
      <c r="L89" s="57">
        <v>200</v>
      </c>
      <c r="M89" s="57">
        <v>5567</v>
      </c>
      <c r="N89" s="72">
        <v>5102</v>
      </c>
      <c r="O89" s="72">
        <v>5255</v>
      </c>
      <c r="P89" s="72">
        <v>5412</v>
      </c>
      <c r="Q89" s="58">
        <v>-0.11531125368475814</v>
      </c>
      <c r="R89" s="58">
        <v>2.9988239905919256E-2</v>
      </c>
      <c r="S89" s="58">
        <v>2.987630827783061E-2</v>
      </c>
      <c r="T89" s="37" t="s">
        <v>90</v>
      </c>
    </row>
    <row r="90" spans="1:20" s="3" customFormat="1" ht="25.15" customHeight="1" x14ac:dyDescent="2.5">
      <c r="A90" s="3">
        <v>30</v>
      </c>
      <c r="C90" s="3">
        <v>1</v>
      </c>
      <c r="D90" s="3">
        <v>31</v>
      </c>
      <c r="E90" s="3">
        <v>11</v>
      </c>
      <c r="G90" s="84" t="s">
        <v>188</v>
      </c>
      <c r="H90" s="84" t="str">
        <f>LEFT(I90, FIND(" ", I90)-1)</f>
        <v>អនុកម្មវិធីទី៥.៤</v>
      </c>
      <c r="I90" s="84" t="s">
        <v>244</v>
      </c>
      <c r="J90" s="84" t="s">
        <v>70</v>
      </c>
      <c r="K90" s="85">
        <v>1195.4000000000001</v>
      </c>
      <c r="L90" s="85">
        <v>0</v>
      </c>
      <c r="M90" s="85">
        <v>1195.4000000000001</v>
      </c>
      <c r="N90" s="85">
        <v>1295.4000000000001</v>
      </c>
      <c r="O90" s="85">
        <v>1339.4</v>
      </c>
      <c r="P90" s="85">
        <v>1385.3</v>
      </c>
      <c r="Q90" s="86">
        <v>8.3654007026936483E-2</v>
      </c>
      <c r="R90" s="86">
        <v>3.3966342442488751E-2</v>
      </c>
      <c r="S90" s="86">
        <v>3.426907570553972E-2</v>
      </c>
      <c r="T90" s="87"/>
    </row>
    <row r="91" spans="1:20" s="2" customFormat="1" ht="25.15" customHeight="1" x14ac:dyDescent="2.5">
      <c r="A91" s="3">
        <v>30</v>
      </c>
      <c r="C91" s="3">
        <v>1</v>
      </c>
      <c r="D91" s="3"/>
      <c r="E91" s="3"/>
      <c r="F91" s="3">
        <v>1</v>
      </c>
      <c r="G91" s="68" t="s">
        <v>4</v>
      </c>
      <c r="H91" s="68"/>
      <c r="I91" s="68" t="s">
        <v>4</v>
      </c>
      <c r="J91" s="68" t="s">
        <v>4</v>
      </c>
      <c r="K91" s="57">
        <v>747.4</v>
      </c>
      <c r="L91" s="57"/>
      <c r="M91" s="57">
        <v>747.4</v>
      </c>
      <c r="N91" s="57">
        <v>747.4</v>
      </c>
      <c r="O91" s="57">
        <v>784.8</v>
      </c>
      <c r="P91" s="57">
        <v>824</v>
      </c>
      <c r="Q91" s="58">
        <v>0</v>
      </c>
      <c r="R91" s="58">
        <v>5.0040139149049923E-2</v>
      </c>
      <c r="S91" s="58">
        <v>4.9949031600407867E-2</v>
      </c>
      <c r="T91" s="37"/>
    </row>
    <row r="92" spans="1:20" s="2" customFormat="1" ht="25.15" customHeight="1" x14ac:dyDescent="2.5">
      <c r="A92" s="3">
        <v>30</v>
      </c>
      <c r="C92" s="3">
        <v>1</v>
      </c>
      <c r="D92" s="3"/>
      <c r="E92" s="3"/>
      <c r="F92" s="3">
        <v>2</v>
      </c>
      <c r="G92" s="115" t="s">
        <v>5</v>
      </c>
      <c r="H92" s="115"/>
      <c r="I92" s="115" t="s">
        <v>5</v>
      </c>
      <c r="J92" s="115" t="s">
        <v>5</v>
      </c>
      <c r="K92" s="116">
        <v>448</v>
      </c>
      <c r="L92" s="116"/>
      <c r="M92" s="116">
        <v>448</v>
      </c>
      <c r="N92" s="116">
        <v>548</v>
      </c>
      <c r="O92" s="116">
        <v>554.6</v>
      </c>
      <c r="P92" s="116">
        <v>561.29999999999995</v>
      </c>
      <c r="Q92" s="117">
        <v>0.22321428571428581</v>
      </c>
      <c r="R92" s="117">
        <v>1.2043795620438003E-2</v>
      </c>
      <c r="S92" s="117">
        <v>1.2080778939776327E-2</v>
      </c>
      <c r="T92" s="118" t="s">
        <v>134</v>
      </c>
    </row>
    <row r="93" spans="1:20" s="3" customFormat="1" ht="25.15" customHeight="1" x14ac:dyDescent="2.5">
      <c r="C93" s="3">
        <v>2</v>
      </c>
      <c r="G93" s="111" t="s">
        <v>74</v>
      </c>
      <c r="H93" s="111"/>
      <c r="I93" s="111" t="s">
        <v>74</v>
      </c>
      <c r="J93" s="111" t="s">
        <v>74</v>
      </c>
      <c r="K93" s="112">
        <v>26450.999999999993</v>
      </c>
      <c r="L93" s="112">
        <v>7329.9000000000005</v>
      </c>
      <c r="M93" s="112">
        <v>19121.099999999999</v>
      </c>
      <c r="N93" s="112">
        <v>28005.999999999993</v>
      </c>
      <c r="O93" s="112">
        <v>29102</v>
      </c>
      <c r="P93" s="112">
        <v>30244</v>
      </c>
      <c r="Q93" s="113">
        <v>5.8787947525613449E-2</v>
      </c>
      <c r="R93" s="113">
        <v>3.9134471184746333E-2</v>
      </c>
      <c r="S93" s="113">
        <v>3.9241289258470147E-2</v>
      </c>
      <c r="T93" s="114"/>
    </row>
    <row r="94" spans="1:20" s="2" customFormat="1" ht="25.15" customHeight="1" x14ac:dyDescent="2.5">
      <c r="C94" s="3">
        <v>2</v>
      </c>
      <c r="D94" s="3"/>
      <c r="E94" s="3"/>
      <c r="F94" s="3">
        <v>1</v>
      </c>
      <c r="G94" s="68" t="s">
        <v>4</v>
      </c>
      <c r="H94" s="68"/>
      <c r="I94" s="68" t="s">
        <v>4</v>
      </c>
      <c r="J94" s="68" t="s">
        <v>4</v>
      </c>
      <c r="K94" s="57">
        <v>11724.999999999998</v>
      </c>
      <c r="L94" s="57">
        <v>0</v>
      </c>
      <c r="M94" s="57">
        <v>11724.999999999998</v>
      </c>
      <c r="N94" s="57">
        <v>12838.999999999998</v>
      </c>
      <c r="O94" s="57">
        <v>13481.000000000002</v>
      </c>
      <c r="P94" s="57">
        <v>14154.999999999998</v>
      </c>
      <c r="Q94" s="58">
        <v>9.5010660980810346E-2</v>
      </c>
      <c r="R94" s="58">
        <v>5.0003894384298198E-2</v>
      </c>
      <c r="S94" s="58">
        <v>4.9996291076329413E-2</v>
      </c>
      <c r="T94" s="42"/>
    </row>
    <row r="95" spans="1:20" s="2" customFormat="1" ht="25.15" customHeight="1" x14ac:dyDescent="2.5">
      <c r="C95" s="3">
        <v>2</v>
      </c>
      <c r="D95" s="3"/>
      <c r="E95" s="3"/>
      <c r="F95" s="3">
        <v>2</v>
      </c>
      <c r="G95" s="68" t="s">
        <v>5</v>
      </c>
      <c r="H95" s="68"/>
      <c r="I95" s="68" t="s">
        <v>5</v>
      </c>
      <c r="J95" s="68" t="s">
        <v>5</v>
      </c>
      <c r="K95" s="57">
        <v>14725.999999999996</v>
      </c>
      <c r="L95" s="57">
        <v>7329.9000000000005</v>
      </c>
      <c r="M95" s="57">
        <v>7396.0999999999995</v>
      </c>
      <c r="N95" s="57">
        <v>15166.999999999996</v>
      </c>
      <c r="O95" s="57">
        <v>15621</v>
      </c>
      <c r="P95" s="57">
        <v>16089</v>
      </c>
      <c r="Q95" s="58">
        <v>2.994703245959518E-2</v>
      </c>
      <c r="R95" s="58">
        <v>2.9933408056965982E-2</v>
      </c>
      <c r="S95" s="58">
        <v>2.9959669675436951E-2</v>
      </c>
      <c r="T95" s="42"/>
    </row>
    <row r="96" spans="1:20" s="3" customFormat="1" ht="25.15" customHeight="1" x14ac:dyDescent="2.5">
      <c r="A96" s="3">
        <v>31</v>
      </c>
      <c r="C96" s="3">
        <v>2</v>
      </c>
      <c r="E96" s="3">
        <v>147</v>
      </c>
      <c r="G96" s="73" t="s">
        <v>189</v>
      </c>
      <c r="H96" s="73"/>
      <c r="I96" s="73" t="s">
        <v>6</v>
      </c>
      <c r="J96" s="73" t="s">
        <v>6</v>
      </c>
      <c r="K96" s="74">
        <v>1422</v>
      </c>
      <c r="L96" s="74">
        <v>466.5</v>
      </c>
      <c r="M96" s="74">
        <v>955.50000000000011</v>
      </c>
      <c r="N96" s="74">
        <v>1498.3</v>
      </c>
      <c r="O96" s="74">
        <v>1556.4</v>
      </c>
      <c r="P96" s="74">
        <v>1616.9</v>
      </c>
      <c r="Q96" s="75">
        <v>5.365682137834038E-2</v>
      </c>
      <c r="R96" s="75">
        <v>3.877728091837418E-2</v>
      </c>
      <c r="S96" s="75">
        <v>3.887175533281928E-2</v>
      </c>
      <c r="T96" s="43"/>
    </row>
    <row r="97" spans="1:20" s="2" customFormat="1" ht="25.15" customHeight="1" x14ac:dyDescent="2.5">
      <c r="A97" s="3">
        <v>31</v>
      </c>
      <c r="C97" s="3">
        <v>2</v>
      </c>
      <c r="D97" s="3"/>
      <c r="E97" s="3"/>
      <c r="F97" s="3">
        <v>1</v>
      </c>
      <c r="G97" s="68" t="s">
        <v>4</v>
      </c>
      <c r="H97" s="68"/>
      <c r="I97" s="68" t="s">
        <v>4</v>
      </c>
      <c r="J97" s="68" t="s">
        <v>4</v>
      </c>
      <c r="K97" s="57">
        <v>598.20000000000005</v>
      </c>
      <c r="L97" s="57"/>
      <c r="M97" s="57">
        <v>598.20000000000005</v>
      </c>
      <c r="N97" s="57">
        <v>655</v>
      </c>
      <c r="O97" s="57">
        <v>687.8</v>
      </c>
      <c r="P97" s="57">
        <v>722.2</v>
      </c>
      <c r="Q97" s="58">
        <v>9.495152123035755E-2</v>
      </c>
      <c r="R97" s="58">
        <v>5.0076335877862421E-2</v>
      </c>
      <c r="S97" s="58">
        <v>5.0014539110206702E-2</v>
      </c>
      <c r="T97" s="37"/>
    </row>
    <row r="98" spans="1:20" s="2" customFormat="1" ht="25.15" customHeight="1" x14ac:dyDescent="2.5">
      <c r="A98" s="3">
        <v>31</v>
      </c>
      <c r="C98" s="3">
        <v>2</v>
      </c>
      <c r="D98" s="3"/>
      <c r="E98" s="3"/>
      <c r="F98" s="3">
        <v>2</v>
      </c>
      <c r="G98" s="68" t="s">
        <v>5</v>
      </c>
      <c r="H98" s="68"/>
      <c r="I98" s="68" t="s">
        <v>5</v>
      </c>
      <c r="J98" s="68" t="s">
        <v>5</v>
      </c>
      <c r="K98" s="57">
        <v>823.80000000000007</v>
      </c>
      <c r="L98" s="57">
        <v>466.5</v>
      </c>
      <c r="M98" s="57">
        <v>357.30000000000007</v>
      </c>
      <c r="N98" s="57">
        <v>843.3</v>
      </c>
      <c r="O98" s="57">
        <v>868.6</v>
      </c>
      <c r="P98" s="57">
        <v>894.7</v>
      </c>
      <c r="Q98" s="58">
        <v>2.3670793882009988E-2</v>
      </c>
      <c r="R98" s="58">
        <v>3.0001185817621234E-2</v>
      </c>
      <c r="S98" s="58">
        <v>3.0048353672576633E-2</v>
      </c>
      <c r="T98" s="37" t="s">
        <v>91</v>
      </c>
    </row>
    <row r="99" spans="1:20" s="3" customFormat="1" ht="25.15" customHeight="1" x14ac:dyDescent="2.5">
      <c r="A99" s="3">
        <v>32</v>
      </c>
      <c r="C99" s="3">
        <v>2</v>
      </c>
      <c r="E99" s="3">
        <v>148</v>
      </c>
      <c r="G99" s="73" t="s">
        <v>190</v>
      </c>
      <c r="H99" s="73"/>
      <c r="I99" s="73" t="s">
        <v>7</v>
      </c>
      <c r="J99" s="73" t="s">
        <v>7</v>
      </c>
      <c r="K99" s="74">
        <v>1465.5</v>
      </c>
      <c r="L99" s="74">
        <v>399</v>
      </c>
      <c r="M99" s="74">
        <v>1066.5</v>
      </c>
      <c r="N99" s="74">
        <v>1549</v>
      </c>
      <c r="O99" s="74">
        <v>1609.9</v>
      </c>
      <c r="P99" s="74">
        <v>1673.3</v>
      </c>
      <c r="Q99" s="75">
        <v>5.6977140907540136E-2</v>
      </c>
      <c r="R99" s="75">
        <v>3.9315687540348643E-2</v>
      </c>
      <c r="S99" s="75">
        <v>3.9381328032797036E-2</v>
      </c>
      <c r="T99" s="43"/>
    </row>
    <row r="100" spans="1:20" s="2" customFormat="1" ht="25.15" customHeight="1" x14ac:dyDescent="2.5">
      <c r="A100" s="3">
        <v>32</v>
      </c>
      <c r="C100" s="3">
        <v>2</v>
      </c>
      <c r="D100" s="3"/>
      <c r="E100" s="3"/>
      <c r="F100" s="3">
        <v>1</v>
      </c>
      <c r="G100" s="68" t="s">
        <v>4</v>
      </c>
      <c r="H100" s="68"/>
      <c r="I100" s="68" t="s">
        <v>4</v>
      </c>
      <c r="J100" s="68" t="s">
        <v>4</v>
      </c>
      <c r="K100" s="57">
        <v>657.2</v>
      </c>
      <c r="L100" s="57"/>
      <c r="M100" s="57">
        <v>657.2</v>
      </c>
      <c r="N100" s="57">
        <v>719.6</v>
      </c>
      <c r="O100" s="57">
        <v>755.6</v>
      </c>
      <c r="P100" s="57">
        <v>793.4</v>
      </c>
      <c r="Q100" s="58">
        <v>9.4948265368228757E-2</v>
      </c>
      <c r="R100" s="58">
        <v>5.0027793218454741E-2</v>
      </c>
      <c r="S100" s="58">
        <v>5.0026469031233312E-2</v>
      </c>
      <c r="T100" s="37"/>
    </row>
    <row r="101" spans="1:20" s="2" customFormat="1" ht="25.15" customHeight="1" x14ac:dyDescent="2.5">
      <c r="A101" s="3">
        <v>32</v>
      </c>
      <c r="C101" s="3">
        <v>2</v>
      </c>
      <c r="D101" s="3"/>
      <c r="E101" s="3"/>
      <c r="F101" s="3">
        <v>2</v>
      </c>
      <c r="G101" s="68" t="s">
        <v>5</v>
      </c>
      <c r="H101" s="68"/>
      <c r="I101" s="68" t="s">
        <v>5</v>
      </c>
      <c r="J101" s="68" t="s">
        <v>5</v>
      </c>
      <c r="K101" s="57">
        <v>808.30000000000007</v>
      </c>
      <c r="L101" s="57">
        <v>399</v>
      </c>
      <c r="M101" s="57">
        <v>409.30000000000007</v>
      </c>
      <c r="N101" s="57">
        <v>829.4</v>
      </c>
      <c r="O101" s="57">
        <v>854.3</v>
      </c>
      <c r="P101" s="57">
        <v>879.9</v>
      </c>
      <c r="Q101" s="58">
        <v>2.6104169244092423E-2</v>
      </c>
      <c r="R101" s="58">
        <v>3.0021702435495623E-2</v>
      </c>
      <c r="S101" s="58">
        <v>2.9966054079363147E-2</v>
      </c>
      <c r="T101" s="37" t="s">
        <v>92</v>
      </c>
    </row>
    <row r="102" spans="1:20" s="3" customFormat="1" ht="25.15" customHeight="1" x14ac:dyDescent="2.5">
      <c r="A102" s="3">
        <v>33</v>
      </c>
      <c r="C102" s="3">
        <v>2</v>
      </c>
      <c r="E102" s="3">
        <v>149</v>
      </c>
      <c r="G102" s="73" t="s">
        <v>191</v>
      </c>
      <c r="H102" s="73"/>
      <c r="I102" s="73" t="s">
        <v>8</v>
      </c>
      <c r="J102" s="73" t="s">
        <v>8</v>
      </c>
      <c r="K102" s="74">
        <v>1304.4000000000001</v>
      </c>
      <c r="L102" s="74">
        <v>551.29999999999995</v>
      </c>
      <c r="M102" s="74">
        <v>753.10000000000014</v>
      </c>
      <c r="N102" s="74">
        <v>1365.9</v>
      </c>
      <c r="O102" s="74">
        <v>1417.1</v>
      </c>
      <c r="P102" s="74">
        <v>1470.2</v>
      </c>
      <c r="Q102" s="75">
        <v>4.7148114075437064E-2</v>
      </c>
      <c r="R102" s="75">
        <v>3.7484442492129677E-2</v>
      </c>
      <c r="S102" s="75">
        <v>3.7470891256792038E-2</v>
      </c>
      <c r="T102" s="43"/>
    </row>
    <row r="103" spans="1:20" s="2" customFormat="1" ht="25.15" customHeight="1" x14ac:dyDescent="2.5">
      <c r="A103" s="3">
        <v>33</v>
      </c>
      <c r="C103" s="3">
        <v>2</v>
      </c>
      <c r="D103" s="3"/>
      <c r="E103" s="3"/>
      <c r="F103" s="3">
        <v>1</v>
      </c>
      <c r="G103" s="68" t="s">
        <v>4</v>
      </c>
      <c r="H103" s="68"/>
      <c r="I103" s="68" t="s">
        <v>4</v>
      </c>
      <c r="J103" s="68" t="s">
        <v>4</v>
      </c>
      <c r="K103" s="57">
        <v>463.1</v>
      </c>
      <c r="L103" s="57"/>
      <c r="M103" s="57">
        <v>463.1</v>
      </c>
      <c r="N103" s="57">
        <v>507.1</v>
      </c>
      <c r="O103" s="57">
        <v>532.5</v>
      </c>
      <c r="P103" s="57">
        <v>559.1</v>
      </c>
      <c r="Q103" s="58">
        <v>9.5011876484560664E-2</v>
      </c>
      <c r="R103" s="58">
        <v>5.0088739893512146E-2</v>
      </c>
      <c r="S103" s="58">
        <v>4.9953051643192525E-2</v>
      </c>
      <c r="T103" s="37"/>
    </row>
    <row r="104" spans="1:20" s="2" customFormat="1" ht="25.15" customHeight="1" x14ac:dyDescent="2.5">
      <c r="A104" s="3">
        <v>33</v>
      </c>
      <c r="C104" s="3">
        <v>2</v>
      </c>
      <c r="D104" s="3"/>
      <c r="E104" s="3"/>
      <c r="F104" s="3">
        <v>2</v>
      </c>
      <c r="G104" s="68" t="s">
        <v>5</v>
      </c>
      <c r="H104" s="68"/>
      <c r="I104" s="68" t="s">
        <v>5</v>
      </c>
      <c r="J104" s="68" t="s">
        <v>5</v>
      </c>
      <c r="K104" s="57">
        <v>841.30000000000007</v>
      </c>
      <c r="L104" s="57">
        <v>551.29999999999995</v>
      </c>
      <c r="M104" s="57">
        <v>290.00000000000011</v>
      </c>
      <c r="N104" s="57">
        <v>858.8</v>
      </c>
      <c r="O104" s="57">
        <v>884.6</v>
      </c>
      <c r="P104" s="57">
        <v>911.1</v>
      </c>
      <c r="Q104" s="58">
        <v>2.0801141091168374E-2</v>
      </c>
      <c r="R104" s="58">
        <v>3.0041918956683844E-2</v>
      </c>
      <c r="S104" s="58">
        <v>2.9957042731177941E-2</v>
      </c>
      <c r="T104" s="37" t="s">
        <v>93</v>
      </c>
    </row>
    <row r="105" spans="1:20" s="3" customFormat="1" ht="25.15" customHeight="1" x14ac:dyDescent="2.5">
      <c r="A105" s="3">
        <v>34</v>
      </c>
      <c r="C105" s="3">
        <v>2</v>
      </c>
      <c r="E105" s="3">
        <v>150</v>
      </c>
      <c r="G105" s="73" t="s">
        <v>192</v>
      </c>
      <c r="H105" s="73"/>
      <c r="I105" s="73" t="s">
        <v>14</v>
      </c>
      <c r="J105" s="73" t="s">
        <v>14</v>
      </c>
      <c r="K105" s="74">
        <v>907.8</v>
      </c>
      <c r="L105" s="74">
        <v>149.19999999999999</v>
      </c>
      <c r="M105" s="74">
        <v>758.6</v>
      </c>
      <c r="N105" s="74">
        <v>967.8</v>
      </c>
      <c r="O105" s="74">
        <v>1006.4</v>
      </c>
      <c r="P105" s="74">
        <v>1046.7</v>
      </c>
      <c r="Q105" s="75">
        <v>6.6093853271645742E-2</v>
      </c>
      <c r="R105" s="75">
        <v>3.9884273610250043E-2</v>
      </c>
      <c r="S105" s="75">
        <v>4.0043720190779064E-2</v>
      </c>
      <c r="T105" s="43"/>
    </row>
    <row r="106" spans="1:20" s="2" customFormat="1" ht="25.15" customHeight="1" x14ac:dyDescent="2.5">
      <c r="A106" s="3">
        <v>34</v>
      </c>
      <c r="C106" s="3">
        <v>2</v>
      </c>
      <c r="D106" s="3"/>
      <c r="E106" s="3"/>
      <c r="F106" s="3">
        <v>1</v>
      </c>
      <c r="G106" s="68" t="s">
        <v>4</v>
      </c>
      <c r="H106" s="68"/>
      <c r="I106" s="68" t="s">
        <v>4</v>
      </c>
      <c r="J106" s="68" t="s">
        <v>4</v>
      </c>
      <c r="K106" s="57">
        <v>438.4</v>
      </c>
      <c r="L106" s="57"/>
      <c r="M106" s="57">
        <v>438.4</v>
      </c>
      <c r="N106" s="57">
        <v>480</v>
      </c>
      <c r="O106" s="57">
        <v>504</v>
      </c>
      <c r="P106" s="57">
        <v>529.20000000000005</v>
      </c>
      <c r="Q106" s="58">
        <v>9.4890510948905105E-2</v>
      </c>
      <c r="R106" s="58">
        <v>5.0000000000000044E-2</v>
      </c>
      <c r="S106" s="58">
        <v>5.0000000000000044E-2</v>
      </c>
      <c r="T106" s="37"/>
    </row>
    <row r="107" spans="1:20" s="2" customFormat="1" ht="25.15" customHeight="1" x14ac:dyDescent="2.5">
      <c r="A107" s="3">
        <v>34</v>
      </c>
      <c r="C107" s="3">
        <v>2</v>
      </c>
      <c r="D107" s="3"/>
      <c r="E107" s="3"/>
      <c r="F107" s="3">
        <v>2</v>
      </c>
      <c r="G107" s="68" t="s">
        <v>5</v>
      </c>
      <c r="H107" s="68"/>
      <c r="I107" s="68" t="s">
        <v>5</v>
      </c>
      <c r="J107" s="68" t="s">
        <v>5</v>
      </c>
      <c r="K107" s="57">
        <v>469.40000000000003</v>
      </c>
      <c r="L107" s="57">
        <v>149.19999999999999</v>
      </c>
      <c r="M107" s="57">
        <v>320.20000000000005</v>
      </c>
      <c r="N107" s="57">
        <v>487.8</v>
      </c>
      <c r="O107" s="57">
        <v>502.4</v>
      </c>
      <c r="P107" s="57">
        <v>517.5</v>
      </c>
      <c r="Q107" s="58">
        <v>3.9198977417980396E-2</v>
      </c>
      <c r="R107" s="58">
        <v>2.9930299302993069E-2</v>
      </c>
      <c r="S107" s="58">
        <v>3.0055732484076447E-2</v>
      </c>
      <c r="T107" s="37" t="s">
        <v>94</v>
      </c>
    </row>
    <row r="108" spans="1:20" s="3" customFormat="1" ht="25.15" customHeight="1" x14ac:dyDescent="2.5">
      <c r="A108" s="3">
        <v>35</v>
      </c>
      <c r="C108" s="3">
        <v>2</v>
      </c>
      <c r="E108" s="3">
        <v>151</v>
      </c>
      <c r="G108" s="73" t="s">
        <v>193</v>
      </c>
      <c r="H108" s="73"/>
      <c r="I108" s="73" t="s">
        <v>13</v>
      </c>
      <c r="J108" s="73" t="s">
        <v>13</v>
      </c>
      <c r="K108" s="74">
        <v>1056.0999999999999</v>
      </c>
      <c r="L108" s="74">
        <v>324.39999999999998</v>
      </c>
      <c r="M108" s="74">
        <v>731.69999999999993</v>
      </c>
      <c r="N108" s="74">
        <v>1117.4000000000001</v>
      </c>
      <c r="O108" s="74">
        <v>1161.3</v>
      </c>
      <c r="P108" s="74">
        <v>1206.9000000000001</v>
      </c>
      <c r="Q108" s="75">
        <v>5.8043745857400131E-2</v>
      </c>
      <c r="R108" s="75">
        <v>3.9287632002863671E-2</v>
      </c>
      <c r="S108" s="75">
        <v>3.9266339447171283E-2</v>
      </c>
      <c r="T108" s="43"/>
    </row>
    <row r="109" spans="1:20" s="2" customFormat="1" ht="25.15" customHeight="1" x14ac:dyDescent="2.5">
      <c r="A109" s="3">
        <v>35</v>
      </c>
      <c r="C109" s="3">
        <v>2</v>
      </c>
      <c r="D109" s="3"/>
      <c r="E109" s="3"/>
      <c r="F109" s="3">
        <v>1</v>
      </c>
      <c r="G109" s="68" t="s">
        <v>4</v>
      </c>
      <c r="H109" s="68"/>
      <c r="I109" s="68" t="s">
        <v>4</v>
      </c>
      <c r="J109" s="68" t="s">
        <v>4</v>
      </c>
      <c r="K109" s="57">
        <v>470.4</v>
      </c>
      <c r="L109" s="57"/>
      <c r="M109" s="57">
        <v>470.4</v>
      </c>
      <c r="N109" s="57">
        <v>515.1</v>
      </c>
      <c r="O109" s="57">
        <v>540.9</v>
      </c>
      <c r="P109" s="57">
        <v>567.9</v>
      </c>
      <c r="Q109" s="58">
        <v>9.5025510204081787E-2</v>
      </c>
      <c r="R109" s="58">
        <v>5.0087361677344067E-2</v>
      </c>
      <c r="S109" s="58">
        <v>4.991680532445919E-2</v>
      </c>
      <c r="T109" s="37"/>
    </row>
    <row r="110" spans="1:20" s="2" customFormat="1" ht="25.15" customHeight="1" x14ac:dyDescent="2.5">
      <c r="A110" s="3">
        <v>35</v>
      </c>
      <c r="C110" s="3">
        <v>2</v>
      </c>
      <c r="D110" s="3"/>
      <c r="E110" s="3"/>
      <c r="F110" s="3">
        <v>2</v>
      </c>
      <c r="G110" s="68" t="s">
        <v>5</v>
      </c>
      <c r="H110" s="68"/>
      <c r="I110" s="68" t="s">
        <v>5</v>
      </c>
      <c r="J110" s="68" t="s">
        <v>5</v>
      </c>
      <c r="K110" s="57">
        <v>585.69999999999993</v>
      </c>
      <c r="L110" s="57">
        <v>324.39999999999998</v>
      </c>
      <c r="M110" s="57">
        <v>261.29999999999995</v>
      </c>
      <c r="N110" s="57">
        <v>602.29999999999995</v>
      </c>
      <c r="O110" s="57">
        <v>620.4</v>
      </c>
      <c r="P110" s="57">
        <v>639</v>
      </c>
      <c r="Q110" s="58">
        <v>2.8342154686699761E-2</v>
      </c>
      <c r="R110" s="58">
        <v>3.0051469367424977E-2</v>
      </c>
      <c r="S110" s="58">
        <v>2.9980657640232167E-2</v>
      </c>
      <c r="T110" s="37" t="s">
        <v>95</v>
      </c>
    </row>
    <row r="111" spans="1:20" s="3" customFormat="1" ht="25.15" customHeight="1" x14ac:dyDescent="2.5">
      <c r="A111" s="3">
        <v>36</v>
      </c>
      <c r="C111" s="3">
        <v>2</v>
      </c>
      <c r="E111" s="3">
        <v>152</v>
      </c>
      <c r="G111" s="73" t="s">
        <v>194</v>
      </c>
      <c r="H111" s="73"/>
      <c r="I111" s="73" t="s">
        <v>12</v>
      </c>
      <c r="J111" s="73" t="s">
        <v>12</v>
      </c>
      <c r="K111" s="74">
        <v>1028.3000000000002</v>
      </c>
      <c r="L111" s="74">
        <v>360.5</v>
      </c>
      <c r="M111" s="74">
        <v>667.80000000000007</v>
      </c>
      <c r="N111" s="74">
        <v>1088.8</v>
      </c>
      <c r="O111" s="74">
        <v>1132.0999999999999</v>
      </c>
      <c r="P111" s="74">
        <v>1177.2</v>
      </c>
      <c r="Q111" s="75">
        <v>5.8834970339394888E-2</v>
      </c>
      <c r="R111" s="75">
        <v>3.9768552534900747E-2</v>
      </c>
      <c r="S111" s="75">
        <v>3.9837470188146096E-2</v>
      </c>
      <c r="T111" s="43"/>
    </row>
    <row r="112" spans="1:20" s="2" customFormat="1" ht="25.15" customHeight="1" x14ac:dyDescent="2.5">
      <c r="A112" s="3">
        <v>36</v>
      </c>
      <c r="C112" s="3">
        <v>2</v>
      </c>
      <c r="D112" s="3"/>
      <c r="E112" s="3"/>
      <c r="F112" s="3">
        <v>1</v>
      </c>
      <c r="G112" s="68" t="s">
        <v>4</v>
      </c>
      <c r="H112" s="68"/>
      <c r="I112" s="68" t="s">
        <v>4</v>
      </c>
      <c r="J112" s="68" t="s">
        <v>4</v>
      </c>
      <c r="K112" s="57">
        <v>485.9</v>
      </c>
      <c r="L112" s="57"/>
      <c r="M112" s="57">
        <v>485.9</v>
      </c>
      <c r="N112" s="57">
        <v>532.1</v>
      </c>
      <c r="O112" s="57">
        <v>558.70000000000005</v>
      </c>
      <c r="P112" s="57">
        <v>586.6</v>
      </c>
      <c r="Q112" s="58">
        <v>9.5081292447005694E-2</v>
      </c>
      <c r="R112" s="58">
        <v>4.9990603270062106E-2</v>
      </c>
      <c r="S112" s="58">
        <v>4.9937354573116099E-2</v>
      </c>
      <c r="T112" s="37"/>
    </row>
    <row r="113" spans="1:20" s="2" customFormat="1" ht="25.15" customHeight="1" x14ac:dyDescent="2.5">
      <c r="A113" s="3">
        <v>36</v>
      </c>
      <c r="C113" s="3">
        <v>2</v>
      </c>
      <c r="D113" s="3"/>
      <c r="E113" s="3"/>
      <c r="F113" s="3">
        <v>2</v>
      </c>
      <c r="G113" s="68" t="s">
        <v>5</v>
      </c>
      <c r="H113" s="68"/>
      <c r="I113" s="68" t="s">
        <v>5</v>
      </c>
      <c r="J113" s="68" t="s">
        <v>5</v>
      </c>
      <c r="K113" s="57">
        <v>542.40000000000009</v>
      </c>
      <c r="L113" s="57">
        <v>360.5</v>
      </c>
      <c r="M113" s="57">
        <v>181.90000000000009</v>
      </c>
      <c r="N113" s="57">
        <v>556.69999999999993</v>
      </c>
      <c r="O113" s="57">
        <v>573.4</v>
      </c>
      <c r="P113" s="57">
        <v>590.6</v>
      </c>
      <c r="Q113" s="58">
        <v>2.6364306784660396E-2</v>
      </c>
      <c r="R113" s="58">
        <v>2.9998203700377202E-2</v>
      </c>
      <c r="S113" s="58">
        <v>2.9996512033484635E-2</v>
      </c>
      <c r="T113" s="37" t="s">
        <v>96</v>
      </c>
    </row>
    <row r="114" spans="1:20" s="3" customFormat="1" ht="25.15" customHeight="1" x14ac:dyDescent="2.5">
      <c r="A114" s="3">
        <v>37</v>
      </c>
      <c r="C114" s="3">
        <v>2</v>
      </c>
      <c r="E114" s="3">
        <v>153</v>
      </c>
      <c r="G114" s="73" t="s">
        <v>195</v>
      </c>
      <c r="H114" s="73"/>
      <c r="I114" s="73" t="s">
        <v>11</v>
      </c>
      <c r="J114" s="73" t="s">
        <v>11</v>
      </c>
      <c r="K114" s="74">
        <v>873.6</v>
      </c>
      <c r="L114" s="74">
        <v>101</v>
      </c>
      <c r="M114" s="74">
        <v>772.6</v>
      </c>
      <c r="N114" s="74">
        <v>931.5</v>
      </c>
      <c r="O114" s="74">
        <v>968.09999999999991</v>
      </c>
      <c r="P114" s="74">
        <v>1006.3</v>
      </c>
      <c r="Q114" s="75">
        <v>6.6277472527472403E-2</v>
      </c>
      <c r="R114" s="75">
        <v>3.9291465378421764E-2</v>
      </c>
      <c r="S114" s="75">
        <v>3.9458733601900775E-2</v>
      </c>
      <c r="T114" s="43"/>
    </row>
    <row r="115" spans="1:20" s="2" customFormat="1" ht="25.15" customHeight="1" x14ac:dyDescent="2.5">
      <c r="A115" s="3">
        <v>37</v>
      </c>
      <c r="C115" s="3">
        <v>2</v>
      </c>
      <c r="D115" s="3"/>
      <c r="E115" s="3"/>
      <c r="F115" s="3">
        <v>1</v>
      </c>
      <c r="G115" s="68" t="s">
        <v>4</v>
      </c>
      <c r="H115" s="68"/>
      <c r="I115" s="68" t="s">
        <v>4</v>
      </c>
      <c r="J115" s="68" t="s">
        <v>4</v>
      </c>
      <c r="K115" s="57">
        <v>398.7</v>
      </c>
      <c r="L115" s="57"/>
      <c r="M115" s="57">
        <v>398.7</v>
      </c>
      <c r="N115" s="57">
        <v>436.6</v>
      </c>
      <c r="O115" s="57">
        <v>458.4</v>
      </c>
      <c r="P115" s="57">
        <v>481.3</v>
      </c>
      <c r="Q115" s="58">
        <v>9.505894156007022E-2</v>
      </c>
      <c r="R115" s="58">
        <v>4.9931287219422638E-2</v>
      </c>
      <c r="S115" s="58">
        <v>4.9956369982548043E-2</v>
      </c>
      <c r="T115" s="37"/>
    </row>
    <row r="116" spans="1:20" s="2" customFormat="1" ht="25.15" customHeight="1" x14ac:dyDescent="2.5">
      <c r="A116" s="3">
        <v>37</v>
      </c>
      <c r="C116" s="3">
        <v>2</v>
      </c>
      <c r="D116" s="3"/>
      <c r="E116" s="3"/>
      <c r="F116" s="3">
        <v>2</v>
      </c>
      <c r="G116" s="68" t="s">
        <v>5</v>
      </c>
      <c r="H116" s="68"/>
      <c r="I116" s="68" t="s">
        <v>5</v>
      </c>
      <c r="J116" s="68" t="s">
        <v>5</v>
      </c>
      <c r="K116" s="57">
        <v>474.90000000000003</v>
      </c>
      <c r="L116" s="57">
        <v>101</v>
      </c>
      <c r="M116" s="57">
        <v>373.90000000000003</v>
      </c>
      <c r="N116" s="57">
        <v>494.90000000000003</v>
      </c>
      <c r="O116" s="57">
        <v>509.7</v>
      </c>
      <c r="P116" s="57">
        <v>525</v>
      </c>
      <c r="Q116" s="58">
        <v>4.2114129290376834E-2</v>
      </c>
      <c r="R116" s="58">
        <v>2.9905031319458431E-2</v>
      </c>
      <c r="S116" s="58">
        <v>3.0017657445556178E-2</v>
      </c>
      <c r="T116" s="37" t="s">
        <v>97</v>
      </c>
    </row>
    <row r="117" spans="1:20" s="3" customFormat="1" ht="25.15" customHeight="1" x14ac:dyDescent="2.5">
      <c r="A117" s="3">
        <v>38</v>
      </c>
      <c r="C117" s="3">
        <v>2</v>
      </c>
      <c r="E117" s="3">
        <v>154</v>
      </c>
      <c r="G117" s="73" t="s">
        <v>196</v>
      </c>
      <c r="H117" s="73"/>
      <c r="I117" s="73" t="s">
        <v>10</v>
      </c>
      <c r="J117" s="73" t="s">
        <v>10</v>
      </c>
      <c r="K117" s="74">
        <v>1037.9000000000001</v>
      </c>
      <c r="L117" s="74">
        <v>193.8</v>
      </c>
      <c r="M117" s="74">
        <v>844.1</v>
      </c>
      <c r="N117" s="74">
        <v>1108.2</v>
      </c>
      <c r="O117" s="74">
        <v>1153.5999999999999</v>
      </c>
      <c r="P117" s="74">
        <v>1201</v>
      </c>
      <c r="Q117" s="75">
        <v>6.7732922246844574E-2</v>
      </c>
      <c r="R117" s="75">
        <v>4.0967334416170287E-2</v>
      </c>
      <c r="S117" s="75">
        <v>4.1088765603328747E-2</v>
      </c>
      <c r="T117" s="43"/>
    </row>
    <row r="118" spans="1:20" s="2" customFormat="1" ht="25.15" customHeight="1" x14ac:dyDescent="2.5">
      <c r="A118" s="3">
        <v>38</v>
      </c>
      <c r="C118" s="3">
        <v>2</v>
      </c>
      <c r="D118" s="3"/>
      <c r="E118" s="3"/>
      <c r="F118" s="3">
        <v>1</v>
      </c>
      <c r="G118" s="68" t="s">
        <v>4</v>
      </c>
      <c r="H118" s="68"/>
      <c r="I118" s="68" t="s">
        <v>4</v>
      </c>
      <c r="J118" s="68" t="s">
        <v>4</v>
      </c>
      <c r="K118" s="57">
        <v>557</v>
      </c>
      <c r="L118" s="57"/>
      <c r="M118" s="57">
        <v>557</v>
      </c>
      <c r="N118" s="57">
        <v>609.9</v>
      </c>
      <c r="O118" s="57">
        <v>640.4</v>
      </c>
      <c r="P118" s="57">
        <v>672.4</v>
      </c>
      <c r="Q118" s="58">
        <v>9.4973070017953187E-2</v>
      </c>
      <c r="R118" s="58">
        <v>5.0008198065256693E-2</v>
      </c>
      <c r="S118" s="58">
        <v>4.9968769519050493E-2</v>
      </c>
      <c r="T118" s="37"/>
    </row>
    <row r="119" spans="1:20" s="2" customFormat="1" ht="25.15" customHeight="1" x14ac:dyDescent="2.5">
      <c r="A119" s="3">
        <v>38</v>
      </c>
      <c r="C119" s="3">
        <v>2</v>
      </c>
      <c r="D119" s="3"/>
      <c r="E119" s="3"/>
      <c r="F119" s="3">
        <v>2</v>
      </c>
      <c r="G119" s="68" t="s">
        <v>5</v>
      </c>
      <c r="H119" s="68"/>
      <c r="I119" s="68" t="s">
        <v>5</v>
      </c>
      <c r="J119" s="68" t="s">
        <v>5</v>
      </c>
      <c r="K119" s="57">
        <v>480.90000000000003</v>
      </c>
      <c r="L119" s="57">
        <v>193.8</v>
      </c>
      <c r="M119" s="57">
        <v>287.10000000000002</v>
      </c>
      <c r="N119" s="57">
        <v>498.3</v>
      </c>
      <c r="O119" s="57">
        <v>513.20000000000005</v>
      </c>
      <c r="P119" s="57">
        <v>528.6</v>
      </c>
      <c r="Q119" s="58">
        <v>3.6182158452900737E-2</v>
      </c>
      <c r="R119" s="58">
        <v>2.9901665663255139E-2</v>
      </c>
      <c r="S119" s="58">
        <v>3.000779423226807E-2</v>
      </c>
      <c r="T119" s="37" t="s">
        <v>98</v>
      </c>
    </row>
    <row r="120" spans="1:20" s="3" customFormat="1" ht="25.15" customHeight="1" x14ac:dyDescent="2.5">
      <c r="A120" s="3">
        <v>39</v>
      </c>
      <c r="C120" s="3">
        <v>2</v>
      </c>
      <c r="E120" s="3">
        <v>155</v>
      </c>
      <c r="G120" s="73" t="s">
        <v>197</v>
      </c>
      <c r="H120" s="73"/>
      <c r="I120" s="73" t="s">
        <v>9</v>
      </c>
      <c r="J120" s="73" t="s">
        <v>9</v>
      </c>
      <c r="K120" s="74">
        <v>699.1</v>
      </c>
      <c r="L120" s="74">
        <v>131.1</v>
      </c>
      <c r="M120" s="74">
        <v>568</v>
      </c>
      <c r="N120" s="74">
        <v>748.6</v>
      </c>
      <c r="O120" s="74">
        <v>779.09999999999991</v>
      </c>
      <c r="P120" s="74">
        <v>810.9</v>
      </c>
      <c r="Q120" s="75">
        <v>7.0805321127163534E-2</v>
      </c>
      <c r="R120" s="75">
        <v>4.0742719743521061E-2</v>
      </c>
      <c r="S120" s="75">
        <v>4.081632653061229E-2</v>
      </c>
      <c r="T120" s="43"/>
    </row>
    <row r="121" spans="1:20" s="2" customFormat="1" ht="25.15" customHeight="1" x14ac:dyDescent="2.5">
      <c r="A121" s="3">
        <v>39</v>
      </c>
      <c r="C121" s="3">
        <v>2</v>
      </c>
      <c r="D121" s="3"/>
      <c r="E121" s="3"/>
      <c r="F121" s="3">
        <v>1</v>
      </c>
      <c r="G121" s="68" t="s">
        <v>4</v>
      </c>
      <c r="H121" s="68"/>
      <c r="I121" s="68" t="s">
        <v>4</v>
      </c>
      <c r="J121" s="68" t="s">
        <v>4</v>
      </c>
      <c r="K121" s="57">
        <v>364.6</v>
      </c>
      <c r="L121" s="57"/>
      <c r="M121" s="57">
        <v>364.6</v>
      </c>
      <c r="N121" s="57">
        <v>399.2</v>
      </c>
      <c r="O121" s="57">
        <v>419.2</v>
      </c>
      <c r="P121" s="57">
        <v>440.2</v>
      </c>
      <c r="Q121" s="58">
        <v>9.4898518924849018E-2</v>
      </c>
      <c r="R121" s="58">
        <v>5.0100200400801542E-2</v>
      </c>
      <c r="S121" s="58">
        <v>5.0095419847328237E-2</v>
      </c>
      <c r="T121" s="37"/>
    </row>
    <row r="122" spans="1:20" s="2" customFormat="1" ht="25.15" customHeight="1" x14ac:dyDescent="2.5">
      <c r="A122" s="3">
        <v>39</v>
      </c>
      <c r="C122" s="3">
        <v>2</v>
      </c>
      <c r="D122" s="3"/>
      <c r="E122" s="3"/>
      <c r="F122" s="3">
        <v>2</v>
      </c>
      <c r="G122" s="68" t="s">
        <v>5</v>
      </c>
      <c r="H122" s="68"/>
      <c r="I122" s="68" t="s">
        <v>5</v>
      </c>
      <c r="J122" s="68" t="s">
        <v>5</v>
      </c>
      <c r="K122" s="57">
        <v>334.5</v>
      </c>
      <c r="L122" s="57">
        <v>131.1</v>
      </c>
      <c r="M122" s="57">
        <v>203.4</v>
      </c>
      <c r="N122" s="57">
        <v>349.40000000000003</v>
      </c>
      <c r="O122" s="57">
        <v>359.9</v>
      </c>
      <c r="P122" s="57">
        <v>370.7</v>
      </c>
      <c r="Q122" s="58">
        <v>4.4544095665171923E-2</v>
      </c>
      <c r="R122" s="58">
        <v>3.0051516886090202E-2</v>
      </c>
      <c r="S122" s="58">
        <v>3.0008335648791462E-2</v>
      </c>
      <c r="T122" s="37" t="s">
        <v>99</v>
      </c>
    </row>
    <row r="123" spans="1:20" s="3" customFormat="1" ht="25.15" customHeight="1" x14ac:dyDescent="2.5">
      <c r="A123" s="3">
        <v>40</v>
      </c>
      <c r="C123" s="3">
        <v>2</v>
      </c>
      <c r="E123" s="3">
        <v>156</v>
      </c>
      <c r="G123" s="73" t="s">
        <v>198</v>
      </c>
      <c r="H123" s="73"/>
      <c r="I123" s="73" t="s">
        <v>15</v>
      </c>
      <c r="J123" s="73" t="s">
        <v>15</v>
      </c>
      <c r="K123" s="74">
        <v>1052.3000000000002</v>
      </c>
      <c r="L123" s="74">
        <v>440.9</v>
      </c>
      <c r="M123" s="74">
        <v>611.40000000000009</v>
      </c>
      <c r="N123" s="74">
        <v>1101.5</v>
      </c>
      <c r="O123" s="74">
        <v>1142</v>
      </c>
      <c r="P123" s="74">
        <v>1184.0999999999999</v>
      </c>
      <c r="Q123" s="75">
        <v>4.6754727739237723E-2</v>
      </c>
      <c r="R123" s="75">
        <v>3.6768043576940634E-2</v>
      </c>
      <c r="S123" s="75">
        <v>3.6865148861646047E-2</v>
      </c>
      <c r="T123" s="43"/>
    </row>
    <row r="124" spans="1:20" s="2" customFormat="1" ht="25.15" customHeight="1" x14ac:dyDescent="2.5">
      <c r="A124" s="3">
        <v>40</v>
      </c>
      <c r="C124" s="3">
        <v>2</v>
      </c>
      <c r="D124" s="3"/>
      <c r="E124" s="3"/>
      <c r="F124" s="3">
        <v>1</v>
      </c>
      <c r="G124" s="68" t="s">
        <v>4</v>
      </c>
      <c r="H124" s="68"/>
      <c r="I124" s="68" t="s">
        <v>4</v>
      </c>
      <c r="J124" s="68" t="s">
        <v>4</v>
      </c>
      <c r="K124" s="57">
        <v>340.4</v>
      </c>
      <c r="L124" s="57"/>
      <c r="M124" s="57">
        <v>340.4</v>
      </c>
      <c r="N124" s="57">
        <v>372.7</v>
      </c>
      <c r="O124" s="57">
        <v>391.3</v>
      </c>
      <c r="P124" s="57">
        <v>410.9</v>
      </c>
      <c r="Q124" s="58">
        <v>9.4888366627497112E-2</v>
      </c>
      <c r="R124" s="58">
        <v>4.9906090689562754E-2</v>
      </c>
      <c r="S124" s="58">
        <v>5.0089445438282532E-2</v>
      </c>
      <c r="T124" s="37"/>
    </row>
    <row r="125" spans="1:20" s="2" customFormat="1" ht="25.15" customHeight="1" x14ac:dyDescent="2.5">
      <c r="A125" s="3">
        <v>40</v>
      </c>
      <c r="C125" s="3">
        <v>2</v>
      </c>
      <c r="D125" s="3"/>
      <c r="E125" s="3"/>
      <c r="F125" s="3">
        <v>2</v>
      </c>
      <c r="G125" s="68" t="s">
        <v>5</v>
      </c>
      <c r="H125" s="68"/>
      <c r="I125" s="68" t="s">
        <v>5</v>
      </c>
      <c r="J125" s="68" t="s">
        <v>5</v>
      </c>
      <c r="K125" s="57">
        <v>711.90000000000009</v>
      </c>
      <c r="L125" s="57">
        <v>440.9</v>
      </c>
      <c r="M125" s="57">
        <v>271.00000000000011</v>
      </c>
      <c r="N125" s="57">
        <v>728.8</v>
      </c>
      <c r="O125" s="57">
        <v>750.7</v>
      </c>
      <c r="P125" s="57">
        <v>773.2</v>
      </c>
      <c r="Q125" s="58">
        <v>2.3739289226014648E-2</v>
      </c>
      <c r="R125" s="58">
        <v>3.0049396267837647E-2</v>
      </c>
      <c r="S125" s="58">
        <v>2.9972026108964878E-2</v>
      </c>
      <c r="T125" s="37" t="s">
        <v>100</v>
      </c>
    </row>
    <row r="126" spans="1:20" s="3" customFormat="1" ht="25.15" customHeight="1" x14ac:dyDescent="2.5">
      <c r="A126" s="3">
        <v>41</v>
      </c>
      <c r="C126" s="3">
        <v>2</v>
      </c>
      <c r="E126" s="3">
        <v>157</v>
      </c>
      <c r="G126" s="73" t="s">
        <v>199</v>
      </c>
      <c r="H126" s="73"/>
      <c r="I126" s="73" t="s">
        <v>16</v>
      </c>
      <c r="J126" s="73" t="s">
        <v>16</v>
      </c>
      <c r="K126" s="74">
        <v>740</v>
      </c>
      <c r="L126" s="74">
        <v>222</v>
      </c>
      <c r="M126" s="74">
        <v>518</v>
      </c>
      <c r="N126" s="74">
        <v>787.4</v>
      </c>
      <c r="O126" s="74">
        <v>818.8</v>
      </c>
      <c r="P126" s="74">
        <v>851.5</v>
      </c>
      <c r="Q126" s="75">
        <v>6.4054054054053955E-2</v>
      </c>
      <c r="R126" s="75">
        <v>3.9878079756159535E-2</v>
      </c>
      <c r="S126" s="75">
        <v>3.9936492427943282E-2</v>
      </c>
      <c r="T126" s="43"/>
    </row>
    <row r="127" spans="1:20" s="2" customFormat="1" ht="25.15" customHeight="1" x14ac:dyDescent="2.5">
      <c r="A127" s="3">
        <v>41</v>
      </c>
      <c r="C127" s="3">
        <v>2</v>
      </c>
      <c r="D127" s="3"/>
      <c r="E127" s="3"/>
      <c r="F127" s="3">
        <v>1</v>
      </c>
      <c r="G127" s="68" t="s">
        <v>4</v>
      </c>
      <c r="H127" s="68"/>
      <c r="I127" s="68" t="s">
        <v>4</v>
      </c>
      <c r="J127" s="68" t="s">
        <v>4</v>
      </c>
      <c r="K127" s="57">
        <v>355</v>
      </c>
      <c r="L127" s="57"/>
      <c r="M127" s="57">
        <v>355</v>
      </c>
      <c r="N127" s="57">
        <v>388.7</v>
      </c>
      <c r="O127" s="57">
        <v>408.1</v>
      </c>
      <c r="P127" s="57">
        <v>428.5</v>
      </c>
      <c r="Q127" s="58">
        <v>9.4929577464788695E-2</v>
      </c>
      <c r="R127" s="58">
        <v>4.9909956264471367E-2</v>
      </c>
      <c r="S127" s="58">
        <v>4.9987748100955631E-2</v>
      </c>
      <c r="T127" s="37"/>
    </row>
    <row r="128" spans="1:20" s="2" customFormat="1" ht="25.15" customHeight="1" x14ac:dyDescent="2.5">
      <c r="A128" s="3">
        <v>41</v>
      </c>
      <c r="C128" s="3">
        <v>2</v>
      </c>
      <c r="D128" s="3"/>
      <c r="E128" s="3"/>
      <c r="F128" s="3">
        <v>2</v>
      </c>
      <c r="G128" s="68" t="s">
        <v>5</v>
      </c>
      <c r="H128" s="68"/>
      <c r="I128" s="68" t="s">
        <v>5</v>
      </c>
      <c r="J128" s="68" t="s">
        <v>5</v>
      </c>
      <c r="K128" s="57">
        <v>385.00000000000006</v>
      </c>
      <c r="L128" s="57">
        <v>222</v>
      </c>
      <c r="M128" s="57">
        <v>163.00000000000006</v>
      </c>
      <c r="N128" s="57">
        <v>398.7</v>
      </c>
      <c r="O128" s="57">
        <v>410.7</v>
      </c>
      <c r="P128" s="57">
        <v>423</v>
      </c>
      <c r="Q128" s="58">
        <v>3.5584415584415385E-2</v>
      </c>
      <c r="R128" s="58">
        <v>3.0097817908201652E-2</v>
      </c>
      <c r="S128" s="58">
        <v>2.9948867786705691E-2</v>
      </c>
      <c r="T128" s="37" t="s">
        <v>101</v>
      </c>
    </row>
    <row r="129" spans="1:20" s="3" customFormat="1" ht="25.15" customHeight="1" x14ac:dyDescent="2.5">
      <c r="A129" s="3">
        <v>42</v>
      </c>
      <c r="C129" s="3">
        <v>2</v>
      </c>
      <c r="E129" s="3">
        <v>158</v>
      </c>
      <c r="G129" s="73" t="s">
        <v>200</v>
      </c>
      <c r="H129" s="73"/>
      <c r="I129" s="73" t="s">
        <v>17</v>
      </c>
      <c r="J129" s="73" t="s">
        <v>17</v>
      </c>
      <c r="K129" s="74">
        <v>1404.5</v>
      </c>
      <c r="L129" s="74">
        <v>204.70000000000002</v>
      </c>
      <c r="M129" s="74">
        <v>1199.8</v>
      </c>
      <c r="N129" s="74">
        <v>1511.8000000000002</v>
      </c>
      <c r="O129" s="74">
        <v>1578</v>
      </c>
      <c r="P129" s="74">
        <v>1647.3</v>
      </c>
      <c r="Q129" s="75">
        <v>7.6397294410822436E-2</v>
      </c>
      <c r="R129" s="75">
        <v>4.3788860960444431E-2</v>
      </c>
      <c r="S129" s="75">
        <v>4.3916349809886013E-2</v>
      </c>
      <c r="T129" s="43"/>
    </row>
    <row r="130" spans="1:20" s="2" customFormat="1" ht="25.15" customHeight="1" x14ac:dyDescent="2.5">
      <c r="A130" s="3">
        <v>42</v>
      </c>
      <c r="C130" s="3">
        <v>2</v>
      </c>
      <c r="D130" s="3"/>
      <c r="E130" s="3"/>
      <c r="F130" s="3">
        <v>1</v>
      </c>
      <c r="G130" s="68" t="s">
        <v>4</v>
      </c>
      <c r="H130" s="68"/>
      <c r="I130" s="68" t="s">
        <v>4</v>
      </c>
      <c r="J130" s="68" t="s">
        <v>4</v>
      </c>
      <c r="K130" s="57">
        <v>954.8</v>
      </c>
      <c r="L130" s="57"/>
      <c r="M130" s="57">
        <v>954.8</v>
      </c>
      <c r="N130" s="57">
        <v>1045.9000000000001</v>
      </c>
      <c r="O130" s="57">
        <v>1098.1000000000001</v>
      </c>
      <c r="P130" s="57">
        <v>1153</v>
      </c>
      <c r="Q130" s="58">
        <v>9.5412651864264841E-2</v>
      </c>
      <c r="R130" s="58">
        <v>4.9909169136628684E-2</v>
      </c>
      <c r="S130" s="58">
        <v>4.9995446680630051E-2</v>
      </c>
      <c r="T130" s="37"/>
    </row>
    <row r="131" spans="1:20" s="2" customFormat="1" ht="25.15" customHeight="1" x14ac:dyDescent="2.5">
      <c r="A131" s="3">
        <v>42</v>
      </c>
      <c r="C131" s="3">
        <v>2</v>
      </c>
      <c r="D131" s="3"/>
      <c r="E131" s="3"/>
      <c r="F131" s="3">
        <v>2</v>
      </c>
      <c r="G131" s="68" t="s">
        <v>5</v>
      </c>
      <c r="H131" s="68"/>
      <c r="I131" s="68" t="s">
        <v>5</v>
      </c>
      <c r="J131" s="68" t="s">
        <v>5</v>
      </c>
      <c r="K131" s="57">
        <v>449.7</v>
      </c>
      <c r="L131" s="57">
        <v>204.70000000000002</v>
      </c>
      <c r="M131" s="57">
        <v>244.99999999999997</v>
      </c>
      <c r="N131" s="57">
        <v>465.90000000000003</v>
      </c>
      <c r="O131" s="57">
        <v>479.9</v>
      </c>
      <c r="P131" s="57">
        <v>494.3</v>
      </c>
      <c r="Q131" s="58">
        <v>3.6024016010673954E-2</v>
      </c>
      <c r="R131" s="58">
        <v>3.0049366816913281E-2</v>
      </c>
      <c r="S131" s="58">
        <v>3.0006251302354681E-2</v>
      </c>
      <c r="T131" s="37" t="s">
        <v>102</v>
      </c>
    </row>
    <row r="132" spans="1:20" s="3" customFormat="1" ht="25.15" customHeight="1" x14ac:dyDescent="2.5">
      <c r="A132" s="3">
        <v>43</v>
      </c>
      <c r="C132" s="3">
        <v>2</v>
      </c>
      <c r="E132" s="3">
        <v>159</v>
      </c>
      <c r="G132" s="73" t="s">
        <v>201</v>
      </c>
      <c r="H132" s="73"/>
      <c r="I132" s="73" t="s">
        <v>18</v>
      </c>
      <c r="J132" s="73" t="s">
        <v>18</v>
      </c>
      <c r="K132" s="74">
        <v>909.2</v>
      </c>
      <c r="L132" s="74">
        <v>343</v>
      </c>
      <c r="M132" s="74">
        <v>566.20000000000005</v>
      </c>
      <c r="N132" s="74">
        <v>957.59999999999991</v>
      </c>
      <c r="O132" s="74">
        <v>993.90000000000009</v>
      </c>
      <c r="P132" s="74">
        <v>1031.7</v>
      </c>
      <c r="Q132" s="75">
        <v>5.3233611966563954E-2</v>
      </c>
      <c r="R132" s="75">
        <v>3.7907268170426223E-2</v>
      </c>
      <c r="S132" s="75">
        <v>3.8031995170540345E-2</v>
      </c>
      <c r="T132" s="43"/>
    </row>
    <row r="133" spans="1:20" s="2" customFormat="1" ht="25.15" customHeight="1" x14ac:dyDescent="2.5">
      <c r="A133" s="3">
        <v>43</v>
      </c>
      <c r="C133" s="3">
        <v>2</v>
      </c>
      <c r="D133" s="3"/>
      <c r="E133" s="3"/>
      <c r="F133" s="3">
        <v>1</v>
      </c>
      <c r="G133" s="68" t="s">
        <v>4</v>
      </c>
      <c r="H133" s="68"/>
      <c r="I133" s="68" t="s">
        <v>4</v>
      </c>
      <c r="J133" s="68" t="s">
        <v>4</v>
      </c>
      <c r="K133" s="57">
        <v>347.7</v>
      </c>
      <c r="L133" s="57"/>
      <c r="M133" s="57">
        <v>347.7</v>
      </c>
      <c r="N133" s="57">
        <v>380.7</v>
      </c>
      <c r="O133" s="57">
        <v>399.7</v>
      </c>
      <c r="P133" s="57">
        <v>419.7</v>
      </c>
      <c r="Q133" s="58">
        <v>9.4909404659188956E-2</v>
      </c>
      <c r="R133" s="58">
        <v>4.990806409246118E-2</v>
      </c>
      <c r="S133" s="58">
        <v>5.0037528146109622E-2</v>
      </c>
      <c r="T133" s="37"/>
    </row>
    <row r="134" spans="1:20" s="2" customFormat="1" ht="25.15" customHeight="1" x14ac:dyDescent="2.5">
      <c r="A134" s="3">
        <v>43</v>
      </c>
      <c r="C134" s="3">
        <v>2</v>
      </c>
      <c r="D134" s="3"/>
      <c r="E134" s="3"/>
      <c r="F134" s="3">
        <v>2</v>
      </c>
      <c r="G134" s="68" t="s">
        <v>5</v>
      </c>
      <c r="H134" s="68"/>
      <c r="I134" s="68" t="s">
        <v>5</v>
      </c>
      <c r="J134" s="68" t="s">
        <v>5</v>
      </c>
      <c r="K134" s="57">
        <v>561.5</v>
      </c>
      <c r="L134" s="57">
        <v>343</v>
      </c>
      <c r="M134" s="57">
        <v>218.5</v>
      </c>
      <c r="N134" s="57">
        <v>576.9</v>
      </c>
      <c r="O134" s="57">
        <v>594.20000000000005</v>
      </c>
      <c r="P134" s="57">
        <v>612</v>
      </c>
      <c r="Q134" s="58">
        <v>2.7426536064113938E-2</v>
      </c>
      <c r="R134" s="58">
        <v>2.9987866181313994E-2</v>
      </c>
      <c r="S134" s="58">
        <v>2.9956243688993522E-2</v>
      </c>
      <c r="T134" s="37" t="s">
        <v>103</v>
      </c>
    </row>
    <row r="135" spans="1:20" s="3" customFormat="1" ht="25.15" customHeight="1" x14ac:dyDescent="2.5">
      <c r="A135" s="3">
        <v>44</v>
      </c>
      <c r="C135" s="3">
        <v>2</v>
      </c>
      <c r="E135" s="3">
        <v>160</v>
      </c>
      <c r="G135" s="73" t="s">
        <v>202</v>
      </c>
      <c r="H135" s="73"/>
      <c r="I135" s="73" t="s">
        <v>19</v>
      </c>
      <c r="J135" s="73" t="s">
        <v>19</v>
      </c>
      <c r="K135" s="74">
        <v>1562.7</v>
      </c>
      <c r="L135" s="74">
        <v>486.7</v>
      </c>
      <c r="M135" s="74">
        <v>1076</v>
      </c>
      <c r="N135" s="74">
        <v>1642.3</v>
      </c>
      <c r="O135" s="74">
        <v>1704</v>
      </c>
      <c r="P135" s="74">
        <v>1768.6999999999998</v>
      </c>
      <c r="Q135" s="75">
        <v>5.093748000255971E-2</v>
      </c>
      <c r="R135" s="75">
        <v>3.7569262619497001E-2</v>
      </c>
      <c r="S135" s="75">
        <v>3.7969483568075058E-2</v>
      </c>
      <c r="T135" s="43"/>
    </row>
    <row r="136" spans="1:20" s="2" customFormat="1" ht="25.15" customHeight="1" x14ac:dyDescent="2.5">
      <c r="A136" s="3">
        <v>44</v>
      </c>
      <c r="C136" s="3">
        <v>2</v>
      </c>
      <c r="D136" s="3"/>
      <c r="E136" s="3"/>
      <c r="F136" s="3">
        <v>1</v>
      </c>
      <c r="G136" s="68" t="s">
        <v>4</v>
      </c>
      <c r="H136" s="68"/>
      <c r="I136" s="68" t="s">
        <v>4</v>
      </c>
      <c r="J136" s="68" t="s">
        <v>4</v>
      </c>
      <c r="K136" s="57">
        <v>607.70000000000005</v>
      </c>
      <c r="L136" s="57"/>
      <c r="M136" s="57">
        <v>607.70000000000005</v>
      </c>
      <c r="N136" s="57">
        <v>665.4</v>
      </c>
      <c r="O136" s="57">
        <v>698.7</v>
      </c>
      <c r="P136" s="57">
        <v>733.6</v>
      </c>
      <c r="Q136" s="58">
        <v>9.4948165213098346E-2</v>
      </c>
      <c r="R136" s="58">
        <v>5.0045085662759448E-2</v>
      </c>
      <c r="S136" s="58">
        <v>4.9949906970087277E-2</v>
      </c>
      <c r="T136" s="37"/>
    </row>
    <row r="137" spans="1:20" s="2" customFormat="1" ht="25.15" customHeight="1" x14ac:dyDescent="2.5">
      <c r="A137" s="3">
        <v>44</v>
      </c>
      <c r="C137" s="3">
        <v>2</v>
      </c>
      <c r="D137" s="3"/>
      <c r="E137" s="3"/>
      <c r="F137" s="3">
        <v>2</v>
      </c>
      <c r="G137" s="68" t="s">
        <v>5</v>
      </c>
      <c r="H137" s="68"/>
      <c r="I137" s="68" t="s">
        <v>5</v>
      </c>
      <c r="J137" s="68" t="s">
        <v>5</v>
      </c>
      <c r="K137" s="57">
        <v>955</v>
      </c>
      <c r="L137" s="57">
        <v>486.7</v>
      </c>
      <c r="M137" s="57">
        <v>468.3</v>
      </c>
      <c r="N137" s="57">
        <v>976.9</v>
      </c>
      <c r="O137" s="57">
        <v>1005.3000000000001</v>
      </c>
      <c r="P137" s="57">
        <v>1035.0999999999999</v>
      </c>
      <c r="Q137" s="58">
        <v>2.2931937172774752E-2</v>
      </c>
      <c r="R137" s="58">
        <v>2.9071552871327677E-2</v>
      </c>
      <c r="S137" s="58">
        <v>2.9642892668855003E-2</v>
      </c>
      <c r="T137" s="37" t="s">
        <v>104</v>
      </c>
    </row>
    <row r="138" spans="1:20" s="3" customFormat="1" ht="25.15" customHeight="1" x14ac:dyDescent="2.5">
      <c r="A138" s="3">
        <v>45</v>
      </c>
      <c r="C138" s="3">
        <v>2</v>
      </c>
      <c r="E138" s="3">
        <v>161</v>
      </c>
      <c r="G138" s="73" t="s">
        <v>203</v>
      </c>
      <c r="H138" s="73"/>
      <c r="I138" s="73" t="s">
        <v>20</v>
      </c>
      <c r="J138" s="73" t="s">
        <v>20</v>
      </c>
      <c r="K138" s="74">
        <v>1205.9000000000001</v>
      </c>
      <c r="L138" s="74">
        <v>535.5</v>
      </c>
      <c r="M138" s="74">
        <v>670.40000000000009</v>
      </c>
      <c r="N138" s="74">
        <v>1260.1999999999998</v>
      </c>
      <c r="O138" s="74">
        <v>1306.5999999999999</v>
      </c>
      <c r="P138" s="74">
        <v>1354.8</v>
      </c>
      <c r="Q138" s="75">
        <v>4.5028609337424141E-2</v>
      </c>
      <c r="R138" s="75">
        <v>3.6819552451991866E-2</v>
      </c>
      <c r="S138" s="75">
        <v>3.688963722638916E-2</v>
      </c>
      <c r="T138" s="43"/>
    </row>
    <row r="139" spans="1:20" s="2" customFormat="1" ht="25.15" customHeight="1" x14ac:dyDescent="2.5">
      <c r="A139" s="3">
        <v>45</v>
      </c>
      <c r="C139" s="3">
        <v>2</v>
      </c>
      <c r="D139" s="3"/>
      <c r="E139" s="3"/>
      <c r="F139" s="3">
        <v>1</v>
      </c>
      <c r="G139" s="68" t="s">
        <v>4</v>
      </c>
      <c r="H139" s="68"/>
      <c r="I139" s="68" t="s">
        <v>4</v>
      </c>
      <c r="J139" s="68" t="s">
        <v>4</v>
      </c>
      <c r="K139" s="57">
        <v>390.5</v>
      </c>
      <c r="L139" s="57"/>
      <c r="M139" s="57">
        <v>390.5</v>
      </c>
      <c r="N139" s="57">
        <v>427.6</v>
      </c>
      <c r="O139" s="57">
        <v>449</v>
      </c>
      <c r="P139" s="57">
        <v>471.5</v>
      </c>
      <c r="Q139" s="58">
        <v>9.5006402048655625E-2</v>
      </c>
      <c r="R139" s="58">
        <v>5.0046772684751994E-2</v>
      </c>
      <c r="S139" s="58">
        <v>5.0111358574610243E-2</v>
      </c>
      <c r="T139" s="37"/>
    </row>
    <row r="140" spans="1:20" s="2" customFormat="1" ht="25.15" customHeight="1" x14ac:dyDescent="2.5">
      <c r="A140" s="3">
        <v>45</v>
      </c>
      <c r="C140" s="3">
        <v>2</v>
      </c>
      <c r="D140" s="3"/>
      <c r="E140" s="3"/>
      <c r="F140" s="3">
        <v>2</v>
      </c>
      <c r="G140" s="68" t="s">
        <v>5</v>
      </c>
      <c r="H140" s="68"/>
      <c r="I140" s="68" t="s">
        <v>5</v>
      </c>
      <c r="J140" s="68" t="s">
        <v>5</v>
      </c>
      <c r="K140" s="57">
        <v>815.40000000000009</v>
      </c>
      <c r="L140" s="57">
        <v>535.5</v>
      </c>
      <c r="M140" s="57">
        <v>279.90000000000009</v>
      </c>
      <c r="N140" s="57">
        <v>832.59999999999991</v>
      </c>
      <c r="O140" s="57">
        <v>857.6</v>
      </c>
      <c r="P140" s="57">
        <v>883.3</v>
      </c>
      <c r="Q140" s="58">
        <v>2.1093941623742785E-2</v>
      </c>
      <c r="R140" s="58">
        <v>3.0026423252462298E-2</v>
      </c>
      <c r="S140" s="58">
        <v>2.9967350746268551E-2</v>
      </c>
      <c r="T140" s="37" t="s">
        <v>105</v>
      </c>
    </row>
    <row r="141" spans="1:20" s="3" customFormat="1" ht="25.15" customHeight="1" x14ac:dyDescent="2.5">
      <c r="A141" s="3">
        <v>46</v>
      </c>
      <c r="C141" s="3">
        <v>2</v>
      </c>
      <c r="E141" s="3">
        <v>162</v>
      </c>
      <c r="G141" s="73" t="s">
        <v>204</v>
      </c>
      <c r="H141" s="73"/>
      <c r="I141" s="73" t="s">
        <v>21</v>
      </c>
      <c r="J141" s="73" t="s">
        <v>21</v>
      </c>
      <c r="K141" s="74">
        <v>883.8</v>
      </c>
      <c r="L141" s="74">
        <v>224.7</v>
      </c>
      <c r="M141" s="74">
        <v>659.09999999999991</v>
      </c>
      <c r="N141" s="74">
        <v>938.90000000000009</v>
      </c>
      <c r="O141" s="74">
        <v>976</v>
      </c>
      <c r="P141" s="74">
        <v>1014.5999999999999</v>
      </c>
      <c r="Q141" s="75">
        <v>6.2344421814890305E-2</v>
      </c>
      <c r="R141" s="75">
        <v>3.9514325274256912E-2</v>
      </c>
      <c r="S141" s="75">
        <v>3.9549180327868694E-2</v>
      </c>
      <c r="T141" s="43"/>
    </row>
    <row r="142" spans="1:20" s="2" customFormat="1" ht="25.15" customHeight="1" x14ac:dyDescent="2.5">
      <c r="A142" s="3">
        <v>46</v>
      </c>
      <c r="C142" s="3">
        <v>2</v>
      </c>
      <c r="D142" s="3"/>
      <c r="E142" s="3"/>
      <c r="F142" s="3">
        <v>1</v>
      </c>
      <c r="G142" s="68" t="s">
        <v>4</v>
      </c>
      <c r="H142" s="68"/>
      <c r="I142" s="68" t="s">
        <v>4</v>
      </c>
      <c r="J142" s="68" t="s">
        <v>4</v>
      </c>
      <c r="K142" s="57">
        <v>407.4</v>
      </c>
      <c r="L142" s="57"/>
      <c r="M142" s="57">
        <v>407.4</v>
      </c>
      <c r="N142" s="57">
        <v>446.1</v>
      </c>
      <c r="O142" s="57">
        <v>468.4</v>
      </c>
      <c r="P142" s="57">
        <v>491.8</v>
      </c>
      <c r="Q142" s="58">
        <v>9.4992636229749738E-2</v>
      </c>
      <c r="R142" s="58">
        <v>4.9988791750728456E-2</v>
      </c>
      <c r="S142" s="58">
        <v>4.9957301451750702E-2</v>
      </c>
      <c r="T142" s="37"/>
    </row>
    <row r="143" spans="1:20" s="2" customFormat="1" ht="25.15" customHeight="1" x14ac:dyDescent="2.5">
      <c r="A143" s="3">
        <v>46</v>
      </c>
      <c r="C143" s="3">
        <v>2</v>
      </c>
      <c r="D143" s="3"/>
      <c r="E143" s="3"/>
      <c r="F143" s="3">
        <v>2</v>
      </c>
      <c r="G143" s="68" t="s">
        <v>5</v>
      </c>
      <c r="H143" s="68"/>
      <c r="I143" s="68" t="s">
        <v>5</v>
      </c>
      <c r="J143" s="68" t="s">
        <v>5</v>
      </c>
      <c r="K143" s="57">
        <v>476.4</v>
      </c>
      <c r="L143" s="57">
        <v>224.7</v>
      </c>
      <c r="M143" s="57">
        <v>251.7</v>
      </c>
      <c r="N143" s="57">
        <v>492.8</v>
      </c>
      <c r="O143" s="57">
        <v>507.6</v>
      </c>
      <c r="P143" s="57">
        <v>522.79999999999995</v>
      </c>
      <c r="Q143" s="58">
        <v>3.4424853064651595E-2</v>
      </c>
      <c r="R143" s="58">
        <v>3.0032467532467466E-2</v>
      </c>
      <c r="S143" s="58">
        <v>2.9944838455476575E-2</v>
      </c>
      <c r="T143" s="37" t="s">
        <v>106</v>
      </c>
    </row>
    <row r="144" spans="1:20" s="3" customFormat="1" ht="25.15" customHeight="1" x14ac:dyDescent="2.5">
      <c r="A144" s="3">
        <v>47</v>
      </c>
      <c r="C144" s="3">
        <v>2</v>
      </c>
      <c r="E144" s="3">
        <v>163</v>
      </c>
      <c r="G144" s="73" t="s">
        <v>205</v>
      </c>
      <c r="H144" s="73"/>
      <c r="I144" s="73" t="s">
        <v>22</v>
      </c>
      <c r="J144" s="73" t="s">
        <v>22</v>
      </c>
      <c r="K144" s="74">
        <v>1212.0999999999999</v>
      </c>
      <c r="L144" s="74">
        <v>139.6</v>
      </c>
      <c r="M144" s="74">
        <v>1072.5</v>
      </c>
      <c r="N144" s="74">
        <v>1288.3</v>
      </c>
      <c r="O144" s="74">
        <v>1338.8000000000002</v>
      </c>
      <c r="P144" s="74">
        <v>1391.5</v>
      </c>
      <c r="Q144" s="75">
        <v>6.2866100156752758E-2</v>
      </c>
      <c r="R144" s="75">
        <v>3.9198944345261388E-2</v>
      </c>
      <c r="S144" s="75">
        <v>3.9363609202270444E-2</v>
      </c>
      <c r="T144" s="43"/>
    </row>
    <row r="145" spans="1:20" s="2" customFormat="1" ht="25.15" customHeight="1" x14ac:dyDescent="2.5">
      <c r="A145" s="3">
        <v>47</v>
      </c>
      <c r="C145" s="3">
        <v>2</v>
      </c>
      <c r="D145" s="3"/>
      <c r="E145" s="3"/>
      <c r="F145" s="3">
        <v>1</v>
      </c>
      <c r="G145" s="68" t="s">
        <v>4</v>
      </c>
      <c r="H145" s="68"/>
      <c r="I145" s="68" t="s">
        <v>4</v>
      </c>
      <c r="J145" s="68" t="s">
        <v>4</v>
      </c>
      <c r="K145" s="57">
        <v>542</v>
      </c>
      <c r="L145" s="57"/>
      <c r="M145" s="57">
        <v>542</v>
      </c>
      <c r="N145" s="57">
        <v>593.5</v>
      </c>
      <c r="O145" s="57">
        <v>623.20000000000005</v>
      </c>
      <c r="P145" s="57">
        <v>654.4</v>
      </c>
      <c r="Q145" s="58">
        <v>9.5018450184501946E-2</v>
      </c>
      <c r="R145" s="58">
        <v>5.0042122999157668E-2</v>
      </c>
      <c r="S145" s="58">
        <v>5.0064184852374627E-2</v>
      </c>
      <c r="T145" s="37"/>
    </row>
    <row r="146" spans="1:20" s="2" customFormat="1" ht="25.15" customHeight="1" x14ac:dyDescent="2.5">
      <c r="A146" s="3">
        <v>47</v>
      </c>
      <c r="C146" s="3">
        <v>2</v>
      </c>
      <c r="D146" s="3"/>
      <c r="E146" s="3"/>
      <c r="F146" s="3">
        <v>2</v>
      </c>
      <c r="G146" s="68" t="s">
        <v>5</v>
      </c>
      <c r="H146" s="68"/>
      <c r="I146" s="68" t="s">
        <v>5</v>
      </c>
      <c r="J146" s="68" t="s">
        <v>5</v>
      </c>
      <c r="K146" s="57">
        <v>670.1</v>
      </c>
      <c r="L146" s="57">
        <v>139.6</v>
      </c>
      <c r="M146" s="57">
        <v>530.5</v>
      </c>
      <c r="N146" s="57">
        <v>694.8</v>
      </c>
      <c r="O146" s="57">
        <v>715.6</v>
      </c>
      <c r="P146" s="57">
        <v>737.1</v>
      </c>
      <c r="Q146" s="58">
        <v>3.6860170123862002E-2</v>
      </c>
      <c r="R146" s="58">
        <v>2.9936672423719113E-2</v>
      </c>
      <c r="S146" s="58">
        <v>3.0044717719396319E-2</v>
      </c>
      <c r="T146" s="37" t="s">
        <v>107</v>
      </c>
    </row>
    <row r="147" spans="1:20" s="3" customFormat="1" ht="25.15" customHeight="1" x14ac:dyDescent="2.5">
      <c r="A147" s="3">
        <v>48</v>
      </c>
      <c r="C147" s="3">
        <v>2</v>
      </c>
      <c r="E147" s="3">
        <v>164</v>
      </c>
      <c r="G147" s="73" t="s">
        <v>206</v>
      </c>
      <c r="H147" s="73"/>
      <c r="I147" s="73" t="s">
        <v>23</v>
      </c>
      <c r="J147" s="73" t="s">
        <v>23</v>
      </c>
      <c r="K147" s="74">
        <v>897.2</v>
      </c>
      <c r="L147" s="74">
        <v>198.4</v>
      </c>
      <c r="M147" s="74">
        <v>698.80000000000007</v>
      </c>
      <c r="N147" s="74">
        <v>956.2</v>
      </c>
      <c r="O147" s="74">
        <v>994.7</v>
      </c>
      <c r="P147" s="74">
        <v>1034.8000000000002</v>
      </c>
      <c r="Q147" s="75">
        <v>6.576014266607233E-2</v>
      </c>
      <c r="R147" s="75">
        <v>4.026354319180081E-2</v>
      </c>
      <c r="S147" s="75">
        <v>4.0313662410777162E-2</v>
      </c>
      <c r="T147" s="43"/>
    </row>
    <row r="148" spans="1:20" s="2" customFormat="1" ht="25.15" customHeight="1" x14ac:dyDescent="2.5">
      <c r="A148" s="3">
        <v>48</v>
      </c>
      <c r="C148" s="3">
        <v>2</v>
      </c>
      <c r="D148" s="3"/>
      <c r="E148" s="3"/>
      <c r="F148" s="3">
        <v>1</v>
      </c>
      <c r="G148" s="68" t="s">
        <v>4</v>
      </c>
      <c r="H148" s="68"/>
      <c r="I148" s="68" t="s">
        <v>4</v>
      </c>
      <c r="J148" s="68" t="s">
        <v>4</v>
      </c>
      <c r="K148" s="57">
        <v>449.1</v>
      </c>
      <c r="L148" s="57"/>
      <c r="M148" s="57">
        <v>449.1</v>
      </c>
      <c r="N148" s="57">
        <v>491.8</v>
      </c>
      <c r="O148" s="57">
        <v>516.4</v>
      </c>
      <c r="P148" s="57">
        <v>542.20000000000005</v>
      </c>
      <c r="Q148" s="58">
        <v>9.5079046982854631E-2</v>
      </c>
      <c r="R148" s="58">
        <v>5.0020333468889788E-2</v>
      </c>
      <c r="S148" s="58">
        <v>4.9961270333075181E-2</v>
      </c>
      <c r="T148" s="37"/>
    </row>
    <row r="149" spans="1:20" s="2" customFormat="1" ht="25.15" customHeight="1" x14ac:dyDescent="2.5">
      <c r="A149" s="3">
        <v>48</v>
      </c>
      <c r="C149" s="3">
        <v>2</v>
      </c>
      <c r="D149" s="3"/>
      <c r="E149" s="3"/>
      <c r="F149" s="3">
        <v>2</v>
      </c>
      <c r="G149" s="68" t="s">
        <v>5</v>
      </c>
      <c r="H149" s="68"/>
      <c r="I149" s="68" t="s">
        <v>5</v>
      </c>
      <c r="J149" s="68" t="s">
        <v>5</v>
      </c>
      <c r="K149" s="57">
        <v>448.1</v>
      </c>
      <c r="L149" s="57">
        <v>198.4</v>
      </c>
      <c r="M149" s="57">
        <v>249.70000000000002</v>
      </c>
      <c r="N149" s="57">
        <v>464.40000000000003</v>
      </c>
      <c r="O149" s="57">
        <v>478.3</v>
      </c>
      <c r="P149" s="57">
        <v>492.6</v>
      </c>
      <c r="Q149" s="58">
        <v>3.6375808971211843E-2</v>
      </c>
      <c r="R149" s="58">
        <v>2.9931093884582261E-2</v>
      </c>
      <c r="S149" s="58">
        <v>2.9897553836504276E-2</v>
      </c>
      <c r="T149" s="37" t="s">
        <v>108</v>
      </c>
    </row>
    <row r="150" spans="1:20" s="3" customFormat="1" ht="25.15" customHeight="1" x14ac:dyDescent="2.5">
      <c r="A150" s="3">
        <v>49</v>
      </c>
      <c r="C150" s="3">
        <v>2</v>
      </c>
      <c r="E150" s="3">
        <v>165</v>
      </c>
      <c r="G150" s="73" t="s">
        <v>207</v>
      </c>
      <c r="H150" s="73"/>
      <c r="I150" s="73" t="s">
        <v>24</v>
      </c>
      <c r="J150" s="73" t="s">
        <v>24</v>
      </c>
      <c r="K150" s="74">
        <v>1000.1999999999999</v>
      </c>
      <c r="L150" s="74">
        <v>390.3</v>
      </c>
      <c r="M150" s="74">
        <v>609.89999999999986</v>
      </c>
      <c r="N150" s="74">
        <v>1048</v>
      </c>
      <c r="O150" s="74">
        <v>1086.4000000000001</v>
      </c>
      <c r="P150" s="74">
        <v>1126.4000000000001</v>
      </c>
      <c r="Q150" s="75">
        <v>4.7790441911617743E-2</v>
      </c>
      <c r="R150" s="75">
        <v>3.6641221374045907E-2</v>
      </c>
      <c r="S150" s="75">
        <v>3.6818851251841034E-2</v>
      </c>
      <c r="T150" s="43"/>
    </row>
    <row r="151" spans="1:20" s="2" customFormat="1" ht="25.15" customHeight="1" x14ac:dyDescent="2.5">
      <c r="A151" s="3">
        <v>49</v>
      </c>
      <c r="C151" s="3">
        <v>2</v>
      </c>
      <c r="D151" s="3"/>
      <c r="E151" s="3"/>
      <c r="F151" s="3">
        <v>1</v>
      </c>
      <c r="G151" s="68" t="s">
        <v>4</v>
      </c>
      <c r="H151" s="68"/>
      <c r="I151" s="68" t="s">
        <v>4</v>
      </c>
      <c r="J151" s="68" t="s">
        <v>4</v>
      </c>
      <c r="K151" s="57">
        <v>319.39999999999998</v>
      </c>
      <c r="L151" s="57"/>
      <c r="M151" s="57">
        <v>319.39999999999998</v>
      </c>
      <c r="N151" s="57">
        <v>349.7</v>
      </c>
      <c r="O151" s="57">
        <v>367.2</v>
      </c>
      <c r="P151" s="57">
        <v>385.6</v>
      </c>
      <c r="Q151" s="58">
        <v>9.4865372573575524E-2</v>
      </c>
      <c r="R151" s="58">
        <v>5.0042893909064912E-2</v>
      </c>
      <c r="S151" s="58">
        <v>5.0108932461873756E-2</v>
      </c>
      <c r="T151" s="37"/>
    </row>
    <row r="152" spans="1:20" s="2" customFormat="1" ht="25.15" customHeight="1" x14ac:dyDescent="2.5">
      <c r="A152" s="3">
        <v>49</v>
      </c>
      <c r="C152" s="3">
        <v>2</v>
      </c>
      <c r="D152" s="3"/>
      <c r="E152" s="3"/>
      <c r="F152" s="3">
        <v>2</v>
      </c>
      <c r="G152" s="68" t="s">
        <v>5</v>
      </c>
      <c r="H152" s="68"/>
      <c r="I152" s="68" t="s">
        <v>5</v>
      </c>
      <c r="J152" s="68" t="s">
        <v>5</v>
      </c>
      <c r="K152" s="57">
        <v>680.8</v>
      </c>
      <c r="L152" s="57">
        <v>390.3</v>
      </c>
      <c r="M152" s="57">
        <v>290.49999999999994</v>
      </c>
      <c r="N152" s="57">
        <v>698.3</v>
      </c>
      <c r="O152" s="57">
        <v>719.2</v>
      </c>
      <c r="P152" s="57">
        <v>740.8</v>
      </c>
      <c r="Q152" s="58">
        <v>2.5705052878965962E-2</v>
      </c>
      <c r="R152" s="58">
        <v>2.9929829586137879E-2</v>
      </c>
      <c r="S152" s="58">
        <v>3.0033370411568283E-2</v>
      </c>
      <c r="T152" s="37" t="s">
        <v>109</v>
      </c>
    </row>
    <row r="153" spans="1:20" s="3" customFormat="1" ht="25.15" customHeight="1" x14ac:dyDescent="2.5">
      <c r="A153" s="3">
        <v>50</v>
      </c>
      <c r="C153" s="3">
        <v>2</v>
      </c>
      <c r="E153" s="3">
        <v>166</v>
      </c>
      <c r="G153" s="73" t="s">
        <v>208</v>
      </c>
      <c r="H153" s="73"/>
      <c r="I153" s="73" t="s">
        <v>25</v>
      </c>
      <c r="J153" s="73" t="s">
        <v>25</v>
      </c>
      <c r="K153" s="74">
        <v>1007.8</v>
      </c>
      <c r="L153" s="74">
        <v>187.3</v>
      </c>
      <c r="M153" s="74">
        <v>820.5</v>
      </c>
      <c r="N153" s="74">
        <v>1075.8</v>
      </c>
      <c r="O153" s="74">
        <v>1119.7</v>
      </c>
      <c r="P153" s="74">
        <v>1165.5</v>
      </c>
      <c r="Q153" s="75">
        <v>6.7473705100218329E-2</v>
      </c>
      <c r="R153" s="75">
        <v>4.0806841420338413E-2</v>
      </c>
      <c r="S153" s="75">
        <v>4.0903813521478982E-2</v>
      </c>
      <c r="T153" s="43"/>
    </row>
    <row r="154" spans="1:20" s="2" customFormat="1" ht="25.15" customHeight="1" x14ac:dyDescent="2.5">
      <c r="A154" s="3">
        <v>50</v>
      </c>
      <c r="C154" s="3">
        <v>2</v>
      </c>
      <c r="D154" s="3"/>
      <c r="E154" s="3"/>
      <c r="F154" s="3">
        <v>1</v>
      </c>
      <c r="G154" s="68" t="s">
        <v>4</v>
      </c>
      <c r="H154" s="68"/>
      <c r="I154" s="68" t="s">
        <v>4</v>
      </c>
      <c r="J154" s="68" t="s">
        <v>4</v>
      </c>
      <c r="K154" s="57">
        <v>532</v>
      </c>
      <c r="L154" s="57"/>
      <c r="M154" s="57">
        <v>532</v>
      </c>
      <c r="N154" s="57">
        <v>582.5</v>
      </c>
      <c r="O154" s="57">
        <v>611.6</v>
      </c>
      <c r="P154" s="57">
        <v>642.20000000000005</v>
      </c>
      <c r="Q154" s="58">
        <v>9.492481203007519E-2</v>
      </c>
      <c r="R154" s="58">
        <v>4.9957081545064508E-2</v>
      </c>
      <c r="S154" s="58">
        <v>5.0032701111837774E-2</v>
      </c>
      <c r="T154" s="37"/>
    </row>
    <row r="155" spans="1:20" s="2" customFormat="1" ht="25.15" customHeight="1" x14ac:dyDescent="2.5">
      <c r="A155" s="3">
        <v>50</v>
      </c>
      <c r="C155" s="3">
        <v>2</v>
      </c>
      <c r="D155" s="3"/>
      <c r="E155" s="3"/>
      <c r="F155" s="3">
        <v>2</v>
      </c>
      <c r="G155" s="68" t="s">
        <v>5</v>
      </c>
      <c r="H155" s="68"/>
      <c r="I155" s="68" t="s">
        <v>5</v>
      </c>
      <c r="J155" s="68" t="s">
        <v>5</v>
      </c>
      <c r="K155" s="57">
        <v>475.8</v>
      </c>
      <c r="L155" s="57">
        <v>187.3</v>
      </c>
      <c r="M155" s="57">
        <v>288.5</v>
      </c>
      <c r="N155" s="57">
        <v>493.3</v>
      </c>
      <c r="O155" s="57">
        <v>508.1</v>
      </c>
      <c r="P155" s="57">
        <v>523.29999999999995</v>
      </c>
      <c r="Q155" s="58">
        <v>3.6780159730979367E-2</v>
      </c>
      <c r="R155" s="58">
        <v>3.000202716399758E-2</v>
      </c>
      <c r="S155" s="58">
        <v>2.9915370989962442E-2</v>
      </c>
      <c r="T155" s="37" t="s">
        <v>110</v>
      </c>
    </row>
    <row r="156" spans="1:20" s="3" customFormat="1" ht="25.15" customHeight="1" x14ac:dyDescent="2.5">
      <c r="A156" s="3">
        <v>51</v>
      </c>
      <c r="C156" s="3">
        <v>2</v>
      </c>
      <c r="E156" s="3">
        <v>167</v>
      </c>
      <c r="G156" s="73" t="s">
        <v>209</v>
      </c>
      <c r="H156" s="73"/>
      <c r="I156" s="73" t="s">
        <v>26</v>
      </c>
      <c r="J156" s="73" t="s">
        <v>26</v>
      </c>
      <c r="K156" s="74">
        <v>1434.6</v>
      </c>
      <c r="L156" s="74">
        <v>399.4</v>
      </c>
      <c r="M156" s="74">
        <v>1035.2</v>
      </c>
      <c r="N156" s="74">
        <v>1513.5</v>
      </c>
      <c r="O156" s="74">
        <v>1572.1</v>
      </c>
      <c r="P156" s="74">
        <v>1633</v>
      </c>
      <c r="Q156" s="75">
        <v>5.4997908824759634E-2</v>
      </c>
      <c r="R156" s="75">
        <v>3.8718202841096838E-2</v>
      </c>
      <c r="S156" s="75">
        <v>3.8737993766299939E-2</v>
      </c>
      <c r="T156" s="43"/>
    </row>
    <row r="157" spans="1:20" s="2" customFormat="1" ht="25.15" customHeight="1" x14ac:dyDescent="2.5">
      <c r="A157" s="3">
        <v>51</v>
      </c>
      <c r="C157" s="3">
        <v>2</v>
      </c>
      <c r="D157" s="3"/>
      <c r="E157" s="3"/>
      <c r="F157" s="3">
        <v>1</v>
      </c>
      <c r="G157" s="68" t="s">
        <v>4</v>
      </c>
      <c r="H157" s="68"/>
      <c r="I157" s="68" t="s">
        <v>4</v>
      </c>
      <c r="J157" s="68" t="s">
        <v>4</v>
      </c>
      <c r="K157" s="57">
        <v>600.79999999999995</v>
      </c>
      <c r="L157" s="57"/>
      <c r="M157" s="57">
        <v>600.79999999999995</v>
      </c>
      <c r="N157" s="57">
        <v>657.9</v>
      </c>
      <c r="O157" s="57">
        <v>690.8</v>
      </c>
      <c r="P157" s="57">
        <v>725.3</v>
      </c>
      <c r="Q157" s="58">
        <v>9.5039946737683234E-2</v>
      </c>
      <c r="R157" s="58">
        <v>5.0007599939200453E-2</v>
      </c>
      <c r="S157" s="58">
        <v>4.9942096120439983E-2</v>
      </c>
      <c r="T157" s="37"/>
    </row>
    <row r="158" spans="1:20" s="2" customFormat="1" ht="25.15" customHeight="1" x14ac:dyDescent="2.5">
      <c r="A158" s="3">
        <v>51</v>
      </c>
      <c r="C158" s="3">
        <v>2</v>
      </c>
      <c r="D158" s="3"/>
      <c r="E158" s="3"/>
      <c r="F158" s="3">
        <v>2</v>
      </c>
      <c r="G158" s="68" t="s">
        <v>5</v>
      </c>
      <c r="H158" s="68"/>
      <c r="I158" s="68" t="s">
        <v>5</v>
      </c>
      <c r="J158" s="68" t="s">
        <v>5</v>
      </c>
      <c r="K158" s="57">
        <v>833.80000000000007</v>
      </c>
      <c r="L158" s="57">
        <v>399.4</v>
      </c>
      <c r="M158" s="57">
        <v>434.40000000000009</v>
      </c>
      <c r="N158" s="57">
        <v>855.59999999999991</v>
      </c>
      <c r="O158" s="57">
        <v>881.3</v>
      </c>
      <c r="P158" s="57">
        <v>907.7</v>
      </c>
      <c r="Q158" s="58">
        <v>2.614535859918421E-2</v>
      </c>
      <c r="R158" s="58">
        <v>3.0037400654511437E-2</v>
      </c>
      <c r="S158" s="58">
        <v>2.9955747191648729E-2</v>
      </c>
      <c r="T158" s="37" t="s">
        <v>111</v>
      </c>
    </row>
    <row r="159" spans="1:20" s="3" customFormat="1" ht="25.15" customHeight="1" x14ac:dyDescent="2.5">
      <c r="A159" s="3">
        <v>52</v>
      </c>
      <c r="C159" s="3">
        <v>2</v>
      </c>
      <c r="E159" s="3">
        <v>168</v>
      </c>
      <c r="G159" s="73" t="s">
        <v>210</v>
      </c>
      <c r="H159" s="73"/>
      <c r="I159" s="73" t="s">
        <v>27</v>
      </c>
      <c r="J159" s="73" t="s">
        <v>27</v>
      </c>
      <c r="K159" s="74">
        <v>701.4</v>
      </c>
      <c r="L159" s="74">
        <v>225</v>
      </c>
      <c r="M159" s="74">
        <v>476.4</v>
      </c>
      <c r="N159" s="74">
        <v>742.2</v>
      </c>
      <c r="O159" s="74">
        <v>770.4</v>
      </c>
      <c r="P159" s="74">
        <v>799.8</v>
      </c>
      <c r="Q159" s="75">
        <v>5.8169375534645074E-2</v>
      </c>
      <c r="R159" s="75">
        <v>3.7995149555375862E-2</v>
      </c>
      <c r="S159" s="75">
        <v>3.8161993769470381E-2</v>
      </c>
      <c r="T159" s="43"/>
    </row>
    <row r="160" spans="1:20" s="2" customFormat="1" ht="25.15" customHeight="1" x14ac:dyDescent="2.5">
      <c r="A160" s="3">
        <v>52</v>
      </c>
      <c r="C160" s="3">
        <v>2</v>
      </c>
      <c r="D160" s="3"/>
      <c r="E160" s="3"/>
      <c r="F160" s="3">
        <v>1</v>
      </c>
      <c r="G160" s="68" t="s">
        <v>4</v>
      </c>
      <c r="H160" s="68"/>
      <c r="I160" s="68" t="s">
        <v>4</v>
      </c>
      <c r="J160" s="68" t="s">
        <v>4</v>
      </c>
      <c r="K160" s="57">
        <v>272.89999999999998</v>
      </c>
      <c r="L160" s="57"/>
      <c r="M160" s="57">
        <v>272.89999999999998</v>
      </c>
      <c r="N160" s="57">
        <v>298.8</v>
      </c>
      <c r="O160" s="57">
        <v>313.7</v>
      </c>
      <c r="P160" s="57">
        <v>329.4</v>
      </c>
      <c r="Q160" s="58">
        <v>9.4906559179186667E-2</v>
      </c>
      <c r="R160" s="58">
        <v>4.986613119143235E-2</v>
      </c>
      <c r="S160" s="58">
        <v>5.0047816385081267E-2</v>
      </c>
      <c r="T160" s="37"/>
    </row>
    <row r="161" spans="1:20" s="2" customFormat="1" ht="25.15" customHeight="1" x14ac:dyDescent="2.5">
      <c r="A161" s="3">
        <v>52</v>
      </c>
      <c r="C161" s="3">
        <v>2</v>
      </c>
      <c r="D161" s="3"/>
      <c r="E161" s="3"/>
      <c r="F161" s="3">
        <v>2</v>
      </c>
      <c r="G161" s="68" t="s">
        <v>5</v>
      </c>
      <c r="H161" s="68"/>
      <c r="I161" s="68" t="s">
        <v>5</v>
      </c>
      <c r="J161" s="68" t="s">
        <v>5</v>
      </c>
      <c r="K161" s="57">
        <v>428.5</v>
      </c>
      <c r="L161" s="57">
        <v>225</v>
      </c>
      <c r="M161" s="57">
        <v>203.5</v>
      </c>
      <c r="N161" s="57">
        <v>443.40000000000003</v>
      </c>
      <c r="O161" s="57">
        <v>456.7</v>
      </c>
      <c r="P161" s="57">
        <v>470.4</v>
      </c>
      <c r="Q161" s="58">
        <v>3.47724620770129E-2</v>
      </c>
      <c r="R161" s="58">
        <v>2.9995489400090003E-2</v>
      </c>
      <c r="S161" s="58">
        <v>2.9997810378804335E-2</v>
      </c>
      <c r="T161" s="37" t="s">
        <v>112</v>
      </c>
    </row>
    <row r="162" spans="1:20" s="3" customFormat="1" ht="25.15" customHeight="1" x14ac:dyDescent="2.5">
      <c r="A162" s="3">
        <v>53</v>
      </c>
      <c r="C162" s="3">
        <v>2</v>
      </c>
      <c r="E162" s="3">
        <v>169</v>
      </c>
      <c r="G162" s="73" t="s">
        <v>211</v>
      </c>
      <c r="H162" s="73"/>
      <c r="I162" s="73" t="s">
        <v>28</v>
      </c>
      <c r="J162" s="73" t="s">
        <v>28</v>
      </c>
      <c r="K162" s="74">
        <v>904.7</v>
      </c>
      <c r="L162" s="74">
        <v>336.5</v>
      </c>
      <c r="M162" s="74">
        <v>568.20000000000005</v>
      </c>
      <c r="N162" s="74">
        <v>952.9</v>
      </c>
      <c r="O162" s="74">
        <v>989</v>
      </c>
      <c r="P162" s="74">
        <v>1026.5</v>
      </c>
      <c r="Q162" s="75">
        <v>5.327732950149211E-2</v>
      </c>
      <c r="R162" s="75">
        <v>3.7884353027600071E-2</v>
      </c>
      <c r="S162" s="75">
        <v>3.7917087967644036E-2</v>
      </c>
      <c r="T162" s="43"/>
    </row>
    <row r="163" spans="1:20" s="2" customFormat="1" ht="25.15" customHeight="1" x14ac:dyDescent="2.5">
      <c r="A163" s="3">
        <v>53</v>
      </c>
      <c r="C163" s="3">
        <v>2</v>
      </c>
      <c r="D163" s="3"/>
      <c r="E163" s="3"/>
      <c r="F163" s="3">
        <v>1</v>
      </c>
      <c r="G163" s="68" t="s">
        <v>4</v>
      </c>
      <c r="H163" s="68"/>
      <c r="I163" s="68" t="s">
        <v>4</v>
      </c>
      <c r="J163" s="68" t="s">
        <v>4</v>
      </c>
      <c r="K163" s="57">
        <v>342.9</v>
      </c>
      <c r="L163" s="57"/>
      <c r="M163" s="57">
        <v>342.9</v>
      </c>
      <c r="N163" s="57">
        <v>375.5</v>
      </c>
      <c r="O163" s="57">
        <v>394.3</v>
      </c>
      <c r="P163" s="57">
        <v>414</v>
      </c>
      <c r="Q163" s="58">
        <v>9.5071449402158059E-2</v>
      </c>
      <c r="R163" s="58">
        <v>5.0066577896138442E-2</v>
      </c>
      <c r="S163" s="58">
        <v>4.9961957900076071E-2</v>
      </c>
      <c r="T163" s="37"/>
    </row>
    <row r="164" spans="1:20" s="2" customFormat="1" ht="25.15" customHeight="1" x14ac:dyDescent="2.5">
      <c r="A164" s="3">
        <v>53</v>
      </c>
      <c r="C164" s="3">
        <v>2</v>
      </c>
      <c r="D164" s="3"/>
      <c r="E164" s="3"/>
      <c r="F164" s="3">
        <v>2</v>
      </c>
      <c r="G164" s="68" t="s">
        <v>5</v>
      </c>
      <c r="H164" s="68"/>
      <c r="I164" s="68" t="s">
        <v>5</v>
      </c>
      <c r="J164" s="68" t="s">
        <v>5</v>
      </c>
      <c r="K164" s="57">
        <v>561.80000000000007</v>
      </c>
      <c r="L164" s="57">
        <v>336.5</v>
      </c>
      <c r="M164" s="57">
        <v>225.30000000000007</v>
      </c>
      <c r="N164" s="57">
        <v>577.4</v>
      </c>
      <c r="O164" s="57">
        <v>594.70000000000005</v>
      </c>
      <c r="P164" s="57">
        <v>612.5</v>
      </c>
      <c r="Q164" s="58">
        <v>2.7767888928444062E-2</v>
      </c>
      <c r="R164" s="58">
        <v>2.9961898164184486E-2</v>
      </c>
      <c r="S164" s="58">
        <v>2.9931057676139128E-2</v>
      </c>
      <c r="T164" s="37" t="s">
        <v>113</v>
      </c>
    </row>
    <row r="165" spans="1:20" s="3" customFormat="1" ht="25.15" customHeight="1" x14ac:dyDescent="2.5">
      <c r="A165" s="3">
        <v>54</v>
      </c>
      <c r="C165" s="3">
        <v>2</v>
      </c>
      <c r="E165" s="3">
        <v>170</v>
      </c>
      <c r="G165" s="73" t="s">
        <v>212</v>
      </c>
      <c r="H165" s="73"/>
      <c r="I165" s="73" t="s">
        <v>29</v>
      </c>
      <c r="J165" s="73" t="s">
        <v>29</v>
      </c>
      <c r="K165" s="74">
        <v>934</v>
      </c>
      <c r="L165" s="74">
        <v>219.6</v>
      </c>
      <c r="M165" s="74">
        <v>714.4</v>
      </c>
      <c r="N165" s="74">
        <v>991.69999999999993</v>
      </c>
      <c r="O165" s="74">
        <v>1030.7</v>
      </c>
      <c r="P165" s="74">
        <v>1071.3000000000002</v>
      </c>
      <c r="Q165" s="75">
        <v>6.1777301927194772E-2</v>
      </c>
      <c r="R165" s="75">
        <v>3.9326409196329681E-2</v>
      </c>
      <c r="S165" s="75">
        <v>3.9390705345881516E-2</v>
      </c>
      <c r="T165" s="43"/>
    </row>
    <row r="166" spans="1:20" s="2" customFormat="1" ht="25.15" customHeight="1" x14ac:dyDescent="2.5">
      <c r="A166" s="3">
        <v>54</v>
      </c>
      <c r="C166" s="3">
        <v>2</v>
      </c>
      <c r="D166" s="3"/>
      <c r="E166" s="3"/>
      <c r="F166" s="3">
        <v>1</v>
      </c>
      <c r="G166" s="68" t="s">
        <v>4</v>
      </c>
      <c r="H166" s="68"/>
      <c r="I166" s="68" t="s">
        <v>4</v>
      </c>
      <c r="J166" s="68" t="s">
        <v>4</v>
      </c>
      <c r="K166" s="57">
        <v>423.4</v>
      </c>
      <c r="L166" s="57"/>
      <c r="M166" s="57">
        <v>423.4</v>
      </c>
      <c r="N166" s="57">
        <v>463.6</v>
      </c>
      <c r="O166" s="57">
        <v>486.8</v>
      </c>
      <c r="P166" s="57">
        <v>511.1</v>
      </c>
      <c r="Q166" s="58">
        <v>9.4945677846008714E-2</v>
      </c>
      <c r="R166" s="58">
        <v>5.0043140638481365E-2</v>
      </c>
      <c r="S166" s="58">
        <v>4.9917830731306623E-2</v>
      </c>
      <c r="T166" s="37"/>
    </row>
    <row r="167" spans="1:20" s="2" customFormat="1" ht="25.15" customHeight="1" x14ac:dyDescent="2.5">
      <c r="A167" s="3">
        <v>54</v>
      </c>
      <c r="C167" s="3">
        <v>2</v>
      </c>
      <c r="D167" s="3"/>
      <c r="E167" s="3"/>
      <c r="F167" s="3">
        <v>2</v>
      </c>
      <c r="G167" s="68" t="s">
        <v>5</v>
      </c>
      <c r="H167" s="68"/>
      <c r="I167" s="68" t="s">
        <v>5</v>
      </c>
      <c r="J167" s="68" t="s">
        <v>5</v>
      </c>
      <c r="K167" s="57">
        <v>510.59999999999997</v>
      </c>
      <c r="L167" s="57">
        <v>219.6</v>
      </c>
      <c r="M167" s="57">
        <v>291</v>
      </c>
      <c r="N167" s="57">
        <v>528.09999999999991</v>
      </c>
      <c r="O167" s="57">
        <v>543.9</v>
      </c>
      <c r="P167" s="57">
        <v>560.20000000000005</v>
      </c>
      <c r="Q167" s="58">
        <v>3.4273403838621208E-2</v>
      </c>
      <c r="R167" s="58">
        <v>2.9918576027267774E-2</v>
      </c>
      <c r="S167" s="58">
        <v>2.9968744254458723E-2</v>
      </c>
      <c r="T167" s="37" t="s">
        <v>114</v>
      </c>
    </row>
    <row r="168" spans="1:20" s="3" customFormat="1" ht="25.15" customHeight="1" x14ac:dyDescent="2.5">
      <c r="A168" s="3">
        <v>55</v>
      </c>
      <c r="C168" s="3">
        <v>2</v>
      </c>
      <c r="E168" s="3">
        <v>171</v>
      </c>
      <c r="G168" s="73" t="s">
        <v>213</v>
      </c>
      <c r="H168" s="73"/>
      <c r="I168" s="73" t="s">
        <v>30</v>
      </c>
      <c r="J168" s="73" t="s">
        <v>30</v>
      </c>
      <c r="K168" s="74">
        <v>805.90000000000009</v>
      </c>
      <c r="L168" s="74">
        <v>99.5</v>
      </c>
      <c r="M168" s="74">
        <v>706.40000000000009</v>
      </c>
      <c r="N168" s="74">
        <v>862.2</v>
      </c>
      <c r="O168" s="74">
        <v>896.9</v>
      </c>
      <c r="P168" s="74">
        <v>933.1</v>
      </c>
      <c r="Q168" s="75">
        <v>6.9859784092319188E-2</v>
      </c>
      <c r="R168" s="75">
        <v>4.0245882625840723E-2</v>
      </c>
      <c r="S168" s="75">
        <v>4.0361244285873621E-2</v>
      </c>
      <c r="T168" s="43"/>
    </row>
    <row r="169" spans="1:20" s="2" customFormat="1" ht="25.15" customHeight="1" x14ac:dyDescent="2.5">
      <c r="A169" s="3">
        <v>55</v>
      </c>
      <c r="C169" s="3">
        <v>2</v>
      </c>
      <c r="D169" s="3"/>
      <c r="E169" s="3"/>
      <c r="F169" s="3">
        <v>1</v>
      </c>
      <c r="G169" s="68" t="s">
        <v>4</v>
      </c>
      <c r="H169" s="68"/>
      <c r="I169" s="68" t="s">
        <v>4</v>
      </c>
      <c r="J169" s="68" t="s">
        <v>4</v>
      </c>
      <c r="K169" s="57">
        <v>405.5</v>
      </c>
      <c r="L169" s="57"/>
      <c r="M169" s="57">
        <v>405.5</v>
      </c>
      <c r="N169" s="57">
        <v>444</v>
      </c>
      <c r="O169" s="57">
        <v>466.2</v>
      </c>
      <c r="P169" s="57">
        <v>489.5</v>
      </c>
      <c r="Q169" s="58">
        <v>9.4944512946979032E-2</v>
      </c>
      <c r="R169" s="58">
        <v>5.0000000000000044E-2</v>
      </c>
      <c r="S169" s="58">
        <v>4.9978549978550113E-2</v>
      </c>
      <c r="T169" s="37"/>
    </row>
    <row r="170" spans="1:20" s="2" customFormat="1" ht="25.15" customHeight="1" thickBot="1" x14ac:dyDescent="2.65">
      <c r="A170" s="3">
        <v>55</v>
      </c>
      <c r="C170" s="3">
        <v>2</v>
      </c>
      <c r="D170" s="3"/>
      <c r="E170" s="3"/>
      <c r="F170" s="3">
        <v>2</v>
      </c>
      <c r="G170" s="80" t="s">
        <v>5</v>
      </c>
      <c r="H170" s="80"/>
      <c r="I170" s="80" t="s">
        <v>5</v>
      </c>
      <c r="J170" s="80" t="s">
        <v>5</v>
      </c>
      <c r="K170" s="76">
        <v>400.40000000000003</v>
      </c>
      <c r="L170" s="76">
        <v>99.5</v>
      </c>
      <c r="M170" s="76">
        <v>300.90000000000003</v>
      </c>
      <c r="N170" s="76">
        <v>418.2</v>
      </c>
      <c r="O170" s="76">
        <v>430.7</v>
      </c>
      <c r="P170" s="76">
        <v>443.6</v>
      </c>
      <c r="Q170" s="77">
        <v>4.4455544455544338E-2</v>
      </c>
      <c r="R170" s="77">
        <v>2.989000478240067E-2</v>
      </c>
      <c r="S170" s="77">
        <v>2.9951242163919201E-2</v>
      </c>
      <c r="T170" s="44" t="s">
        <v>115</v>
      </c>
    </row>
  </sheetData>
  <autoFilter ref="A1:T170" xr:uid="{4FF4C96A-7129-4907-82F6-19B807B63898}"/>
  <printOptions horizontalCentered="1"/>
  <pageMargins left="0.39370078740157483" right="0.39370078740157483" top="0.39370078740157483" bottom="0.39370078740157483" header="0.31496062992125984" footer="0.19685039370078741"/>
  <pageSetup paperSize="9" scale="74" fitToHeight="0" orientation="portrait" r:id="rId1"/>
  <headerFooter>
    <oddFooter>&amp;C&amp;"Khmer MEF1,Regular"&amp;9ទំព័រ&amp;"-,Regular"&amp;11 &amp;"Limon S1,Normal"&amp;18&amp;P&amp;"-,Regular"&amp;11 &amp;"Khmer MEF1,Regular"&amp;9នៃ&amp;"-,Regular"&amp;11 &amp;"Limon S1,Normal"&amp;18&amp;N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BD23-CD51-4C55-9B1B-9F24B2E1FB84}">
  <dimension ref="A1:D3"/>
  <sheetViews>
    <sheetView workbookViewId="0">
      <selection activeCell="A3" sqref="A1:XFD3"/>
    </sheetView>
  </sheetViews>
  <sheetFormatPr defaultRowHeight="14.75" x14ac:dyDescent="0.75"/>
  <cols>
    <col min="2" max="2" width="34.40625" customWidth="1"/>
    <col min="3" max="3" width="36.453125" customWidth="1"/>
    <col min="4" max="4" width="12.76953125" customWidth="1"/>
  </cols>
  <sheetData>
    <row r="1" spans="1:4" s="2" customFormat="1" ht="27.5" x14ac:dyDescent="2.5">
      <c r="A1" s="2" t="s">
        <v>139</v>
      </c>
      <c r="B1" s="2" t="s">
        <v>164</v>
      </c>
      <c r="C1" s="2" t="s">
        <v>165</v>
      </c>
      <c r="D1" s="2" t="s">
        <v>166</v>
      </c>
    </row>
    <row r="2" spans="1:4" s="2" customFormat="1" ht="27.5" x14ac:dyDescent="2.5">
      <c r="A2" s="2">
        <v>1</v>
      </c>
      <c r="B2" s="120" t="s">
        <v>3</v>
      </c>
      <c r="C2" s="120" t="s">
        <v>3</v>
      </c>
      <c r="D2" s="2">
        <v>1</v>
      </c>
    </row>
    <row r="3" spans="1:4" s="2" customFormat="1" ht="27.5" x14ac:dyDescent="2.5">
      <c r="A3" s="2">
        <v>2</v>
      </c>
      <c r="B3" s="120" t="s">
        <v>74</v>
      </c>
      <c r="C3" s="120" t="s">
        <v>74</v>
      </c>
      <c r="D3" s="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97A6-CA99-415D-B273-C366180139D2}">
  <dimension ref="A1:D3"/>
  <sheetViews>
    <sheetView workbookViewId="0">
      <selection activeCell="D12" sqref="A1:XFD1048576"/>
    </sheetView>
  </sheetViews>
  <sheetFormatPr defaultRowHeight="27.5" x14ac:dyDescent="2.5"/>
  <cols>
    <col min="1" max="1" width="8.7265625" style="2"/>
    <col min="2" max="2" width="20.81640625" style="2" customWidth="1"/>
    <col min="3" max="3" width="22.6328125" style="2" customWidth="1"/>
    <col min="4" max="4" width="12.76953125" style="2" customWidth="1"/>
    <col min="5" max="16384" width="8.7265625" style="2"/>
  </cols>
  <sheetData>
    <row r="1" spans="1:4" x14ac:dyDescent="2.5">
      <c r="A1" s="2" t="s">
        <v>139</v>
      </c>
      <c r="B1" s="2" t="s">
        <v>164</v>
      </c>
      <c r="C1" s="2" t="s">
        <v>165</v>
      </c>
      <c r="D1" s="2" t="s">
        <v>166</v>
      </c>
    </row>
    <row r="2" spans="1:4" x14ac:dyDescent="2.5">
      <c r="A2" s="2">
        <v>1</v>
      </c>
      <c r="B2" s="120" t="s">
        <v>4</v>
      </c>
      <c r="C2" s="120" t="s">
        <v>4</v>
      </c>
      <c r="D2" s="2">
        <v>1</v>
      </c>
    </row>
    <row r="3" spans="1:4" x14ac:dyDescent="2.5">
      <c r="A3" s="2">
        <v>2</v>
      </c>
      <c r="B3" s="120" t="s">
        <v>5</v>
      </c>
      <c r="C3" s="120" t="s">
        <v>5</v>
      </c>
      <c r="D3" s="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EB7D-0FAA-44F0-B104-C505FCD69A79}">
  <sheetPr>
    <pageSetUpPr fitToPage="1"/>
  </sheetPr>
  <dimension ref="A1:U170"/>
  <sheetViews>
    <sheetView zoomScale="85" zoomScaleNormal="85" workbookViewId="0">
      <selection activeCell="D5" sqref="D5"/>
    </sheetView>
  </sheetViews>
  <sheetFormatPr defaultRowHeight="14.75" x14ac:dyDescent="0.75"/>
  <cols>
    <col min="2" max="2" width="8.7265625" customWidth="1"/>
    <col min="3" max="3" width="18.58984375" customWidth="1"/>
    <col min="4" max="4" width="17.953125" customWidth="1"/>
    <col min="5" max="6" width="17.2265625" customWidth="1"/>
    <col min="7" max="7" width="15.1328125" customWidth="1"/>
    <col min="8" max="8" width="55.26953125" customWidth="1"/>
    <col min="9" max="9" width="27.90625" customWidth="1"/>
    <col min="10" max="11" width="78.54296875" customWidth="1"/>
    <col min="12" max="12" width="14.40625" customWidth="1"/>
    <col min="13" max="13" width="14.5" customWidth="1"/>
    <col min="14" max="14" width="17.453125" customWidth="1"/>
    <col min="15" max="15" width="16.6796875" customWidth="1"/>
    <col min="16" max="16" width="17.58984375" customWidth="1"/>
    <col min="17" max="17" width="17.81640625" customWidth="1"/>
    <col min="18" max="18" width="19.26953125" customWidth="1"/>
    <col min="19" max="19" width="19.453125" customWidth="1"/>
    <col min="20" max="20" width="19.76953125" customWidth="1"/>
    <col min="21" max="21" width="55" bestFit="1" customWidth="1"/>
  </cols>
  <sheetData>
    <row r="1" spans="1:21" x14ac:dyDescent="0.75">
      <c r="A1" t="s">
        <v>139</v>
      </c>
      <c r="B1" t="s">
        <v>246</v>
      </c>
      <c r="C1" t="s">
        <v>214</v>
      </c>
      <c r="D1" t="s">
        <v>143</v>
      </c>
      <c r="E1" t="s">
        <v>163</v>
      </c>
      <c r="F1" t="s">
        <v>140</v>
      </c>
      <c r="G1" t="s">
        <v>144</v>
      </c>
      <c r="H1" t="s">
        <v>155</v>
      </c>
      <c r="I1" t="s">
        <v>215</v>
      </c>
      <c r="J1" t="s">
        <v>145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142</v>
      </c>
    </row>
    <row r="2" spans="1:21" ht="27.5" x14ac:dyDescent="0.75">
      <c r="H2" s="52" t="s">
        <v>3</v>
      </c>
      <c r="I2" s="119"/>
      <c r="J2" s="53"/>
      <c r="K2" s="53"/>
      <c r="L2" s="53">
        <f>L3+L4</f>
        <v>3287.8</v>
      </c>
      <c r="M2" s="53">
        <f>M3+M4</f>
        <v>0</v>
      </c>
      <c r="N2" s="53">
        <f>N3+N4</f>
        <v>3287.8</v>
      </c>
      <c r="O2" s="53">
        <f t="shared" ref="O2:Q2" si="0">O3+O4</f>
        <v>3687.8</v>
      </c>
      <c r="P2" s="53">
        <f t="shared" si="0"/>
        <v>3824.6000000000004</v>
      </c>
      <c r="Q2" s="53">
        <f t="shared" si="0"/>
        <v>3967.8</v>
      </c>
      <c r="R2" s="54">
        <f t="shared" ref="R2" si="1">IFERROR(O2/L2-1,"-")</f>
        <v>0.12166190157552159</v>
      </c>
      <c r="S2" s="54">
        <f t="shared" ref="S2:T2" si="2">IFERROR(P2/O2-1,"-")</f>
        <v>3.7095287163078305E-2</v>
      </c>
      <c r="T2" s="54">
        <f t="shared" si="2"/>
        <v>3.7441823981592792E-2</v>
      </c>
    </row>
    <row r="3" spans="1:21" s="3" customFormat="1" ht="25.15" customHeight="1" x14ac:dyDescent="2.5">
      <c r="A3" s="3">
        <v>1</v>
      </c>
      <c r="C3" s="3">
        <v>1</v>
      </c>
      <c r="D3" s="3">
        <v>1</v>
      </c>
      <c r="E3" s="3">
        <v>1</v>
      </c>
      <c r="H3" s="84" t="s">
        <v>167</v>
      </c>
      <c r="I3" s="84" t="str">
        <f>LEFT(J3, FIND(" ", J3)-1)</f>
        <v>អនុកម្មវិធីទី១.១</v>
      </c>
      <c r="J3" s="84" t="s">
        <v>216</v>
      </c>
      <c r="K3" s="84" t="s">
        <v>46</v>
      </c>
      <c r="L3" s="85">
        <v>2069.4</v>
      </c>
      <c r="M3" s="85">
        <v>0</v>
      </c>
      <c r="N3" s="85">
        <v>2069.4</v>
      </c>
      <c r="O3" s="85">
        <v>2469.4</v>
      </c>
      <c r="P3" s="85">
        <v>2545.3000000000002</v>
      </c>
      <c r="Q3" s="85">
        <v>2624.5</v>
      </c>
      <c r="R3" s="86">
        <v>0.19329274185754319</v>
      </c>
      <c r="S3" s="86">
        <v>3.0736211225398824E-2</v>
      </c>
      <c r="T3" s="86">
        <v>3.1116174910619465E-2</v>
      </c>
      <c r="U3" s="87"/>
    </row>
    <row r="4" spans="1:21" s="2" customFormat="1" ht="25.15" customHeight="1" x14ac:dyDescent="2.5">
      <c r="A4" s="3">
        <v>1</v>
      </c>
      <c r="C4" s="3">
        <v>1</v>
      </c>
      <c r="F4" s="2">
        <v>1</v>
      </c>
      <c r="H4" s="68" t="s">
        <v>4</v>
      </c>
      <c r="I4" s="68"/>
      <c r="J4" s="68" t="s">
        <v>4</v>
      </c>
      <c r="K4" s="68" t="s">
        <v>4</v>
      </c>
      <c r="L4" s="57">
        <v>1218.4000000000001</v>
      </c>
      <c r="M4" s="57"/>
      <c r="N4" s="57">
        <v>1218.4000000000001</v>
      </c>
      <c r="O4" s="57">
        <v>1218.4000000000001</v>
      </c>
      <c r="P4" s="57">
        <v>1279.3</v>
      </c>
      <c r="Q4" s="57">
        <v>1343.3</v>
      </c>
      <c r="R4" s="58">
        <v>0</v>
      </c>
      <c r="S4" s="58">
        <v>4.9983585029546918E-2</v>
      </c>
      <c r="T4" s="58">
        <v>5.0027358711795422E-2</v>
      </c>
      <c r="U4" s="37"/>
    </row>
    <row r="5" spans="1:21" s="2" customFormat="1" ht="25.15" customHeight="1" x14ac:dyDescent="2.5">
      <c r="A5" s="3">
        <v>1</v>
      </c>
      <c r="C5" s="3">
        <v>1</v>
      </c>
      <c r="F5" s="2">
        <v>2</v>
      </c>
      <c r="H5" s="68" t="s">
        <v>5</v>
      </c>
      <c r="I5" s="68"/>
      <c r="J5" s="68" t="s">
        <v>5</v>
      </c>
      <c r="K5" s="68" t="s">
        <v>5</v>
      </c>
      <c r="L5" s="57">
        <v>851</v>
      </c>
      <c r="M5" s="57"/>
      <c r="N5" s="57">
        <v>851</v>
      </c>
      <c r="O5" s="57">
        <v>1251</v>
      </c>
      <c r="P5" s="57">
        <v>1266</v>
      </c>
      <c r="Q5" s="57">
        <v>1281.2</v>
      </c>
      <c r="R5" s="58">
        <v>0.47003525264394819</v>
      </c>
      <c r="S5" s="58">
        <v>1.1990407673860837E-2</v>
      </c>
      <c r="T5" s="58">
        <v>1.2006319115323905E-2</v>
      </c>
      <c r="U5" s="37" t="s">
        <v>132</v>
      </c>
    </row>
    <row r="6" spans="1:21" s="3" customFormat="1" ht="25.15" customHeight="1" x14ac:dyDescent="2.5">
      <c r="A6" s="3">
        <v>2</v>
      </c>
      <c r="C6" s="3">
        <v>1</v>
      </c>
      <c r="D6" s="3">
        <v>2</v>
      </c>
      <c r="E6" s="3">
        <v>19</v>
      </c>
      <c r="H6" s="84" t="s">
        <v>168</v>
      </c>
      <c r="I6" s="84" t="str">
        <f>LEFT(J6, FIND(" ", J6)-1)</f>
        <v>អនុកម្មវិធីទី១.២</v>
      </c>
      <c r="J6" s="84" t="s">
        <v>217</v>
      </c>
      <c r="K6" s="84" t="s">
        <v>47</v>
      </c>
      <c r="L6" s="85">
        <v>647</v>
      </c>
      <c r="M6" s="85">
        <v>0</v>
      </c>
      <c r="N6" s="85">
        <v>647</v>
      </c>
      <c r="O6" s="85">
        <v>647</v>
      </c>
      <c r="P6" s="85">
        <v>654.79999999999995</v>
      </c>
      <c r="Q6" s="85">
        <v>662.7</v>
      </c>
      <c r="R6" s="86">
        <v>0</v>
      </c>
      <c r="S6" s="86">
        <v>1.2055641421947483E-2</v>
      </c>
      <c r="T6" s="86">
        <v>1.2064752596212758E-2</v>
      </c>
      <c r="U6" s="87"/>
    </row>
    <row r="7" spans="1:21" s="2" customFormat="1" ht="25.15" customHeight="1" x14ac:dyDescent="2.5">
      <c r="A7" s="3">
        <v>2</v>
      </c>
      <c r="C7" s="3">
        <v>1</v>
      </c>
      <c r="F7" s="2">
        <v>1</v>
      </c>
      <c r="H7" s="68" t="s">
        <v>4</v>
      </c>
      <c r="I7" s="68"/>
      <c r="J7" s="68" t="s">
        <v>4</v>
      </c>
      <c r="K7" s="68" t="s">
        <v>4</v>
      </c>
      <c r="L7" s="57">
        <v>0</v>
      </c>
      <c r="M7" s="57"/>
      <c r="N7" s="57">
        <v>0</v>
      </c>
      <c r="O7" s="57">
        <v>0</v>
      </c>
      <c r="P7" s="57">
        <v>0</v>
      </c>
      <c r="Q7" s="57">
        <v>0</v>
      </c>
      <c r="R7" s="58" t="s">
        <v>141</v>
      </c>
      <c r="S7" s="58" t="s">
        <v>141</v>
      </c>
      <c r="T7" s="58" t="s">
        <v>141</v>
      </c>
      <c r="U7" s="37"/>
    </row>
    <row r="8" spans="1:21" s="2" customFormat="1" ht="25.15" customHeight="1" x14ac:dyDescent="2.5">
      <c r="A8" s="3">
        <v>2</v>
      </c>
      <c r="C8" s="3">
        <v>1</v>
      </c>
      <c r="F8" s="2">
        <v>2</v>
      </c>
      <c r="H8" s="68" t="s">
        <v>5</v>
      </c>
      <c r="I8" s="68"/>
      <c r="J8" s="68" t="s">
        <v>5</v>
      </c>
      <c r="K8" s="68" t="s">
        <v>5</v>
      </c>
      <c r="L8" s="57">
        <v>647</v>
      </c>
      <c r="M8" s="57"/>
      <c r="N8" s="57">
        <v>647</v>
      </c>
      <c r="O8" s="57">
        <v>647</v>
      </c>
      <c r="P8" s="57">
        <v>654.79999999999995</v>
      </c>
      <c r="Q8" s="57">
        <v>662.7</v>
      </c>
      <c r="R8" s="58">
        <v>0</v>
      </c>
      <c r="S8" s="58">
        <v>1.2055641421947483E-2</v>
      </c>
      <c r="T8" s="58">
        <v>1.2064752596212758E-2</v>
      </c>
      <c r="U8" s="37"/>
    </row>
    <row r="9" spans="1:21" s="3" customFormat="1" ht="25.15" customHeight="1" x14ac:dyDescent="2.5">
      <c r="A9" s="3">
        <v>3</v>
      </c>
      <c r="C9" s="3">
        <v>1</v>
      </c>
      <c r="D9" s="3">
        <v>3</v>
      </c>
      <c r="E9" s="3">
        <v>18</v>
      </c>
      <c r="H9" s="84" t="s">
        <v>169</v>
      </c>
      <c r="I9" s="84" t="str">
        <f>LEFT(J9, FIND(" ", J9)-1)</f>
        <v>អនុកម្មវិធីទី១.៣</v>
      </c>
      <c r="J9" s="84" t="s">
        <v>218</v>
      </c>
      <c r="K9" s="84" t="s">
        <v>48</v>
      </c>
      <c r="L9" s="85">
        <v>950</v>
      </c>
      <c r="M9" s="85">
        <v>0</v>
      </c>
      <c r="N9" s="85">
        <v>950</v>
      </c>
      <c r="O9" s="85">
        <v>950</v>
      </c>
      <c r="P9" s="85">
        <v>961.4</v>
      </c>
      <c r="Q9" s="85">
        <v>972.9</v>
      </c>
      <c r="R9" s="86">
        <v>0</v>
      </c>
      <c r="S9" s="86">
        <v>1.2000000000000011E-2</v>
      </c>
      <c r="T9" s="86">
        <v>1.1961722488038173E-2</v>
      </c>
      <c r="U9" s="87"/>
    </row>
    <row r="10" spans="1:21" s="2" customFormat="1" ht="25.15" customHeight="1" x14ac:dyDescent="2.5">
      <c r="A10" s="3">
        <v>3</v>
      </c>
      <c r="C10" s="3">
        <v>1</v>
      </c>
      <c r="E10" s="3"/>
      <c r="F10" s="3">
        <v>1</v>
      </c>
      <c r="H10" s="68" t="s">
        <v>4</v>
      </c>
      <c r="I10" s="68"/>
      <c r="J10" s="68" t="s">
        <v>4</v>
      </c>
      <c r="K10" s="68" t="s">
        <v>4</v>
      </c>
      <c r="L10" s="57">
        <v>0</v>
      </c>
      <c r="M10" s="57"/>
      <c r="N10" s="57">
        <v>0</v>
      </c>
      <c r="O10" s="57">
        <v>0</v>
      </c>
      <c r="P10" s="57">
        <v>0</v>
      </c>
      <c r="Q10" s="57">
        <v>0</v>
      </c>
      <c r="R10" s="58" t="s">
        <v>141</v>
      </c>
      <c r="S10" s="58" t="s">
        <v>141</v>
      </c>
      <c r="T10" s="58" t="s">
        <v>141</v>
      </c>
      <c r="U10" s="37"/>
    </row>
    <row r="11" spans="1:21" s="2" customFormat="1" ht="25.15" customHeight="1" x14ac:dyDescent="2.5">
      <c r="A11" s="3">
        <v>3</v>
      </c>
      <c r="C11" s="3">
        <v>1</v>
      </c>
      <c r="E11" s="3"/>
      <c r="F11" s="3">
        <v>2</v>
      </c>
      <c r="H11" s="68" t="s">
        <v>5</v>
      </c>
      <c r="I11" s="68"/>
      <c r="J11" s="68" t="s">
        <v>5</v>
      </c>
      <c r="K11" s="68" t="s">
        <v>5</v>
      </c>
      <c r="L11" s="57">
        <v>950</v>
      </c>
      <c r="M11" s="57"/>
      <c r="N11" s="57">
        <v>950</v>
      </c>
      <c r="O11" s="57">
        <v>950</v>
      </c>
      <c r="P11" s="57">
        <v>961.4</v>
      </c>
      <c r="Q11" s="57">
        <v>972.9</v>
      </c>
      <c r="R11" s="58">
        <v>0</v>
      </c>
      <c r="S11" s="58">
        <v>1.2000000000000011E-2</v>
      </c>
      <c r="T11" s="58">
        <v>1.1961722488038173E-2</v>
      </c>
      <c r="U11" s="37"/>
    </row>
    <row r="12" spans="1:21" s="3" customFormat="1" ht="25.15" customHeight="1" x14ac:dyDescent="2.5">
      <c r="A12" s="3">
        <v>4</v>
      </c>
      <c r="C12" s="3">
        <v>1</v>
      </c>
      <c r="D12" s="3">
        <v>4</v>
      </c>
      <c r="E12" s="3">
        <v>20</v>
      </c>
      <c r="H12" s="84" t="s">
        <v>170</v>
      </c>
      <c r="I12" s="84" t="str">
        <f>LEFT(J12, FIND(" ", J12)-1)</f>
        <v>អនុកម្មវិធីទី១.៤</v>
      </c>
      <c r="J12" s="84" t="s">
        <v>219</v>
      </c>
      <c r="K12" s="84" t="s">
        <v>49</v>
      </c>
      <c r="L12" s="85">
        <v>733.7</v>
      </c>
      <c r="M12" s="85">
        <v>0</v>
      </c>
      <c r="N12" s="85">
        <v>733.7</v>
      </c>
      <c r="O12" s="85">
        <v>983.7</v>
      </c>
      <c r="P12" s="85">
        <v>1007.7</v>
      </c>
      <c r="Q12" s="85">
        <v>1032.5999999999999</v>
      </c>
      <c r="R12" s="86">
        <v>0.34073872154831664</v>
      </c>
      <c r="S12" s="86">
        <v>2.439768222018901E-2</v>
      </c>
      <c r="T12" s="86">
        <v>2.4709735040190361E-2</v>
      </c>
      <c r="U12" s="87"/>
    </row>
    <row r="13" spans="1:21" s="2" customFormat="1" ht="25.15" customHeight="1" x14ac:dyDescent="2.5">
      <c r="A13" s="3">
        <v>4</v>
      </c>
      <c r="C13" s="3">
        <v>1</v>
      </c>
      <c r="E13" s="3"/>
      <c r="F13" s="3">
        <v>1</v>
      </c>
      <c r="H13" s="68" t="s">
        <v>4</v>
      </c>
      <c r="I13" s="68"/>
      <c r="J13" s="68" t="s">
        <v>4</v>
      </c>
      <c r="K13" s="68" t="s">
        <v>4</v>
      </c>
      <c r="L13" s="57">
        <v>321.7</v>
      </c>
      <c r="M13" s="57"/>
      <c r="N13" s="57">
        <v>321.7</v>
      </c>
      <c r="O13" s="57">
        <v>321.7</v>
      </c>
      <c r="P13" s="57">
        <v>337.8</v>
      </c>
      <c r="Q13" s="57">
        <v>354.7</v>
      </c>
      <c r="R13" s="58">
        <v>0</v>
      </c>
      <c r="S13" s="58">
        <v>5.0046627292508639E-2</v>
      </c>
      <c r="T13" s="58">
        <v>5.002960331557138E-2</v>
      </c>
      <c r="U13" s="37"/>
    </row>
    <row r="14" spans="1:21" s="2" customFormat="1" ht="25.15" customHeight="1" x14ac:dyDescent="2.5">
      <c r="A14" s="3">
        <v>4</v>
      </c>
      <c r="C14" s="3">
        <v>1</v>
      </c>
      <c r="E14" s="3"/>
      <c r="F14" s="3">
        <v>2</v>
      </c>
      <c r="H14" s="68" t="s">
        <v>5</v>
      </c>
      <c r="I14" s="68"/>
      <c r="J14" s="68" t="s">
        <v>5</v>
      </c>
      <c r="K14" s="68" t="s">
        <v>5</v>
      </c>
      <c r="L14" s="57">
        <v>412</v>
      </c>
      <c r="M14" s="57"/>
      <c r="N14" s="57">
        <v>412</v>
      </c>
      <c r="O14" s="57">
        <v>662</v>
      </c>
      <c r="P14" s="57">
        <v>669.9</v>
      </c>
      <c r="Q14" s="57">
        <v>677.9</v>
      </c>
      <c r="R14" s="58">
        <v>0.60679611650485432</v>
      </c>
      <c r="S14" s="58">
        <v>1.1933534743202356E-2</v>
      </c>
      <c r="T14" s="58">
        <v>1.1942080907598074E-2</v>
      </c>
      <c r="U14" s="37" t="s">
        <v>133</v>
      </c>
    </row>
    <row r="15" spans="1:21" s="3" customFormat="1" ht="25.15" customHeight="1" x14ac:dyDescent="2.5">
      <c r="A15" s="3">
        <v>5</v>
      </c>
      <c r="C15" s="3">
        <v>1</v>
      </c>
      <c r="D15" s="3">
        <v>6</v>
      </c>
      <c r="E15" s="3">
        <v>23</v>
      </c>
      <c r="H15" s="84" t="s">
        <v>171</v>
      </c>
      <c r="I15" s="84" t="str">
        <f>LEFT(J15, FIND(" ", J15)-1)</f>
        <v>អនុកម្មវិធីទី២.១</v>
      </c>
      <c r="J15" s="84" t="s">
        <v>220</v>
      </c>
      <c r="K15" s="84" t="s">
        <v>50</v>
      </c>
      <c r="L15" s="85">
        <v>4444.7</v>
      </c>
      <c r="M15" s="85">
        <v>433.7</v>
      </c>
      <c r="N15" s="85">
        <v>4011</v>
      </c>
      <c r="O15" s="85">
        <v>4011</v>
      </c>
      <c r="P15" s="85">
        <v>4117.8999999999996</v>
      </c>
      <c r="Q15" s="85">
        <v>4229</v>
      </c>
      <c r="R15" s="86">
        <v>-9.7576889328863547E-2</v>
      </c>
      <c r="S15" s="86">
        <v>2.6651707803540203E-2</v>
      </c>
      <c r="T15" s="86">
        <v>2.6979771242623851E-2</v>
      </c>
      <c r="U15" s="87"/>
    </row>
    <row r="16" spans="1:21" s="2" customFormat="1" ht="25.15" customHeight="1" x14ac:dyDescent="2.5">
      <c r="A16" s="3">
        <v>5</v>
      </c>
      <c r="C16" s="3">
        <v>1</v>
      </c>
      <c r="E16" s="3"/>
      <c r="F16" s="3">
        <v>1</v>
      </c>
      <c r="H16" s="68" t="s">
        <v>4</v>
      </c>
      <c r="I16" s="68"/>
      <c r="J16" s="68" t="s">
        <v>4</v>
      </c>
      <c r="K16" s="68" t="s">
        <v>4</v>
      </c>
      <c r="L16" s="57">
        <v>1546.7</v>
      </c>
      <c r="M16" s="57"/>
      <c r="N16" s="57">
        <v>1546.7</v>
      </c>
      <c r="O16" s="57">
        <v>1546.7</v>
      </c>
      <c r="P16" s="57">
        <v>1624</v>
      </c>
      <c r="Q16" s="57">
        <v>1705.2</v>
      </c>
      <c r="R16" s="58">
        <v>0</v>
      </c>
      <c r="S16" s="58">
        <v>4.9977371177345242E-2</v>
      </c>
      <c r="T16" s="58">
        <v>5.0000000000000044E-2</v>
      </c>
      <c r="U16" s="37"/>
    </row>
    <row r="17" spans="1:21" s="2" customFormat="1" ht="25.15" customHeight="1" x14ac:dyDescent="2.5">
      <c r="A17" s="3">
        <v>5</v>
      </c>
      <c r="C17" s="3">
        <v>1</v>
      </c>
      <c r="E17" s="3"/>
      <c r="F17" s="3">
        <v>2</v>
      </c>
      <c r="H17" s="68" t="s">
        <v>5</v>
      </c>
      <c r="I17" s="68"/>
      <c r="J17" s="68" t="s">
        <v>5</v>
      </c>
      <c r="K17" s="68" t="s">
        <v>5</v>
      </c>
      <c r="L17" s="57">
        <v>2898</v>
      </c>
      <c r="M17" s="57">
        <v>433.7</v>
      </c>
      <c r="N17" s="57">
        <v>2464.3000000000002</v>
      </c>
      <c r="O17" s="57">
        <v>2464.3000000000002</v>
      </c>
      <c r="P17" s="57">
        <v>2493.9</v>
      </c>
      <c r="Q17" s="57">
        <v>2523.8000000000002</v>
      </c>
      <c r="R17" s="58">
        <v>-0.14965493443754307</v>
      </c>
      <c r="S17" s="58">
        <v>1.2011524570872067E-2</v>
      </c>
      <c r="T17" s="58">
        <v>1.1989253779221443E-2</v>
      </c>
      <c r="U17" s="37" t="s">
        <v>87</v>
      </c>
    </row>
    <row r="18" spans="1:21" s="3" customFormat="1" ht="25.15" customHeight="1" x14ac:dyDescent="2.5">
      <c r="A18" s="3">
        <v>6</v>
      </c>
      <c r="C18" s="3">
        <v>1</v>
      </c>
      <c r="D18" s="3">
        <v>6</v>
      </c>
      <c r="E18" s="3">
        <v>134</v>
      </c>
      <c r="H18" s="84" t="s">
        <v>172</v>
      </c>
      <c r="I18" s="84" t="str">
        <f>LEFT(J18, FIND(" ", J18)-1)</f>
        <v>អនុកម្មវិធីទី២.១</v>
      </c>
      <c r="J18" s="84" t="s">
        <v>221</v>
      </c>
      <c r="K18" s="84" t="s">
        <v>51</v>
      </c>
      <c r="L18" s="85">
        <v>150</v>
      </c>
      <c r="M18" s="85">
        <v>0</v>
      </c>
      <c r="N18" s="85">
        <v>150</v>
      </c>
      <c r="O18" s="85">
        <v>150</v>
      </c>
      <c r="P18" s="85">
        <v>151.80000000000001</v>
      </c>
      <c r="Q18" s="85">
        <v>153.6</v>
      </c>
      <c r="R18" s="86">
        <v>0</v>
      </c>
      <c r="S18" s="86">
        <v>1.2000000000000011E-2</v>
      </c>
      <c r="T18" s="86">
        <v>1.1857707509881354E-2</v>
      </c>
      <c r="U18" s="87"/>
    </row>
    <row r="19" spans="1:21" s="2" customFormat="1" ht="25.15" customHeight="1" x14ac:dyDescent="2.5">
      <c r="A19" s="3">
        <v>6</v>
      </c>
      <c r="C19" s="3">
        <v>1</v>
      </c>
      <c r="E19" s="3"/>
      <c r="F19" s="3">
        <v>1</v>
      </c>
      <c r="H19" s="68" t="s">
        <v>4</v>
      </c>
      <c r="I19" s="68"/>
      <c r="J19" s="68" t="s">
        <v>4</v>
      </c>
      <c r="K19" s="68" t="s">
        <v>4</v>
      </c>
      <c r="L19" s="57">
        <v>0</v>
      </c>
      <c r="M19" s="57"/>
      <c r="N19" s="57">
        <v>0</v>
      </c>
      <c r="O19" s="57">
        <v>0</v>
      </c>
      <c r="P19" s="57">
        <v>0</v>
      </c>
      <c r="Q19" s="57">
        <v>0</v>
      </c>
      <c r="R19" s="58" t="s">
        <v>141</v>
      </c>
      <c r="S19" s="58" t="s">
        <v>141</v>
      </c>
      <c r="T19" s="58" t="s">
        <v>141</v>
      </c>
      <c r="U19" s="37"/>
    </row>
    <row r="20" spans="1:21" s="2" customFormat="1" ht="25.15" customHeight="1" x14ac:dyDescent="2.5">
      <c r="A20" s="3">
        <v>6</v>
      </c>
      <c r="C20" s="3">
        <v>1</v>
      </c>
      <c r="E20" s="3"/>
      <c r="F20" s="3">
        <v>2</v>
      </c>
      <c r="H20" s="68" t="s">
        <v>5</v>
      </c>
      <c r="I20" s="68"/>
      <c r="J20" s="68" t="s">
        <v>5</v>
      </c>
      <c r="K20" s="68" t="s">
        <v>5</v>
      </c>
      <c r="L20" s="57">
        <v>150</v>
      </c>
      <c r="M20" s="57"/>
      <c r="N20" s="57">
        <v>150</v>
      </c>
      <c r="O20" s="57">
        <v>150</v>
      </c>
      <c r="P20" s="57">
        <v>151.80000000000001</v>
      </c>
      <c r="Q20" s="57">
        <v>153.6</v>
      </c>
      <c r="R20" s="58">
        <v>0</v>
      </c>
      <c r="S20" s="58">
        <v>1.2000000000000011E-2</v>
      </c>
      <c r="T20" s="58">
        <v>1.1857707509881354E-2</v>
      </c>
      <c r="U20" s="37"/>
    </row>
    <row r="21" spans="1:21" s="3" customFormat="1" ht="25.15" customHeight="1" x14ac:dyDescent="2.5">
      <c r="A21" s="3">
        <v>7</v>
      </c>
      <c r="C21" s="3">
        <v>1</v>
      </c>
      <c r="D21" s="3">
        <v>7</v>
      </c>
      <c r="E21" s="3">
        <v>24</v>
      </c>
      <c r="H21" s="84" t="s">
        <v>156</v>
      </c>
      <c r="I21" s="84" t="str">
        <f>LEFT(J21, FIND(" ", J21)-1)</f>
        <v>អនុកម្មវិធីទី២.២</v>
      </c>
      <c r="J21" s="84" t="s">
        <v>222</v>
      </c>
      <c r="K21" s="84" t="s">
        <v>52</v>
      </c>
      <c r="L21" s="85">
        <v>592</v>
      </c>
      <c r="M21" s="85">
        <v>0</v>
      </c>
      <c r="N21" s="85">
        <v>592</v>
      </c>
      <c r="O21" s="85">
        <v>592</v>
      </c>
      <c r="P21" s="85">
        <v>615.29999999999995</v>
      </c>
      <c r="Q21" s="85">
        <v>639.6</v>
      </c>
      <c r="R21" s="86">
        <v>0</v>
      </c>
      <c r="S21" s="86">
        <v>3.9358108108108025E-2</v>
      </c>
      <c r="T21" s="86">
        <v>3.949293027791323E-2</v>
      </c>
      <c r="U21" s="87"/>
    </row>
    <row r="22" spans="1:21" s="2" customFormat="1" ht="25.15" customHeight="1" x14ac:dyDescent="2.5">
      <c r="A22" s="3">
        <v>7</v>
      </c>
      <c r="C22" s="3">
        <v>1</v>
      </c>
      <c r="E22" s="3"/>
      <c r="F22" s="3">
        <v>1</v>
      </c>
      <c r="H22" s="68" t="s">
        <v>4</v>
      </c>
      <c r="I22" s="68"/>
      <c r="J22" s="68" t="s">
        <v>4</v>
      </c>
      <c r="K22" s="68" t="s">
        <v>4</v>
      </c>
      <c r="L22" s="57">
        <v>425</v>
      </c>
      <c r="M22" s="57"/>
      <c r="N22" s="57">
        <v>425</v>
      </c>
      <c r="O22" s="57">
        <v>425</v>
      </c>
      <c r="P22" s="57">
        <v>446.3</v>
      </c>
      <c r="Q22" s="57">
        <v>468.6</v>
      </c>
      <c r="R22" s="58">
        <v>0</v>
      </c>
      <c r="S22" s="58">
        <v>5.01176470588236E-2</v>
      </c>
      <c r="T22" s="58">
        <v>4.996639032041239E-2</v>
      </c>
      <c r="U22" s="37"/>
    </row>
    <row r="23" spans="1:21" s="2" customFormat="1" ht="25.15" customHeight="1" x14ac:dyDescent="2.5">
      <c r="A23" s="3">
        <v>7</v>
      </c>
      <c r="C23" s="3">
        <v>1</v>
      </c>
      <c r="E23" s="3"/>
      <c r="F23" s="3">
        <v>2</v>
      </c>
      <c r="H23" s="68" t="s">
        <v>5</v>
      </c>
      <c r="I23" s="68"/>
      <c r="J23" s="68" t="s">
        <v>5</v>
      </c>
      <c r="K23" s="68" t="s">
        <v>5</v>
      </c>
      <c r="L23" s="57">
        <v>167</v>
      </c>
      <c r="M23" s="57"/>
      <c r="N23" s="57">
        <v>167</v>
      </c>
      <c r="O23" s="57">
        <v>167</v>
      </c>
      <c r="P23" s="57">
        <v>169</v>
      </c>
      <c r="Q23" s="57">
        <v>171</v>
      </c>
      <c r="R23" s="58">
        <v>0</v>
      </c>
      <c r="S23" s="58">
        <v>1.1976047904191711E-2</v>
      </c>
      <c r="T23" s="58">
        <v>1.1834319526627279E-2</v>
      </c>
      <c r="U23" s="37"/>
    </row>
    <row r="24" spans="1:21" s="3" customFormat="1" ht="25.15" customHeight="1" x14ac:dyDescent="2.5">
      <c r="A24" s="3">
        <v>8</v>
      </c>
      <c r="C24" s="3">
        <v>1</v>
      </c>
      <c r="D24" s="3">
        <v>8</v>
      </c>
      <c r="E24" s="3">
        <v>15</v>
      </c>
      <c r="H24" s="84" t="s">
        <v>157</v>
      </c>
      <c r="I24" s="84" t="str">
        <f>LEFT(J24, FIND(" ", J24)-1)</f>
        <v>អនុកម្មវិធីទី២.៣</v>
      </c>
      <c r="J24" s="84" t="s">
        <v>223</v>
      </c>
      <c r="K24" s="84" t="s">
        <v>53</v>
      </c>
      <c r="L24" s="85">
        <v>1515.1</v>
      </c>
      <c r="M24" s="85">
        <v>0</v>
      </c>
      <c r="N24" s="85">
        <v>1515.1</v>
      </c>
      <c r="O24" s="85">
        <v>1515.1</v>
      </c>
      <c r="P24" s="85">
        <v>1572.1</v>
      </c>
      <c r="Q24" s="85">
        <v>1631.6</v>
      </c>
      <c r="R24" s="86">
        <v>0</v>
      </c>
      <c r="S24" s="86">
        <v>3.7621279123490226E-2</v>
      </c>
      <c r="T24" s="86">
        <v>3.7847465173971084E-2</v>
      </c>
      <c r="U24" s="87"/>
    </row>
    <row r="25" spans="1:21" s="2" customFormat="1" ht="25.15" customHeight="1" x14ac:dyDescent="2.5">
      <c r="A25" s="3">
        <v>8</v>
      </c>
      <c r="C25" s="3">
        <v>1</v>
      </c>
      <c r="E25" s="3"/>
      <c r="F25" s="3">
        <v>1</v>
      </c>
      <c r="H25" s="68" t="s">
        <v>4</v>
      </c>
      <c r="I25" s="68"/>
      <c r="J25" s="68" t="s">
        <v>4</v>
      </c>
      <c r="K25" s="68" t="s">
        <v>4</v>
      </c>
      <c r="L25" s="57">
        <v>1019.1</v>
      </c>
      <c r="M25" s="57"/>
      <c r="N25" s="57">
        <v>1019.1</v>
      </c>
      <c r="O25" s="57">
        <v>1019.1</v>
      </c>
      <c r="P25" s="57">
        <v>1070.0999999999999</v>
      </c>
      <c r="Q25" s="57">
        <v>1123.5999999999999</v>
      </c>
      <c r="R25" s="58">
        <v>0</v>
      </c>
      <c r="S25" s="58">
        <v>5.0044156608772372E-2</v>
      </c>
      <c r="T25" s="58">
        <v>4.9995327539482215E-2</v>
      </c>
      <c r="U25" s="37"/>
    </row>
    <row r="26" spans="1:21" s="2" customFormat="1" ht="25.15" customHeight="1" x14ac:dyDescent="2.5">
      <c r="A26" s="3">
        <v>8</v>
      </c>
      <c r="C26" s="3">
        <v>1</v>
      </c>
      <c r="E26" s="3"/>
      <c r="F26" s="3">
        <v>2</v>
      </c>
      <c r="H26" s="68" t="s">
        <v>5</v>
      </c>
      <c r="I26" s="68"/>
      <c r="J26" s="68" t="s">
        <v>5</v>
      </c>
      <c r="K26" s="68" t="s">
        <v>5</v>
      </c>
      <c r="L26" s="57">
        <v>496</v>
      </c>
      <c r="M26" s="57"/>
      <c r="N26" s="57">
        <v>496</v>
      </c>
      <c r="O26" s="57">
        <v>496</v>
      </c>
      <c r="P26" s="57">
        <v>502</v>
      </c>
      <c r="Q26" s="57">
        <v>508</v>
      </c>
      <c r="R26" s="58">
        <v>0</v>
      </c>
      <c r="S26" s="58">
        <v>1.2096774193548487E-2</v>
      </c>
      <c r="T26" s="58">
        <v>1.195219123505975E-2</v>
      </c>
      <c r="U26" s="37"/>
    </row>
    <row r="27" spans="1:21" s="3" customFormat="1" ht="25.15" customHeight="1" x14ac:dyDescent="2.5">
      <c r="A27" s="3">
        <v>9</v>
      </c>
      <c r="C27" s="3">
        <v>1</v>
      </c>
      <c r="D27" s="3">
        <v>9</v>
      </c>
      <c r="E27" s="3">
        <v>25</v>
      </c>
      <c r="H27" s="84" t="s">
        <v>158</v>
      </c>
      <c r="I27" s="84" t="str">
        <f>LEFT(J27, FIND(" ", J27)-1)</f>
        <v>អនុកម្មវិធីទី២.៤</v>
      </c>
      <c r="J27" s="84" t="s">
        <v>224</v>
      </c>
      <c r="K27" s="84" t="s">
        <v>54</v>
      </c>
      <c r="L27" s="85">
        <v>509.4</v>
      </c>
      <c r="M27" s="85">
        <v>0</v>
      </c>
      <c r="N27" s="85">
        <v>509.4</v>
      </c>
      <c r="O27" s="85">
        <v>509.4</v>
      </c>
      <c r="P27" s="85">
        <v>530.6</v>
      </c>
      <c r="Q27" s="85">
        <v>552.79999999999995</v>
      </c>
      <c r="R27" s="86">
        <v>0</v>
      </c>
      <c r="S27" s="86">
        <v>4.1617589320769532E-2</v>
      </c>
      <c r="T27" s="86">
        <v>4.1839427063701251E-2</v>
      </c>
      <c r="U27" s="87"/>
    </row>
    <row r="28" spans="1:21" s="2" customFormat="1" ht="25.15" customHeight="1" x14ac:dyDescent="2.5">
      <c r="A28" s="3">
        <v>9</v>
      </c>
      <c r="C28" s="3">
        <v>1</v>
      </c>
      <c r="E28" s="3"/>
      <c r="F28" s="3">
        <v>1</v>
      </c>
      <c r="H28" s="68" t="s">
        <v>4</v>
      </c>
      <c r="I28" s="68"/>
      <c r="J28" s="68" t="s">
        <v>4</v>
      </c>
      <c r="K28" s="68" t="s">
        <v>4</v>
      </c>
      <c r="L28" s="57">
        <v>396.4</v>
      </c>
      <c r="M28" s="57"/>
      <c r="N28" s="57">
        <v>396.4</v>
      </c>
      <c r="O28" s="57">
        <v>396.4</v>
      </c>
      <c r="P28" s="57">
        <v>416.2</v>
      </c>
      <c r="Q28" s="57">
        <v>437</v>
      </c>
      <c r="R28" s="58">
        <v>0</v>
      </c>
      <c r="S28" s="58">
        <v>4.9949545913219096E-2</v>
      </c>
      <c r="T28" s="58">
        <v>4.997597308986057E-2</v>
      </c>
      <c r="U28" s="37"/>
    </row>
    <row r="29" spans="1:21" s="2" customFormat="1" ht="25.15" customHeight="1" x14ac:dyDescent="2.5">
      <c r="A29" s="3">
        <v>9</v>
      </c>
      <c r="C29" s="3">
        <v>1</v>
      </c>
      <c r="E29" s="3"/>
      <c r="F29" s="3">
        <v>2</v>
      </c>
      <c r="H29" s="68" t="s">
        <v>5</v>
      </c>
      <c r="I29" s="68"/>
      <c r="J29" s="68" t="s">
        <v>5</v>
      </c>
      <c r="K29" s="68" t="s">
        <v>5</v>
      </c>
      <c r="L29" s="57">
        <v>113</v>
      </c>
      <c r="M29" s="57"/>
      <c r="N29" s="57">
        <v>113</v>
      </c>
      <c r="O29" s="57">
        <v>113</v>
      </c>
      <c r="P29" s="57">
        <v>114.4</v>
      </c>
      <c r="Q29" s="57">
        <v>115.8</v>
      </c>
      <c r="R29" s="58">
        <v>0</v>
      </c>
      <c r="S29" s="58">
        <v>1.2389380530973604E-2</v>
      </c>
      <c r="T29" s="58">
        <v>1.2237762237762073E-2</v>
      </c>
      <c r="U29" s="37"/>
    </row>
    <row r="30" spans="1:21" s="3" customFormat="1" ht="25.15" customHeight="1" x14ac:dyDescent="2.5">
      <c r="A30" s="3">
        <v>10</v>
      </c>
      <c r="C30" s="3">
        <v>1</v>
      </c>
      <c r="D30" s="3">
        <v>10</v>
      </c>
      <c r="E30" s="3">
        <v>16</v>
      </c>
      <c r="H30" s="84" t="s">
        <v>159</v>
      </c>
      <c r="I30" s="84" t="str">
        <f>LEFT(J30, FIND(" ", J30)-1)</f>
        <v>អនុកម្មវិធីទី២.៥</v>
      </c>
      <c r="J30" s="84" t="s">
        <v>225</v>
      </c>
      <c r="K30" s="84" t="s">
        <v>55</v>
      </c>
      <c r="L30" s="85">
        <v>894.9</v>
      </c>
      <c r="M30" s="85">
        <v>72</v>
      </c>
      <c r="N30" s="85">
        <v>822.9</v>
      </c>
      <c r="O30" s="85">
        <v>822.9</v>
      </c>
      <c r="P30" s="85">
        <v>853.1</v>
      </c>
      <c r="Q30" s="85">
        <v>884.6</v>
      </c>
      <c r="R30" s="86">
        <v>-8.0455916862219201E-2</v>
      </c>
      <c r="S30" s="86">
        <v>3.6699477457771357E-2</v>
      </c>
      <c r="T30" s="86">
        <v>3.6924158949712904E-2</v>
      </c>
      <c r="U30" s="87"/>
    </row>
    <row r="31" spans="1:21" s="2" customFormat="1" ht="25.15" customHeight="1" x14ac:dyDescent="2.5">
      <c r="A31" s="3">
        <v>10</v>
      </c>
      <c r="C31" s="3">
        <v>1</v>
      </c>
      <c r="E31" s="3"/>
      <c r="F31" s="3">
        <v>1</v>
      </c>
      <c r="H31" s="68" t="s">
        <v>4</v>
      </c>
      <c r="I31" s="68"/>
      <c r="J31" s="68" t="s">
        <v>4</v>
      </c>
      <c r="K31" s="68" t="s">
        <v>4</v>
      </c>
      <c r="L31" s="57">
        <v>533.9</v>
      </c>
      <c r="M31" s="57"/>
      <c r="N31" s="57">
        <v>533.9</v>
      </c>
      <c r="O31" s="57">
        <v>533.9</v>
      </c>
      <c r="P31" s="57">
        <v>560.6</v>
      </c>
      <c r="Q31" s="57">
        <v>588.6</v>
      </c>
      <c r="R31" s="58">
        <v>0</v>
      </c>
      <c r="S31" s="58">
        <v>5.0009365049634935E-2</v>
      </c>
      <c r="T31" s="58">
        <v>4.9946485907955696E-2</v>
      </c>
      <c r="U31" s="37"/>
    </row>
    <row r="32" spans="1:21" s="2" customFormat="1" ht="25.15" customHeight="1" x14ac:dyDescent="2.5">
      <c r="A32" s="3">
        <v>10</v>
      </c>
      <c r="C32" s="3">
        <v>1</v>
      </c>
      <c r="E32" s="3"/>
      <c r="F32" s="3">
        <v>2</v>
      </c>
      <c r="H32" s="68" t="s">
        <v>5</v>
      </c>
      <c r="I32" s="68"/>
      <c r="J32" s="68" t="s">
        <v>5</v>
      </c>
      <c r="K32" s="68" t="s">
        <v>5</v>
      </c>
      <c r="L32" s="57">
        <v>361</v>
      </c>
      <c r="M32" s="57">
        <v>72</v>
      </c>
      <c r="N32" s="57">
        <v>289</v>
      </c>
      <c r="O32" s="57">
        <v>289</v>
      </c>
      <c r="P32" s="57">
        <v>292.5</v>
      </c>
      <c r="Q32" s="57">
        <v>296</v>
      </c>
      <c r="R32" s="58">
        <v>-0.19944598337950137</v>
      </c>
      <c r="S32" s="58">
        <v>1.211072664359869E-2</v>
      </c>
      <c r="T32" s="58">
        <v>1.1965811965811923E-2</v>
      </c>
      <c r="U32" s="37" t="s">
        <v>88</v>
      </c>
    </row>
    <row r="33" spans="1:21" s="3" customFormat="1" ht="25.15" customHeight="1" x14ac:dyDescent="2.5">
      <c r="A33" s="3">
        <v>11</v>
      </c>
      <c r="C33" s="3">
        <v>1</v>
      </c>
      <c r="D33" s="3">
        <v>11</v>
      </c>
      <c r="E33" s="3">
        <v>26</v>
      </c>
      <c r="H33" s="84" t="s">
        <v>160</v>
      </c>
      <c r="I33" s="84" t="str">
        <f>LEFT(J33, FIND(" ", J33)-1)</f>
        <v>អនុកម្មវិធីទី២.៦</v>
      </c>
      <c r="J33" s="84" t="s">
        <v>226</v>
      </c>
      <c r="K33" s="84" t="s">
        <v>56</v>
      </c>
      <c r="L33" s="85">
        <v>671.3</v>
      </c>
      <c r="M33" s="85">
        <v>0</v>
      </c>
      <c r="N33" s="85">
        <v>671.3</v>
      </c>
      <c r="O33" s="85">
        <v>671.3</v>
      </c>
      <c r="P33" s="85">
        <v>700.3</v>
      </c>
      <c r="Q33" s="85">
        <v>730.69999999999993</v>
      </c>
      <c r="R33" s="86">
        <v>0</v>
      </c>
      <c r="S33" s="86">
        <v>4.3199761656487423E-2</v>
      </c>
      <c r="T33" s="86">
        <v>4.3409967156932794E-2</v>
      </c>
      <c r="U33" s="87"/>
    </row>
    <row r="34" spans="1:21" s="2" customFormat="1" ht="25.15" customHeight="1" x14ac:dyDescent="2.5">
      <c r="A34" s="3">
        <v>11</v>
      </c>
      <c r="C34" s="3">
        <v>1</v>
      </c>
      <c r="D34" s="3"/>
      <c r="E34" s="3"/>
      <c r="F34" s="3">
        <v>1</v>
      </c>
      <c r="H34" s="68" t="s">
        <v>4</v>
      </c>
      <c r="I34" s="68"/>
      <c r="J34" s="68" t="s">
        <v>4</v>
      </c>
      <c r="K34" s="68" t="s">
        <v>4</v>
      </c>
      <c r="L34" s="57">
        <v>551.29999999999995</v>
      </c>
      <c r="M34" s="57"/>
      <c r="N34" s="57">
        <v>551.29999999999995</v>
      </c>
      <c r="O34" s="57">
        <v>551.29999999999995</v>
      </c>
      <c r="P34" s="57">
        <v>578.9</v>
      </c>
      <c r="Q34" s="57">
        <v>607.79999999999995</v>
      </c>
      <c r="R34" s="58">
        <v>0</v>
      </c>
      <c r="S34" s="58">
        <v>5.0063486305097049E-2</v>
      </c>
      <c r="T34" s="58">
        <v>4.992226636724828E-2</v>
      </c>
      <c r="U34" s="37"/>
    </row>
    <row r="35" spans="1:21" s="2" customFormat="1" ht="25.15" customHeight="1" x14ac:dyDescent="2.5">
      <c r="A35" s="3">
        <v>11</v>
      </c>
      <c r="C35" s="3">
        <v>1</v>
      </c>
      <c r="D35" s="3"/>
      <c r="E35" s="3"/>
      <c r="F35" s="3">
        <v>2</v>
      </c>
      <c r="H35" s="68" t="s">
        <v>5</v>
      </c>
      <c r="I35" s="68"/>
      <c r="J35" s="68" t="s">
        <v>5</v>
      </c>
      <c r="K35" s="68" t="s">
        <v>5</v>
      </c>
      <c r="L35" s="57">
        <v>120</v>
      </c>
      <c r="M35" s="57"/>
      <c r="N35" s="57">
        <v>120</v>
      </c>
      <c r="O35" s="57">
        <v>120</v>
      </c>
      <c r="P35" s="57">
        <v>121.4</v>
      </c>
      <c r="Q35" s="57">
        <v>122.9</v>
      </c>
      <c r="R35" s="58">
        <v>0</v>
      </c>
      <c r="S35" s="58">
        <v>1.1666666666666714E-2</v>
      </c>
      <c r="T35" s="58">
        <v>1.2355848434925765E-2</v>
      </c>
      <c r="U35" s="37"/>
    </row>
    <row r="36" spans="1:21" s="3" customFormat="1" ht="25.15" customHeight="1" x14ac:dyDescent="2.5">
      <c r="A36" s="3">
        <v>12</v>
      </c>
      <c r="C36" s="3">
        <v>1</v>
      </c>
      <c r="D36" s="3">
        <v>13</v>
      </c>
      <c r="E36" s="3">
        <v>6</v>
      </c>
      <c r="H36" s="84" t="s">
        <v>173</v>
      </c>
      <c r="I36" s="84" t="str">
        <f>LEFT(J36, FIND(" ", J36)-1)</f>
        <v>អនុកម្មវិធីទី៣.១</v>
      </c>
      <c r="J36" s="84" t="s">
        <v>245</v>
      </c>
      <c r="K36" s="84" t="s">
        <v>57</v>
      </c>
      <c r="L36" s="85">
        <v>78640.5</v>
      </c>
      <c r="M36" s="85">
        <v>0</v>
      </c>
      <c r="N36" s="85">
        <v>78640.5</v>
      </c>
      <c r="O36" s="85">
        <v>54790.5</v>
      </c>
      <c r="P36" s="85">
        <v>56300.899999999994</v>
      </c>
      <c r="Q36" s="85">
        <v>57872.1</v>
      </c>
      <c r="R36" s="86">
        <v>-0.30327884487000978</v>
      </c>
      <c r="S36" s="86">
        <v>2.7566822715616723E-2</v>
      </c>
      <c r="T36" s="86">
        <v>2.7907191536902687E-2</v>
      </c>
      <c r="U36" s="87"/>
    </row>
    <row r="37" spans="1:21" s="2" customFormat="1" ht="25.15" customHeight="1" x14ac:dyDescent="2.5">
      <c r="A37" s="3">
        <v>12</v>
      </c>
      <c r="C37" s="3">
        <v>1</v>
      </c>
      <c r="D37" s="3"/>
      <c r="E37" s="3"/>
      <c r="F37" s="3">
        <v>1</v>
      </c>
      <c r="H37" s="68" t="s">
        <v>4</v>
      </c>
      <c r="I37" s="68"/>
      <c r="J37" s="68" t="s">
        <v>4</v>
      </c>
      <c r="K37" s="68" t="s">
        <v>4</v>
      </c>
      <c r="L37" s="57">
        <v>46446.3</v>
      </c>
      <c r="M37" s="57"/>
      <c r="N37" s="57">
        <v>46446.3</v>
      </c>
      <c r="O37" s="57">
        <v>22446.300000000003</v>
      </c>
      <c r="P37" s="57">
        <v>23568.6</v>
      </c>
      <c r="Q37" s="57">
        <v>24747</v>
      </c>
      <c r="R37" s="58">
        <v>-0.51672576717628749</v>
      </c>
      <c r="S37" s="58">
        <v>4.9999331738415531E-2</v>
      </c>
      <c r="T37" s="58">
        <v>4.9998727119981767E-2</v>
      </c>
      <c r="U37" s="37" t="s">
        <v>78</v>
      </c>
    </row>
    <row r="38" spans="1:21" s="2" customFormat="1" ht="25.15" customHeight="1" x14ac:dyDescent="2.5">
      <c r="A38" s="3">
        <v>12</v>
      </c>
      <c r="C38" s="3">
        <v>1</v>
      </c>
      <c r="D38" s="3"/>
      <c r="E38" s="3"/>
      <c r="F38" s="3">
        <v>2</v>
      </c>
      <c r="H38" s="68" t="s">
        <v>5</v>
      </c>
      <c r="I38" s="68"/>
      <c r="J38" s="68" t="s">
        <v>5</v>
      </c>
      <c r="K38" s="68" t="s">
        <v>5</v>
      </c>
      <c r="L38" s="57">
        <v>32194.2</v>
      </c>
      <c r="M38" s="57"/>
      <c r="N38" s="57">
        <v>32194.2</v>
      </c>
      <c r="O38" s="57">
        <v>32344.2</v>
      </c>
      <c r="P38" s="57">
        <v>32732.3</v>
      </c>
      <c r="Q38" s="57">
        <v>33125.1</v>
      </c>
      <c r="R38" s="58">
        <v>4.6592243323331228E-3</v>
      </c>
      <c r="S38" s="58">
        <v>1.1999060109695092E-2</v>
      </c>
      <c r="T38" s="58">
        <v>1.2000378830696157E-2</v>
      </c>
      <c r="U38" s="37" t="s">
        <v>118</v>
      </c>
    </row>
    <row r="39" spans="1:21" s="3" customFormat="1" ht="25.15" customHeight="1" x14ac:dyDescent="2.5">
      <c r="A39" s="3">
        <v>13</v>
      </c>
      <c r="C39" s="3">
        <v>1</v>
      </c>
      <c r="D39" s="3">
        <v>14</v>
      </c>
      <c r="E39" s="3">
        <v>7</v>
      </c>
      <c r="H39" s="84" t="s">
        <v>174</v>
      </c>
      <c r="I39" s="84" t="str">
        <f>LEFT(J39, FIND(" ", J39)-1)</f>
        <v>អនុកម្មវិធីទី៣.២</v>
      </c>
      <c r="J39" s="84" t="s">
        <v>227</v>
      </c>
      <c r="K39" s="84" t="s">
        <v>58</v>
      </c>
      <c r="L39" s="85">
        <v>223280.8</v>
      </c>
      <c r="M39" s="85">
        <v>3800</v>
      </c>
      <c r="N39" s="85">
        <v>219480.8</v>
      </c>
      <c r="O39" s="85">
        <v>219480.8</v>
      </c>
      <c r="P39" s="85">
        <v>223828.7</v>
      </c>
      <c r="Q39" s="85">
        <v>228314.5</v>
      </c>
      <c r="R39" s="86">
        <v>-1.7018928631570618E-2</v>
      </c>
      <c r="S39" s="86">
        <v>1.9809933260677148E-2</v>
      </c>
      <c r="T39" s="86">
        <v>2.0041219021510681E-2</v>
      </c>
      <c r="U39" s="87"/>
    </row>
    <row r="40" spans="1:21" s="2" customFormat="1" ht="25.15" customHeight="1" x14ac:dyDescent="2.5">
      <c r="A40" s="3">
        <v>13</v>
      </c>
      <c r="C40" s="3">
        <v>1</v>
      </c>
      <c r="D40" s="3"/>
      <c r="E40" s="3"/>
      <c r="F40" s="3">
        <v>1</v>
      </c>
      <c r="H40" s="68" t="s">
        <v>4</v>
      </c>
      <c r="I40" s="68"/>
      <c r="J40" s="68" t="s">
        <v>4</v>
      </c>
      <c r="K40" s="68" t="s">
        <v>4</v>
      </c>
      <c r="L40" s="57">
        <v>45374.8</v>
      </c>
      <c r="M40" s="57">
        <v>264</v>
      </c>
      <c r="N40" s="57">
        <v>45110.8</v>
      </c>
      <c r="O40" s="57">
        <v>45110.8</v>
      </c>
      <c r="P40" s="57">
        <v>47366.3</v>
      </c>
      <c r="Q40" s="57">
        <v>49734.6</v>
      </c>
      <c r="R40" s="58">
        <v>-5.8182074631734082E-3</v>
      </c>
      <c r="S40" s="58">
        <v>4.999911329437734E-2</v>
      </c>
      <c r="T40" s="58">
        <v>4.9999683319152943E-2</v>
      </c>
      <c r="U40" s="37" t="s">
        <v>116</v>
      </c>
    </row>
    <row r="41" spans="1:21" s="2" customFormat="1" ht="25.15" customHeight="1" x14ac:dyDescent="2.5">
      <c r="A41" s="3">
        <v>13</v>
      </c>
      <c r="C41" s="3">
        <v>1</v>
      </c>
      <c r="D41" s="3"/>
      <c r="E41" s="3"/>
      <c r="F41" s="3">
        <v>2</v>
      </c>
      <c r="H41" s="68" t="s">
        <v>5</v>
      </c>
      <c r="I41" s="68"/>
      <c r="J41" s="68" t="s">
        <v>5</v>
      </c>
      <c r="K41" s="68" t="s">
        <v>5</v>
      </c>
      <c r="L41" s="57">
        <v>177906</v>
      </c>
      <c r="M41" s="57">
        <v>3536</v>
      </c>
      <c r="N41" s="57">
        <v>174370</v>
      </c>
      <c r="O41" s="57">
        <v>174370</v>
      </c>
      <c r="P41" s="57">
        <v>176462.4</v>
      </c>
      <c r="Q41" s="57">
        <v>178579.9</v>
      </c>
      <c r="R41" s="58">
        <v>-1.9875664676851867E-2</v>
      </c>
      <c r="S41" s="58">
        <v>1.1999770602741267E-2</v>
      </c>
      <c r="T41" s="58">
        <v>1.1999723453834932E-2</v>
      </c>
      <c r="U41" s="37" t="s">
        <v>89</v>
      </c>
    </row>
    <row r="42" spans="1:21" s="3" customFormat="1" ht="25.15" customHeight="1" x14ac:dyDescent="2.5">
      <c r="A42" s="3">
        <v>14</v>
      </c>
      <c r="C42" s="3">
        <v>1</v>
      </c>
      <c r="D42" s="3">
        <v>15</v>
      </c>
      <c r="E42" s="3">
        <v>8</v>
      </c>
      <c r="H42" s="84" t="s">
        <v>175</v>
      </c>
      <c r="I42" s="84" t="str">
        <f>LEFT(J42, FIND(" ", J42)-1)</f>
        <v>អនុកម្មវិធីទី៣.៣</v>
      </c>
      <c r="J42" s="84" t="s">
        <v>228</v>
      </c>
      <c r="K42" s="84" t="s">
        <v>59</v>
      </c>
      <c r="L42" s="85">
        <v>6227.8</v>
      </c>
      <c r="M42" s="85">
        <v>0</v>
      </c>
      <c r="N42" s="85">
        <v>6227.8</v>
      </c>
      <c r="O42" s="85">
        <v>6327.8</v>
      </c>
      <c r="P42" s="85">
        <v>6480.7000000000007</v>
      </c>
      <c r="Q42" s="85">
        <v>6639.3</v>
      </c>
      <c r="R42" s="86">
        <v>1.6057034586852481E-2</v>
      </c>
      <c r="S42" s="86">
        <v>2.4163216283700661E-2</v>
      </c>
      <c r="T42" s="86">
        <v>2.4472664989892978E-2</v>
      </c>
      <c r="U42" s="87"/>
    </row>
    <row r="43" spans="1:21" s="2" customFormat="1" ht="25.15" customHeight="1" x14ac:dyDescent="2.5">
      <c r="A43" s="3">
        <v>14</v>
      </c>
      <c r="C43" s="3">
        <v>1</v>
      </c>
      <c r="D43" s="3"/>
      <c r="E43" s="3"/>
      <c r="F43" s="3">
        <v>1</v>
      </c>
      <c r="H43" s="68" t="s">
        <v>4</v>
      </c>
      <c r="I43" s="68"/>
      <c r="J43" s="68" t="s">
        <v>4</v>
      </c>
      <c r="K43" s="68" t="s">
        <v>4</v>
      </c>
      <c r="L43" s="57">
        <v>2026.8</v>
      </c>
      <c r="M43" s="57"/>
      <c r="N43" s="57">
        <v>2026.8</v>
      </c>
      <c r="O43" s="57">
        <v>2026.8</v>
      </c>
      <c r="P43" s="57">
        <v>2128.1</v>
      </c>
      <c r="Q43" s="57">
        <v>2234.5</v>
      </c>
      <c r="R43" s="58">
        <v>0</v>
      </c>
      <c r="S43" s="58">
        <v>4.9980264456285672E-2</v>
      </c>
      <c r="T43" s="58">
        <v>4.9997650486349299E-2</v>
      </c>
      <c r="U43" s="37"/>
    </row>
    <row r="44" spans="1:21" s="2" customFormat="1" ht="25.15" customHeight="1" x14ac:dyDescent="2.5">
      <c r="A44" s="3">
        <v>14</v>
      </c>
      <c r="C44" s="3">
        <v>1</v>
      </c>
      <c r="D44" s="3"/>
      <c r="E44" s="3"/>
      <c r="F44" s="3">
        <v>2</v>
      </c>
      <c r="H44" s="68" t="s">
        <v>5</v>
      </c>
      <c r="I44" s="68"/>
      <c r="J44" s="68" t="s">
        <v>5</v>
      </c>
      <c r="K44" s="68" t="s">
        <v>5</v>
      </c>
      <c r="L44" s="57">
        <v>4201</v>
      </c>
      <c r="M44" s="57"/>
      <c r="N44" s="57">
        <v>4201</v>
      </c>
      <c r="O44" s="57">
        <v>4301</v>
      </c>
      <c r="P44" s="57">
        <v>4352.6000000000004</v>
      </c>
      <c r="Q44" s="57">
        <v>4404.8</v>
      </c>
      <c r="R44" s="58">
        <v>2.3803856224708486E-2</v>
      </c>
      <c r="S44" s="58">
        <v>1.1997209951174259E-2</v>
      </c>
      <c r="T44" s="58">
        <v>1.1992831870605958E-2</v>
      </c>
      <c r="U44" s="37" t="s">
        <v>134</v>
      </c>
    </row>
    <row r="45" spans="1:21" s="3" customFormat="1" ht="25.15" customHeight="1" x14ac:dyDescent="2.5">
      <c r="A45" s="3">
        <v>15</v>
      </c>
      <c r="C45" s="3">
        <v>1</v>
      </c>
      <c r="D45" s="3">
        <v>16</v>
      </c>
      <c r="E45" s="3">
        <v>27</v>
      </c>
      <c r="H45" s="84" t="s">
        <v>176</v>
      </c>
      <c r="I45" s="84" t="str">
        <f>LEFT(J45, FIND(" ", J45)-1)</f>
        <v>អនុកម្មវិធីទី៣.៤</v>
      </c>
      <c r="J45" s="84" t="s">
        <v>229</v>
      </c>
      <c r="K45" s="84" t="s">
        <v>137</v>
      </c>
      <c r="L45" s="85">
        <v>1837.4</v>
      </c>
      <c r="M45" s="85">
        <v>0</v>
      </c>
      <c r="N45" s="85">
        <v>1837.4</v>
      </c>
      <c r="O45" s="85">
        <v>1837.4</v>
      </c>
      <c r="P45" s="85">
        <v>1879</v>
      </c>
      <c r="Q45" s="85">
        <v>1922.1</v>
      </c>
      <c r="R45" s="86">
        <v>0</v>
      </c>
      <c r="S45" s="86">
        <v>2.2640687928594749E-2</v>
      </c>
      <c r="T45" s="86">
        <v>2.2937732836615154E-2</v>
      </c>
      <c r="U45" s="87"/>
    </row>
    <row r="46" spans="1:21" s="2" customFormat="1" ht="25.15" customHeight="1" x14ac:dyDescent="2.5">
      <c r="A46" s="3">
        <v>15</v>
      </c>
      <c r="C46" s="3">
        <v>1</v>
      </c>
      <c r="D46" s="3"/>
      <c r="E46" s="3"/>
      <c r="F46" s="3">
        <v>1</v>
      </c>
      <c r="H46" s="68" t="s">
        <v>4</v>
      </c>
      <c r="I46" s="68"/>
      <c r="J46" s="68" t="s">
        <v>4</v>
      </c>
      <c r="K46" s="68" t="s">
        <v>4</v>
      </c>
      <c r="L46" s="57">
        <v>514.4</v>
      </c>
      <c r="M46" s="57"/>
      <c r="N46" s="57">
        <v>514.4</v>
      </c>
      <c r="O46" s="57">
        <v>514.4</v>
      </c>
      <c r="P46" s="57">
        <v>540.1</v>
      </c>
      <c r="Q46" s="57">
        <v>567.1</v>
      </c>
      <c r="R46" s="58">
        <v>0</v>
      </c>
      <c r="S46" s="58">
        <v>4.9961119751166461E-2</v>
      </c>
      <c r="T46" s="58">
        <v>4.9990742455100934E-2</v>
      </c>
      <c r="U46" s="37"/>
    </row>
    <row r="47" spans="1:21" s="2" customFormat="1" ht="25.15" customHeight="1" x14ac:dyDescent="2.5">
      <c r="A47" s="3">
        <v>15</v>
      </c>
      <c r="C47" s="3">
        <v>1</v>
      </c>
      <c r="D47" s="3"/>
      <c r="E47" s="3"/>
      <c r="F47" s="3">
        <v>2</v>
      </c>
      <c r="H47" s="68" t="s">
        <v>5</v>
      </c>
      <c r="I47" s="68"/>
      <c r="J47" s="68" t="s">
        <v>5</v>
      </c>
      <c r="K47" s="68" t="s">
        <v>5</v>
      </c>
      <c r="L47" s="57">
        <v>1323</v>
      </c>
      <c r="M47" s="57"/>
      <c r="N47" s="57">
        <v>1323</v>
      </c>
      <c r="O47" s="57">
        <v>1323</v>
      </c>
      <c r="P47" s="57">
        <v>1338.9</v>
      </c>
      <c r="Q47" s="57">
        <v>1355</v>
      </c>
      <c r="R47" s="58">
        <v>0</v>
      </c>
      <c r="S47" s="58">
        <v>1.2018140589569182E-2</v>
      </c>
      <c r="T47" s="58">
        <v>1.2024796474717991E-2</v>
      </c>
      <c r="U47" s="37"/>
    </row>
    <row r="48" spans="1:21" s="3" customFormat="1" ht="25.15" customHeight="1" x14ac:dyDescent="2.5">
      <c r="A48" s="3">
        <v>16</v>
      </c>
      <c r="C48" s="3">
        <v>1</v>
      </c>
      <c r="D48" s="3">
        <v>18</v>
      </c>
      <c r="E48" s="3">
        <v>3</v>
      </c>
      <c r="H48" s="84" t="s">
        <v>177</v>
      </c>
      <c r="I48" s="84" t="str">
        <f>LEFT(J48, FIND(" ", J48)-1)</f>
        <v>អនុកម្មវិធីទី៤.១</v>
      </c>
      <c r="J48" s="84" t="s">
        <v>230</v>
      </c>
      <c r="K48" s="84" t="s">
        <v>60</v>
      </c>
      <c r="L48" s="85">
        <v>7995.2</v>
      </c>
      <c r="M48" s="85">
        <v>0</v>
      </c>
      <c r="N48" s="85">
        <v>7995.2</v>
      </c>
      <c r="O48" s="85">
        <v>8295.2000000000007</v>
      </c>
      <c r="P48" s="85">
        <v>8589.7000000000007</v>
      </c>
      <c r="Q48" s="85">
        <v>8897.4</v>
      </c>
      <c r="R48" s="86">
        <v>3.7522513508104982E-2</v>
      </c>
      <c r="S48" s="86">
        <v>3.5502459253544227E-2</v>
      </c>
      <c r="T48" s="86">
        <v>3.5821972827921655E-2</v>
      </c>
      <c r="U48" s="87"/>
    </row>
    <row r="49" spans="1:21" s="2" customFormat="1" ht="25.15" customHeight="1" x14ac:dyDescent="2.5">
      <c r="A49" s="3">
        <v>16</v>
      </c>
      <c r="C49" s="3">
        <v>1</v>
      </c>
      <c r="D49" s="3"/>
      <c r="E49" s="3"/>
      <c r="F49" s="3">
        <v>1</v>
      </c>
      <c r="H49" s="68" t="s">
        <v>4</v>
      </c>
      <c r="I49" s="68"/>
      <c r="J49" s="68" t="s">
        <v>4</v>
      </c>
      <c r="K49" s="68" t="s">
        <v>4</v>
      </c>
      <c r="L49" s="57">
        <v>5129.2</v>
      </c>
      <c r="M49" s="57"/>
      <c r="N49" s="57">
        <v>5129.2</v>
      </c>
      <c r="O49" s="57">
        <v>5129.2</v>
      </c>
      <c r="P49" s="57">
        <v>5385.7</v>
      </c>
      <c r="Q49" s="57">
        <v>5655</v>
      </c>
      <c r="R49" s="58">
        <v>0</v>
      </c>
      <c r="S49" s="58">
        <v>5.0007798487093469E-2</v>
      </c>
      <c r="T49" s="58">
        <v>5.0002785153276275E-2</v>
      </c>
      <c r="U49" s="37"/>
    </row>
    <row r="50" spans="1:21" s="2" customFormat="1" ht="25.15" customHeight="1" x14ac:dyDescent="2.5">
      <c r="A50" s="3">
        <v>16</v>
      </c>
      <c r="C50" s="3">
        <v>1</v>
      </c>
      <c r="D50" s="3"/>
      <c r="E50" s="3"/>
      <c r="F50" s="3">
        <v>2</v>
      </c>
      <c r="H50" s="68" t="s">
        <v>5</v>
      </c>
      <c r="I50" s="68"/>
      <c r="J50" s="68" t="s">
        <v>5</v>
      </c>
      <c r="K50" s="68" t="s">
        <v>5</v>
      </c>
      <c r="L50" s="57">
        <v>2866</v>
      </c>
      <c r="M50" s="57"/>
      <c r="N50" s="57">
        <v>2866</v>
      </c>
      <c r="O50" s="57">
        <v>3166</v>
      </c>
      <c r="P50" s="57">
        <v>3204</v>
      </c>
      <c r="Q50" s="57">
        <v>3242.4</v>
      </c>
      <c r="R50" s="58">
        <v>0.10467550593161201</v>
      </c>
      <c r="S50" s="58">
        <v>1.2002526847757489E-2</v>
      </c>
      <c r="T50" s="58">
        <v>1.1985018726591745E-2</v>
      </c>
      <c r="U50" s="37" t="s">
        <v>133</v>
      </c>
    </row>
    <row r="51" spans="1:21" s="3" customFormat="1" ht="25.15" customHeight="1" x14ac:dyDescent="2.5">
      <c r="A51" s="3">
        <v>17</v>
      </c>
      <c r="C51" s="3">
        <v>1</v>
      </c>
      <c r="D51" s="3">
        <v>19</v>
      </c>
      <c r="E51" s="3">
        <v>4</v>
      </c>
      <c r="H51" s="84" t="s">
        <v>178</v>
      </c>
      <c r="I51" s="84" t="str">
        <f>LEFT(J51, FIND(" ", J51)-1)</f>
        <v>អនុកម្មវិធីទី៤.២</v>
      </c>
      <c r="J51" s="84" t="s">
        <v>231</v>
      </c>
      <c r="K51" s="84" t="s">
        <v>61</v>
      </c>
      <c r="L51" s="85">
        <v>2792.4</v>
      </c>
      <c r="M51" s="85">
        <v>0</v>
      </c>
      <c r="N51" s="85">
        <v>2792.4</v>
      </c>
      <c r="O51" s="85">
        <v>2892.4</v>
      </c>
      <c r="P51" s="85">
        <v>2991.7</v>
      </c>
      <c r="Q51" s="85">
        <v>3095.3999999999996</v>
      </c>
      <c r="R51" s="86">
        <v>3.5811488325454777E-2</v>
      </c>
      <c r="S51" s="86">
        <v>3.4331351127091514E-2</v>
      </c>
      <c r="T51" s="86">
        <v>3.4662566433800057E-2</v>
      </c>
      <c r="U51" s="87"/>
    </row>
    <row r="52" spans="1:21" s="2" customFormat="1" ht="25.15" customHeight="1" x14ac:dyDescent="2.5">
      <c r="A52" s="3">
        <v>17</v>
      </c>
      <c r="C52" s="3">
        <v>1</v>
      </c>
      <c r="D52" s="3"/>
      <c r="E52" s="3"/>
      <c r="F52" s="3">
        <v>1</v>
      </c>
      <c r="H52" s="68" t="s">
        <v>4</v>
      </c>
      <c r="I52" s="68"/>
      <c r="J52" s="68" t="s">
        <v>4</v>
      </c>
      <c r="K52" s="68" t="s">
        <v>4</v>
      </c>
      <c r="L52" s="57">
        <v>1699.4</v>
      </c>
      <c r="M52" s="57"/>
      <c r="N52" s="57">
        <v>1699.4</v>
      </c>
      <c r="O52" s="57">
        <v>1699.4</v>
      </c>
      <c r="P52" s="57">
        <v>1784.4</v>
      </c>
      <c r="Q52" s="57">
        <v>1873.6</v>
      </c>
      <c r="R52" s="58">
        <v>0</v>
      </c>
      <c r="S52" s="58">
        <v>5.0017653289396335E-2</v>
      </c>
      <c r="T52" s="58">
        <v>4.9988791750728456E-2</v>
      </c>
      <c r="U52" s="37"/>
    </row>
    <row r="53" spans="1:21" s="2" customFormat="1" ht="25.15" customHeight="1" x14ac:dyDescent="2.5">
      <c r="A53" s="3">
        <v>17</v>
      </c>
      <c r="C53" s="3">
        <v>1</v>
      </c>
      <c r="D53" s="3"/>
      <c r="E53" s="3"/>
      <c r="F53" s="3">
        <v>2</v>
      </c>
      <c r="H53" s="68" t="s">
        <v>5</v>
      </c>
      <c r="I53" s="68"/>
      <c r="J53" s="68" t="s">
        <v>5</v>
      </c>
      <c r="K53" s="68" t="s">
        <v>5</v>
      </c>
      <c r="L53" s="57">
        <v>1093</v>
      </c>
      <c r="M53" s="57"/>
      <c r="N53" s="57">
        <v>1093</v>
      </c>
      <c r="O53" s="57">
        <v>1193</v>
      </c>
      <c r="P53" s="57">
        <v>1207.3</v>
      </c>
      <c r="Q53" s="57">
        <v>1221.8</v>
      </c>
      <c r="R53" s="58">
        <v>9.1491308325708953E-2</v>
      </c>
      <c r="S53" s="58">
        <v>1.1986588432522982E-2</v>
      </c>
      <c r="T53" s="58">
        <v>1.2010270852315097E-2</v>
      </c>
      <c r="U53" s="37" t="s">
        <v>134</v>
      </c>
    </row>
    <row r="54" spans="1:21" s="3" customFormat="1" ht="25.15" customHeight="1" x14ac:dyDescent="2.5">
      <c r="A54" s="3">
        <v>18</v>
      </c>
      <c r="C54" s="3">
        <v>1</v>
      </c>
      <c r="D54" s="3">
        <v>20</v>
      </c>
      <c r="E54" s="3">
        <v>5</v>
      </c>
      <c r="H54" s="84" t="s">
        <v>179</v>
      </c>
      <c r="I54" s="84" t="str">
        <f>LEFT(J54, FIND(" ", J54)-1)</f>
        <v>អនុកម្មវិធីទី៤.៣</v>
      </c>
      <c r="J54" s="84" t="s">
        <v>232</v>
      </c>
      <c r="K54" s="84" t="s">
        <v>62</v>
      </c>
      <c r="L54" s="85">
        <v>2646.2</v>
      </c>
      <c r="M54" s="85">
        <v>0</v>
      </c>
      <c r="N54" s="85">
        <v>2646.2</v>
      </c>
      <c r="O54" s="85">
        <v>2746.2</v>
      </c>
      <c r="P54" s="85">
        <v>2864.4</v>
      </c>
      <c r="Q54" s="85">
        <v>2988.2999999999997</v>
      </c>
      <c r="R54" s="86">
        <v>3.7790038545839399E-2</v>
      </c>
      <c r="S54" s="86">
        <v>4.3041293423639937E-2</v>
      </c>
      <c r="T54" s="86">
        <v>4.3255131964809346E-2</v>
      </c>
      <c r="U54" s="87"/>
    </row>
    <row r="55" spans="1:21" s="2" customFormat="1" ht="25.15" customHeight="1" x14ac:dyDescent="2.5">
      <c r="A55" s="3">
        <v>18</v>
      </c>
      <c r="C55" s="3">
        <v>1</v>
      </c>
      <c r="D55" s="3"/>
      <c r="E55" s="3"/>
      <c r="F55" s="3">
        <v>1</v>
      </c>
      <c r="H55" s="68" t="s">
        <v>4</v>
      </c>
      <c r="I55" s="68"/>
      <c r="J55" s="68" t="s">
        <v>4</v>
      </c>
      <c r="K55" s="68" t="s">
        <v>4</v>
      </c>
      <c r="L55" s="57">
        <v>2244.1999999999998</v>
      </c>
      <c r="M55" s="57"/>
      <c r="N55" s="57">
        <v>2244.1999999999998</v>
      </c>
      <c r="O55" s="57">
        <v>2244.1999999999998</v>
      </c>
      <c r="P55" s="57">
        <v>2356.4</v>
      </c>
      <c r="Q55" s="57">
        <v>2474.1999999999998</v>
      </c>
      <c r="R55" s="58">
        <v>0</v>
      </c>
      <c r="S55" s="58">
        <v>4.9995544069156184E-2</v>
      </c>
      <c r="T55" s="58">
        <v>4.9991512476659228E-2</v>
      </c>
      <c r="U55" s="37"/>
    </row>
    <row r="56" spans="1:21" s="2" customFormat="1" ht="25.15" customHeight="1" x14ac:dyDescent="2.5">
      <c r="A56" s="3">
        <v>18</v>
      </c>
      <c r="C56" s="3">
        <v>1</v>
      </c>
      <c r="D56" s="3"/>
      <c r="E56" s="3"/>
      <c r="F56" s="3">
        <v>2</v>
      </c>
      <c r="H56" s="68" t="s">
        <v>5</v>
      </c>
      <c r="I56" s="68"/>
      <c r="J56" s="68" t="s">
        <v>5</v>
      </c>
      <c r="K56" s="68" t="s">
        <v>5</v>
      </c>
      <c r="L56" s="57">
        <v>402</v>
      </c>
      <c r="M56" s="57"/>
      <c r="N56" s="57">
        <v>402</v>
      </c>
      <c r="O56" s="57">
        <v>502</v>
      </c>
      <c r="P56" s="57">
        <v>508</v>
      </c>
      <c r="Q56" s="57">
        <v>514.1</v>
      </c>
      <c r="R56" s="58">
        <v>0.24875621890547261</v>
      </c>
      <c r="S56" s="58">
        <v>1.195219123505975E-2</v>
      </c>
      <c r="T56" s="58">
        <v>1.2007874015748099E-2</v>
      </c>
      <c r="U56" s="37" t="s">
        <v>134</v>
      </c>
    </row>
    <row r="57" spans="1:21" s="3" customFormat="1" ht="25.15" customHeight="1" x14ac:dyDescent="2.5">
      <c r="A57" s="3">
        <v>19</v>
      </c>
      <c r="C57" s="3">
        <v>1</v>
      </c>
      <c r="D57" s="3">
        <v>21</v>
      </c>
      <c r="E57" s="3">
        <v>9</v>
      </c>
      <c r="H57" s="84" t="s">
        <v>180</v>
      </c>
      <c r="I57" s="84" t="str">
        <f>LEFT(J57, FIND(" ", J57)-1)</f>
        <v>អនុកម្មវិធីទី៤.៤</v>
      </c>
      <c r="J57" s="84" t="s">
        <v>233</v>
      </c>
      <c r="K57" s="84" t="s">
        <v>63</v>
      </c>
      <c r="L57" s="85">
        <v>17961.099999999999</v>
      </c>
      <c r="M57" s="85">
        <v>1373.5</v>
      </c>
      <c r="N57" s="85">
        <v>16587.599999999999</v>
      </c>
      <c r="O57" s="85">
        <v>16837.599999999999</v>
      </c>
      <c r="P57" s="85">
        <v>17487.2</v>
      </c>
      <c r="Q57" s="85">
        <v>18167</v>
      </c>
      <c r="R57" s="86">
        <v>-6.2551848160747436E-2</v>
      </c>
      <c r="S57" s="86">
        <v>3.8580320235663157E-2</v>
      </c>
      <c r="T57" s="86">
        <v>3.8874147948213533E-2</v>
      </c>
      <c r="U57" s="87"/>
    </row>
    <row r="58" spans="1:21" s="2" customFormat="1" ht="25.15" customHeight="1" x14ac:dyDescent="2.5">
      <c r="A58" s="3">
        <v>19</v>
      </c>
      <c r="C58" s="3">
        <v>1</v>
      </c>
      <c r="D58" s="3"/>
      <c r="E58" s="3"/>
      <c r="F58" s="3">
        <v>1</v>
      </c>
      <c r="H58" s="68" t="s">
        <v>4</v>
      </c>
      <c r="I58" s="68"/>
      <c r="J58" s="68" t="s">
        <v>4</v>
      </c>
      <c r="K58" s="68" t="s">
        <v>4</v>
      </c>
      <c r="L58" s="57">
        <v>11778.1</v>
      </c>
      <c r="M58" s="57"/>
      <c r="N58" s="57">
        <v>11778.1</v>
      </c>
      <c r="O58" s="57">
        <v>11778.1</v>
      </c>
      <c r="P58" s="57">
        <v>12367</v>
      </c>
      <c r="Q58" s="57">
        <v>12985.4</v>
      </c>
      <c r="R58" s="58">
        <v>0</v>
      </c>
      <c r="S58" s="58">
        <v>4.9999575483312242E-2</v>
      </c>
      <c r="T58" s="58">
        <v>5.0004043017708444E-2</v>
      </c>
      <c r="U58" s="37"/>
    </row>
    <row r="59" spans="1:21" s="2" customFormat="1" ht="25.15" customHeight="1" x14ac:dyDescent="2.5">
      <c r="A59" s="3">
        <v>19</v>
      </c>
      <c r="C59" s="3">
        <v>1</v>
      </c>
      <c r="D59" s="3"/>
      <c r="E59" s="3"/>
      <c r="F59" s="3">
        <v>2</v>
      </c>
      <c r="H59" s="68" t="s">
        <v>5</v>
      </c>
      <c r="I59" s="68"/>
      <c r="J59" s="68" t="s">
        <v>5</v>
      </c>
      <c r="K59" s="68" t="s">
        <v>5</v>
      </c>
      <c r="L59" s="57">
        <v>6183</v>
      </c>
      <c r="M59" s="57">
        <v>1373.5</v>
      </c>
      <c r="N59" s="57">
        <v>4809.5</v>
      </c>
      <c r="O59" s="57">
        <v>5059.5</v>
      </c>
      <c r="P59" s="57">
        <v>5120.2</v>
      </c>
      <c r="Q59" s="57">
        <v>5181.6000000000004</v>
      </c>
      <c r="R59" s="58">
        <v>-0.1817079087821446</v>
      </c>
      <c r="S59" s="58">
        <v>1.1997232928155022E-2</v>
      </c>
      <c r="T59" s="58">
        <v>1.1991719073473739E-2</v>
      </c>
      <c r="U59" s="37" t="s">
        <v>119</v>
      </c>
    </row>
    <row r="60" spans="1:21" s="3" customFormat="1" ht="25.15" customHeight="1" x14ac:dyDescent="2.5">
      <c r="A60" s="3">
        <v>20</v>
      </c>
      <c r="C60" s="3">
        <v>1</v>
      </c>
      <c r="D60" s="3">
        <v>22</v>
      </c>
      <c r="E60" s="3">
        <v>13</v>
      </c>
      <c r="H60" s="84" t="s">
        <v>181</v>
      </c>
      <c r="I60" s="84" t="str">
        <f>LEFT(J60, FIND(" ", J60)-1)</f>
        <v>អនុកម្មវិធីទី៤.៥</v>
      </c>
      <c r="J60" s="84" t="s">
        <v>234</v>
      </c>
      <c r="K60" s="84" t="s">
        <v>64</v>
      </c>
      <c r="L60" s="85">
        <v>15485.8</v>
      </c>
      <c r="M60" s="85">
        <v>0</v>
      </c>
      <c r="N60" s="85">
        <v>15485.8</v>
      </c>
      <c r="O60" s="85">
        <v>15735.8</v>
      </c>
      <c r="P60" s="85">
        <v>15975.800000000001</v>
      </c>
      <c r="Q60" s="85">
        <v>16221.3</v>
      </c>
      <c r="R60" s="86">
        <v>1.6143822082165693E-2</v>
      </c>
      <c r="S60" s="86">
        <v>1.5251846108872869E-2</v>
      </c>
      <c r="T60" s="86">
        <v>1.5366992576271388E-2</v>
      </c>
      <c r="U60" s="87"/>
    </row>
    <row r="61" spans="1:21" s="2" customFormat="1" ht="25.15" customHeight="1" x14ac:dyDescent="2.5">
      <c r="A61" s="3">
        <v>20</v>
      </c>
      <c r="C61" s="3">
        <v>1</v>
      </c>
      <c r="D61" s="3"/>
      <c r="E61" s="3"/>
      <c r="F61" s="3">
        <v>1</v>
      </c>
      <c r="H61" s="68" t="s">
        <v>4</v>
      </c>
      <c r="I61" s="68"/>
      <c r="J61" s="68" t="s">
        <v>4</v>
      </c>
      <c r="K61" s="68" t="s">
        <v>4</v>
      </c>
      <c r="L61" s="57">
        <v>1345.8</v>
      </c>
      <c r="M61" s="57"/>
      <c r="N61" s="57">
        <v>1345.8</v>
      </c>
      <c r="O61" s="57">
        <v>1345.8</v>
      </c>
      <c r="P61" s="57">
        <v>1413.1</v>
      </c>
      <c r="Q61" s="57">
        <v>1483.8</v>
      </c>
      <c r="R61" s="58">
        <v>0</v>
      </c>
      <c r="S61" s="58">
        <v>5.0007430524594998E-2</v>
      </c>
      <c r="T61" s="58">
        <v>5.0031844880050969E-2</v>
      </c>
      <c r="U61" s="37"/>
    </row>
    <row r="62" spans="1:21" s="2" customFormat="1" ht="25.15" customHeight="1" x14ac:dyDescent="2.5">
      <c r="A62" s="3">
        <v>20</v>
      </c>
      <c r="C62" s="3">
        <v>1</v>
      </c>
      <c r="D62" s="3"/>
      <c r="E62" s="3"/>
      <c r="F62" s="3">
        <v>2</v>
      </c>
      <c r="H62" s="68" t="s">
        <v>5</v>
      </c>
      <c r="I62" s="68"/>
      <c r="J62" s="68" t="s">
        <v>5</v>
      </c>
      <c r="K62" s="68" t="s">
        <v>5</v>
      </c>
      <c r="L62" s="57">
        <v>14140</v>
      </c>
      <c r="M62" s="57"/>
      <c r="N62" s="57">
        <v>14140</v>
      </c>
      <c r="O62" s="57">
        <v>14390</v>
      </c>
      <c r="P62" s="57">
        <v>14562.7</v>
      </c>
      <c r="Q62" s="57">
        <v>14737.5</v>
      </c>
      <c r="R62" s="58">
        <v>1.7680339462517791E-2</v>
      </c>
      <c r="S62" s="58">
        <v>1.2001389854065403E-2</v>
      </c>
      <c r="T62" s="58">
        <v>1.2003268624636965E-2</v>
      </c>
      <c r="U62" s="37" t="s">
        <v>118</v>
      </c>
    </row>
    <row r="63" spans="1:21" s="3" customFormat="1" ht="25.15" customHeight="1" x14ac:dyDescent="2.5">
      <c r="A63" s="3">
        <v>21</v>
      </c>
      <c r="C63" s="3">
        <v>1</v>
      </c>
      <c r="D63" s="3">
        <v>23</v>
      </c>
      <c r="E63" s="3">
        <v>491</v>
      </c>
      <c r="H63" s="84" t="s">
        <v>161</v>
      </c>
      <c r="I63" s="84" t="str">
        <f>LEFT(J63, FIND(" ", J63)-1)</f>
        <v>អនុកម្មវិធីទី៤.៦</v>
      </c>
      <c r="J63" s="84" t="s">
        <v>235</v>
      </c>
      <c r="K63" s="84" t="s">
        <v>65</v>
      </c>
      <c r="L63" s="85">
        <v>252</v>
      </c>
      <c r="M63" s="85">
        <v>0</v>
      </c>
      <c r="N63" s="85">
        <v>252</v>
      </c>
      <c r="O63" s="85">
        <v>552</v>
      </c>
      <c r="P63" s="85">
        <v>558.6</v>
      </c>
      <c r="Q63" s="85">
        <v>565.29999999999995</v>
      </c>
      <c r="R63" s="86">
        <v>1.1904761904761907</v>
      </c>
      <c r="S63" s="86">
        <v>1.1956521739130421E-2</v>
      </c>
      <c r="T63" s="86">
        <v>1.199427139276743E-2</v>
      </c>
      <c r="U63" s="87"/>
    </row>
    <row r="64" spans="1:21" s="2" customFormat="1" ht="25.15" customHeight="1" x14ac:dyDescent="2.5">
      <c r="A64" s="3">
        <v>21</v>
      </c>
      <c r="C64" s="3">
        <v>1</v>
      </c>
      <c r="D64" s="3"/>
      <c r="E64" s="3"/>
      <c r="F64" s="3">
        <v>1</v>
      </c>
      <c r="H64" s="68" t="s">
        <v>4</v>
      </c>
      <c r="I64" s="68"/>
      <c r="J64" s="68" t="s">
        <v>4</v>
      </c>
      <c r="K64" s="68" t="s">
        <v>4</v>
      </c>
      <c r="L64" s="57">
        <v>0</v>
      </c>
      <c r="M64" s="57"/>
      <c r="N64" s="57">
        <v>0</v>
      </c>
      <c r="O64" s="57">
        <v>0</v>
      </c>
      <c r="P64" s="57">
        <v>0</v>
      </c>
      <c r="Q64" s="57">
        <v>0</v>
      </c>
      <c r="R64" s="58" t="s">
        <v>141</v>
      </c>
      <c r="S64" s="58" t="s">
        <v>141</v>
      </c>
      <c r="T64" s="58" t="s">
        <v>141</v>
      </c>
      <c r="U64" s="37"/>
    </row>
    <row r="65" spans="1:21" s="2" customFormat="1" ht="25.15" customHeight="1" x14ac:dyDescent="2.5">
      <c r="A65" s="3">
        <v>21</v>
      </c>
      <c r="C65" s="3">
        <v>1</v>
      </c>
      <c r="D65" s="3"/>
      <c r="E65" s="3"/>
      <c r="F65" s="3">
        <v>2</v>
      </c>
      <c r="H65" s="68" t="s">
        <v>5</v>
      </c>
      <c r="I65" s="68"/>
      <c r="J65" s="68" t="s">
        <v>5</v>
      </c>
      <c r="K65" s="68" t="s">
        <v>5</v>
      </c>
      <c r="L65" s="57">
        <v>252</v>
      </c>
      <c r="M65" s="57"/>
      <c r="N65" s="57">
        <v>252</v>
      </c>
      <c r="O65" s="57">
        <v>552</v>
      </c>
      <c r="P65" s="57">
        <v>558.6</v>
      </c>
      <c r="Q65" s="57">
        <v>565.29999999999995</v>
      </c>
      <c r="R65" s="58">
        <v>1.1904761904761907</v>
      </c>
      <c r="S65" s="58">
        <v>1.1956521739130421E-2</v>
      </c>
      <c r="T65" s="58">
        <v>1.199427139276743E-2</v>
      </c>
      <c r="U65" s="37" t="s">
        <v>117</v>
      </c>
    </row>
    <row r="66" spans="1:21" s="3" customFormat="1" ht="25.15" customHeight="1" x14ac:dyDescent="2.5">
      <c r="A66" s="3">
        <v>22</v>
      </c>
      <c r="C66" s="3">
        <v>1</v>
      </c>
      <c r="D66" s="3">
        <v>24</v>
      </c>
      <c r="E66" s="3">
        <v>12</v>
      </c>
      <c r="H66" s="84" t="s">
        <v>182</v>
      </c>
      <c r="I66" s="84" t="str">
        <f>LEFT(J66, FIND(" ", J66)-1)</f>
        <v>អនុកម្មវិធីទី៤.៧</v>
      </c>
      <c r="J66" s="84" t="s">
        <v>236</v>
      </c>
      <c r="K66" s="84" t="s">
        <v>136</v>
      </c>
      <c r="L66" s="85">
        <v>1433</v>
      </c>
      <c r="M66" s="85">
        <v>0</v>
      </c>
      <c r="N66" s="85">
        <v>1433</v>
      </c>
      <c r="O66" s="85">
        <v>1533</v>
      </c>
      <c r="P66" s="85">
        <v>1599.6000000000001</v>
      </c>
      <c r="Q66" s="85">
        <v>1669.4</v>
      </c>
      <c r="R66" s="86">
        <v>6.9783670621074601E-2</v>
      </c>
      <c r="S66" s="86">
        <v>4.3444227005871028E-2</v>
      </c>
      <c r="T66" s="86">
        <v>4.3635908977244231E-2</v>
      </c>
      <c r="U66" s="87"/>
    </row>
    <row r="67" spans="1:21" s="2" customFormat="1" ht="25.15" customHeight="1" x14ac:dyDescent="2.5">
      <c r="A67" s="3">
        <v>22</v>
      </c>
      <c r="C67" s="3">
        <v>1</v>
      </c>
      <c r="D67" s="3"/>
      <c r="E67" s="3"/>
      <c r="F67" s="3">
        <v>1</v>
      </c>
      <c r="H67" s="68" t="s">
        <v>4</v>
      </c>
      <c r="I67" s="68"/>
      <c r="J67" s="68" t="s">
        <v>4</v>
      </c>
      <c r="K67" s="68" t="s">
        <v>4</v>
      </c>
      <c r="L67" s="57">
        <v>1268</v>
      </c>
      <c r="M67" s="57"/>
      <c r="N67" s="57">
        <v>1268</v>
      </c>
      <c r="O67" s="57">
        <v>1268</v>
      </c>
      <c r="P67" s="57">
        <v>1331.4</v>
      </c>
      <c r="Q67" s="57">
        <v>1398</v>
      </c>
      <c r="R67" s="58">
        <v>0</v>
      </c>
      <c r="S67" s="58">
        <v>5.0000000000000044E-2</v>
      </c>
      <c r="T67" s="58">
        <v>5.0022532672374886E-2</v>
      </c>
      <c r="U67" s="37"/>
    </row>
    <row r="68" spans="1:21" s="2" customFormat="1" ht="25.15" customHeight="1" x14ac:dyDescent="2.5">
      <c r="A68" s="3">
        <v>22</v>
      </c>
      <c r="C68" s="3">
        <v>1</v>
      </c>
      <c r="D68" s="3"/>
      <c r="E68" s="3"/>
      <c r="F68" s="3">
        <v>2</v>
      </c>
      <c r="H68" s="68" t="s">
        <v>5</v>
      </c>
      <c r="I68" s="68"/>
      <c r="J68" s="68" t="s">
        <v>5</v>
      </c>
      <c r="K68" s="68" t="s">
        <v>5</v>
      </c>
      <c r="L68" s="57">
        <v>165</v>
      </c>
      <c r="M68" s="57"/>
      <c r="N68" s="57">
        <v>165</v>
      </c>
      <c r="O68" s="57">
        <v>265</v>
      </c>
      <c r="P68" s="57">
        <v>268.2</v>
      </c>
      <c r="Q68" s="57">
        <v>271.39999999999998</v>
      </c>
      <c r="R68" s="58">
        <v>0.60606060606060597</v>
      </c>
      <c r="S68" s="58">
        <v>1.2075471698113072E-2</v>
      </c>
      <c r="T68" s="58">
        <v>1.1931394481730084E-2</v>
      </c>
      <c r="U68" s="37" t="s">
        <v>134</v>
      </c>
    </row>
    <row r="69" spans="1:21" s="3" customFormat="1" ht="25.15" customHeight="1" x14ac:dyDescent="2.5">
      <c r="A69" s="3">
        <v>23</v>
      </c>
      <c r="C69" s="3">
        <v>1</v>
      </c>
      <c r="D69" s="3">
        <v>25</v>
      </c>
      <c r="E69" s="3">
        <v>10</v>
      </c>
      <c r="H69" s="84" t="s">
        <v>162</v>
      </c>
      <c r="I69" s="84" t="str">
        <f>LEFT(J69, FIND(" ", J69)-1)</f>
        <v>អនុកម្មវិធីទី៤.៨</v>
      </c>
      <c r="J69" s="84" t="s">
        <v>237</v>
      </c>
      <c r="K69" s="84" t="s">
        <v>66</v>
      </c>
      <c r="L69" s="85">
        <v>2632.9</v>
      </c>
      <c r="M69" s="85">
        <v>0</v>
      </c>
      <c r="N69" s="85">
        <v>2632.9</v>
      </c>
      <c r="O69" s="85">
        <v>2782.9</v>
      </c>
      <c r="P69" s="85">
        <v>2891.8</v>
      </c>
      <c r="Q69" s="85">
        <v>3005.7999999999997</v>
      </c>
      <c r="R69" s="86">
        <v>5.6971400357020752E-2</v>
      </c>
      <c r="S69" s="86">
        <v>3.9131840885407332E-2</v>
      </c>
      <c r="T69" s="86">
        <v>3.9421813403416328E-2</v>
      </c>
      <c r="U69" s="87"/>
    </row>
    <row r="70" spans="1:21" s="2" customFormat="1" ht="25.15" customHeight="1" x14ac:dyDescent="2.5">
      <c r="A70" s="3">
        <v>23</v>
      </c>
      <c r="C70" s="3">
        <v>1</v>
      </c>
      <c r="D70" s="3"/>
      <c r="E70" s="3"/>
      <c r="F70" s="3">
        <v>1</v>
      </c>
      <c r="H70" s="68" t="s">
        <v>4</v>
      </c>
      <c r="I70" s="68"/>
      <c r="J70" s="68" t="s">
        <v>4</v>
      </c>
      <c r="K70" s="68" t="s">
        <v>4</v>
      </c>
      <c r="L70" s="57">
        <v>1988.9</v>
      </c>
      <c r="M70" s="57"/>
      <c r="N70" s="57">
        <v>1988.9</v>
      </c>
      <c r="O70" s="57">
        <v>1988.9</v>
      </c>
      <c r="P70" s="57">
        <v>2088.3000000000002</v>
      </c>
      <c r="Q70" s="57">
        <v>2192.6999999999998</v>
      </c>
      <c r="R70" s="58">
        <v>0</v>
      </c>
      <c r="S70" s="58">
        <v>4.9977374428075816E-2</v>
      </c>
      <c r="T70" s="58">
        <v>4.9992817123976296E-2</v>
      </c>
      <c r="U70" s="37"/>
    </row>
    <row r="71" spans="1:21" s="2" customFormat="1" ht="25.15" customHeight="1" x14ac:dyDescent="2.5">
      <c r="A71" s="3">
        <v>23</v>
      </c>
      <c r="C71" s="3">
        <v>1</v>
      </c>
      <c r="D71" s="3"/>
      <c r="E71" s="3"/>
      <c r="F71" s="3">
        <v>2</v>
      </c>
      <c r="H71" s="68" t="s">
        <v>5</v>
      </c>
      <c r="I71" s="68"/>
      <c r="J71" s="68" t="s">
        <v>5</v>
      </c>
      <c r="K71" s="68" t="s">
        <v>5</v>
      </c>
      <c r="L71" s="57">
        <v>644</v>
      </c>
      <c r="M71" s="57"/>
      <c r="N71" s="57">
        <v>644</v>
      </c>
      <c r="O71" s="57">
        <v>794</v>
      </c>
      <c r="P71" s="57">
        <v>803.5</v>
      </c>
      <c r="Q71" s="57">
        <v>813.1</v>
      </c>
      <c r="R71" s="58">
        <v>0.23291925465838514</v>
      </c>
      <c r="S71" s="58">
        <v>1.1964735516372782E-2</v>
      </c>
      <c r="T71" s="58">
        <v>1.1947728686994452E-2</v>
      </c>
      <c r="U71" s="37" t="s">
        <v>134</v>
      </c>
    </row>
    <row r="72" spans="1:21" s="3" customFormat="1" ht="25.15" customHeight="1" x14ac:dyDescent="2.5">
      <c r="A72" s="3">
        <v>24</v>
      </c>
      <c r="C72" s="3">
        <v>1</v>
      </c>
      <c r="D72" s="3">
        <v>26</v>
      </c>
      <c r="E72" s="3">
        <v>17</v>
      </c>
      <c r="H72" s="84" t="s">
        <v>183</v>
      </c>
      <c r="I72" s="84" t="str">
        <f>LEFT(J72, FIND(" ", J72)-1)</f>
        <v>អនុកម្មវិធីទី៤.៩</v>
      </c>
      <c r="J72" s="84" t="s">
        <v>238</v>
      </c>
      <c r="K72" s="84" t="s">
        <v>138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5">
        <v>0</v>
      </c>
      <c r="R72" s="86" t="s">
        <v>141</v>
      </c>
      <c r="S72" s="86" t="s">
        <v>141</v>
      </c>
      <c r="T72" s="86" t="s">
        <v>141</v>
      </c>
      <c r="U72" s="87"/>
    </row>
    <row r="73" spans="1:21" s="2" customFormat="1" ht="25.15" customHeight="1" x14ac:dyDescent="2.5">
      <c r="A73" s="3">
        <v>24</v>
      </c>
      <c r="C73" s="3">
        <v>1</v>
      </c>
      <c r="D73" s="3"/>
      <c r="E73" s="3"/>
      <c r="F73" s="3">
        <v>1</v>
      </c>
      <c r="H73" s="68" t="s">
        <v>4</v>
      </c>
      <c r="I73" s="68"/>
      <c r="J73" s="68" t="s">
        <v>4</v>
      </c>
      <c r="K73" s="68" t="s">
        <v>4</v>
      </c>
      <c r="L73" s="57">
        <v>0</v>
      </c>
      <c r="M73" s="57"/>
      <c r="N73" s="57">
        <v>0</v>
      </c>
      <c r="O73" s="57">
        <v>0</v>
      </c>
      <c r="P73" s="57">
        <v>0</v>
      </c>
      <c r="Q73" s="57">
        <v>0</v>
      </c>
      <c r="R73" s="58" t="s">
        <v>141</v>
      </c>
      <c r="S73" s="58" t="s">
        <v>141</v>
      </c>
      <c r="T73" s="58" t="s">
        <v>141</v>
      </c>
      <c r="U73" s="37"/>
    </row>
    <row r="74" spans="1:21" s="2" customFormat="1" ht="25.15" customHeight="1" x14ac:dyDescent="2.5">
      <c r="A74" s="3">
        <v>24</v>
      </c>
      <c r="C74" s="3">
        <v>1</v>
      </c>
      <c r="D74" s="3"/>
      <c r="E74" s="3"/>
      <c r="F74" s="3">
        <v>2</v>
      </c>
      <c r="H74" s="68" t="s">
        <v>5</v>
      </c>
      <c r="I74" s="68"/>
      <c r="J74" s="68" t="s">
        <v>5</v>
      </c>
      <c r="K74" s="68" t="s">
        <v>5</v>
      </c>
      <c r="L74" s="57">
        <v>0</v>
      </c>
      <c r="M74" s="57"/>
      <c r="N74" s="57">
        <v>0</v>
      </c>
      <c r="O74" s="57">
        <v>0</v>
      </c>
      <c r="P74" s="57">
        <v>0</v>
      </c>
      <c r="Q74" s="57">
        <v>0</v>
      </c>
      <c r="R74" s="58" t="s">
        <v>141</v>
      </c>
      <c r="S74" s="58" t="s">
        <v>141</v>
      </c>
      <c r="T74" s="58" t="s">
        <v>141</v>
      </c>
      <c r="U74" s="37"/>
    </row>
    <row r="75" spans="1:21" s="3" customFormat="1" ht="25.15" customHeight="1" x14ac:dyDescent="2.5">
      <c r="A75" s="3">
        <v>25</v>
      </c>
      <c r="C75" s="3">
        <v>1</v>
      </c>
      <c r="D75" s="3">
        <v>28</v>
      </c>
      <c r="E75" s="3">
        <v>14</v>
      </c>
      <c r="H75" s="84" t="s">
        <v>184</v>
      </c>
      <c r="I75" s="84" t="str">
        <f>LEFT(J75, FIND(" ", J75)-1)</f>
        <v>អនុកម្មវិធីទី៥.១</v>
      </c>
      <c r="J75" s="84" t="s">
        <v>239</v>
      </c>
      <c r="K75" s="84" t="s">
        <v>67</v>
      </c>
      <c r="L75" s="85">
        <v>1354.8</v>
      </c>
      <c r="M75" s="85">
        <v>0</v>
      </c>
      <c r="N75" s="85">
        <v>1354.8</v>
      </c>
      <c r="O75" s="85">
        <v>1554.8</v>
      </c>
      <c r="P75" s="85">
        <v>1604.2</v>
      </c>
      <c r="Q75" s="85">
        <v>1655.8000000000002</v>
      </c>
      <c r="R75" s="86">
        <v>0.14762326542663118</v>
      </c>
      <c r="S75" s="86">
        <v>3.177257525083621E-2</v>
      </c>
      <c r="T75" s="86">
        <v>3.2165565390849027E-2</v>
      </c>
      <c r="U75" s="87"/>
    </row>
    <row r="76" spans="1:21" s="2" customFormat="1" ht="25.15" customHeight="1" x14ac:dyDescent="2.5">
      <c r="A76" s="3">
        <v>25</v>
      </c>
      <c r="C76" s="3">
        <v>1</v>
      </c>
      <c r="D76" s="3"/>
      <c r="E76" s="3"/>
      <c r="F76" s="3">
        <v>1</v>
      </c>
      <c r="H76" s="68" t="s">
        <v>4</v>
      </c>
      <c r="I76" s="68"/>
      <c r="J76" s="68" t="s">
        <v>4</v>
      </c>
      <c r="K76" s="68" t="s">
        <v>4</v>
      </c>
      <c r="L76" s="57">
        <v>808.8</v>
      </c>
      <c r="M76" s="57"/>
      <c r="N76" s="57">
        <v>808.8</v>
      </c>
      <c r="O76" s="57">
        <v>808.8</v>
      </c>
      <c r="P76" s="57">
        <v>849.2</v>
      </c>
      <c r="Q76" s="57">
        <v>891.7</v>
      </c>
      <c r="R76" s="58">
        <v>0</v>
      </c>
      <c r="S76" s="58">
        <v>4.9950544015826104E-2</v>
      </c>
      <c r="T76" s="58">
        <v>5.0047103155911543E-2</v>
      </c>
      <c r="U76" s="37"/>
    </row>
    <row r="77" spans="1:21" s="2" customFormat="1" ht="25.15" customHeight="1" x14ac:dyDescent="2.5">
      <c r="A77" s="3">
        <v>25</v>
      </c>
      <c r="C77" s="3">
        <v>1</v>
      </c>
      <c r="D77" s="3"/>
      <c r="E77" s="3"/>
      <c r="F77" s="3">
        <v>2</v>
      </c>
      <c r="H77" s="68" t="s">
        <v>5</v>
      </c>
      <c r="I77" s="68"/>
      <c r="J77" s="68" t="s">
        <v>5</v>
      </c>
      <c r="K77" s="68" t="s">
        <v>5</v>
      </c>
      <c r="L77" s="57">
        <v>546</v>
      </c>
      <c r="M77" s="57"/>
      <c r="N77" s="57">
        <v>546</v>
      </c>
      <c r="O77" s="57">
        <v>746</v>
      </c>
      <c r="P77" s="57">
        <v>755</v>
      </c>
      <c r="Q77" s="57">
        <v>764.1</v>
      </c>
      <c r="R77" s="58">
        <v>0.36630036630036633</v>
      </c>
      <c r="S77" s="58">
        <v>1.2064343163538771E-2</v>
      </c>
      <c r="T77" s="58">
        <v>1.2052980132450264E-2</v>
      </c>
      <c r="U77" s="37" t="s">
        <v>133</v>
      </c>
    </row>
    <row r="78" spans="1:21" s="3" customFormat="1" ht="25.15" customHeight="1" x14ac:dyDescent="2.5">
      <c r="A78" s="3">
        <v>26</v>
      </c>
      <c r="C78" s="3">
        <v>1</v>
      </c>
      <c r="D78" s="3">
        <v>29</v>
      </c>
      <c r="E78" s="3">
        <v>21</v>
      </c>
      <c r="H78" s="84" t="s">
        <v>185</v>
      </c>
      <c r="I78" s="84" t="str">
        <f>LEFT(J78, FIND(" ", J78)-1)</f>
        <v>អនុកម្មវិធីទី៥.២</v>
      </c>
      <c r="J78" s="84" t="s">
        <v>240</v>
      </c>
      <c r="K78" s="84" t="s">
        <v>68</v>
      </c>
      <c r="L78" s="85">
        <v>1595.4</v>
      </c>
      <c r="M78" s="85">
        <v>0</v>
      </c>
      <c r="N78" s="85">
        <v>1595.4</v>
      </c>
      <c r="O78" s="85">
        <v>1695.4</v>
      </c>
      <c r="P78" s="85">
        <v>1752</v>
      </c>
      <c r="Q78" s="85">
        <v>1811.1</v>
      </c>
      <c r="R78" s="86">
        <v>6.2680205591074234E-2</v>
      </c>
      <c r="S78" s="86">
        <v>3.3384452046714586E-2</v>
      </c>
      <c r="T78" s="86">
        <v>3.3732876712328608E-2</v>
      </c>
      <c r="U78" s="87"/>
    </row>
    <row r="79" spans="1:21" s="2" customFormat="1" ht="25.15" customHeight="1" x14ac:dyDescent="2.5">
      <c r="A79" s="3">
        <v>26</v>
      </c>
      <c r="C79" s="3">
        <v>1</v>
      </c>
      <c r="D79" s="3"/>
      <c r="E79" s="3"/>
      <c r="F79" s="3">
        <v>1</v>
      </c>
      <c r="H79" s="68" t="s">
        <v>4</v>
      </c>
      <c r="I79" s="68"/>
      <c r="J79" s="68" t="s">
        <v>4</v>
      </c>
      <c r="K79" s="68" t="s">
        <v>4</v>
      </c>
      <c r="L79" s="57">
        <v>953.4</v>
      </c>
      <c r="M79" s="57"/>
      <c r="N79" s="57">
        <v>953.4</v>
      </c>
      <c r="O79" s="57">
        <v>953.4</v>
      </c>
      <c r="P79" s="57">
        <v>1001.1</v>
      </c>
      <c r="Q79" s="57">
        <v>1051.2</v>
      </c>
      <c r="R79" s="58">
        <v>0</v>
      </c>
      <c r="S79" s="58">
        <v>5.0031466331025953E-2</v>
      </c>
      <c r="T79" s="58">
        <v>5.0044950554390288E-2</v>
      </c>
      <c r="U79" s="37"/>
    </row>
    <row r="80" spans="1:21" s="2" customFormat="1" ht="25.15" customHeight="1" x14ac:dyDescent="2.5">
      <c r="A80" s="3">
        <v>26</v>
      </c>
      <c r="C80" s="3">
        <v>1</v>
      </c>
      <c r="D80" s="3"/>
      <c r="E80" s="3"/>
      <c r="F80" s="3">
        <v>2</v>
      </c>
      <c r="H80" s="68" t="s">
        <v>5</v>
      </c>
      <c r="I80" s="68"/>
      <c r="J80" s="68" t="s">
        <v>5</v>
      </c>
      <c r="K80" s="68" t="s">
        <v>5</v>
      </c>
      <c r="L80" s="57">
        <v>642</v>
      </c>
      <c r="M80" s="57"/>
      <c r="N80" s="57">
        <v>642</v>
      </c>
      <c r="O80" s="57">
        <v>742</v>
      </c>
      <c r="P80" s="57">
        <v>750.9</v>
      </c>
      <c r="Q80" s="57">
        <v>759.9</v>
      </c>
      <c r="R80" s="58">
        <v>0.15576323987538943</v>
      </c>
      <c r="S80" s="58">
        <v>1.1994609164420522E-2</v>
      </c>
      <c r="T80" s="58">
        <v>1.1985617259288928E-2</v>
      </c>
      <c r="U80" s="37" t="s">
        <v>134</v>
      </c>
    </row>
    <row r="81" spans="1:21" s="3" customFormat="1" ht="25.15" customHeight="1" x14ac:dyDescent="2.5">
      <c r="A81" s="3">
        <v>27</v>
      </c>
      <c r="C81" s="3">
        <v>1</v>
      </c>
      <c r="D81" s="3">
        <v>30</v>
      </c>
      <c r="E81" s="3">
        <v>2</v>
      </c>
      <c r="H81" s="84" t="s">
        <v>186</v>
      </c>
      <c r="I81" s="84" t="str">
        <f>LEFT(J81, FIND(" ", J81)-1)</f>
        <v>អនុកម្មវិធីទី៥.៣</v>
      </c>
      <c r="J81" s="84" t="s">
        <v>241</v>
      </c>
      <c r="K81" s="84" t="s">
        <v>69</v>
      </c>
      <c r="L81" s="85">
        <v>47634.8</v>
      </c>
      <c r="M81" s="85">
        <v>631</v>
      </c>
      <c r="N81" s="85">
        <v>47003.8</v>
      </c>
      <c r="O81" s="85">
        <v>58352</v>
      </c>
      <c r="P81" s="85">
        <v>60077</v>
      </c>
      <c r="Q81" s="85">
        <v>61934.3</v>
      </c>
      <c r="R81" s="86">
        <v>0.22498677437503667</v>
      </c>
      <c r="S81" s="86">
        <v>2.9561968741431244E-2</v>
      </c>
      <c r="T81" s="86">
        <v>3.0915325332490085E-2</v>
      </c>
      <c r="U81" s="87"/>
    </row>
    <row r="82" spans="1:21" s="2" customFormat="1" ht="25.15" customHeight="1" x14ac:dyDescent="2.5">
      <c r="A82" s="3">
        <v>27</v>
      </c>
      <c r="C82" s="3">
        <v>1</v>
      </c>
      <c r="D82" s="3"/>
      <c r="E82" s="3"/>
      <c r="F82" s="3">
        <v>1</v>
      </c>
      <c r="H82" s="68" t="s">
        <v>4</v>
      </c>
      <c r="I82" s="68"/>
      <c r="J82" s="68" t="s">
        <v>4</v>
      </c>
      <c r="K82" s="68" t="s">
        <v>4</v>
      </c>
      <c r="L82" s="57">
        <v>15324</v>
      </c>
      <c r="M82" s="57">
        <v>0</v>
      </c>
      <c r="N82" s="57">
        <v>15324</v>
      </c>
      <c r="O82" s="57">
        <v>26381</v>
      </c>
      <c r="P82" s="57">
        <v>27700.3</v>
      </c>
      <c r="Q82" s="57">
        <v>29085.399999999998</v>
      </c>
      <c r="R82" s="58">
        <v>0.72154789872096048</v>
      </c>
      <c r="S82" s="58">
        <v>5.0009476517190343E-2</v>
      </c>
      <c r="T82" s="58">
        <v>5.0003068558824193E-2</v>
      </c>
      <c r="U82" s="37"/>
    </row>
    <row r="83" spans="1:21" s="2" customFormat="1" ht="25.15" customHeight="1" x14ac:dyDescent="2.5">
      <c r="A83" s="3">
        <v>27</v>
      </c>
      <c r="C83" s="3">
        <v>1</v>
      </c>
      <c r="D83" s="3"/>
      <c r="E83" s="3"/>
      <c r="F83" s="3">
        <v>2</v>
      </c>
      <c r="H83" s="68" t="s">
        <v>5</v>
      </c>
      <c r="I83" s="68"/>
      <c r="J83" s="68" t="s">
        <v>5</v>
      </c>
      <c r="K83" s="68" t="s">
        <v>5</v>
      </c>
      <c r="L83" s="57">
        <v>32310.799999999999</v>
      </c>
      <c r="M83" s="57">
        <v>631</v>
      </c>
      <c r="N83" s="57">
        <v>31679.8</v>
      </c>
      <c r="O83" s="72">
        <v>31971</v>
      </c>
      <c r="P83" s="72">
        <v>32376.7</v>
      </c>
      <c r="Q83" s="72">
        <v>32848.9</v>
      </c>
      <c r="R83" s="58">
        <v>-1.0516607450140492E-2</v>
      </c>
      <c r="S83" s="58">
        <v>1.2689624972631375E-2</v>
      </c>
      <c r="T83" s="58">
        <v>1.458456235502692E-2</v>
      </c>
      <c r="U83" s="37"/>
    </row>
    <row r="84" spans="1:21" s="3" customFormat="1" ht="25.15" customHeight="1" x14ac:dyDescent="2.5">
      <c r="A84" s="3">
        <v>28</v>
      </c>
      <c r="C84" s="3">
        <v>1</v>
      </c>
      <c r="E84" s="3">
        <v>2</v>
      </c>
      <c r="G84" s="3">
        <v>2</v>
      </c>
      <c r="H84" s="79" t="s">
        <v>186</v>
      </c>
      <c r="I84" s="79"/>
      <c r="J84" s="79" t="s">
        <v>242</v>
      </c>
      <c r="K84" s="79" t="s">
        <v>44</v>
      </c>
      <c r="L84" s="70">
        <v>41867.800000000003</v>
      </c>
      <c r="M84" s="70">
        <v>431</v>
      </c>
      <c r="N84" s="70">
        <v>41436.800000000003</v>
      </c>
      <c r="O84" s="70">
        <v>53250</v>
      </c>
      <c r="P84" s="70">
        <v>54822</v>
      </c>
      <c r="Q84" s="70">
        <v>56522.3</v>
      </c>
      <c r="R84" s="71">
        <v>0.27186047511452704</v>
      </c>
      <c r="S84" s="71">
        <v>2.9521126760563288E-2</v>
      </c>
      <c r="T84" s="71">
        <v>3.1014921017110009E-2</v>
      </c>
      <c r="U84" s="41"/>
    </row>
    <row r="85" spans="1:21" s="2" customFormat="1" ht="25.15" customHeight="1" x14ac:dyDescent="2.5">
      <c r="A85" s="3">
        <v>28</v>
      </c>
      <c r="C85" s="3">
        <v>1</v>
      </c>
      <c r="D85" s="3"/>
      <c r="E85" s="3"/>
      <c r="F85" s="3">
        <v>1</v>
      </c>
      <c r="H85" s="78" t="s">
        <v>4</v>
      </c>
      <c r="I85" s="78"/>
      <c r="J85" s="78" t="s">
        <v>4</v>
      </c>
      <c r="K85" s="78" t="s">
        <v>4</v>
      </c>
      <c r="L85" s="57">
        <v>15324</v>
      </c>
      <c r="M85" s="57"/>
      <c r="N85" s="57">
        <v>15324</v>
      </c>
      <c r="O85" s="57">
        <v>26381</v>
      </c>
      <c r="P85" s="57">
        <v>27700.3</v>
      </c>
      <c r="Q85" s="57">
        <v>29085.399999999998</v>
      </c>
      <c r="R85" s="58">
        <v>0.72154789872096048</v>
      </c>
      <c r="S85" s="58">
        <v>5.0009476517190343E-2</v>
      </c>
      <c r="T85" s="58">
        <v>5.0003068558824193E-2</v>
      </c>
      <c r="U85" s="37" t="s">
        <v>121</v>
      </c>
    </row>
    <row r="86" spans="1:21" s="2" customFormat="1" ht="25.15" customHeight="1" x14ac:dyDescent="2.5">
      <c r="A86" s="3">
        <v>28</v>
      </c>
      <c r="C86" s="3">
        <v>1</v>
      </c>
      <c r="D86" s="3"/>
      <c r="E86" s="3"/>
      <c r="F86" s="3">
        <v>2</v>
      </c>
      <c r="H86" s="78" t="s">
        <v>5</v>
      </c>
      <c r="I86" s="78"/>
      <c r="J86" s="78" t="s">
        <v>5</v>
      </c>
      <c r="K86" s="78" t="s">
        <v>5</v>
      </c>
      <c r="L86" s="57">
        <v>26543.8</v>
      </c>
      <c r="M86" s="57">
        <v>431</v>
      </c>
      <c r="N86" s="57">
        <v>26112.799999999999</v>
      </c>
      <c r="O86" s="57">
        <v>26869</v>
      </c>
      <c r="P86" s="72">
        <v>27121.7</v>
      </c>
      <c r="Q86" s="72">
        <v>27436.9</v>
      </c>
      <c r="R86" s="58">
        <v>1.2251448549190469E-2</v>
      </c>
      <c r="S86" s="58">
        <v>9.4048903941346129E-3</v>
      </c>
      <c r="T86" s="58">
        <v>1.1621690380765326E-2</v>
      </c>
      <c r="U86" s="37" t="s">
        <v>120</v>
      </c>
    </row>
    <row r="87" spans="1:21" s="3" customFormat="1" ht="25.15" customHeight="1" x14ac:dyDescent="2.5">
      <c r="A87" s="3">
        <v>29</v>
      </c>
      <c r="C87" s="3">
        <v>1</v>
      </c>
      <c r="E87" s="3">
        <v>40</v>
      </c>
      <c r="G87" s="3">
        <v>2</v>
      </c>
      <c r="H87" s="79" t="s">
        <v>187</v>
      </c>
      <c r="I87" s="79"/>
      <c r="J87" s="79" t="s">
        <v>243</v>
      </c>
      <c r="K87" s="79" t="s">
        <v>45</v>
      </c>
      <c r="L87" s="70">
        <v>5767</v>
      </c>
      <c r="M87" s="70">
        <v>200</v>
      </c>
      <c r="N87" s="70">
        <v>5567</v>
      </c>
      <c r="O87" s="70">
        <v>5102</v>
      </c>
      <c r="P87" s="70">
        <v>5255</v>
      </c>
      <c r="Q87" s="70">
        <v>5412</v>
      </c>
      <c r="R87" s="71">
        <v>-0.11531125368475814</v>
      </c>
      <c r="S87" s="71">
        <v>2.9988239905919256E-2</v>
      </c>
      <c r="T87" s="71">
        <v>2.987630827783061E-2</v>
      </c>
      <c r="U87" s="41"/>
    </row>
    <row r="88" spans="1:21" s="2" customFormat="1" ht="25.15" customHeight="1" x14ac:dyDescent="2.5">
      <c r="A88" s="3">
        <v>29</v>
      </c>
      <c r="C88" s="3">
        <v>1</v>
      </c>
      <c r="D88" s="3"/>
      <c r="E88" s="3"/>
      <c r="F88" s="3">
        <v>1</v>
      </c>
      <c r="H88" s="78" t="s">
        <v>4</v>
      </c>
      <c r="I88" s="78"/>
      <c r="J88" s="78" t="s">
        <v>4</v>
      </c>
      <c r="K88" s="78" t="s">
        <v>4</v>
      </c>
      <c r="L88" s="57">
        <v>0</v>
      </c>
      <c r="M88" s="57"/>
      <c r="N88" s="57">
        <v>0</v>
      </c>
      <c r="O88" s="57">
        <v>0</v>
      </c>
      <c r="P88" s="57">
        <v>0</v>
      </c>
      <c r="Q88" s="57">
        <v>0</v>
      </c>
      <c r="R88" s="58" t="s">
        <v>141</v>
      </c>
      <c r="S88" s="58" t="s">
        <v>141</v>
      </c>
      <c r="T88" s="58" t="s">
        <v>141</v>
      </c>
      <c r="U88" s="37"/>
    </row>
    <row r="89" spans="1:21" s="2" customFormat="1" ht="25.15" customHeight="1" x14ac:dyDescent="2.5">
      <c r="A89" s="3">
        <v>29</v>
      </c>
      <c r="C89" s="3">
        <v>1</v>
      </c>
      <c r="D89" s="3"/>
      <c r="E89" s="3"/>
      <c r="F89" s="3">
        <v>2</v>
      </c>
      <c r="H89" s="78" t="s">
        <v>5</v>
      </c>
      <c r="I89" s="78"/>
      <c r="J89" s="78" t="s">
        <v>5</v>
      </c>
      <c r="K89" s="78" t="s">
        <v>5</v>
      </c>
      <c r="L89" s="57">
        <v>5767</v>
      </c>
      <c r="M89" s="57">
        <v>200</v>
      </c>
      <c r="N89" s="57">
        <v>5567</v>
      </c>
      <c r="O89" s="72">
        <v>5102</v>
      </c>
      <c r="P89" s="72">
        <v>5255</v>
      </c>
      <c r="Q89" s="72">
        <v>5412</v>
      </c>
      <c r="R89" s="58">
        <v>-0.11531125368475814</v>
      </c>
      <c r="S89" s="58">
        <v>2.9988239905919256E-2</v>
      </c>
      <c r="T89" s="58">
        <v>2.987630827783061E-2</v>
      </c>
      <c r="U89" s="37" t="s">
        <v>90</v>
      </c>
    </row>
    <row r="90" spans="1:21" s="3" customFormat="1" ht="25.15" customHeight="1" x14ac:dyDescent="2.5">
      <c r="A90" s="3">
        <v>30</v>
      </c>
      <c r="C90" s="3">
        <v>1</v>
      </c>
      <c r="D90" s="3">
        <v>31</v>
      </c>
      <c r="E90" s="3">
        <v>11</v>
      </c>
      <c r="H90" s="84" t="s">
        <v>188</v>
      </c>
      <c r="I90" s="84" t="str">
        <f>LEFT(J90, FIND(" ", J90)-1)</f>
        <v>អនុកម្មវិធីទី៥.៤</v>
      </c>
      <c r="J90" s="84" t="s">
        <v>244</v>
      </c>
      <c r="K90" s="84" t="s">
        <v>70</v>
      </c>
      <c r="L90" s="85">
        <v>1195.4000000000001</v>
      </c>
      <c r="M90" s="85">
        <v>0</v>
      </c>
      <c r="N90" s="85">
        <v>1195.4000000000001</v>
      </c>
      <c r="O90" s="85">
        <v>1295.4000000000001</v>
      </c>
      <c r="P90" s="85">
        <v>1339.4</v>
      </c>
      <c r="Q90" s="85">
        <v>1385.3</v>
      </c>
      <c r="R90" s="86">
        <v>8.3654007026936483E-2</v>
      </c>
      <c r="S90" s="86">
        <v>3.3966342442488751E-2</v>
      </c>
      <c r="T90" s="86">
        <v>3.426907570553972E-2</v>
      </c>
      <c r="U90" s="87"/>
    </row>
    <row r="91" spans="1:21" s="2" customFormat="1" ht="25.15" customHeight="1" x14ac:dyDescent="2.5">
      <c r="A91" s="3">
        <v>30</v>
      </c>
      <c r="C91" s="3">
        <v>1</v>
      </c>
      <c r="D91" s="3"/>
      <c r="E91" s="3"/>
      <c r="F91" s="3">
        <v>1</v>
      </c>
      <c r="H91" s="68" t="s">
        <v>4</v>
      </c>
      <c r="I91" s="68"/>
      <c r="J91" s="68" t="s">
        <v>4</v>
      </c>
      <c r="K91" s="68" t="s">
        <v>4</v>
      </c>
      <c r="L91" s="57">
        <v>747.4</v>
      </c>
      <c r="M91" s="57"/>
      <c r="N91" s="57">
        <v>747.4</v>
      </c>
      <c r="O91" s="57">
        <v>747.4</v>
      </c>
      <c r="P91" s="57">
        <v>784.8</v>
      </c>
      <c r="Q91" s="57">
        <v>824</v>
      </c>
      <c r="R91" s="58">
        <v>0</v>
      </c>
      <c r="S91" s="58">
        <v>5.0040139149049923E-2</v>
      </c>
      <c r="T91" s="58">
        <v>4.9949031600407867E-2</v>
      </c>
      <c r="U91" s="37"/>
    </row>
    <row r="92" spans="1:21" s="2" customFormat="1" ht="25.15" customHeight="1" x14ac:dyDescent="2.5">
      <c r="A92" s="3">
        <v>30</v>
      </c>
      <c r="C92" s="3">
        <v>1</v>
      </c>
      <c r="D92" s="3"/>
      <c r="E92" s="3"/>
      <c r="F92" s="3">
        <v>2</v>
      </c>
      <c r="H92" s="115" t="s">
        <v>5</v>
      </c>
      <c r="I92" s="115"/>
      <c r="J92" s="115" t="s">
        <v>5</v>
      </c>
      <c r="K92" s="115" t="s">
        <v>5</v>
      </c>
      <c r="L92" s="116">
        <v>448</v>
      </c>
      <c r="M92" s="116"/>
      <c r="N92" s="116">
        <v>448</v>
      </c>
      <c r="O92" s="116">
        <v>548</v>
      </c>
      <c r="P92" s="116">
        <v>554.6</v>
      </c>
      <c r="Q92" s="116">
        <v>561.29999999999995</v>
      </c>
      <c r="R92" s="117">
        <v>0.22321428571428581</v>
      </c>
      <c r="S92" s="117">
        <v>1.2043795620438003E-2</v>
      </c>
      <c r="T92" s="117">
        <v>1.2080778939776327E-2</v>
      </c>
      <c r="U92" s="118" t="s">
        <v>134</v>
      </c>
    </row>
    <row r="93" spans="1:21" s="3" customFormat="1" ht="25.15" customHeight="1" x14ac:dyDescent="2.5">
      <c r="C93" s="3">
        <v>2</v>
      </c>
      <c r="H93" s="111" t="s">
        <v>74</v>
      </c>
      <c r="I93" s="111"/>
      <c r="J93" s="111" t="s">
        <v>74</v>
      </c>
      <c r="K93" s="111" t="s">
        <v>74</v>
      </c>
      <c r="L93" s="112">
        <v>26450.999999999993</v>
      </c>
      <c r="M93" s="112">
        <v>7329.9000000000005</v>
      </c>
      <c r="N93" s="112">
        <v>19121.099999999999</v>
      </c>
      <c r="O93" s="112">
        <v>28005.999999999993</v>
      </c>
      <c r="P93" s="112">
        <v>29102</v>
      </c>
      <c r="Q93" s="112">
        <v>30244</v>
      </c>
      <c r="R93" s="113">
        <v>5.8787947525613449E-2</v>
      </c>
      <c r="S93" s="113">
        <v>3.9134471184746333E-2</v>
      </c>
      <c r="T93" s="113">
        <v>3.9241289258470147E-2</v>
      </c>
      <c r="U93" s="114"/>
    </row>
    <row r="94" spans="1:21" s="2" customFormat="1" ht="25.15" customHeight="1" x14ac:dyDescent="2.5">
      <c r="C94" s="3">
        <v>2</v>
      </c>
      <c r="D94" s="3"/>
      <c r="E94" s="3"/>
      <c r="F94" s="3">
        <v>1</v>
      </c>
      <c r="H94" s="68" t="s">
        <v>4</v>
      </c>
      <c r="I94" s="68"/>
      <c r="J94" s="68" t="s">
        <v>4</v>
      </c>
      <c r="K94" s="68" t="s">
        <v>4</v>
      </c>
      <c r="L94" s="57">
        <v>11724.999999999998</v>
      </c>
      <c r="M94" s="57">
        <v>0</v>
      </c>
      <c r="N94" s="57">
        <v>11724.999999999998</v>
      </c>
      <c r="O94" s="57">
        <v>12838.999999999998</v>
      </c>
      <c r="P94" s="57">
        <v>13481.000000000002</v>
      </c>
      <c r="Q94" s="57">
        <v>14154.999999999998</v>
      </c>
      <c r="R94" s="58">
        <v>9.5010660980810346E-2</v>
      </c>
      <c r="S94" s="58">
        <v>5.0003894384298198E-2</v>
      </c>
      <c r="T94" s="58">
        <v>4.9996291076329413E-2</v>
      </c>
      <c r="U94" s="42"/>
    </row>
    <row r="95" spans="1:21" s="2" customFormat="1" ht="25.15" customHeight="1" x14ac:dyDescent="2.5">
      <c r="C95" s="3">
        <v>2</v>
      </c>
      <c r="D95" s="3"/>
      <c r="E95" s="3"/>
      <c r="F95" s="3">
        <v>2</v>
      </c>
      <c r="H95" s="68" t="s">
        <v>5</v>
      </c>
      <c r="I95" s="68"/>
      <c r="J95" s="68" t="s">
        <v>5</v>
      </c>
      <c r="K95" s="68" t="s">
        <v>5</v>
      </c>
      <c r="L95" s="57">
        <v>14725.999999999996</v>
      </c>
      <c r="M95" s="57">
        <v>7329.9000000000005</v>
      </c>
      <c r="N95" s="57">
        <v>7396.0999999999995</v>
      </c>
      <c r="O95" s="57">
        <v>15166.999999999996</v>
      </c>
      <c r="P95" s="57">
        <v>15621</v>
      </c>
      <c r="Q95" s="57">
        <v>16089</v>
      </c>
      <c r="R95" s="58">
        <v>2.994703245959518E-2</v>
      </c>
      <c r="S95" s="58">
        <v>2.9933408056965982E-2</v>
      </c>
      <c r="T95" s="58">
        <v>2.9959669675436951E-2</v>
      </c>
      <c r="U95" s="42"/>
    </row>
    <row r="96" spans="1:21" s="3" customFormat="1" ht="25.15" customHeight="1" x14ac:dyDescent="2.5">
      <c r="A96" s="3">
        <v>31</v>
      </c>
      <c r="C96" s="3">
        <v>2</v>
      </c>
      <c r="E96" s="3">
        <v>147</v>
      </c>
      <c r="H96" s="73" t="s">
        <v>189</v>
      </c>
      <c r="I96" s="73"/>
      <c r="J96" s="73" t="s">
        <v>6</v>
      </c>
      <c r="K96" s="73" t="s">
        <v>6</v>
      </c>
      <c r="L96" s="74">
        <v>1422</v>
      </c>
      <c r="M96" s="74">
        <v>466.5</v>
      </c>
      <c r="N96" s="74">
        <v>955.50000000000011</v>
      </c>
      <c r="O96" s="74">
        <v>1498.3</v>
      </c>
      <c r="P96" s="74">
        <v>1556.4</v>
      </c>
      <c r="Q96" s="74">
        <v>1616.9</v>
      </c>
      <c r="R96" s="75">
        <v>5.365682137834038E-2</v>
      </c>
      <c r="S96" s="75">
        <v>3.877728091837418E-2</v>
      </c>
      <c r="T96" s="75">
        <v>3.887175533281928E-2</v>
      </c>
      <c r="U96" s="43"/>
    </row>
    <row r="97" spans="1:21" s="2" customFormat="1" ht="25.15" customHeight="1" x14ac:dyDescent="2.5">
      <c r="A97" s="3">
        <v>31</v>
      </c>
      <c r="C97" s="3">
        <v>2</v>
      </c>
      <c r="D97" s="3"/>
      <c r="E97" s="3"/>
      <c r="F97" s="3">
        <v>1</v>
      </c>
      <c r="H97" s="68" t="s">
        <v>4</v>
      </c>
      <c r="I97" s="68"/>
      <c r="J97" s="68" t="s">
        <v>4</v>
      </c>
      <c r="K97" s="68" t="s">
        <v>4</v>
      </c>
      <c r="L97" s="57">
        <v>598.20000000000005</v>
      </c>
      <c r="M97" s="57"/>
      <c r="N97" s="57">
        <v>598.20000000000005</v>
      </c>
      <c r="O97" s="57">
        <v>655</v>
      </c>
      <c r="P97" s="57">
        <v>687.8</v>
      </c>
      <c r="Q97" s="57">
        <v>722.2</v>
      </c>
      <c r="R97" s="58">
        <v>9.495152123035755E-2</v>
      </c>
      <c r="S97" s="58">
        <v>5.0076335877862421E-2</v>
      </c>
      <c r="T97" s="58">
        <v>5.0014539110206702E-2</v>
      </c>
      <c r="U97" s="37"/>
    </row>
    <row r="98" spans="1:21" s="2" customFormat="1" ht="25.15" customHeight="1" x14ac:dyDescent="2.5">
      <c r="A98" s="3">
        <v>31</v>
      </c>
      <c r="C98" s="3">
        <v>2</v>
      </c>
      <c r="D98" s="3"/>
      <c r="E98" s="3"/>
      <c r="F98" s="3">
        <v>2</v>
      </c>
      <c r="H98" s="68" t="s">
        <v>5</v>
      </c>
      <c r="I98" s="68"/>
      <c r="J98" s="68" t="s">
        <v>5</v>
      </c>
      <c r="K98" s="68" t="s">
        <v>5</v>
      </c>
      <c r="L98" s="57">
        <v>823.80000000000007</v>
      </c>
      <c r="M98" s="57">
        <v>466.5</v>
      </c>
      <c r="N98" s="57">
        <v>357.30000000000007</v>
      </c>
      <c r="O98" s="57">
        <v>843.3</v>
      </c>
      <c r="P98" s="57">
        <v>868.6</v>
      </c>
      <c r="Q98" s="57">
        <v>894.7</v>
      </c>
      <c r="R98" s="58">
        <v>2.3670793882009988E-2</v>
      </c>
      <c r="S98" s="58">
        <v>3.0001185817621234E-2</v>
      </c>
      <c r="T98" s="58">
        <v>3.0048353672576633E-2</v>
      </c>
      <c r="U98" s="37" t="s">
        <v>91</v>
      </c>
    </row>
    <row r="99" spans="1:21" s="3" customFormat="1" ht="25.15" customHeight="1" x14ac:dyDescent="2.5">
      <c r="A99" s="3">
        <v>32</v>
      </c>
      <c r="C99" s="3">
        <v>2</v>
      </c>
      <c r="E99" s="3">
        <v>148</v>
      </c>
      <c r="H99" s="73" t="s">
        <v>190</v>
      </c>
      <c r="I99" s="73"/>
      <c r="J99" s="73" t="s">
        <v>7</v>
      </c>
      <c r="K99" s="73" t="s">
        <v>7</v>
      </c>
      <c r="L99" s="74">
        <v>1465.5</v>
      </c>
      <c r="M99" s="74">
        <v>399</v>
      </c>
      <c r="N99" s="74">
        <v>1066.5</v>
      </c>
      <c r="O99" s="74">
        <v>1549</v>
      </c>
      <c r="P99" s="74">
        <v>1609.9</v>
      </c>
      <c r="Q99" s="74">
        <v>1673.3</v>
      </c>
      <c r="R99" s="75">
        <v>5.6977140907540136E-2</v>
      </c>
      <c r="S99" s="75">
        <v>3.9315687540348643E-2</v>
      </c>
      <c r="T99" s="75">
        <v>3.9381328032797036E-2</v>
      </c>
      <c r="U99" s="43"/>
    </row>
    <row r="100" spans="1:21" s="2" customFormat="1" ht="25.15" customHeight="1" x14ac:dyDescent="2.5">
      <c r="A100" s="3">
        <v>32</v>
      </c>
      <c r="C100" s="3">
        <v>2</v>
      </c>
      <c r="D100" s="3"/>
      <c r="E100" s="3"/>
      <c r="F100" s="3">
        <v>1</v>
      </c>
      <c r="H100" s="68" t="s">
        <v>4</v>
      </c>
      <c r="I100" s="68"/>
      <c r="J100" s="68" t="s">
        <v>4</v>
      </c>
      <c r="K100" s="68" t="s">
        <v>4</v>
      </c>
      <c r="L100" s="57">
        <v>657.2</v>
      </c>
      <c r="M100" s="57"/>
      <c r="N100" s="57">
        <v>657.2</v>
      </c>
      <c r="O100" s="57">
        <v>719.6</v>
      </c>
      <c r="P100" s="57">
        <v>755.6</v>
      </c>
      <c r="Q100" s="57">
        <v>793.4</v>
      </c>
      <c r="R100" s="58">
        <v>9.4948265368228757E-2</v>
      </c>
      <c r="S100" s="58">
        <v>5.0027793218454741E-2</v>
      </c>
      <c r="T100" s="58">
        <v>5.0026469031233312E-2</v>
      </c>
      <c r="U100" s="37"/>
    </row>
    <row r="101" spans="1:21" s="2" customFormat="1" ht="25.15" customHeight="1" x14ac:dyDescent="2.5">
      <c r="A101" s="3">
        <v>32</v>
      </c>
      <c r="C101" s="3">
        <v>2</v>
      </c>
      <c r="D101" s="3"/>
      <c r="E101" s="3"/>
      <c r="F101" s="3">
        <v>2</v>
      </c>
      <c r="H101" s="68" t="s">
        <v>5</v>
      </c>
      <c r="I101" s="68"/>
      <c r="J101" s="68" t="s">
        <v>5</v>
      </c>
      <c r="K101" s="68" t="s">
        <v>5</v>
      </c>
      <c r="L101" s="57">
        <v>808.30000000000007</v>
      </c>
      <c r="M101" s="57">
        <v>399</v>
      </c>
      <c r="N101" s="57">
        <v>409.30000000000007</v>
      </c>
      <c r="O101" s="57">
        <v>829.4</v>
      </c>
      <c r="P101" s="57">
        <v>854.3</v>
      </c>
      <c r="Q101" s="57">
        <v>879.9</v>
      </c>
      <c r="R101" s="58">
        <v>2.6104169244092423E-2</v>
      </c>
      <c r="S101" s="58">
        <v>3.0021702435495623E-2</v>
      </c>
      <c r="T101" s="58">
        <v>2.9966054079363147E-2</v>
      </c>
      <c r="U101" s="37" t="s">
        <v>92</v>
      </c>
    </row>
    <row r="102" spans="1:21" s="3" customFormat="1" ht="25.15" customHeight="1" x14ac:dyDescent="2.5">
      <c r="A102" s="3">
        <v>33</v>
      </c>
      <c r="C102" s="3">
        <v>2</v>
      </c>
      <c r="E102" s="3">
        <v>149</v>
      </c>
      <c r="H102" s="73" t="s">
        <v>191</v>
      </c>
      <c r="I102" s="73"/>
      <c r="J102" s="73" t="s">
        <v>8</v>
      </c>
      <c r="K102" s="73" t="s">
        <v>8</v>
      </c>
      <c r="L102" s="74">
        <v>1304.4000000000001</v>
      </c>
      <c r="M102" s="74">
        <v>551.29999999999995</v>
      </c>
      <c r="N102" s="74">
        <v>753.10000000000014</v>
      </c>
      <c r="O102" s="74">
        <v>1365.9</v>
      </c>
      <c r="P102" s="74">
        <v>1417.1</v>
      </c>
      <c r="Q102" s="74">
        <v>1470.2</v>
      </c>
      <c r="R102" s="75">
        <v>4.7148114075437064E-2</v>
      </c>
      <c r="S102" s="75">
        <v>3.7484442492129677E-2</v>
      </c>
      <c r="T102" s="75">
        <v>3.7470891256792038E-2</v>
      </c>
      <c r="U102" s="43"/>
    </row>
    <row r="103" spans="1:21" s="2" customFormat="1" ht="25.15" customHeight="1" x14ac:dyDescent="2.5">
      <c r="A103" s="3">
        <v>33</v>
      </c>
      <c r="C103" s="3">
        <v>2</v>
      </c>
      <c r="D103" s="3"/>
      <c r="E103" s="3"/>
      <c r="F103" s="3">
        <v>1</v>
      </c>
      <c r="H103" s="68" t="s">
        <v>4</v>
      </c>
      <c r="I103" s="68"/>
      <c r="J103" s="68" t="s">
        <v>4</v>
      </c>
      <c r="K103" s="68" t="s">
        <v>4</v>
      </c>
      <c r="L103" s="57">
        <v>463.1</v>
      </c>
      <c r="M103" s="57"/>
      <c r="N103" s="57">
        <v>463.1</v>
      </c>
      <c r="O103" s="57">
        <v>507.1</v>
      </c>
      <c r="P103" s="57">
        <v>532.5</v>
      </c>
      <c r="Q103" s="57">
        <v>559.1</v>
      </c>
      <c r="R103" s="58">
        <v>9.5011876484560664E-2</v>
      </c>
      <c r="S103" s="58">
        <v>5.0088739893512146E-2</v>
      </c>
      <c r="T103" s="58">
        <v>4.9953051643192525E-2</v>
      </c>
      <c r="U103" s="37"/>
    </row>
    <row r="104" spans="1:21" s="2" customFormat="1" ht="25.15" customHeight="1" x14ac:dyDescent="2.5">
      <c r="A104" s="3">
        <v>33</v>
      </c>
      <c r="C104" s="3">
        <v>2</v>
      </c>
      <c r="D104" s="3"/>
      <c r="E104" s="3"/>
      <c r="F104" s="3">
        <v>2</v>
      </c>
      <c r="H104" s="68" t="s">
        <v>5</v>
      </c>
      <c r="I104" s="68"/>
      <c r="J104" s="68" t="s">
        <v>5</v>
      </c>
      <c r="K104" s="68" t="s">
        <v>5</v>
      </c>
      <c r="L104" s="57">
        <v>841.30000000000007</v>
      </c>
      <c r="M104" s="57">
        <v>551.29999999999995</v>
      </c>
      <c r="N104" s="57">
        <v>290.00000000000011</v>
      </c>
      <c r="O104" s="57">
        <v>858.8</v>
      </c>
      <c r="P104" s="57">
        <v>884.6</v>
      </c>
      <c r="Q104" s="57">
        <v>911.1</v>
      </c>
      <c r="R104" s="58">
        <v>2.0801141091168374E-2</v>
      </c>
      <c r="S104" s="58">
        <v>3.0041918956683844E-2</v>
      </c>
      <c r="T104" s="58">
        <v>2.9957042731177941E-2</v>
      </c>
      <c r="U104" s="37" t="s">
        <v>93</v>
      </c>
    </row>
    <row r="105" spans="1:21" s="3" customFormat="1" ht="25.15" customHeight="1" x14ac:dyDescent="2.5">
      <c r="A105" s="3">
        <v>34</v>
      </c>
      <c r="C105" s="3">
        <v>2</v>
      </c>
      <c r="E105" s="3">
        <v>150</v>
      </c>
      <c r="H105" s="73" t="s">
        <v>192</v>
      </c>
      <c r="I105" s="73"/>
      <c r="J105" s="73" t="s">
        <v>14</v>
      </c>
      <c r="K105" s="73" t="s">
        <v>14</v>
      </c>
      <c r="L105" s="74">
        <v>907.8</v>
      </c>
      <c r="M105" s="74">
        <v>149.19999999999999</v>
      </c>
      <c r="N105" s="74">
        <v>758.6</v>
      </c>
      <c r="O105" s="74">
        <v>967.8</v>
      </c>
      <c r="P105" s="74">
        <v>1006.4</v>
      </c>
      <c r="Q105" s="74">
        <v>1046.7</v>
      </c>
      <c r="R105" s="75">
        <v>6.6093853271645742E-2</v>
      </c>
      <c r="S105" s="75">
        <v>3.9884273610250043E-2</v>
      </c>
      <c r="T105" s="75">
        <v>4.0043720190779064E-2</v>
      </c>
      <c r="U105" s="43"/>
    </row>
    <row r="106" spans="1:21" s="2" customFormat="1" ht="25.15" customHeight="1" x14ac:dyDescent="2.5">
      <c r="A106" s="3">
        <v>34</v>
      </c>
      <c r="C106" s="3">
        <v>2</v>
      </c>
      <c r="D106" s="3"/>
      <c r="E106" s="3"/>
      <c r="F106" s="3">
        <v>1</v>
      </c>
      <c r="H106" s="68" t="s">
        <v>4</v>
      </c>
      <c r="I106" s="68"/>
      <c r="J106" s="68" t="s">
        <v>4</v>
      </c>
      <c r="K106" s="68" t="s">
        <v>4</v>
      </c>
      <c r="L106" s="57">
        <v>438.4</v>
      </c>
      <c r="M106" s="57"/>
      <c r="N106" s="57">
        <v>438.4</v>
      </c>
      <c r="O106" s="57">
        <v>480</v>
      </c>
      <c r="P106" s="57">
        <v>504</v>
      </c>
      <c r="Q106" s="57">
        <v>529.20000000000005</v>
      </c>
      <c r="R106" s="58">
        <v>9.4890510948905105E-2</v>
      </c>
      <c r="S106" s="58">
        <v>5.0000000000000044E-2</v>
      </c>
      <c r="T106" s="58">
        <v>5.0000000000000044E-2</v>
      </c>
      <c r="U106" s="37"/>
    </row>
    <row r="107" spans="1:21" s="2" customFormat="1" ht="25.15" customHeight="1" x14ac:dyDescent="2.5">
      <c r="A107" s="3">
        <v>34</v>
      </c>
      <c r="C107" s="3">
        <v>2</v>
      </c>
      <c r="D107" s="3"/>
      <c r="E107" s="3"/>
      <c r="F107" s="3">
        <v>2</v>
      </c>
      <c r="H107" s="68" t="s">
        <v>5</v>
      </c>
      <c r="I107" s="68"/>
      <c r="J107" s="68" t="s">
        <v>5</v>
      </c>
      <c r="K107" s="68" t="s">
        <v>5</v>
      </c>
      <c r="L107" s="57">
        <v>469.40000000000003</v>
      </c>
      <c r="M107" s="57">
        <v>149.19999999999999</v>
      </c>
      <c r="N107" s="57">
        <v>320.20000000000005</v>
      </c>
      <c r="O107" s="57">
        <v>487.8</v>
      </c>
      <c r="P107" s="57">
        <v>502.4</v>
      </c>
      <c r="Q107" s="57">
        <v>517.5</v>
      </c>
      <c r="R107" s="58">
        <v>3.9198977417980396E-2</v>
      </c>
      <c r="S107" s="58">
        <v>2.9930299302993069E-2</v>
      </c>
      <c r="T107" s="58">
        <v>3.0055732484076447E-2</v>
      </c>
      <c r="U107" s="37" t="s">
        <v>94</v>
      </c>
    </row>
    <row r="108" spans="1:21" s="3" customFormat="1" ht="25.15" customHeight="1" x14ac:dyDescent="2.5">
      <c r="A108" s="3">
        <v>35</v>
      </c>
      <c r="C108" s="3">
        <v>2</v>
      </c>
      <c r="E108" s="3">
        <v>151</v>
      </c>
      <c r="H108" s="73" t="s">
        <v>193</v>
      </c>
      <c r="I108" s="73"/>
      <c r="J108" s="73" t="s">
        <v>13</v>
      </c>
      <c r="K108" s="73" t="s">
        <v>13</v>
      </c>
      <c r="L108" s="74">
        <v>1056.0999999999999</v>
      </c>
      <c r="M108" s="74">
        <v>324.39999999999998</v>
      </c>
      <c r="N108" s="74">
        <v>731.69999999999993</v>
      </c>
      <c r="O108" s="74">
        <v>1117.4000000000001</v>
      </c>
      <c r="P108" s="74">
        <v>1161.3</v>
      </c>
      <c r="Q108" s="74">
        <v>1206.9000000000001</v>
      </c>
      <c r="R108" s="75">
        <v>5.8043745857400131E-2</v>
      </c>
      <c r="S108" s="75">
        <v>3.9287632002863671E-2</v>
      </c>
      <c r="T108" s="75">
        <v>3.9266339447171283E-2</v>
      </c>
      <c r="U108" s="43"/>
    </row>
    <row r="109" spans="1:21" s="2" customFormat="1" ht="25.15" customHeight="1" x14ac:dyDescent="2.5">
      <c r="A109" s="3">
        <v>35</v>
      </c>
      <c r="C109" s="3">
        <v>2</v>
      </c>
      <c r="D109" s="3"/>
      <c r="E109" s="3"/>
      <c r="F109" s="3">
        <v>1</v>
      </c>
      <c r="H109" s="68" t="s">
        <v>4</v>
      </c>
      <c r="I109" s="68"/>
      <c r="J109" s="68" t="s">
        <v>4</v>
      </c>
      <c r="K109" s="68" t="s">
        <v>4</v>
      </c>
      <c r="L109" s="57">
        <v>470.4</v>
      </c>
      <c r="M109" s="57"/>
      <c r="N109" s="57">
        <v>470.4</v>
      </c>
      <c r="O109" s="57">
        <v>515.1</v>
      </c>
      <c r="P109" s="57">
        <v>540.9</v>
      </c>
      <c r="Q109" s="57">
        <v>567.9</v>
      </c>
      <c r="R109" s="58">
        <v>9.5025510204081787E-2</v>
      </c>
      <c r="S109" s="58">
        <v>5.0087361677344067E-2</v>
      </c>
      <c r="T109" s="58">
        <v>4.991680532445919E-2</v>
      </c>
      <c r="U109" s="37"/>
    </row>
    <row r="110" spans="1:21" s="2" customFormat="1" ht="25.15" customHeight="1" x14ac:dyDescent="2.5">
      <c r="A110" s="3">
        <v>35</v>
      </c>
      <c r="C110" s="3">
        <v>2</v>
      </c>
      <c r="D110" s="3"/>
      <c r="E110" s="3"/>
      <c r="F110" s="3">
        <v>2</v>
      </c>
      <c r="H110" s="68" t="s">
        <v>5</v>
      </c>
      <c r="I110" s="68"/>
      <c r="J110" s="68" t="s">
        <v>5</v>
      </c>
      <c r="K110" s="68" t="s">
        <v>5</v>
      </c>
      <c r="L110" s="57">
        <v>585.69999999999993</v>
      </c>
      <c r="M110" s="57">
        <v>324.39999999999998</v>
      </c>
      <c r="N110" s="57">
        <v>261.29999999999995</v>
      </c>
      <c r="O110" s="57">
        <v>602.29999999999995</v>
      </c>
      <c r="P110" s="57">
        <v>620.4</v>
      </c>
      <c r="Q110" s="57">
        <v>639</v>
      </c>
      <c r="R110" s="58">
        <v>2.8342154686699761E-2</v>
      </c>
      <c r="S110" s="58">
        <v>3.0051469367424977E-2</v>
      </c>
      <c r="T110" s="58">
        <v>2.9980657640232167E-2</v>
      </c>
      <c r="U110" s="37" t="s">
        <v>95</v>
      </c>
    </row>
    <row r="111" spans="1:21" s="3" customFormat="1" ht="25.15" customHeight="1" x14ac:dyDescent="2.5">
      <c r="A111" s="3">
        <v>36</v>
      </c>
      <c r="C111" s="3">
        <v>2</v>
      </c>
      <c r="E111" s="3">
        <v>152</v>
      </c>
      <c r="H111" s="73" t="s">
        <v>194</v>
      </c>
      <c r="I111" s="73"/>
      <c r="J111" s="73" t="s">
        <v>12</v>
      </c>
      <c r="K111" s="73" t="s">
        <v>12</v>
      </c>
      <c r="L111" s="74">
        <v>1028.3000000000002</v>
      </c>
      <c r="M111" s="74">
        <v>360.5</v>
      </c>
      <c r="N111" s="74">
        <v>667.80000000000007</v>
      </c>
      <c r="O111" s="74">
        <v>1088.8</v>
      </c>
      <c r="P111" s="74">
        <v>1132.0999999999999</v>
      </c>
      <c r="Q111" s="74">
        <v>1177.2</v>
      </c>
      <c r="R111" s="75">
        <v>5.8834970339394888E-2</v>
      </c>
      <c r="S111" s="75">
        <v>3.9768552534900747E-2</v>
      </c>
      <c r="T111" s="75">
        <v>3.9837470188146096E-2</v>
      </c>
      <c r="U111" s="43"/>
    </row>
    <row r="112" spans="1:21" s="2" customFormat="1" ht="25.15" customHeight="1" x14ac:dyDescent="2.5">
      <c r="A112" s="3">
        <v>36</v>
      </c>
      <c r="C112" s="3">
        <v>2</v>
      </c>
      <c r="D112" s="3"/>
      <c r="E112" s="3"/>
      <c r="F112" s="3">
        <v>1</v>
      </c>
      <c r="H112" s="68" t="s">
        <v>4</v>
      </c>
      <c r="I112" s="68"/>
      <c r="J112" s="68" t="s">
        <v>4</v>
      </c>
      <c r="K112" s="68" t="s">
        <v>4</v>
      </c>
      <c r="L112" s="57">
        <v>485.9</v>
      </c>
      <c r="M112" s="57"/>
      <c r="N112" s="57">
        <v>485.9</v>
      </c>
      <c r="O112" s="57">
        <v>532.1</v>
      </c>
      <c r="P112" s="57">
        <v>558.70000000000005</v>
      </c>
      <c r="Q112" s="57">
        <v>586.6</v>
      </c>
      <c r="R112" s="58">
        <v>9.5081292447005694E-2</v>
      </c>
      <c r="S112" s="58">
        <v>4.9990603270062106E-2</v>
      </c>
      <c r="T112" s="58">
        <v>4.9937354573116099E-2</v>
      </c>
      <c r="U112" s="37"/>
    </row>
    <row r="113" spans="1:21" s="2" customFormat="1" ht="25.15" customHeight="1" x14ac:dyDescent="2.5">
      <c r="A113" s="3">
        <v>36</v>
      </c>
      <c r="C113" s="3">
        <v>2</v>
      </c>
      <c r="D113" s="3"/>
      <c r="E113" s="3"/>
      <c r="F113" s="3">
        <v>2</v>
      </c>
      <c r="H113" s="68" t="s">
        <v>5</v>
      </c>
      <c r="I113" s="68"/>
      <c r="J113" s="68" t="s">
        <v>5</v>
      </c>
      <c r="K113" s="68" t="s">
        <v>5</v>
      </c>
      <c r="L113" s="57">
        <v>542.40000000000009</v>
      </c>
      <c r="M113" s="57">
        <v>360.5</v>
      </c>
      <c r="N113" s="57">
        <v>181.90000000000009</v>
      </c>
      <c r="O113" s="57">
        <v>556.69999999999993</v>
      </c>
      <c r="P113" s="57">
        <v>573.4</v>
      </c>
      <c r="Q113" s="57">
        <v>590.6</v>
      </c>
      <c r="R113" s="58">
        <v>2.6364306784660396E-2</v>
      </c>
      <c r="S113" s="58">
        <v>2.9998203700377202E-2</v>
      </c>
      <c r="T113" s="58">
        <v>2.9996512033484635E-2</v>
      </c>
      <c r="U113" s="37" t="s">
        <v>96</v>
      </c>
    </row>
    <row r="114" spans="1:21" s="3" customFormat="1" ht="25.15" customHeight="1" x14ac:dyDescent="2.5">
      <c r="A114" s="3">
        <v>37</v>
      </c>
      <c r="C114" s="3">
        <v>2</v>
      </c>
      <c r="E114" s="3">
        <v>153</v>
      </c>
      <c r="H114" s="73" t="s">
        <v>195</v>
      </c>
      <c r="I114" s="73"/>
      <c r="J114" s="73" t="s">
        <v>11</v>
      </c>
      <c r="K114" s="73" t="s">
        <v>11</v>
      </c>
      <c r="L114" s="74">
        <v>873.6</v>
      </c>
      <c r="M114" s="74">
        <v>101</v>
      </c>
      <c r="N114" s="74">
        <v>772.6</v>
      </c>
      <c r="O114" s="74">
        <v>931.5</v>
      </c>
      <c r="P114" s="74">
        <v>968.09999999999991</v>
      </c>
      <c r="Q114" s="74">
        <v>1006.3</v>
      </c>
      <c r="R114" s="75">
        <v>6.6277472527472403E-2</v>
      </c>
      <c r="S114" s="75">
        <v>3.9291465378421764E-2</v>
      </c>
      <c r="T114" s="75">
        <v>3.9458733601900775E-2</v>
      </c>
      <c r="U114" s="43"/>
    </row>
    <row r="115" spans="1:21" s="2" customFormat="1" ht="25.15" customHeight="1" x14ac:dyDescent="2.5">
      <c r="A115" s="3">
        <v>37</v>
      </c>
      <c r="C115" s="3">
        <v>2</v>
      </c>
      <c r="D115" s="3"/>
      <c r="E115" s="3"/>
      <c r="F115" s="3">
        <v>1</v>
      </c>
      <c r="H115" s="68" t="s">
        <v>4</v>
      </c>
      <c r="I115" s="68"/>
      <c r="J115" s="68" t="s">
        <v>4</v>
      </c>
      <c r="K115" s="68" t="s">
        <v>4</v>
      </c>
      <c r="L115" s="57">
        <v>398.7</v>
      </c>
      <c r="M115" s="57"/>
      <c r="N115" s="57">
        <v>398.7</v>
      </c>
      <c r="O115" s="57">
        <v>436.6</v>
      </c>
      <c r="P115" s="57">
        <v>458.4</v>
      </c>
      <c r="Q115" s="57">
        <v>481.3</v>
      </c>
      <c r="R115" s="58">
        <v>9.505894156007022E-2</v>
      </c>
      <c r="S115" s="58">
        <v>4.9931287219422638E-2</v>
      </c>
      <c r="T115" s="58">
        <v>4.9956369982548043E-2</v>
      </c>
      <c r="U115" s="37"/>
    </row>
    <row r="116" spans="1:21" s="2" customFormat="1" ht="25.15" customHeight="1" x14ac:dyDescent="2.5">
      <c r="A116" s="3">
        <v>37</v>
      </c>
      <c r="C116" s="3">
        <v>2</v>
      </c>
      <c r="D116" s="3"/>
      <c r="E116" s="3"/>
      <c r="F116" s="3">
        <v>2</v>
      </c>
      <c r="H116" s="68" t="s">
        <v>5</v>
      </c>
      <c r="I116" s="68"/>
      <c r="J116" s="68" t="s">
        <v>5</v>
      </c>
      <c r="K116" s="68" t="s">
        <v>5</v>
      </c>
      <c r="L116" s="57">
        <v>474.90000000000003</v>
      </c>
      <c r="M116" s="57">
        <v>101</v>
      </c>
      <c r="N116" s="57">
        <v>373.90000000000003</v>
      </c>
      <c r="O116" s="57">
        <v>494.90000000000003</v>
      </c>
      <c r="P116" s="57">
        <v>509.7</v>
      </c>
      <c r="Q116" s="57">
        <v>525</v>
      </c>
      <c r="R116" s="58">
        <v>4.2114129290376834E-2</v>
      </c>
      <c r="S116" s="58">
        <v>2.9905031319458431E-2</v>
      </c>
      <c r="T116" s="58">
        <v>3.0017657445556178E-2</v>
      </c>
      <c r="U116" s="37" t="s">
        <v>97</v>
      </c>
    </row>
    <row r="117" spans="1:21" s="3" customFormat="1" ht="25.15" customHeight="1" x14ac:dyDescent="2.5">
      <c r="A117" s="3">
        <v>38</v>
      </c>
      <c r="C117" s="3">
        <v>2</v>
      </c>
      <c r="E117" s="3">
        <v>154</v>
      </c>
      <c r="H117" s="73" t="s">
        <v>196</v>
      </c>
      <c r="I117" s="73"/>
      <c r="J117" s="73" t="s">
        <v>10</v>
      </c>
      <c r="K117" s="73" t="s">
        <v>10</v>
      </c>
      <c r="L117" s="74">
        <v>1037.9000000000001</v>
      </c>
      <c r="M117" s="74">
        <v>193.8</v>
      </c>
      <c r="N117" s="74">
        <v>844.1</v>
      </c>
      <c r="O117" s="74">
        <v>1108.2</v>
      </c>
      <c r="P117" s="74">
        <v>1153.5999999999999</v>
      </c>
      <c r="Q117" s="74">
        <v>1201</v>
      </c>
      <c r="R117" s="75">
        <v>6.7732922246844574E-2</v>
      </c>
      <c r="S117" s="75">
        <v>4.0967334416170287E-2</v>
      </c>
      <c r="T117" s="75">
        <v>4.1088765603328747E-2</v>
      </c>
      <c r="U117" s="43"/>
    </row>
    <row r="118" spans="1:21" s="2" customFormat="1" ht="25.15" customHeight="1" x14ac:dyDescent="2.5">
      <c r="A118" s="3">
        <v>38</v>
      </c>
      <c r="C118" s="3">
        <v>2</v>
      </c>
      <c r="D118" s="3"/>
      <c r="E118" s="3"/>
      <c r="F118" s="3">
        <v>1</v>
      </c>
      <c r="H118" s="68" t="s">
        <v>4</v>
      </c>
      <c r="I118" s="68"/>
      <c r="J118" s="68" t="s">
        <v>4</v>
      </c>
      <c r="K118" s="68" t="s">
        <v>4</v>
      </c>
      <c r="L118" s="57">
        <v>557</v>
      </c>
      <c r="M118" s="57"/>
      <c r="N118" s="57">
        <v>557</v>
      </c>
      <c r="O118" s="57">
        <v>609.9</v>
      </c>
      <c r="P118" s="57">
        <v>640.4</v>
      </c>
      <c r="Q118" s="57">
        <v>672.4</v>
      </c>
      <c r="R118" s="58">
        <v>9.4973070017953187E-2</v>
      </c>
      <c r="S118" s="58">
        <v>5.0008198065256693E-2</v>
      </c>
      <c r="T118" s="58">
        <v>4.9968769519050493E-2</v>
      </c>
      <c r="U118" s="37"/>
    </row>
    <row r="119" spans="1:21" s="2" customFormat="1" ht="25.15" customHeight="1" x14ac:dyDescent="2.5">
      <c r="A119" s="3">
        <v>38</v>
      </c>
      <c r="C119" s="3">
        <v>2</v>
      </c>
      <c r="D119" s="3"/>
      <c r="E119" s="3"/>
      <c r="F119" s="3">
        <v>2</v>
      </c>
      <c r="H119" s="68" t="s">
        <v>5</v>
      </c>
      <c r="I119" s="68"/>
      <c r="J119" s="68" t="s">
        <v>5</v>
      </c>
      <c r="K119" s="68" t="s">
        <v>5</v>
      </c>
      <c r="L119" s="57">
        <v>480.90000000000003</v>
      </c>
      <c r="M119" s="57">
        <v>193.8</v>
      </c>
      <c r="N119" s="57">
        <v>287.10000000000002</v>
      </c>
      <c r="O119" s="57">
        <v>498.3</v>
      </c>
      <c r="P119" s="57">
        <v>513.20000000000005</v>
      </c>
      <c r="Q119" s="57">
        <v>528.6</v>
      </c>
      <c r="R119" s="58">
        <v>3.6182158452900737E-2</v>
      </c>
      <c r="S119" s="58">
        <v>2.9901665663255139E-2</v>
      </c>
      <c r="T119" s="58">
        <v>3.000779423226807E-2</v>
      </c>
      <c r="U119" s="37" t="s">
        <v>98</v>
      </c>
    </row>
    <row r="120" spans="1:21" s="3" customFormat="1" ht="25.15" customHeight="1" x14ac:dyDescent="2.5">
      <c r="A120" s="3">
        <v>39</v>
      </c>
      <c r="C120" s="3">
        <v>2</v>
      </c>
      <c r="E120" s="3">
        <v>155</v>
      </c>
      <c r="H120" s="73" t="s">
        <v>197</v>
      </c>
      <c r="I120" s="73"/>
      <c r="J120" s="73" t="s">
        <v>9</v>
      </c>
      <c r="K120" s="73" t="s">
        <v>9</v>
      </c>
      <c r="L120" s="74">
        <v>699.1</v>
      </c>
      <c r="M120" s="74">
        <v>131.1</v>
      </c>
      <c r="N120" s="74">
        <v>568</v>
      </c>
      <c r="O120" s="74">
        <v>748.6</v>
      </c>
      <c r="P120" s="74">
        <v>779.09999999999991</v>
      </c>
      <c r="Q120" s="74">
        <v>810.9</v>
      </c>
      <c r="R120" s="75">
        <v>7.0805321127163534E-2</v>
      </c>
      <c r="S120" s="75">
        <v>4.0742719743521061E-2</v>
      </c>
      <c r="T120" s="75">
        <v>4.081632653061229E-2</v>
      </c>
      <c r="U120" s="43"/>
    </row>
    <row r="121" spans="1:21" s="2" customFormat="1" ht="25.15" customHeight="1" x14ac:dyDescent="2.5">
      <c r="A121" s="3">
        <v>39</v>
      </c>
      <c r="C121" s="3">
        <v>2</v>
      </c>
      <c r="D121" s="3"/>
      <c r="E121" s="3"/>
      <c r="F121" s="3">
        <v>1</v>
      </c>
      <c r="H121" s="68" t="s">
        <v>4</v>
      </c>
      <c r="I121" s="68"/>
      <c r="J121" s="68" t="s">
        <v>4</v>
      </c>
      <c r="K121" s="68" t="s">
        <v>4</v>
      </c>
      <c r="L121" s="57">
        <v>364.6</v>
      </c>
      <c r="M121" s="57"/>
      <c r="N121" s="57">
        <v>364.6</v>
      </c>
      <c r="O121" s="57">
        <v>399.2</v>
      </c>
      <c r="P121" s="57">
        <v>419.2</v>
      </c>
      <c r="Q121" s="57">
        <v>440.2</v>
      </c>
      <c r="R121" s="58">
        <v>9.4898518924849018E-2</v>
      </c>
      <c r="S121" s="58">
        <v>5.0100200400801542E-2</v>
      </c>
      <c r="T121" s="58">
        <v>5.0095419847328237E-2</v>
      </c>
      <c r="U121" s="37"/>
    </row>
    <row r="122" spans="1:21" s="2" customFormat="1" ht="25.15" customHeight="1" x14ac:dyDescent="2.5">
      <c r="A122" s="3">
        <v>39</v>
      </c>
      <c r="C122" s="3">
        <v>2</v>
      </c>
      <c r="D122" s="3"/>
      <c r="E122" s="3"/>
      <c r="F122" s="3">
        <v>2</v>
      </c>
      <c r="H122" s="68" t="s">
        <v>5</v>
      </c>
      <c r="I122" s="68"/>
      <c r="J122" s="68" t="s">
        <v>5</v>
      </c>
      <c r="K122" s="68" t="s">
        <v>5</v>
      </c>
      <c r="L122" s="57">
        <v>334.5</v>
      </c>
      <c r="M122" s="57">
        <v>131.1</v>
      </c>
      <c r="N122" s="57">
        <v>203.4</v>
      </c>
      <c r="O122" s="57">
        <v>349.40000000000003</v>
      </c>
      <c r="P122" s="57">
        <v>359.9</v>
      </c>
      <c r="Q122" s="57">
        <v>370.7</v>
      </c>
      <c r="R122" s="58">
        <v>4.4544095665171923E-2</v>
      </c>
      <c r="S122" s="58">
        <v>3.0051516886090202E-2</v>
      </c>
      <c r="T122" s="58">
        <v>3.0008335648791462E-2</v>
      </c>
      <c r="U122" s="37" t="s">
        <v>99</v>
      </c>
    </row>
    <row r="123" spans="1:21" s="3" customFormat="1" ht="25.15" customHeight="1" x14ac:dyDescent="2.5">
      <c r="A123" s="3">
        <v>40</v>
      </c>
      <c r="C123" s="3">
        <v>2</v>
      </c>
      <c r="E123" s="3">
        <v>156</v>
      </c>
      <c r="H123" s="73" t="s">
        <v>198</v>
      </c>
      <c r="I123" s="73"/>
      <c r="J123" s="73" t="s">
        <v>15</v>
      </c>
      <c r="K123" s="73" t="s">
        <v>15</v>
      </c>
      <c r="L123" s="74">
        <v>1052.3000000000002</v>
      </c>
      <c r="M123" s="74">
        <v>440.9</v>
      </c>
      <c r="N123" s="74">
        <v>611.40000000000009</v>
      </c>
      <c r="O123" s="74">
        <v>1101.5</v>
      </c>
      <c r="P123" s="74">
        <v>1142</v>
      </c>
      <c r="Q123" s="74">
        <v>1184.0999999999999</v>
      </c>
      <c r="R123" s="75">
        <v>4.6754727739237723E-2</v>
      </c>
      <c r="S123" s="75">
        <v>3.6768043576940634E-2</v>
      </c>
      <c r="T123" s="75">
        <v>3.6865148861646047E-2</v>
      </c>
      <c r="U123" s="43"/>
    </row>
    <row r="124" spans="1:21" s="2" customFormat="1" ht="25.15" customHeight="1" x14ac:dyDescent="2.5">
      <c r="A124" s="3">
        <v>40</v>
      </c>
      <c r="C124" s="3">
        <v>2</v>
      </c>
      <c r="D124" s="3"/>
      <c r="E124" s="3"/>
      <c r="F124" s="3">
        <v>1</v>
      </c>
      <c r="H124" s="68" t="s">
        <v>4</v>
      </c>
      <c r="I124" s="68"/>
      <c r="J124" s="68" t="s">
        <v>4</v>
      </c>
      <c r="K124" s="68" t="s">
        <v>4</v>
      </c>
      <c r="L124" s="57">
        <v>340.4</v>
      </c>
      <c r="M124" s="57"/>
      <c r="N124" s="57">
        <v>340.4</v>
      </c>
      <c r="O124" s="57">
        <v>372.7</v>
      </c>
      <c r="P124" s="57">
        <v>391.3</v>
      </c>
      <c r="Q124" s="57">
        <v>410.9</v>
      </c>
      <c r="R124" s="58">
        <v>9.4888366627497112E-2</v>
      </c>
      <c r="S124" s="58">
        <v>4.9906090689562754E-2</v>
      </c>
      <c r="T124" s="58">
        <v>5.0089445438282532E-2</v>
      </c>
      <c r="U124" s="37"/>
    </row>
    <row r="125" spans="1:21" s="2" customFormat="1" ht="25.15" customHeight="1" x14ac:dyDescent="2.5">
      <c r="A125" s="3">
        <v>40</v>
      </c>
      <c r="C125" s="3">
        <v>2</v>
      </c>
      <c r="D125" s="3"/>
      <c r="E125" s="3"/>
      <c r="F125" s="3">
        <v>2</v>
      </c>
      <c r="H125" s="68" t="s">
        <v>5</v>
      </c>
      <c r="I125" s="68"/>
      <c r="J125" s="68" t="s">
        <v>5</v>
      </c>
      <c r="K125" s="68" t="s">
        <v>5</v>
      </c>
      <c r="L125" s="57">
        <v>711.90000000000009</v>
      </c>
      <c r="M125" s="57">
        <v>440.9</v>
      </c>
      <c r="N125" s="57">
        <v>271.00000000000011</v>
      </c>
      <c r="O125" s="57">
        <v>728.8</v>
      </c>
      <c r="P125" s="57">
        <v>750.7</v>
      </c>
      <c r="Q125" s="57">
        <v>773.2</v>
      </c>
      <c r="R125" s="58">
        <v>2.3739289226014648E-2</v>
      </c>
      <c r="S125" s="58">
        <v>3.0049396267837647E-2</v>
      </c>
      <c r="T125" s="58">
        <v>2.9972026108964878E-2</v>
      </c>
      <c r="U125" s="37" t="s">
        <v>100</v>
      </c>
    </row>
    <row r="126" spans="1:21" s="3" customFormat="1" ht="25.15" customHeight="1" x14ac:dyDescent="2.5">
      <c r="A126" s="3">
        <v>41</v>
      </c>
      <c r="C126" s="3">
        <v>2</v>
      </c>
      <c r="E126" s="3">
        <v>157</v>
      </c>
      <c r="H126" s="73" t="s">
        <v>199</v>
      </c>
      <c r="I126" s="73"/>
      <c r="J126" s="73" t="s">
        <v>16</v>
      </c>
      <c r="K126" s="73" t="s">
        <v>16</v>
      </c>
      <c r="L126" s="74">
        <v>740</v>
      </c>
      <c r="M126" s="74">
        <v>222</v>
      </c>
      <c r="N126" s="74">
        <v>518</v>
      </c>
      <c r="O126" s="74">
        <v>787.4</v>
      </c>
      <c r="P126" s="74">
        <v>818.8</v>
      </c>
      <c r="Q126" s="74">
        <v>851.5</v>
      </c>
      <c r="R126" s="75">
        <v>6.4054054054053955E-2</v>
      </c>
      <c r="S126" s="75">
        <v>3.9878079756159535E-2</v>
      </c>
      <c r="T126" s="75">
        <v>3.9936492427943282E-2</v>
      </c>
      <c r="U126" s="43"/>
    </row>
    <row r="127" spans="1:21" s="2" customFormat="1" ht="25.15" customHeight="1" x14ac:dyDescent="2.5">
      <c r="A127" s="3">
        <v>41</v>
      </c>
      <c r="C127" s="3">
        <v>2</v>
      </c>
      <c r="D127" s="3"/>
      <c r="E127" s="3"/>
      <c r="F127" s="3">
        <v>1</v>
      </c>
      <c r="H127" s="68" t="s">
        <v>4</v>
      </c>
      <c r="I127" s="68"/>
      <c r="J127" s="68" t="s">
        <v>4</v>
      </c>
      <c r="K127" s="68" t="s">
        <v>4</v>
      </c>
      <c r="L127" s="57">
        <v>355</v>
      </c>
      <c r="M127" s="57"/>
      <c r="N127" s="57">
        <v>355</v>
      </c>
      <c r="O127" s="57">
        <v>388.7</v>
      </c>
      <c r="P127" s="57">
        <v>408.1</v>
      </c>
      <c r="Q127" s="57">
        <v>428.5</v>
      </c>
      <c r="R127" s="58">
        <v>9.4929577464788695E-2</v>
      </c>
      <c r="S127" s="58">
        <v>4.9909956264471367E-2</v>
      </c>
      <c r="T127" s="58">
        <v>4.9987748100955631E-2</v>
      </c>
      <c r="U127" s="37"/>
    </row>
    <row r="128" spans="1:21" s="2" customFormat="1" ht="25.15" customHeight="1" x14ac:dyDescent="2.5">
      <c r="A128" s="3">
        <v>41</v>
      </c>
      <c r="C128" s="3">
        <v>2</v>
      </c>
      <c r="D128" s="3"/>
      <c r="E128" s="3"/>
      <c r="F128" s="3">
        <v>2</v>
      </c>
      <c r="H128" s="68" t="s">
        <v>5</v>
      </c>
      <c r="I128" s="68"/>
      <c r="J128" s="68" t="s">
        <v>5</v>
      </c>
      <c r="K128" s="68" t="s">
        <v>5</v>
      </c>
      <c r="L128" s="57">
        <v>385.00000000000006</v>
      </c>
      <c r="M128" s="57">
        <v>222</v>
      </c>
      <c r="N128" s="57">
        <v>163.00000000000006</v>
      </c>
      <c r="O128" s="57">
        <v>398.7</v>
      </c>
      <c r="P128" s="57">
        <v>410.7</v>
      </c>
      <c r="Q128" s="57">
        <v>423</v>
      </c>
      <c r="R128" s="58">
        <v>3.5584415584415385E-2</v>
      </c>
      <c r="S128" s="58">
        <v>3.0097817908201652E-2</v>
      </c>
      <c r="T128" s="58">
        <v>2.9948867786705691E-2</v>
      </c>
      <c r="U128" s="37" t="s">
        <v>101</v>
      </c>
    </row>
    <row r="129" spans="1:21" s="3" customFormat="1" ht="25.15" customHeight="1" x14ac:dyDescent="2.5">
      <c r="A129" s="3">
        <v>42</v>
      </c>
      <c r="C129" s="3">
        <v>2</v>
      </c>
      <c r="E129" s="3">
        <v>158</v>
      </c>
      <c r="H129" s="73" t="s">
        <v>200</v>
      </c>
      <c r="I129" s="73"/>
      <c r="J129" s="73" t="s">
        <v>17</v>
      </c>
      <c r="K129" s="73" t="s">
        <v>17</v>
      </c>
      <c r="L129" s="74">
        <v>1404.5</v>
      </c>
      <c r="M129" s="74">
        <v>204.70000000000002</v>
      </c>
      <c r="N129" s="74">
        <v>1199.8</v>
      </c>
      <c r="O129" s="74">
        <v>1511.8000000000002</v>
      </c>
      <c r="P129" s="74">
        <v>1578</v>
      </c>
      <c r="Q129" s="74">
        <v>1647.3</v>
      </c>
      <c r="R129" s="75">
        <v>7.6397294410822436E-2</v>
      </c>
      <c r="S129" s="75">
        <v>4.3788860960444431E-2</v>
      </c>
      <c r="T129" s="75">
        <v>4.3916349809886013E-2</v>
      </c>
      <c r="U129" s="43"/>
    </row>
    <row r="130" spans="1:21" s="2" customFormat="1" ht="25.15" customHeight="1" x14ac:dyDescent="2.5">
      <c r="A130" s="3">
        <v>42</v>
      </c>
      <c r="C130" s="3">
        <v>2</v>
      </c>
      <c r="D130" s="3"/>
      <c r="E130" s="3"/>
      <c r="F130" s="3">
        <v>1</v>
      </c>
      <c r="H130" s="68" t="s">
        <v>4</v>
      </c>
      <c r="I130" s="68"/>
      <c r="J130" s="68" t="s">
        <v>4</v>
      </c>
      <c r="K130" s="68" t="s">
        <v>4</v>
      </c>
      <c r="L130" s="57">
        <v>954.8</v>
      </c>
      <c r="M130" s="57"/>
      <c r="N130" s="57">
        <v>954.8</v>
      </c>
      <c r="O130" s="57">
        <v>1045.9000000000001</v>
      </c>
      <c r="P130" s="57">
        <v>1098.1000000000001</v>
      </c>
      <c r="Q130" s="57">
        <v>1153</v>
      </c>
      <c r="R130" s="58">
        <v>9.5412651864264841E-2</v>
      </c>
      <c r="S130" s="58">
        <v>4.9909169136628684E-2</v>
      </c>
      <c r="T130" s="58">
        <v>4.9995446680630051E-2</v>
      </c>
      <c r="U130" s="37"/>
    </row>
    <row r="131" spans="1:21" s="2" customFormat="1" ht="25.15" customHeight="1" x14ac:dyDescent="2.5">
      <c r="A131" s="3">
        <v>42</v>
      </c>
      <c r="C131" s="3">
        <v>2</v>
      </c>
      <c r="D131" s="3"/>
      <c r="E131" s="3"/>
      <c r="F131" s="3">
        <v>2</v>
      </c>
      <c r="H131" s="68" t="s">
        <v>5</v>
      </c>
      <c r="I131" s="68"/>
      <c r="J131" s="68" t="s">
        <v>5</v>
      </c>
      <c r="K131" s="68" t="s">
        <v>5</v>
      </c>
      <c r="L131" s="57">
        <v>449.7</v>
      </c>
      <c r="M131" s="57">
        <v>204.70000000000002</v>
      </c>
      <c r="N131" s="57">
        <v>244.99999999999997</v>
      </c>
      <c r="O131" s="57">
        <v>465.90000000000003</v>
      </c>
      <c r="P131" s="57">
        <v>479.9</v>
      </c>
      <c r="Q131" s="57">
        <v>494.3</v>
      </c>
      <c r="R131" s="58">
        <v>3.6024016010673954E-2</v>
      </c>
      <c r="S131" s="58">
        <v>3.0049366816913281E-2</v>
      </c>
      <c r="T131" s="58">
        <v>3.0006251302354681E-2</v>
      </c>
      <c r="U131" s="37" t="s">
        <v>102</v>
      </c>
    </row>
    <row r="132" spans="1:21" s="3" customFormat="1" ht="25.15" customHeight="1" x14ac:dyDescent="2.5">
      <c r="A132" s="3">
        <v>43</v>
      </c>
      <c r="C132" s="3">
        <v>2</v>
      </c>
      <c r="E132" s="3">
        <v>159</v>
      </c>
      <c r="H132" s="73" t="s">
        <v>201</v>
      </c>
      <c r="I132" s="73"/>
      <c r="J132" s="73" t="s">
        <v>18</v>
      </c>
      <c r="K132" s="73" t="s">
        <v>18</v>
      </c>
      <c r="L132" s="74">
        <v>909.2</v>
      </c>
      <c r="M132" s="74">
        <v>343</v>
      </c>
      <c r="N132" s="74">
        <v>566.20000000000005</v>
      </c>
      <c r="O132" s="74">
        <v>957.59999999999991</v>
      </c>
      <c r="P132" s="74">
        <v>993.90000000000009</v>
      </c>
      <c r="Q132" s="74">
        <v>1031.7</v>
      </c>
      <c r="R132" s="75">
        <v>5.3233611966563954E-2</v>
      </c>
      <c r="S132" s="75">
        <v>3.7907268170426223E-2</v>
      </c>
      <c r="T132" s="75">
        <v>3.8031995170540345E-2</v>
      </c>
      <c r="U132" s="43"/>
    </row>
    <row r="133" spans="1:21" s="2" customFormat="1" ht="25.15" customHeight="1" x14ac:dyDescent="2.5">
      <c r="A133" s="3">
        <v>43</v>
      </c>
      <c r="C133" s="3">
        <v>2</v>
      </c>
      <c r="D133" s="3"/>
      <c r="E133" s="3"/>
      <c r="F133" s="3">
        <v>1</v>
      </c>
      <c r="H133" s="68" t="s">
        <v>4</v>
      </c>
      <c r="I133" s="68"/>
      <c r="J133" s="68" t="s">
        <v>4</v>
      </c>
      <c r="K133" s="68" t="s">
        <v>4</v>
      </c>
      <c r="L133" s="57">
        <v>347.7</v>
      </c>
      <c r="M133" s="57"/>
      <c r="N133" s="57">
        <v>347.7</v>
      </c>
      <c r="O133" s="57">
        <v>380.7</v>
      </c>
      <c r="P133" s="57">
        <v>399.7</v>
      </c>
      <c r="Q133" s="57">
        <v>419.7</v>
      </c>
      <c r="R133" s="58">
        <v>9.4909404659188956E-2</v>
      </c>
      <c r="S133" s="58">
        <v>4.990806409246118E-2</v>
      </c>
      <c r="T133" s="58">
        <v>5.0037528146109622E-2</v>
      </c>
      <c r="U133" s="37"/>
    </row>
    <row r="134" spans="1:21" s="2" customFormat="1" ht="25.15" customHeight="1" x14ac:dyDescent="2.5">
      <c r="A134" s="3">
        <v>43</v>
      </c>
      <c r="C134" s="3">
        <v>2</v>
      </c>
      <c r="D134" s="3"/>
      <c r="E134" s="3"/>
      <c r="F134" s="3">
        <v>2</v>
      </c>
      <c r="H134" s="68" t="s">
        <v>5</v>
      </c>
      <c r="I134" s="68"/>
      <c r="J134" s="68" t="s">
        <v>5</v>
      </c>
      <c r="K134" s="68" t="s">
        <v>5</v>
      </c>
      <c r="L134" s="57">
        <v>561.5</v>
      </c>
      <c r="M134" s="57">
        <v>343</v>
      </c>
      <c r="N134" s="57">
        <v>218.5</v>
      </c>
      <c r="O134" s="57">
        <v>576.9</v>
      </c>
      <c r="P134" s="57">
        <v>594.20000000000005</v>
      </c>
      <c r="Q134" s="57">
        <v>612</v>
      </c>
      <c r="R134" s="58">
        <v>2.7426536064113938E-2</v>
      </c>
      <c r="S134" s="58">
        <v>2.9987866181313994E-2</v>
      </c>
      <c r="T134" s="58">
        <v>2.9956243688993522E-2</v>
      </c>
      <c r="U134" s="37" t="s">
        <v>103</v>
      </c>
    </row>
    <row r="135" spans="1:21" s="3" customFormat="1" ht="25.15" customHeight="1" x14ac:dyDescent="2.5">
      <c r="A135" s="3">
        <v>44</v>
      </c>
      <c r="C135" s="3">
        <v>2</v>
      </c>
      <c r="E135" s="3">
        <v>160</v>
      </c>
      <c r="H135" s="73" t="s">
        <v>202</v>
      </c>
      <c r="I135" s="73"/>
      <c r="J135" s="73" t="s">
        <v>19</v>
      </c>
      <c r="K135" s="73" t="s">
        <v>19</v>
      </c>
      <c r="L135" s="74">
        <v>1562.7</v>
      </c>
      <c r="M135" s="74">
        <v>486.7</v>
      </c>
      <c r="N135" s="74">
        <v>1076</v>
      </c>
      <c r="O135" s="74">
        <v>1642.3</v>
      </c>
      <c r="P135" s="74">
        <v>1704</v>
      </c>
      <c r="Q135" s="74">
        <v>1768.6999999999998</v>
      </c>
      <c r="R135" s="75">
        <v>5.093748000255971E-2</v>
      </c>
      <c r="S135" s="75">
        <v>3.7569262619497001E-2</v>
      </c>
      <c r="T135" s="75">
        <v>3.7969483568075058E-2</v>
      </c>
      <c r="U135" s="43"/>
    </row>
    <row r="136" spans="1:21" s="2" customFormat="1" ht="25.15" customHeight="1" x14ac:dyDescent="2.5">
      <c r="A136" s="3">
        <v>44</v>
      </c>
      <c r="C136" s="3">
        <v>2</v>
      </c>
      <c r="D136" s="3"/>
      <c r="E136" s="3"/>
      <c r="F136" s="3">
        <v>1</v>
      </c>
      <c r="H136" s="68" t="s">
        <v>4</v>
      </c>
      <c r="I136" s="68"/>
      <c r="J136" s="68" t="s">
        <v>4</v>
      </c>
      <c r="K136" s="68" t="s">
        <v>4</v>
      </c>
      <c r="L136" s="57">
        <v>607.70000000000005</v>
      </c>
      <c r="M136" s="57"/>
      <c r="N136" s="57">
        <v>607.70000000000005</v>
      </c>
      <c r="O136" s="57">
        <v>665.4</v>
      </c>
      <c r="P136" s="57">
        <v>698.7</v>
      </c>
      <c r="Q136" s="57">
        <v>733.6</v>
      </c>
      <c r="R136" s="58">
        <v>9.4948165213098346E-2</v>
      </c>
      <c r="S136" s="58">
        <v>5.0045085662759448E-2</v>
      </c>
      <c r="T136" s="58">
        <v>4.9949906970087277E-2</v>
      </c>
      <c r="U136" s="37"/>
    </row>
    <row r="137" spans="1:21" s="2" customFormat="1" ht="25.15" customHeight="1" x14ac:dyDescent="2.5">
      <c r="A137" s="3">
        <v>44</v>
      </c>
      <c r="C137" s="3">
        <v>2</v>
      </c>
      <c r="D137" s="3"/>
      <c r="E137" s="3"/>
      <c r="F137" s="3">
        <v>2</v>
      </c>
      <c r="H137" s="68" t="s">
        <v>5</v>
      </c>
      <c r="I137" s="68"/>
      <c r="J137" s="68" t="s">
        <v>5</v>
      </c>
      <c r="K137" s="68" t="s">
        <v>5</v>
      </c>
      <c r="L137" s="57">
        <v>955</v>
      </c>
      <c r="M137" s="57">
        <v>486.7</v>
      </c>
      <c r="N137" s="57">
        <v>468.3</v>
      </c>
      <c r="O137" s="57">
        <v>976.9</v>
      </c>
      <c r="P137" s="57">
        <v>1005.3000000000001</v>
      </c>
      <c r="Q137" s="57">
        <v>1035.0999999999999</v>
      </c>
      <c r="R137" s="58">
        <v>2.2931937172774752E-2</v>
      </c>
      <c r="S137" s="58">
        <v>2.9071552871327677E-2</v>
      </c>
      <c r="T137" s="58">
        <v>2.9642892668855003E-2</v>
      </c>
      <c r="U137" s="37" t="s">
        <v>104</v>
      </c>
    </row>
    <row r="138" spans="1:21" s="3" customFormat="1" ht="25.15" customHeight="1" x14ac:dyDescent="2.5">
      <c r="A138" s="3">
        <v>45</v>
      </c>
      <c r="C138" s="3">
        <v>2</v>
      </c>
      <c r="E138" s="3">
        <v>161</v>
      </c>
      <c r="H138" s="73" t="s">
        <v>203</v>
      </c>
      <c r="I138" s="73"/>
      <c r="J138" s="73" t="s">
        <v>20</v>
      </c>
      <c r="K138" s="73" t="s">
        <v>20</v>
      </c>
      <c r="L138" s="74">
        <v>1205.9000000000001</v>
      </c>
      <c r="M138" s="74">
        <v>535.5</v>
      </c>
      <c r="N138" s="74">
        <v>670.40000000000009</v>
      </c>
      <c r="O138" s="74">
        <v>1260.1999999999998</v>
      </c>
      <c r="P138" s="74">
        <v>1306.5999999999999</v>
      </c>
      <c r="Q138" s="74">
        <v>1354.8</v>
      </c>
      <c r="R138" s="75">
        <v>4.5028609337424141E-2</v>
      </c>
      <c r="S138" s="75">
        <v>3.6819552451991866E-2</v>
      </c>
      <c r="T138" s="75">
        <v>3.688963722638916E-2</v>
      </c>
      <c r="U138" s="43"/>
    </row>
    <row r="139" spans="1:21" s="2" customFormat="1" ht="25.15" customHeight="1" x14ac:dyDescent="2.5">
      <c r="A139" s="3">
        <v>45</v>
      </c>
      <c r="C139" s="3">
        <v>2</v>
      </c>
      <c r="D139" s="3"/>
      <c r="E139" s="3"/>
      <c r="F139" s="3">
        <v>1</v>
      </c>
      <c r="H139" s="68" t="s">
        <v>4</v>
      </c>
      <c r="I139" s="68"/>
      <c r="J139" s="68" t="s">
        <v>4</v>
      </c>
      <c r="K139" s="68" t="s">
        <v>4</v>
      </c>
      <c r="L139" s="57">
        <v>390.5</v>
      </c>
      <c r="M139" s="57"/>
      <c r="N139" s="57">
        <v>390.5</v>
      </c>
      <c r="O139" s="57">
        <v>427.6</v>
      </c>
      <c r="P139" s="57">
        <v>449</v>
      </c>
      <c r="Q139" s="57">
        <v>471.5</v>
      </c>
      <c r="R139" s="58">
        <v>9.5006402048655625E-2</v>
      </c>
      <c r="S139" s="58">
        <v>5.0046772684751994E-2</v>
      </c>
      <c r="T139" s="58">
        <v>5.0111358574610243E-2</v>
      </c>
      <c r="U139" s="37"/>
    </row>
    <row r="140" spans="1:21" s="2" customFormat="1" ht="25.15" customHeight="1" x14ac:dyDescent="2.5">
      <c r="A140" s="3">
        <v>45</v>
      </c>
      <c r="C140" s="3">
        <v>2</v>
      </c>
      <c r="D140" s="3"/>
      <c r="E140" s="3"/>
      <c r="F140" s="3">
        <v>2</v>
      </c>
      <c r="H140" s="68" t="s">
        <v>5</v>
      </c>
      <c r="I140" s="68"/>
      <c r="J140" s="68" t="s">
        <v>5</v>
      </c>
      <c r="K140" s="68" t="s">
        <v>5</v>
      </c>
      <c r="L140" s="57">
        <v>815.40000000000009</v>
      </c>
      <c r="M140" s="57">
        <v>535.5</v>
      </c>
      <c r="N140" s="57">
        <v>279.90000000000009</v>
      </c>
      <c r="O140" s="57">
        <v>832.59999999999991</v>
      </c>
      <c r="P140" s="57">
        <v>857.6</v>
      </c>
      <c r="Q140" s="57">
        <v>883.3</v>
      </c>
      <c r="R140" s="58">
        <v>2.1093941623742785E-2</v>
      </c>
      <c r="S140" s="58">
        <v>3.0026423252462298E-2</v>
      </c>
      <c r="T140" s="58">
        <v>2.9967350746268551E-2</v>
      </c>
      <c r="U140" s="37" t="s">
        <v>105</v>
      </c>
    </row>
    <row r="141" spans="1:21" s="3" customFormat="1" ht="25.15" customHeight="1" x14ac:dyDescent="2.5">
      <c r="A141" s="3">
        <v>46</v>
      </c>
      <c r="C141" s="3">
        <v>2</v>
      </c>
      <c r="E141" s="3">
        <v>162</v>
      </c>
      <c r="H141" s="73" t="s">
        <v>204</v>
      </c>
      <c r="I141" s="73"/>
      <c r="J141" s="73" t="s">
        <v>21</v>
      </c>
      <c r="K141" s="73" t="s">
        <v>21</v>
      </c>
      <c r="L141" s="74">
        <v>883.8</v>
      </c>
      <c r="M141" s="74">
        <v>224.7</v>
      </c>
      <c r="N141" s="74">
        <v>659.09999999999991</v>
      </c>
      <c r="O141" s="74">
        <v>938.90000000000009</v>
      </c>
      <c r="P141" s="74">
        <v>976</v>
      </c>
      <c r="Q141" s="74">
        <v>1014.5999999999999</v>
      </c>
      <c r="R141" s="75">
        <v>6.2344421814890305E-2</v>
      </c>
      <c r="S141" s="75">
        <v>3.9514325274256912E-2</v>
      </c>
      <c r="T141" s="75">
        <v>3.9549180327868694E-2</v>
      </c>
      <c r="U141" s="43"/>
    </row>
    <row r="142" spans="1:21" s="2" customFormat="1" ht="25.15" customHeight="1" x14ac:dyDescent="2.5">
      <c r="A142" s="3">
        <v>46</v>
      </c>
      <c r="C142" s="3">
        <v>2</v>
      </c>
      <c r="D142" s="3"/>
      <c r="E142" s="3"/>
      <c r="F142" s="3">
        <v>1</v>
      </c>
      <c r="H142" s="68" t="s">
        <v>4</v>
      </c>
      <c r="I142" s="68"/>
      <c r="J142" s="68" t="s">
        <v>4</v>
      </c>
      <c r="K142" s="68" t="s">
        <v>4</v>
      </c>
      <c r="L142" s="57">
        <v>407.4</v>
      </c>
      <c r="M142" s="57"/>
      <c r="N142" s="57">
        <v>407.4</v>
      </c>
      <c r="O142" s="57">
        <v>446.1</v>
      </c>
      <c r="P142" s="57">
        <v>468.4</v>
      </c>
      <c r="Q142" s="57">
        <v>491.8</v>
      </c>
      <c r="R142" s="58">
        <v>9.4992636229749738E-2</v>
      </c>
      <c r="S142" s="58">
        <v>4.9988791750728456E-2</v>
      </c>
      <c r="T142" s="58">
        <v>4.9957301451750702E-2</v>
      </c>
      <c r="U142" s="37"/>
    </row>
    <row r="143" spans="1:21" s="2" customFormat="1" ht="25.15" customHeight="1" x14ac:dyDescent="2.5">
      <c r="A143" s="3">
        <v>46</v>
      </c>
      <c r="C143" s="3">
        <v>2</v>
      </c>
      <c r="D143" s="3"/>
      <c r="E143" s="3"/>
      <c r="F143" s="3">
        <v>2</v>
      </c>
      <c r="H143" s="68" t="s">
        <v>5</v>
      </c>
      <c r="I143" s="68"/>
      <c r="J143" s="68" t="s">
        <v>5</v>
      </c>
      <c r="K143" s="68" t="s">
        <v>5</v>
      </c>
      <c r="L143" s="57">
        <v>476.4</v>
      </c>
      <c r="M143" s="57">
        <v>224.7</v>
      </c>
      <c r="N143" s="57">
        <v>251.7</v>
      </c>
      <c r="O143" s="57">
        <v>492.8</v>
      </c>
      <c r="P143" s="57">
        <v>507.6</v>
      </c>
      <c r="Q143" s="57">
        <v>522.79999999999995</v>
      </c>
      <c r="R143" s="58">
        <v>3.4424853064651595E-2</v>
      </c>
      <c r="S143" s="58">
        <v>3.0032467532467466E-2</v>
      </c>
      <c r="T143" s="58">
        <v>2.9944838455476575E-2</v>
      </c>
      <c r="U143" s="37" t="s">
        <v>106</v>
      </c>
    </row>
    <row r="144" spans="1:21" s="3" customFormat="1" ht="25.15" customHeight="1" x14ac:dyDescent="2.5">
      <c r="A144" s="3">
        <v>47</v>
      </c>
      <c r="C144" s="3">
        <v>2</v>
      </c>
      <c r="E144" s="3">
        <v>163</v>
      </c>
      <c r="H144" s="73" t="s">
        <v>205</v>
      </c>
      <c r="I144" s="73"/>
      <c r="J144" s="73" t="s">
        <v>22</v>
      </c>
      <c r="K144" s="73" t="s">
        <v>22</v>
      </c>
      <c r="L144" s="74">
        <v>1212.0999999999999</v>
      </c>
      <c r="M144" s="74">
        <v>139.6</v>
      </c>
      <c r="N144" s="74">
        <v>1072.5</v>
      </c>
      <c r="O144" s="74">
        <v>1288.3</v>
      </c>
      <c r="P144" s="74">
        <v>1338.8000000000002</v>
      </c>
      <c r="Q144" s="74">
        <v>1391.5</v>
      </c>
      <c r="R144" s="75">
        <v>6.2866100156752758E-2</v>
      </c>
      <c r="S144" s="75">
        <v>3.9198944345261388E-2</v>
      </c>
      <c r="T144" s="75">
        <v>3.9363609202270444E-2</v>
      </c>
      <c r="U144" s="43"/>
    </row>
    <row r="145" spans="1:21" s="2" customFormat="1" ht="25.15" customHeight="1" x14ac:dyDescent="2.5">
      <c r="A145" s="3">
        <v>47</v>
      </c>
      <c r="C145" s="3">
        <v>2</v>
      </c>
      <c r="D145" s="3"/>
      <c r="E145" s="3"/>
      <c r="F145" s="3">
        <v>1</v>
      </c>
      <c r="H145" s="68" t="s">
        <v>4</v>
      </c>
      <c r="I145" s="68"/>
      <c r="J145" s="68" t="s">
        <v>4</v>
      </c>
      <c r="K145" s="68" t="s">
        <v>4</v>
      </c>
      <c r="L145" s="57">
        <v>542</v>
      </c>
      <c r="M145" s="57"/>
      <c r="N145" s="57">
        <v>542</v>
      </c>
      <c r="O145" s="57">
        <v>593.5</v>
      </c>
      <c r="P145" s="57">
        <v>623.20000000000005</v>
      </c>
      <c r="Q145" s="57">
        <v>654.4</v>
      </c>
      <c r="R145" s="58">
        <v>9.5018450184501946E-2</v>
      </c>
      <c r="S145" s="58">
        <v>5.0042122999157668E-2</v>
      </c>
      <c r="T145" s="58">
        <v>5.0064184852374627E-2</v>
      </c>
      <c r="U145" s="37"/>
    </row>
    <row r="146" spans="1:21" s="2" customFormat="1" ht="25.15" customHeight="1" x14ac:dyDescent="2.5">
      <c r="A146" s="3">
        <v>47</v>
      </c>
      <c r="C146" s="3">
        <v>2</v>
      </c>
      <c r="D146" s="3"/>
      <c r="E146" s="3"/>
      <c r="F146" s="3">
        <v>2</v>
      </c>
      <c r="H146" s="68" t="s">
        <v>5</v>
      </c>
      <c r="I146" s="68"/>
      <c r="J146" s="68" t="s">
        <v>5</v>
      </c>
      <c r="K146" s="68" t="s">
        <v>5</v>
      </c>
      <c r="L146" s="57">
        <v>670.1</v>
      </c>
      <c r="M146" s="57">
        <v>139.6</v>
      </c>
      <c r="N146" s="57">
        <v>530.5</v>
      </c>
      <c r="O146" s="57">
        <v>694.8</v>
      </c>
      <c r="P146" s="57">
        <v>715.6</v>
      </c>
      <c r="Q146" s="57">
        <v>737.1</v>
      </c>
      <c r="R146" s="58">
        <v>3.6860170123862002E-2</v>
      </c>
      <c r="S146" s="58">
        <v>2.9936672423719113E-2</v>
      </c>
      <c r="T146" s="58">
        <v>3.0044717719396319E-2</v>
      </c>
      <c r="U146" s="37" t="s">
        <v>107</v>
      </c>
    </row>
    <row r="147" spans="1:21" s="3" customFormat="1" ht="25.15" customHeight="1" x14ac:dyDescent="2.5">
      <c r="A147" s="3">
        <v>48</v>
      </c>
      <c r="C147" s="3">
        <v>2</v>
      </c>
      <c r="E147" s="3">
        <v>164</v>
      </c>
      <c r="H147" s="73" t="s">
        <v>206</v>
      </c>
      <c r="I147" s="73"/>
      <c r="J147" s="73" t="s">
        <v>23</v>
      </c>
      <c r="K147" s="73" t="s">
        <v>23</v>
      </c>
      <c r="L147" s="74">
        <v>897.2</v>
      </c>
      <c r="M147" s="74">
        <v>198.4</v>
      </c>
      <c r="N147" s="74">
        <v>698.80000000000007</v>
      </c>
      <c r="O147" s="74">
        <v>956.2</v>
      </c>
      <c r="P147" s="74">
        <v>994.7</v>
      </c>
      <c r="Q147" s="74">
        <v>1034.8000000000002</v>
      </c>
      <c r="R147" s="75">
        <v>6.576014266607233E-2</v>
      </c>
      <c r="S147" s="75">
        <v>4.026354319180081E-2</v>
      </c>
      <c r="T147" s="75">
        <v>4.0313662410777162E-2</v>
      </c>
      <c r="U147" s="43"/>
    </row>
    <row r="148" spans="1:21" s="2" customFormat="1" ht="25.15" customHeight="1" x14ac:dyDescent="2.5">
      <c r="A148" s="3">
        <v>48</v>
      </c>
      <c r="C148" s="3">
        <v>2</v>
      </c>
      <c r="D148" s="3"/>
      <c r="E148" s="3"/>
      <c r="F148" s="3">
        <v>1</v>
      </c>
      <c r="H148" s="68" t="s">
        <v>4</v>
      </c>
      <c r="I148" s="68"/>
      <c r="J148" s="68" t="s">
        <v>4</v>
      </c>
      <c r="K148" s="68" t="s">
        <v>4</v>
      </c>
      <c r="L148" s="57">
        <v>449.1</v>
      </c>
      <c r="M148" s="57"/>
      <c r="N148" s="57">
        <v>449.1</v>
      </c>
      <c r="O148" s="57">
        <v>491.8</v>
      </c>
      <c r="P148" s="57">
        <v>516.4</v>
      </c>
      <c r="Q148" s="57">
        <v>542.20000000000005</v>
      </c>
      <c r="R148" s="58">
        <v>9.5079046982854631E-2</v>
      </c>
      <c r="S148" s="58">
        <v>5.0020333468889788E-2</v>
      </c>
      <c r="T148" s="58">
        <v>4.9961270333075181E-2</v>
      </c>
      <c r="U148" s="37"/>
    </row>
    <row r="149" spans="1:21" s="2" customFormat="1" ht="25.15" customHeight="1" x14ac:dyDescent="2.5">
      <c r="A149" s="3">
        <v>48</v>
      </c>
      <c r="C149" s="3">
        <v>2</v>
      </c>
      <c r="D149" s="3"/>
      <c r="E149" s="3"/>
      <c r="F149" s="3">
        <v>2</v>
      </c>
      <c r="H149" s="68" t="s">
        <v>5</v>
      </c>
      <c r="I149" s="68"/>
      <c r="J149" s="68" t="s">
        <v>5</v>
      </c>
      <c r="K149" s="68" t="s">
        <v>5</v>
      </c>
      <c r="L149" s="57">
        <v>448.1</v>
      </c>
      <c r="M149" s="57">
        <v>198.4</v>
      </c>
      <c r="N149" s="57">
        <v>249.70000000000002</v>
      </c>
      <c r="O149" s="57">
        <v>464.40000000000003</v>
      </c>
      <c r="P149" s="57">
        <v>478.3</v>
      </c>
      <c r="Q149" s="57">
        <v>492.6</v>
      </c>
      <c r="R149" s="58">
        <v>3.6375808971211843E-2</v>
      </c>
      <c r="S149" s="58">
        <v>2.9931093884582261E-2</v>
      </c>
      <c r="T149" s="58">
        <v>2.9897553836504276E-2</v>
      </c>
      <c r="U149" s="37" t="s">
        <v>108</v>
      </c>
    </row>
    <row r="150" spans="1:21" s="3" customFormat="1" ht="25.15" customHeight="1" x14ac:dyDescent="2.5">
      <c r="A150" s="3">
        <v>49</v>
      </c>
      <c r="C150" s="3">
        <v>2</v>
      </c>
      <c r="E150" s="3">
        <v>165</v>
      </c>
      <c r="H150" s="73" t="s">
        <v>207</v>
      </c>
      <c r="I150" s="73"/>
      <c r="J150" s="73" t="s">
        <v>24</v>
      </c>
      <c r="K150" s="73" t="s">
        <v>24</v>
      </c>
      <c r="L150" s="74">
        <v>1000.1999999999999</v>
      </c>
      <c r="M150" s="74">
        <v>390.3</v>
      </c>
      <c r="N150" s="74">
        <v>609.89999999999986</v>
      </c>
      <c r="O150" s="74">
        <v>1048</v>
      </c>
      <c r="P150" s="74">
        <v>1086.4000000000001</v>
      </c>
      <c r="Q150" s="74">
        <v>1126.4000000000001</v>
      </c>
      <c r="R150" s="75">
        <v>4.7790441911617743E-2</v>
      </c>
      <c r="S150" s="75">
        <v>3.6641221374045907E-2</v>
      </c>
      <c r="T150" s="75">
        <v>3.6818851251841034E-2</v>
      </c>
      <c r="U150" s="43"/>
    </row>
    <row r="151" spans="1:21" s="2" customFormat="1" ht="25.15" customHeight="1" x14ac:dyDescent="2.5">
      <c r="A151" s="3">
        <v>49</v>
      </c>
      <c r="C151" s="3">
        <v>2</v>
      </c>
      <c r="D151" s="3"/>
      <c r="E151" s="3"/>
      <c r="F151" s="3">
        <v>1</v>
      </c>
      <c r="H151" s="68" t="s">
        <v>4</v>
      </c>
      <c r="I151" s="68"/>
      <c r="J151" s="68" t="s">
        <v>4</v>
      </c>
      <c r="K151" s="68" t="s">
        <v>4</v>
      </c>
      <c r="L151" s="57">
        <v>319.39999999999998</v>
      </c>
      <c r="M151" s="57"/>
      <c r="N151" s="57">
        <v>319.39999999999998</v>
      </c>
      <c r="O151" s="57">
        <v>349.7</v>
      </c>
      <c r="P151" s="57">
        <v>367.2</v>
      </c>
      <c r="Q151" s="57">
        <v>385.6</v>
      </c>
      <c r="R151" s="58">
        <v>9.4865372573575524E-2</v>
      </c>
      <c r="S151" s="58">
        <v>5.0042893909064912E-2</v>
      </c>
      <c r="T151" s="58">
        <v>5.0108932461873756E-2</v>
      </c>
      <c r="U151" s="37"/>
    </row>
    <row r="152" spans="1:21" s="2" customFormat="1" ht="25.15" customHeight="1" x14ac:dyDescent="2.5">
      <c r="A152" s="3">
        <v>49</v>
      </c>
      <c r="C152" s="3">
        <v>2</v>
      </c>
      <c r="D152" s="3"/>
      <c r="E152" s="3"/>
      <c r="F152" s="3">
        <v>2</v>
      </c>
      <c r="H152" s="68" t="s">
        <v>5</v>
      </c>
      <c r="I152" s="68"/>
      <c r="J152" s="68" t="s">
        <v>5</v>
      </c>
      <c r="K152" s="68" t="s">
        <v>5</v>
      </c>
      <c r="L152" s="57">
        <v>680.8</v>
      </c>
      <c r="M152" s="57">
        <v>390.3</v>
      </c>
      <c r="N152" s="57">
        <v>290.49999999999994</v>
      </c>
      <c r="O152" s="57">
        <v>698.3</v>
      </c>
      <c r="P152" s="57">
        <v>719.2</v>
      </c>
      <c r="Q152" s="57">
        <v>740.8</v>
      </c>
      <c r="R152" s="58">
        <v>2.5705052878965962E-2</v>
      </c>
      <c r="S152" s="58">
        <v>2.9929829586137879E-2</v>
      </c>
      <c r="T152" s="58">
        <v>3.0033370411568283E-2</v>
      </c>
      <c r="U152" s="37" t="s">
        <v>109</v>
      </c>
    </row>
    <row r="153" spans="1:21" s="3" customFormat="1" ht="25.15" customHeight="1" x14ac:dyDescent="2.5">
      <c r="A153" s="3">
        <v>50</v>
      </c>
      <c r="C153" s="3">
        <v>2</v>
      </c>
      <c r="E153" s="3">
        <v>166</v>
      </c>
      <c r="H153" s="73" t="s">
        <v>208</v>
      </c>
      <c r="I153" s="73"/>
      <c r="J153" s="73" t="s">
        <v>25</v>
      </c>
      <c r="K153" s="73" t="s">
        <v>25</v>
      </c>
      <c r="L153" s="74">
        <v>1007.8</v>
      </c>
      <c r="M153" s="74">
        <v>187.3</v>
      </c>
      <c r="N153" s="74">
        <v>820.5</v>
      </c>
      <c r="O153" s="74">
        <v>1075.8</v>
      </c>
      <c r="P153" s="74">
        <v>1119.7</v>
      </c>
      <c r="Q153" s="74">
        <v>1165.5</v>
      </c>
      <c r="R153" s="75">
        <v>6.7473705100218329E-2</v>
      </c>
      <c r="S153" s="75">
        <v>4.0806841420338413E-2</v>
      </c>
      <c r="T153" s="75">
        <v>4.0903813521478982E-2</v>
      </c>
      <c r="U153" s="43"/>
    </row>
    <row r="154" spans="1:21" s="2" customFormat="1" ht="25.15" customHeight="1" x14ac:dyDescent="2.5">
      <c r="A154" s="3">
        <v>50</v>
      </c>
      <c r="C154" s="3">
        <v>2</v>
      </c>
      <c r="D154" s="3"/>
      <c r="E154" s="3"/>
      <c r="F154" s="3">
        <v>1</v>
      </c>
      <c r="H154" s="68" t="s">
        <v>4</v>
      </c>
      <c r="I154" s="68"/>
      <c r="J154" s="68" t="s">
        <v>4</v>
      </c>
      <c r="K154" s="68" t="s">
        <v>4</v>
      </c>
      <c r="L154" s="57">
        <v>532</v>
      </c>
      <c r="M154" s="57"/>
      <c r="N154" s="57">
        <v>532</v>
      </c>
      <c r="O154" s="57">
        <v>582.5</v>
      </c>
      <c r="P154" s="57">
        <v>611.6</v>
      </c>
      <c r="Q154" s="57">
        <v>642.20000000000005</v>
      </c>
      <c r="R154" s="58">
        <v>9.492481203007519E-2</v>
      </c>
      <c r="S154" s="58">
        <v>4.9957081545064508E-2</v>
      </c>
      <c r="T154" s="58">
        <v>5.0032701111837774E-2</v>
      </c>
      <c r="U154" s="37"/>
    </row>
    <row r="155" spans="1:21" s="2" customFormat="1" ht="25.15" customHeight="1" x14ac:dyDescent="2.5">
      <c r="A155" s="3">
        <v>50</v>
      </c>
      <c r="C155" s="3">
        <v>2</v>
      </c>
      <c r="D155" s="3"/>
      <c r="E155" s="3"/>
      <c r="F155" s="3">
        <v>2</v>
      </c>
      <c r="H155" s="68" t="s">
        <v>5</v>
      </c>
      <c r="I155" s="68"/>
      <c r="J155" s="68" t="s">
        <v>5</v>
      </c>
      <c r="K155" s="68" t="s">
        <v>5</v>
      </c>
      <c r="L155" s="57">
        <v>475.8</v>
      </c>
      <c r="M155" s="57">
        <v>187.3</v>
      </c>
      <c r="N155" s="57">
        <v>288.5</v>
      </c>
      <c r="O155" s="57">
        <v>493.3</v>
      </c>
      <c r="P155" s="57">
        <v>508.1</v>
      </c>
      <c r="Q155" s="57">
        <v>523.29999999999995</v>
      </c>
      <c r="R155" s="58">
        <v>3.6780159730979367E-2</v>
      </c>
      <c r="S155" s="58">
        <v>3.000202716399758E-2</v>
      </c>
      <c r="T155" s="58">
        <v>2.9915370989962442E-2</v>
      </c>
      <c r="U155" s="37" t="s">
        <v>110</v>
      </c>
    </row>
    <row r="156" spans="1:21" s="3" customFormat="1" ht="25.15" customHeight="1" x14ac:dyDescent="2.5">
      <c r="A156" s="3">
        <v>51</v>
      </c>
      <c r="C156" s="3">
        <v>2</v>
      </c>
      <c r="E156" s="3">
        <v>167</v>
      </c>
      <c r="H156" s="73" t="s">
        <v>209</v>
      </c>
      <c r="I156" s="73"/>
      <c r="J156" s="73" t="s">
        <v>26</v>
      </c>
      <c r="K156" s="73" t="s">
        <v>26</v>
      </c>
      <c r="L156" s="74">
        <v>1434.6</v>
      </c>
      <c r="M156" s="74">
        <v>399.4</v>
      </c>
      <c r="N156" s="74">
        <v>1035.2</v>
      </c>
      <c r="O156" s="74">
        <v>1513.5</v>
      </c>
      <c r="P156" s="74">
        <v>1572.1</v>
      </c>
      <c r="Q156" s="74">
        <v>1633</v>
      </c>
      <c r="R156" s="75">
        <v>5.4997908824759634E-2</v>
      </c>
      <c r="S156" s="75">
        <v>3.8718202841096838E-2</v>
      </c>
      <c r="T156" s="75">
        <v>3.8737993766299939E-2</v>
      </c>
      <c r="U156" s="43"/>
    </row>
    <row r="157" spans="1:21" s="2" customFormat="1" ht="25.15" customHeight="1" x14ac:dyDescent="2.5">
      <c r="A157" s="3">
        <v>51</v>
      </c>
      <c r="C157" s="3">
        <v>2</v>
      </c>
      <c r="D157" s="3"/>
      <c r="E157" s="3"/>
      <c r="F157" s="3">
        <v>1</v>
      </c>
      <c r="H157" s="68" t="s">
        <v>4</v>
      </c>
      <c r="I157" s="68"/>
      <c r="J157" s="68" t="s">
        <v>4</v>
      </c>
      <c r="K157" s="68" t="s">
        <v>4</v>
      </c>
      <c r="L157" s="57">
        <v>600.79999999999995</v>
      </c>
      <c r="M157" s="57"/>
      <c r="N157" s="57">
        <v>600.79999999999995</v>
      </c>
      <c r="O157" s="57">
        <v>657.9</v>
      </c>
      <c r="P157" s="57">
        <v>690.8</v>
      </c>
      <c r="Q157" s="57">
        <v>725.3</v>
      </c>
      <c r="R157" s="58">
        <v>9.5039946737683234E-2</v>
      </c>
      <c r="S157" s="58">
        <v>5.0007599939200453E-2</v>
      </c>
      <c r="T157" s="58">
        <v>4.9942096120439983E-2</v>
      </c>
      <c r="U157" s="37"/>
    </row>
    <row r="158" spans="1:21" s="2" customFormat="1" ht="25.15" customHeight="1" x14ac:dyDescent="2.5">
      <c r="A158" s="3">
        <v>51</v>
      </c>
      <c r="C158" s="3">
        <v>2</v>
      </c>
      <c r="D158" s="3"/>
      <c r="E158" s="3"/>
      <c r="F158" s="3">
        <v>2</v>
      </c>
      <c r="H158" s="68" t="s">
        <v>5</v>
      </c>
      <c r="I158" s="68"/>
      <c r="J158" s="68" t="s">
        <v>5</v>
      </c>
      <c r="K158" s="68" t="s">
        <v>5</v>
      </c>
      <c r="L158" s="57">
        <v>833.80000000000007</v>
      </c>
      <c r="M158" s="57">
        <v>399.4</v>
      </c>
      <c r="N158" s="57">
        <v>434.40000000000009</v>
      </c>
      <c r="O158" s="57">
        <v>855.59999999999991</v>
      </c>
      <c r="P158" s="57">
        <v>881.3</v>
      </c>
      <c r="Q158" s="57">
        <v>907.7</v>
      </c>
      <c r="R158" s="58">
        <v>2.614535859918421E-2</v>
      </c>
      <c r="S158" s="58">
        <v>3.0037400654511437E-2</v>
      </c>
      <c r="T158" s="58">
        <v>2.9955747191648729E-2</v>
      </c>
      <c r="U158" s="37" t="s">
        <v>111</v>
      </c>
    </row>
    <row r="159" spans="1:21" s="3" customFormat="1" ht="25.15" customHeight="1" x14ac:dyDescent="2.5">
      <c r="A159" s="3">
        <v>52</v>
      </c>
      <c r="C159" s="3">
        <v>2</v>
      </c>
      <c r="E159" s="3">
        <v>168</v>
      </c>
      <c r="H159" s="73" t="s">
        <v>210</v>
      </c>
      <c r="I159" s="73"/>
      <c r="J159" s="73" t="s">
        <v>27</v>
      </c>
      <c r="K159" s="73" t="s">
        <v>27</v>
      </c>
      <c r="L159" s="74">
        <v>701.4</v>
      </c>
      <c r="M159" s="74">
        <v>225</v>
      </c>
      <c r="N159" s="74">
        <v>476.4</v>
      </c>
      <c r="O159" s="74">
        <v>742.2</v>
      </c>
      <c r="P159" s="74">
        <v>770.4</v>
      </c>
      <c r="Q159" s="74">
        <v>799.8</v>
      </c>
      <c r="R159" s="75">
        <v>5.8169375534645074E-2</v>
      </c>
      <c r="S159" s="75">
        <v>3.7995149555375862E-2</v>
      </c>
      <c r="T159" s="75">
        <v>3.8161993769470381E-2</v>
      </c>
      <c r="U159" s="43"/>
    </row>
    <row r="160" spans="1:21" s="2" customFormat="1" ht="25.15" customHeight="1" x14ac:dyDescent="2.5">
      <c r="A160" s="3">
        <v>52</v>
      </c>
      <c r="C160" s="3">
        <v>2</v>
      </c>
      <c r="D160" s="3"/>
      <c r="E160" s="3"/>
      <c r="F160" s="3">
        <v>1</v>
      </c>
      <c r="H160" s="68" t="s">
        <v>4</v>
      </c>
      <c r="I160" s="68"/>
      <c r="J160" s="68" t="s">
        <v>4</v>
      </c>
      <c r="K160" s="68" t="s">
        <v>4</v>
      </c>
      <c r="L160" s="57">
        <v>272.89999999999998</v>
      </c>
      <c r="M160" s="57"/>
      <c r="N160" s="57">
        <v>272.89999999999998</v>
      </c>
      <c r="O160" s="57">
        <v>298.8</v>
      </c>
      <c r="P160" s="57">
        <v>313.7</v>
      </c>
      <c r="Q160" s="57">
        <v>329.4</v>
      </c>
      <c r="R160" s="58">
        <v>9.4906559179186667E-2</v>
      </c>
      <c r="S160" s="58">
        <v>4.986613119143235E-2</v>
      </c>
      <c r="T160" s="58">
        <v>5.0047816385081267E-2</v>
      </c>
      <c r="U160" s="37"/>
    </row>
    <row r="161" spans="1:21" s="2" customFormat="1" ht="25.15" customHeight="1" x14ac:dyDescent="2.5">
      <c r="A161" s="3">
        <v>52</v>
      </c>
      <c r="C161" s="3">
        <v>2</v>
      </c>
      <c r="D161" s="3"/>
      <c r="E161" s="3"/>
      <c r="F161" s="3">
        <v>2</v>
      </c>
      <c r="H161" s="68" t="s">
        <v>5</v>
      </c>
      <c r="I161" s="68"/>
      <c r="J161" s="68" t="s">
        <v>5</v>
      </c>
      <c r="K161" s="68" t="s">
        <v>5</v>
      </c>
      <c r="L161" s="57">
        <v>428.5</v>
      </c>
      <c r="M161" s="57">
        <v>225</v>
      </c>
      <c r="N161" s="57">
        <v>203.5</v>
      </c>
      <c r="O161" s="57">
        <v>443.40000000000003</v>
      </c>
      <c r="P161" s="57">
        <v>456.7</v>
      </c>
      <c r="Q161" s="57">
        <v>470.4</v>
      </c>
      <c r="R161" s="58">
        <v>3.47724620770129E-2</v>
      </c>
      <c r="S161" s="58">
        <v>2.9995489400090003E-2</v>
      </c>
      <c r="T161" s="58">
        <v>2.9997810378804335E-2</v>
      </c>
      <c r="U161" s="37" t="s">
        <v>112</v>
      </c>
    </row>
    <row r="162" spans="1:21" s="3" customFormat="1" ht="25.15" customHeight="1" x14ac:dyDescent="2.5">
      <c r="A162" s="3">
        <v>53</v>
      </c>
      <c r="C162" s="3">
        <v>2</v>
      </c>
      <c r="E162" s="3">
        <v>169</v>
      </c>
      <c r="H162" s="73" t="s">
        <v>211</v>
      </c>
      <c r="I162" s="73"/>
      <c r="J162" s="73" t="s">
        <v>28</v>
      </c>
      <c r="K162" s="73" t="s">
        <v>28</v>
      </c>
      <c r="L162" s="74">
        <v>904.7</v>
      </c>
      <c r="M162" s="74">
        <v>336.5</v>
      </c>
      <c r="N162" s="74">
        <v>568.20000000000005</v>
      </c>
      <c r="O162" s="74">
        <v>952.9</v>
      </c>
      <c r="P162" s="74">
        <v>989</v>
      </c>
      <c r="Q162" s="74">
        <v>1026.5</v>
      </c>
      <c r="R162" s="75">
        <v>5.327732950149211E-2</v>
      </c>
      <c r="S162" s="75">
        <v>3.7884353027600071E-2</v>
      </c>
      <c r="T162" s="75">
        <v>3.7917087967644036E-2</v>
      </c>
      <c r="U162" s="43"/>
    </row>
    <row r="163" spans="1:21" s="2" customFormat="1" ht="25.15" customHeight="1" x14ac:dyDescent="2.5">
      <c r="A163" s="3">
        <v>53</v>
      </c>
      <c r="C163" s="3">
        <v>2</v>
      </c>
      <c r="D163" s="3"/>
      <c r="E163" s="3"/>
      <c r="F163" s="3">
        <v>1</v>
      </c>
      <c r="H163" s="68" t="s">
        <v>4</v>
      </c>
      <c r="I163" s="68"/>
      <c r="J163" s="68" t="s">
        <v>4</v>
      </c>
      <c r="K163" s="68" t="s">
        <v>4</v>
      </c>
      <c r="L163" s="57">
        <v>342.9</v>
      </c>
      <c r="M163" s="57"/>
      <c r="N163" s="57">
        <v>342.9</v>
      </c>
      <c r="O163" s="57">
        <v>375.5</v>
      </c>
      <c r="P163" s="57">
        <v>394.3</v>
      </c>
      <c r="Q163" s="57">
        <v>414</v>
      </c>
      <c r="R163" s="58">
        <v>9.5071449402158059E-2</v>
      </c>
      <c r="S163" s="58">
        <v>5.0066577896138442E-2</v>
      </c>
      <c r="T163" s="58">
        <v>4.9961957900076071E-2</v>
      </c>
      <c r="U163" s="37"/>
    </row>
    <row r="164" spans="1:21" s="2" customFormat="1" ht="25.15" customHeight="1" x14ac:dyDescent="2.5">
      <c r="A164" s="3">
        <v>53</v>
      </c>
      <c r="C164" s="3">
        <v>2</v>
      </c>
      <c r="D164" s="3"/>
      <c r="E164" s="3"/>
      <c r="F164" s="3">
        <v>2</v>
      </c>
      <c r="H164" s="68" t="s">
        <v>5</v>
      </c>
      <c r="I164" s="68"/>
      <c r="J164" s="68" t="s">
        <v>5</v>
      </c>
      <c r="K164" s="68" t="s">
        <v>5</v>
      </c>
      <c r="L164" s="57">
        <v>561.80000000000007</v>
      </c>
      <c r="M164" s="57">
        <v>336.5</v>
      </c>
      <c r="N164" s="57">
        <v>225.30000000000007</v>
      </c>
      <c r="O164" s="57">
        <v>577.4</v>
      </c>
      <c r="P164" s="57">
        <v>594.70000000000005</v>
      </c>
      <c r="Q164" s="57">
        <v>612.5</v>
      </c>
      <c r="R164" s="58">
        <v>2.7767888928444062E-2</v>
      </c>
      <c r="S164" s="58">
        <v>2.9961898164184486E-2</v>
      </c>
      <c r="T164" s="58">
        <v>2.9931057676139128E-2</v>
      </c>
      <c r="U164" s="37" t="s">
        <v>113</v>
      </c>
    </row>
    <row r="165" spans="1:21" s="3" customFormat="1" ht="25.15" customHeight="1" x14ac:dyDescent="2.5">
      <c r="A165" s="3">
        <v>54</v>
      </c>
      <c r="C165" s="3">
        <v>2</v>
      </c>
      <c r="E165" s="3">
        <v>170</v>
      </c>
      <c r="H165" s="73" t="s">
        <v>212</v>
      </c>
      <c r="I165" s="73"/>
      <c r="J165" s="73" t="s">
        <v>29</v>
      </c>
      <c r="K165" s="73" t="s">
        <v>29</v>
      </c>
      <c r="L165" s="74">
        <v>934</v>
      </c>
      <c r="M165" s="74">
        <v>219.6</v>
      </c>
      <c r="N165" s="74">
        <v>714.4</v>
      </c>
      <c r="O165" s="74">
        <v>991.69999999999993</v>
      </c>
      <c r="P165" s="74">
        <v>1030.7</v>
      </c>
      <c r="Q165" s="74">
        <v>1071.3000000000002</v>
      </c>
      <c r="R165" s="75">
        <v>6.1777301927194772E-2</v>
      </c>
      <c r="S165" s="75">
        <v>3.9326409196329681E-2</v>
      </c>
      <c r="T165" s="75">
        <v>3.9390705345881516E-2</v>
      </c>
      <c r="U165" s="43"/>
    </row>
    <row r="166" spans="1:21" s="2" customFormat="1" ht="25.15" customHeight="1" x14ac:dyDescent="2.5">
      <c r="A166" s="3">
        <v>54</v>
      </c>
      <c r="C166" s="3">
        <v>2</v>
      </c>
      <c r="D166" s="3"/>
      <c r="E166" s="3"/>
      <c r="F166" s="3">
        <v>1</v>
      </c>
      <c r="H166" s="68" t="s">
        <v>4</v>
      </c>
      <c r="I166" s="68"/>
      <c r="J166" s="68" t="s">
        <v>4</v>
      </c>
      <c r="K166" s="68" t="s">
        <v>4</v>
      </c>
      <c r="L166" s="57">
        <v>423.4</v>
      </c>
      <c r="M166" s="57"/>
      <c r="N166" s="57">
        <v>423.4</v>
      </c>
      <c r="O166" s="57">
        <v>463.6</v>
      </c>
      <c r="P166" s="57">
        <v>486.8</v>
      </c>
      <c r="Q166" s="57">
        <v>511.1</v>
      </c>
      <c r="R166" s="58">
        <v>9.4945677846008714E-2</v>
      </c>
      <c r="S166" s="58">
        <v>5.0043140638481365E-2</v>
      </c>
      <c r="T166" s="58">
        <v>4.9917830731306623E-2</v>
      </c>
      <c r="U166" s="37"/>
    </row>
    <row r="167" spans="1:21" s="2" customFormat="1" ht="25.15" customHeight="1" x14ac:dyDescent="2.5">
      <c r="A167" s="3">
        <v>54</v>
      </c>
      <c r="C167" s="3">
        <v>2</v>
      </c>
      <c r="D167" s="3"/>
      <c r="E167" s="3"/>
      <c r="F167" s="3">
        <v>2</v>
      </c>
      <c r="H167" s="68" t="s">
        <v>5</v>
      </c>
      <c r="I167" s="68"/>
      <c r="J167" s="68" t="s">
        <v>5</v>
      </c>
      <c r="K167" s="68" t="s">
        <v>5</v>
      </c>
      <c r="L167" s="57">
        <v>510.59999999999997</v>
      </c>
      <c r="M167" s="57">
        <v>219.6</v>
      </c>
      <c r="N167" s="57">
        <v>291</v>
      </c>
      <c r="O167" s="57">
        <v>528.09999999999991</v>
      </c>
      <c r="P167" s="57">
        <v>543.9</v>
      </c>
      <c r="Q167" s="57">
        <v>560.20000000000005</v>
      </c>
      <c r="R167" s="58">
        <v>3.4273403838621208E-2</v>
      </c>
      <c r="S167" s="58">
        <v>2.9918576027267774E-2</v>
      </c>
      <c r="T167" s="58">
        <v>2.9968744254458723E-2</v>
      </c>
      <c r="U167" s="37" t="s">
        <v>114</v>
      </c>
    </row>
    <row r="168" spans="1:21" s="3" customFormat="1" ht="25.15" customHeight="1" x14ac:dyDescent="2.5">
      <c r="A168" s="3">
        <v>55</v>
      </c>
      <c r="C168" s="3">
        <v>2</v>
      </c>
      <c r="E168" s="3">
        <v>171</v>
      </c>
      <c r="H168" s="73" t="s">
        <v>213</v>
      </c>
      <c r="I168" s="73"/>
      <c r="J168" s="73" t="s">
        <v>30</v>
      </c>
      <c r="K168" s="73" t="s">
        <v>30</v>
      </c>
      <c r="L168" s="74">
        <v>805.90000000000009</v>
      </c>
      <c r="M168" s="74">
        <v>99.5</v>
      </c>
      <c r="N168" s="74">
        <v>706.40000000000009</v>
      </c>
      <c r="O168" s="74">
        <v>862.2</v>
      </c>
      <c r="P168" s="74">
        <v>896.9</v>
      </c>
      <c r="Q168" s="74">
        <v>933.1</v>
      </c>
      <c r="R168" s="75">
        <v>6.9859784092319188E-2</v>
      </c>
      <c r="S168" s="75">
        <v>4.0245882625840723E-2</v>
      </c>
      <c r="T168" s="75">
        <v>4.0361244285873621E-2</v>
      </c>
      <c r="U168" s="43"/>
    </row>
    <row r="169" spans="1:21" s="2" customFormat="1" ht="25.15" customHeight="1" x14ac:dyDescent="2.5">
      <c r="A169" s="3">
        <v>55</v>
      </c>
      <c r="C169" s="3">
        <v>2</v>
      </c>
      <c r="D169" s="3"/>
      <c r="E169" s="3"/>
      <c r="F169" s="3">
        <v>1</v>
      </c>
      <c r="H169" s="68" t="s">
        <v>4</v>
      </c>
      <c r="I169" s="68"/>
      <c r="J169" s="68" t="s">
        <v>4</v>
      </c>
      <c r="K169" s="68" t="s">
        <v>4</v>
      </c>
      <c r="L169" s="57">
        <v>405.5</v>
      </c>
      <c r="M169" s="57"/>
      <c r="N169" s="57">
        <v>405.5</v>
      </c>
      <c r="O169" s="57">
        <v>444</v>
      </c>
      <c r="P169" s="57">
        <v>466.2</v>
      </c>
      <c r="Q169" s="57">
        <v>489.5</v>
      </c>
      <c r="R169" s="58">
        <v>9.4944512946979032E-2</v>
      </c>
      <c r="S169" s="58">
        <v>5.0000000000000044E-2</v>
      </c>
      <c r="T169" s="58">
        <v>4.9978549978550113E-2</v>
      </c>
      <c r="U169" s="37"/>
    </row>
    <row r="170" spans="1:21" s="2" customFormat="1" ht="25.15" customHeight="1" thickBot="1" x14ac:dyDescent="2.65">
      <c r="A170" s="3">
        <v>55</v>
      </c>
      <c r="C170" s="3">
        <v>2</v>
      </c>
      <c r="D170" s="3"/>
      <c r="E170" s="3"/>
      <c r="F170" s="3">
        <v>2</v>
      </c>
      <c r="H170" s="80" t="s">
        <v>5</v>
      </c>
      <c r="I170" s="80"/>
      <c r="J170" s="80" t="s">
        <v>5</v>
      </c>
      <c r="K170" s="80" t="s">
        <v>5</v>
      </c>
      <c r="L170" s="76">
        <v>400.40000000000003</v>
      </c>
      <c r="M170" s="76">
        <v>99.5</v>
      </c>
      <c r="N170" s="76">
        <v>300.90000000000003</v>
      </c>
      <c r="O170" s="76">
        <v>418.2</v>
      </c>
      <c r="P170" s="76">
        <v>430.7</v>
      </c>
      <c r="Q170" s="76">
        <v>443.6</v>
      </c>
      <c r="R170" s="77">
        <v>4.4455544455544338E-2</v>
      </c>
      <c r="S170" s="77">
        <v>2.989000478240067E-2</v>
      </c>
      <c r="T170" s="77">
        <v>2.9951242163919201E-2</v>
      </c>
      <c r="U170" s="44" t="s">
        <v>115</v>
      </c>
    </row>
  </sheetData>
  <autoFilter ref="A1:U1" xr:uid="{4FF4C96A-7129-4907-82F6-19B807B63898}"/>
  <printOptions horizontalCentered="1"/>
  <pageMargins left="0.39370078740157483" right="0.39370078740157483" top="0.39370078740157483" bottom="0.39370078740157483" header="0.31496062992125984" footer="0.19685039370078741"/>
  <pageSetup paperSize="9" scale="74" fitToHeight="0" orientation="portrait" r:id="rId1"/>
  <headerFooter>
    <oddFooter>&amp;C&amp;"Khmer MEF1,Regular"&amp;9ទំព័រ&amp;"-,Regular"&amp;11 &amp;"Limon S1,Normal"&amp;18&amp;P&amp;"-,Regular"&amp;11 &amp;"Khmer MEF1,Regular"&amp;9នៃ&amp;"-,Regular"&amp;11 &amp;"Limon S1,Normal"&amp;18&amp;N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F2F0-7F1B-4815-9C26-B2ADCB436267}">
  <sheetPr>
    <pageSetUpPr fitToPage="1"/>
  </sheetPr>
  <dimension ref="A1:T170"/>
  <sheetViews>
    <sheetView zoomScale="85" zoomScaleNormal="85" workbookViewId="0">
      <selection activeCell="E2" sqref="E2"/>
    </sheetView>
  </sheetViews>
  <sheetFormatPr defaultRowHeight="14.75" x14ac:dyDescent="0.75"/>
  <cols>
    <col min="2" max="2" width="18.58984375" customWidth="1"/>
    <col min="3" max="3" width="17.953125" customWidth="1"/>
    <col min="4" max="5" width="17.2265625" customWidth="1"/>
    <col min="6" max="6" width="15.1328125" customWidth="1"/>
    <col min="7" max="7" width="55.26953125" customWidth="1"/>
    <col min="8" max="8" width="27.90625" customWidth="1"/>
    <col min="9" max="10" width="78.54296875" customWidth="1"/>
    <col min="11" max="11" width="14.40625" customWidth="1"/>
    <col min="12" max="12" width="14.5" customWidth="1"/>
    <col min="13" max="13" width="17.453125" customWidth="1"/>
    <col min="14" max="14" width="16.6796875" customWidth="1"/>
    <col min="15" max="15" width="17.58984375" customWidth="1"/>
    <col min="16" max="16" width="17.81640625" customWidth="1"/>
    <col min="17" max="17" width="19.26953125" customWidth="1"/>
    <col min="18" max="18" width="19.453125" customWidth="1"/>
    <col min="19" max="19" width="19.76953125" customWidth="1"/>
    <col min="20" max="20" width="55" bestFit="1" customWidth="1"/>
  </cols>
  <sheetData>
    <row r="1" spans="1:20" x14ac:dyDescent="0.75">
      <c r="A1" t="s">
        <v>139</v>
      </c>
      <c r="B1" t="s">
        <v>214</v>
      </c>
      <c r="C1" t="s">
        <v>143</v>
      </c>
      <c r="D1" t="s">
        <v>163</v>
      </c>
      <c r="E1" t="s">
        <v>140</v>
      </c>
      <c r="F1" t="s">
        <v>144</v>
      </c>
      <c r="G1" t="s">
        <v>155</v>
      </c>
      <c r="H1" t="s">
        <v>215</v>
      </c>
      <c r="I1" t="s">
        <v>145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142</v>
      </c>
    </row>
    <row r="2" spans="1:20" ht="27.5" x14ac:dyDescent="0.75">
      <c r="G2" s="52" t="s">
        <v>3</v>
      </c>
      <c r="H2" s="119"/>
      <c r="I2" s="53"/>
      <c r="J2" s="53"/>
      <c r="K2" s="53">
        <f>K3+K4</f>
        <v>3287.8</v>
      </c>
      <c r="L2" s="53">
        <f>L3+L4</f>
        <v>0</v>
      </c>
      <c r="M2" s="53">
        <f>M3+M4</f>
        <v>3287.8</v>
      </c>
      <c r="N2" s="53">
        <f t="shared" ref="N2:P2" si="0">N3+N4</f>
        <v>3687.8</v>
      </c>
      <c r="O2" s="53">
        <f t="shared" si="0"/>
        <v>3824.6000000000004</v>
      </c>
      <c r="P2" s="53">
        <f t="shared" si="0"/>
        <v>3967.8</v>
      </c>
      <c r="Q2" s="54">
        <f t="shared" ref="Q2" si="1">IFERROR(N2/K2-1,"-")</f>
        <v>0.12166190157552159</v>
      </c>
      <c r="R2" s="54">
        <f t="shared" ref="R2:S2" si="2">IFERROR(O2/N2-1,"-")</f>
        <v>3.7095287163078305E-2</v>
      </c>
      <c r="S2" s="54">
        <f t="shared" si="2"/>
        <v>3.7441823981592792E-2</v>
      </c>
    </row>
    <row r="3" spans="1:20" s="3" customFormat="1" ht="25.15" customHeight="1" x14ac:dyDescent="2.5">
      <c r="B3" s="3">
        <v>1</v>
      </c>
      <c r="C3" s="3">
        <v>1</v>
      </c>
      <c r="D3" s="3">
        <v>1</v>
      </c>
      <c r="G3" s="84" t="s">
        <v>167</v>
      </c>
      <c r="H3" s="84" t="str">
        <f>LEFT(I3, FIND(" ", I3)-1)</f>
        <v>អនុកម្មវិធីទី១.១</v>
      </c>
      <c r="I3" s="84" t="s">
        <v>216</v>
      </c>
      <c r="J3" s="84" t="s">
        <v>46</v>
      </c>
      <c r="K3" s="85">
        <v>2069.4</v>
      </c>
      <c r="L3" s="85">
        <v>0</v>
      </c>
      <c r="M3" s="85">
        <v>2069.4</v>
      </c>
      <c r="N3" s="85">
        <v>2469.4</v>
      </c>
      <c r="O3" s="85">
        <v>2545.3000000000002</v>
      </c>
      <c r="P3" s="85">
        <v>2624.5</v>
      </c>
      <c r="Q3" s="86">
        <v>0.19329274185754319</v>
      </c>
      <c r="R3" s="86">
        <v>3.0736211225398824E-2</v>
      </c>
      <c r="S3" s="86">
        <v>3.1116174910619465E-2</v>
      </c>
      <c r="T3" s="87"/>
    </row>
    <row r="4" spans="1:20" s="2" customFormat="1" ht="25.15" customHeight="1" x14ac:dyDescent="2.5">
      <c r="B4" s="3">
        <v>1</v>
      </c>
      <c r="E4" s="2">
        <v>1</v>
      </c>
      <c r="G4" s="68" t="s">
        <v>4</v>
      </c>
      <c r="H4" s="68"/>
      <c r="I4" s="68" t="s">
        <v>4</v>
      </c>
      <c r="J4" s="68" t="s">
        <v>4</v>
      </c>
      <c r="K4" s="57">
        <v>1218.4000000000001</v>
      </c>
      <c r="L4" s="57"/>
      <c r="M4" s="57">
        <v>1218.4000000000001</v>
      </c>
      <c r="N4" s="57">
        <v>1218.4000000000001</v>
      </c>
      <c r="O4" s="57">
        <v>1279.3</v>
      </c>
      <c r="P4" s="57">
        <v>1343.3</v>
      </c>
      <c r="Q4" s="58">
        <v>0</v>
      </c>
      <c r="R4" s="58">
        <v>4.9983585029546918E-2</v>
      </c>
      <c r="S4" s="58">
        <v>5.0027358711795422E-2</v>
      </c>
      <c r="T4" s="37"/>
    </row>
    <row r="5" spans="1:20" s="2" customFormat="1" ht="25.15" customHeight="1" x14ac:dyDescent="2.5">
      <c r="B5" s="3">
        <v>1</v>
      </c>
      <c r="E5" s="2">
        <v>2</v>
      </c>
      <c r="G5" s="68" t="s">
        <v>5</v>
      </c>
      <c r="H5" s="68"/>
      <c r="I5" s="68" t="s">
        <v>5</v>
      </c>
      <c r="J5" s="68" t="s">
        <v>5</v>
      </c>
      <c r="K5" s="57">
        <v>851</v>
      </c>
      <c r="L5" s="57"/>
      <c r="M5" s="57">
        <v>851</v>
      </c>
      <c r="N5" s="57">
        <v>1251</v>
      </c>
      <c r="O5" s="57">
        <v>1266</v>
      </c>
      <c r="P5" s="57">
        <v>1281.2</v>
      </c>
      <c r="Q5" s="58">
        <v>0.47003525264394819</v>
      </c>
      <c r="R5" s="58">
        <v>1.1990407673860837E-2</v>
      </c>
      <c r="S5" s="58">
        <v>1.2006319115323905E-2</v>
      </c>
      <c r="T5" s="37" t="s">
        <v>132</v>
      </c>
    </row>
    <row r="6" spans="1:20" s="3" customFormat="1" ht="25.15" customHeight="1" x14ac:dyDescent="2.5">
      <c r="B6" s="3">
        <v>1</v>
      </c>
      <c r="C6" s="3">
        <v>2</v>
      </c>
      <c r="D6" s="3">
        <v>19</v>
      </c>
      <c r="G6" s="84" t="s">
        <v>168</v>
      </c>
      <c r="H6" s="84" t="str">
        <f>LEFT(I6, FIND(" ", I6)-1)</f>
        <v>អនុកម្មវិធីទី១.២</v>
      </c>
      <c r="I6" s="84" t="s">
        <v>217</v>
      </c>
      <c r="J6" s="84" t="s">
        <v>47</v>
      </c>
      <c r="K6" s="85">
        <v>647</v>
      </c>
      <c r="L6" s="85">
        <v>0</v>
      </c>
      <c r="M6" s="85">
        <v>647</v>
      </c>
      <c r="N6" s="85">
        <v>647</v>
      </c>
      <c r="O6" s="85">
        <v>654.79999999999995</v>
      </c>
      <c r="P6" s="85">
        <v>662.7</v>
      </c>
      <c r="Q6" s="86">
        <v>0</v>
      </c>
      <c r="R6" s="86">
        <v>1.2055641421947483E-2</v>
      </c>
      <c r="S6" s="86">
        <v>1.2064752596212758E-2</v>
      </c>
      <c r="T6" s="87"/>
    </row>
    <row r="7" spans="1:20" s="2" customFormat="1" ht="25.15" customHeight="1" x14ac:dyDescent="2.5">
      <c r="B7" s="3">
        <v>1</v>
      </c>
      <c r="E7" s="2">
        <v>1</v>
      </c>
      <c r="G7" s="68" t="s">
        <v>4</v>
      </c>
      <c r="H7" s="68"/>
      <c r="I7" s="68" t="s">
        <v>4</v>
      </c>
      <c r="J7" s="68" t="s">
        <v>4</v>
      </c>
      <c r="K7" s="57">
        <v>0</v>
      </c>
      <c r="L7" s="57"/>
      <c r="M7" s="57">
        <v>0</v>
      </c>
      <c r="N7" s="57">
        <v>0</v>
      </c>
      <c r="O7" s="57">
        <v>0</v>
      </c>
      <c r="P7" s="57">
        <v>0</v>
      </c>
      <c r="Q7" s="58" t="s">
        <v>141</v>
      </c>
      <c r="R7" s="58" t="s">
        <v>141</v>
      </c>
      <c r="S7" s="58" t="s">
        <v>141</v>
      </c>
      <c r="T7" s="37"/>
    </row>
    <row r="8" spans="1:20" s="2" customFormat="1" ht="25.15" customHeight="1" x14ac:dyDescent="2.5">
      <c r="B8" s="3">
        <v>1</v>
      </c>
      <c r="E8" s="2">
        <v>2</v>
      </c>
      <c r="G8" s="68" t="s">
        <v>5</v>
      </c>
      <c r="H8" s="68"/>
      <c r="I8" s="68" t="s">
        <v>5</v>
      </c>
      <c r="J8" s="68" t="s">
        <v>5</v>
      </c>
      <c r="K8" s="57">
        <v>647</v>
      </c>
      <c r="L8" s="57"/>
      <c r="M8" s="57">
        <v>647</v>
      </c>
      <c r="N8" s="57">
        <v>647</v>
      </c>
      <c r="O8" s="57">
        <v>654.79999999999995</v>
      </c>
      <c r="P8" s="57">
        <v>662.7</v>
      </c>
      <c r="Q8" s="58">
        <v>0</v>
      </c>
      <c r="R8" s="58">
        <v>1.2055641421947483E-2</v>
      </c>
      <c r="S8" s="58">
        <v>1.2064752596212758E-2</v>
      </c>
      <c r="T8" s="37"/>
    </row>
    <row r="9" spans="1:20" s="3" customFormat="1" ht="25.15" customHeight="1" x14ac:dyDescent="2.5">
      <c r="B9" s="3">
        <v>1</v>
      </c>
      <c r="C9" s="3">
        <v>3</v>
      </c>
      <c r="D9" s="3">
        <v>18</v>
      </c>
      <c r="G9" s="84" t="s">
        <v>169</v>
      </c>
      <c r="H9" s="84" t="str">
        <f>LEFT(I9, FIND(" ", I9)-1)</f>
        <v>អនុកម្មវិធីទី១.៣</v>
      </c>
      <c r="I9" s="84" t="s">
        <v>218</v>
      </c>
      <c r="J9" s="84" t="s">
        <v>48</v>
      </c>
      <c r="K9" s="85">
        <v>950</v>
      </c>
      <c r="L9" s="85">
        <v>0</v>
      </c>
      <c r="M9" s="85">
        <v>950</v>
      </c>
      <c r="N9" s="85">
        <v>950</v>
      </c>
      <c r="O9" s="85">
        <v>961.4</v>
      </c>
      <c r="P9" s="85">
        <v>972.9</v>
      </c>
      <c r="Q9" s="86">
        <v>0</v>
      </c>
      <c r="R9" s="86">
        <v>1.2000000000000011E-2</v>
      </c>
      <c r="S9" s="86">
        <v>1.1961722488038173E-2</v>
      </c>
      <c r="T9" s="87"/>
    </row>
    <row r="10" spans="1:20" s="2" customFormat="1" ht="25.15" customHeight="1" x14ac:dyDescent="2.5">
      <c r="B10" s="3">
        <v>1</v>
      </c>
      <c r="D10" s="3"/>
      <c r="E10" s="3">
        <v>1</v>
      </c>
      <c r="G10" s="68" t="s">
        <v>4</v>
      </c>
      <c r="H10" s="68"/>
      <c r="I10" s="68" t="s">
        <v>4</v>
      </c>
      <c r="J10" s="68" t="s">
        <v>4</v>
      </c>
      <c r="K10" s="57">
        <v>0</v>
      </c>
      <c r="L10" s="57"/>
      <c r="M10" s="57">
        <v>0</v>
      </c>
      <c r="N10" s="57">
        <v>0</v>
      </c>
      <c r="O10" s="57">
        <v>0</v>
      </c>
      <c r="P10" s="57">
        <v>0</v>
      </c>
      <c r="Q10" s="58" t="s">
        <v>141</v>
      </c>
      <c r="R10" s="58" t="s">
        <v>141</v>
      </c>
      <c r="S10" s="58" t="s">
        <v>141</v>
      </c>
      <c r="T10" s="37"/>
    </row>
    <row r="11" spans="1:20" s="2" customFormat="1" ht="25.15" customHeight="1" x14ac:dyDescent="2.5">
      <c r="B11" s="3">
        <v>1</v>
      </c>
      <c r="D11" s="3"/>
      <c r="E11" s="3">
        <v>2</v>
      </c>
      <c r="G11" s="68" t="s">
        <v>5</v>
      </c>
      <c r="H11" s="68"/>
      <c r="I11" s="68" t="s">
        <v>5</v>
      </c>
      <c r="J11" s="68" t="s">
        <v>5</v>
      </c>
      <c r="K11" s="57">
        <v>950</v>
      </c>
      <c r="L11" s="57"/>
      <c r="M11" s="57">
        <v>950</v>
      </c>
      <c r="N11" s="57">
        <v>950</v>
      </c>
      <c r="O11" s="57">
        <v>961.4</v>
      </c>
      <c r="P11" s="57">
        <v>972.9</v>
      </c>
      <c r="Q11" s="58">
        <v>0</v>
      </c>
      <c r="R11" s="58">
        <v>1.2000000000000011E-2</v>
      </c>
      <c r="S11" s="58">
        <v>1.1961722488038173E-2</v>
      </c>
      <c r="T11" s="37"/>
    </row>
    <row r="12" spans="1:20" s="3" customFormat="1" ht="25.15" customHeight="1" x14ac:dyDescent="2.5">
      <c r="B12" s="3">
        <v>1</v>
      </c>
      <c r="C12" s="3">
        <v>4</v>
      </c>
      <c r="D12" s="3">
        <v>20</v>
      </c>
      <c r="G12" s="84" t="s">
        <v>170</v>
      </c>
      <c r="H12" s="84" t="str">
        <f>LEFT(I12, FIND(" ", I12)-1)</f>
        <v>អនុកម្មវិធីទី១.៤</v>
      </c>
      <c r="I12" s="84" t="s">
        <v>219</v>
      </c>
      <c r="J12" s="84" t="s">
        <v>49</v>
      </c>
      <c r="K12" s="85">
        <v>733.7</v>
      </c>
      <c r="L12" s="85">
        <v>0</v>
      </c>
      <c r="M12" s="85">
        <v>733.7</v>
      </c>
      <c r="N12" s="85">
        <v>983.7</v>
      </c>
      <c r="O12" s="85">
        <v>1007.7</v>
      </c>
      <c r="P12" s="85">
        <v>1032.5999999999999</v>
      </c>
      <c r="Q12" s="86">
        <v>0.34073872154831664</v>
      </c>
      <c r="R12" s="86">
        <v>2.439768222018901E-2</v>
      </c>
      <c r="S12" s="86">
        <v>2.4709735040190361E-2</v>
      </c>
      <c r="T12" s="87"/>
    </row>
    <row r="13" spans="1:20" s="2" customFormat="1" ht="25.15" customHeight="1" x14ac:dyDescent="2.5">
      <c r="B13" s="3">
        <v>1</v>
      </c>
      <c r="D13" s="3"/>
      <c r="E13" s="3">
        <v>1</v>
      </c>
      <c r="G13" s="68" t="s">
        <v>4</v>
      </c>
      <c r="H13" s="68"/>
      <c r="I13" s="68" t="s">
        <v>4</v>
      </c>
      <c r="J13" s="68" t="s">
        <v>4</v>
      </c>
      <c r="K13" s="57">
        <v>321.7</v>
      </c>
      <c r="L13" s="57"/>
      <c r="M13" s="57">
        <v>321.7</v>
      </c>
      <c r="N13" s="57">
        <v>321.7</v>
      </c>
      <c r="O13" s="57">
        <v>337.8</v>
      </c>
      <c r="P13" s="57">
        <v>354.7</v>
      </c>
      <c r="Q13" s="58">
        <v>0</v>
      </c>
      <c r="R13" s="58">
        <v>5.0046627292508639E-2</v>
      </c>
      <c r="S13" s="58">
        <v>5.002960331557138E-2</v>
      </c>
      <c r="T13" s="37"/>
    </row>
    <row r="14" spans="1:20" s="2" customFormat="1" ht="25.15" customHeight="1" x14ac:dyDescent="2.5">
      <c r="B14" s="3">
        <v>1</v>
      </c>
      <c r="D14" s="3"/>
      <c r="E14" s="3">
        <v>2</v>
      </c>
      <c r="G14" s="68" t="s">
        <v>5</v>
      </c>
      <c r="H14" s="68"/>
      <c r="I14" s="68" t="s">
        <v>5</v>
      </c>
      <c r="J14" s="68" t="s">
        <v>5</v>
      </c>
      <c r="K14" s="57">
        <v>412</v>
      </c>
      <c r="L14" s="57"/>
      <c r="M14" s="57">
        <v>412</v>
      </c>
      <c r="N14" s="57">
        <v>662</v>
      </c>
      <c r="O14" s="57">
        <v>669.9</v>
      </c>
      <c r="P14" s="57">
        <v>677.9</v>
      </c>
      <c r="Q14" s="58">
        <v>0.60679611650485432</v>
      </c>
      <c r="R14" s="58">
        <v>1.1933534743202356E-2</v>
      </c>
      <c r="S14" s="58">
        <v>1.1942080907598074E-2</v>
      </c>
      <c r="T14" s="37" t="s">
        <v>133</v>
      </c>
    </row>
    <row r="15" spans="1:20" s="3" customFormat="1" ht="25.15" customHeight="1" x14ac:dyDescent="2.5">
      <c r="B15" s="3">
        <v>1</v>
      </c>
      <c r="C15" s="3">
        <v>6</v>
      </c>
      <c r="D15" s="3">
        <v>23</v>
      </c>
      <c r="G15" s="84" t="s">
        <v>171</v>
      </c>
      <c r="H15" s="84" t="str">
        <f>LEFT(I15, FIND(" ", I15)-1)</f>
        <v>អនុកម្មវិធីទី២.១</v>
      </c>
      <c r="I15" s="84" t="s">
        <v>220</v>
      </c>
      <c r="J15" s="84" t="s">
        <v>50</v>
      </c>
      <c r="K15" s="85">
        <v>4444.7</v>
      </c>
      <c r="L15" s="85">
        <v>433.7</v>
      </c>
      <c r="M15" s="85">
        <v>4011</v>
      </c>
      <c r="N15" s="85">
        <v>4011</v>
      </c>
      <c r="O15" s="85">
        <v>4117.8999999999996</v>
      </c>
      <c r="P15" s="85">
        <v>4229</v>
      </c>
      <c r="Q15" s="86">
        <v>-9.7576889328863547E-2</v>
      </c>
      <c r="R15" s="86">
        <v>2.6651707803540203E-2</v>
      </c>
      <c r="S15" s="86">
        <v>2.6979771242623851E-2</v>
      </c>
      <c r="T15" s="87"/>
    </row>
    <row r="16" spans="1:20" s="2" customFormat="1" ht="25.15" customHeight="1" x14ac:dyDescent="2.5">
      <c r="B16" s="3">
        <v>1</v>
      </c>
      <c r="D16" s="3"/>
      <c r="E16" s="3">
        <v>1</v>
      </c>
      <c r="G16" s="68" t="s">
        <v>4</v>
      </c>
      <c r="H16" s="68"/>
      <c r="I16" s="68" t="s">
        <v>4</v>
      </c>
      <c r="J16" s="68" t="s">
        <v>4</v>
      </c>
      <c r="K16" s="57">
        <v>1546.7</v>
      </c>
      <c r="L16" s="57"/>
      <c r="M16" s="57">
        <v>1546.7</v>
      </c>
      <c r="N16" s="57">
        <v>1546.7</v>
      </c>
      <c r="O16" s="57">
        <v>1624</v>
      </c>
      <c r="P16" s="57">
        <v>1705.2</v>
      </c>
      <c r="Q16" s="58">
        <v>0</v>
      </c>
      <c r="R16" s="58">
        <v>4.9977371177345242E-2</v>
      </c>
      <c r="S16" s="58">
        <v>5.0000000000000044E-2</v>
      </c>
      <c r="T16" s="37"/>
    </row>
    <row r="17" spans="2:20" s="2" customFormat="1" ht="25.15" customHeight="1" x14ac:dyDescent="2.5">
      <c r="B17" s="3">
        <v>1</v>
      </c>
      <c r="D17" s="3"/>
      <c r="E17" s="3">
        <v>2</v>
      </c>
      <c r="G17" s="68" t="s">
        <v>5</v>
      </c>
      <c r="H17" s="68"/>
      <c r="I17" s="68" t="s">
        <v>5</v>
      </c>
      <c r="J17" s="68" t="s">
        <v>5</v>
      </c>
      <c r="K17" s="57">
        <v>2898</v>
      </c>
      <c r="L17" s="57">
        <v>433.7</v>
      </c>
      <c r="M17" s="57">
        <v>2464.3000000000002</v>
      </c>
      <c r="N17" s="57">
        <v>2464.3000000000002</v>
      </c>
      <c r="O17" s="57">
        <v>2493.9</v>
      </c>
      <c r="P17" s="57">
        <v>2523.8000000000002</v>
      </c>
      <c r="Q17" s="58">
        <v>-0.14965493443754307</v>
      </c>
      <c r="R17" s="58">
        <v>1.2011524570872067E-2</v>
      </c>
      <c r="S17" s="58">
        <v>1.1989253779221443E-2</v>
      </c>
      <c r="T17" s="37" t="s">
        <v>87</v>
      </c>
    </row>
    <row r="18" spans="2:20" s="3" customFormat="1" ht="25.15" customHeight="1" x14ac:dyDescent="2.5">
      <c r="B18" s="3">
        <v>1</v>
      </c>
      <c r="C18" s="3">
        <v>6</v>
      </c>
      <c r="D18" s="3">
        <v>134</v>
      </c>
      <c r="G18" s="84" t="s">
        <v>172</v>
      </c>
      <c r="H18" s="84" t="str">
        <f>LEFT(I18, FIND(" ", I18)-1)</f>
        <v>អនុកម្មវិធីទី២.១</v>
      </c>
      <c r="I18" s="84" t="s">
        <v>221</v>
      </c>
      <c r="J18" s="84" t="s">
        <v>51</v>
      </c>
      <c r="K18" s="85">
        <v>150</v>
      </c>
      <c r="L18" s="85">
        <v>0</v>
      </c>
      <c r="M18" s="85">
        <v>150</v>
      </c>
      <c r="N18" s="85">
        <v>150</v>
      </c>
      <c r="O18" s="85">
        <v>151.80000000000001</v>
      </c>
      <c r="P18" s="85">
        <v>153.6</v>
      </c>
      <c r="Q18" s="86">
        <v>0</v>
      </c>
      <c r="R18" s="86">
        <v>1.2000000000000011E-2</v>
      </c>
      <c r="S18" s="86">
        <v>1.1857707509881354E-2</v>
      </c>
      <c r="T18" s="87"/>
    </row>
    <row r="19" spans="2:20" s="2" customFormat="1" ht="25.15" customHeight="1" x14ac:dyDescent="2.5">
      <c r="B19" s="3">
        <v>1</v>
      </c>
      <c r="D19" s="3"/>
      <c r="E19" s="3">
        <v>1</v>
      </c>
      <c r="G19" s="68" t="s">
        <v>4</v>
      </c>
      <c r="H19" s="68"/>
      <c r="I19" s="68" t="s">
        <v>4</v>
      </c>
      <c r="J19" s="68" t="s">
        <v>4</v>
      </c>
      <c r="K19" s="57">
        <v>0</v>
      </c>
      <c r="L19" s="57"/>
      <c r="M19" s="57">
        <v>0</v>
      </c>
      <c r="N19" s="57">
        <v>0</v>
      </c>
      <c r="O19" s="57">
        <v>0</v>
      </c>
      <c r="P19" s="57">
        <v>0</v>
      </c>
      <c r="Q19" s="58" t="s">
        <v>141</v>
      </c>
      <c r="R19" s="58" t="s">
        <v>141</v>
      </c>
      <c r="S19" s="58" t="s">
        <v>141</v>
      </c>
      <c r="T19" s="37"/>
    </row>
    <row r="20" spans="2:20" s="2" customFormat="1" ht="25.15" customHeight="1" x14ac:dyDescent="2.5">
      <c r="B20" s="3">
        <v>1</v>
      </c>
      <c r="D20" s="3"/>
      <c r="E20" s="3">
        <v>2</v>
      </c>
      <c r="G20" s="68" t="s">
        <v>5</v>
      </c>
      <c r="H20" s="68"/>
      <c r="I20" s="68" t="s">
        <v>5</v>
      </c>
      <c r="J20" s="68" t="s">
        <v>5</v>
      </c>
      <c r="K20" s="57">
        <v>150</v>
      </c>
      <c r="L20" s="57"/>
      <c r="M20" s="57">
        <v>150</v>
      </c>
      <c r="N20" s="57">
        <v>150</v>
      </c>
      <c r="O20" s="57">
        <v>151.80000000000001</v>
      </c>
      <c r="P20" s="57">
        <v>153.6</v>
      </c>
      <c r="Q20" s="58">
        <v>0</v>
      </c>
      <c r="R20" s="58">
        <v>1.2000000000000011E-2</v>
      </c>
      <c r="S20" s="58">
        <v>1.1857707509881354E-2</v>
      </c>
      <c r="T20" s="37"/>
    </row>
    <row r="21" spans="2:20" s="3" customFormat="1" ht="25.15" customHeight="1" x14ac:dyDescent="2.5">
      <c r="B21" s="3">
        <v>1</v>
      </c>
      <c r="C21" s="3">
        <v>7</v>
      </c>
      <c r="D21" s="3">
        <v>24</v>
      </c>
      <c r="G21" s="84" t="s">
        <v>156</v>
      </c>
      <c r="H21" s="84" t="str">
        <f>LEFT(I21, FIND(" ", I21)-1)</f>
        <v>អនុកម្មវិធីទី២.២</v>
      </c>
      <c r="I21" s="84" t="s">
        <v>222</v>
      </c>
      <c r="J21" s="84" t="s">
        <v>52</v>
      </c>
      <c r="K21" s="85">
        <v>592</v>
      </c>
      <c r="L21" s="85">
        <v>0</v>
      </c>
      <c r="M21" s="85">
        <v>592</v>
      </c>
      <c r="N21" s="85">
        <v>592</v>
      </c>
      <c r="O21" s="85">
        <v>615.29999999999995</v>
      </c>
      <c r="P21" s="85">
        <v>639.6</v>
      </c>
      <c r="Q21" s="86">
        <v>0</v>
      </c>
      <c r="R21" s="86">
        <v>3.9358108108108025E-2</v>
      </c>
      <c r="S21" s="86">
        <v>3.949293027791323E-2</v>
      </c>
      <c r="T21" s="87"/>
    </row>
    <row r="22" spans="2:20" s="2" customFormat="1" ht="25.15" customHeight="1" x14ac:dyDescent="2.5">
      <c r="B22" s="3">
        <v>1</v>
      </c>
      <c r="D22" s="3"/>
      <c r="E22" s="3">
        <v>1</v>
      </c>
      <c r="G22" s="68" t="s">
        <v>4</v>
      </c>
      <c r="H22" s="68"/>
      <c r="I22" s="68" t="s">
        <v>4</v>
      </c>
      <c r="J22" s="68" t="s">
        <v>4</v>
      </c>
      <c r="K22" s="57">
        <v>425</v>
      </c>
      <c r="L22" s="57"/>
      <c r="M22" s="57">
        <v>425</v>
      </c>
      <c r="N22" s="57">
        <v>425</v>
      </c>
      <c r="O22" s="57">
        <v>446.3</v>
      </c>
      <c r="P22" s="57">
        <v>468.6</v>
      </c>
      <c r="Q22" s="58">
        <v>0</v>
      </c>
      <c r="R22" s="58">
        <v>5.01176470588236E-2</v>
      </c>
      <c r="S22" s="58">
        <v>4.996639032041239E-2</v>
      </c>
      <c r="T22" s="37"/>
    </row>
    <row r="23" spans="2:20" s="2" customFormat="1" ht="25.15" customHeight="1" x14ac:dyDescent="2.5">
      <c r="B23" s="3">
        <v>1</v>
      </c>
      <c r="D23" s="3"/>
      <c r="E23" s="3">
        <v>2</v>
      </c>
      <c r="G23" s="68" t="s">
        <v>5</v>
      </c>
      <c r="H23" s="68"/>
      <c r="I23" s="68" t="s">
        <v>5</v>
      </c>
      <c r="J23" s="68" t="s">
        <v>5</v>
      </c>
      <c r="K23" s="57">
        <v>167</v>
      </c>
      <c r="L23" s="57"/>
      <c r="M23" s="57">
        <v>167</v>
      </c>
      <c r="N23" s="57">
        <v>167</v>
      </c>
      <c r="O23" s="57">
        <v>169</v>
      </c>
      <c r="P23" s="57">
        <v>171</v>
      </c>
      <c r="Q23" s="58">
        <v>0</v>
      </c>
      <c r="R23" s="58">
        <v>1.1976047904191711E-2</v>
      </c>
      <c r="S23" s="58">
        <v>1.1834319526627279E-2</v>
      </c>
      <c r="T23" s="37"/>
    </row>
    <row r="24" spans="2:20" s="3" customFormat="1" ht="25.15" customHeight="1" x14ac:dyDescent="2.5">
      <c r="B24" s="3">
        <v>1</v>
      </c>
      <c r="C24" s="3">
        <v>8</v>
      </c>
      <c r="D24" s="3">
        <v>15</v>
      </c>
      <c r="G24" s="84" t="s">
        <v>157</v>
      </c>
      <c r="H24" s="84" t="str">
        <f>LEFT(I24, FIND(" ", I24)-1)</f>
        <v>អនុកម្មវិធីទី២.៣</v>
      </c>
      <c r="I24" s="84" t="s">
        <v>223</v>
      </c>
      <c r="J24" s="84" t="s">
        <v>53</v>
      </c>
      <c r="K24" s="85">
        <v>1515.1</v>
      </c>
      <c r="L24" s="85">
        <v>0</v>
      </c>
      <c r="M24" s="85">
        <v>1515.1</v>
      </c>
      <c r="N24" s="85">
        <v>1515.1</v>
      </c>
      <c r="O24" s="85">
        <v>1572.1</v>
      </c>
      <c r="P24" s="85">
        <v>1631.6</v>
      </c>
      <c r="Q24" s="86">
        <v>0</v>
      </c>
      <c r="R24" s="86">
        <v>3.7621279123490226E-2</v>
      </c>
      <c r="S24" s="86">
        <v>3.7847465173971084E-2</v>
      </c>
      <c r="T24" s="87"/>
    </row>
    <row r="25" spans="2:20" s="2" customFormat="1" ht="25.15" customHeight="1" x14ac:dyDescent="2.5">
      <c r="B25" s="3">
        <v>1</v>
      </c>
      <c r="D25" s="3"/>
      <c r="E25" s="3">
        <v>1</v>
      </c>
      <c r="G25" s="68" t="s">
        <v>4</v>
      </c>
      <c r="H25" s="68"/>
      <c r="I25" s="68" t="s">
        <v>4</v>
      </c>
      <c r="J25" s="68" t="s">
        <v>4</v>
      </c>
      <c r="K25" s="57">
        <v>1019.1</v>
      </c>
      <c r="L25" s="57"/>
      <c r="M25" s="57">
        <v>1019.1</v>
      </c>
      <c r="N25" s="57">
        <v>1019.1</v>
      </c>
      <c r="O25" s="57">
        <v>1070.0999999999999</v>
      </c>
      <c r="P25" s="57">
        <v>1123.5999999999999</v>
      </c>
      <c r="Q25" s="58">
        <v>0</v>
      </c>
      <c r="R25" s="58">
        <v>5.0044156608772372E-2</v>
      </c>
      <c r="S25" s="58">
        <v>4.9995327539482215E-2</v>
      </c>
      <c r="T25" s="37"/>
    </row>
    <row r="26" spans="2:20" s="2" customFormat="1" ht="25.15" customHeight="1" x14ac:dyDescent="2.5">
      <c r="B26" s="3">
        <v>1</v>
      </c>
      <c r="D26" s="3"/>
      <c r="E26" s="3">
        <v>2</v>
      </c>
      <c r="G26" s="68" t="s">
        <v>5</v>
      </c>
      <c r="H26" s="68"/>
      <c r="I26" s="68" t="s">
        <v>5</v>
      </c>
      <c r="J26" s="68" t="s">
        <v>5</v>
      </c>
      <c r="K26" s="57">
        <v>496</v>
      </c>
      <c r="L26" s="57"/>
      <c r="M26" s="57">
        <v>496</v>
      </c>
      <c r="N26" s="57">
        <v>496</v>
      </c>
      <c r="O26" s="57">
        <v>502</v>
      </c>
      <c r="P26" s="57">
        <v>508</v>
      </c>
      <c r="Q26" s="58">
        <v>0</v>
      </c>
      <c r="R26" s="58">
        <v>1.2096774193548487E-2</v>
      </c>
      <c r="S26" s="58">
        <v>1.195219123505975E-2</v>
      </c>
      <c r="T26" s="37"/>
    </row>
    <row r="27" spans="2:20" s="3" customFormat="1" ht="25.15" customHeight="1" x14ac:dyDescent="2.5">
      <c r="B27" s="3">
        <v>1</v>
      </c>
      <c r="C27" s="3">
        <v>9</v>
      </c>
      <c r="D27" s="3">
        <v>25</v>
      </c>
      <c r="G27" s="84" t="s">
        <v>158</v>
      </c>
      <c r="H27" s="84" t="str">
        <f>LEFT(I27, FIND(" ", I27)-1)</f>
        <v>អនុកម្មវិធីទី២.៤</v>
      </c>
      <c r="I27" s="84" t="s">
        <v>224</v>
      </c>
      <c r="J27" s="84" t="s">
        <v>54</v>
      </c>
      <c r="K27" s="85">
        <v>509.4</v>
      </c>
      <c r="L27" s="85">
        <v>0</v>
      </c>
      <c r="M27" s="85">
        <v>509.4</v>
      </c>
      <c r="N27" s="85">
        <v>509.4</v>
      </c>
      <c r="O27" s="85">
        <v>530.6</v>
      </c>
      <c r="P27" s="85">
        <v>552.79999999999995</v>
      </c>
      <c r="Q27" s="86">
        <v>0</v>
      </c>
      <c r="R27" s="86">
        <v>4.1617589320769532E-2</v>
      </c>
      <c r="S27" s="86">
        <v>4.1839427063701251E-2</v>
      </c>
      <c r="T27" s="87"/>
    </row>
    <row r="28" spans="2:20" s="2" customFormat="1" ht="25.15" customHeight="1" x14ac:dyDescent="2.5">
      <c r="B28" s="3">
        <v>1</v>
      </c>
      <c r="D28" s="3"/>
      <c r="E28" s="3">
        <v>1</v>
      </c>
      <c r="G28" s="68" t="s">
        <v>4</v>
      </c>
      <c r="H28" s="68"/>
      <c r="I28" s="68" t="s">
        <v>4</v>
      </c>
      <c r="J28" s="68" t="s">
        <v>4</v>
      </c>
      <c r="K28" s="57">
        <v>396.4</v>
      </c>
      <c r="L28" s="57"/>
      <c r="M28" s="57">
        <v>396.4</v>
      </c>
      <c r="N28" s="57">
        <v>396.4</v>
      </c>
      <c r="O28" s="57">
        <v>416.2</v>
      </c>
      <c r="P28" s="57">
        <v>437</v>
      </c>
      <c r="Q28" s="58">
        <v>0</v>
      </c>
      <c r="R28" s="58">
        <v>4.9949545913219096E-2</v>
      </c>
      <c r="S28" s="58">
        <v>4.997597308986057E-2</v>
      </c>
      <c r="T28" s="37"/>
    </row>
    <row r="29" spans="2:20" s="2" customFormat="1" ht="25.15" customHeight="1" x14ac:dyDescent="2.5">
      <c r="B29" s="3">
        <v>1</v>
      </c>
      <c r="D29" s="3"/>
      <c r="E29" s="3">
        <v>2</v>
      </c>
      <c r="G29" s="68" t="s">
        <v>5</v>
      </c>
      <c r="H29" s="68"/>
      <c r="I29" s="68" t="s">
        <v>5</v>
      </c>
      <c r="J29" s="68" t="s">
        <v>5</v>
      </c>
      <c r="K29" s="57">
        <v>113</v>
      </c>
      <c r="L29" s="57"/>
      <c r="M29" s="57">
        <v>113</v>
      </c>
      <c r="N29" s="57">
        <v>113</v>
      </c>
      <c r="O29" s="57">
        <v>114.4</v>
      </c>
      <c r="P29" s="57">
        <v>115.8</v>
      </c>
      <c r="Q29" s="58">
        <v>0</v>
      </c>
      <c r="R29" s="58">
        <v>1.2389380530973604E-2</v>
      </c>
      <c r="S29" s="58">
        <v>1.2237762237762073E-2</v>
      </c>
      <c r="T29" s="37"/>
    </row>
    <row r="30" spans="2:20" s="3" customFormat="1" ht="25.15" customHeight="1" x14ac:dyDescent="2.5">
      <c r="B30" s="3">
        <v>1</v>
      </c>
      <c r="C30" s="3">
        <v>10</v>
      </c>
      <c r="D30" s="3">
        <v>16</v>
      </c>
      <c r="G30" s="84" t="s">
        <v>159</v>
      </c>
      <c r="H30" s="84" t="str">
        <f>LEFT(I30, FIND(" ", I30)-1)</f>
        <v>អនុកម្មវិធីទី២.៥</v>
      </c>
      <c r="I30" s="84" t="s">
        <v>225</v>
      </c>
      <c r="J30" s="84" t="s">
        <v>55</v>
      </c>
      <c r="K30" s="85">
        <v>894.9</v>
      </c>
      <c r="L30" s="85">
        <v>72</v>
      </c>
      <c r="M30" s="85">
        <v>822.9</v>
      </c>
      <c r="N30" s="85">
        <v>822.9</v>
      </c>
      <c r="O30" s="85">
        <v>853.1</v>
      </c>
      <c r="P30" s="85">
        <v>884.6</v>
      </c>
      <c r="Q30" s="86">
        <v>-8.0455916862219201E-2</v>
      </c>
      <c r="R30" s="86">
        <v>3.6699477457771357E-2</v>
      </c>
      <c r="S30" s="86">
        <v>3.6924158949712904E-2</v>
      </c>
      <c r="T30" s="87"/>
    </row>
    <row r="31" spans="2:20" s="2" customFormat="1" ht="25.15" customHeight="1" x14ac:dyDescent="2.5">
      <c r="B31" s="3">
        <v>1</v>
      </c>
      <c r="D31" s="3"/>
      <c r="E31" s="3">
        <v>1</v>
      </c>
      <c r="G31" s="68" t="s">
        <v>4</v>
      </c>
      <c r="H31" s="68"/>
      <c r="I31" s="68" t="s">
        <v>4</v>
      </c>
      <c r="J31" s="68" t="s">
        <v>4</v>
      </c>
      <c r="K31" s="57">
        <v>533.9</v>
      </c>
      <c r="L31" s="57"/>
      <c r="M31" s="57">
        <v>533.9</v>
      </c>
      <c r="N31" s="57">
        <v>533.9</v>
      </c>
      <c r="O31" s="57">
        <v>560.6</v>
      </c>
      <c r="P31" s="57">
        <v>588.6</v>
      </c>
      <c r="Q31" s="58">
        <v>0</v>
      </c>
      <c r="R31" s="58">
        <v>5.0009365049634935E-2</v>
      </c>
      <c r="S31" s="58">
        <v>4.9946485907955696E-2</v>
      </c>
      <c r="T31" s="37"/>
    </row>
    <row r="32" spans="2:20" s="2" customFormat="1" ht="25.15" customHeight="1" x14ac:dyDescent="2.5">
      <c r="B32" s="3">
        <v>1</v>
      </c>
      <c r="D32" s="3"/>
      <c r="E32" s="3">
        <v>2</v>
      </c>
      <c r="G32" s="68" t="s">
        <v>5</v>
      </c>
      <c r="H32" s="68"/>
      <c r="I32" s="68" t="s">
        <v>5</v>
      </c>
      <c r="J32" s="68" t="s">
        <v>5</v>
      </c>
      <c r="K32" s="57">
        <v>361</v>
      </c>
      <c r="L32" s="57">
        <v>72</v>
      </c>
      <c r="M32" s="57">
        <v>289</v>
      </c>
      <c r="N32" s="57">
        <v>289</v>
      </c>
      <c r="O32" s="57">
        <v>292.5</v>
      </c>
      <c r="P32" s="57">
        <v>296</v>
      </c>
      <c r="Q32" s="58">
        <v>-0.19944598337950137</v>
      </c>
      <c r="R32" s="58">
        <v>1.211072664359869E-2</v>
      </c>
      <c r="S32" s="58">
        <v>1.1965811965811923E-2</v>
      </c>
      <c r="T32" s="37" t="s">
        <v>88</v>
      </c>
    </row>
    <row r="33" spans="2:20" s="3" customFormat="1" ht="25.15" customHeight="1" x14ac:dyDescent="2.5">
      <c r="B33" s="3">
        <v>1</v>
      </c>
      <c r="C33" s="3">
        <v>11</v>
      </c>
      <c r="D33" s="3">
        <v>26</v>
      </c>
      <c r="G33" s="84" t="s">
        <v>160</v>
      </c>
      <c r="H33" s="84" t="str">
        <f>LEFT(I33, FIND(" ", I33)-1)</f>
        <v>អនុកម្មវិធីទី២.៦</v>
      </c>
      <c r="I33" s="84" t="s">
        <v>226</v>
      </c>
      <c r="J33" s="84" t="s">
        <v>56</v>
      </c>
      <c r="K33" s="85">
        <v>671.3</v>
      </c>
      <c r="L33" s="85">
        <v>0</v>
      </c>
      <c r="M33" s="85">
        <v>671.3</v>
      </c>
      <c r="N33" s="85">
        <v>671.3</v>
      </c>
      <c r="O33" s="85">
        <v>700.3</v>
      </c>
      <c r="P33" s="85">
        <v>730.69999999999993</v>
      </c>
      <c r="Q33" s="86">
        <v>0</v>
      </c>
      <c r="R33" s="86">
        <v>4.3199761656487423E-2</v>
      </c>
      <c r="S33" s="86">
        <v>4.3409967156932794E-2</v>
      </c>
      <c r="T33" s="87"/>
    </row>
    <row r="34" spans="2:20" s="2" customFormat="1" ht="25.15" customHeight="1" x14ac:dyDescent="2.5">
      <c r="B34" s="3">
        <v>1</v>
      </c>
      <c r="C34" s="3"/>
      <c r="D34" s="3"/>
      <c r="E34" s="3">
        <v>1</v>
      </c>
      <c r="G34" s="68" t="s">
        <v>4</v>
      </c>
      <c r="H34" s="68"/>
      <c r="I34" s="68" t="s">
        <v>4</v>
      </c>
      <c r="J34" s="68" t="s">
        <v>4</v>
      </c>
      <c r="K34" s="57">
        <v>551.29999999999995</v>
      </c>
      <c r="L34" s="57"/>
      <c r="M34" s="57">
        <v>551.29999999999995</v>
      </c>
      <c r="N34" s="57">
        <v>551.29999999999995</v>
      </c>
      <c r="O34" s="57">
        <v>578.9</v>
      </c>
      <c r="P34" s="57">
        <v>607.79999999999995</v>
      </c>
      <c r="Q34" s="58">
        <v>0</v>
      </c>
      <c r="R34" s="58">
        <v>5.0063486305097049E-2</v>
      </c>
      <c r="S34" s="58">
        <v>4.992226636724828E-2</v>
      </c>
      <c r="T34" s="37"/>
    </row>
    <row r="35" spans="2:20" s="2" customFormat="1" ht="25.15" customHeight="1" x14ac:dyDescent="2.5">
      <c r="B35" s="3">
        <v>1</v>
      </c>
      <c r="C35" s="3"/>
      <c r="D35" s="3"/>
      <c r="E35" s="3">
        <v>2</v>
      </c>
      <c r="G35" s="68" t="s">
        <v>5</v>
      </c>
      <c r="H35" s="68"/>
      <c r="I35" s="68" t="s">
        <v>5</v>
      </c>
      <c r="J35" s="68" t="s">
        <v>5</v>
      </c>
      <c r="K35" s="57">
        <v>120</v>
      </c>
      <c r="L35" s="57"/>
      <c r="M35" s="57">
        <v>120</v>
      </c>
      <c r="N35" s="57">
        <v>120</v>
      </c>
      <c r="O35" s="57">
        <v>121.4</v>
      </c>
      <c r="P35" s="57">
        <v>122.9</v>
      </c>
      <c r="Q35" s="58">
        <v>0</v>
      </c>
      <c r="R35" s="58">
        <v>1.1666666666666714E-2</v>
      </c>
      <c r="S35" s="58">
        <v>1.2355848434925765E-2</v>
      </c>
      <c r="T35" s="37"/>
    </row>
    <row r="36" spans="2:20" s="3" customFormat="1" ht="25.15" customHeight="1" x14ac:dyDescent="2.5">
      <c r="B36" s="3">
        <v>1</v>
      </c>
      <c r="D36" s="3">
        <v>6</v>
      </c>
      <c r="G36" s="84" t="s">
        <v>173</v>
      </c>
      <c r="H36" s="84" t="str">
        <f>LEFT(I36, FIND(" ", I36)-1)</f>
        <v>១២.</v>
      </c>
      <c r="I36" s="84" t="s">
        <v>57</v>
      </c>
      <c r="J36" s="84" t="s">
        <v>57</v>
      </c>
      <c r="K36" s="85">
        <v>78640.5</v>
      </c>
      <c r="L36" s="85">
        <v>0</v>
      </c>
      <c r="M36" s="85">
        <v>78640.5</v>
      </c>
      <c r="N36" s="85">
        <v>54790.5</v>
      </c>
      <c r="O36" s="85">
        <v>56300.899999999994</v>
      </c>
      <c r="P36" s="85">
        <v>57872.1</v>
      </c>
      <c r="Q36" s="86">
        <v>-0.30327884487000978</v>
      </c>
      <c r="R36" s="86">
        <v>2.7566822715616723E-2</v>
      </c>
      <c r="S36" s="86">
        <v>2.7907191536902687E-2</v>
      </c>
      <c r="T36" s="87"/>
    </row>
    <row r="37" spans="2:20" s="2" customFormat="1" ht="25.15" customHeight="1" x14ac:dyDescent="2.5">
      <c r="B37" s="3">
        <v>1</v>
      </c>
      <c r="C37" s="3"/>
      <c r="D37" s="3"/>
      <c r="E37" s="3">
        <v>1</v>
      </c>
      <c r="G37" s="68" t="s">
        <v>4</v>
      </c>
      <c r="H37" s="68"/>
      <c r="I37" s="68" t="s">
        <v>4</v>
      </c>
      <c r="J37" s="68" t="s">
        <v>4</v>
      </c>
      <c r="K37" s="57">
        <v>46446.3</v>
      </c>
      <c r="L37" s="57"/>
      <c r="M37" s="57">
        <v>46446.3</v>
      </c>
      <c r="N37" s="57">
        <v>22446.300000000003</v>
      </c>
      <c r="O37" s="57">
        <v>23568.6</v>
      </c>
      <c r="P37" s="57">
        <v>24747</v>
      </c>
      <c r="Q37" s="58">
        <v>-0.51672576717628749</v>
      </c>
      <c r="R37" s="58">
        <v>4.9999331738415531E-2</v>
      </c>
      <c r="S37" s="58">
        <v>4.9998727119981767E-2</v>
      </c>
      <c r="T37" s="37" t="s">
        <v>78</v>
      </c>
    </row>
    <row r="38" spans="2:20" s="2" customFormat="1" ht="25.15" customHeight="1" x14ac:dyDescent="2.5">
      <c r="B38" s="3">
        <v>1</v>
      </c>
      <c r="C38" s="3"/>
      <c r="D38" s="3"/>
      <c r="E38" s="3">
        <v>2</v>
      </c>
      <c r="G38" s="68" t="s">
        <v>5</v>
      </c>
      <c r="H38" s="68"/>
      <c r="I38" s="68" t="s">
        <v>5</v>
      </c>
      <c r="J38" s="68" t="s">
        <v>5</v>
      </c>
      <c r="K38" s="57">
        <v>32194.2</v>
      </c>
      <c r="L38" s="57"/>
      <c r="M38" s="57">
        <v>32194.2</v>
      </c>
      <c r="N38" s="57">
        <v>32344.2</v>
      </c>
      <c r="O38" s="57">
        <v>32732.3</v>
      </c>
      <c r="P38" s="57">
        <v>33125.1</v>
      </c>
      <c r="Q38" s="58">
        <v>4.6592243323331228E-3</v>
      </c>
      <c r="R38" s="58">
        <v>1.1999060109695092E-2</v>
      </c>
      <c r="S38" s="58">
        <v>1.2000378830696157E-2</v>
      </c>
      <c r="T38" s="37" t="s">
        <v>118</v>
      </c>
    </row>
    <row r="39" spans="2:20" s="3" customFormat="1" ht="25.15" customHeight="1" x14ac:dyDescent="2.5">
      <c r="B39" s="3">
        <v>1</v>
      </c>
      <c r="C39" s="3">
        <v>14</v>
      </c>
      <c r="D39" s="3">
        <v>7</v>
      </c>
      <c r="G39" s="84" t="s">
        <v>174</v>
      </c>
      <c r="H39" s="84" t="str">
        <f>LEFT(I39, FIND(" ", I39)-1)</f>
        <v>អនុកម្មវិធីទី៣.២</v>
      </c>
      <c r="I39" s="84" t="s">
        <v>227</v>
      </c>
      <c r="J39" s="84" t="s">
        <v>58</v>
      </c>
      <c r="K39" s="85">
        <v>223280.8</v>
      </c>
      <c r="L39" s="85">
        <v>3800</v>
      </c>
      <c r="M39" s="85">
        <v>219480.8</v>
      </c>
      <c r="N39" s="85">
        <v>219480.8</v>
      </c>
      <c r="O39" s="85">
        <v>223828.7</v>
      </c>
      <c r="P39" s="85">
        <v>228314.5</v>
      </c>
      <c r="Q39" s="86">
        <v>-1.7018928631570618E-2</v>
      </c>
      <c r="R39" s="86">
        <v>1.9809933260677148E-2</v>
      </c>
      <c r="S39" s="86">
        <v>2.0041219021510681E-2</v>
      </c>
      <c r="T39" s="87"/>
    </row>
    <row r="40" spans="2:20" s="2" customFormat="1" ht="25.15" customHeight="1" x14ac:dyDescent="2.5">
      <c r="B40" s="3">
        <v>1</v>
      </c>
      <c r="C40" s="3"/>
      <c r="D40" s="3"/>
      <c r="E40" s="3">
        <v>1</v>
      </c>
      <c r="G40" s="68" t="s">
        <v>4</v>
      </c>
      <c r="H40" s="68"/>
      <c r="I40" s="68" t="s">
        <v>4</v>
      </c>
      <c r="J40" s="68" t="s">
        <v>4</v>
      </c>
      <c r="K40" s="57">
        <v>45374.8</v>
      </c>
      <c r="L40" s="57">
        <v>264</v>
      </c>
      <c r="M40" s="57">
        <v>45110.8</v>
      </c>
      <c r="N40" s="57">
        <v>45110.8</v>
      </c>
      <c r="O40" s="57">
        <v>47366.3</v>
      </c>
      <c r="P40" s="57">
        <v>49734.6</v>
      </c>
      <c r="Q40" s="58">
        <v>-5.8182074631734082E-3</v>
      </c>
      <c r="R40" s="58">
        <v>4.999911329437734E-2</v>
      </c>
      <c r="S40" s="58">
        <v>4.9999683319152943E-2</v>
      </c>
      <c r="T40" s="37" t="s">
        <v>116</v>
      </c>
    </row>
    <row r="41" spans="2:20" s="2" customFormat="1" ht="25.15" customHeight="1" x14ac:dyDescent="2.5">
      <c r="B41" s="3">
        <v>1</v>
      </c>
      <c r="C41" s="3"/>
      <c r="D41" s="3"/>
      <c r="E41" s="3">
        <v>2</v>
      </c>
      <c r="G41" s="68" t="s">
        <v>5</v>
      </c>
      <c r="H41" s="68"/>
      <c r="I41" s="68" t="s">
        <v>5</v>
      </c>
      <c r="J41" s="68" t="s">
        <v>5</v>
      </c>
      <c r="K41" s="57">
        <v>177906</v>
      </c>
      <c r="L41" s="57">
        <v>3536</v>
      </c>
      <c r="M41" s="57">
        <v>174370</v>
      </c>
      <c r="N41" s="57">
        <v>174370</v>
      </c>
      <c r="O41" s="57">
        <v>176462.4</v>
      </c>
      <c r="P41" s="57">
        <v>178579.9</v>
      </c>
      <c r="Q41" s="58">
        <v>-1.9875664676851867E-2</v>
      </c>
      <c r="R41" s="58">
        <v>1.1999770602741267E-2</v>
      </c>
      <c r="S41" s="58">
        <v>1.1999723453834932E-2</v>
      </c>
      <c r="T41" s="37" t="s">
        <v>89</v>
      </c>
    </row>
    <row r="42" spans="2:20" s="3" customFormat="1" ht="25.15" customHeight="1" x14ac:dyDescent="2.5">
      <c r="B42" s="3">
        <v>1</v>
      </c>
      <c r="C42" s="3">
        <v>15</v>
      </c>
      <c r="D42" s="3">
        <v>8</v>
      </c>
      <c r="G42" s="84" t="s">
        <v>175</v>
      </c>
      <c r="H42" s="84" t="str">
        <f>LEFT(I42, FIND(" ", I42)-1)</f>
        <v>អនុកម្មវិធីទី៣.៣</v>
      </c>
      <c r="I42" s="84" t="s">
        <v>228</v>
      </c>
      <c r="J42" s="84" t="s">
        <v>59</v>
      </c>
      <c r="K42" s="85">
        <v>6227.8</v>
      </c>
      <c r="L42" s="85">
        <v>0</v>
      </c>
      <c r="M42" s="85">
        <v>6227.8</v>
      </c>
      <c r="N42" s="85">
        <v>6327.8</v>
      </c>
      <c r="O42" s="85">
        <v>6480.7000000000007</v>
      </c>
      <c r="P42" s="85">
        <v>6639.3</v>
      </c>
      <c r="Q42" s="86">
        <v>1.6057034586852481E-2</v>
      </c>
      <c r="R42" s="86">
        <v>2.4163216283700661E-2</v>
      </c>
      <c r="S42" s="86">
        <v>2.4472664989892978E-2</v>
      </c>
      <c r="T42" s="87"/>
    </row>
    <row r="43" spans="2:20" s="2" customFormat="1" ht="25.15" customHeight="1" x14ac:dyDescent="2.5">
      <c r="B43" s="3">
        <v>1</v>
      </c>
      <c r="C43" s="3"/>
      <c r="D43" s="3"/>
      <c r="E43" s="3">
        <v>1</v>
      </c>
      <c r="G43" s="68" t="s">
        <v>4</v>
      </c>
      <c r="H43" s="68"/>
      <c r="I43" s="68" t="s">
        <v>4</v>
      </c>
      <c r="J43" s="68" t="s">
        <v>4</v>
      </c>
      <c r="K43" s="57">
        <v>2026.8</v>
      </c>
      <c r="L43" s="57"/>
      <c r="M43" s="57">
        <v>2026.8</v>
      </c>
      <c r="N43" s="57">
        <v>2026.8</v>
      </c>
      <c r="O43" s="57">
        <v>2128.1</v>
      </c>
      <c r="P43" s="57">
        <v>2234.5</v>
      </c>
      <c r="Q43" s="58">
        <v>0</v>
      </c>
      <c r="R43" s="58">
        <v>4.9980264456285672E-2</v>
      </c>
      <c r="S43" s="58">
        <v>4.9997650486349299E-2</v>
      </c>
      <c r="T43" s="37"/>
    </row>
    <row r="44" spans="2:20" s="2" customFormat="1" ht="25.15" customHeight="1" x14ac:dyDescent="2.5">
      <c r="B44" s="3">
        <v>1</v>
      </c>
      <c r="C44" s="3"/>
      <c r="D44" s="3"/>
      <c r="E44" s="3">
        <v>2</v>
      </c>
      <c r="G44" s="68" t="s">
        <v>5</v>
      </c>
      <c r="H44" s="68"/>
      <c r="I44" s="68" t="s">
        <v>5</v>
      </c>
      <c r="J44" s="68" t="s">
        <v>5</v>
      </c>
      <c r="K44" s="57">
        <v>4201</v>
      </c>
      <c r="L44" s="57"/>
      <c r="M44" s="57">
        <v>4201</v>
      </c>
      <c r="N44" s="57">
        <v>4301</v>
      </c>
      <c r="O44" s="57">
        <v>4352.6000000000004</v>
      </c>
      <c r="P44" s="57">
        <v>4404.8</v>
      </c>
      <c r="Q44" s="58">
        <v>2.3803856224708486E-2</v>
      </c>
      <c r="R44" s="58">
        <v>1.1997209951174259E-2</v>
      </c>
      <c r="S44" s="58">
        <v>1.1992831870605958E-2</v>
      </c>
      <c r="T44" s="37" t="s">
        <v>134</v>
      </c>
    </row>
    <row r="45" spans="2:20" s="3" customFormat="1" ht="25.15" customHeight="1" x14ac:dyDescent="2.5">
      <c r="B45" s="3">
        <v>1</v>
      </c>
      <c r="C45" s="3">
        <v>16</v>
      </c>
      <c r="D45" s="3">
        <v>27</v>
      </c>
      <c r="G45" s="84" t="s">
        <v>176</v>
      </c>
      <c r="H45" s="84" t="str">
        <f>LEFT(I45, FIND(" ", I45)-1)</f>
        <v>អនុកម្មវិធីទី៣.៤</v>
      </c>
      <c r="I45" s="84" t="s">
        <v>229</v>
      </c>
      <c r="J45" s="84" t="s">
        <v>137</v>
      </c>
      <c r="K45" s="85">
        <v>1837.4</v>
      </c>
      <c r="L45" s="85">
        <v>0</v>
      </c>
      <c r="M45" s="85">
        <v>1837.4</v>
      </c>
      <c r="N45" s="85">
        <v>1837.4</v>
      </c>
      <c r="O45" s="85">
        <v>1879</v>
      </c>
      <c r="P45" s="85">
        <v>1922.1</v>
      </c>
      <c r="Q45" s="86">
        <v>0</v>
      </c>
      <c r="R45" s="86">
        <v>2.2640687928594749E-2</v>
      </c>
      <c r="S45" s="86">
        <v>2.2937732836615154E-2</v>
      </c>
      <c r="T45" s="87"/>
    </row>
    <row r="46" spans="2:20" s="2" customFormat="1" ht="25.15" customHeight="1" x14ac:dyDescent="2.5">
      <c r="B46" s="3">
        <v>1</v>
      </c>
      <c r="C46" s="3"/>
      <c r="D46" s="3"/>
      <c r="E46" s="3">
        <v>1</v>
      </c>
      <c r="G46" s="68" t="s">
        <v>4</v>
      </c>
      <c r="H46" s="68"/>
      <c r="I46" s="68" t="s">
        <v>4</v>
      </c>
      <c r="J46" s="68" t="s">
        <v>4</v>
      </c>
      <c r="K46" s="57">
        <v>514.4</v>
      </c>
      <c r="L46" s="57"/>
      <c r="M46" s="57">
        <v>514.4</v>
      </c>
      <c r="N46" s="57">
        <v>514.4</v>
      </c>
      <c r="O46" s="57">
        <v>540.1</v>
      </c>
      <c r="P46" s="57">
        <v>567.1</v>
      </c>
      <c r="Q46" s="58">
        <v>0</v>
      </c>
      <c r="R46" s="58">
        <v>4.9961119751166461E-2</v>
      </c>
      <c r="S46" s="58">
        <v>4.9990742455100934E-2</v>
      </c>
      <c r="T46" s="37"/>
    </row>
    <row r="47" spans="2:20" s="2" customFormat="1" ht="25.15" customHeight="1" x14ac:dyDescent="2.5">
      <c r="B47" s="3">
        <v>1</v>
      </c>
      <c r="C47" s="3"/>
      <c r="D47" s="3"/>
      <c r="E47" s="3">
        <v>2</v>
      </c>
      <c r="G47" s="68" t="s">
        <v>5</v>
      </c>
      <c r="H47" s="68"/>
      <c r="I47" s="68" t="s">
        <v>5</v>
      </c>
      <c r="J47" s="68" t="s">
        <v>5</v>
      </c>
      <c r="K47" s="57">
        <v>1323</v>
      </c>
      <c r="L47" s="57"/>
      <c r="M47" s="57">
        <v>1323</v>
      </c>
      <c r="N47" s="57">
        <v>1323</v>
      </c>
      <c r="O47" s="57">
        <v>1338.9</v>
      </c>
      <c r="P47" s="57">
        <v>1355</v>
      </c>
      <c r="Q47" s="58">
        <v>0</v>
      </c>
      <c r="R47" s="58">
        <v>1.2018140589569182E-2</v>
      </c>
      <c r="S47" s="58">
        <v>1.2024796474717991E-2</v>
      </c>
      <c r="T47" s="37"/>
    </row>
    <row r="48" spans="2:20" s="3" customFormat="1" ht="25.15" customHeight="1" x14ac:dyDescent="2.5">
      <c r="B48" s="3">
        <v>1</v>
      </c>
      <c r="C48" s="3">
        <v>18</v>
      </c>
      <c r="D48" s="3">
        <v>3</v>
      </c>
      <c r="G48" s="84" t="s">
        <v>177</v>
      </c>
      <c r="H48" s="84" t="str">
        <f>LEFT(I48, FIND(" ", I48)-1)</f>
        <v>អនុកម្មវិធីទី៤.១</v>
      </c>
      <c r="I48" s="84" t="s">
        <v>230</v>
      </c>
      <c r="J48" s="84" t="s">
        <v>60</v>
      </c>
      <c r="K48" s="85">
        <v>7995.2</v>
      </c>
      <c r="L48" s="85">
        <v>0</v>
      </c>
      <c r="M48" s="85">
        <v>7995.2</v>
      </c>
      <c r="N48" s="85">
        <v>8295.2000000000007</v>
      </c>
      <c r="O48" s="85">
        <v>8589.7000000000007</v>
      </c>
      <c r="P48" s="85">
        <v>8897.4</v>
      </c>
      <c r="Q48" s="86">
        <v>3.7522513508104982E-2</v>
      </c>
      <c r="R48" s="86">
        <v>3.5502459253544227E-2</v>
      </c>
      <c r="S48" s="86">
        <v>3.5821972827921655E-2</v>
      </c>
      <c r="T48" s="87"/>
    </row>
    <row r="49" spans="2:20" s="2" customFormat="1" ht="25.15" customHeight="1" x14ac:dyDescent="2.5">
      <c r="B49" s="3">
        <v>1</v>
      </c>
      <c r="C49" s="3"/>
      <c r="D49" s="3"/>
      <c r="E49" s="3">
        <v>1</v>
      </c>
      <c r="G49" s="68" t="s">
        <v>4</v>
      </c>
      <c r="H49" s="68"/>
      <c r="I49" s="68" t="s">
        <v>4</v>
      </c>
      <c r="J49" s="68" t="s">
        <v>4</v>
      </c>
      <c r="K49" s="57">
        <v>5129.2</v>
      </c>
      <c r="L49" s="57"/>
      <c r="M49" s="57">
        <v>5129.2</v>
      </c>
      <c r="N49" s="57">
        <v>5129.2</v>
      </c>
      <c r="O49" s="57">
        <v>5385.7</v>
      </c>
      <c r="P49" s="57">
        <v>5655</v>
      </c>
      <c r="Q49" s="58">
        <v>0</v>
      </c>
      <c r="R49" s="58">
        <v>5.0007798487093469E-2</v>
      </c>
      <c r="S49" s="58">
        <v>5.0002785153276275E-2</v>
      </c>
      <c r="T49" s="37"/>
    </row>
    <row r="50" spans="2:20" s="2" customFormat="1" ht="25.15" customHeight="1" x14ac:dyDescent="2.5">
      <c r="B50" s="3">
        <v>1</v>
      </c>
      <c r="C50" s="3"/>
      <c r="D50" s="3"/>
      <c r="E50" s="3">
        <v>2</v>
      </c>
      <c r="G50" s="68" t="s">
        <v>5</v>
      </c>
      <c r="H50" s="68"/>
      <c r="I50" s="68" t="s">
        <v>5</v>
      </c>
      <c r="J50" s="68" t="s">
        <v>5</v>
      </c>
      <c r="K50" s="57">
        <v>2866</v>
      </c>
      <c r="L50" s="57"/>
      <c r="M50" s="57">
        <v>2866</v>
      </c>
      <c r="N50" s="57">
        <v>3166</v>
      </c>
      <c r="O50" s="57">
        <v>3204</v>
      </c>
      <c r="P50" s="57">
        <v>3242.4</v>
      </c>
      <c r="Q50" s="58">
        <v>0.10467550593161201</v>
      </c>
      <c r="R50" s="58">
        <v>1.2002526847757489E-2</v>
      </c>
      <c r="S50" s="58">
        <v>1.1985018726591745E-2</v>
      </c>
      <c r="T50" s="37" t="s">
        <v>133</v>
      </c>
    </row>
    <row r="51" spans="2:20" s="3" customFormat="1" ht="25.15" customHeight="1" x14ac:dyDescent="2.5">
      <c r="B51" s="3">
        <v>1</v>
      </c>
      <c r="C51" s="3">
        <v>19</v>
      </c>
      <c r="D51" s="3">
        <v>4</v>
      </c>
      <c r="G51" s="84" t="s">
        <v>178</v>
      </c>
      <c r="H51" s="84" t="str">
        <f>LEFT(I51, FIND(" ", I51)-1)</f>
        <v>អនុកម្មវិធីទី៤.២</v>
      </c>
      <c r="I51" s="84" t="s">
        <v>231</v>
      </c>
      <c r="J51" s="84" t="s">
        <v>61</v>
      </c>
      <c r="K51" s="85">
        <v>2792.4</v>
      </c>
      <c r="L51" s="85">
        <v>0</v>
      </c>
      <c r="M51" s="85">
        <v>2792.4</v>
      </c>
      <c r="N51" s="85">
        <v>2892.4</v>
      </c>
      <c r="O51" s="85">
        <v>2991.7</v>
      </c>
      <c r="P51" s="85">
        <v>3095.3999999999996</v>
      </c>
      <c r="Q51" s="86">
        <v>3.5811488325454777E-2</v>
      </c>
      <c r="R51" s="86">
        <v>3.4331351127091514E-2</v>
      </c>
      <c r="S51" s="86">
        <v>3.4662566433800057E-2</v>
      </c>
      <c r="T51" s="87"/>
    </row>
    <row r="52" spans="2:20" s="2" customFormat="1" ht="25.15" customHeight="1" x14ac:dyDescent="2.5">
      <c r="B52" s="3">
        <v>1</v>
      </c>
      <c r="C52" s="3"/>
      <c r="D52" s="3"/>
      <c r="E52" s="3">
        <v>1</v>
      </c>
      <c r="G52" s="68" t="s">
        <v>4</v>
      </c>
      <c r="H52" s="68"/>
      <c r="I52" s="68" t="s">
        <v>4</v>
      </c>
      <c r="J52" s="68" t="s">
        <v>4</v>
      </c>
      <c r="K52" s="57">
        <v>1699.4</v>
      </c>
      <c r="L52" s="57"/>
      <c r="M52" s="57">
        <v>1699.4</v>
      </c>
      <c r="N52" s="57">
        <v>1699.4</v>
      </c>
      <c r="O52" s="57">
        <v>1784.4</v>
      </c>
      <c r="P52" s="57">
        <v>1873.6</v>
      </c>
      <c r="Q52" s="58">
        <v>0</v>
      </c>
      <c r="R52" s="58">
        <v>5.0017653289396335E-2</v>
      </c>
      <c r="S52" s="58">
        <v>4.9988791750728456E-2</v>
      </c>
      <c r="T52" s="37"/>
    </row>
    <row r="53" spans="2:20" s="2" customFormat="1" ht="25.15" customHeight="1" x14ac:dyDescent="2.5">
      <c r="B53" s="3">
        <v>1</v>
      </c>
      <c r="C53" s="3"/>
      <c r="D53" s="3"/>
      <c r="E53" s="3">
        <v>2</v>
      </c>
      <c r="G53" s="68" t="s">
        <v>5</v>
      </c>
      <c r="H53" s="68"/>
      <c r="I53" s="68" t="s">
        <v>5</v>
      </c>
      <c r="J53" s="68" t="s">
        <v>5</v>
      </c>
      <c r="K53" s="57">
        <v>1093</v>
      </c>
      <c r="L53" s="57"/>
      <c r="M53" s="57">
        <v>1093</v>
      </c>
      <c r="N53" s="57">
        <v>1193</v>
      </c>
      <c r="O53" s="57">
        <v>1207.3</v>
      </c>
      <c r="P53" s="57">
        <v>1221.8</v>
      </c>
      <c r="Q53" s="58">
        <v>9.1491308325708953E-2</v>
      </c>
      <c r="R53" s="58">
        <v>1.1986588432522982E-2</v>
      </c>
      <c r="S53" s="58">
        <v>1.2010270852315097E-2</v>
      </c>
      <c r="T53" s="37" t="s">
        <v>134</v>
      </c>
    </row>
    <row r="54" spans="2:20" s="3" customFormat="1" ht="25.15" customHeight="1" x14ac:dyDescent="2.5">
      <c r="B54" s="3">
        <v>1</v>
      </c>
      <c r="C54" s="3">
        <v>20</v>
      </c>
      <c r="D54" s="3">
        <v>5</v>
      </c>
      <c r="G54" s="84" t="s">
        <v>179</v>
      </c>
      <c r="H54" s="84" t="str">
        <f>LEFT(I54, FIND(" ", I54)-1)</f>
        <v>អនុកម្មវិធីទី៤.៣</v>
      </c>
      <c r="I54" s="84" t="s">
        <v>232</v>
      </c>
      <c r="J54" s="84" t="s">
        <v>62</v>
      </c>
      <c r="K54" s="85">
        <v>2646.2</v>
      </c>
      <c r="L54" s="85">
        <v>0</v>
      </c>
      <c r="M54" s="85">
        <v>2646.2</v>
      </c>
      <c r="N54" s="85">
        <v>2746.2</v>
      </c>
      <c r="O54" s="85">
        <v>2864.4</v>
      </c>
      <c r="P54" s="85">
        <v>2988.2999999999997</v>
      </c>
      <c r="Q54" s="86">
        <v>3.7790038545839399E-2</v>
      </c>
      <c r="R54" s="86">
        <v>4.3041293423639937E-2</v>
      </c>
      <c r="S54" s="86">
        <v>4.3255131964809346E-2</v>
      </c>
      <c r="T54" s="87"/>
    </row>
    <row r="55" spans="2:20" s="2" customFormat="1" ht="25.15" customHeight="1" x14ac:dyDescent="2.5">
      <c r="B55" s="3">
        <v>1</v>
      </c>
      <c r="C55" s="3"/>
      <c r="D55" s="3"/>
      <c r="E55" s="3">
        <v>1</v>
      </c>
      <c r="G55" s="68" t="s">
        <v>4</v>
      </c>
      <c r="H55" s="68"/>
      <c r="I55" s="68" t="s">
        <v>4</v>
      </c>
      <c r="J55" s="68" t="s">
        <v>4</v>
      </c>
      <c r="K55" s="57">
        <v>2244.1999999999998</v>
      </c>
      <c r="L55" s="57"/>
      <c r="M55" s="57">
        <v>2244.1999999999998</v>
      </c>
      <c r="N55" s="57">
        <v>2244.1999999999998</v>
      </c>
      <c r="O55" s="57">
        <v>2356.4</v>
      </c>
      <c r="P55" s="57">
        <v>2474.1999999999998</v>
      </c>
      <c r="Q55" s="58">
        <v>0</v>
      </c>
      <c r="R55" s="58">
        <v>4.9995544069156184E-2</v>
      </c>
      <c r="S55" s="58">
        <v>4.9991512476659228E-2</v>
      </c>
      <c r="T55" s="37"/>
    </row>
    <row r="56" spans="2:20" s="2" customFormat="1" ht="25.15" customHeight="1" x14ac:dyDescent="2.5">
      <c r="B56" s="3">
        <v>1</v>
      </c>
      <c r="C56" s="3"/>
      <c r="D56" s="3"/>
      <c r="E56" s="3">
        <v>2</v>
      </c>
      <c r="G56" s="68" t="s">
        <v>5</v>
      </c>
      <c r="H56" s="68"/>
      <c r="I56" s="68" t="s">
        <v>5</v>
      </c>
      <c r="J56" s="68" t="s">
        <v>5</v>
      </c>
      <c r="K56" s="57">
        <v>402</v>
      </c>
      <c r="L56" s="57"/>
      <c r="M56" s="57">
        <v>402</v>
      </c>
      <c r="N56" s="57">
        <v>502</v>
      </c>
      <c r="O56" s="57">
        <v>508</v>
      </c>
      <c r="P56" s="57">
        <v>514.1</v>
      </c>
      <c r="Q56" s="58">
        <v>0.24875621890547261</v>
      </c>
      <c r="R56" s="58">
        <v>1.195219123505975E-2</v>
      </c>
      <c r="S56" s="58">
        <v>1.2007874015748099E-2</v>
      </c>
      <c r="T56" s="37" t="s">
        <v>134</v>
      </c>
    </row>
    <row r="57" spans="2:20" s="3" customFormat="1" ht="25.15" customHeight="1" x14ac:dyDescent="2.5">
      <c r="B57" s="3">
        <v>1</v>
      </c>
      <c r="C57" s="3">
        <v>21</v>
      </c>
      <c r="D57" s="3">
        <v>9</v>
      </c>
      <c r="G57" s="84" t="s">
        <v>180</v>
      </c>
      <c r="H57" s="84" t="str">
        <f>LEFT(I57, FIND(" ", I57)-1)</f>
        <v>អនុកម្មវិធីទី៤.៤</v>
      </c>
      <c r="I57" s="84" t="s">
        <v>233</v>
      </c>
      <c r="J57" s="84" t="s">
        <v>63</v>
      </c>
      <c r="K57" s="85">
        <v>17961.099999999999</v>
      </c>
      <c r="L57" s="85">
        <v>1373.5</v>
      </c>
      <c r="M57" s="85">
        <v>16587.599999999999</v>
      </c>
      <c r="N57" s="85">
        <v>16837.599999999999</v>
      </c>
      <c r="O57" s="85">
        <v>17487.2</v>
      </c>
      <c r="P57" s="85">
        <v>18167</v>
      </c>
      <c r="Q57" s="86">
        <v>-6.2551848160747436E-2</v>
      </c>
      <c r="R57" s="86">
        <v>3.8580320235663157E-2</v>
      </c>
      <c r="S57" s="86">
        <v>3.8874147948213533E-2</v>
      </c>
      <c r="T57" s="87"/>
    </row>
    <row r="58" spans="2:20" s="2" customFormat="1" ht="25.15" customHeight="1" x14ac:dyDescent="2.5">
      <c r="B58" s="3">
        <v>1</v>
      </c>
      <c r="C58" s="3"/>
      <c r="D58" s="3"/>
      <c r="E58" s="3">
        <v>1</v>
      </c>
      <c r="G58" s="68" t="s">
        <v>4</v>
      </c>
      <c r="H58" s="68"/>
      <c r="I58" s="68" t="s">
        <v>4</v>
      </c>
      <c r="J58" s="68" t="s">
        <v>4</v>
      </c>
      <c r="K58" s="57">
        <v>11778.1</v>
      </c>
      <c r="L58" s="57"/>
      <c r="M58" s="57">
        <v>11778.1</v>
      </c>
      <c r="N58" s="57">
        <v>11778.1</v>
      </c>
      <c r="O58" s="57">
        <v>12367</v>
      </c>
      <c r="P58" s="57">
        <v>12985.4</v>
      </c>
      <c r="Q58" s="58">
        <v>0</v>
      </c>
      <c r="R58" s="58">
        <v>4.9999575483312242E-2</v>
      </c>
      <c r="S58" s="58">
        <v>5.0004043017708444E-2</v>
      </c>
      <c r="T58" s="37"/>
    </row>
    <row r="59" spans="2:20" s="2" customFormat="1" ht="25.15" customHeight="1" x14ac:dyDescent="2.5">
      <c r="B59" s="3">
        <v>1</v>
      </c>
      <c r="C59" s="3"/>
      <c r="D59" s="3"/>
      <c r="E59" s="3">
        <v>2</v>
      </c>
      <c r="G59" s="68" t="s">
        <v>5</v>
      </c>
      <c r="H59" s="68"/>
      <c r="I59" s="68" t="s">
        <v>5</v>
      </c>
      <c r="J59" s="68" t="s">
        <v>5</v>
      </c>
      <c r="K59" s="57">
        <v>6183</v>
      </c>
      <c r="L59" s="57">
        <v>1373.5</v>
      </c>
      <c r="M59" s="57">
        <v>4809.5</v>
      </c>
      <c r="N59" s="57">
        <v>5059.5</v>
      </c>
      <c r="O59" s="57">
        <v>5120.2</v>
      </c>
      <c r="P59" s="57">
        <v>5181.6000000000004</v>
      </c>
      <c r="Q59" s="58">
        <v>-0.1817079087821446</v>
      </c>
      <c r="R59" s="58">
        <v>1.1997232928155022E-2</v>
      </c>
      <c r="S59" s="58">
        <v>1.1991719073473739E-2</v>
      </c>
      <c r="T59" s="37" t="s">
        <v>119</v>
      </c>
    </row>
    <row r="60" spans="2:20" s="3" customFormat="1" ht="25.15" customHeight="1" x14ac:dyDescent="2.5">
      <c r="B60" s="3">
        <v>1</v>
      </c>
      <c r="C60" s="3">
        <v>22</v>
      </c>
      <c r="D60" s="3">
        <v>13</v>
      </c>
      <c r="G60" s="84" t="s">
        <v>181</v>
      </c>
      <c r="H60" s="84" t="str">
        <f>LEFT(I60, FIND(" ", I60)-1)</f>
        <v>អនុកម្មវិធីទី៤.៥</v>
      </c>
      <c r="I60" s="84" t="s">
        <v>234</v>
      </c>
      <c r="J60" s="84" t="s">
        <v>64</v>
      </c>
      <c r="K60" s="85">
        <v>15485.8</v>
      </c>
      <c r="L60" s="85">
        <v>0</v>
      </c>
      <c r="M60" s="85">
        <v>15485.8</v>
      </c>
      <c r="N60" s="85">
        <v>15735.8</v>
      </c>
      <c r="O60" s="85">
        <v>15975.800000000001</v>
      </c>
      <c r="P60" s="85">
        <v>16221.3</v>
      </c>
      <c r="Q60" s="86">
        <v>1.6143822082165693E-2</v>
      </c>
      <c r="R60" s="86">
        <v>1.5251846108872869E-2</v>
      </c>
      <c r="S60" s="86">
        <v>1.5366992576271388E-2</v>
      </c>
      <c r="T60" s="87"/>
    </row>
    <row r="61" spans="2:20" s="2" customFormat="1" ht="25.15" customHeight="1" x14ac:dyDescent="2.5">
      <c r="B61" s="3">
        <v>1</v>
      </c>
      <c r="C61" s="3"/>
      <c r="D61" s="3"/>
      <c r="E61" s="3">
        <v>1</v>
      </c>
      <c r="G61" s="68" t="s">
        <v>4</v>
      </c>
      <c r="H61" s="68"/>
      <c r="I61" s="68" t="s">
        <v>4</v>
      </c>
      <c r="J61" s="68" t="s">
        <v>4</v>
      </c>
      <c r="K61" s="57">
        <v>1345.8</v>
      </c>
      <c r="L61" s="57"/>
      <c r="M61" s="57">
        <v>1345.8</v>
      </c>
      <c r="N61" s="57">
        <v>1345.8</v>
      </c>
      <c r="O61" s="57">
        <v>1413.1</v>
      </c>
      <c r="P61" s="57">
        <v>1483.8</v>
      </c>
      <c r="Q61" s="58">
        <v>0</v>
      </c>
      <c r="R61" s="58">
        <v>5.0007430524594998E-2</v>
      </c>
      <c r="S61" s="58">
        <v>5.0031844880050969E-2</v>
      </c>
      <c r="T61" s="37"/>
    </row>
    <row r="62" spans="2:20" s="2" customFormat="1" ht="25.15" customHeight="1" x14ac:dyDescent="2.5">
      <c r="B62" s="3">
        <v>1</v>
      </c>
      <c r="C62" s="3"/>
      <c r="D62" s="3"/>
      <c r="E62" s="3">
        <v>2</v>
      </c>
      <c r="G62" s="68" t="s">
        <v>5</v>
      </c>
      <c r="H62" s="68"/>
      <c r="I62" s="68" t="s">
        <v>5</v>
      </c>
      <c r="J62" s="68" t="s">
        <v>5</v>
      </c>
      <c r="K62" s="57">
        <v>14140</v>
      </c>
      <c r="L62" s="57"/>
      <c r="M62" s="57">
        <v>14140</v>
      </c>
      <c r="N62" s="57">
        <v>14390</v>
      </c>
      <c r="O62" s="57">
        <v>14562.7</v>
      </c>
      <c r="P62" s="57">
        <v>14737.5</v>
      </c>
      <c r="Q62" s="58">
        <v>1.7680339462517791E-2</v>
      </c>
      <c r="R62" s="58">
        <v>1.2001389854065403E-2</v>
      </c>
      <c r="S62" s="58">
        <v>1.2003268624636965E-2</v>
      </c>
      <c r="T62" s="37" t="s">
        <v>118</v>
      </c>
    </row>
    <row r="63" spans="2:20" s="3" customFormat="1" ht="25.15" customHeight="1" x14ac:dyDescent="2.5">
      <c r="B63" s="3">
        <v>1</v>
      </c>
      <c r="C63" s="3">
        <v>23</v>
      </c>
      <c r="D63" s="3">
        <v>491</v>
      </c>
      <c r="G63" s="84" t="s">
        <v>161</v>
      </c>
      <c r="H63" s="84" t="str">
        <f>LEFT(I63, FIND(" ", I63)-1)</f>
        <v>អនុកម្មវិធីទី៤.៦</v>
      </c>
      <c r="I63" s="84" t="s">
        <v>235</v>
      </c>
      <c r="J63" s="84" t="s">
        <v>65</v>
      </c>
      <c r="K63" s="85">
        <v>252</v>
      </c>
      <c r="L63" s="85">
        <v>0</v>
      </c>
      <c r="M63" s="85">
        <v>252</v>
      </c>
      <c r="N63" s="85">
        <v>552</v>
      </c>
      <c r="O63" s="85">
        <v>558.6</v>
      </c>
      <c r="P63" s="85">
        <v>565.29999999999995</v>
      </c>
      <c r="Q63" s="86">
        <v>1.1904761904761907</v>
      </c>
      <c r="R63" s="86">
        <v>1.1956521739130421E-2</v>
      </c>
      <c r="S63" s="86">
        <v>1.199427139276743E-2</v>
      </c>
      <c r="T63" s="87"/>
    </row>
    <row r="64" spans="2:20" s="2" customFormat="1" ht="25.15" customHeight="1" x14ac:dyDescent="2.5">
      <c r="B64" s="3">
        <v>1</v>
      </c>
      <c r="C64" s="3"/>
      <c r="D64" s="3"/>
      <c r="E64" s="3">
        <v>1</v>
      </c>
      <c r="G64" s="68" t="s">
        <v>4</v>
      </c>
      <c r="H64" s="68"/>
      <c r="I64" s="68" t="s">
        <v>4</v>
      </c>
      <c r="J64" s="68" t="s">
        <v>4</v>
      </c>
      <c r="K64" s="57">
        <v>0</v>
      </c>
      <c r="L64" s="57"/>
      <c r="M64" s="57">
        <v>0</v>
      </c>
      <c r="N64" s="57">
        <v>0</v>
      </c>
      <c r="O64" s="57">
        <v>0</v>
      </c>
      <c r="P64" s="57">
        <v>0</v>
      </c>
      <c r="Q64" s="58" t="s">
        <v>141</v>
      </c>
      <c r="R64" s="58" t="s">
        <v>141</v>
      </c>
      <c r="S64" s="58" t="s">
        <v>141</v>
      </c>
      <c r="T64" s="37"/>
    </row>
    <row r="65" spans="2:20" s="2" customFormat="1" ht="25.15" customHeight="1" x14ac:dyDescent="2.5">
      <c r="B65" s="3">
        <v>1</v>
      </c>
      <c r="C65" s="3"/>
      <c r="D65" s="3"/>
      <c r="E65" s="3">
        <v>2</v>
      </c>
      <c r="G65" s="68" t="s">
        <v>5</v>
      </c>
      <c r="H65" s="68"/>
      <c r="I65" s="68" t="s">
        <v>5</v>
      </c>
      <c r="J65" s="68" t="s">
        <v>5</v>
      </c>
      <c r="K65" s="57">
        <v>252</v>
      </c>
      <c r="L65" s="57"/>
      <c r="M65" s="57">
        <v>252</v>
      </c>
      <c r="N65" s="57">
        <v>552</v>
      </c>
      <c r="O65" s="57">
        <v>558.6</v>
      </c>
      <c r="P65" s="57">
        <v>565.29999999999995</v>
      </c>
      <c r="Q65" s="58">
        <v>1.1904761904761907</v>
      </c>
      <c r="R65" s="58">
        <v>1.1956521739130421E-2</v>
      </c>
      <c r="S65" s="58">
        <v>1.199427139276743E-2</v>
      </c>
      <c r="T65" s="37" t="s">
        <v>117</v>
      </c>
    </row>
    <row r="66" spans="2:20" s="3" customFormat="1" ht="25.15" customHeight="1" x14ac:dyDescent="2.5">
      <c r="B66" s="3">
        <v>1</v>
      </c>
      <c r="C66" s="3">
        <v>24</v>
      </c>
      <c r="D66" s="3">
        <v>12</v>
      </c>
      <c r="G66" s="84" t="s">
        <v>182</v>
      </c>
      <c r="H66" s="84" t="str">
        <f>LEFT(I66, FIND(" ", I66)-1)</f>
        <v>អនុកម្មវិធីទី៤.៧</v>
      </c>
      <c r="I66" s="84" t="s">
        <v>236</v>
      </c>
      <c r="J66" s="84" t="s">
        <v>136</v>
      </c>
      <c r="K66" s="85">
        <v>1433</v>
      </c>
      <c r="L66" s="85">
        <v>0</v>
      </c>
      <c r="M66" s="85">
        <v>1433</v>
      </c>
      <c r="N66" s="85">
        <v>1533</v>
      </c>
      <c r="O66" s="85">
        <v>1599.6000000000001</v>
      </c>
      <c r="P66" s="85">
        <v>1669.4</v>
      </c>
      <c r="Q66" s="86">
        <v>6.9783670621074601E-2</v>
      </c>
      <c r="R66" s="86">
        <v>4.3444227005871028E-2</v>
      </c>
      <c r="S66" s="86">
        <v>4.3635908977244231E-2</v>
      </c>
      <c r="T66" s="87"/>
    </row>
    <row r="67" spans="2:20" s="2" customFormat="1" ht="25.15" customHeight="1" x14ac:dyDescent="2.5">
      <c r="B67" s="3">
        <v>1</v>
      </c>
      <c r="C67" s="3"/>
      <c r="D67" s="3"/>
      <c r="E67" s="3">
        <v>1</v>
      </c>
      <c r="G67" s="68" t="s">
        <v>4</v>
      </c>
      <c r="H67" s="68"/>
      <c r="I67" s="68" t="s">
        <v>4</v>
      </c>
      <c r="J67" s="68" t="s">
        <v>4</v>
      </c>
      <c r="K67" s="57">
        <v>1268</v>
      </c>
      <c r="L67" s="57"/>
      <c r="M67" s="57">
        <v>1268</v>
      </c>
      <c r="N67" s="57">
        <v>1268</v>
      </c>
      <c r="O67" s="57">
        <v>1331.4</v>
      </c>
      <c r="P67" s="57">
        <v>1398</v>
      </c>
      <c r="Q67" s="58">
        <v>0</v>
      </c>
      <c r="R67" s="58">
        <v>5.0000000000000044E-2</v>
      </c>
      <c r="S67" s="58">
        <v>5.0022532672374886E-2</v>
      </c>
      <c r="T67" s="37"/>
    </row>
    <row r="68" spans="2:20" s="2" customFormat="1" ht="25.15" customHeight="1" x14ac:dyDescent="2.5">
      <c r="B68" s="3">
        <v>1</v>
      </c>
      <c r="C68" s="3"/>
      <c r="D68" s="3"/>
      <c r="E68" s="3">
        <v>2</v>
      </c>
      <c r="G68" s="68" t="s">
        <v>5</v>
      </c>
      <c r="H68" s="68"/>
      <c r="I68" s="68" t="s">
        <v>5</v>
      </c>
      <c r="J68" s="68" t="s">
        <v>5</v>
      </c>
      <c r="K68" s="57">
        <v>165</v>
      </c>
      <c r="L68" s="57"/>
      <c r="M68" s="57">
        <v>165</v>
      </c>
      <c r="N68" s="57">
        <v>265</v>
      </c>
      <c r="O68" s="57">
        <v>268.2</v>
      </c>
      <c r="P68" s="57">
        <v>271.39999999999998</v>
      </c>
      <c r="Q68" s="58">
        <v>0.60606060606060597</v>
      </c>
      <c r="R68" s="58">
        <v>1.2075471698113072E-2</v>
      </c>
      <c r="S68" s="58">
        <v>1.1931394481730084E-2</v>
      </c>
      <c r="T68" s="37" t="s">
        <v>134</v>
      </c>
    </row>
    <row r="69" spans="2:20" s="3" customFormat="1" ht="25.15" customHeight="1" x14ac:dyDescent="2.5">
      <c r="B69" s="3">
        <v>1</v>
      </c>
      <c r="C69" s="3">
        <v>25</v>
      </c>
      <c r="D69" s="3">
        <v>10</v>
      </c>
      <c r="G69" s="84" t="s">
        <v>162</v>
      </c>
      <c r="H69" s="84" t="str">
        <f>LEFT(I69, FIND(" ", I69)-1)</f>
        <v>អនុកម្មវិធីទី៤.៨</v>
      </c>
      <c r="I69" s="84" t="s">
        <v>237</v>
      </c>
      <c r="J69" s="84" t="s">
        <v>66</v>
      </c>
      <c r="K69" s="85">
        <v>2632.9</v>
      </c>
      <c r="L69" s="85">
        <v>0</v>
      </c>
      <c r="M69" s="85">
        <v>2632.9</v>
      </c>
      <c r="N69" s="85">
        <v>2782.9</v>
      </c>
      <c r="O69" s="85">
        <v>2891.8</v>
      </c>
      <c r="P69" s="85">
        <v>3005.7999999999997</v>
      </c>
      <c r="Q69" s="86">
        <v>5.6971400357020752E-2</v>
      </c>
      <c r="R69" s="86">
        <v>3.9131840885407332E-2</v>
      </c>
      <c r="S69" s="86">
        <v>3.9421813403416328E-2</v>
      </c>
      <c r="T69" s="87"/>
    </row>
    <row r="70" spans="2:20" s="2" customFormat="1" ht="25.15" customHeight="1" x14ac:dyDescent="2.5">
      <c r="B70" s="3">
        <v>1</v>
      </c>
      <c r="C70" s="3"/>
      <c r="D70" s="3"/>
      <c r="E70" s="3">
        <v>1</v>
      </c>
      <c r="G70" s="68" t="s">
        <v>4</v>
      </c>
      <c r="H70" s="68"/>
      <c r="I70" s="68" t="s">
        <v>4</v>
      </c>
      <c r="J70" s="68" t="s">
        <v>4</v>
      </c>
      <c r="K70" s="57">
        <v>1988.9</v>
      </c>
      <c r="L70" s="57"/>
      <c r="M70" s="57">
        <v>1988.9</v>
      </c>
      <c r="N70" s="57">
        <v>1988.9</v>
      </c>
      <c r="O70" s="57">
        <v>2088.3000000000002</v>
      </c>
      <c r="P70" s="57">
        <v>2192.6999999999998</v>
      </c>
      <c r="Q70" s="58">
        <v>0</v>
      </c>
      <c r="R70" s="58">
        <v>4.9977374428075816E-2</v>
      </c>
      <c r="S70" s="58">
        <v>4.9992817123976296E-2</v>
      </c>
      <c r="T70" s="37"/>
    </row>
    <row r="71" spans="2:20" s="2" customFormat="1" ht="25.15" customHeight="1" x14ac:dyDescent="2.5">
      <c r="B71" s="3">
        <v>1</v>
      </c>
      <c r="C71" s="3"/>
      <c r="D71" s="3"/>
      <c r="E71" s="3">
        <v>2</v>
      </c>
      <c r="G71" s="68" t="s">
        <v>5</v>
      </c>
      <c r="H71" s="68"/>
      <c r="I71" s="68" t="s">
        <v>5</v>
      </c>
      <c r="J71" s="68" t="s">
        <v>5</v>
      </c>
      <c r="K71" s="57">
        <v>644</v>
      </c>
      <c r="L71" s="57"/>
      <c r="M71" s="57">
        <v>644</v>
      </c>
      <c r="N71" s="57">
        <v>794</v>
      </c>
      <c r="O71" s="57">
        <v>803.5</v>
      </c>
      <c r="P71" s="57">
        <v>813.1</v>
      </c>
      <c r="Q71" s="58">
        <v>0.23291925465838514</v>
      </c>
      <c r="R71" s="58">
        <v>1.1964735516372782E-2</v>
      </c>
      <c r="S71" s="58">
        <v>1.1947728686994452E-2</v>
      </c>
      <c r="T71" s="37" t="s">
        <v>134</v>
      </c>
    </row>
    <row r="72" spans="2:20" s="3" customFormat="1" ht="25.15" customHeight="1" x14ac:dyDescent="2.5">
      <c r="B72" s="3">
        <v>1</v>
      </c>
      <c r="C72" s="3">
        <v>26</v>
      </c>
      <c r="D72" s="3">
        <v>17</v>
      </c>
      <c r="G72" s="84" t="s">
        <v>183</v>
      </c>
      <c r="H72" s="84" t="str">
        <f>LEFT(I72, FIND(" ", I72)-1)</f>
        <v>អនុកម្មវិធីទី៤.៩</v>
      </c>
      <c r="I72" s="84" t="s">
        <v>238</v>
      </c>
      <c r="J72" s="84" t="s">
        <v>138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6" t="s">
        <v>141</v>
      </c>
      <c r="R72" s="86" t="s">
        <v>141</v>
      </c>
      <c r="S72" s="86" t="s">
        <v>141</v>
      </c>
      <c r="T72" s="87"/>
    </row>
    <row r="73" spans="2:20" s="2" customFormat="1" ht="25.15" customHeight="1" x14ac:dyDescent="2.5">
      <c r="B73" s="3">
        <v>1</v>
      </c>
      <c r="C73" s="3"/>
      <c r="D73" s="3"/>
      <c r="E73" s="3">
        <v>1</v>
      </c>
      <c r="G73" s="68" t="s">
        <v>4</v>
      </c>
      <c r="H73" s="68"/>
      <c r="I73" s="68" t="s">
        <v>4</v>
      </c>
      <c r="J73" s="68" t="s">
        <v>4</v>
      </c>
      <c r="K73" s="57">
        <v>0</v>
      </c>
      <c r="L73" s="57"/>
      <c r="M73" s="57">
        <v>0</v>
      </c>
      <c r="N73" s="57">
        <v>0</v>
      </c>
      <c r="O73" s="57">
        <v>0</v>
      </c>
      <c r="P73" s="57">
        <v>0</v>
      </c>
      <c r="Q73" s="58" t="s">
        <v>141</v>
      </c>
      <c r="R73" s="58" t="s">
        <v>141</v>
      </c>
      <c r="S73" s="58" t="s">
        <v>141</v>
      </c>
      <c r="T73" s="37"/>
    </row>
    <row r="74" spans="2:20" s="2" customFormat="1" ht="25.15" customHeight="1" x14ac:dyDescent="2.5">
      <c r="B74" s="3">
        <v>1</v>
      </c>
      <c r="C74" s="3"/>
      <c r="D74" s="3"/>
      <c r="E74" s="3">
        <v>2</v>
      </c>
      <c r="G74" s="68" t="s">
        <v>5</v>
      </c>
      <c r="H74" s="68"/>
      <c r="I74" s="68" t="s">
        <v>5</v>
      </c>
      <c r="J74" s="68" t="s">
        <v>5</v>
      </c>
      <c r="K74" s="57">
        <v>0</v>
      </c>
      <c r="L74" s="57"/>
      <c r="M74" s="57">
        <v>0</v>
      </c>
      <c r="N74" s="57">
        <v>0</v>
      </c>
      <c r="O74" s="57">
        <v>0</v>
      </c>
      <c r="P74" s="57">
        <v>0</v>
      </c>
      <c r="Q74" s="58" t="s">
        <v>141</v>
      </c>
      <c r="R74" s="58" t="s">
        <v>141</v>
      </c>
      <c r="S74" s="58" t="s">
        <v>141</v>
      </c>
      <c r="T74" s="37"/>
    </row>
    <row r="75" spans="2:20" s="3" customFormat="1" ht="25.15" customHeight="1" x14ac:dyDescent="2.5">
      <c r="B75" s="3">
        <v>1</v>
      </c>
      <c r="C75" s="3">
        <v>28</v>
      </c>
      <c r="D75" s="3">
        <v>14</v>
      </c>
      <c r="G75" s="84" t="s">
        <v>184</v>
      </c>
      <c r="H75" s="84" t="str">
        <f>LEFT(I75, FIND(" ", I75)-1)</f>
        <v>អនុកម្មវិធីទី៥.១</v>
      </c>
      <c r="I75" s="84" t="s">
        <v>239</v>
      </c>
      <c r="J75" s="84" t="s">
        <v>67</v>
      </c>
      <c r="K75" s="85">
        <v>1354.8</v>
      </c>
      <c r="L75" s="85">
        <v>0</v>
      </c>
      <c r="M75" s="85">
        <v>1354.8</v>
      </c>
      <c r="N75" s="85">
        <v>1554.8</v>
      </c>
      <c r="O75" s="85">
        <v>1604.2</v>
      </c>
      <c r="P75" s="85">
        <v>1655.8000000000002</v>
      </c>
      <c r="Q75" s="86">
        <v>0.14762326542663118</v>
      </c>
      <c r="R75" s="86">
        <v>3.177257525083621E-2</v>
      </c>
      <c r="S75" s="86">
        <v>3.2165565390849027E-2</v>
      </c>
      <c r="T75" s="87"/>
    </row>
    <row r="76" spans="2:20" s="2" customFormat="1" ht="25.15" customHeight="1" x14ac:dyDescent="2.5">
      <c r="B76" s="3">
        <v>1</v>
      </c>
      <c r="C76" s="3"/>
      <c r="D76" s="3"/>
      <c r="E76" s="3">
        <v>1</v>
      </c>
      <c r="G76" s="68" t="s">
        <v>4</v>
      </c>
      <c r="H76" s="68"/>
      <c r="I76" s="68" t="s">
        <v>4</v>
      </c>
      <c r="J76" s="68" t="s">
        <v>4</v>
      </c>
      <c r="K76" s="57">
        <v>808.8</v>
      </c>
      <c r="L76" s="57"/>
      <c r="M76" s="57">
        <v>808.8</v>
      </c>
      <c r="N76" s="57">
        <v>808.8</v>
      </c>
      <c r="O76" s="57">
        <v>849.2</v>
      </c>
      <c r="P76" s="57">
        <v>891.7</v>
      </c>
      <c r="Q76" s="58">
        <v>0</v>
      </c>
      <c r="R76" s="58">
        <v>4.9950544015826104E-2</v>
      </c>
      <c r="S76" s="58">
        <v>5.0047103155911543E-2</v>
      </c>
      <c r="T76" s="37"/>
    </row>
    <row r="77" spans="2:20" s="2" customFormat="1" ht="25.15" customHeight="1" x14ac:dyDescent="2.5">
      <c r="B77" s="3">
        <v>1</v>
      </c>
      <c r="C77" s="3"/>
      <c r="D77" s="3"/>
      <c r="E77" s="3">
        <v>2</v>
      </c>
      <c r="G77" s="68" t="s">
        <v>5</v>
      </c>
      <c r="H77" s="68"/>
      <c r="I77" s="68" t="s">
        <v>5</v>
      </c>
      <c r="J77" s="68" t="s">
        <v>5</v>
      </c>
      <c r="K77" s="57">
        <v>546</v>
      </c>
      <c r="L77" s="57"/>
      <c r="M77" s="57">
        <v>546</v>
      </c>
      <c r="N77" s="57">
        <v>746</v>
      </c>
      <c r="O77" s="57">
        <v>755</v>
      </c>
      <c r="P77" s="57">
        <v>764.1</v>
      </c>
      <c r="Q77" s="58">
        <v>0.36630036630036633</v>
      </c>
      <c r="R77" s="58">
        <v>1.2064343163538771E-2</v>
      </c>
      <c r="S77" s="58">
        <v>1.2052980132450264E-2</v>
      </c>
      <c r="T77" s="37" t="s">
        <v>133</v>
      </c>
    </row>
    <row r="78" spans="2:20" s="3" customFormat="1" ht="25.15" customHeight="1" x14ac:dyDescent="2.5">
      <c r="B78" s="3">
        <v>1</v>
      </c>
      <c r="C78" s="3">
        <v>29</v>
      </c>
      <c r="D78" s="3">
        <v>21</v>
      </c>
      <c r="G78" s="84" t="s">
        <v>185</v>
      </c>
      <c r="H78" s="84" t="str">
        <f>LEFT(I78, FIND(" ", I78)-1)</f>
        <v>អនុកម្មវិធីទី៥.២</v>
      </c>
      <c r="I78" s="84" t="s">
        <v>240</v>
      </c>
      <c r="J78" s="84" t="s">
        <v>68</v>
      </c>
      <c r="K78" s="85">
        <v>1595.4</v>
      </c>
      <c r="L78" s="85">
        <v>0</v>
      </c>
      <c r="M78" s="85">
        <v>1595.4</v>
      </c>
      <c r="N78" s="85">
        <v>1695.4</v>
      </c>
      <c r="O78" s="85">
        <v>1752</v>
      </c>
      <c r="P78" s="85">
        <v>1811.1</v>
      </c>
      <c r="Q78" s="86">
        <v>6.2680205591074234E-2</v>
      </c>
      <c r="R78" s="86">
        <v>3.3384452046714586E-2</v>
      </c>
      <c r="S78" s="86">
        <v>3.3732876712328608E-2</v>
      </c>
      <c r="T78" s="87"/>
    </row>
    <row r="79" spans="2:20" s="2" customFormat="1" ht="25.15" customHeight="1" x14ac:dyDescent="2.5">
      <c r="B79" s="3">
        <v>1</v>
      </c>
      <c r="C79" s="3"/>
      <c r="D79" s="3"/>
      <c r="E79" s="3">
        <v>1</v>
      </c>
      <c r="G79" s="68" t="s">
        <v>4</v>
      </c>
      <c r="H79" s="68"/>
      <c r="I79" s="68" t="s">
        <v>4</v>
      </c>
      <c r="J79" s="68" t="s">
        <v>4</v>
      </c>
      <c r="K79" s="57">
        <v>953.4</v>
      </c>
      <c r="L79" s="57"/>
      <c r="M79" s="57">
        <v>953.4</v>
      </c>
      <c r="N79" s="57">
        <v>953.4</v>
      </c>
      <c r="O79" s="57">
        <v>1001.1</v>
      </c>
      <c r="P79" s="57">
        <v>1051.2</v>
      </c>
      <c r="Q79" s="58">
        <v>0</v>
      </c>
      <c r="R79" s="58">
        <v>5.0031466331025953E-2</v>
      </c>
      <c r="S79" s="58">
        <v>5.0044950554390288E-2</v>
      </c>
      <c r="T79" s="37"/>
    </row>
    <row r="80" spans="2:20" s="2" customFormat="1" ht="25.15" customHeight="1" x14ac:dyDescent="2.5">
      <c r="B80" s="3">
        <v>1</v>
      </c>
      <c r="C80" s="3"/>
      <c r="D80" s="3"/>
      <c r="E80" s="3">
        <v>2</v>
      </c>
      <c r="G80" s="68" t="s">
        <v>5</v>
      </c>
      <c r="H80" s="68"/>
      <c r="I80" s="68" t="s">
        <v>5</v>
      </c>
      <c r="J80" s="68" t="s">
        <v>5</v>
      </c>
      <c r="K80" s="57">
        <v>642</v>
      </c>
      <c r="L80" s="57"/>
      <c r="M80" s="57">
        <v>642</v>
      </c>
      <c r="N80" s="57">
        <v>742</v>
      </c>
      <c r="O80" s="57">
        <v>750.9</v>
      </c>
      <c r="P80" s="57">
        <v>759.9</v>
      </c>
      <c r="Q80" s="58">
        <v>0.15576323987538943</v>
      </c>
      <c r="R80" s="58">
        <v>1.1994609164420522E-2</v>
      </c>
      <c r="S80" s="58">
        <v>1.1985617259288928E-2</v>
      </c>
      <c r="T80" s="37" t="s">
        <v>134</v>
      </c>
    </row>
    <row r="81" spans="2:20" s="3" customFormat="1" ht="25.15" customHeight="1" x14ac:dyDescent="2.5">
      <c r="B81" s="3">
        <v>1</v>
      </c>
      <c r="C81" s="3">
        <v>30</v>
      </c>
      <c r="D81" s="3">
        <v>2</v>
      </c>
      <c r="G81" s="84" t="s">
        <v>186</v>
      </c>
      <c r="H81" s="84" t="str">
        <f>LEFT(I81, FIND(" ", I81)-1)</f>
        <v>អនុកម្មវិធីទី៥.៣</v>
      </c>
      <c r="I81" s="84" t="s">
        <v>241</v>
      </c>
      <c r="J81" s="84" t="s">
        <v>69</v>
      </c>
      <c r="K81" s="85">
        <v>47634.8</v>
      </c>
      <c r="L81" s="85">
        <v>631</v>
      </c>
      <c r="M81" s="85">
        <v>47003.8</v>
      </c>
      <c r="N81" s="85">
        <v>58352</v>
      </c>
      <c r="O81" s="85">
        <v>60077</v>
      </c>
      <c r="P81" s="85">
        <v>61934.3</v>
      </c>
      <c r="Q81" s="86">
        <v>0.22498677437503667</v>
      </c>
      <c r="R81" s="86">
        <v>2.9561968741431244E-2</v>
      </c>
      <c r="S81" s="86">
        <v>3.0915325332490085E-2</v>
      </c>
      <c r="T81" s="87"/>
    </row>
    <row r="82" spans="2:20" s="2" customFormat="1" ht="25.15" customHeight="1" x14ac:dyDescent="2.5">
      <c r="B82" s="3">
        <v>1</v>
      </c>
      <c r="C82" s="3"/>
      <c r="D82" s="3"/>
      <c r="E82" s="3">
        <v>1</v>
      </c>
      <c r="G82" s="68" t="s">
        <v>4</v>
      </c>
      <c r="H82" s="68"/>
      <c r="I82" s="68" t="s">
        <v>4</v>
      </c>
      <c r="J82" s="68" t="s">
        <v>4</v>
      </c>
      <c r="K82" s="57">
        <v>15324</v>
      </c>
      <c r="L82" s="57">
        <v>0</v>
      </c>
      <c r="M82" s="57">
        <v>15324</v>
      </c>
      <c r="N82" s="57">
        <v>26381</v>
      </c>
      <c r="O82" s="57">
        <v>27700.3</v>
      </c>
      <c r="P82" s="57">
        <v>29085.399999999998</v>
      </c>
      <c r="Q82" s="58">
        <v>0.72154789872096048</v>
      </c>
      <c r="R82" s="58">
        <v>5.0009476517190343E-2</v>
      </c>
      <c r="S82" s="58">
        <v>5.0003068558824193E-2</v>
      </c>
      <c r="T82" s="37"/>
    </row>
    <row r="83" spans="2:20" s="2" customFormat="1" ht="25.15" customHeight="1" x14ac:dyDescent="2.5">
      <c r="B83" s="3">
        <v>1</v>
      </c>
      <c r="C83" s="3"/>
      <c r="D83" s="3"/>
      <c r="E83" s="3">
        <v>2</v>
      </c>
      <c r="G83" s="68" t="s">
        <v>5</v>
      </c>
      <c r="H83" s="68"/>
      <c r="I83" s="68" t="s">
        <v>5</v>
      </c>
      <c r="J83" s="68" t="s">
        <v>5</v>
      </c>
      <c r="K83" s="57">
        <v>32310.799999999999</v>
      </c>
      <c r="L83" s="57">
        <v>631</v>
      </c>
      <c r="M83" s="57">
        <v>31679.8</v>
      </c>
      <c r="N83" s="72">
        <v>31971</v>
      </c>
      <c r="O83" s="72">
        <v>32376.7</v>
      </c>
      <c r="P83" s="72">
        <v>32848.9</v>
      </c>
      <c r="Q83" s="58">
        <v>-1.0516607450140492E-2</v>
      </c>
      <c r="R83" s="58">
        <v>1.2689624972631375E-2</v>
      </c>
      <c r="S83" s="58">
        <v>1.458456235502692E-2</v>
      </c>
      <c r="T83" s="37"/>
    </row>
    <row r="84" spans="2:20" s="3" customFormat="1" ht="25.15" customHeight="1" x14ac:dyDescent="2.5">
      <c r="B84" s="3">
        <v>1</v>
      </c>
      <c r="D84" s="3">
        <v>2</v>
      </c>
      <c r="F84" s="3">
        <v>2</v>
      </c>
      <c r="G84" s="79" t="s">
        <v>186</v>
      </c>
      <c r="H84" s="79"/>
      <c r="I84" s="79" t="s">
        <v>242</v>
      </c>
      <c r="J84" s="79" t="s">
        <v>44</v>
      </c>
      <c r="K84" s="70">
        <v>41867.800000000003</v>
      </c>
      <c r="L84" s="70">
        <v>431</v>
      </c>
      <c r="M84" s="70">
        <v>41436.800000000003</v>
      </c>
      <c r="N84" s="70">
        <v>53250</v>
      </c>
      <c r="O84" s="70">
        <v>54822</v>
      </c>
      <c r="P84" s="70">
        <v>56522.3</v>
      </c>
      <c r="Q84" s="71">
        <v>0.27186047511452704</v>
      </c>
      <c r="R84" s="71">
        <v>2.9521126760563288E-2</v>
      </c>
      <c r="S84" s="71">
        <v>3.1014921017110009E-2</v>
      </c>
      <c r="T84" s="41"/>
    </row>
    <row r="85" spans="2:20" s="2" customFormat="1" ht="25.15" customHeight="1" x14ac:dyDescent="2.5">
      <c r="B85" s="3">
        <v>1</v>
      </c>
      <c r="C85" s="3"/>
      <c r="D85" s="3"/>
      <c r="E85" s="3">
        <v>1</v>
      </c>
      <c r="G85" s="78" t="s">
        <v>4</v>
      </c>
      <c r="H85" s="78"/>
      <c r="I85" s="78" t="s">
        <v>4</v>
      </c>
      <c r="J85" s="78" t="s">
        <v>4</v>
      </c>
      <c r="K85" s="57">
        <v>15324</v>
      </c>
      <c r="L85" s="57"/>
      <c r="M85" s="57">
        <v>15324</v>
      </c>
      <c r="N85" s="57">
        <v>26381</v>
      </c>
      <c r="O85" s="57">
        <v>27700.3</v>
      </c>
      <c r="P85" s="57">
        <v>29085.399999999998</v>
      </c>
      <c r="Q85" s="58">
        <v>0.72154789872096048</v>
      </c>
      <c r="R85" s="58">
        <v>5.0009476517190343E-2</v>
      </c>
      <c r="S85" s="58">
        <v>5.0003068558824193E-2</v>
      </c>
      <c r="T85" s="37" t="s">
        <v>121</v>
      </c>
    </row>
    <row r="86" spans="2:20" s="2" customFormat="1" ht="25.15" customHeight="1" x14ac:dyDescent="2.5">
      <c r="B86" s="3">
        <v>1</v>
      </c>
      <c r="C86" s="3"/>
      <c r="D86" s="3"/>
      <c r="E86" s="3">
        <v>2</v>
      </c>
      <c r="G86" s="78" t="s">
        <v>5</v>
      </c>
      <c r="H86" s="78"/>
      <c r="I86" s="78" t="s">
        <v>5</v>
      </c>
      <c r="J86" s="78" t="s">
        <v>5</v>
      </c>
      <c r="K86" s="57">
        <v>26543.8</v>
      </c>
      <c r="L86" s="57">
        <v>431</v>
      </c>
      <c r="M86" s="57">
        <v>26112.799999999999</v>
      </c>
      <c r="N86" s="57">
        <v>26869</v>
      </c>
      <c r="O86" s="72">
        <v>27121.7</v>
      </c>
      <c r="P86" s="72">
        <v>27436.9</v>
      </c>
      <c r="Q86" s="58">
        <v>1.2251448549190469E-2</v>
      </c>
      <c r="R86" s="58">
        <v>9.4048903941346129E-3</v>
      </c>
      <c r="S86" s="58">
        <v>1.1621690380765326E-2</v>
      </c>
      <c r="T86" s="37" t="s">
        <v>120</v>
      </c>
    </row>
    <row r="87" spans="2:20" s="3" customFormat="1" ht="25.15" customHeight="1" x14ac:dyDescent="2.5">
      <c r="B87" s="3">
        <v>1</v>
      </c>
      <c r="D87" s="3">
        <v>40</v>
      </c>
      <c r="F87" s="3">
        <v>2</v>
      </c>
      <c r="G87" s="79" t="s">
        <v>187</v>
      </c>
      <c r="H87" s="79"/>
      <c r="I87" s="79" t="s">
        <v>243</v>
      </c>
      <c r="J87" s="79" t="s">
        <v>45</v>
      </c>
      <c r="K87" s="70">
        <v>5767</v>
      </c>
      <c r="L87" s="70">
        <v>200</v>
      </c>
      <c r="M87" s="70">
        <v>5567</v>
      </c>
      <c r="N87" s="70">
        <v>5102</v>
      </c>
      <c r="O87" s="70">
        <v>5255</v>
      </c>
      <c r="P87" s="70">
        <v>5412</v>
      </c>
      <c r="Q87" s="71">
        <v>-0.11531125368475814</v>
      </c>
      <c r="R87" s="71">
        <v>2.9988239905919256E-2</v>
      </c>
      <c r="S87" s="71">
        <v>2.987630827783061E-2</v>
      </c>
      <c r="T87" s="41"/>
    </row>
    <row r="88" spans="2:20" s="2" customFormat="1" ht="25.15" customHeight="1" x14ac:dyDescent="2.5">
      <c r="B88" s="3">
        <v>1</v>
      </c>
      <c r="C88" s="3"/>
      <c r="D88" s="3"/>
      <c r="E88" s="3">
        <v>1</v>
      </c>
      <c r="G88" s="78" t="s">
        <v>4</v>
      </c>
      <c r="H88" s="78"/>
      <c r="I88" s="78" t="s">
        <v>4</v>
      </c>
      <c r="J88" s="78" t="s">
        <v>4</v>
      </c>
      <c r="K88" s="57">
        <v>0</v>
      </c>
      <c r="L88" s="57"/>
      <c r="M88" s="57">
        <v>0</v>
      </c>
      <c r="N88" s="57">
        <v>0</v>
      </c>
      <c r="O88" s="57">
        <v>0</v>
      </c>
      <c r="P88" s="57">
        <v>0</v>
      </c>
      <c r="Q88" s="58" t="s">
        <v>141</v>
      </c>
      <c r="R88" s="58" t="s">
        <v>141</v>
      </c>
      <c r="S88" s="58" t="s">
        <v>141</v>
      </c>
      <c r="T88" s="37"/>
    </row>
    <row r="89" spans="2:20" s="2" customFormat="1" ht="25.15" customHeight="1" x14ac:dyDescent="2.5">
      <c r="B89" s="3">
        <v>1</v>
      </c>
      <c r="C89" s="3"/>
      <c r="D89" s="3"/>
      <c r="E89" s="3">
        <v>2</v>
      </c>
      <c r="G89" s="78" t="s">
        <v>5</v>
      </c>
      <c r="H89" s="78"/>
      <c r="I89" s="78" t="s">
        <v>5</v>
      </c>
      <c r="J89" s="78" t="s">
        <v>5</v>
      </c>
      <c r="K89" s="57">
        <v>5767</v>
      </c>
      <c r="L89" s="57">
        <v>200</v>
      </c>
      <c r="M89" s="57">
        <v>5567</v>
      </c>
      <c r="N89" s="72">
        <v>5102</v>
      </c>
      <c r="O89" s="72">
        <v>5255</v>
      </c>
      <c r="P89" s="72">
        <v>5412</v>
      </c>
      <c r="Q89" s="58">
        <v>-0.11531125368475814</v>
      </c>
      <c r="R89" s="58">
        <v>2.9988239905919256E-2</v>
      </c>
      <c r="S89" s="58">
        <v>2.987630827783061E-2</v>
      </c>
      <c r="T89" s="37" t="s">
        <v>90</v>
      </c>
    </row>
    <row r="90" spans="2:20" s="3" customFormat="1" ht="25.15" customHeight="1" x14ac:dyDescent="2.5">
      <c r="B90" s="3">
        <v>1</v>
      </c>
      <c r="C90" s="3">
        <v>31</v>
      </c>
      <c r="D90" s="3">
        <v>11</v>
      </c>
      <c r="G90" s="84" t="s">
        <v>188</v>
      </c>
      <c r="H90" s="84" t="str">
        <f>LEFT(I90, FIND(" ", I90)-1)</f>
        <v>អនុកម្មវិធីទី៥.៤</v>
      </c>
      <c r="I90" s="84" t="s">
        <v>244</v>
      </c>
      <c r="J90" s="84" t="s">
        <v>70</v>
      </c>
      <c r="K90" s="85">
        <v>1195.4000000000001</v>
      </c>
      <c r="L90" s="85">
        <v>0</v>
      </c>
      <c r="M90" s="85">
        <v>1195.4000000000001</v>
      </c>
      <c r="N90" s="85">
        <v>1295.4000000000001</v>
      </c>
      <c r="O90" s="85">
        <v>1339.4</v>
      </c>
      <c r="P90" s="85">
        <v>1385.3</v>
      </c>
      <c r="Q90" s="86">
        <v>8.3654007026936483E-2</v>
      </c>
      <c r="R90" s="86">
        <v>3.3966342442488751E-2</v>
      </c>
      <c r="S90" s="86">
        <v>3.426907570553972E-2</v>
      </c>
      <c r="T90" s="87"/>
    </row>
    <row r="91" spans="2:20" s="2" customFormat="1" ht="25.15" customHeight="1" x14ac:dyDescent="2.5">
      <c r="B91" s="3">
        <v>1</v>
      </c>
      <c r="C91" s="3"/>
      <c r="D91" s="3"/>
      <c r="E91" s="3">
        <v>1</v>
      </c>
      <c r="G91" s="68" t="s">
        <v>4</v>
      </c>
      <c r="H91" s="68"/>
      <c r="I91" s="68" t="s">
        <v>4</v>
      </c>
      <c r="J91" s="68" t="s">
        <v>4</v>
      </c>
      <c r="K91" s="57">
        <v>747.4</v>
      </c>
      <c r="L91" s="57"/>
      <c r="M91" s="57">
        <v>747.4</v>
      </c>
      <c r="N91" s="57">
        <v>747.4</v>
      </c>
      <c r="O91" s="57">
        <v>784.8</v>
      </c>
      <c r="P91" s="57">
        <v>824</v>
      </c>
      <c r="Q91" s="58">
        <v>0</v>
      </c>
      <c r="R91" s="58">
        <v>5.0040139149049923E-2</v>
      </c>
      <c r="S91" s="58">
        <v>4.9949031600407867E-2</v>
      </c>
      <c r="T91" s="37"/>
    </row>
    <row r="92" spans="2:20" s="2" customFormat="1" ht="25.15" customHeight="1" x14ac:dyDescent="2.5">
      <c r="B92" s="3">
        <v>1</v>
      </c>
      <c r="C92" s="3"/>
      <c r="D92" s="3"/>
      <c r="E92" s="3">
        <v>2</v>
      </c>
      <c r="G92" s="115" t="s">
        <v>5</v>
      </c>
      <c r="H92" s="115"/>
      <c r="I92" s="115" t="s">
        <v>5</v>
      </c>
      <c r="J92" s="115" t="s">
        <v>5</v>
      </c>
      <c r="K92" s="116">
        <v>448</v>
      </c>
      <c r="L92" s="116"/>
      <c r="M92" s="116">
        <v>448</v>
      </c>
      <c r="N92" s="116">
        <v>548</v>
      </c>
      <c r="O92" s="116">
        <v>554.6</v>
      </c>
      <c r="P92" s="116">
        <v>561.29999999999995</v>
      </c>
      <c r="Q92" s="117">
        <v>0.22321428571428581</v>
      </c>
      <c r="R92" s="117">
        <v>1.2043795620438003E-2</v>
      </c>
      <c r="S92" s="117">
        <v>1.2080778939776327E-2</v>
      </c>
      <c r="T92" s="118" t="s">
        <v>134</v>
      </c>
    </row>
    <row r="93" spans="2:20" s="3" customFormat="1" ht="25.15" customHeight="1" x14ac:dyDescent="2.5">
      <c r="B93" s="3">
        <v>2</v>
      </c>
      <c r="G93" s="111" t="s">
        <v>74</v>
      </c>
      <c r="H93" s="111"/>
      <c r="I93" s="111" t="s">
        <v>74</v>
      </c>
      <c r="J93" s="111" t="s">
        <v>74</v>
      </c>
      <c r="K93" s="112">
        <v>26450.999999999993</v>
      </c>
      <c r="L93" s="112">
        <v>7329.9000000000005</v>
      </c>
      <c r="M93" s="112">
        <v>19121.099999999999</v>
      </c>
      <c r="N93" s="112">
        <v>28005.999999999993</v>
      </c>
      <c r="O93" s="112">
        <v>29102</v>
      </c>
      <c r="P93" s="112">
        <v>30244</v>
      </c>
      <c r="Q93" s="113">
        <v>5.8787947525613449E-2</v>
      </c>
      <c r="R93" s="113">
        <v>3.9134471184746333E-2</v>
      </c>
      <c r="S93" s="113">
        <v>3.9241289258470147E-2</v>
      </c>
      <c r="T93" s="114"/>
    </row>
    <row r="94" spans="2:20" s="2" customFormat="1" ht="25.15" customHeight="1" x14ac:dyDescent="2.5">
      <c r="B94" s="3">
        <v>2</v>
      </c>
      <c r="C94" s="3"/>
      <c r="D94" s="3"/>
      <c r="E94" s="3">
        <v>1</v>
      </c>
      <c r="G94" s="68" t="s">
        <v>4</v>
      </c>
      <c r="H94" s="68"/>
      <c r="I94" s="68" t="s">
        <v>4</v>
      </c>
      <c r="J94" s="68" t="s">
        <v>4</v>
      </c>
      <c r="K94" s="57">
        <v>11724.999999999998</v>
      </c>
      <c r="L94" s="57">
        <v>0</v>
      </c>
      <c r="M94" s="57">
        <v>11724.999999999998</v>
      </c>
      <c r="N94" s="57">
        <v>12838.999999999998</v>
      </c>
      <c r="O94" s="57">
        <v>13481.000000000002</v>
      </c>
      <c r="P94" s="57">
        <v>14154.999999999998</v>
      </c>
      <c r="Q94" s="58">
        <v>9.5010660980810346E-2</v>
      </c>
      <c r="R94" s="58">
        <v>5.0003894384298198E-2</v>
      </c>
      <c r="S94" s="58">
        <v>4.9996291076329413E-2</v>
      </c>
      <c r="T94" s="42"/>
    </row>
    <row r="95" spans="2:20" s="2" customFormat="1" ht="25.15" customHeight="1" x14ac:dyDescent="2.5">
      <c r="B95" s="3">
        <v>2</v>
      </c>
      <c r="C95" s="3"/>
      <c r="D95" s="3"/>
      <c r="E95" s="3">
        <v>2</v>
      </c>
      <c r="G95" s="68" t="s">
        <v>5</v>
      </c>
      <c r="H95" s="68"/>
      <c r="I95" s="68" t="s">
        <v>5</v>
      </c>
      <c r="J95" s="68" t="s">
        <v>5</v>
      </c>
      <c r="K95" s="57">
        <v>14725.999999999996</v>
      </c>
      <c r="L95" s="57">
        <v>7329.9000000000005</v>
      </c>
      <c r="M95" s="57">
        <v>7396.0999999999995</v>
      </c>
      <c r="N95" s="57">
        <v>15166.999999999996</v>
      </c>
      <c r="O95" s="57">
        <v>15621</v>
      </c>
      <c r="P95" s="57">
        <v>16089</v>
      </c>
      <c r="Q95" s="58">
        <v>2.994703245959518E-2</v>
      </c>
      <c r="R95" s="58">
        <v>2.9933408056965982E-2</v>
      </c>
      <c r="S95" s="58">
        <v>2.9959669675436951E-2</v>
      </c>
      <c r="T95" s="42"/>
    </row>
    <row r="96" spans="2:20" s="3" customFormat="1" ht="25.15" customHeight="1" x14ac:dyDescent="2.5">
      <c r="B96" s="3">
        <v>2</v>
      </c>
      <c r="D96" s="3">
        <v>147</v>
      </c>
      <c r="G96" s="73" t="s">
        <v>189</v>
      </c>
      <c r="H96" s="73"/>
      <c r="I96" s="73" t="s">
        <v>6</v>
      </c>
      <c r="J96" s="73" t="s">
        <v>6</v>
      </c>
      <c r="K96" s="74">
        <v>1422</v>
      </c>
      <c r="L96" s="74">
        <v>466.5</v>
      </c>
      <c r="M96" s="74">
        <v>955.50000000000011</v>
      </c>
      <c r="N96" s="74">
        <v>1498.3</v>
      </c>
      <c r="O96" s="74">
        <v>1556.4</v>
      </c>
      <c r="P96" s="74">
        <v>1616.9</v>
      </c>
      <c r="Q96" s="75">
        <v>5.365682137834038E-2</v>
      </c>
      <c r="R96" s="75">
        <v>3.877728091837418E-2</v>
      </c>
      <c r="S96" s="75">
        <v>3.887175533281928E-2</v>
      </c>
      <c r="T96" s="43"/>
    </row>
    <row r="97" spans="2:20" s="2" customFormat="1" ht="25.15" customHeight="1" x14ac:dyDescent="2.5">
      <c r="B97" s="3">
        <v>2</v>
      </c>
      <c r="C97" s="3"/>
      <c r="D97" s="3"/>
      <c r="E97" s="3">
        <v>1</v>
      </c>
      <c r="G97" s="68" t="s">
        <v>4</v>
      </c>
      <c r="H97" s="68"/>
      <c r="I97" s="68" t="s">
        <v>4</v>
      </c>
      <c r="J97" s="68" t="s">
        <v>4</v>
      </c>
      <c r="K97" s="57">
        <v>598.20000000000005</v>
      </c>
      <c r="L97" s="57"/>
      <c r="M97" s="57">
        <v>598.20000000000005</v>
      </c>
      <c r="N97" s="57">
        <v>655</v>
      </c>
      <c r="O97" s="57">
        <v>687.8</v>
      </c>
      <c r="P97" s="57">
        <v>722.2</v>
      </c>
      <c r="Q97" s="58">
        <v>9.495152123035755E-2</v>
      </c>
      <c r="R97" s="58">
        <v>5.0076335877862421E-2</v>
      </c>
      <c r="S97" s="58">
        <v>5.0014539110206702E-2</v>
      </c>
      <c r="T97" s="37"/>
    </row>
    <row r="98" spans="2:20" s="2" customFormat="1" ht="25.15" customHeight="1" x14ac:dyDescent="2.5">
      <c r="B98" s="3">
        <v>2</v>
      </c>
      <c r="C98" s="3"/>
      <c r="D98" s="3"/>
      <c r="E98" s="3">
        <v>2</v>
      </c>
      <c r="G98" s="68" t="s">
        <v>5</v>
      </c>
      <c r="H98" s="68"/>
      <c r="I98" s="68" t="s">
        <v>5</v>
      </c>
      <c r="J98" s="68" t="s">
        <v>5</v>
      </c>
      <c r="K98" s="57">
        <v>823.80000000000007</v>
      </c>
      <c r="L98" s="57">
        <v>466.5</v>
      </c>
      <c r="M98" s="57">
        <v>357.30000000000007</v>
      </c>
      <c r="N98" s="57">
        <v>843.3</v>
      </c>
      <c r="O98" s="57">
        <v>868.6</v>
      </c>
      <c r="P98" s="57">
        <v>894.7</v>
      </c>
      <c r="Q98" s="58">
        <v>2.3670793882009988E-2</v>
      </c>
      <c r="R98" s="58">
        <v>3.0001185817621234E-2</v>
      </c>
      <c r="S98" s="58">
        <v>3.0048353672576633E-2</v>
      </c>
      <c r="T98" s="37" t="s">
        <v>91</v>
      </c>
    </row>
    <row r="99" spans="2:20" s="3" customFormat="1" ht="25.15" customHeight="1" x14ac:dyDescent="2.5">
      <c r="B99" s="3">
        <v>2</v>
      </c>
      <c r="D99" s="3">
        <v>148</v>
      </c>
      <c r="G99" s="73" t="s">
        <v>190</v>
      </c>
      <c r="H99" s="73"/>
      <c r="I99" s="73" t="s">
        <v>7</v>
      </c>
      <c r="J99" s="73" t="s">
        <v>7</v>
      </c>
      <c r="K99" s="74">
        <v>1465.5</v>
      </c>
      <c r="L99" s="74">
        <v>399</v>
      </c>
      <c r="M99" s="74">
        <v>1066.5</v>
      </c>
      <c r="N99" s="74">
        <v>1549</v>
      </c>
      <c r="O99" s="74">
        <v>1609.9</v>
      </c>
      <c r="P99" s="74">
        <v>1673.3</v>
      </c>
      <c r="Q99" s="75">
        <v>5.6977140907540136E-2</v>
      </c>
      <c r="R99" s="75">
        <v>3.9315687540348643E-2</v>
      </c>
      <c r="S99" s="75">
        <v>3.9381328032797036E-2</v>
      </c>
      <c r="T99" s="43"/>
    </row>
    <row r="100" spans="2:20" s="2" customFormat="1" ht="25.15" customHeight="1" x14ac:dyDescent="2.5">
      <c r="B100" s="3">
        <v>2</v>
      </c>
      <c r="C100" s="3"/>
      <c r="D100" s="3"/>
      <c r="E100" s="3">
        <v>1</v>
      </c>
      <c r="G100" s="68" t="s">
        <v>4</v>
      </c>
      <c r="H100" s="68"/>
      <c r="I100" s="68" t="s">
        <v>4</v>
      </c>
      <c r="J100" s="68" t="s">
        <v>4</v>
      </c>
      <c r="K100" s="57">
        <v>657.2</v>
      </c>
      <c r="L100" s="57"/>
      <c r="M100" s="57">
        <v>657.2</v>
      </c>
      <c r="N100" s="57">
        <v>719.6</v>
      </c>
      <c r="O100" s="57">
        <v>755.6</v>
      </c>
      <c r="P100" s="57">
        <v>793.4</v>
      </c>
      <c r="Q100" s="58">
        <v>9.4948265368228757E-2</v>
      </c>
      <c r="R100" s="58">
        <v>5.0027793218454741E-2</v>
      </c>
      <c r="S100" s="58">
        <v>5.0026469031233312E-2</v>
      </c>
      <c r="T100" s="37"/>
    </row>
    <row r="101" spans="2:20" s="2" customFormat="1" ht="25.15" customHeight="1" x14ac:dyDescent="2.5">
      <c r="B101" s="3">
        <v>2</v>
      </c>
      <c r="C101" s="3"/>
      <c r="D101" s="3"/>
      <c r="E101" s="3">
        <v>2</v>
      </c>
      <c r="G101" s="68" t="s">
        <v>5</v>
      </c>
      <c r="H101" s="68"/>
      <c r="I101" s="68" t="s">
        <v>5</v>
      </c>
      <c r="J101" s="68" t="s">
        <v>5</v>
      </c>
      <c r="K101" s="57">
        <v>808.30000000000007</v>
      </c>
      <c r="L101" s="57">
        <v>399</v>
      </c>
      <c r="M101" s="57">
        <v>409.30000000000007</v>
      </c>
      <c r="N101" s="57">
        <v>829.4</v>
      </c>
      <c r="O101" s="57">
        <v>854.3</v>
      </c>
      <c r="P101" s="57">
        <v>879.9</v>
      </c>
      <c r="Q101" s="58">
        <v>2.6104169244092423E-2</v>
      </c>
      <c r="R101" s="58">
        <v>3.0021702435495623E-2</v>
      </c>
      <c r="S101" s="58">
        <v>2.9966054079363147E-2</v>
      </c>
      <c r="T101" s="37" t="s">
        <v>92</v>
      </c>
    </row>
    <row r="102" spans="2:20" s="3" customFormat="1" ht="25.15" customHeight="1" x14ac:dyDescent="2.5">
      <c r="B102" s="3">
        <v>2</v>
      </c>
      <c r="D102" s="3">
        <v>149</v>
      </c>
      <c r="G102" s="73" t="s">
        <v>191</v>
      </c>
      <c r="H102" s="73"/>
      <c r="I102" s="73" t="s">
        <v>8</v>
      </c>
      <c r="J102" s="73" t="s">
        <v>8</v>
      </c>
      <c r="K102" s="74">
        <v>1304.4000000000001</v>
      </c>
      <c r="L102" s="74">
        <v>551.29999999999995</v>
      </c>
      <c r="M102" s="74">
        <v>753.10000000000014</v>
      </c>
      <c r="N102" s="74">
        <v>1365.9</v>
      </c>
      <c r="O102" s="74">
        <v>1417.1</v>
      </c>
      <c r="P102" s="74">
        <v>1470.2</v>
      </c>
      <c r="Q102" s="75">
        <v>4.7148114075437064E-2</v>
      </c>
      <c r="R102" s="75">
        <v>3.7484442492129677E-2</v>
      </c>
      <c r="S102" s="75">
        <v>3.7470891256792038E-2</v>
      </c>
      <c r="T102" s="43"/>
    </row>
    <row r="103" spans="2:20" s="2" customFormat="1" ht="25.15" customHeight="1" x14ac:dyDescent="2.5">
      <c r="B103" s="3">
        <v>2</v>
      </c>
      <c r="C103" s="3"/>
      <c r="D103" s="3"/>
      <c r="E103" s="3">
        <v>1</v>
      </c>
      <c r="G103" s="68" t="s">
        <v>4</v>
      </c>
      <c r="H103" s="68"/>
      <c r="I103" s="68" t="s">
        <v>4</v>
      </c>
      <c r="J103" s="68" t="s">
        <v>4</v>
      </c>
      <c r="K103" s="57">
        <v>463.1</v>
      </c>
      <c r="L103" s="57"/>
      <c r="M103" s="57">
        <v>463.1</v>
      </c>
      <c r="N103" s="57">
        <v>507.1</v>
      </c>
      <c r="O103" s="57">
        <v>532.5</v>
      </c>
      <c r="P103" s="57">
        <v>559.1</v>
      </c>
      <c r="Q103" s="58">
        <v>9.5011876484560664E-2</v>
      </c>
      <c r="R103" s="58">
        <v>5.0088739893512146E-2</v>
      </c>
      <c r="S103" s="58">
        <v>4.9953051643192525E-2</v>
      </c>
      <c r="T103" s="37"/>
    </row>
    <row r="104" spans="2:20" s="2" customFormat="1" ht="25.15" customHeight="1" x14ac:dyDescent="2.5">
      <c r="B104" s="3">
        <v>2</v>
      </c>
      <c r="C104" s="3"/>
      <c r="D104" s="3"/>
      <c r="E104" s="3">
        <v>2</v>
      </c>
      <c r="G104" s="68" t="s">
        <v>5</v>
      </c>
      <c r="H104" s="68"/>
      <c r="I104" s="68" t="s">
        <v>5</v>
      </c>
      <c r="J104" s="68" t="s">
        <v>5</v>
      </c>
      <c r="K104" s="57">
        <v>841.30000000000007</v>
      </c>
      <c r="L104" s="57">
        <v>551.29999999999995</v>
      </c>
      <c r="M104" s="57">
        <v>290.00000000000011</v>
      </c>
      <c r="N104" s="57">
        <v>858.8</v>
      </c>
      <c r="O104" s="57">
        <v>884.6</v>
      </c>
      <c r="P104" s="57">
        <v>911.1</v>
      </c>
      <c r="Q104" s="58">
        <v>2.0801141091168374E-2</v>
      </c>
      <c r="R104" s="58">
        <v>3.0041918956683844E-2</v>
      </c>
      <c r="S104" s="58">
        <v>2.9957042731177941E-2</v>
      </c>
      <c r="T104" s="37" t="s">
        <v>93</v>
      </c>
    </row>
    <row r="105" spans="2:20" s="3" customFormat="1" ht="25.15" customHeight="1" x14ac:dyDescent="2.5">
      <c r="B105" s="3">
        <v>2</v>
      </c>
      <c r="D105" s="3">
        <v>150</v>
      </c>
      <c r="G105" s="73" t="s">
        <v>192</v>
      </c>
      <c r="H105" s="73"/>
      <c r="I105" s="73" t="s">
        <v>14</v>
      </c>
      <c r="J105" s="73" t="s">
        <v>14</v>
      </c>
      <c r="K105" s="74">
        <v>907.8</v>
      </c>
      <c r="L105" s="74">
        <v>149.19999999999999</v>
      </c>
      <c r="M105" s="74">
        <v>758.6</v>
      </c>
      <c r="N105" s="74">
        <v>967.8</v>
      </c>
      <c r="O105" s="74">
        <v>1006.4</v>
      </c>
      <c r="P105" s="74">
        <v>1046.7</v>
      </c>
      <c r="Q105" s="75">
        <v>6.6093853271645742E-2</v>
      </c>
      <c r="R105" s="75">
        <v>3.9884273610250043E-2</v>
      </c>
      <c r="S105" s="75">
        <v>4.0043720190779064E-2</v>
      </c>
      <c r="T105" s="43"/>
    </row>
    <row r="106" spans="2:20" s="2" customFormat="1" ht="25.15" customHeight="1" x14ac:dyDescent="2.5">
      <c r="B106" s="3">
        <v>2</v>
      </c>
      <c r="C106" s="3"/>
      <c r="D106" s="3"/>
      <c r="E106" s="3">
        <v>1</v>
      </c>
      <c r="G106" s="68" t="s">
        <v>4</v>
      </c>
      <c r="H106" s="68"/>
      <c r="I106" s="68" t="s">
        <v>4</v>
      </c>
      <c r="J106" s="68" t="s">
        <v>4</v>
      </c>
      <c r="K106" s="57">
        <v>438.4</v>
      </c>
      <c r="L106" s="57"/>
      <c r="M106" s="57">
        <v>438.4</v>
      </c>
      <c r="N106" s="57">
        <v>480</v>
      </c>
      <c r="O106" s="57">
        <v>504</v>
      </c>
      <c r="P106" s="57">
        <v>529.20000000000005</v>
      </c>
      <c r="Q106" s="58">
        <v>9.4890510948905105E-2</v>
      </c>
      <c r="R106" s="58">
        <v>5.0000000000000044E-2</v>
      </c>
      <c r="S106" s="58">
        <v>5.0000000000000044E-2</v>
      </c>
      <c r="T106" s="37"/>
    </row>
    <row r="107" spans="2:20" s="2" customFormat="1" ht="25.15" customHeight="1" x14ac:dyDescent="2.5">
      <c r="B107" s="3">
        <v>2</v>
      </c>
      <c r="C107" s="3"/>
      <c r="D107" s="3"/>
      <c r="E107" s="3">
        <v>2</v>
      </c>
      <c r="G107" s="68" t="s">
        <v>5</v>
      </c>
      <c r="H107" s="68"/>
      <c r="I107" s="68" t="s">
        <v>5</v>
      </c>
      <c r="J107" s="68" t="s">
        <v>5</v>
      </c>
      <c r="K107" s="57">
        <v>469.40000000000003</v>
      </c>
      <c r="L107" s="57">
        <v>149.19999999999999</v>
      </c>
      <c r="M107" s="57">
        <v>320.20000000000005</v>
      </c>
      <c r="N107" s="57">
        <v>487.8</v>
      </c>
      <c r="O107" s="57">
        <v>502.4</v>
      </c>
      <c r="P107" s="57">
        <v>517.5</v>
      </c>
      <c r="Q107" s="58">
        <v>3.9198977417980396E-2</v>
      </c>
      <c r="R107" s="58">
        <v>2.9930299302993069E-2</v>
      </c>
      <c r="S107" s="58">
        <v>3.0055732484076447E-2</v>
      </c>
      <c r="T107" s="37" t="s">
        <v>94</v>
      </c>
    </row>
    <row r="108" spans="2:20" s="3" customFormat="1" ht="25.15" customHeight="1" x14ac:dyDescent="2.5">
      <c r="B108" s="3">
        <v>2</v>
      </c>
      <c r="D108" s="3">
        <v>151</v>
      </c>
      <c r="G108" s="73" t="s">
        <v>193</v>
      </c>
      <c r="H108" s="73"/>
      <c r="I108" s="73" t="s">
        <v>13</v>
      </c>
      <c r="J108" s="73" t="s">
        <v>13</v>
      </c>
      <c r="K108" s="74">
        <v>1056.0999999999999</v>
      </c>
      <c r="L108" s="74">
        <v>324.39999999999998</v>
      </c>
      <c r="M108" s="74">
        <v>731.69999999999993</v>
      </c>
      <c r="N108" s="74">
        <v>1117.4000000000001</v>
      </c>
      <c r="O108" s="74">
        <v>1161.3</v>
      </c>
      <c r="P108" s="74">
        <v>1206.9000000000001</v>
      </c>
      <c r="Q108" s="75">
        <v>5.8043745857400131E-2</v>
      </c>
      <c r="R108" s="75">
        <v>3.9287632002863671E-2</v>
      </c>
      <c r="S108" s="75">
        <v>3.9266339447171283E-2</v>
      </c>
      <c r="T108" s="43"/>
    </row>
    <row r="109" spans="2:20" s="2" customFormat="1" ht="25.15" customHeight="1" x14ac:dyDescent="2.5">
      <c r="B109" s="3">
        <v>2</v>
      </c>
      <c r="C109" s="3"/>
      <c r="D109" s="3"/>
      <c r="E109" s="3">
        <v>1</v>
      </c>
      <c r="G109" s="68" t="s">
        <v>4</v>
      </c>
      <c r="H109" s="68"/>
      <c r="I109" s="68" t="s">
        <v>4</v>
      </c>
      <c r="J109" s="68" t="s">
        <v>4</v>
      </c>
      <c r="K109" s="57">
        <v>470.4</v>
      </c>
      <c r="L109" s="57"/>
      <c r="M109" s="57">
        <v>470.4</v>
      </c>
      <c r="N109" s="57">
        <v>515.1</v>
      </c>
      <c r="O109" s="57">
        <v>540.9</v>
      </c>
      <c r="P109" s="57">
        <v>567.9</v>
      </c>
      <c r="Q109" s="58">
        <v>9.5025510204081787E-2</v>
      </c>
      <c r="R109" s="58">
        <v>5.0087361677344067E-2</v>
      </c>
      <c r="S109" s="58">
        <v>4.991680532445919E-2</v>
      </c>
      <c r="T109" s="37"/>
    </row>
    <row r="110" spans="2:20" s="2" customFormat="1" ht="25.15" customHeight="1" x14ac:dyDescent="2.5">
      <c r="B110" s="3">
        <v>2</v>
      </c>
      <c r="C110" s="3"/>
      <c r="D110" s="3"/>
      <c r="E110" s="3">
        <v>2</v>
      </c>
      <c r="G110" s="68" t="s">
        <v>5</v>
      </c>
      <c r="H110" s="68"/>
      <c r="I110" s="68" t="s">
        <v>5</v>
      </c>
      <c r="J110" s="68" t="s">
        <v>5</v>
      </c>
      <c r="K110" s="57">
        <v>585.69999999999993</v>
      </c>
      <c r="L110" s="57">
        <v>324.39999999999998</v>
      </c>
      <c r="M110" s="57">
        <v>261.29999999999995</v>
      </c>
      <c r="N110" s="57">
        <v>602.29999999999995</v>
      </c>
      <c r="O110" s="57">
        <v>620.4</v>
      </c>
      <c r="P110" s="57">
        <v>639</v>
      </c>
      <c r="Q110" s="58">
        <v>2.8342154686699761E-2</v>
      </c>
      <c r="R110" s="58">
        <v>3.0051469367424977E-2</v>
      </c>
      <c r="S110" s="58">
        <v>2.9980657640232167E-2</v>
      </c>
      <c r="T110" s="37" t="s">
        <v>95</v>
      </c>
    </row>
    <row r="111" spans="2:20" s="3" customFormat="1" ht="25.15" customHeight="1" x14ac:dyDescent="2.5">
      <c r="B111" s="3">
        <v>2</v>
      </c>
      <c r="D111" s="3">
        <v>152</v>
      </c>
      <c r="G111" s="73" t="s">
        <v>194</v>
      </c>
      <c r="H111" s="73"/>
      <c r="I111" s="73" t="s">
        <v>12</v>
      </c>
      <c r="J111" s="73" t="s">
        <v>12</v>
      </c>
      <c r="K111" s="74">
        <v>1028.3000000000002</v>
      </c>
      <c r="L111" s="74">
        <v>360.5</v>
      </c>
      <c r="M111" s="74">
        <v>667.80000000000007</v>
      </c>
      <c r="N111" s="74">
        <v>1088.8</v>
      </c>
      <c r="O111" s="74">
        <v>1132.0999999999999</v>
      </c>
      <c r="P111" s="74">
        <v>1177.2</v>
      </c>
      <c r="Q111" s="75">
        <v>5.8834970339394888E-2</v>
      </c>
      <c r="R111" s="75">
        <v>3.9768552534900747E-2</v>
      </c>
      <c r="S111" s="75">
        <v>3.9837470188146096E-2</v>
      </c>
      <c r="T111" s="43"/>
    </row>
    <row r="112" spans="2:20" s="2" customFormat="1" ht="25.15" customHeight="1" x14ac:dyDescent="2.5">
      <c r="B112" s="3">
        <v>2</v>
      </c>
      <c r="C112" s="3"/>
      <c r="D112" s="3"/>
      <c r="E112" s="3">
        <v>1</v>
      </c>
      <c r="G112" s="68" t="s">
        <v>4</v>
      </c>
      <c r="H112" s="68"/>
      <c r="I112" s="68" t="s">
        <v>4</v>
      </c>
      <c r="J112" s="68" t="s">
        <v>4</v>
      </c>
      <c r="K112" s="57">
        <v>485.9</v>
      </c>
      <c r="L112" s="57"/>
      <c r="M112" s="57">
        <v>485.9</v>
      </c>
      <c r="N112" s="57">
        <v>532.1</v>
      </c>
      <c r="O112" s="57">
        <v>558.70000000000005</v>
      </c>
      <c r="P112" s="57">
        <v>586.6</v>
      </c>
      <c r="Q112" s="58">
        <v>9.5081292447005694E-2</v>
      </c>
      <c r="R112" s="58">
        <v>4.9990603270062106E-2</v>
      </c>
      <c r="S112" s="58">
        <v>4.9937354573116099E-2</v>
      </c>
      <c r="T112" s="37"/>
    </row>
    <row r="113" spans="2:20" s="2" customFormat="1" ht="25.15" customHeight="1" x14ac:dyDescent="2.5">
      <c r="B113" s="3">
        <v>2</v>
      </c>
      <c r="C113" s="3"/>
      <c r="D113" s="3"/>
      <c r="E113" s="3">
        <v>2</v>
      </c>
      <c r="G113" s="68" t="s">
        <v>5</v>
      </c>
      <c r="H113" s="68"/>
      <c r="I113" s="68" t="s">
        <v>5</v>
      </c>
      <c r="J113" s="68" t="s">
        <v>5</v>
      </c>
      <c r="K113" s="57">
        <v>542.40000000000009</v>
      </c>
      <c r="L113" s="57">
        <v>360.5</v>
      </c>
      <c r="M113" s="57">
        <v>181.90000000000009</v>
      </c>
      <c r="N113" s="57">
        <v>556.69999999999993</v>
      </c>
      <c r="O113" s="57">
        <v>573.4</v>
      </c>
      <c r="P113" s="57">
        <v>590.6</v>
      </c>
      <c r="Q113" s="58">
        <v>2.6364306784660396E-2</v>
      </c>
      <c r="R113" s="58">
        <v>2.9998203700377202E-2</v>
      </c>
      <c r="S113" s="58">
        <v>2.9996512033484635E-2</v>
      </c>
      <c r="T113" s="37" t="s">
        <v>96</v>
      </c>
    </row>
    <row r="114" spans="2:20" s="3" customFormat="1" ht="25.15" customHeight="1" x14ac:dyDescent="2.5">
      <c r="B114" s="3">
        <v>2</v>
      </c>
      <c r="D114" s="3">
        <v>153</v>
      </c>
      <c r="G114" s="73" t="s">
        <v>195</v>
      </c>
      <c r="H114" s="73"/>
      <c r="I114" s="73" t="s">
        <v>11</v>
      </c>
      <c r="J114" s="73" t="s">
        <v>11</v>
      </c>
      <c r="K114" s="74">
        <v>873.6</v>
      </c>
      <c r="L114" s="74">
        <v>101</v>
      </c>
      <c r="M114" s="74">
        <v>772.6</v>
      </c>
      <c r="N114" s="74">
        <v>931.5</v>
      </c>
      <c r="O114" s="74">
        <v>968.09999999999991</v>
      </c>
      <c r="P114" s="74">
        <v>1006.3</v>
      </c>
      <c r="Q114" s="75">
        <v>6.6277472527472403E-2</v>
      </c>
      <c r="R114" s="75">
        <v>3.9291465378421764E-2</v>
      </c>
      <c r="S114" s="75">
        <v>3.9458733601900775E-2</v>
      </c>
      <c r="T114" s="43"/>
    </row>
    <row r="115" spans="2:20" s="2" customFormat="1" ht="25.15" customHeight="1" x14ac:dyDescent="2.5">
      <c r="B115" s="3">
        <v>2</v>
      </c>
      <c r="C115" s="3"/>
      <c r="D115" s="3"/>
      <c r="E115" s="3">
        <v>1</v>
      </c>
      <c r="G115" s="68" t="s">
        <v>4</v>
      </c>
      <c r="H115" s="68"/>
      <c r="I115" s="68" t="s">
        <v>4</v>
      </c>
      <c r="J115" s="68" t="s">
        <v>4</v>
      </c>
      <c r="K115" s="57">
        <v>398.7</v>
      </c>
      <c r="L115" s="57"/>
      <c r="M115" s="57">
        <v>398.7</v>
      </c>
      <c r="N115" s="57">
        <v>436.6</v>
      </c>
      <c r="O115" s="57">
        <v>458.4</v>
      </c>
      <c r="P115" s="57">
        <v>481.3</v>
      </c>
      <c r="Q115" s="58">
        <v>9.505894156007022E-2</v>
      </c>
      <c r="R115" s="58">
        <v>4.9931287219422638E-2</v>
      </c>
      <c r="S115" s="58">
        <v>4.9956369982548043E-2</v>
      </c>
      <c r="T115" s="37"/>
    </row>
    <row r="116" spans="2:20" s="2" customFormat="1" ht="25.15" customHeight="1" x14ac:dyDescent="2.5">
      <c r="B116" s="3">
        <v>2</v>
      </c>
      <c r="C116" s="3"/>
      <c r="D116" s="3"/>
      <c r="E116" s="3">
        <v>2</v>
      </c>
      <c r="G116" s="68" t="s">
        <v>5</v>
      </c>
      <c r="H116" s="68"/>
      <c r="I116" s="68" t="s">
        <v>5</v>
      </c>
      <c r="J116" s="68" t="s">
        <v>5</v>
      </c>
      <c r="K116" s="57">
        <v>474.90000000000003</v>
      </c>
      <c r="L116" s="57">
        <v>101</v>
      </c>
      <c r="M116" s="57">
        <v>373.90000000000003</v>
      </c>
      <c r="N116" s="57">
        <v>494.90000000000003</v>
      </c>
      <c r="O116" s="57">
        <v>509.7</v>
      </c>
      <c r="P116" s="57">
        <v>525</v>
      </c>
      <c r="Q116" s="58">
        <v>4.2114129290376834E-2</v>
      </c>
      <c r="R116" s="58">
        <v>2.9905031319458431E-2</v>
      </c>
      <c r="S116" s="58">
        <v>3.0017657445556178E-2</v>
      </c>
      <c r="T116" s="37" t="s">
        <v>97</v>
      </c>
    </row>
    <row r="117" spans="2:20" s="3" customFormat="1" ht="25.15" customHeight="1" x14ac:dyDescent="2.5">
      <c r="B117" s="3">
        <v>2</v>
      </c>
      <c r="D117" s="3">
        <v>154</v>
      </c>
      <c r="G117" s="73" t="s">
        <v>196</v>
      </c>
      <c r="H117" s="73"/>
      <c r="I117" s="73" t="s">
        <v>10</v>
      </c>
      <c r="J117" s="73" t="s">
        <v>10</v>
      </c>
      <c r="K117" s="74">
        <v>1037.9000000000001</v>
      </c>
      <c r="L117" s="74">
        <v>193.8</v>
      </c>
      <c r="M117" s="74">
        <v>844.1</v>
      </c>
      <c r="N117" s="74">
        <v>1108.2</v>
      </c>
      <c r="O117" s="74">
        <v>1153.5999999999999</v>
      </c>
      <c r="P117" s="74">
        <v>1201</v>
      </c>
      <c r="Q117" s="75">
        <v>6.7732922246844574E-2</v>
      </c>
      <c r="R117" s="75">
        <v>4.0967334416170287E-2</v>
      </c>
      <c r="S117" s="75">
        <v>4.1088765603328747E-2</v>
      </c>
      <c r="T117" s="43"/>
    </row>
    <row r="118" spans="2:20" s="2" customFormat="1" ht="25.15" customHeight="1" x14ac:dyDescent="2.5">
      <c r="B118" s="3">
        <v>2</v>
      </c>
      <c r="C118" s="3"/>
      <c r="D118" s="3"/>
      <c r="E118" s="3">
        <v>1</v>
      </c>
      <c r="G118" s="68" t="s">
        <v>4</v>
      </c>
      <c r="H118" s="68"/>
      <c r="I118" s="68" t="s">
        <v>4</v>
      </c>
      <c r="J118" s="68" t="s">
        <v>4</v>
      </c>
      <c r="K118" s="57">
        <v>557</v>
      </c>
      <c r="L118" s="57"/>
      <c r="M118" s="57">
        <v>557</v>
      </c>
      <c r="N118" s="57">
        <v>609.9</v>
      </c>
      <c r="O118" s="57">
        <v>640.4</v>
      </c>
      <c r="P118" s="57">
        <v>672.4</v>
      </c>
      <c r="Q118" s="58">
        <v>9.4973070017953187E-2</v>
      </c>
      <c r="R118" s="58">
        <v>5.0008198065256693E-2</v>
      </c>
      <c r="S118" s="58">
        <v>4.9968769519050493E-2</v>
      </c>
      <c r="T118" s="37"/>
    </row>
    <row r="119" spans="2:20" s="2" customFormat="1" ht="25.15" customHeight="1" x14ac:dyDescent="2.5">
      <c r="B119" s="3">
        <v>2</v>
      </c>
      <c r="C119" s="3"/>
      <c r="D119" s="3"/>
      <c r="E119" s="3">
        <v>2</v>
      </c>
      <c r="G119" s="68" t="s">
        <v>5</v>
      </c>
      <c r="H119" s="68"/>
      <c r="I119" s="68" t="s">
        <v>5</v>
      </c>
      <c r="J119" s="68" t="s">
        <v>5</v>
      </c>
      <c r="K119" s="57">
        <v>480.90000000000003</v>
      </c>
      <c r="L119" s="57">
        <v>193.8</v>
      </c>
      <c r="M119" s="57">
        <v>287.10000000000002</v>
      </c>
      <c r="N119" s="57">
        <v>498.3</v>
      </c>
      <c r="O119" s="57">
        <v>513.20000000000005</v>
      </c>
      <c r="P119" s="57">
        <v>528.6</v>
      </c>
      <c r="Q119" s="58">
        <v>3.6182158452900737E-2</v>
      </c>
      <c r="R119" s="58">
        <v>2.9901665663255139E-2</v>
      </c>
      <c r="S119" s="58">
        <v>3.000779423226807E-2</v>
      </c>
      <c r="T119" s="37" t="s">
        <v>98</v>
      </c>
    </row>
    <row r="120" spans="2:20" s="3" customFormat="1" ht="25.15" customHeight="1" x14ac:dyDescent="2.5">
      <c r="B120" s="3">
        <v>2</v>
      </c>
      <c r="D120" s="3">
        <v>155</v>
      </c>
      <c r="G120" s="73" t="s">
        <v>197</v>
      </c>
      <c r="H120" s="73"/>
      <c r="I120" s="73" t="s">
        <v>9</v>
      </c>
      <c r="J120" s="73" t="s">
        <v>9</v>
      </c>
      <c r="K120" s="74">
        <v>699.1</v>
      </c>
      <c r="L120" s="74">
        <v>131.1</v>
      </c>
      <c r="M120" s="74">
        <v>568</v>
      </c>
      <c r="N120" s="74">
        <v>748.6</v>
      </c>
      <c r="O120" s="74">
        <v>779.09999999999991</v>
      </c>
      <c r="P120" s="74">
        <v>810.9</v>
      </c>
      <c r="Q120" s="75">
        <v>7.0805321127163534E-2</v>
      </c>
      <c r="R120" s="75">
        <v>4.0742719743521061E-2</v>
      </c>
      <c r="S120" s="75">
        <v>4.081632653061229E-2</v>
      </c>
      <c r="T120" s="43"/>
    </row>
    <row r="121" spans="2:20" s="2" customFormat="1" ht="25.15" customHeight="1" x14ac:dyDescent="2.5">
      <c r="B121" s="3">
        <v>2</v>
      </c>
      <c r="C121" s="3"/>
      <c r="D121" s="3"/>
      <c r="E121" s="3">
        <v>1</v>
      </c>
      <c r="G121" s="68" t="s">
        <v>4</v>
      </c>
      <c r="H121" s="68"/>
      <c r="I121" s="68" t="s">
        <v>4</v>
      </c>
      <c r="J121" s="68" t="s">
        <v>4</v>
      </c>
      <c r="K121" s="57">
        <v>364.6</v>
      </c>
      <c r="L121" s="57"/>
      <c r="M121" s="57">
        <v>364.6</v>
      </c>
      <c r="N121" s="57">
        <v>399.2</v>
      </c>
      <c r="O121" s="57">
        <v>419.2</v>
      </c>
      <c r="P121" s="57">
        <v>440.2</v>
      </c>
      <c r="Q121" s="58">
        <v>9.4898518924849018E-2</v>
      </c>
      <c r="R121" s="58">
        <v>5.0100200400801542E-2</v>
      </c>
      <c r="S121" s="58">
        <v>5.0095419847328237E-2</v>
      </c>
      <c r="T121" s="37"/>
    </row>
    <row r="122" spans="2:20" s="2" customFormat="1" ht="25.15" customHeight="1" x14ac:dyDescent="2.5">
      <c r="B122" s="3">
        <v>2</v>
      </c>
      <c r="C122" s="3"/>
      <c r="D122" s="3"/>
      <c r="E122" s="3">
        <v>2</v>
      </c>
      <c r="G122" s="68" t="s">
        <v>5</v>
      </c>
      <c r="H122" s="68"/>
      <c r="I122" s="68" t="s">
        <v>5</v>
      </c>
      <c r="J122" s="68" t="s">
        <v>5</v>
      </c>
      <c r="K122" s="57">
        <v>334.5</v>
      </c>
      <c r="L122" s="57">
        <v>131.1</v>
      </c>
      <c r="M122" s="57">
        <v>203.4</v>
      </c>
      <c r="N122" s="57">
        <v>349.40000000000003</v>
      </c>
      <c r="O122" s="57">
        <v>359.9</v>
      </c>
      <c r="P122" s="57">
        <v>370.7</v>
      </c>
      <c r="Q122" s="58">
        <v>4.4544095665171923E-2</v>
      </c>
      <c r="R122" s="58">
        <v>3.0051516886090202E-2</v>
      </c>
      <c r="S122" s="58">
        <v>3.0008335648791462E-2</v>
      </c>
      <c r="T122" s="37" t="s">
        <v>99</v>
      </c>
    </row>
    <row r="123" spans="2:20" s="3" customFormat="1" ht="25.15" customHeight="1" x14ac:dyDescent="2.5">
      <c r="B123" s="3">
        <v>2</v>
      </c>
      <c r="D123" s="3">
        <v>156</v>
      </c>
      <c r="G123" s="73" t="s">
        <v>198</v>
      </c>
      <c r="H123" s="73"/>
      <c r="I123" s="73" t="s">
        <v>15</v>
      </c>
      <c r="J123" s="73" t="s">
        <v>15</v>
      </c>
      <c r="K123" s="74">
        <v>1052.3000000000002</v>
      </c>
      <c r="L123" s="74">
        <v>440.9</v>
      </c>
      <c r="M123" s="74">
        <v>611.40000000000009</v>
      </c>
      <c r="N123" s="74">
        <v>1101.5</v>
      </c>
      <c r="O123" s="74">
        <v>1142</v>
      </c>
      <c r="P123" s="74">
        <v>1184.0999999999999</v>
      </c>
      <c r="Q123" s="75">
        <v>4.6754727739237723E-2</v>
      </c>
      <c r="R123" s="75">
        <v>3.6768043576940634E-2</v>
      </c>
      <c r="S123" s="75">
        <v>3.6865148861646047E-2</v>
      </c>
      <c r="T123" s="43"/>
    </row>
    <row r="124" spans="2:20" s="2" customFormat="1" ht="25.15" customHeight="1" x14ac:dyDescent="2.5">
      <c r="B124" s="3">
        <v>2</v>
      </c>
      <c r="C124" s="3"/>
      <c r="D124" s="3"/>
      <c r="E124" s="3">
        <v>1</v>
      </c>
      <c r="G124" s="68" t="s">
        <v>4</v>
      </c>
      <c r="H124" s="68"/>
      <c r="I124" s="68" t="s">
        <v>4</v>
      </c>
      <c r="J124" s="68" t="s">
        <v>4</v>
      </c>
      <c r="K124" s="57">
        <v>340.4</v>
      </c>
      <c r="L124" s="57"/>
      <c r="M124" s="57">
        <v>340.4</v>
      </c>
      <c r="N124" s="57">
        <v>372.7</v>
      </c>
      <c r="O124" s="57">
        <v>391.3</v>
      </c>
      <c r="P124" s="57">
        <v>410.9</v>
      </c>
      <c r="Q124" s="58">
        <v>9.4888366627497112E-2</v>
      </c>
      <c r="R124" s="58">
        <v>4.9906090689562754E-2</v>
      </c>
      <c r="S124" s="58">
        <v>5.0089445438282532E-2</v>
      </c>
      <c r="T124" s="37"/>
    </row>
    <row r="125" spans="2:20" s="2" customFormat="1" ht="25.15" customHeight="1" x14ac:dyDescent="2.5">
      <c r="B125" s="3">
        <v>2</v>
      </c>
      <c r="C125" s="3"/>
      <c r="D125" s="3"/>
      <c r="E125" s="3">
        <v>2</v>
      </c>
      <c r="G125" s="68" t="s">
        <v>5</v>
      </c>
      <c r="H125" s="68"/>
      <c r="I125" s="68" t="s">
        <v>5</v>
      </c>
      <c r="J125" s="68" t="s">
        <v>5</v>
      </c>
      <c r="K125" s="57">
        <v>711.90000000000009</v>
      </c>
      <c r="L125" s="57">
        <v>440.9</v>
      </c>
      <c r="M125" s="57">
        <v>271.00000000000011</v>
      </c>
      <c r="N125" s="57">
        <v>728.8</v>
      </c>
      <c r="O125" s="57">
        <v>750.7</v>
      </c>
      <c r="P125" s="57">
        <v>773.2</v>
      </c>
      <c r="Q125" s="58">
        <v>2.3739289226014648E-2</v>
      </c>
      <c r="R125" s="58">
        <v>3.0049396267837647E-2</v>
      </c>
      <c r="S125" s="58">
        <v>2.9972026108964878E-2</v>
      </c>
      <c r="T125" s="37" t="s">
        <v>100</v>
      </c>
    </row>
    <row r="126" spans="2:20" s="3" customFormat="1" ht="25.15" customHeight="1" x14ac:dyDescent="2.5">
      <c r="B126" s="3">
        <v>2</v>
      </c>
      <c r="D126" s="3">
        <v>157</v>
      </c>
      <c r="G126" s="73" t="s">
        <v>199</v>
      </c>
      <c r="H126" s="73"/>
      <c r="I126" s="73" t="s">
        <v>16</v>
      </c>
      <c r="J126" s="73" t="s">
        <v>16</v>
      </c>
      <c r="K126" s="74">
        <v>740</v>
      </c>
      <c r="L126" s="74">
        <v>222</v>
      </c>
      <c r="M126" s="74">
        <v>518</v>
      </c>
      <c r="N126" s="74">
        <v>787.4</v>
      </c>
      <c r="O126" s="74">
        <v>818.8</v>
      </c>
      <c r="P126" s="74">
        <v>851.5</v>
      </c>
      <c r="Q126" s="75">
        <v>6.4054054054053955E-2</v>
      </c>
      <c r="R126" s="75">
        <v>3.9878079756159535E-2</v>
      </c>
      <c r="S126" s="75">
        <v>3.9936492427943282E-2</v>
      </c>
      <c r="T126" s="43"/>
    </row>
    <row r="127" spans="2:20" s="2" customFormat="1" ht="25.15" customHeight="1" x14ac:dyDescent="2.5">
      <c r="B127" s="3">
        <v>2</v>
      </c>
      <c r="C127" s="3"/>
      <c r="D127" s="3"/>
      <c r="E127" s="3">
        <v>1</v>
      </c>
      <c r="G127" s="68" t="s">
        <v>4</v>
      </c>
      <c r="H127" s="68"/>
      <c r="I127" s="68" t="s">
        <v>4</v>
      </c>
      <c r="J127" s="68" t="s">
        <v>4</v>
      </c>
      <c r="K127" s="57">
        <v>355</v>
      </c>
      <c r="L127" s="57"/>
      <c r="M127" s="57">
        <v>355</v>
      </c>
      <c r="N127" s="57">
        <v>388.7</v>
      </c>
      <c r="O127" s="57">
        <v>408.1</v>
      </c>
      <c r="P127" s="57">
        <v>428.5</v>
      </c>
      <c r="Q127" s="58">
        <v>9.4929577464788695E-2</v>
      </c>
      <c r="R127" s="58">
        <v>4.9909956264471367E-2</v>
      </c>
      <c r="S127" s="58">
        <v>4.9987748100955631E-2</v>
      </c>
      <c r="T127" s="37"/>
    </row>
    <row r="128" spans="2:20" s="2" customFormat="1" ht="25.15" customHeight="1" x14ac:dyDescent="2.5">
      <c r="B128" s="3">
        <v>2</v>
      </c>
      <c r="C128" s="3"/>
      <c r="D128" s="3"/>
      <c r="E128" s="3">
        <v>2</v>
      </c>
      <c r="G128" s="68" t="s">
        <v>5</v>
      </c>
      <c r="H128" s="68"/>
      <c r="I128" s="68" t="s">
        <v>5</v>
      </c>
      <c r="J128" s="68" t="s">
        <v>5</v>
      </c>
      <c r="K128" s="57">
        <v>385.00000000000006</v>
      </c>
      <c r="L128" s="57">
        <v>222</v>
      </c>
      <c r="M128" s="57">
        <v>163.00000000000006</v>
      </c>
      <c r="N128" s="57">
        <v>398.7</v>
      </c>
      <c r="O128" s="57">
        <v>410.7</v>
      </c>
      <c r="P128" s="57">
        <v>423</v>
      </c>
      <c r="Q128" s="58">
        <v>3.5584415584415385E-2</v>
      </c>
      <c r="R128" s="58">
        <v>3.0097817908201652E-2</v>
      </c>
      <c r="S128" s="58">
        <v>2.9948867786705691E-2</v>
      </c>
      <c r="T128" s="37" t="s">
        <v>101</v>
      </c>
    </row>
    <row r="129" spans="2:20" s="3" customFormat="1" ht="25.15" customHeight="1" x14ac:dyDescent="2.5">
      <c r="B129" s="3">
        <v>2</v>
      </c>
      <c r="D129" s="3">
        <v>158</v>
      </c>
      <c r="G129" s="73" t="s">
        <v>200</v>
      </c>
      <c r="H129" s="73"/>
      <c r="I129" s="73" t="s">
        <v>17</v>
      </c>
      <c r="J129" s="73" t="s">
        <v>17</v>
      </c>
      <c r="K129" s="74">
        <v>1404.5</v>
      </c>
      <c r="L129" s="74">
        <v>204.70000000000002</v>
      </c>
      <c r="M129" s="74">
        <v>1199.8</v>
      </c>
      <c r="N129" s="74">
        <v>1511.8000000000002</v>
      </c>
      <c r="O129" s="74">
        <v>1578</v>
      </c>
      <c r="P129" s="74">
        <v>1647.3</v>
      </c>
      <c r="Q129" s="75">
        <v>7.6397294410822436E-2</v>
      </c>
      <c r="R129" s="75">
        <v>4.3788860960444431E-2</v>
      </c>
      <c r="S129" s="75">
        <v>4.3916349809886013E-2</v>
      </c>
      <c r="T129" s="43"/>
    </row>
    <row r="130" spans="2:20" s="2" customFormat="1" ht="25.15" customHeight="1" x14ac:dyDescent="2.5">
      <c r="B130" s="3">
        <v>2</v>
      </c>
      <c r="C130" s="3"/>
      <c r="D130" s="3"/>
      <c r="E130" s="3">
        <v>1</v>
      </c>
      <c r="G130" s="68" t="s">
        <v>4</v>
      </c>
      <c r="H130" s="68"/>
      <c r="I130" s="68" t="s">
        <v>4</v>
      </c>
      <c r="J130" s="68" t="s">
        <v>4</v>
      </c>
      <c r="K130" s="57">
        <v>954.8</v>
      </c>
      <c r="L130" s="57"/>
      <c r="M130" s="57">
        <v>954.8</v>
      </c>
      <c r="N130" s="57">
        <v>1045.9000000000001</v>
      </c>
      <c r="O130" s="57">
        <v>1098.1000000000001</v>
      </c>
      <c r="P130" s="57">
        <v>1153</v>
      </c>
      <c r="Q130" s="58">
        <v>9.5412651864264841E-2</v>
      </c>
      <c r="R130" s="58">
        <v>4.9909169136628684E-2</v>
      </c>
      <c r="S130" s="58">
        <v>4.9995446680630051E-2</v>
      </c>
      <c r="T130" s="37"/>
    </row>
    <row r="131" spans="2:20" s="2" customFormat="1" ht="25.15" customHeight="1" x14ac:dyDescent="2.5">
      <c r="B131" s="3">
        <v>2</v>
      </c>
      <c r="C131" s="3"/>
      <c r="D131" s="3"/>
      <c r="E131" s="3">
        <v>2</v>
      </c>
      <c r="G131" s="68" t="s">
        <v>5</v>
      </c>
      <c r="H131" s="68"/>
      <c r="I131" s="68" t="s">
        <v>5</v>
      </c>
      <c r="J131" s="68" t="s">
        <v>5</v>
      </c>
      <c r="K131" s="57">
        <v>449.7</v>
      </c>
      <c r="L131" s="57">
        <v>204.70000000000002</v>
      </c>
      <c r="M131" s="57">
        <v>244.99999999999997</v>
      </c>
      <c r="N131" s="57">
        <v>465.90000000000003</v>
      </c>
      <c r="O131" s="57">
        <v>479.9</v>
      </c>
      <c r="P131" s="57">
        <v>494.3</v>
      </c>
      <c r="Q131" s="58">
        <v>3.6024016010673954E-2</v>
      </c>
      <c r="R131" s="58">
        <v>3.0049366816913281E-2</v>
      </c>
      <c r="S131" s="58">
        <v>3.0006251302354681E-2</v>
      </c>
      <c r="T131" s="37" t="s">
        <v>102</v>
      </c>
    </row>
    <row r="132" spans="2:20" s="3" customFormat="1" ht="25.15" customHeight="1" x14ac:dyDescent="2.5">
      <c r="B132" s="3">
        <v>2</v>
      </c>
      <c r="D132" s="3">
        <v>159</v>
      </c>
      <c r="G132" s="73" t="s">
        <v>201</v>
      </c>
      <c r="H132" s="73"/>
      <c r="I132" s="73" t="s">
        <v>18</v>
      </c>
      <c r="J132" s="73" t="s">
        <v>18</v>
      </c>
      <c r="K132" s="74">
        <v>909.2</v>
      </c>
      <c r="L132" s="74">
        <v>343</v>
      </c>
      <c r="M132" s="74">
        <v>566.20000000000005</v>
      </c>
      <c r="N132" s="74">
        <v>957.59999999999991</v>
      </c>
      <c r="O132" s="74">
        <v>993.90000000000009</v>
      </c>
      <c r="P132" s="74">
        <v>1031.7</v>
      </c>
      <c r="Q132" s="75">
        <v>5.3233611966563954E-2</v>
      </c>
      <c r="R132" s="75">
        <v>3.7907268170426223E-2</v>
      </c>
      <c r="S132" s="75">
        <v>3.8031995170540345E-2</v>
      </c>
      <c r="T132" s="43"/>
    </row>
    <row r="133" spans="2:20" s="2" customFormat="1" ht="25.15" customHeight="1" x14ac:dyDescent="2.5">
      <c r="B133" s="3">
        <v>2</v>
      </c>
      <c r="C133" s="3"/>
      <c r="D133" s="3"/>
      <c r="E133" s="3">
        <v>1</v>
      </c>
      <c r="G133" s="68" t="s">
        <v>4</v>
      </c>
      <c r="H133" s="68"/>
      <c r="I133" s="68" t="s">
        <v>4</v>
      </c>
      <c r="J133" s="68" t="s">
        <v>4</v>
      </c>
      <c r="K133" s="57">
        <v>347.7</v>
      </c>
      <c r="L133" s="57"/>
      <c r="M133" s="57">
        <v>347.7</v>
      </c>
      <c r="N133" s="57">
        <v>380.7</v>
      </c>
      <c r="O133" s="57">
        <v>399.7</v>
      </c>
      <c r="P133" s="57">
        <v>419.7</v>
      </c>
      <c r="Q133" s="58">
        <v>9.4909404659188956E-2</v>
      </c>
      <c r="R133" s="58">
        <v>4.990806409246118E-2</v>
      </c>
      <c r="S133" s="58">
        <v>5.0037528146109622E-2</v>
      </c>
      <c r="T133" s="37"/>
    </row>
    <row r="134" spans="2:20" s="2" customFormat="1" ht="25.15" customHeight="1" x14ac:dyDescent="2.5">
      <c r="B134" s="3">
        <v>2</v>
      </c>
      <c r="C134" s="3"/>
      <c r="D134" s="3"/>
      <c r="E134" s="3">
        <v>2</v>
      </c>
      <c r="G134" s="68" t="s">
        <v>5</v>
      </c>
      <c r="H134" s="68"/>
      <c r="I134" s="68" t="s">
        <v>5</v>
      </c>
      <c r="J134" s="68" t="s">
        <v>5</v>
      </c>
      <c r="K134" s="57">
        <v>561.5</v>
      </c>
      <c r="L134" s="57">
        <v>343</v>
      </c>
      <c r="M134" s="57">
        <v>218.5</v>
      </c>
      <c r="N134" s="57">
        <v>576.9</v>
      </c>
      <c r="O134" s="57">
        <v>594.20000000000005</v>
      </c>
      <c r="P134" s="57">
        <v>612</v>
      </c>
      <c r="Q134" s="58">
        <v>2.7426536064113938E-2</v>
      </c>
      <c r="R134" s="58">
        <v>2.9987866181313994E-2</v>
      </c>
      <c r="S134" s="58">
        <v>2.9956243688993522E-2</v>
      </c>
      <c r="T134" s="37" t="s">
        <v>103</v>
      </c>
    </row>
    <row r="135" spans="2:20" s="3" customFormat="1" ht="25.15" customHeight="1" x14ac:dyDescent="2.5">
      <c r="B135" s="3">
        <v>2</v>
      </c>
      <c r="D135" s="3">
        <v>160</v>
      </c>
      <c r="G135" s="73" t="s">
        <v>202</v>
      </c>
      <c r="H135" s="73"/>
      <c r="I135" s="73" t="s">
        <v>19</v>
      </c>
      <c r="J135" s="73" t="s">
        <v>19</v>
      </c>
      <c r="K135" s="74">
        <v>1562.7</v>
      </c>
      <c r="L135" s="74">
        <v>486.7</v>
      </c>
      <c r="M135" s="74">
        <v>1076</v>
      </c>
      <c r="N135" s="74">
        <v>1642.3</v>
      </c>
      <c r="O135" s="74">
        <v>1704</v>
      </c>
      <c r="P135" s="74">
        <v>1768.6999999999998</v>
      </c>
      <c r="Q135" s="75">
        <v>5.093748000255971E-2</v>
      </c>
      <c r="R135" s="75">
        <v>3.7569262619497001E-2</v>
      </c>
      <c r="S135" s="75">
        <v>3.7969483568075058E-2</v>
      </c>
      <c r="T135" s="43"/>
    </row>
    <row r="136" spans="2:20" s="2" customFormat="1" ht="25.15" customHeight="1" x14ac:dyDescent="2.5">
      <c r="B136" s="3">
        <v>2</v>
      </c>
      <c r="C136" s="3"/>
      <c r="D136" s="3"/>
      <c r="E136" s="3">
        <v>1</v>
      </c>
      <c r="G136" s="68" t="s">
        <v>4</v>
      </c>
      <c r="H136" s="68"/>
      <c r="I136" s="68" t="s">
        <v>4</v>
      </c>
      <c r="J136" s="68" t="s">
        <v>4</v>
      </c>
      <c r="K136" s="57">
        <v>607.70000000000005</v>
      </c>
      <c r="L136" s="57"/>
      <c r="M136" s="57">
        <v>607.70000000000005</v>
      </c>
      <c r="N136" s="57">
        <v>665.4</v>
      </c>
      <c r="O136" s="57">
        <v>698.7</v>
      </c>
      <c r="P136" s="57">
        <v>733.6</v>
      </c>
      <c r="Q136" s="58">
        <v>9.4948165213098346E-2</v>
      </c>
      <c r="R136" s="58">
        <v>5.0045085662759448E-2</v>
      </c>
      <c r="S136" s="58">
        <v>4.9949906970087277E-2</v>
      </c>
      <c r="T136" s="37"/>
    </row>
    <row r="137" spans="2:20" s="2" customFormat="1" ht="25.15" customHeight="1" x14ac:dyDescent="2.5">
      <c r="B137" s="3">
        <v>2</v>
      </c>
      <c r="C137" s="3"/>
      <c r="D137" s="3"/>
      <c r="E137" s="3">
        <v>2</v>
      </c>
      <c r="G137" s="68" t="s">
        <v>5</v>
      </c>
      <c r="H137" s="68"/>
      <c r="I137" s="68" t="s">
        <v>5</v>
      </c>
      <c r="J137" s="68" t="s">
        <v>5</v>
      </c>
      <c r="K137" s="57">
        <v>955</v>
      </c>
      <c r="L137" s="57">
        <v>486.7</v>
      </c>
      <c r="M137" s="57">
        <v>468.3</v>
      </c>
      <c r="N137" s="57">
        <v>976.9</v>
      </c>
      <c r="O137" s="57">
        <v>1005.3000000000001</v>
      </c>
      <c r="P137" s="57">
        <v>1035.0999999999999</v>
      </c>
      <c r="Q137" s="58">
        <v>2.2931937172774752E-2</v>
      </c>
      <c r="R137" s="58">
        <v>2.9071552871327677E-2</v>
      </c>
      <c r="S137" s="58">
        <v>2.9642892668855003E-2</v>
      </c>
      <c r="T137" s="37" t="s">
        <v>104</v>
      </c>
    </row>
    <row r="138" spans="2:20" s="3" customFormat="1" ht="25.15" customHeight="1" x14ac:dyDescent="2.5">
      <c r="B138" s="3">
        <v>2</v>
      </c>
      <c r="D138" s="3">
        <v>161</v>
      </c>
      <c r="G138" s="73" t="s">
        <v>203</v>
      </c>
      <c r="H138" s="73"/>
      <c r="I138" s="73" t="s">
        <v>20</v>
      </c>
      <c r="J138" s="73" t="s">
        <v>20</v>
      </c>
      <c r="K138" s="74">
        <v>1205.9000000000001</v>
      </c>
      <c r="L138" s="74">
        <v>535.5</v>
      </c>
      <c r="M138" s="74">
        <v>670.40000000000009</v>
      </c>
      <c r="N138" s="74">
        <v>1260.1999999999998</v>
      </c>
      <c r="O138" s="74">
        <v>1306.5999999999999</v>
      </c>
      <c r="P138" s="74">
        <v>1354.8</v>
      </c>
      <c r="Q138" s="75">
        <v>4.5028609337424141E-2</v>
      </c>
      <c r="R138" s="75">
        <v>3.6819552451991866E-2</v>
      </c>
      <c r="S138" s="75">
        <v>3.688963722638916E-2</v>
      </c>
      <c r="T138" s="43"/>
    </row>
    <row r="139" spans="2:20" s="2" customFormat="1" ht="25.15" customHeight="1" x14ac:dyDescent="2.5">
      <c r="B139" s="3">
        <v>2</v>
      </c>
      <c r="C139" s="3"/>
      <c r="D139" s="3"/>
      <c r="E139" s="3">
        <v>1</v>
      </c>
      <c r="G139" s="68" t="s">
        <v>4</v>
      </c>
      <c r="H139" s="68"/>
      <c r="I139" s="68" t="s">
        <v>4</v>
      </c>
      <c r="J139" s="68" t="s">
        <v>4</v>
      </c>
      <c r="K139" s="57">
        <v>390.5</v>
      </c>
      <c r="L139" s="57"/>
      <c r="M139" s="57">
        <v>390.5</v>
      </c>
      <c r="N139" s="57">
        <v>427.6</v>
      </c>
      <c r="O139" s="57">
        <v>449</v>
      </c>
      <c r="P139" s="57">
        <v>471.5</v>
      </c>
      <c r="Q139" s="58">
        <v>9.5006402048655625E-2</v>
      </c>
      <c r="R139" s="58">
        <v>5.0046772684751994E-2</v>
      </c>
      <c r="S139" s="58">
        <v>5.0111358574610243E-2</v>
      </c>
      <c r="T139" s="37"/>
    </row>
    <row r="140" spans="2:20" s="2" customFormat="1" ht="25.15" customHeight="1" x14ac:dyDescent="2.5">
      <c r="B140" s="3">
        <v>2</v>
      </c>
      <c r="C140" s="3"/>
      <c r="D140" s="3"/>
      <c r="E140" s="3">
        <v>2</v>
      </c>
      <c r="G140" s="68" t="s">
        <v>5</v>
      </c>
      <c r="H140" s="68"/>
      <c r="I140" s="68" t="s">
        <v>5</v>
      </c>
      <c r="J140" s="68" t="s">
        <v>5</v>
      </c>
      <c r="K140" s="57">
        <v>815.40000000000009</v>
      </c>
      <c r="L140" s="57">
        <v>535.5</v>
      </c>
      <c r="M140" s="57">
        <v>279.90000000000009</v>
      </c>
      <c r="N140" s="57">
        <v>832.59999999999991</v>
      </c>
      <c r="O140" s="57">
        <v>857.6</v>
      </c>
      <c r="P140" s="57">
        <v>883.3</v>
      </c>
      <c r="Q140" s="58">
        <v>2.1093941623742785E-2</v>
      </c>
      <c r="R140" s="58">
        <v>3.0026423252462298E-2</v>
      </c>
      <c r="S140" s="58">
        <v>2.9967350746268551E-2</v>
      </c>
      <c r="T140" s="37" t="s">
        <v>105</v>
      </c>
    </row>
    <row r="141" spans="2:20" s="3" customFormat="1" ht="25.15" customHeight="1" x14ac:dyDescent="2.5">
      <c r="B141" s="3">
        <v>2</v>
      </c>
      <c r="D141" s="3">
        <v>162</v>
      </c>
      <c r="G141" s="73" t="s">
        <v>204</v>
      </c>
      <c r="H141" s="73"/>
      <c r="I141" s="73" t="s">
        <v>21</v>
      </c>
      <c r="J141" s="73" t="s">
        <v>21</v>
      </c>
      <c r="K141" s="74">
        <v>883.8</v>
      </c>
      <c r="L141" s="74">
        <v>224.7</v>
      </c>
      <c r="M141" s="74">
        <v>659.09999999999991</v>
      </c>
      <c r="N141" s="74">
        <v>938.90000000000009</v>
      </c>
      <c r="O141" s="74">
        <v>976</v>
      </c>
      <c r="P141" s="74">
        <v>1014.5999999999999</v>
      </c>
      <c r="Q141" s="75">
        <v>6.2344421814890305E-2</v>
      </c>
      <c r="R141" s="75">
        <v>3.9514325274256912E-2</v>
      </c>
      <c r="S141" s="75">
        <v>3.9549180327868694E-2</v>
      </c>
      <c r="T141" s="43"/>
    </row>
    <row r="142" spans="2:20" s="2" customFormat="1" ht="25.15" customHeight="1" x14ac:dyDescent="2.5">
      <c r="B142" s="3">
        <v>2</v>
      </c>
      <c r="C142" s="3"/>
      <c r="D142" s="3"/>
      <c r="E142" s="3">
        <v>1</v>
      </c>
      <c r="G142" s="68" t="s">
        <v>4</v>
      </c>
      <c r="H142" s="68"/>
      <c r="I142" s="68" t="s">
        <v>4</v>
      </c>
      <c r="J142" s="68" t="s">
        <v>4</v>
      </c>
      <c r="K142" s="57">
        <v>407.4</v>
      </c>
      <c r="L142" s="57"/>
      <c r="M142" s="57">
        <v>407.4</v>
      </c>
      <c r="N142" s="57">
        <v>446.1</v>
      </c>
      <c r="O142" s="57">
        <v>468.4</v>
      </c>
      <c r="P142" s="57">
        <v>491.8</v>
      </c>
      <c r="Q142" s="58">
        <v>9.4992636229749738E-2</v>
      </c>
      <c r="R142" s="58">
        <v>4.9988791750728456E-2</v>
      </c>
      <c r="S142" s="58">
        <v>4.9957301451750702E-2</v>
      </c>
      <c r="T142" s="37"/>
    </row>
    <row r="143" spans="2:20" s="2" customFormat="1" ht="25.15" customHeight="1" x14ac:dyDescent="2.5">
      <c r="B143" s="3">
        <v>2</v>
      </c>
      <c r="C143" s="3"/>
      <c r="D143" s="3"/>
      <c r="E143" s="3">
        <v>2</v>
      </c>
      <c r="G143" s="68" t="s">
        <v>5</v>
      </c>
      <c r="H143" s="68"/>
      <c r="I143" s="68" t="s">
        <v>5</v>
      </c>
      <c r="J143" s="68" t="s">
        <v>5</v>
      </c>
      <c r="K143" s="57">
        <v>476.4</v>
      </c>
      <c r="L143" s="57">
        <v>224.7</v>
      </c>
      <c r="M143" s="57">
        <v>251.7</v>
      </c>
      <c r="N143" s="57">
        <v>492.8</v>
      </c>
      <c r="O143" s="57">
        <v>507.6</v>
      </c>
      <c r="P143" s="57">
        <v>522.79999999999995</v>
      </c>
      <c r="Q143" s="58">
        <v>3.4424853064651595E-2</v>
      </c>
      <c r="R143" s="58">
        <v>3.0032467532467466E-2</v>
      </c>
      <c r="S143" s="58">
        <v>2.9944838455476575E-2</v>
      </c>
      <c r="T143" s="37" t="s">
        <v>106</v>
      </c>
    </row>
    <row r="144" spans="2:20" s="3" customFormat="1" ht="25.15" customHeight="1" x14ac:dyDescent="2.5">
      <c r="B144" s="3">
        <v>2</v>
      </c>
      <c r="D144" s="3">
        <v>163</v>
      </c>
      <c r="G144" s="73" t="s">
        <v>205</v>
      </c>
      <c r="H144" s="73"/>
      <c r="I144" s="73" t="s">
        <v>22</v>
      </c>
      <c r="J144" s="73" t="s">
        <v>22</v>
      </c>
      <c r="K144" s="74">
        <v>1212.0999999999999</v>
      </c>
      <c r="L144" s="74">
        <v>139.6</v>
      </c>
      <c r="M144" s="74">
        <v>1072.5</v>
      </c>
      <c r="N144" s="74">
        <v>1288.3</v>
      </c>
      <c r="O144" s="74">
        <v>1338.8000000000002</v>
      </c>
      <c r="P144" s="74">
        <v>1391.5</v>
      </c>
      <c r="Q144" s="75">
        <v>6.2866100156752758E-2</v>
      </c>
      <c r="R144" s="75">
        <v>3.9198944345261388E-2</v>
      </c>
      <c r="S144" s="75">
        <v>3.9363609202270444E-2</v>
      </c>
      <c r="T144" s="43"/>
    </row>
    <row r="145" spans="2:20" s="2" customFormat="1" ht="25.15" customHeight="1" x14ac:dyDescent="2.5">
      <c r="B145" s="3">
        <v>2</v>
      </c>
      <c r="C145" s="3"/>
      <c r="D145" s="3"/>
      <c r="E145" s="3">
        <v>1</v>
      </c>
      <c r="G145" s="68" t="s">
        <v>4</v>
      </c>
      <c r="H145" s="68"/>
      <c r="I145" s="68" t="s">
        <v>4</v>
      </c>
      <c r="J145" s="68" t="s">
        <v>4</v>
      </c>
      <c r="K145" s="57">
        <v>542</v>
      </c>
      <c r="L145" s="57"/>
      <c r="M145" s="57">
        <v>542</v>
      </c>
      <c r="N145" s="57">
        <v>593.5</v>
      </c>
      <c r="O145" s="57">
        <v>623.20000000000005</v>
      </c>
      <c r="P145" s="57">
        <v>654.4</v>
      </c>
      <c r="Q145" s="58">
        <v>9.5018450184501946E-2</v>
      </c>
      <c r="R145" s="58">
        <v>5.0042122999157668E-2</v>
      </c>
      <c r="S145" s="58">
        <v>5.0064184852374627E-2</v>
      </c>
      <c r="T145" s="37"/>
    </row>
    <row r="146" spans="2:20" s="2" customFormat="1" ht="25.15" customHeight="1" x14ac:dyDescent="2.5">
      <c r="B146" s="3">
        <v>2</v>
      </c>
      <c r="C146" s="3"/>
      <c r="D146" s="3"/>
      <c r="E146" s="3">
        <v>2</v>
      </c>
      <c r="G146" s="68" t="s">
        <v>5</v>
      </c>
      <c r="H146" s="68"/>
      <c r="I146" s="68" t="s">
        <v>5</v>
      </c>
      <c r="J146" s="68" t="s">
        <v>5</v>
      </c>
      <c r="K146" s="57">
        <v>670.1</v>
      </c>
      <c r="L146" s="57">
        <v>139.6</v>
      </c>
      <c r="M146" s="57">
        <v>530.5</v>
      </c>
      <c r="N146" s="57">
        <v>694.8</v>
      </c>
      <c r="O146" s="57">
        <v>715.6</v>
      </c>
      <c r="P146" s="57">
        <v>737.1</v>
      </c>
      <c r="Q146" s="58">
        <v>3.6860170123862002E-2</v>
      </c>
      <c r="R146" s="58">
        <v>2.9936672423719113E-2</v>
      </c>
      <c r="S146" s="58">
        <v>3.0044717719396319E-2</v>
      </c>
      <c r="T146" s="37" t="s">
        <v>107</v>
      </c>
    </row>
    <row r="147" spans="2:20" s="3" customFormat="1" ht="25.15" customHeight="1" x14ac:dyDescent="2.5">
      <c r="B147" s="3">
        <v>2</v>
      </c>
      <c r="D147" s="3">
        <v>164</v>
      </c>
      <c r="G147" s="73" t="s">
        <v>206</v>
      </c>
      <c r="H147" s="73"/>
      <c r="I147" s="73" t="s">
        <v>23</v>
      </c>
      <c r="J147" s="73" t="s">
        <v>23</v>
      </c>
      <c r="K147" s="74">
        <v>897.2</v>
      </c>
      <c r="L147" s="74">
        <v>198.4</v>
      </c>
      <c r="M147" s="74">
        <v>698.80000000000007</v>
      </c>
      <c r="N147" s="74">
        <v>956.2</v>
      </c>
      <c r="O147" s="74">
        <v>994.7</v>
      </c>
      <c r="P147" s="74">
        <v>1034.8000000000002</v>
      </c>
      <c r="Q147" s="75">
        <v>6.576014266607233E-2</v>
      </c>
      <c r="R147" s="75">
        <v>4.026354319180081E-2</v>
      </c>
      <c r="S147" s="75">
        <v>4.0313662410777162E-2</v>
      </c>
      <c r="T147" s="43"/>
    </row>
    <row r="148" spans="2:20" s="2" customFormat="1" ht="25.15" customHeight="1" x14ac:dyDescent="2.5">
      <c r="B148" s="3">
        <v>2</v>
      </c>
      <c r="C148" s="3"/>
      <c r="D148" s="3"/>
      <c r="E148" s="3">
        <v>1</v>
      </c>
      <c r="G148" s="68" t="s">
        <v>4</v>
      </c>
      <c r="H148" s="68"/>
      <c r="I148" s="68" t="s">
        <v>4</v>
      </c>
      <c r="J148" s="68" t="s">
        <v>4</v>
      </c>
      <c r="K148" s="57">
        <v>449.1</v>
      </c>
      <c r="L148" s="57"/>
      <c r="M148" s="57">
        <v>449.1</v>
      </c>
      <c r="N148" s="57">
        <v>491.8</v>
      </c>
      <c r="O148" s="57">
        <v>516.4</v>
      </c>
      <c r="P148" s="57">
        <v>542.20000000000005</v>
      </c>
      <c r="Q148" s="58">
        <v>9.5079046982854631E-2</v>
      </c>
      <c r="R148" s="58">
        <v>5.0020333468889788E-2</v>
      </c>
      <c r="S148" s="58">
        <v>4.9961270333075181E-2</v>
      </c>
      <c r="T148" s="37"/>
    </row>
    <row r="149" spans="2:20" s="2" customFormat="1" ht="25.15" customHeight="1" x14ac:dyDescent="2.5">
      <c r="B149" s="3">
        <v>2</v>
      </c>
      <c r="C149" s="3"/>
      <c r="D149" s="3"/>
      <c r="E149" s="3">
        <v>2</v>
      </c>
      <c r="G149" s="68" t="s">
        <v>5</v>
      </c>
      <c r="H149" s="68"/>
      <c r="I149" s="68" t="s">
        <v>5</v>
      </c>
      <c r="J149" s="68" t="s">
        <v>5</v>
      </c>
      <c r="K149" s="57">
        <v>448.1</v>
      </c>
      <c r="L149" s="57">
        <v>198.4</v>
      </c>
      <c r="M149" s="57">
        <v>249.70000000000002</v>
      </c>
      <c r="N149" s="57">
        <v>464.40000000000003</v>
      </c>
      <c r="O149" s="57">
        <v>478.3</v>
      </c>
      <c r="P149" s="57">
        <v>492.6</v>
      </c>
      <c r="Q149" s="58">
        <v>3.6375808971211843E-2</v>
      </c>
      <c r="R149" s="58">
        <v>2.9931093884582261E-2</v>
      </c>
      <c r="S149" s="58">
        <v>2.9897553836504276E-2</v>
      </c>
      <c r="T149" s="37" t="s">
        <v>108</v>
      </c>
    </row>
    <row r="150" spans="2:20" s="3" customFormat="1" ht="25.15" customHeight="1" x14ac:dyDescent="2.5">
      <c r="B150" s="3">
        <v>2</v>
      </c>
      <c r="D150" s="3">
        <v>165</v>
      </c>
      <c r="G150" s="73" t="s">
        <v>207</v>
      </c>
      <c r="H150" s="73"/>
      <c r="I150" s="73" t="s">
        <v>24</v>
      </c>
      <c r="J150" s="73" t="s">
        <v>24</v>
      </c>
      <c r="K150" s="74">
        <v>1000.1999999999999</v>
      </c>
      <c r="L150" s="74">
        <v>390.3</v>
      </c>
      <c r="M150" s="74">
        <v>609.89999999999986</v>
      </c>
      <c r="N150" s="74">
        <v>1048</v>
      </c>
      <c r="O150" s="74">
        <v>1086.4000000000001</v>
      </c>
      <c r="P150" s="74">
        <v>1126.4000000000001</v>
      </c>
      <c r="Q150" s="75">
        <v>4.7790441911617743E-2</v>
      </c>
      <c r="R150" s="75">
        <v>3.6641221374045907E-2</v>
      </c>
      <c r="S150" s="75">
        <v>3.6818851251841034E-2</v>
      </c>
      <c r="T150" s="43"/>
    </row>
    <row r="151" spans="2:20" s="2" customFormat="1" ht="25.15" customHeight="1" x14ac:dyDescent="2.5">
      <c r="B151" s="3">
        <v>2</v>
      </c>
      <c r="C151" s="3"/>
      <c r="D151" s="3"/>
      <c r="E151" s="3">
        <v>1</v>
      </c>
      <c r="G151" s="68" t="s">
        <v>4</v>
      </c>
      <c r="H151" s="68"/>
      <c r="I151" s="68" t="s">
        <v>4</v>
      </c>
      <c r="J151" s="68" t="s">
        <v>4</v>
      </c>
      <c r="K151" s="57">
        <v>319.39999999999998</v>
      </c>
      <c r="L151" s="57"/>
      <c r="M151" s="57">
        <v>319.39999999999998</v>
      </c>
      <c r="N151" s="57">
        <v>349.7</v>
      </c>
      <c r="O151" s="57">
        <v>367.2</v>
      </c>
      <c r="P151" s="57">
        <v>385.6</v>
      </c>
      <c r="Q151" s="58">
        <v>9.4865372573575524E-2</v>
      </c>
      <c r="R151" s="58">
        <v>5.0042893909064912E-2</v>
      </c>
      <c r="S151" s="58">
        <v>5.0108932461873756E-2</v>
      </c>
      <c r="T151" s="37"/>
    </row>
    <row r="152" spans="2:20" s="2" customFormat="1" ht="25.15" customHeight="1" x14ac:dyDescent="2.5">
      <c r="B152" s="3">
        <v>2</v>
      </c>
      <c r="C152" s="3"/>
      <c r="D152" s="3"/>
      <c r="E152" s="3">
        <v>2</v>
      </c>
      <c r="G152" s="68" t="s">
        <v>5</v>
      </c>
      <c r="H152" s="68"/>
      <c r="I152" s="68" t="s">
        <v>5</v>
      </c>
      <c r="J152" s="68" t="s">
        <v>5</v>
      </c>
      <c r="K152" s="57">
        <v>680.8</v>
      </c>
      <c r="L152" s="57">
        <v>390.3</v>
      </c>
      <c r="M152" s="57">
        <v>290.49999999999994</v>
      </c>
      <c r="N152" s="57">
        <v>698.3</v>
      </c>
      <c r="O152" s="57">
        <v>719.2</v>
      </c>
      <c r="P152" s="57">
        <v>740.8</v>
      </c>
      <c r="Q152" s="58">
        <v>2.5705052878965962E-2</v>
      </c>
      <c r="R152" s="58">
        <v>2.9929829586137879E-2</v>
      </c>
      <c r="S152" s="58">
        <v>3.0033370411568283E-2</v>
      </c>
      <c r="T152" s="37" t="s">
        <v>109</v>
      </c>
    </row>
    <row r="153" spans="2:20" s="3" customFormat="1" ht="25.15" customHeight="1" x14ac:dyDescent="2.5">
      <c r="B153" s="3">
        <v>2</v>
      </c>
      <c r="D153" s="3">
        <v>166</v>
      </c>
      <c r="G153" s="73" t="s">
        <v>208</v>
      </c>
      <c r="H153" s="73"/>
      <c r="I153" s="73" t="s">
        <v>25</v>
      </c>
      <c r="J153" s="73" t="s">
        <v>25</v>
      </c>
      <c r="K153" s="74">
        <v>1007.8</v>
      </c>
      <c r="L153" s="74">
        <v>187.3</v>
      </c>
      <c r="M153" s="74">
        <v>820.5</v>
      </c>
      <c r="N153" s="74">
        <v>1075.8</v>
      </c>
      <c r="O153" s="74">
        <v>1119.7</v>
      </c>
      <c r="P153" s="74">
        <v>1165.5</v>
      </c>
      <c r="Q153" s="75">
        <v>6.7473705100218329E-2</v>
      </c>
      <c r="R153" s="75">
        <v>4.0806841420338413E-2</v>
      </c>
      <c r="S153" s="75">
        <v>4.0903813521478982E-2</v>
      </c>
      <c r="T153" s="43"/>
    </row>
    <row r="154" spans="2:20" s="2" customFormat="1" ht="25.15" customHeight="1" x14ac:dyDescent="2.5">
      <c r="B154" s="3">
        <v>2</v>
      </c>
      <c r="C154" s="3"/>
      <c r="D154" s="3"/>
      <c r="E154" s="3">
        <v>1</v>
      </c>
      <c r="G154" s="68" t="s">
        <v>4</v>
      </c>
      <c r="H154" s="68"/>
      <c r="I154" s="68" t="s">
        <v>4</v>
      </c>
      <c r="J154" s="68" t="s">
        <v>4</v>
      </c>
      <c r="K154" s="57">
        <v>532</v>
      </c>
      <c r="L154" s="57"/>
      <c r="M154" s="57">
        <v>532</v>
      </c>
      <c r="N154" s="57">
        <v>582.5</v>
      </c>
      <c r="O154" s="57">
        <v>611.6</v>
      </c>
      <c r="P154" s="57">
        <v>642.20000000000005</v>
      </c>
      <c r="Q154" s="58">
        <v>9.492481203007519E-2</v>
      </c>
      <c r="R154" s="58">
        <v>4.9957081545064508E-2</v>
      </c>
      <c r="S154" s="58">
        <v>5.0032701111837774E-2</v>
      </c>
      <c r="T154" s="37"/>
    </row>
    <row r="155" spans="2:20" s="2" customFormat="1" ht="25.15" customHeight="1" x14ac:dyDescent="2.5">
      <c r="B155" s="3">
        <v>2</v>
      </c>
      <c r="C155" s="3"/>
      <c r="D155" s="3"/>
      <c r="E155" s="3">
        <v>2</v>
      </c>
      <c r="G155" s="68" t="s">
        <v>5</v>
      </c>
      <c r="H155" s="68"/>
      <c r="I155" s="68" t="s">
        <v>5</v>
      </c>
      <c r="J155" s="68" t="s">
        <v>5</v>
      </c>
      <c r="K155" s="57">
        <v>475.8</v>
      </c>
      <c r="L155" s="57">
        <v>187.3</v>
      </c>
      <c r="M155" s="57">
        <v>288.5</v>
      </c>
      <c r="N155" s="57">
        <v>493.3</v>
      </c>
      <c r="O155" s="57">
        <v>508.1</v>
      </c>
      <c r="P155" s="57">
        <v>523.29999999999995</v>
      </c>
      <c r="Q155" s="58">
        <v>3.6780159730979367E-2</v>
      </c>
      <c r="R155" s="58">
        <v>3.000202716399758E-2</v>
      </c>
      <c r="S155" s="58">
        <v>2.9915370989962442E-2</v>
      </c>
      <c r="T155" s="37" t="s">
        <v>110</v>
      </c>
    </row>
    <row r="156" spans="2:20" s="3" customFormat="1" ht="25.15" customHeight="1" x14ac:dyDescent="2.5">
      <c r="B156" s="3">
        <v>2</v>
      </c>
      <c r="D156" s="3">
        <v>167</v>
      </c>
      <c r="G156" s="73" t="s">
        <v>209</v>
      </c>
      <c r="H156" s="73"/>
      <c r="I156" s="73" t="s">
        <v>26</v>
      </c>
      <c r="J156" s="73" t="s">
        <v>26</v>
      </c>
      <c r="K156" s="74">
        <v>1434.6</v>
      </c>
      <c r="L156" s="74">
        <v>399.4</v>
      </c>
      <c r="M156" s="74">
        <v>1035.2</v>
      </c>
      <c r="N156" s="74">
        <v>1513.5</v>
      </c>
      <c r="O156" s="74">
        <v>1572.1</v>
      </c>
      <c r="P156" s="74">
        <v>1633</v>
      </c>
      <c r="Q156" s="75">
        <v>5.4997908824759634E-2</v>
      </c>
      <c r="R156" s="75">
        <v>3.8718202841096838E-2</v>
      </c>
      <c r="S156" s="75">
        <v>3.8737993766299939E-2</v>
      </c>
      <c r="T156" s="43"/>
    </row>
    <row r="157" spans="2:20" s="2" customFormat="1" ht="25.15" customHeight="1" x14ac:dyDescent="2.5">
      <c r="B157" s="3">
        <v>2</v>
      </c>
      <c r="C157" s="3"/>
      <c r="D157" s="3"/>
      <c r="E157" s="3">
        <v>1</v>
      </c>
      <c r="G157" s="68" t="s">
        <v>4</v>
      </c>
      <c r="H157" s="68"/>
      <c r="I157" s="68" t="s">
        <v>4</v>
      </c>
      <c r="J157" s="68" t="s">
        <v>4</v>
      </c>
      <c r="K157" s="57">
        <v>600.79999999999995</v>
      </c>
      <c r="L157" s="57"/>
      <c r="M157" s="57">
        <v>600.79999999999995</v>
      </c>
      <c r="N157" s="57">
        <v>657.9</v>
      </c>
      <c r="O157" s="57">
        <v>690.8</v>
      </c>
      <c r="P157" s="57">
        <v>725.3</v>
      </c>
      <c r="Q157" s="58">
        <v>9.5039946737683234E-2</v>
      </c>
      <c r="R157" s="58">
        <v>5.0007599939200453E-2</v>
      </c>
      <c r="S157" s="58">
        <v>4.9942096120439983E-2</v>
      </c>
      <c r="T157" s="37"/>
    </row>
    <row r="158" spans="2:20" s="2" customFormat="1" ht="25.15" customHeight="1" x14ac:dyDescent="2.5">
      <c r="B158" s="3">
        <v>2</v>
      </c>
      <c r="C158" s="3"/>
      <c r="D158" s="3"/>
      <c r="E158" s="3">
        <v>2</v>
      </c>
      <c r="G158" s="68" t="s">
        <v>5</v>
      </c>
      <c r="H158" s="68"/>
      <c r="I158" s="68" t="s">
        <v>5</v>
      </c>
      <c r="J158" s="68" t="s">
        <v>5</v>
      </c>
      <c r="K158" s="57">
        <v>833.80000000000007</v>
      </c>
      <c r="L158" s="57">
        <v>399.4</v>
      </c>
      <c r="M158" s="57">
        <v>434.40000000000009</v>
      </c>
      <c r="N158" s="57">
        <v>855.59999999999991</v>
      </c>
      <c r="O158" s="57">
        <v>881.3</v>
      </c>
      <c r="P158" s="57">
        <v>907.7</v>
      </c>
      <c r="Q158" s="58">
        <v>2.614535859918421E-2</v>
      </c>
      <c r="R158" s="58">
        <v>3.0037400654511437E-2</v>
      </c>
      <c r="S158" s="58">
        <v>2.9955747191648729E-2</v>
      </c>
      <c r="T158" s="37" t="s">
        <v>111</v>
      </c>
    </row>
    <row r="159" spans="2:20" s="3" customFormat="1" ht="25.15" customHeight="1" x14ac:dyDescent="2.5">
      <c r="B159" s="3">
        <v>2</v>
      </c>
      <c r="D159" s="3">
        <v>168</v>
      </c>
      <c r="G159" s="73" t="s">
        <v>210</v>
      </c>
      <c r="H159" s="73"/>
      <c r="I159" s="73" t="s">
        <v>27</v>
      </c>
      <c r="J159" s="73" t="s">
        <v>27</v>
      </c>
      <c r="K159" s="74">
        <v>701.4</v>
      </c>
      <c r="L159" s="74">
        <v>225</v>
      </c>
      <c r="M159" s="74">
        <v>476.4</v>
      </c>
      <c r="N159" s="74">
        <v>742.2</v>
      </c>
      <c r="O159" s="74">
        <v>770.4</v>
      </c>
      <c r="P159" s="74">
        <v>799.8</v>
      </c>
      <c r="Q159" s="75">
        <v>5.8169375534645074E-2</v>
      </c>
      <c r="R159" s="75">
        <v>3.7995149555375862E-2</v>
      </c>
      <c r="S159" s="75">
        <v>3.8161993769470381E-2</v>
      </c>
      <c r="T159" s="43"/>
    </row>
    <row r="160" spans="2:20" s="2" customFormat="1" ht="25.15" customHeight="1" x14ac:dyDescent="2.5">
      <c r="B160" s="3">
        <v>2</v>
      </c>
      <c r="C160" s="3"/>
      <c r="D160" s="3"/>
      <c r="E160" s="3">
        <v>1</v>
      </c>
      <c r="G160" s="68" t="s">
        <v>4</v>
      </c>
      <c r="H160" s="68"/>
      <c r="I160" s="68" t="s">
        <v>4</v>
      </c>
      <c r="J160" s="68" t="s">
        <v>4</v>
      </c>
      <c r="K160" s="57">
        <v>272.89999999999998</v>
      </c>
      <c r="L160" s="57"/>
      <c r="M160" s="57">
        <v>272.89999999999998</v>
      </c>
      <c r="N160" s="57">
        <v>298.8</v>
      </c>
      <c r="O160" s="57">
        <v>313.7</v>
      </c>
      <c r="P160" s="57">
        <v>329.4</v>
      </c>
      <c r="Q160" s="58">
        <v>9.4906559179186667E-2</v>
      </c>
      <c r="R160" s="58">
        <v>4.986613119143235E-2</v>
      </c>
      <c r="S160" s="58">
        <v>5.0047816385081267E-2</v>
      </c>
      <c r="T160" s="37"/>
    </row>
    <row r="161" spans="2:20" s="2" customFormat="1" ht="25.15" customHeight="1" x14ac:dyDescent="2.5">
      <c r="B161" s="3">
        <v>2</v>
      </c>
      <c r="C161" s="3"/>
      <c r="D161" s="3"/>
      <c r="E161" s="3">
        <v>2</v>
      </c>
      <c r="G161" s="68" t="s">
        <v>5</v>
      </c>
      <c r="H161" s="68"/>
      <c r="I161" s="68" t="s">
        <v>5</v>
      </c>
      <c r="J161" s="68" t="s">
        <v>5</v>
      </c>
      <c r="K161" s="57">
        <v>428.5</v>
      </c>
      <c r="L161" s="57">
        <v>225</v>
      </c>
      <c r="M161" s="57">
        <v>203.5</v>
      </c>
      <c r="N161" s="57">
        <v>443.40000000000003</v>
      </c>
      <c r="O161" s="57">
        <v>456.7</v>
      </c>
      <c r="P161" s="57">
        <v>470.4</v>
      </c>
      <c r="Q161" s="58">
        <v>3.47724620770129E-2</v>
      </c>
      <c r="R161" s="58">
        <v>2.9995489400090003E-2</v>
      </c>
      <c r="S161" s="58">
        <v>2.9997810378804335E-2</v>
      </c>
      <c r="T161" s="37" t="s">
        <v>112</v>
      </c>
    </row>
    <row r="162" spans="2:20" s="3" customFormat="1" ht="25.15" customHeight="1" x14ac:dyDescent="2.5">
      <c r="B162" s="3">
        <v>2</v>
      </c>
      <c r="D162" s="3">
        <v>169</v>
      </c>
      <c r="G162" s="73" t="s">
        <v>211</v>
      </c>
      <c r="H162" s="73"/>
      <c r="I162" s="73" t="s">
        <v>28</v>
      </c>
      <c r="J162" s="73" t="s">
        <v>28</v>
      </c>
      <c r="K162" s="74">
        <v>904.7</v>
      </c>
      <c r="L162" s="74">
        <v>336.5</v>
      </c>
      <c r="M162" s="74">
        <v>568.20000000000005</v>
      </c>
      <c r="N162" s="74">
        <v>952.9</v>
      </c>
      <c r="O162" s="74">
        <v>989</v>
      </c>
      <c r="P162" s="74">
        <v>1026.5</v>
      </c>
      <c r="Q162" s="75">
        <v>5.327732950149211E-2</v>
      </c>
      <c r="R162" s="75">
        <v>3.7884353027600071E-2</v>
      </c>
      <c r="S162" s="75">
        <v>3.7917087967644036E-2</v>
      </c>
      <c r="T162" s="43"/>
    </row>
    <row r="163" spans="2:20" s="2" customFormat="1" ht="25.15" customHeight="1" x14ac:dyDescent="2.5">
      <c r="B163" s="3">
        <v>2</v>
      </c>
      <c r="C163" s="3"/>
      <c r="D163" s="3"/>
      <c r="E163" s="3">
        <v>1</v>
      </c>
      <c r="G163" s="68" t="s">
        <v>4</v>
      </c>
      <c r="H163" s="68"/>
      <c r="I163" s="68" t="s">
        <v>4</v>
      </c>
      <c r="J163" s="68" t="s">
        <v>4</v>
      </c>
      <c r="K163" s="57">
        <v>342.9</v>
      </c>
      <c r="L163" s="57"/>
      <c r="M163" s="57">
        <v>342.9</v>
      </c>
      <c r="N163" s="57">
        <v>375.5</v>
      </c>
      <c r="O163" s="57">
        <v>394.3</v>
      </c>
      <c r="P163" s="57">
        <v>414</v>
      </c>
      <c r="Q163" s="58">
        <v>9.5071449402158059E-2</v>
      </c>
      <c r="R163" s="58">
        <v>5.0066577896138442E-2</v>
      </c>
      <c r="S163" s="58">
        <v>4.9961957900076071E-2</v>
      </c>
      <c r="T163" s="37"/>
    </row>
    <row r="164" spans="2:20" s="2" customFormat="1" ht="25.15" customHeight="1" x14ac:dyDescent="2.5">
      <c r="B164" s="3">
        <v>2</v>
      </c>
      <c r="C164" s="3"/>
      <c r="D164" s="3"/>
      <c r="E164" s="3">
        <v>2</v>
      </c>
      <c r="G164" s="68" t="s">
        <v>5</v>
      </c>
      <c r="H164" s="68"/>
      <c r="I164" s="68" t="s">
        <v>5</v>
      </c>
      <c r="J164" s="68" t="s">
        <v>5</v>
      </c>
      <c r="K164" s="57">
        <v>561.80000000000007</v>
      </c>
      <c r="L164" s="57">
        <v>336.5</v>
      </c>
      <c r="M164" s="57">
        <v>225.30000000000007</v>
      </c>
      <c r="N164" s="57">
        <v>577.4</v>
      </c>
      <c r="O164" s="57">
        <v>594.70000000000005</v>
      </c>
      <c r="P164" s="57">
        <v>612.5</v>
      </c>
      <c r="Q164" s="58">
        <v>2.7767888928444062E-2</v>
      </c>
      <c r="R164" s="58">
        <v>2.9961898164184486E-2</v>
      </c>
      <c r="S164" s="58">
        <v>2.9931057676139128E-2</v>
      </c>
      <c r="T164" s="37" t="s">
        <v>113</v>
      </c>
    </row>
    <row r="165" spans="2:20" s="3" customFormat="1" ht="25.15" customHeight="1" x14ac:dyDescent="2.5">
      <c r="B165" s="3">
        <v>2</v>
      </c>
      <c r="D165" s="3">
        <v>170</v>
      </c>
      <c r="G165" s="73" t="s">
        <v>212</v>
      </c>
      <c r="H165" s="73"/>
      <c r="I165" s="73" t="s">
        <v>29</v>
      </c>
      <c r="J165" s="73" t="s">
        <v>29</v>
      </c>
      <c r="K165" s="74">
        <v>934</v>
      </c>
      <c r="L165" s="74">
        <v>219.6</v>
      </c>
      <c r="M165" s="74">
        <v>714.4</v>
      </c>
      <c r="N165" s="74">
        <v>991.69999999999993</v>
      </c>
      <c r="O165" s="74">
        <v>1030.7</v>
      </c>
      <c r="P165" s="74">
        <v>1071.3000000000002</v>
      </c>
      <c r="Q165" s="75">
        <v>6.1777301927194772E-2</v>
      </c>
      <c r="R165" s="75">
        <v>3.9326409196329681E-2</v>
      </c>
      <c r="S165" s="75">
        <v>3.9390705345881516E-2</v>
      </c>
      <c r="T165" s="43"/>
    </row>
    <row r="166" spans="2:20" s="2" customFormat="1" ht="25.15" customHeight="1" x14ac:dyDescent="2.5">
      <c r="B166" s="3">
        <v>2</v>
      </c>
      <c r="C166" s="3"/>
      <c r="D166" s="3"/>
      <c r="E166" s="3">
        <v>1</v>
      </c>
      <c r="G166" s="68" t="s">
        <v>4</v>
      </c>
      <c r="H166" s="68"/>
      <c r="I166" s="68" t="s">
        <v>4</v>
      </c>
      <c r="J166" s="68" t="s">
        <v>4</v>
      </c>
      <c r="K166" s="57">
        <v>423.4</v>
      </c>
      <c r="L166" s="57"/>
      <c r="M166" s="57">
        <v>423.4</v>
      </c>
      <c r="N166" s="57">
        <v>463.6</v>
      </c>
      <c r="O166" s="57">
        <v>486.8</v>
      </c>
      <c r="P166" s="57">
        <v>511.1</v>
      </c>
      <c r="Q166" s="58">
        <v>9.4945677846008714E-2</v>
      </c>
      <c r="R166" s="58">
        <v>5.0043140638481365E-2</v>
      </c>
      <c r="S166" s="58">
        <v>4.9917830731306623E-2</v>
      </c>
      <c r="T166" s="37"/>
    </row>
    <row r="167" spans="2:20" s="2" customFormat="1" ht="25.15" customHeight="1" x14ac:dyDescent="2.5">
      <c r="B167" s="3">
        <v>2</v>
      </c>
      <c r="C167" s="3"/>
      <c r="D167" s="3"/>
      <c r="E167" s="3">
        <v>2</v>
      </c>
      <c r="G167" s="68" t="s">
        <v>5</v>
      </c>
      <c r="H167" s="68"/>
      <c r="I167" s="68" t="s">
        <v>5</v>
      </c>
      <c r="J167" s="68" t="s">
        <v>5</v>
      </c>
      <c r="K167" s="57">
        <v>510.59999999999997</v>
      </c>
      <c r="L167" s="57">
        <v>219.6</v>
      </c>
      <c r="M167" s="57">
        <v>291</v>
      </c>
      <c r="N167" s="57">
        <v>528.09999999999991</v>
      </c>
      <c r="O167" s="57">
        <v>543.9</v>
      </c>
      <c r="P167" s="57">
        <v>560.20000000000005</v>
      </c>
      <c r="Q167" s="58">
        <v>3.4273403838621208E-2</v>
      </c>
      <c r="R167" s="58">
        <v>2.9918576027267774E-2</v>
      </c>
      <c r="S167" s="58">
        <v>2.9968744254458723E-2</v>
      </c>
      <c r="T167" s="37" t="s">
        <v>114</v>
      </c>
    </row>
    <row r="168" spans="2:20" s="3" customFormat="1" ht="25.15" customHeight="1" x14ac:dyDescent="2.5">
      <c r="B168" s="3">
        <v>2</v>
      </c>
      <c r="D168" s="3">
        <v>171</v>
      </c>
      <c r="G168" s="73" t="s">
        <v>213</v>
      </c>
      <c r="H168" s="73"/>
      <c r="I168" s="73" t="s">
        <v>30</v>
      </c>
      <c r="J168" s="73" t="s">
        <v>30</v>
      </c>
      <c r="K168" s="74">
        <v>805.90000000000009</v>
      </c>
      <c r="L168" s="74">
        <v>99.5</v>
      </c>
      <c r="M168" s="74">
        <v>706.40000000000009</v>
      </c>
      <c r="N168" s="74">
        <v>862.2</v>
      </c>
      <c r="O168" s="74">
        <v>896.9</v>
      </c>
      <c r="P168" s="74">
        <v>933.1</v>
      </c>
      <c r="Q168" s="75">
        <v>6.9859784092319188E-2</v>
      </c>
      <c r="R168" s="75">
        <v>4.0245882625840723E-2</v>
      </c>
      <c r="S168" s="75">
        <v>4.0361244285873621E-2</v>
      </c>
      <c r="T168" s="43"/>
    </row>
    <row r="169" spans="2:20" s="2" customFormat="1" ht="25.15" customHeight="1" x14ac:dyDescent="2.5">
      <c r="B169" s="3">
        <v>2</v>
      </c>
      <c r="C169" s="3"/>
      <c r="D169" s="3"/>
      <c r="E169" s="3">
        <v>1</v>
      </c>
      <c r="G169" s="68" t="s">
        <v>4</v>
      </c>
      <c r="H169" s="68"/>
      <c r="I169" s="68" t="s">
        <v>4</v>
      </c>
      <c r="J169" s="68" t="s">
        <v>4</v>
      </c>
      <c r="K169" s="57">
        <v>405.5</v>
      </c>
      <c r="L169" s="57"/>
      <c r="M169" s="57">
        <v>405.5</v>
      </c>
      <c r="N169" s="57">
        <v>444</v>
      </c>
      <c r="O169" s="57">
        <v>466.2</v>
      </c>
      <c r="P169" s="57">
        <v>489.5</v>
      </c>
      <c r="Q169" s="58">
        <v>9.4944512946979032E-2</v>
      </c>
      <c r="R169" s="58">
        <v>5.0000000000000044E-2</v>
      </c>
      <c r="S169" s="58">
        <v>4.9978549978550113E-2</v>
      </c>
      <c r="T169" s="37"/>
    </row>
    <row r="170" spans="2:20" s="2" customFormat="1" ht="25.15" customHeight="1" thickBot="1" x14ac:dyDescent="2.65">
      <c r="B170" s="3">
        <v>2</v>
      </c>
      <c r="C170" s="3"/>
      <c r="D170" s="3"/>
      <c r="E170" s="3">
        <v>2</v>
      </c>
      <c r="G170" s="80" t="s">
        <v>5</v>
      </c>
      <c r="H170" s="80"/>
      <c r="I170" s="80" t="s">
        <v>5</v>
      </c>
      <c r="J170" s="80" t="s">
        <v>5</v>
      </c>
      <c r="K170" s="76">
        <v>400.40000000000003</v>
      </c>
      <c r="L170" s="76">
        <v>99.5</v>
      </c>
      <c r="M170" s="76">
        <v>300.90000000000003</v>
      </c>
      <c r="N170" s="76">
        <v>418.2</v>
      </c>
      <c r="O170" s="76">
        <v>430.7</v>
      </c>
      <c r="P170" s="76">
        <v>443.6</v>
      </c>
      <c r="Q170" s="77">
        <v>4.4455544455544338E-2</v>
      </c>
      <c r="R170" s="77">
        <v>2.989000478240067E-2</v>
      </c>
      <c r="S170" s="77">
        <v>2.9951242163919201E-2</v>
      </c>
      <c r="T170" s="44" t="s">
        <v>115</v>
      </c>
    </row>
  </sheetData>
  <autoFilter ref="A1:T170" xr:uid="{3E06A17B-3D07-4540-8EC7-107EB876021D}"/>
  <printOptions horizontalCentered="1"/>
  <pageMargins left="0.39370078740157483" right="0.39370078740157483" top="0.39370078740157483" bottom="0.39370078740157483" header="0.31496062992125984" footer="0.19685039370078741"/>
  <pageSetup paperSize="9" scale="74" fitToHeight="0" orientation="portrait" r:id="rId1"/>
  <headerFooter>
    <oddFooter>&amp;C&amp;"Khmer MEF1,Regular"&amp;9ទំព័រ&amp;"-,Regular"&amp;11 &amp;"Limon S1,Normal"&amp;18&amp;P&amp;"-,Regular"&amp;11 &amp;"Khmer MEF1,Regular"&amp;9នៃ&amp;"-,Regular"&amp;11 &amp;"Limon S1,Normal"&amp;18&amp;N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8B7C-2E59-4676-8B54-6C48BAE7B674}">
  <sheetPr>
    <pageSetUpPr fitToPage="1"/>
  </sheetPr>
  <dimension ref="A1:V204"/>
  <sheetViews>
    <sheetView topLeftCell="A11" zoomScale="85" zoomScaleNormal="85" workbookViewId="0">
      <pane xSplit="1" ySplit="4" topLeftCell="B15" activePane="bottomRight" state="frozen"/>
      <selection activeCell="A11" sqref="A11"/>
      <selection pane="topRight" activeCell="B11" sqref="B11"/>
      <selection pane="bottomLeft" activeCell="A15" sqref="A15"/>
      <selection pane="bottomRight" activeCell="A28" sqref="A28"/>
    </sheetView>
  </sheetViews>
  <sheetFormatPr defaultRowHeight="14.75" x14ac:dyDescent="0.75"/>
  <cols>
    <col min="1" max="1" width="78.54296875" customWidth="1"/>
    <col min="2" max="7" width="10" customWidth="1"/>
    <col min="8" max="10" width="8.54296875" customWidth="1"/>
    <col min="11" max="11" width="9.26953125" customWidth="1"/>
    <col min="12" max="12" width="55" bestFit="1" customWidth="1"/>
    <col min="13" max="13" width="10.1328125" style="11" customWidth="1"/>
    <col min="14" max="14" width="10.26953125" customWidth="1"/>
    <col min="15" max="15" width="8.86328125" customWidth="1"/>
    <col min="16" max="16" width="32.1328125" customWidth="1"/>
    <col min="17" max="17" width="5.86328125" customWidth="1"/>
    <col min="18" max="18" width="2.40625" customWidth="1"/>
    <col min="19" max="19" width="25.26953125" style="26" customWidth="1"/>
    <col min="20" max="22" width="11.26953125" style="26" customWidth="1"/>
  </cols>
  <sheetData>
    <row r="1" spans="1:22" ht="10.15" customHeight="1" x14ac:dyDescent="0.75"/>
    <row r="2" spans="1:22" ht="10.15" customHeight="1" x14ac:dyDescent="0.75"/>
    <row r="3" spans="1:22" ht="10.15" customHeight="1" x14ac:dyDescent="0.75"/>
    <row r="4" spans="1:22" ht="10.15" customHeight="1" x14ac:dyDescent="0.75"/>
    <row r="5" spans="1:22" ht="10.15" customHeight="1" x14ac:dyDescent="0.75"/>
    <row r="7" spans="1:22" s="109" customFormat="1" ht="30.25" x14ac:dyDescent="2.75">
      <c r="A7" s="5" t="s">
        <v>130</v>
      </c>
      <c r="B7" s="4"/>
      <c r="C7" s="4"/>
      <c r="D7" s="4"/>
      <c r="E7" s="4"/>
      <c r="F7" s="4"/>
      <c r="G7" s="4"/>
      <c r="H7" s="4"/>
      <c r="I7" s="4"/>
      <c r="J7" s="4"/>
      <c r="K7" s="4"/>
      <c r="M7" s="110"/>
    </row>
    <row r="8" spans="1:22" s="109" customFormat="1" ht="30.25" x14ac:dyDescent="2.75">
      <c r="A8" s="5" t="s">
        <v>131</v>
      </c>
      <c r="B8" s="4"/>
      <c r="C8" s="4"/>
      <c r="D8" s="4"/>
      <c r="E8" s="4"/>
      <c r="F8" s="4"/>
      <c r="G8" s="4"/>
      <c r="H8" s="4"/>
      <c r="I8" s="4"/>
      <c r="J8" s="4"/>
      <c r="K8" s="4"/>
      <c r="M8" s="110"/>
    </row>
    <row r="9" spans="1:22" ht="13.15" customHeight="1" x14ac:dyDescent="2.5">
      <c r="A9" s="1"/>
    </row>
    <row r="10" spans="1:22" ht="26" thickBot="1" x14ac:dyDescent="2.4500000000000002">
      <c r="K10" s="81" t="s">
        <v>37</v>
      </c>
      <c r="L10" s="81" t="s">
        <v>37</v>
      </c>
    </row>
    <row r="11" spans="1:22" ht="28.15" customHeight="1" thickTop="1" x14ac:dyDescent="2.5">
      <c r="A11" s="130" t="s">
        <v>1</v>
      </c>
      <c r="B11" s="132" t="s">
        <v>38</v>
      </c>
      <c r="C11" s="132" t="s">
        <v>71</v>
      </c>
      <c r="D11" s="132" t="s">
        <v>75</v>
      </c>
      <c r="E11" s="134" t="s">
        <v>0</v>
      </c>
      <c r="F11" s="134"/>
      <c r="G11" s="134"/>
      <c r="H11" s="135" t="s">
        <v>129</v>
      </c>
      <c r="I11" s="136"/>
      <c r="J11" s="137"/>
      <c r="K11" s="123" t="s">
        <v>34</v>
      </c>
      <c r="L11" s="123" t="s">
        <v>34</v>
      </c>
      <c r="N11" s="125" t="s">
        <v>42</v>
      </c>
      <c r="P11" s="127" t="s">
        <v>77</v>
      </c>
      <c r="Q11" s="128" t="s">
        <v>76</v>
      </c>
      <c r="R11" s="2"/>
      <c r="S11" s="2"/>
      <c r="T11" s="129" t="s">
        <v>32</v>
      </c>
      <c r="U11" s="129"/>
      <c r="V11" s="129"/>
    </row>
    <row r="12" spans="1:22" ht="27.5" x14ac:dyDescent="2.5">
      <c r="A12" s="131"/>
      <c r="B12" s="133"/>
      <c r="C12" s="133"/>
      <c r="D12" s="133"/>
      <c r="E12" s="83">
        <v>2023</v>
      </c>
      <c r="F12" s="83">
        <v>2024</v>
      </c>
      <c r="G12" s="83">
        <v>2025</v>
      </c>
      <c r="H12" s="82">
        <v>2023</v>
      </c>
      <c r="I12" s="82">
        <v>2024</v>
      </c>
      <c r="J12" s="82">
        <v>2025</v>
      </c>
      <c r="K12" s="124"/>
      <c r="L12" s="124"/>
      <c r="N12" s="126"/>
      <c r="P12" s="127"/>
      <c r="Q12" s="128"/>
      <c r="R12" s="24"/>
      <c r="S12" s="30">
        <v>2023</v>
      </c>
      <c r="T12" s="30">
        <v>2023</v>
      </c>
      <c r="U12" s="30">
        <v>2024</v>
      </c>
      <c r="V12" s="30">
        <v>2025</v>
      </c>
    </row>
    <row r="13" spans="1:22" s="11" customFormat="1" thickBot="1" x14ac:dyDescent="0.75">
      <c r="A13" s="13"/>
      <c r="B13" s="14">
        <v>1</v>
      </c>
      <c r="C13" s="14">
        <v>2</v>
      </c>
      <c r="D13" s="14" t="s">
        <v>72</v>
      </c>
      <c r="E13" s="14">
        <v>2</v>
      </c>
      <c r="F13" s="14">
        <v>3</v>
      </c>
      <c r="G13" s="14">
        <v>4</v>
      </c>
      <c r="H13" s="34" t="s">
        <v>73</v>
      </c>
      <c r="I13" s="34" t="s">
        <v>35</v>
      </c>
      <c r="J13" s="34" t="s">
        <v>36</v>
      </c>
      <c r="K13" s="15">
        <v>5</v>
      </c>
      <c r="L13" s="15">
        <v>8</v>
      </c>
      <c r="N13" s="12" t="s">
        <v>31</v>
      </c>
      <c r="S13" s="31"/>
      <c r="T13" s="31"/>
      <c r="U13" s="31"/>
      <c r="V13" s="31"/>
    </row>
    <row r="14" spans="1:22" s="3" customFormat="1" ht="25.15" customHeight="1" thickTop="1" x14ac:dyDescent="2.5">
      <c r="A14" s="27" t="s">
        <v>39</v>
      </c>
      <c r="B14" s="17"/>
      <c r="C14" s="17"/>
      <c r="D14" s="17"/>
      <c r="E14" s="17"/>
      <c r="F14" s="17"/>
      <c r="G14" s="17"/>
      <c r="H14" s="18"/>
      <c r="I14" s="18"/>
      <c r="J14" s="18"/>
      <c r="K14" s="25"/>
      <c r="L14" s="103"/>
      <c r="M14" s="21"/>
      <c r="N14" s="16"/>
      <c r="S14" s="32"/>
      <c r="T14" s="32"/>
      <c r="U14" s="32"/>
      <c r="V14" s="33" t="s">
        <v>33</v>
      </c>
    </row>
    <row r="15" spans="1:22" s="51" customFormat="1" ht="25.15" customHeight="1" x14ac:dyDescent="0.75">
      <c r="A15" s="46" t="s">
        <v>2</v>
      </c>
      <c r="B15" s="47">
        <f>B16+B20</f>
        <v>452594</v>
      </c>
      <c r="C15" s="47">
        <f>C16+C20</f>
        <v>6310.2</v>
      </c>
      <c r="D15" s="47">
        <f>D16+D20</f>
        <v>446283.8</v>
      </c>
      <c r="E15" s="47">
        <f t="shared" ref="E15:G15" si="0">E16+E20</f>
        <v>438037</v>
      </c>
      <c r="F15" s="47">
        <f t="shared" si="0"/>
        <v>449033</v>
      </c>
      <c r="G15" s="47">
        <f t="shared" si="0"/>
        <v>460503</v>
      </c>
      <c r="H15" s="48">
        <f>IFERROR(E15/B15-1,"-")</f>
        <v>-3.2163484270670839E-2</v>
      </c>
      <c r="I15" s="48">
        <f>IFERROR(F15/E15-1,"-")</f>
        <v>2.5102902266247007E-2</v>
      </c>
      <c r="J15" s="48">
        <f>IFERROR(G15/F15-1,"-")</f>
        <v>2.5543779633122821E-2</v>
      </c>
      <c r="K15" s="35"/>
      <c r="L15" s="35"/>
      <c r="M15" s="49"/>
      <c r="N15" s="50">
        <f t="shared" ref="N15:N22" si="1">E15-B15</f>
        <v>-14557</v>
      </c>
      <c r="P15" s="88" t="s">
        <v>79</v>
      </c>
      <c r="Q15" s="89">
        <v>-9.1999999999999998E-2</v>
      </c>
      <c r="S15" s="46" t="s">
        <v>2</v>
      </c>
      <c r="T15" s="47">
        <f t="shared" ref="T15:V15" si="2">T16+T20</f>
        <v>0</v>
      </c>
      <c r="U15" s="47">
        <f t="shared" si="2"/>
        <v>0</v>
      </c>
      <c r="V15" s="47">
        <f t="shared" si="2"/>
        <v>0</v>
      </c>
    </row>
    <row r="16" spans="1:22" s="51" customFormat="1" ht="25.15" customHeight="1" x14ac:dyDescent="0.75">
      <c r="A16" s="52" t="s">
        <v>3</v>
      </c>
      <c r="B16" s="53">
        <f>B17+B18</f>
        <v>426143</v>
      </c>
      <c r="C16" s="53">
        <f>C17+C18</f>
        <v>6310.2</v>
      </c>
      <c r="D16" s="53">
        <f>D17+D18</f>
        <v>419832.8</v>
      </c>
      <c r="E16" s="53">
        <f t="shared" ref="E16:G16" si="3">E17+E18</f>
        <v>410031</v>
      </c>
      <c r="F16" s="53">
        <f t="shared" si="3"/>
        <v>419931</v>
      </c>
      <c r="G16" s="53">
        <f t="shared" si="3"/>
        <v>430259</v>
      </c>
      <c r="H16" s="54">
        <f t="shared" ref="H16:H22" si="4">IFERROR(E16/B16-1,"-")</f>
        <v>-3.780890452266028E-2</v>
      </c>
      <c r="I16" s="54">
        <f t="shared" ref="I16:J22" si="5">IFERROR(F16/E16-1,"-")</f>
        <v>2.4144515902456254E-2</v>
      </c>
      <c r="J16" s="54">
        <f t="shared" si="5"/>
        <v>2.4594516718222659E-2</v>
      </c>
      <c r="K16" s="36"/>
      <c r="L16" s="36"/>
      <c r="M16" s="55"/>
      <c r="N16" s="56">
        <f t="shared" si="1"/>
        <v>-16112</v>
      </c>
      <c r="P16" s="88" t="s">
        <v>80</v>
      </c>
      <c r="Q16" s="89">
        <v>9.5000000000000001E-2</v>
      </c>
      <c r="S16" s="52" t="s">
        <v>3</v>
      </c>
      <c r="T16" s="53">
        <f>E16-E25</f>
        <v>0</v>
      </c>
      <c r="U16" s="53">
        <f t="shared" ref="U16:V18" si="6">F16-F25</f>
        <v>0</v>
      </c>
      <c r="V16" s="53">
        <f t="shared" si="6"/>
        <v>0</v>
      </c>
    </row>
    <row r="17" spans="1:22" s="60" customFormat="1" ht="25.15" customHeight="1" x14ac:dyDescent="0.75">
      <c r="A17" s="68" t="s">
        <v>4</v>
      </c>
      <c r="B17" s="57">
        <v>143662</v>
      </c>
      <c r="C17" s="57">
        <f>C26</f>
        <v>264</v>
      </c>
      <c r="D17" s="72">
        <f t="shared" ref="D17:D19" si="7">B17-C17</f>
        <v>143398</v>
      </c>
      <c r="E17" s="57">
        <v>130455</v>
      </c>
      <c r="F17" s="57">
        <v>136978</v>
      </c>
      <c r="G17" s="57">
        <v>143827</v>
      </c>
      <c r="H17" s="58">
        <f t="shared" si="4"/>
        <v>-9.1931060405674447E-2</v>
      </c>
      <c r="I17" s="58">
        <f t="shared" si="5"/>
        <v>5.0001916369629473E-2</v>
      </c>
      <c r="J17" s="58">
        <f t="shared" si="5"/>
        <v>5.000073004424066E-2</v>
      </c>
      <c r="K17" s="37"/>
      <c r="L17" s="37" t="s">
        <v>40</v>
      </c>
      <c r="M17" s="100">
        <f>E17/(B17-24000)-1</f>
        <v>9.0195717938861053E-2</v>
      </c>
      <c r="N17" s="59">
        <f t="shared" si="1"/>
        <v>-13207</v>
      </c>
      <c r="P17" s="90" t="s">
        <v>81</v>
      </c>
      <c r="Q17" s="91">
        <v>-0.01</v>
      </c>
      <c r="S17" s="68" t="s">
        <v>4</v>
      </c>
      <c r="T17" s="57">
        <f>E17-E26</f>
        <v>0</v>
      </c>
      <c r="U17" s="57">
        <f t="shared" si="6"/>
        <v>0</v>
      </c>
      <c r="V17" s="57">
        <f t="shared" si="6"/>
        <v>0</v>
      </c>
    </row>
    <row r="18" spans="1:22" s="60" customFormat="1" ht="25.15" customHeight="1" x14ac:dyDescent="0.75">
      <c r="A18" s="68" t="s">
        <v>5</v>
      </c>
      <c r="B18" s="57">
        <v>282481</v>
      </c>
      <c r="C18" s="57">
        <f>C27</f>
        <v>6046.2</v>
      </c>
      <c r="D18" s="72">
        <f t="shared" si="7"/>
        <v>276434.8</v>
      </c>
      <c r="E18" s="57">
        <v>279576</v>
      </c>
      <c r="F18" s="57">
        <v>282953</v>
      </c>
      <c r="G18" s="57">
        <v>286432</v>
      </c>
      <c r="H18" s="58">
        <f t="shared" si="4"/>
        <v>-1.0283877499725591E-2</v>
      </c>
      <c r="I18" s="58">
        <f t="shared" si="5"/>
        <v>1.207900535096007E-2</v>
      </c>
      <c r="J18" s="58">
        <f t="shared" si="5"/>
        <v>1.2295328199382949E-2</v>
      </c>
      <c r="K18" s="37"/>
      <c r="L18" s="37"/>
      <c r="M18" s="97"/>
      <c r="N18" s="59">
        <f>E18-B18</f>
        <v>-2905</v>
      </c>
      <c r="P18" s="90" t="s">
        <v>82</v>
      </c>
      <c r="Q18" s="91">
        <v>0.03</v>
      </c>
      <c r="S18" s="68" t="s">
        <v>5</v>
      </c>
      <c r="T18" s="57">
        <f>E18-E27</f>
        <v>0</v>
      </c>
      <c r="U18" s="57">
        <f t="shared" si="6"/>
        <v>0</v>
      </c>
      <c r="V18" s="57">
        <f t="shared" si="6"/>
        <v>0</v>
      </c>
    </row>
    <row r="19" spans="1:22" s="60" customFormat="1" ht="25.15" customHeight="1" x14ac:dyDescent="0.75">
      <c r="A19" s="78" t="s">
        <v>41</v>
      </c>
      <c r="B19" s="57">
        <v>5153</v>
      </c>
      <c r="C19" s="57">
        <v>200</v>
      </c>
      <c r="D19" s="72">
        <f t="shared" si="7"/>
        <v>4953</v>
      </c>
      <c r="E19" s="57">
        <v>5102</v>
      </c>
      <c r="F19" s="57">
        <v>5255</v>
      </c>
      <c r="G19" s="57">
        <v>5412</v>
      </c>
      <c r="H19" s="58">
        <f t="shared" si="4"/>
        <v>-9.8971472928390813E-3</v>
      </c>
      <c r="I19" s="58">
        <f t="shared" si="5"/>
        <v>2.9988239905919256E-2</v>
      </c>
      <c r="J19" s="58">
        <f t="shared" si="5"/>
        <v>2.987630827783061E-2</v>
      </c>
      <c r="K19" s="37"/>
      <c r="L19" s="37"/>
      <c r="M19" s="61"/>
      <c r="N19" s="59">
        <f t="shared" ref="N19" si="8">E19-B19</f>
        <v>-51</v>
      </c>
      <c r="P19" s="93" t="s">
        <v>83</v>
      </c>
      <c r="Q19" s="94">
        <v>0.05</v>
      </c>
      <c r="S19" s="78" t="s">
        <v>41</v>
      </c>
      <c r="T19" s="57">
        <f>E19-E114</f>
        <v>0</v>
      </c>
      <c r="U19" s="57">
        <f t="shared" ref="U19:V19" si="9">F19-F114</f>
        <v>0</v>
      </c>
      <c r="V19" s="57">
        <f t="shared" si="9"/>
        <v>0</v>
      </c>
    </row>
    <row r="20" spans="1:22" s="51" customFormat="1" ht="25.15" customHeight="1" x14ac:dyDescent="0.75">
      <c r="A20" s="62" t="s">
        <v>74</v>
      </c>
      <c r="B20" s="63">
        <f t="shared" ref="B20:G20" si="10">B21+B22</f>
        <v>26451</v>
      </c>
      <c r="C20" s="63">
        <f t="shared" si="10"/>
        <v>0</v>
      </c>
      <c r="D20" s="63">
        <f t="shared" si="10"/>
        <v>26451</v>
      </c>
      <c r="E20" s="63">
        <f t="shared" si="10"/>
        <v>28006</v>
      </c>
      <c r="F20" s="63">
        <f t="shared" si="10"/>
        <v>29102</v>
      </c>
      <c r="G20" s="63">
        <f t="shared" si="10"/>
        <v>30244</v>
      </c>
      <c r="H20" s="64">
        <f t="shared" si="4"/>
        <v>5.8787947525613449E-2</v>
      </c>
      <c r="I20" s="64">
        <f t="shared" si="5"/>
        <v>3.9134471184746111E-2</v>
      </c>
      <c r="J20" s="64">
        <f t="shared" si="5"/>
        <v>3.9241289258470147E-2</v>
      </c>
      <c r="K20" s="38"/>
      <c r="L20" s="38"/>
      <c r="M20" s="55"/>
      <c r="N20" s="65">
        <f t="shared" si="1"/>
        <v>1555</v>
      </c>
      <c r="P20" s="93" t="s">
        <v>84</v>
      </c>
      <c r="Q20" s="94">
        <v>0.05</v>
      </c>
      <c r="S20" s="62" t="s">
        <v>74</v>
      </c>
      <c r="T20" s="92">
        <f t="shared" ref="T20:V22" si="11">E20-E118</f>
        <v>0</v>
      </c>
      <c r="U20" s="63">
        <f t="shared" si="11"/>
        <v>0</v>
      </c>
      <c r="V20" s="63">
        <f t="shared" si="11"/>
        <v>0</v>
      </c>
    </row>
    <row r="21" spans="1:22" s="60" customFormat="1" ht="25.15" customHeight="1" x14ac:dyDescent="0.75">
      <c r="A21" s="68" t="s">
        <v>4</v>
      </c>
      <c r="B21" s="57">
        <v>11725</v>
      </c>
      <c r="C21" s="57">
        <f>C119</f>
        <v>0</v>
      </c>
      <c r="D21" s="72">
        <f>B21-C21</f>
        <v>11725</v>
      </c>
      <c r="E21" s="57">
        <v>12839</v>
      </c>
      <c r="F21" s="57">
        <v>13481</v>
      </c>
      <c r="G21" s="57">
        <v>14155</v>
      </c>
      <c r="H21" s="58">
        <f t="shared" si="4"/>
        <v>9.5010660980810124E-2</v>
      </c>
      <c r="I21" s="58">
        <f t="shared" si="5"/>
        <v>5.0003894384297753E-2</v>
      </c>
      <c r="J21" s="58">
        <f t="shared" si="5"/>
        <v>4.9996291076329635E-2</v>
      </c>
      <c r="K21" s="37"/>
      <c r="L21" s="37" t="s">
        <v>40</v>
      </c>
      <c r="M21" s="97"/>
      <c r="N21" s="59">
        <f t="shared" si="1"/>
        <v>1114</v>
      </c>
      <c r="P21" s="95" t="s">
        <v>85</v>
      </c>
      <c r="Q21" s="96">
        <v>1.2E-2</v>
      </c>
      <c r="S21" s="68" t="s">
        <v>4</v>
      </c>
      <c r="T21" s="57">
        <f t="shared" si="11"/>
        <v>0</v>
      </c>
      <c r="U21" s="57">
        <f t="shared" si="11"/>
        <v>0</v>
      </c>
      <c r="V21" s="57">
        <f t="shared" si="11"/>
        <v>0</v>
      </c>
    </row>
    <row r="22" spans="1:22" s="60" customFormat="1" ht="25.15" customHeight="1" x14ac:dyDescent="0.75">
      <c r="A22" s="69" t="s">
        <v>5</v>
      </c>
      <c r="B22" s="66">
        <v>14726</v>
      </c>
      <c r="C22" s="66">
        <v>0</v>
      </c>
      <c r="D22" s="101">
        <f>B22-C22</f>
        <v>14726</v>
      </c>
      <c r="E22" s="66">
        <v>15167</v>
      </c>
      <c r="F22" s="66">
        <v>15621</v>
      </c>
      <c r="G22" s="66">
        <v>16089</v>
      </c>
      <c r="H22" s="67">
        <f t="shared" si="4"/>
        <v>2.994703245959518E-2</v>
      </c>
      <c r="I22" s="67">
        <f t="shared" si="5"/>
        <v>2.993340805696576E-2</v>
      </c>
      <c r="J22" s="67">
        <f t="shared" si="5"/>
        <v>2.9959669675436951E-2</v>
      </c>
      <c r="K22" s="39"/>
      <c r="L22" s="39"/>
      <c r="M22" s="97"/>
      <c r="N22" s="59">
        <f t="shared" si="1"/>
        <v>441</v>
      </c>
      <c r="P22" s="95" t="s">
        <v>86</v>
      </c>
      <c r="Q22" s="96">
        <v>0.03</v>
      </c>
      <c r="S22" s="69" t="s">
        <v>5</v>
      </c>
      <c r="T22" s="66">
        <f t="shared" si="11"/>
        <v>0</v>
      </c>
      <c r="U22" s="66">
        <f t="shared" si="11"/>
        <v>0</v>
      </c>
      <c r="V22" s="66">
        <f t="shared" si="11"/>
        <v>0</v>
      </c>
    </row>
    <row r="23" spans="1:22" s="107" customFormat="1" ht="25.15" customHeight="1" x14ac:dyDescent="2.5">
      <c r="A23" s="28" t="s">
        <v>43</v>
      </c>
      <c r="B23" s="19"/>
      <c r="C23" s="19"/>
      <c r="D23" s="19"/>
      <c r="E23" s="19"/>
      <c r="F23" s="19"/>
      <c r="G23" s="19"/>
      <c r="H23" s="20"/>
      <c r="I23" s="20"/>
      <c r="J23" s="20"/>
      <c r="K23" s="45"/>
      <c r="L23" s="104"/>
      <c r="M23" s="105"/>
      <c r="N23" s="106"/>
      <c r="T23" s="108">
        <f>ROUND(T22/25,1)</f>
        <v>0</v>
      </c>
    </row>
    <row r="24" spans="1:22" s="3" customFormat="1" ht="25.15" customHeight="1" x14ac:dyDescent="2.5">
      <c r="A24" s="46" t="s">
        <v>2</v>
      </c>
      <c r="B24" s="47">
        <f t="shared" ref="B24:G24" si="12">B25+B118</f>
        <v>452594</v>
      </c>
      <c r="C24" s="47">
        <f t="shared" si="12"/>
        <v>13640.1</v>
      </c>
      <c r="D24" s="47">
        <f t="shared" si="12"/>
        <v>438953.89999999991</v>
      </c>
      <c r="E24" s="47">
        <f t="shared" si="12"/>
        <v>438037</v>
      </c>
      <c r="F24" s="47">
        <f t="shared" si="12"/>
        <v>449033</v>
      </c>
      <c r="G24" s="47">
        <f t="shared" si="12"/>
        <v>460502.99999999994</v>
      </c>
      <c r="H24" s="48">
        <f t="shared" ref="H24:H114" si="13">IFERROR(E24/B24-1,"-")</f>
        <v>-3.2163484270670839E-2</v>
      </c>
      <c r="I24" s="48">
        <f t="shared" ref="I24:J114" si="14">IFERROR(F24/E24-1,"-")</f>
        <v>2.5102902266247007E-2</v>
      </c>
      <c r="J24" s="48">
        <f t="shared" si="14"/>
        <v>2.5543779633122599E-2</v>
      </c>
      <c r="K24" s="35"/>
      <c r="L24" s="35"/>
      <c r="M24" s="22"/>
      <c r="N24" s="10">
        <f t="shared" ref="N24:N87" si="15">E24-B24</f>
        <v>-14557</v>
      </c>
      <c r="O24" s="23"/>
      <c r="S24" s="32"/>
      <c r="T24" s="32"/>
      <c r="U24" s="32"/>
      <c r="V24" s="32"/>
    </row>
    <row r="25" spans="1:22" s="3" customFormat="1" ht="25.15" customHeight="1" x14ac:dyDescent="2.5">
      <c r="A25" s="52" t="s">
        <v>3</v>
      </c>
      <c r="B25" s="53">
        <f>B26+B27</f>
        <v>426143</v>
      </c>
      <c r="C25" s="53">
        <f>C26+C27</f>
        <v>6310.2</v>
      </c>
      <c r="D25" s="53">
        <f>D26+D27</f>
        <v>419832.79999999993</v>
      </c>
      <c r="E25" s="53">
        <f t="shared" ref="E25:G25" si="16">E26+E27</f>
        <v>410031</v>
      </c>
      <c r="F25" s="53">
        <f t="shared" si="16"/>
        <v>419931</v>
      </c>
      <c r="G25" s="53">
        <f t="shared" si="16"/>
        <v>430258.99999999994</v>
      </c>
      <c r="H25" s="54">
        <f t="shared" si="13"/>
        <v>-3.780890452266028E-2</v>
      </c>
      <c r="I25" s="54">
        <f t="shared" si="14"/>
        <v>2.4144515902456254E-2</v>
      </c>
      <c r="J25" s="54">
        <f t="shared" si="14"/>
        <v>2.4594516718222659E-2</v>
      </c>
      <c r="K25" s="36"/>
      <c r="L25" s="36"/>
      <c r="M25" s="23"/>
      <c r="N25" s="6">
        <f t="shared" si="15"/>
        <v>-16112</v>
      </c>
      <c r="O25" s="23"/>
      <c r="S25" s="32"/>
      <c r="T25" s="32"/>
      <c r="U25" s="32"/>
      <c r="V25" s="32"/>
    </row>
    <row r="26" spans="1:22" s="2" customFormat="1" ht="25.15" customHeight="1" x14ac:dyDescent="2.5">
      <c r="A26" s="68" t="s">
        <v>4</v>
      </c>
      <c r="B26" s="57">
        <f>B29+B32+B35+B38+B41+B44+B47+B50+B53+B56+B59+B62+B65+B68+B71+B74+B77+B80+B83+B86+B89+B92+B95+B98+B101+B104+B107+B116</f>
        <v>143661.99999999997</v>
      </c>
      <c r="C26" s="57">
        <f t="shared" ref="C26:G27" si="17">C29+C32+C35+C38+C41+C44+C47+C50+C53+C56+C59+C62+C65+C68+C71+C74+C77+C80+C83+C86+C89+C92+C95+C98+C101+C104+C107+C116</f>
        <v>264</v>
      </c>
      <c r="D26" s="57">
        <f t="shared" si="17"/>
        <v>143397.99999999997</v>
      </c>
      <c r="E26" s="57">
        <f t="shared" si="17"/>
        <v>130454.99999999999</v>
      </c>
      <c r="F26" s="57">
        <f t="shared" si="17"/>
        <v>136978</v>
      </c>
      <c r="G26" s="57">
        <f t="shared" si="17"/>
        <v>143827</v>
      </c>
      <c r="H26" s="58">
        <f t="shared" si="13"/>
        <v>-9.1931060405674336E-2</v>
      </c>
      <c r="I26" s="58">
        <f t="shared" si="14"/>
        <v>5.0001916369629473E-2</v>
      </c>
      <c r="J26" s="58">
        <f t="shared" si="14"/>
        <v>5.000073004424066E-2</v>
      </c>
      <c r="K26" s="40"/>
      <c r="L26" s="40"/>
      <c r="M26" s="11"/>
      <c r="N26" s="7">
        <f t="shared" si="15"/>
        <v>-13206.999999999985</v>
      </c>
      <c r="O26" s="11"/>
      <c r="S26" s="29"/>
      <c r="T26" s="29"/>
      <c r="U26" s="29"/>
      <c r="V26" s="29"/>
    </row>
    <row r="27" spans="1:22" s="2" customFormat="1" ht="25.15" customHeight="1" x14ac:dyDescent="2.5">
      <c r="A27" s="68" t="s">
        <v>5</v>
      </c>
      <c r="B27" s="57">
        <f t="shared" ref="B27:G27" si="18">B30+B33+B36+B39+B42+B45+B48+B51+B54+B57+B60+B63+B66+B69+B72+B75+B78+B81+B84+B87+B90+B93+B96+B99+B102+B105+B108+B117</f>
        <v>282481</v>
      </c>
      <c r="C27" s="57">
        <f t="shared" si="18"/>
        <v>6046.2</v>
      </c>
      <c r="D27" s="57">
        <f t="shared" si="17"/>
        <v>276434.8</v>
      </c>
      <c r="E27" s="57">
        <f t="shared" si="18"/>
        <v>279576</v>
      </c>
      <c r="F27" s="57">
        <f t="shared" si="18"/>
        <v>282953</v>
      </c>
      <c r="G27" s="57">
        <f t="shared" si="18"/>
        <v>286431.99999999994</v>
      </c>
      <c r="H27" s="58">
        <f t="shared" si="13"/>
        <v>-1.0283877499725591E-2</v>
      </c>
      <c r="I27" s="58">
        <f t="shared" si="14"/>
        <v>1.207900535096007E-2</v>
      </c>
      <c r="J27" s="58">
        <f t="shared" si="14"/>
        <v>1.2295328199382727E-2</v>
      </c>
      <c r="K27" s="40"/>
      <c r="L27" s="40"/>
      <c r="M27" s="11"/>
      <c r="N27" s="7">
        <f t="shared" si="15"/>
        <v>-2905</v>
      </c>
      <c r="O27" s="11"/>
      <c r="S27" s="29"/>
      <c r="T27" s="29"/>
      <c r="U27" s="29"/>
      <c r="V27" s="29"/>
    </row>
    <row r="28" spans="1:22" s="3" customFormat="1" ht="25.15" customHeight="1" x14ac:dyDescent="2.5">
      <c r="A28" s="84" t="s">
        <v>46</v>
      </c>
      <c r="B28" s="85">
        <f t="shared" ref="B28:G28" si="19">B29+B30</f>
        <v>2069.4</v>
      </c>
      <c r="C28" s="85">
        <f t="shared" si="19"/>
        <v>0</v>
      </c>
      <c r="D28" s="85">
        <f t="shared" si="19"/>
        <v>2069.4</v>
      </c>
      <c r="E28" s="85">
        <f t="shared" si="19"/>
        <v>2469.4</v>
      </c>
      <c r="F28" s="85">
        <f t="shared" si="19"/>
        <v>2545.3000000000002</v>
      </c>
      <c r="G28" s="85">
        <f t="shared" si="19"/>
        <v>2624.5</v>
      </c>
      <c r="H28" s="86">
        <f t="shared" si="13"/>
        <v>0.19329274185754319</v>
      </c>
      <c r="I28" s="86">
        <f t="shared" si="14"/>
        <v>3.0736211225398824E-2</v>
      </c>
      <c r="J28" s="86">
        <f t="shared" si="14"/>
        <v>3.1116174910619465E-2</v>
      </c>
      <c r="K28" s="87"/>
      <c r="L28" s="87"/>
      <c r="M28" s="23"/>
      <c r="N28" s="9">
        <f t="shared" si="15"/>
        <v>400</v>
      </c>
      <c r="O28" s="23"/>
      <c r="S28" s="32"/>
      <c r="T28" s="32"/>
      <c r="U28" s="32"/>
      <c r="V28" s="32"/>
    </row>
    <row r="29" spans="1:22" s="2" customFormat="1" ht="25.15" customHeight="1" x14ac:dyDescent="2.5">
      <c r="A29" s="68" t="s">
        <v>4</v>
      </c>
      <c r="B29" s="57">
        <v>1218.4000000000001</v>
      </c>
      <c r="C29" s="57"/>
      <c r="D29" s="57">
        <f>B29-C29</f>
        <v>1218.4000000000001</v>
      </c>
      <c r="E29" s="57">
        <f>D29</f>
        <v>1218.4000000000001</v>
      </c>
      <c r="F29" s="57">
        <f>ROUND(E29*(1+$Q$19),1)</f>
        <v>1279.3</v>
      </c>
      <c r="G29" s="57">
        <f>ROUND(F29*(1+$Q$19),1)</f>
        <v>1343.3</v>
      </c>
      <c r="H29" s="58">
        <f t="shared" si="13"/>
        <v>0</v>
      </c>
      <c r="I29" s="58">
        <f t="shared" si="14"/>
        <v>4.9983585029546918E-2</v>
      </c>
      <c r="J29" s="58">
        <f t="shared" si="14"/>
        <v>5.0027358711795422E-2</v>
      </c>
      <c r="K29" s="37"/>
      <c r="L29" s="37"/>
      <c r="M29" s="11"/>
      <c r="N29" s="7">
        <f t="shared" si="15"/>
        <v>0</v>
      </c>
      <c r="O29" s="11"/>
      <c r="S29" s="29"/>
      <c r="T29" s="29"/>
      <c r="U29" s="29"/>
      <c r="V29" s="29"/>
    </row>
    <row r="30" spans="1:22" s="2" customFormat="1" ht="25.15" customHeight="1" x14ac:dyDescent="2.5">
      <c r="A30" s="68" t="s">
        <v>5</v>
      </c>
      <c r="B30" s="57">
        <v>851</v>
      </c>
      <c r="C30" s="57"/>
      <c r="D30" s="57">
        <f>B30-C30</f>
        <v>851</v>
      </c>
      <c r="E30" s="57">
        <f>D30+150+150+100</f>
        <v>1251</v>
      </c>
      <c r="F30" s="57">
        <f>ROUND(E30*(1+$Q$21),1)</f>
        <v>1266</v>
      </c>
      <c r="G30" s="57">
        <f>ROUND(F30*(1+$Q$21),1)</f>
        <v>1281.2</v>
      </c>
      <c r="H30" s="58">
        <f t="shared" si="13"/>
        <v>0.47003525264394819</v>
      </c>
      <c r="I30" s="58">
        <f t="shared" si="14"/>
        <v>1.1990407673860837E-2</v>
      </c>
      <c r="J30" s="58">
        <f t="shared" si="14"/>
        <v>1.2006319115323905E-2</v>
      </c>
      <c r="K30" s="37"/>
      <c r="L30" s="37" t="s">
        <v>132</v>
      </c>
      <c r="M30" s="11"/>
      <c r="N30" s="7">
        <f t="shared" si="15"/>
        <v>400</v>
      </c>
      <c r="O30" s="11"/>
      <c r="S30" s="29"/>
      <c r="T30" s="29"/>
      <c r="U30" s="29"/>
      <c r="V30" s="29"/>
    </row>
    <row r="31" spans="1:22" s="3" customFormat="1" ht="25.15" customHeight="1" x14ac:dyDescent="2.5">
      <c r="A31" s="84" t="s">
        <v>47</v>
      </c>
      <c r="B31" s="85">
        <f t="shared" ref="B31:G31" si="20">B32+B33</f>
        <v>647</v>
      </c>
      <c r="C31" s="85">
        <f t="shared" si="20"/>
        <v>0</v>
      </c>
      <c r="D31" s="85">
        <f t="shared" si="20"/>
        <v>647</v>
      </c>
      <c r="E31" s="85">
        <f t="shared" si="20"/>
        <v>647</v>
      </c>
      <c r="F31" s="85">
        <f t="shared" si="20"/>
        <v>654.79999999999995</v>
      </c>
      <c r="G31" s="85">
        <f t="shared" si="20"/>
        <v>662.7</v>
      </c>
      <c r="H31" s="86">
        <f t="shared" si="13"/>
        <v>0</v>
      </c>
      <c r="I31" s="86">
        <f t="shared" si="14"/>
        <v>1.2055641421947483E-2</v>
      </c>
      <c r="J31" s="86">
        <f t="shared" si="14"/>
        <v>1.2064752596212758E-2</v>
      </c>
      <c r="K31" s="87"/>
      <c r="L31" s="87"/>
      <c r="M31" s="23"/>
      <c r="N31" s="9">
        <f t="shared" si="15"/>
        <v>0</v>
      </c>
      <c r="O31" s="23"/>
      <c r="S31" s="32"/>
      <c r="T31" s="32"/>
      <c r="U31" s="32"/>
      <c r="V31" s="32"/>
    </row>
    <row r="32" spans="1:22" s="2" customFormat="1" ht="25.15" customHeight="1" x14ac:dyDescent="2.5">
      <c r="A32" s="68" t="s">
        <v>4</v>
      </c>
      <c r="B32" s="57">
        <v>0</v>
      </c>
      <c r="C32" s="57"/>
      <c r="D32" s="57">
        <f>B32-C32</f>
        <v>0</v>
      </c>
      <c r="E32" s="57">
        <f>D32</f>
        <v>0</v>
      </c>
      <c r="F32" s="57">
        <f>ROUND(E32*(1+$Q$19),1)</f>
        <v>0</v>
      </c>
      <c r="G32" s="57">
        <f>ROUND(F32*(1+$Q$19),1)</f>
        <v>0</v>
      </c>
      <c r="H32" s="58" t="str">
        <f t="shared" si="13"/>
        <v>-</v>
      </c>
      <c r="I32" s="58" t="str">
        <f t="shared" si="14"/>
        <v>-</v>
      </c>
      <c r="J32" s="58" t="str">
        <f t="shared" si="14"/>
        <v>-</v>
      </c>
      <c r="K32" s="37"/>
      <c r="L32" s="37"/>
      <c r="M32" s="11"/>
      <c r="N32" s="7">
        <f t="shared" si="15"/>
        <v>0</v>
      </c>
      <c r="O32" s="11"/>
      <c r="S32" s="29"/>
      <c r="T32" s="29"/>
      <c r="U32" s="29"/>
      <c r="V32" s="29"/>
    </row>
    <row r="33" spans="1:22" s="2" customFormat="1" ht="25.15" customHeight="1" x14ac:dyDescent="2.5">
      <c r="A33" s="68" t="s">
        <v>5</v>
      </c>
      <c r="B33" s="57">
        <v>647</v>
      </c>
      <c r="C33" s="57"/>
      <c r="D33" s="57">
        <f>B33-C33</f>
        <v>647</v>
      </c>
      <c r="E33" s="57">
        <f>D33</f>
        <v>647</v>
      </c>
      <c r="F33" s="57">
        <f>ROUND(E33*(1+$Q$21),1)</f>
        <v>654.79999999999995</v>
      </c>
      <c r="G33" s="57">
        <f>ROUND(F33*(1+$Q$21),1)</f>
        <v>662.7</v>
      </c>
      <c r="H33" s="58">
        <f t="shared" si="13"/>
        <v>0</v>
      </c>
      <c r="I33" s="58">
        <f t="shared" si="14"/>
        <v>1.2055641421947483E-2</v>
      </c>
      <c r="J33" s="58">
        <f t="shared" si="14"/>
        <v>1.2064752596212758E-2</v>
      </c>
      <c r="K33" s="37"/>
      <c r="L33" s="37"/>
      <c r="M33" s="11"/>
      <c r="N33" s="7">
        <f t="shared" si="15"/>
        <v>0</v>
      </c>
      <c r="O33" s="11"/>
      <c r="S33" s="29"/>
      <c r="T33" s="29"/>
      <c r="U33" s="29"/>
      <c r="V33" s="29"/>
    </row>
    <row r="34" spans="1:22" s="3" customFormat="1" ht="25.15" customHeight="1" x14ac:dyDescent="2.5">
      <c r="A34" s="84" t="s">
        <v>48</v>
      </c>
      <c r="B34" s="85">
        <f t="shared" ref="B34:G34" si="21">B35+B36</f>
        <v>950</v>
      </c>
      <c r="C34" s="85">
        <f t="shared" si="21"/>
        <v>0</v>
      </c>
      <c r="D34" s="85">
        <f t="shared" si="21"/>
        <v>950</v>
      </c>
      <c r="E34" s="85">
        <f t="shared" si="21"/>
        <v>950</v>
      </c>
      <c r="F34" s="85">
        <f t="shared" si="21"/>
        <v>961.4</v>
      </c>
      <c r="G34" s="85">
        <f t="shared" si="21"/>
        <v>972.9</v>
      </c>
      <c r="H34" s="86">
        <f t="shared" si="13"/>
        <v>0</v>
      </c>
      <c r="I34" s="86">
        <f t="shared" si="14"/>
        <v>1.2000000000000011E-2</v>
      </c>
      <c r="J34" s="86">
        <f t="shared" si="14"/>
        <v>1.1961722488038173E-2</v>
      </c>
      <c r="K34" s="87"/>
      <c r="L34" s="87"/>
      <c r="M34" s="23"/>
      <c r="N34" s="9">
        <f t="shared" si="15"/>
        <v>0</v>
      </c>
      <c r="O34" s="23"/>
      <c r="S34" s="32"/>
      <c r="T34" s="32"/>
      <c r="U34" s="32"/>
      <c r="V34" s="32"/>
    </row>
    <row r="35" spans="1:22" s="2" customFormat="1" ht="25.15" customHeight="1" x14ac:dyDescent="2.5">
      <c r="A35" s="68" t="s">
        <v>4</v>
      </c>
      <c r="B35" s="57">
        <v>0</v>
      </c>
      <c r="C35" s="57"/>
      <c r="D35" s="57">
        <f>B35-C35</f>
        <v>0</v>
      </c>
      <c r="E35" s="57">
        <f>D35</f>
        <v>0</v>
      </c>
      <c r="F35" s="57">
        <f>ROUND(E35*(1+$Q$19),1)</f>
        <v>0</v>
      </c>
      <c r="G35" s="57">
        <f>ROUND(F35*(1+$Q$19),1)</f>
        <v>0</v>
      </c>
      <c r="H35" s="58" t="str">
        <f t="shared" si="13"/>
        <v>-</v>
      </c>
      <c r="I35" s="58" t="str">
        <f t="shared" si="14"/>
        <v>-</v>
      </c>
      <c r="J35" s="58" t="str">
        <f t="shared" si="14"/>
        <v>-</v>
      </c>
      <c r="K35" s="37"/>
      <c r="L35" s="37"/>
      <c r="M35" s="11"/>
      <c r="N35" s="7">
        <f t="shared" si="15"/>
        <v>0</v>
      </c>
      <c r="O35" s="11"/>
      <c r="S35" s="29"/>
      <c r="T35" s="29"/>
      <c r="U35" s="29"/>
      <c r="V35" s="29"/>
    </row>
    <row r="36" spans="1:22" s="2" customFormat="1" ht="25.15" customHeight="1" x14ac:dyDescent="2.5">
      <c r="A36" s="68" t="s">
        <v>5</v>
      </c>
      <c r="B36" s="57">
        <v>950</v>
      </c>
      <c r="C36" s="57"/>
      <c r="D36" s="57">
        <f>B36-C36</f>
        <v>950</v>
      </c>
      <c r="E36" s="57">
        <f>D36</f>
        <v>950</v>
      </c>
      <c r="F36" s="57">
        <f>ROUND(E36*(1+$Q$21),1)</f>
        <v>961.4</v>
      </c>
      <c r="G36" s="57">
        <f>ROUND(F36*(1+$Q$21),1)</f>
        <v>972.9</v>
      </c>
      <c r="H36" s="58">
        <f t="shared" si="13"/>
        <v>0</v>
      </c>
      <c r="I36" s="58">
        <f t="shared" si="14"/>
        <v>1.2000000000000011E-2</v>
      </c>
      <c r="J36" s="58">
        <f t="shared" si="14"/>
        <v>1.1961722488038173E-2</v>
      </c>
      <c r="K36" s="37"/>
      <c r="L36" s="37"/>
      <c r="M36" s="11"/>
      <c r="N36" s="7">
        <f t="shared" si="15"/>
        <v>0</v>
      </c>
      <c r="O36" s="11"/>
      <c r="S36" s="29"/>
      <c r="T36" s="29"/>
      <c r="U36" s="29"/>
      <c r="V36" s="29"/>
    </row>
    <row r="37" spans="1:22" s="3" customFormat="1" ht="25.15" customHeight="1" x14ac:dyDescent="2.5">
      <c r="A37" s="84" t="s">
        <v>49</v>
      </c>
      <c r="B37" s="85">
        <f t="shared" ref="B37:G37" si="22">B38+B39</f>
        <v>733.7</v>
      </c>
      <c r="C37" s="85">
        <f t="shared" si="22"/>
        <v>0</v>
      </c>
      <c r="D37" s="85">
        <f t="shared" si="22"/>
        <v>733.7</v>
      </c>
      <c r="E37" s="85">
        <f t="shared" si="22"/>
        <v>983.7</v>
      </c>
      <c r="F37" s="85">
        <f t="shared" si="22"/>
        <v>1007.7</v>
      </c>
      <c r="G37" s="85">
        <f t="shared" si="22"/>
        <v>1032.5999999999999</v>
      </c>
      <c r="H37" s="86">
        <f t="shared" si="13"/>
        <v>0.34073872154831664</v>
      </c>
      <c r="I37" s="86">
        <f t="shared" si="14"/>
        <v>2.439768222018901E-2</v>
      </c>
      <c r="J37" s="86">
        <f t="shared" si="14"/>
        <v>2.4709735040190361E-2</v>
      </c>
      <c r="K37" s="87"/>
      <c r="L37" s="87"/>
      <c r="M37" s="23"/>
      <c r="N37" s="9">
        <f t="shared" si="15"/>
        <v>250</v>
      </c>
      <c r="O37" s="23"/>
      <c r="S37" s="32"/>
      <c r="T37" s="32"/>
      <c r="U37" s="32"/>
      <c r="V37" s="32"/>
    </row>
    <row r="38" spans="1:22" s="2" customFormat="1" ht="25.15" customHeight="1" x14ac:dyDescent="2.5">
      <c r="A38" s="68" t="s">
        <v>4</v>
      </c>
      <c r="B38" s="57">
        <v>321.7</v>
      </c>
      <c r="C38" s="57"/>
      <c r="D38" s="57">
        <f>B38-C38</f>
        <v>321.7</v>
      </c>
      <c r="E38" s="57">
        <f>D38</f>
        <v>321.7</v>
      </c>
      <c r="F38" s="57">
        <f>ROUND(E38*(1+$Q$19),1)</f>
        <v>337.8</v>
      </c>
      <c r="G38" s="57">
        <f>ROUND(F38*(1+$Q$19),1)</f>
        <v>354.7</v>
      </c>
      <c r="H38" s="58">
        <f t="shared" si="13"/>
        <v>0</v>
      </c>
      <c r="I38" s="58">
        <f t="shared" si="14"/>
        <v>5.0046627292508639E-2</v>
      </c>
      <c r="J38" s="58">
        <f t="shared" si="14"/>
        <v>5.002960331557138E-2</v>
      </c>
      <c r="K38" s="37"/>
      <c r="L38" s="37"/>
      <c r="M38" s="11"/>
      <c r="N38" s="7">
        <f t="shared" si="15"/>
        <v>0</v>
      </c>
      <c r="O38" s="11"/>
      <c r="S38" s="29"/>
      <c r="T38" s="29"/>
      <c r="U38" s="29"/>
      <c r="V38" s="29"/>
    </row>
    <row r="39" spans="1:22" s="2" customFormat="1" ht="25.15" customHeight="1" x14ac:dyDescent="2.5">
      <c r="A39" s="68" t="s">
        <v>5</v>
      </c>
      <c r="B39" s="57">
        <v>412</v>
      </c>
      <c r="C39" s="57"/>
      <c r="D39" s="57">
        <f>B39-C39</f>
        <v>412</v>
      </c>
      <c r="E39" s="57">
        <f>D39+150+100</f>
        <v>662</v>
      </c>
      <c r="F39" s="57">
        <f>ROUND(E39*(1+$Q$21),1)</f>
        <v>669.9</v>
      </c>
      <c r="G39" s="57">
        <f>ROUND(F39*(1+$Q$21),1)</f>
        <v>677.9</v>
      </c>
      <c r="H39" s="58">
        <f t="shared" si="13"/>
        <v>0.60679611650485432</v>
      </c>
      <c r="I39" s="58">
        <f t="shared" si="14"/>
        <v>1.1933534743202356E-2</v>
      </c>
      <c r="J39" s="58">
        <f t="shared" si="14"/>
        <v>1.1942080907598074E-2</v>
      </c>
      <c r="K39" s="37"/>
      <c r="L39" s="37" t="s">
        <v>133</v>
      </c>
      <c r="M39" s="11"/>
      <c r="N39" s="7">
        <f t="shared" si="15"/>
        <v>250</v>
      </c>
      <c r="O39" s="11"/>
      <c r="S39" s="29"/>
      <c r="T39" s="29"/>
      <c r="U39" s="29"/>
      <c r="V39" s="29"/>
    </row>
    <row r="40" spans="1:22" s="3" customFormat="1" ht="25.15" customHeight="1" x14ac:dyDescent="2.5">
      <c r="A40" s="84" t="s">
        <v>50</v>
      </c>
      <c r="B40" s="85">
        <f t="shared" ref="B40:G40" si="23">B41+B42</f>
        <v>4444.7</v>
      </c>
      <c r="C40" s="85">
        <f t="shared" si="23"/>
        <v>433.7</v>
      </c>
      <c r="D40" s="85">
        <f t="shared" si="23"/>
        <v>4011</v>
      </c>
      <c r="E40" s="85">
        <f t="shared" si="23"/>
        <v>4011</v>
      </c>
      <c r="F40" s="85">
        <f t="shared" si="23"/>
        <v>4117.8999999999996</v>
      </c>
      <c r="G40" s="85">
        <f t="shared" si="23"/>
        <v>4229</v>
      </c>
      <c r="H40" s="86">
        <f t="shared" si="13"/>
        <v>-9.7576889328863547E-2</v>
      </c>
      <c r="I40" s="86">
        <f t="shared" si="14"/>
        <v>2.6651707803540203E-2</v>
      </c>
      <c r="J40" s="86">
        <f t="shared" si="14"/>
        <v>2.6979771242623851E-2</v>
      </c>
      <c r="K40" s="87"/>
      <c r="L40" s="87"/>
      <c r="M40" s="23"/>
      <c r="N40" s="9">
        <f t="shared" si="15"/>
        <v>-433.69999999999982</v>
      </c>
      <c r="O40" s="23"/>
      <c r="S40" s="32"/>
      <c r="T40" s="32"/>
      <c r="U40" s="32"/>
      <c r="V40" s="32"/>
    </row>
    <row r="41" spans="1:22" s="2" customFormat="1" ht="25.15" customHeight="1" x14ac:dyDescent="2.5">
      <c r="A41" s="68" t="s">
        <v>4</v>
      </c>
      <c r="B41" s="57">
        <v>1546.7</v>
      </c>
      <c r="C41" s="57"/>
      <c r="D41" s="57">
        <f>B41-C41</f>
        <v>1546.7</v>
      </c>
      <c r="E41" s="57">
        <f>D41</f>
        <v>1546.7</v>
      </c>
      <c r="F41" s="57">
        <f>ROUND(E41*(1+$Q$19),1)</f>
        <v>1624</v>
      </c>
      <c r="G41" s="57">
        <f>ROUND(F41*(1+$Q$19),1)</f>
        <v>1705.2</v>
      </c>
      <c r="H41" s="58">
        <f t="shared" si="13"/>
        <v>0</v>
      </c>
      <c r="I41" s="58">
        <f t="shared" si="14"/>
        <v>4.9977371177345242E-2</v>
      </c>
      <c r="J41" s="58">
        <f t="shared" si="14"/>
        <v>5.0000000000000044E-2</v>
      </c>
      <c r="K41" s="37"/>
      <c r="L41" s="37"/>
      <c r="M41" s="11"/>
      <c r="N41" s="7">
        <f t="shared" si="15"/>
        <v>0</v>
      </c>
      <c r="O41" s="11"/>
      <c r="S41" s="29"/>
      <c r="T41" s="29"/>
      <c r="U41" s="29"/>
      <c r="V41" s="29"/>
    </row>
    <row r="42" spans="1:22" s="2" customFormat="1" ht="25.15" customHeight="1" x14ac:dyDescent="2.5">
      <c r="A42" s="68" t="s">
        <v>5</v>
      </c>
      <c r="B42" s="57">
        <v>2898</v>
      </c>
      <c r="C42" s="57">
        <f>104.3+62.9+266.5</f>
        <v>433.7</v>
      </c>
      <c r="D42" s="57">
        <f>B42-C42</f>
        <v>2464.3000000000002</v>
      </c>
      <c r="E42" s="57">
        <f>D42</f>
        <v>2464.3000000000002</v>
      </c>
      <c r="F42" s="57">
        <f>ROUND(E42*(1+$Q$21),1)</f>
        <v>2493.9</v>
      </c>
      <c r="G42" s="57">
        <f>ROUND(F42*(1+$Q$21),1)</f>
        <v>2523.8000000000002</v>
      </c>
      <c r="H42" s="58">
        <f t="shared" si="13"/>
        <v>-0.14965493443754307</v>
      </c>
      <c r="I42" s="58">
        <f t="shared" si="14"/>
        <v>1.2011524570872067E-2</v>
      </c>
      <c r="J42" s="58">
        <f t="shared" si="14"/>
        <v>1.1989253779221443E-2</v>
      </c>
      <c r="K42" s="37"/>
      <c r="L42" s="37" t="s">
        <v>87</v>
      </c>
      <c r="M42" s="11"/>
      <c r="N42" s="7">
        <f t="shared" si="15"/>
        <v>-433.69999999999982</v>
      </c>
      <c r="O42" s="98">
        <f>C42/$C$27</f>
        <v>7.1731004597929277E-2</v>
      </c>
      <c r="P42" s="99">
        <f>ROUND(O42*$T$18,1)</f>
        <v>0</v>
      </c>
      <c r="S42" s="29"/>
      <c r="T42" s="29"/>
      <c r="U42" s="29"/>
      <c r="V42" s="29"/>
    </row>
    <row r="43" spans="1:22" s="3" customFormat="1" ht="25.15" customHeight="1" x14ac:dyDescent="2.5">
      <c r="A43" s="84" t="s">
        <v>51</v>
      </c>
      <c r="B43" s="85">
        <f t="shared" ref="B43:G43" si="24">B44+B45</f>
        <v>150</v>
      </c>
      <c r="C43" s="85">
        <f t="shared" si="24"/>
        <v>0</v>
      </c>
      <c r="D43" s="85">
        <f t="shared" si="24"/>
        <v>150</v>
      </c>
      <c r="E43" s="85">
        <f t="shared" si="24"/>
        <v>150</v>
      </c>
      <c r="F43" s="85">
        <f t="shared" si="24"/>
        <v>151.80000000000001</v>
      </c>
      <c r="G43" s="85">
        <f t="shared" si="24"/>
        <v>153.6</v>
      </c>
      <c r="H43" s="86">
        <f t="shared" si="13"/>
        <v>0</v>
      </c>
      <c r="I43" s="86">
        <f t="shared" si="14"/>
        <v>1.2000000000000011E-2</v>
      </c>
      <c r="J43" s="86">
        <f t="shared" si="14"/>
        <v>1.1857707509881354E-2</v>
      </c>
      <c r="K43" s="87"/>
      <c r="L43" s="87"/>
      <c r="M43" s="23"/>
      <c r="N43" s="9">
        <f t="shared" si="15"/>
        <v>0</v>
      </c>
      <c r="O43" s="23"/>
      <c r="S43" s="32"/>
      <c r="T43" s="32"/>
      <c r="U43" s="32"/>
      <c r="V43" s="32"/>
    </row>
    <row r="44" spans="1:22" s="2" customFormat="1" ht="25.15" customHeight="1" x14ac:dyDescent="2.5">
      <c r="A44" s="68" t="s">
        <v>4</v>
      </c>
      <c r="B44" s="57">
        <v>0</v>
      </c>
      <c r="C44" s="57"/>
      <c r="D44" s="57">
        <f>B44-C44</f>
        <v>0</v>
      </c>
      <c r="E44" s="57">
        <f>D44</f>
        <v>0</v>
      </c>
      <c r="F44" s="57">
        <f>ROUND(E44*(1+$Q$19),1)</f>
        <v>0</v>
      </c>
      <c r="G44" s="57">
        <f>ROUND(F44*(1+$Q$19),1)</f>
        <v>0</v>
      </c>
      <c r="H44" s="58" t="str">
        <f t="shared" si="13"/>
        <v>-</v>
      </c>
      <c r="I44" s="58" t="str">
        <f t="shared" si="14"/>
        <v>-</v>
      </c>
      <c r="J44" s="58" t="str">
        <f t="shared" si="14"/>
        <v>-</v>
      </c>
      <c r="K44" s="37"/>
      <c r="L44" s="37"/>
      <c r="M44" s="11"/>
      <c r="N44" s="7">
        <f t="shared" si="15"/>
        <v>0</v>
      </c>
      <c r="O44" s="11"/>
      <c r="S44" s="29"/>
      <c r="T44" s="29"/>
      <c r="U44" s="29"/>
      <c r="V44" s="29"/>
    </row>
    <row r="45" spans="1:22" s="2" customFormat="1" ht="25.15" customHeight="1" x14ac:dyDescent="2.5">
      <c r="A45" s="68" t="s">
        <v>5</v>
      </c>
      <c r="B45" s="57">
        <v>150</v>
      </c>
      <c r="C45" s="57"/>
      <c r="D45" s="57">
        <f>B45-C45</f>
        <v>150</v>
      </c>
      <c r="E45" s="57">
        <f>D45</f>
        <v>150</v>
      </c>
      <c r="F45" s="57">
        <f>ROUND(E45*(1+$Q$21),1)</f>
        <v>151.80000000000001</v>
      </c>
      <c r="G45" s="57">
        <f>ROUND(F45*(1+$Q$21),1)</f>
        <v>153.6</v>
      </c>
      <c r="H45" s="58">
        <f t="shared" si="13"/>
        <v>0</v>
      </c>
      <c r="I45" s="58">
        <f t="shared" si="14"/>
        <v>1.2000000000000011E-2</v>
      </c>
      <c r="J45" s="58">
        <f t="shared" si="14"/>
        <v>1.1857707509881354E-2</v>
      </c>
      <c r="K45" s="37"/>
      <c r="L45" s="37"/>
      <c r="M45" s="11"/>
      <c r="N45" s="7">
        <f t="shared" si="15"/>
        <v>0</v>
      </c>
      <c r="O45" s="11"/>
      <c r="S45" s="29"/>
      <c r="T45" s="29"/>
      <c r="U45" s="29"/>
      <c r="V45" s="29"/>
    </row>
    <row r="46" spans="1:22" s="3" customFormat="1" ht="25.15" customHeight="1" x14ac:dyDescent="2.5">
      <c r="A46" s="84" t="s">
        <v>52</v>
      </c>
      <c r="B46" s="85">
        <f t="shared" ref="B46:G46" si="25">B47+B48</f>
        <v>592</v>
      </c>
      <c r="C46" s="85">
        <f t="shared" si="25"/>
        <v>0</v>
      </c>
      <c r="D46" s="85">
        <f t="shared" si="25"/>
        <v>592</v>
      </c>
      <c r="E46" s="85">
        <f t="shared" si="25"/>
        <v>592</v>
      </c>
      <c r="F46" s="85">
        <f t="shared" si="25"/>
        <v>615.29999999999995</v>
      </c>
      <c r="G46" s="85">
        <f t="shared" si="25"/>
        <v>639.6</v>
      </c>
      <c r="H46" s="86">
        <f t="shared" si="13"/>
        <v>0</v>
      </c>
      <c r="I46" s="86">
        <f t="shared" si="14"/>
        <v>3.9358108108108025E-2</v>
      </c>
      <c r="J46" s="86">
        <f t="shared" si="14"/>
        <v>3.949293027791323E-2</v>
      </c>
      <c r="K46" s="87"/>
      <c r="L46" s="87"/>
      <c r="M46" s="23"/>
      <c r="N46" s="9">
        <f t="shared" si="15"/>
        <v>0</v>
      </c>
      <c r="O46" s="23"/>
      <c r="S46" s="32"/>
      <c r="T46" s="32"/>
      <c r="U46" s="32"/>
      <c r="V46" s="32"/>
    </row>
    <row r="47" spans="1:22" s="2" customFormat="1" ht="25.15" customHeight="1" x14ac:dyDescent="2.5">
      <c r="A47" s="68" t="s">
        <v>4</v>
      </c>
      <c r="B47" s="57">
        <v>425</v>
      </c>
      <c r="C47" s="57"/>
      <c r="D47" s="57">
        <f>B47-C47</f>
        <v>425</v>
      </c>
      <c r="E47" s="57">
        <f>D47</f>
        <v>425</v>
      </c>
      <c r="F47" s="57">
        <f>ROUND(E47*(1+$Q$19),1)</f>
        <v>446.3</v>
      </c>
      <c r="G47" s="57">
        <f>ROUND(F47*(1+$Q$19),1)</f>
        <v>468.6</v>
      </c>
      <c r="H47" s="58">
        <f t="shared" si="13"/>
        <v>0</v>
      </c>
      <c r="I47" s="58">
        <f t="shared" si="14"/>
        <v>5.01176470588236E-2</v>
      </c>
      <c r="J47" s="58">
        <f t="shared" si="14"/>
        <v>4.996639032041239E-2</v>
      </c>
      <c r="K47" s="37"/>
      <c r="L47" s="37"/>
      <c r="M47" s="11"/>
      <c r="N47" s="7">
        <f t="shared" si="15"/>
        <v>0</v>
      </c>
      <c r="O47" s="11"/>
      <c r="S47" s="29"/>
      <c r="T47" s="29"/>
      <c r="U47" s="29"/>
      <c r="V47" s="29"/>
    </row>
    <row r="48" spans="1:22" s="2" customFormat="1" ht="25.15" customHeight="1" x14ac:dyDescent="2.5">
      <c r="A48" s="68" t="s">
        <v>5</v>
      </c>
      <c r="B48" s="57">
        <v>167</v>
      </c>
      <c r="C48" s="57"/>
      <c r="D48" s="57">
        <f>B48-C48</f>
        <v>167</v>
      </c>
      <c r="E48" s="57">
        <f>D48</f>
        <v>167</v>
      </c>
      <c r="F48" s="57">
        <f>ROUND(E48*(1+$Q$21),1)</f>
        <v>169</v>
      </c>
      <c r="G48" s="57">
        <f>ROUND(F48*(1+$Q$21),1)</f>
        <v>171</v>
      </c>
      <c r="H48" s="58">
        <f t="shared" si="13"/>
        <v>0</v>
      </c>
      <c r="I48" s="58">
        <f t="shared" si="14"/>
        <v>1.1976047904191711E-2</v>
      </c>
      <c r="J48" s="58">
        <f t="shared" si="14"/>
        <v>1.1834319526627279E-2</v>
      </c>
      <c r="K48" s="37"/>
      <c r="L48" s="37"/>
      <c r="M48" s="11"/>
      <c r="N48" s="7">
        <f t="shared" si="15"/>
        <v>0</v>
      </c>
      <c r="O48" s="11"/>
      <c r="S48" s="29"/>
      <c r="T48" s="29"/>
      <c r="U48" s="29"/>
      <c r="V48" s="29"/>
    </row>
    <row r="49" spans="1:22" s="3" customFormat="1" ht="25.15" customHeight="1" x14ac:dyDescent="2.5">
      <c r="A49" s="84" t="s">
        <v>53</v>
      </c>
      <c r="B49" s="85">
        <f t="shared" ref="B49:G49" si="26">B50+B51</f>
        <v>1515.1</v>
      </c>
      <c r="C49" s="85">
        <f t="shared" si="26"/>
        <v>0</v>
      </c>
      <c r="D49" s="85">
        <f t="shared" si="26"/>
        <v>1515.1</v>
      </c>
      <c r="E49" s="85">
        <f t="shared" si="26"/>
        <v>1515.1</v>
      </c>
      <c r="F49" s="85">
        <f t="shared" si="26"/>
        <v>1572.1</v>
      </c>
      <c r="G49" s="85">
        <f t="shared" si="26"/>
        <v>1631.6</v>
      </c>
      <c r="H49" s="86">
        <f t="shared" si="13"/>
        <v>0</v>
      </c>
      <c r="I49" s="86">
        <f t="shared" si="14"/>
        <v>3.7621279123490226E-2</v>
      </c>
      <c r="J49" s="86">
        <f t="shared" si="14"/>
        <v>3.7847465173971084E-2</v>
      </c>
      <c r="K49" s="87"/>
      <c r="L49" s="87"/>
      <c r="M49" s="23"/>
      <c r="N49" s="9">
        <f t="shared" si="15"/>
        <v>0</v>
      </c>
      <c r="O49" s="23"/>
      <c r="S49" s="32"/>
      <c r="T49" s="32"/>
      <c r="U49" s="32"/>
      <c r="V49" s="32"/>
    </row>
    <row r="50" spans="1:22" s="2" customFormat="1" ht="25.15" customHeight="1" x14ac:dyDescent="2.5">
      <c r="A50" s="68" t="s">
        <v>4</v>
      </c>
      <c r="B50" s="57">
        <v>1019.1</v>
      </c>
      <c r="C50" s="57"/>
      <c r="D50" s="57">
        <f>B50-C50</f>
        <v>1019.1</v>
      </c>
      <c r="E50" s="57">
        <f>D50</f>
        <v>1019.1</v>
      </c>
      <c r="F50" s="57">
        <f>ROUND(E50*(1+$Q$19),1)</f>
        <v>1070.0999999999999</v>
      </c>
      <c r="G50" s="57">
        <f>ROUND(F50*(1+$Q$19),1)</f>
        <v>1123.5999999999999</v>
      </c>
      <c r="H50" s="58">
        <f t="shared" si="13"/>
        <v>0</v>
      </c>
      <c r="I50" s="58">
        <f t="shared" si="14"/>
        <v>5.0044156608772372E-2</v>
      </c>
      <c r="J50" s="58">
        <f t="shared" si="14"/>
        <v>4.9995327539482215E-2</v>
      </c>
      <c r="K50" s="37"/>
      <c r="L50" s="37"/>
      <c r="M50" s="11"/>
      <c r="N50" s="7">
        <f t="shared" si="15"/>
        <v>0</v>
      </c>
      <c r="O50" s="11"/>
      <c r="S50" s="29"/>
      <c r="T50" s="29"/>
      <c r="U50" s="29"/>
      <c r="V50" s="29"/>
    </row>
    <row r="51" spans="1:22" s="2" customFormat="1" ht="25.15" customHeight="1" x14ac:dyDescent="2.5">
      <c r="A51" s="68" t="s">
        <v>5</v>
      </c>
      <c r="B51" s="57">
        <v>496</v>
      </c>
      <c r="C51" s="57"/>
      <c r="D51" s="57">
        <f>B51-C51</f>
        <v>496</v>
      </c>
      <c r="E51" s="57">
        <f>D51</f>
        <v>496</v>
      </c>
      <c r="F51" s="57">
        <f>ROUND(E51*(1+$Q$21),1)</f>
        <v>502</v>
      </c>
      <c r="G51" s="57">
        <f>ROUND(F51*(1+$Q$21),1)</f>
        <v>508</v>
      </c>
      <c r="H51" s="58">
        <f t="shared" si="13"/>
        <v>0</v>
      </c>
      <c r="I51" s="58">
        <f t="shared" si="14"/>
        <v>1.2096774193548487E-2</v>
      </c>
      <c r="J51" s="58">
        <f t="shared" si="14"/>
        <v>1.195219123505975E-2</v>
      </c>
      <c r="K51" s="37"/>
      <c r="L51" s="37"/>
      <c r="M51" s="11"/>
      <c r="N51" s="7">
        <f t="shared" si="15"/>
        <v>0</v>
      </c>
      <c r="O51" s="11"/>
      <c r="S51" s="29"/>
      <c r="T51" s="29"/>
      <c r="U51" s="29"/>
      <c r="V51" s="29"/>
    </row>
    <row r="52" spans="1:22" s="3" customFormat="1" ht="25.15" customHeight="1" x14ac:dyDescent="2.5">
      <c r="A52" s="84" t="s">
        <v>54</v>
      </c>
      <c r="B52" s="85">
        <f t="shared" ref="B52:G52" si="27">B53+B54</f>
        <v>509.4</v>
      </c>
      <c r="C52" s="85">
        <f t="shared" si="27"/>
        <v>0</v>
      </c>
      <c r="D52" s="85">
        <f t="shared" si="27"/>
        <v>509.4</v>
      </c>
      <c r="E52" s="85">
        <f t="shared" si="27"/>
        <v>509.4</v>
      </c>
      <c r="F52" s="85">
        <f t="shared" si="27"/>
        <v>530.6</v>
      </c>
      <c r="G52" s="85">
        <f t="shared" si="27"/>
        <v>552.79999999999995</v>
      </c>
      <c r="H52" s="86">
        <f t="shared" si="13"/>
        <v>0</v>
      </c>
      <c r="I52" s="86">
        <f t="shared" si="14"/>
        <v>4.1617589320769532E-2</v>
      </c>
      <c r="J52" s="86">
        <f t="shared" si="14"/>
        <v>4.1839427063701251E-2</v>
      </c>
      <c r="K52" s="87"/>
      <c r="L52" s="87"/>
      <c r="M52" s="23"/>
      <c r="N52" s="9">
        <f t="shared" si="15"/>
        <v>0</v>
      </c>
      <c r="O52" s="23"/>
      <c r="S52" s="32"/>
      <c r="T52" s="32"/>
      <c r="U52" s="32"/>
      <c r="V52" s="32"/>
    </row>
    <row r="53" spans="1:22" s="2" customFormat="1" ht="25.15" customHeight="1" x14ac:dyDescent="2.5">
      <c r="A53" s="68" t="s">
        <v>4</v>
      </c>
      <c r="B53" s="57">
        <v>396.4</v>
      </c>
      <c r="C53" s="57"/>
      <c r="D53" s="57">
        <f>B53-C53</f>
        <v>396.4</v>
      </c>
      <c r="E53" s="57">
        <f>D53</f>
        <v>396.4</v>
      </c>
      <c r="F53" s="57">
        <f>ROUND(E53*(1+$Q$19),1)</f>
        <v>416.2</v>
      </c>
      <c r="G53" s="57">
        <f>ROUND(F53*(1+$Q$19),1)</f>
        <v>437</v>
      </c>
      <c r="H53" s="58">
        <f t="shared" si="13"/>
        <v>0</v>
      </c>
      <c r="I53" s="58">
        <f t="shared" si="14"/>
        <v>4.9949545913219096E-2</v>
      </c>
      <c r="J53" s="58">
        <f t="shared" si="14"/>
        <v>4.997597308986057E-2</v>
      </c>
      <c r="K53" s="37"/>
      <c r="L53" s="37"/>
      <c r="M53" s="11"/>
      <c r="N53" s="7">
        <f t="shared" si="15"/>
        <v>0</v>
      </c>
      <c r="O53" s="11"/>
      <c r="S53" s="29"/>
      <c r="T53" s="29"/>
      <c r="U53" s="29"/>
      <c r="V53" s="29"/>
    </row>
    <row r="54" spans="1:22" s="2" customFormat="1" ht="25.15" customHeight="1" x14ac:dyDescent="2.5">
      <c r="A54" s="68" t="s">
        <v>5</v>
      </c>
      <c r="B54" s="57">
        <v>113</v>
      </c>
      <c r="C54" s="57"/>
      <c r="D54" s="57">
        <f>B54-C54</f>
        <v>113</v>
      </c>
      <c r="E54" s="57">
        <f>D54</f>
        <v>113</v>
      </c>
      <c r="F54" s="57">
        <f>ROUND(E54*(1+$Q$21),1)</f>
        <v>114.4</v>
      </c>
      <c r="G54" s="57">
        <f>ROUND(F54*(1+$Q$21),1)</f>
        <v>115.8</v>
      </c>
      <c r="H54" s="58">
        <f t="shared" si="13"/>
        <v>0</v>
      </c>
      <c r="I54" s="58">
        <f t="shared" si="14"/>
        <v>1.2389380530973604E-2</v>
      </c>
      <c r="J54" s="58">
        <f t="shared" si="14"/>
        <v>1.2237762237762073E-2</v>
      </c>
      <c r="K54" s="37"/>
      <c r="L54" s="37"/>
      <c r="M54" s="11"/>
      <c r="N54" s="7">
        <f t="shared" si="15"/>
        <v>0</v>
      </c>
      <c r="O54" s="11"/>
      <c r="S54" s="29"/>
      <c r="T54" s="29"/>
      <c r="U54" s="29"/>
      <c r="V54" s="29"/>
    </row>
    <row r="55" spans="1:22" s="3" customFormat="1" ht="25.15" customHeight="1" x14ac:dyDescent="2.5">
      <c r="A55" s="84" t="s">
        <v>55</v>
      </c>
      <c r="B55" s="85">
        <f t="shared" ref="B55:G55" si="28">B56+B57</f>
        <v>894.9</v>
      </c>
      <c r="C55" s="85">
        <f t="shared" si="28"/>
        <v>72</v>
      </c>
      <c r="D55" s="85">
        <f t="shared" si="28"/>
        <v>822.9</v>
      </c>
      <c r="E55" s="85">
        <f t="shared" si="28"/>
        <v>822.9</v>
      </c>
      <c r="F55" s="85">
        <f t="shared" si="28"/>
        <v>853.1</v>
      </c>
      <c r="G55" s="85">
        <f t="shared" si="28"/>
        <v>884.6</v>
      </c>
      <c r="H55" s="86">
        <f t="shared" si="13"/>
        <v>-8.0455916862219201E-2</v>
      </c>
      <c r="I55" s="86">
        <f t="shared" si="14"/>
        <v>3.6699477457771357E-2</v>
      </c>
      <c r="J55" s="86">
        <f t="shared" si="14"/>
        <v>3.6924158949712904E-2</v>
      </c>
      <c r="K55" s="87"/>
      <c r="L55" s="87"/>
      <c r="M55" s="23"/>
      <c r="N55" s="9">
        <f t="shared" si="15"/>
        <v>-72</v>
      </c>
      <c r="O55" s="23"/>
      <c r="S55" s="32"/>
      <c r="T55" s="32"/>
      <c r="U55" s="32"/>
      <c r="V55" s="32"/>
    </row>
    <row r="56" spans="1:22" s="2" customFormat="1" ht="25.15" customHeight="1" x14ac:dyDescent="2.5">
      <c r="A56" s="68" t="s">
        <v>4</v>
      </c>
      <c r="B56" s="57">
        <v>533.9</v>
      </c>
      <c r="C56" s="57"/>
      <c r="D56" s="57">
        <f>B56-C56</f>
        <v>533.9</v>
      </c>
      <c r="E56" s="57">
        <f>D56</f>
        <v>533.9</v>
      </c>
      <c r="F56" s="57">
        <f>ROUND(E56*(1+$Q$19),1)</f>
        <v>560.6</v>
      </c>
      <c r="G56" s="57">
        <f>ROUND(F56*(1+$Q$19),1)</f>
        <v>588.6</v>
      </c>
      <c r="H56" s="58">
        <f t="shared" si="13"/>
        <v>0</v>
      </c>
      <c r="I56" s="58">
        <f t="shared" si="14"/>
        <v>5.0009365049634935E-2</v>
      </c>
      <c r="J56" s="58">
        <f t="shared" si="14"/>
        <v>4.9946485907955696E-2</v>
      </c>
      <c r="K56" s="37"/>
      <c r="L56" s="37"/>
      <c r="M56" s="11"/>
      <c r="N56" s="7">
        <f t="shared" si="15"/>
        <v>0</v>
      </c>
      <c r="O56" s="11"/>
      <c r="S56" s="29"/>
      <c r="T56" s="29"/>
      <c r="U56" s="29"/>
      <c r="V56" s="29"/>
    </row>
    <row r="57" spans="1:22" s="2" customFormat="1" ht="25.15" customHeight="1" x14ac:dyDescent="2.5">
      <c r="A57" s="68" t="s">
        <v>5</v>
      </c>
      <c r="B57" s="57">
        <v>361</v>
      </c>
      <c r="C57" s="57">
        <v>72</v>
      </c>
      <c r="D57" s="57">
        <f>B57-C57</f>
        <v>289</v>
      </c>
      <c r="E57" s="57">
        <f>D57</f>
        <v>289</v>
      </c>
      <c r="F57" s="57">
        <f>ROUND(E57*(1+$Q$21),1)</f>
        <v>292.5</v>
      </c>
      <c r="G57" s="57">
        <f>ROUND(F57*(1+$Q$21),1)</f>
        <v>296</v>
      </c>
      <c r="H57" s="58">
        <f t="shared" si="13"/>
        <v>-0.19944598337950137</v>
      </c>
      <c r="I57" s="58">
        <f t="shared" si="14"/>
        <v>1.211072664359869E-2</v>
      </c>
      <c r="J57" s="58">
        <f t="shared" si="14"/>
        <v>1.1965811965811923E-2</v>
      </c>
      <c r="K57" s="37"/>
      <c r="L57" s="37" t="s">
        <v>88</v>
      </c>
      <c r="M57" s="11"/>
      <c r="N57" s="7">
        <f t="shared" si="15"/>
        <v>-72</v>
      </c>
      <c r="O57" s="98">
        <f>C57/$C$27</f>
        <v>1.1908306043465317E-2</v>
      </c>
      <c r="P57" s="99">
        <f>ROUND(O57*$T$18,1)</f>
        <v>0</v>
      </c>
      <c r="S57" s="29"/>
      <c r="T57" s="29"/>
      <c r="U57" s="29"/>
      <c r="V57" s="29"/>
    </row>
    <row r="58" spans="1:22" s="3" customFormat="1" ht="25.15" customHeight="1" x14ac:dyDescent="2.5">
      <c r="A58" s="84" t="s">
        <v>56</v>
      </c>
      <c r="B58" s="85">
        <f t="shared" ref="B58:G58" si="29">B59+B60</f>
        <v>671.3</v>
      </c>
      <c r="C58" s="85">
        <f t="shared" si="29"/>
        <v>0</v>
      </c>
      <c r="D58" s="85">
        <f t="shared" si="29"/>
        <v>671.3</v>
      </c>
      <c r="E58" s="85">
        <f t="shared" si="29"/>
        <v>671.3</v>
      </c>
      <c r="F58" s="85">
        <f t="shared" si="29"/>
        <v>700.3</v>
      </c>
      <c r="G58" s="85">
        <f t="shared" si="29"/>
        <v>730.69999999999993</v>
      </c>
      <c r="H58" s="86">
        <f t="shared" si="13"/>
        <v>0</v>
      </c>
      <c r="I58" s="86">
        <f t="shared" si="14"/>
        <v>4.3199761656487423E-2</v>
      </c>
      <c r="J58" s="86">
        <f t="shared" si="14"/>
        <v>4.3409967156932794E-2</v>
      </c>
      <c r="K58" s="87"/>
      <c r="L58" s="87"/>
      <c r="M58" s="23"/>
      <c r="N58" s="9">
        <f t="shared" si="15"/>
        <v>0</v>
      </c>
      <c r="O58" s="23"/>
      <c r="S58" s="32"/>
      <c r="T58" s="32"/>
      <c r="U58" s="32"/>
      <c r="V58" s="32"/>
    </row>
    <row r="59" spans="1:22" s="2" customFormat="1" ht="25.15" customHeight="1" x14ac:dyDescent="2.5">
      <c r="A59" s="68" t="s">
        <v>4</v>
      </c>
      <c r="B59" s="57">
        <v>551.29999999999995</v>
      </c>
      <c r="C59" s="57"/>
      <c r="D59" s="57">
        <f>B59-C59</f>
        <v>551.29999999999995</v>
      </c>
      <c r="E59" s="57">
        <f>D59</f>
        <v>551.29999999999995</v>
      </c>
      <c r="F59" s="57">
        <f>ROUND(E59*(1+$Q$19),1)</f>
        <v>578.9</v>
      </c>
      <c r="G59" s="57">
        <f>ROUND(F59*(1+$Q$19),1)</f>
        <v>607.79999999999995</v>
      </c>
      <c r="H59" s="58">
        <f t="shared" si="13"/>
        <v>0</v>
      </c>
      <c r="I59" s="58">
        <f t="shared" si="14"/>
        <v>5.0063486305097049E-2</v>
      </c>
      <c r="J59" s="58">
        <f t="shared" si="14"/>
        <v>4.992226636724828E-2</v>
      </c>
      <c r="K59" s="37"/>
      <c r="L59" s="37"/>
      <c r="M59" s="11"/>
      <c r="N59" s="7">
        <f t="shared" si="15"/>
        <v>0</v>
      </c>
      <c r="O59" s="11"/>
      <c r="S59" s="29"/>
      <c r="T59" s="29"/>
      <c r="U59" s="29"/>
      <c r="V59" s="29"/>
    </row>
    <row r="60" spans="1:22" s="2" customFormat="1" ht="25.15" customHeight="1" x14ac:dyDescent="2.5">
      <c r="A60" s="68" t="s">
        <v>5</v>
      </c>
      <c r="B60" s="57">
        <v>120</v>
      </c>
      <c r="C60" s="57"/>
      <c r="D60" s="57">
        <f>B60-C60</f>
        <v>120</v>
      </c>
      <c r="E60" s="57">
        <f>D60</f>
        <v>120</v>
      </c>
      <c r="F60" s="57">
        <f>ROUND(E60*(1+$Q$21),1)</f>
        <v>121.4</v>
      </c>
      <c r="G60" s="57">
        <f>ROUND(F60*(1+$Q$21),1)</f>
        <v>122.9</v>
      </c>
      <c r="H60" s="58">
        <f t="shared" si="13"/>
        <v>0</v>
      </c>
      <c r="I60" s="58">
        <f t="shared" si="14"/>
        <v>1.1666666666666714E-2</v>
      </c>
      <c r="J60" s="58">
        <f t="shared" si="14"/>
        <v>1.2355848434925765E-2</v>
      </c>
      <c r="K60" s="37"/>
      <c r="L60" s="37"/>
      <c r="M60" s="11"/>
      <c r="N60" s="7">
        <f t="shared" si="15"/>
        <v>0</v>
      </c>
      <c r="O60" s="11"/>
      <c r="S60" s="29"/>
      <c r="T60" s="29"/>
      <c r="U60" s="29"/>
      <c r="V60" s="29"/>
    </row>
    <row r="61" spans="1:22" s="3" customFormat="1" ht="25.15" customHeight="1" x14ac:dyDescent="2.5">
      <c r="A61" s="84" t="s">
        <v>57</v>
      </c>
      <c r="B61" s="85">
        <f t="shared" ref="B61:G61" si="30">B62+B63</f>
        <v>78640.5</v>
      </c>
      <c r="C61" s="85">
        <f t="shared" si="30"/>
        <v>0</v>
      </c>
      <c r="D61" s="85">
        <f t="shared" si="30"/>
        <v>78640.5</v>
      </c>
      <c r="E61" s="85">
        <f t="shared" si="30"/>
        <v>54790.5</v>
      </c>
      <c r="F61" s="85">
        <f t="shared" si="30"/>
        <v>56300.899999999994</v>
      </c>
      <c r="G61" s="85">
        <f t="shared" si="30"/>
        <v>57872.1</v>
      </c>
      <c r="H61" s="86">
        <f t="shared" si="13"/>
        <v>-0.30327884487000978</v>
      </c>
      <c r="I61" s="86">
        <f t="shared" si="14"/>
        <v>2.7566822715616723E-2</v>
      </c>
      <c r="J61" s="86">
        <f t="shared" si="14"/>
        <v>2.7907191536902687E-2</v>
      </c>
      <c r="K61" s="87"/>
      <c r="L61" s="87"/>
      <c r="M61" s="23"/>
      <c r="N61" s="9">
        <f t="shared" si="15"/>
        <v>-23850</v>
      </c>
      <c r="O61" s="23"/>
      <c r="S61" s="32"/>
      <c r="T61" s="32"/>
      <c r="U61" s="32"/>
      <c r="V61" s="32"/>
    </row>
    <row r="62" spans="1:22" s="2" customFormat="1" ht="25.15" customHeight="1" x14ac:dyDescent="2.5">
      <c r="A62" s="68" t="s">
        <v>4</v>
      </c>
      <c r="B62" s="57">
        <v>46446.3</v>
      </c>
      <c r="C62" s="57"/>
      <c r="D62" s="57">
        <f>B62-C62</f>
        <v>46446.3</v>
      </c>
      <c r="E62" s="57">
        <f>D62-24000</f>
        <v>22446.300000000003</v>
      </c>
      <c r="F62" s="57">
        <f>ROUND(E62*(1+$Q$19),1)</f>
        <v>23568.6</v>
      </c>
      <c r="G62" s="57">
        <f>ROUND(F62*(1+$Q$19),1)</f>
        <v>24747</v>
      </c>
      <c r="H62" s="58">
        <f t="shared" si="13"/>
        <v>-0.51672576717628749</v>
      </c>
      <c r="I62" s="58">
        <f t="shared" si="14"/>
        <v>4.9999331738415531E-2</v>
      </c>
      <c r="J62" s="58">
        <f t="shared" si="14"/>
        <v>4.9998727119981767E-2</v>
      </c>
      <c r="K62" s="37"/>
      <c r="L62" s="37" t="s">
        <v>78</v>
      </c>
      <c r="M62" s="11"/>
      <c r="N62" s="7">
        <f t="shared" si="15"/>
        <v>-24000</v>
      </c>
      <c r="O62" s="11"/>
      <c r="S62" s="29"/>
      <c r="T62" s="29"/>
      <c r="U62" s="29"/>
      <c r="V62" s="29"/>
    </row>
    <row r="63" spans="1:22" s="2" customFormat="1" ht="25.15" customHeight="1" x14ac:dyDescent="2.5">
      <c r="A63" s="68" t="s">
        <v>5</v>
      </c>
      <c r="B63" s="57">
        <v>32194.2</v>
      </c>
      <c r="C63" s="57"/>
      <c r="D63" s="57">
        <f>B63-C63</f>
        <v>32194.2</v>
      </c>
      <c r="E63" s="57">
        <f>D63+150</f>
        <v>32344.2</v>
      </c>
      <c r="F63" s="57">
        <f>ROUND(E63*(1+$Q$21),1)</f>
        <v>32732.3</v>
      </c>
      <c r="G63" s="57">
        <f>ROUND(F63*(1+$Q$21),1)</f>
        <v>33125.1</v>
      </c>
      <c r="H63" s="58">
        <f t="shared" si="13"/>
        <v>4.6592243323331228E-3</v>
      </c>
      <c r="I63" s="58">
        <f t="shared" si="14"/>
        <v>1.1999060109695092E-2</v>
      </c>
      <c r="J63" s="58">
        <f t="shared" si="14"/>
        <v>1.2000378830696157E-2</v>
      </c>
      <c r="K63" s="37"/>
      <c r="L63" s="37" t="s">
        <v>118</v>
      </c>
      <c r="M63" s="11"/>
      <c r="N63" s="7">
        <f t="shared" si="15"/>
        <v>150</v>
      </c>
      <c r="O63" s="11"/>
      <c r="S63" s="29"/>
      <c r="T63" s="29"/>
      <c r="U63" s="29"/>
      <c r="V63" s="29"/>
    </row>
    <row r="64" spans="1:22" s="3" customFormat="1" ht="25.15" customHeight="1" x14ac:dyDescent="2.5">
      <c r="A64" s="84" t="s">
        <v>58</v>
      </c>
      <c r="B64" s="85">
        <f t="shared" ref="B64:G64" si="31">B65+B66</f>
        <v>223280.8</v>
      </c>
      <c r="C64" s="85">
        <f t="shared" si="31"/>
        <v>3800</v>
      </c>
      <c r="D64" s="85">
        <f t="shared" si="31"/>
        <v>219480.8</v>
      </c>
      <c r="E64" s="85">
        <f t="shared" si="31"/>
        <v>219480.8</v>
      </c>
      <c r="F64" s="85">
        <f t="shared" si="31"/>
        <v>223828.7</v>
      </c>
      <c r="G64" s="85">
        <f t="shared" si="31"/>
        <v>228314.5</v>
      </c>
      <c r="H64" s="86">
        <f t="shared" si="13"/>
        <v>-1.7018928631570618E-2</v>
      </c>
      <c r="I64" s="86">
        <f t="shared" si="14"/>
        <v>1.9809933260677148E-2</v>
      </c>
      <c r="J64" s="86">
        <f t="shared" si="14"/>
        <v>2.0041219021510681E-2</v>
      </c>
      <c r="K64" s="87"/>
      <c r="L64" s="87"/>
      <c r="M64" s="23"/>
      <c r="N64" s="9">
        <f t="shared" si="15"/>
        <v>-3800</v>
      </c>
      <c r="O64" s="23"/>
      <c r="S64" s="32"/>
      <c r="T64" s="32"/>
      <c r="U64" s="32"/>
      <c r="V64" s="32"/>
    </row>
    <row r="65" spans="1:22" s="2" customFormat="1" ht="25.15" customHeight="1" x14ac:dyDescent="2.5">
      <c r="A65" s="68" t="s">
        <v>4</v>
      </c>
      <c r="B65" s="57">
        <v>45374.8</v>
      </c>
      <c r="C65" s="57">
        <v>264</v>
      </c>
      <c r="D65" s="57">
        <f>B65-C65</f>
        <v>45110.8</v>
      </c>
      <c r="E65" s="57">
        <f>D65</f>
        <v>45110.8</v>
      </c>
      <c r="F65" s="57">
        <f>ROUND(E65*(1+$Q$19),1)</f>
        <v>47366.3</v>
      </c>
      <c r="G65" s="57">
        <f>ROUND(F65*(1+$Q$19),1)</f>
        <v>49734.6</v>
      </c>
      <c r="H65" s="58">
        <f t="shared" si="13"/>
        <v>-5.8182074631734082E-3</v>
      </c>
      <c r="I65" s="58">
        <f t="shared" si="14"/>
        <v>4.999911329437734E-2</v>
      </c>
      <c r="J65" s="58">
        <f t="shared" si="14"/>
        <v>4.9999683319152943E-2</v>
      </c>
      <c r="K65" s="37"/>
      <c r="L65" s="37" t="s">
        <v>116</v>
      </c>
      <c r="M65" s="11"/>
      <c r="N65" s="7">
        <f t="shared" si="15"/>
        <v>-264</v>
      </c>
      <c r="O65" s="11"/>
      <c r="S65" s="29"/>
      <c r="T65" s="29"/>
      <c r="U65" s="29"/>
      <c r="V65" s="29"/>
    </row>
    <row r="66" spans="1:22" s="2" customFormat="1" ht="25.15" customHeight="1" x14ac:dyDescent="2.5">
      <c r="A66" s="68" t="s">
        <v>5</v>
      </c>
      <c r="B66" s="57">
        <v>177906</v>
      </c>
      <c r="C66" s="57">
        <f>330+3206</f>
        <v>3536</v>
      </c>
      <c r="D66" s="57">
        <f>B66-C66</f>
        <v>174370</v>
      </c>
      <c r="E66" s="57">
        <f>D66</f>
        <v>174370</v>
      </c>
      <c r="F66" s="57">
        <f>ROUND(E66*(1+$Q$21),1)</f>
        <v>176462.4</v>
      </c>
      <c r="G66" s="57">
        <f>ROUND(F66*(1+$Q$21),1)</f>
        <v>178579.9</v>
      </c>
      <c r="H66" s="58">
        <f t="shared" si="13"/>
        <v>-1.9875664676851867E-2</v>
      </c>
      <c r="I66" s="58">
        <f t="shared" si="14"/>
        <v>1.1999770602741267E-2</v>
      </c>
      <c r="J66" s="58">
        <f t="shared" si="14"/>
        <v>1.1999723453834932E-2</v>
      </c>
      <c r="K66" s="37"/>
      <c r="L66" s="37" t="s">
        <v>89</v>
      </c>
      <c r="M66" s="11"/>
      <c r="N66" s="7">
        <f t="shared" si="15"/>
        <v>-3536</v>
      </c>
      <c r="O66" s="98">
        <f>C66/$C$27</f>
        <v>0.58483014124574118</v>
      </c>
      <c r="P66" s="99">
        <f>ROUND(O66*$T$18,1)</f>
        <v>0</v>
      </c>
      <c r="S66" s="29"/>
      <c r="T66" s="29"/>
      <c r="U66" s="29"/>
      <c r="V66" s="29"/>
    </row>
    <row r="67" spans="1:22" s="3" customFormat="1" ht="25.15" customHeight="1" x14ac:dyDescent="2.5">
      <c r="A67" s="84" t="s">
        <v>59</v>
      </c>
      <c r="B67" s="85">
        <f t="shared" ref="B67:G67" si="32">B68+B69</f>
        <v>6227.8</v>
      </c>
      <c r="C67" s="85">
        <f t="shared" si="32"/>
        <v>0</v>
      </c>
      <c r="D67" s="85">
        <f t="shared" si="32"/>
        <v>6227.8</v>
      </c>
      <c r="E67" s="85">
        <f t="shared" si="32"/>
        <v>6327.8</v>
      </c>
      <c r="F67" s="85">
        <f t="shared" si="32"/>
        <v>6480.7000000000007</v>
      </c>
      <c r="G67" s="85">
        <f t="shared" si="32"/>
        <v>6639.3</v>
      </c>
      <c r="H67" s="86">
        <f t="shared" si="13"/>
        <v>1.6057034586852481E-2</v>
      </c>
      <c r="I67" s="86">
        <f t="shared" si="14"/>
        <v>2.4163216283700661E-2</v>
      </c>
      <c r="J67" s="86">
        <f t="shared" si="14"/>
        <v>2.4472664989892978E-2</v>
      </c>
      <c r="K67" s="87"/>
      <c r="L67" s="87"/>
      <c r="M67" s="23"/>
      <c r="N67" s="9">
        <f t="shared" si="15"/>
        <v>100</v>
      </c>
      <c r="O67" s="23"/>
      <c r="S67" s="32"/>
      <c r="T67" s="32"/>
      <c r="U67" s="32"/>
      <c r="V67" s="32"/>
    </row>
    <row r="68" spans="1:22" s="2" customFormat="1" ht="25.15" customHeight="1" x14ac:dyDescent="2.5">
      <c r="A68" s="68" t="s">
        <v>4</v>
      </c>
      <c r="B68" s="57">
        <v>2026.8</v>
      </c>
      <c r="C68" s="57"/>
      <c r="D68" s="57">
        <f>B68-C68</f>
        <v>2026.8</v>
      </c>
      <c r="E68" s="57">
        <f>D68</f>
        <v>2026.8</v>
      </c>
      <c r="F68" s="57">
        <f>ROUND(E68*(1+$Q$19),1)</f>
        <v>2128.1</v>
      </c>
      <c r="G68" s="57">
        <f>ROUND(F68*(1+$Q$19),1)</f>
        <v>2234.5</v>
      </c>
      <c r="H68" s="58">
        <f t="shared" si="13"/>
        <v>0</v>
      </c>
      <c r="I68" s="58">
        <f t="shared" si="14"/>
        <v>4.9980264456285672E-2</v>
      </c>
      <c r="J68" s="58">
        <f t="shared" si="14"/>
        <v>4.9997650486349299E-2</v>
      </c>
      <c r="K68" s="37"/>
      <c r="L68" s="37"/>
      <c r="M68" s="11"/>
      <c r="N68" s="7">
        <f t="shared" si="15"/>
        <v>0</v>
      </c>
      <c r="O68" s="11"/>
      <c r="S68" s="29"/>
      <c r="T68" s="29"/>
      <c r="U68" s="29"/>
      <c r="V68" s="29"/>
    </row>
    <row r="69" spans="1:22" s="2" customFormat="1" ht="25.15" customHeight="1" x14ac:dyDescent="2.5">
      <c r="A69" s="68" t="s">
        <v>5</v>
      </c>
      <c r="B69" s="57">
        <v>4201</v>
      </c>
      <c r="C69" s="57"/>
      <c r="D69" s="57">
        <f>B69-C69</f>
        <v>4201</v>
      </c>
      <c r="E69" s="57">
        <f>D69+100</f>
        <v>4301</v>
      </c>
      <c r="F69" s="57">
        <f>ROUND(E69*(1+$Q$21),1)</f>
        <v>4352.6000000000004</v>
      </c>
      <c r="G69" s="57">
        <f>ROUND(F69*(1+$Q$21),1)</f>
        <v>4404.8</v>
      </c>
      <c r="H69" s="58">
        <f t="shared" si="13"/>
        <v>2.3803856224708486E-2</v>
      </c>
      <c r="I69" s="58">
        <f t="shared" si="14"/>
        <v>1.1997209951174259E-2</v>
      </c>
      <c r="J69" s="58">
        <f t="shared" si="14"/>
        <v>1.1992831870605958E-2</v>
      </c>
      <c r="K69" s="37"/>
      <c r="L69" s="37" t="s">
        <v>134</v>
      </c>
      <c r="M69" s="11"/>
      <c r="N69" s="7">
        <f t="shared" si="15"/>
        <v>100</v>
      </c>
      <c r="O69" s="11"/>
      <c r="S69" s="29"/>
      <c r="T69" s="29"/>
      <c r="U69" s="29"/>
      <c r="V69" s="29"/>
    </row>
    <row r="70" spans="1:22" s="3" customFormat="1" ht="25.15" customHeight="1" x14ac:dyDescent="2.5">
      <c r="A70" s="84" t="s">
        <v>137</v>
      </c>
      <c r="B70" s="85">
        <f t="shared" ref="B70:G70" si="33">B71+B72</f>
        <v>1837.4</v>
      </c>
      <c r="C70" s="85">
        <f t="shared" si="33"/>
        <v>0</v>
      </c>
      <c r="D70" s="85">
        <f t="shared" si="33"/>
        <v>1837.4</v>
      </c>
      <c r="E70" s="85">
        <f t="shared" si="33"/>
        <v>1837.4</v>
      </c>
      <c r="F70" s="85">
        <f t="shared" si="33"/>
        <v>1879</v>
      </c>
      <c r="G70" s="85">
        <f t="shared" si="33"/>
        <v>1922.1</v>
      </c>
      <c r="H70" s="86">
        <f t="shared" si="13"/>
        <v>0</v>
      </c>
      <c r="I70" s="86">
        <f t="shared" si="14"/>
        <v>2.2640687928594749E-2</v>
      </c>
      <c r="J70" s="86">
        <f t="shared" si="14"/>
        <v>2.2937732836615154E-2</v>
      </c>
      <c r="K70" s="87"/>
      <c r="L70" s="87"/>
      <c r="M70" s="23"/>
      <c r="N70" s="9">
        <f t="shared" si="15"/>
        <v>0</v>
      </c>
      <c r="O70" s="23"/>
      <c r="S70" s="32"/>
      <c r="T70" s="32"/>
      <c r="U70" s="32"/>
      <c r="V70" s="32"/>
    </row>
    <row r="71" spans="1:22" s="2" customFormat="1" ht="25.15" customHeight="1" x14ac:dyDescent="2.5">
      <c r="A71" s="68" t="s">
        <v>4</v>
      </c>
      <c r="B71" s="57">
        <v>514.4</v>
      </c>
      <c r="C71" s="57"/>
      <c r="D71" s="57">
        <f>B71-C71</f>
        <v>514.4</v>
      </c>
      <c r="E71" s="57">
        <f>D71</f>
        <v>514.4</v>
      </c>
      <c r="F71" s="57">
        <f>ROUND(E71*(1+$Q$19),1)</f>
        <v>540.1</v>
      </c>
      <c r="G71" s="57">
        <f>ROUND(F71*(1+$Q$19),1)</f>
        <v>567.1</v>
      </c>
      <c r="H71" s="58">
        <f t="shared" si="13"/>
        <v>0</v>
      </c>
      <c r="I71" s="58">
        <f t="shared" si="14"/>
        <v>4.9961119751166461E-2</v>
      </c>
      <c r="J71" s="58">
        <f t="shared" si="14"/>
        <v>4.9990742455100934E-2</v>
      </c>
      <c r="K71" s="37"/>
      <c r="L71" s="37"/>
      <c r="M71" s="11"/>
      <c r="N71" s="7">
        <f t="shared" si="15"/>
        <v>0</v>
      </c>
      <c r="O71" s="11"/>
      <c r="S71" s="29"/>
      <c r="T71" s="29"/>
      <c r="U71" s="29"/>
      <c r="V71" s="29"/>
    </row>
    <row r="72" spans="1:22" s="2" customFormat="1" ht="25.15" customHeight="1" x14ac:dyDescent="2.5">
      <c r="A72" s="68" t="s">
        <v>5</v>
      </c>
      <c r="B72" s="57">
        <v>1323</v>
      </c>
      <c r="C72" s="57"/>
      <c r="D72" s="57">
        <f>B72-C72</f>
        <v>1323</v>
      </c>
      <c r="E72" s="57">
        <f>D72</f>
        <v>1323</v>
      </c>
      <c r="F72" s="57">
        <f>ROUND(E72*(1+$Q$21),1)</f>
        <v>1338.9</v>
      </c>
      <c r="G72" s="57">
        <f>ROUND(F72*(1+$Q$21),1)</f>
        <v>1355</v>
      </c>
      <c r="H72" s="58">
        <f t="shared" si="13"/>
        <v>0</v>
      </c>
      <c r="I72" s="58">
        <f t="shared" si="14"/>
        <v>1.2018140589569182E-2</v>
      </c>
      <c r="J72" s="58">
        <f t="shared" si="14"/>
        <v>1.2024796474717991E-2</v>
      </c>
      <c r="K72" s="37"/>
      <c r="L72" s="37"/>
      <c r="M72" s="11"/>
      <c r="N72" s="7">
        <f t="shared" si="15"/>
        <v>0</v>
      </c>
      <c r="O72" s="11"/>
      <c r="S72" s="29"/>
      <c r="T72" s="29"/>
      <c r="U72" s="29"/>
      <c r="V72" s="29"/>
    </row>
    <row r="73" spans="1:22" s="3" customFormat="1" ht="25.15" customHeight="1" x14ac:dyDescent="2.5">
      <c r="A73" s="84" t="s">
        <v>60</v>
      </c>
      <c r="B73" s="85">
        <f t="shared" ref="B73:G73" si="34">B74+B75</f>
        <v>7995.2</v>
      </c>
      <c r="C73" s="85">
        <f t="shared" si="34"/>
        <v>0</v>
      </c>
      <c r="D73" s="85">
        <f t="shared" si="34"/>
        <v>7995.2</v>
      </c>
      <c r="E73" s="85">
        <f t="shared" si="34"/>
        <v>8295.2000000000007</v>
      </c>
      <c r="F73" s="85">
        <f t="shared" si="34"/>
        <v>8589.7000000000007</v>
      </c>
      <c r="G73" s="85">
        <f t="shared" si="34"/>
        <v>8897.4</v>
      </c>
      <c r="H73" s="86">
        <f t="shared" si="13"/>
        <v>3.7522513508104982E-2</v>
      </c>
      <c r="I73" s="86">
        <f t="shared" si="14"/>
        <v>3.5502459253544227E-2</v>
      </c>
      <c r="J73" s="86">
        <f t="shared" si="14"/>
        <v>3.5821972827921655E-2</v>
      </c>
      <c r="K73" s="87"/>
      <c r="L73" s="87"/>
      <c r="M73" s="23"/>
      <c r="N73" s="9">
        <f t="shared" si="15"/>
        <v>300.00000000000091</v>
      </c>
      <c r="O73" s="23"/>
      <c r="S73" s="32"/>
      <c r="T73" s="32"/>
      <c r="U73" s="32"/>
      <c r="V73" s="32"/>
    </row>
    <row r="74" spans="1:22" s="2" customFormat="1" ht="25.15" customHeight="1" x14ac:dyDescent="2.5">
      <c r="A74" s="68" t="s">
        <v>4</v>
      </c>
      <c r="B74" s="57">
        <v>5129.2</v>
      </c>
      <c r="C74" s="57"/>
      <c r="D74" s="57">
        <f>B74-C74</f>
        <v>5129.2</v>
      </c>
      <c r="E74" s="57">
        <f>D74</f>
        <v>5129.2</v>
      </c>
      <c r="F74" s="57">
        <f>ROUND(E74*(1+$Q$19),1)</f>
        <v>5385.7</v>
      </c>
      <c r="G74" s="57">
        <f>ROUND(F74*(1+$Q$19),1)</f>
        <v>5655</v>
      </c>
      <c r="H74" s="58">
        <f t="shared" si="13"/>
        <v>0</v>
      </c>
      <c r="I74" s="58">
        <f t="shared" si="14"/>
        <v>5.0007798487093469E-2</v>
      </c>
      <c r="J74" s="58">
        <f t="shared" si="14"/>
        <v>5.0002785153276275E-2</v>
      </c>
      <c r="K74" s="37"/>
      <c r="L74" s="37"/>
      <c r="M74" s="11"/>
      <c r="N74" s="7">
        <f t="shared" si="15"/>
        <v>0</v>
      </c>
      <c r="O74" s="11"/>
      <c r="S74" s="29"/>
      <c r="T74" s="29"/>
      <c r="U74" s="29"/>
      <c r="V74" s="29"/>
    </row>
    <row r="75" spans="1:22" s="2" customFormat="1" ht="25.15" customHeight="1" x14ac:dyDescent="2.5">
      <c r="A75" s="68" t="s">
        <v>5</v>
      </c>
      <c r="B75" s="57">
        <v>2866</v>
      </c>
      <c r="C75" s="57"/>
      <c r="D75" s="57">
        <f>B75-C75</f>
        <v>2866</v>
      </c>
      <c r="E75" s="57">
        <f>D75+150+150</f>
        <v>3166</v>
      </c>
      <c r="F75" s="57">
        <f>ROUND(E75*(1+$Q$21),1)</f>
        <v>3204</v>
      </c>
      <c r="G75" s="57">
        <f>ROUND(F75*(1+$Q$21),1)</f>
        <v>3242.4</v>
      </c>
      <c r="H75" s="58">
        <f t="shared" si="13"/>
        <v>0.10467550593161201</v>
      </c>
      <c r="I75" s="58">
        <f t="shared" si="14"/>
        <v>1.2002526847757489E-2</v>
      </c>
      <c r="J75" s="58">
        <f t="shared" si="14"/>
        <v>1.1985018726591745E-2</v>
      </c>
      <c r="K75" s="37"/>
      <c r="L75" s="37" t="s">
        <v>133</v>
      </c>
      <c r="M75" s="11"/>
      <c r="N75" s="7">
        <f t="shared" si="15"/>
        <v>300</v>
      </c>
      <c r="O75" s="11"/>
      <c r="S75" s="29"/>
      <c r="T75" s="29"/>
      <c r="U75" s="29"/>
      <c r="V75" s="29"/>
    </row>
    <row r="76" spans="1:22" s="3" customFormat="1" ht="25.15" customHeight="1" x14ac:dyDescent="2.5">
      <c r="A76" s="84" t="s">
        <v>61</v>
      </c>
      <c r="B76" s="85">
        <f t="shared" ref="B76:G76" si="35">B77+B78</f>
        <v>2792.4</v>
      </c>
      <c r="C76" s="85">
        <f t="shared" si="35"/>
        <v>0</v>
      </c>
      <c r="D76" s="85">
        <f t="shared" si="35"/>
        <v>2792.4</v>
      </c>
      <c r="E76" s="85">
        <f t="shared" si="35"/>
        <v>2892.4</v>
      </c>
      <c r="F76" s="85">
        <f t="shared" si="35"/>
        <v>2991.7</v>
      </c>
      <c r="G76" s="85">
        <f t="shared" si="35"/>
        <v>3095.3999999999996</v>
      </c>
      <c r="H76" s="86">
        <f t="shared" si="13"/>
        <v>3.5811488325454777E-2</v>
      </c>
      <c r="I76" s="86">
        <f t="shared" si="14"/>
        <v>3.4331351127091514E-2</v>
      </c>
      <c r="J76" s="86">
        <f t="shared" si="14"/>
        <v>3.4662566433800057E-2</v>
      </c>
      <c r="K76" s="87"/>
      <c r="L76" s="87"/>
      <c r="M76" s="23"/>
      <c r="N76" s="9">
        <f t="shared" si="15"/>
        <v>100</v>
      </c>
      <c r="O76" s="23"/>
      <c r="S76" s="32"/>
      <c r="T76" s="32"/>
      <c r="U76" s="32"/>
      <c r="V76" s="32"/>
    </row>
    <row r="77" spans="1:22" s="2" customFormat="1" ht="25.15" customHeight="1" x14ac:dyDescent="2.5">
      <c r="A77" s="68" t="s">
        <v>4</v>
      </c>
      <c r="B77" s="57">
        <v>1699.4</v>
      </c>
      <c r="C77" s="57"/>
      <c r="D77" s="57">
        <f>B77-C77</f>
        <v>1699.4</v>
      </c>
      <c r="E77" s="57">
        <f>D77</f>
        <v>1699.4</v>
      </c>
      <c r="F77" s="57">
        <f>ROUND(E77*(1+$Q$19),1)</f>
        <v>1784.4</v>
      </c>
      <c r="G77" s="57">
        <f>ROUND(F77*(1+$Q$19),1)</f>
        <v>1873.6</v>
      </c>
      <c r="H77" s="58">
        <f t="shared" si="13"/>
        <v>0</v>
      </c>
      <c r="I77" s="58">
        <f t="shared" si="14"/>
        <v>5.0017653289396335E-2</v>
      </c>
      <c r="J77" s="58">
        <f t="shared" si="14"/>
        <v>4.9988791750728456E-2</v>
      </c>
      <c r="K77" s="37"/>
      <c r="L77" s="37"/>
      <c r="M77" s="11"/>
      <c r="N77" s="7">
        <f t="shared" si="15"/>
        <v>0</v>
      </c>
      <c r="O77" s="11"/>
      <c r="S77" s="29"/>
      <c r="T77" s="29"/>
      <c r="U77" s="29"/>
      <c r="V77" s="29"/>
    </row>
    <row r="78" spans="1:22" s="2" customFormat="1" ht="25.15" customHeight="1" x14ac:dyDescent="2.5">
      <c r="A78" s="68" t="s">
        <v>5</v>
      </c>
      <c r="B78" s="57">
        <v>1093</v>
      </c>
      <c r="C78" s="57"/>
      <c r="D78" s="57">
        <f>B78-C78</f>
        <v>1093</v>
      </c>
      <c r="E78" s="57">
        <f>D78+100</f>
        <v>1193</v>
      </c>
      <c r="F78" s="57">
        <f>ROUND(E78*(1+$Q$21),1)</f>
        <v>1207.3</v>
      </c>
      <c r="G78" s="57">
        <f>ROUND(F78*(1+$Q$21),1)</f>
        <v>1221.8</v>
      </c>
      <c r="H78" s="58">
        <f t="shared" si="13"/>
        <v>9.1491308325708953E-2</v>
      </c>
      <c r="I78" s="58">
        <f t="shared" si="14"/>
        <v>1.1986588432522982E-2</v>
      </c>
      <c r="J78" s="58">
        <f t="shared" si="14"/>
        <v>1.2010270852315097E-2</v>
      </c>
      <c r="K78" s="37"/>
      <c r="L78" s="37" t="s">
        <v>134</v>
      </c>
      <c r="M78" s="11"/>
      <c r="N78" s="7">
        <f t="shared" si="15"/>
        <v>100</v>
      </c>
      <c r="O78" s="11"/>
      <c r="S78" s="29"/>
      <c r="T78" s="29"/>
      <c r="U78" s="29"/>
      <c r="V78" s="29"/>
    </row>
    <row r="79" spans="1:22" s="3" customFormat="1" ht="25.15" customHeight="1" x14ac:dyDescent="2.5">
      <c r="A79" s="84" t="s">
        <v>62</v>
      </c>
      <c r="B79" s="85">
        <f t="shared" ref="B79:G79" si="36">B80+B81</f>
        <v>2646.2</v>
      </c>
      <c r="C79" s="85">
        <f t="shared" si="36"/>
        <v>0</v>
      </c>
      <c r="D79" s="85">
        <f t="shared" si="36"/>
        <v>2646.2</v>
      </c>
      <c r="E79" s="85">
        <f t="shared" si="36"/>
        <v>2746.2</v>
      </c>
      <c r="F79" s="85">
        <f t="shared" si="36"/>
        <v>2864.4</v>
      </c>
      <c r="G79" s="85">
        <f t="shared" si="36"/>
        <v>2988.2999999999997</v>
      </c>
      <c r="H79" s="86">
        <f t="shared" si="13"/>
        <v>3.7790038545839399E-2</v>
      </c>
      <c r="I79" s="86">
        <f t="shared" si="14"/>
        <v>4.3041293423639937E-2</v>
      </c>
      <c r="J79" s="86">
        <f t="shared" si="14"/>
        <v>4.3255131964809346E-2</v>
      </c>
      <c r="K79" s="87"/>
      <c r="L79" s="87"/>
      <c r="M79" s="23"/>
      <c r="N79" s="9">
        <f t="shared" si="15"/>
        <v>100</v>
      </c>
      <c r="O79" s="23"/>
      <c r="S79" s="32"/>
      <c r="T79" s="32"/>
      <c r="U79" s="32"/>
      <c r="V79" s="32"/>
    </row>
    <row r="80" spans="1:22" s="2" customFormat="1" ht="25.15" customHeight="1" x14ac:dyDescent="2.5">
      <c r="A80" s="68" t="s">
        <v>4</v>
      </c>
      <c r="B80" s="57">
        <v>2244.1999999999998</v>
      </c>
      <c r="C80" s="57"/>
      <c r="D80" s="57">
        <f>B80-C80</f>
        <v>2244.1999999999998</v>
      </c>
      <c r="E80" s="57">
        <f>D80</f>
        <v>2244.1999999999998</v>
      </c>
      <c r="F80" s="57">
        <f>ROUND(E80*(1+$Q$19),1)</f>
        <v>2356.4</v>
      </c>
      <c r="G80" s="57">
        <f>ROUND(F80*(1+$Q$19),1)</f>
        <v>2474.1999999999998</v>
      </c>
      <c r="H80" s="58">
        <f t="shared" si="13"/>
        <v>0</v>
      </c>
      <c r="I80" s="58">
        <f t="shared" si="14"/>
        <v>4.9995544069156184E-2</v>
      </c>
      <c r="J80" s="58">
        <f t="shared" si="14"/>
        <v>4.9991512476659228E-2</v>
      </c>
      <c r="K80" s="37"/>
      <c r="L80" s="37"/>
      <c r="M80" s="11"/>
      <c r="N80" s="7">
        <f t="shared" si="15"/>
        <v>0</v>
      </c>
      <c r="O80" s="11"/>
      <c r="S80" s="29"/>
      <c r="T80" s="29"/>
      <c r="U80" s="29"/>
      <c r="V80" s="29"/>
    </row>
    <row r="81" spans="1:22" s="2" customFormat="1" ht="25.15" customHeight="1" x14ac:dyDescent="2.5">
      <c r="A81" s="68" t="s">
        <v>5</v>
      </c>
      <c r="B81" s="57">
        <v>402</v>
      </c>
      <c r="C81" s="57"/>
      <c r="D81" s="57">
        <f>B81-C81</f>
        <v>402</v>
      </c>
      <c r="E81" s="57">
        <f>D81+100</f>
        <v>502</v>
      </c>
      <c r="F81" s="57">
        <f>ROUND(E81*(1+$Q$21),1)</f>
        <v>508</v>
      </c>
      <c r="G81" s="57">
        <f>ROUND(F81*(1+$Q$21),1)</f>
        <v>514.1</v>
      </c>
      <c r="H81" s="58">
        <f t="shared" si="13"/>
        <v>0.24875621890547261</v>
      </c>
      <c r="I81" s="58">
        <f t="shared" si="14"/>
        <v>1.195219123505975E-2</v>
      </c>
      <c r="J81" s="58">
        <f t="shared" si="14"/>
        <v>1.2007874015748099E-2</v>
      </c>
      <c r="K81" s="37"/>
      <c r="L81" s="37" t="s">
        <v>134</v>
      </c>
      <c r="M81" s="11"/>
      <c r="N81" s="7">
        <f t="shared" si="15"/>
        <v>100</v>
      </c>
      <c r="O81" s="11"/>
      <c r="S81" s="29"/>
      <c r="T81" s="29"/>
      <c r="U81" s="29"/>
      <c r="V81" s="29"/>
    </row>
    <row r="82" spans="1:22" s="3" customFormat="1" ht="25.15" customHeight="1" x14ac:dyDescent="2.5">
      <c r="A82" s="84" t="s">
        <v>63</v>
      </c>
      <c r="B82" s="85">
        <f t="shared" ref="B82:G82" si="37">B83+B84</f>
        <v>17961.099999999999</v>
      </c>
      <c r="C82" s="85">
        <f t="shared" si="37"/>
        <v>1373.5</v>
      </c>
      <c r="D82" s="85">
        <f t="shared" si="37"/>
        <v>16587.599999999999</v>
      </c>
      <c r="E82" s="85">
        <f t="shared" si="37"/>
        <v>16837.599999999999</v>
      </c>
      <c r="F82" s="85">
        <f t="shared" si="37"/>
        <v>17487.2</v>
      </c>
      <c r="G82" s="85">
        <f t="shared" si="37"/>
        <v>18167</v>
      </c>
      <c r="H82" s="86">
        <f t="shared" si="13"/>
        <v>-6.2551848160747436E-2</v>
      </c>
      <c r="I82" s="86">
        <f t="shared" si="14"/>
        <v>3.8580320235663157E-2</v>
      </c>
      <c r="J82" s="86">
        <f t="shared" si="14"/>
        <v>3.8874147948213533E-2</v>
      </c>
      <c r="K82" s="87"/>
      <c r="L82" s="87"/>
      <c r="M82" s="23"/>
      <c r="N82" s="9">
        <f t="shared" si="15"/>
        <v>-1123.5</v>
      </c>
      <c r="O82" s="23"/>
      <c r="S82" s="32"/>
      <c r="T82" s="32"/>
      <c r="U82" s="32"/>
      <c r="V82" s="32"/>
    </row>
    <row r="83" spans="1:22" s="2" customFormat="1" ht="25.15" customHeight="1" x14ac:dyDescent="2.5">
      <c r="A83" s="68" t="s">
        <v>4</v>
      </c>
      <c r="B83" s="57">
        <v>11778.1</v>
      </c>
      <c r="C83" s="57"/>
      <c r="D83" s="57">
        <f>B83-C83</f>
        <v>11778.1</v>
      </c>
      <c r="E83" s="57">
        <f>D83</f>
        <v>11778.1</v>
      </c>
      <c r="F83" s="57">
        <f>ROUND(E83*(1+$Q$19),1)</f>
        <v>12367</v>
      </c>
      <c r="G83" s="57">
        <f>ROUND(F83*(1+$Q$19),1)</f>
        <v>12985.4</v>
      </c>
      <c r="H83" s="58">
        <f t="shared" si="13"/>
        <v>0</v>
      </c>
      <c r="I83" s="58">
        <f t="shared" si="14"/>
        <v>4.9999575483312242E-2</v>
      </c>
      <c r="J83" s="58">
        <f t="shared" si="14"/>
        <v>5.0004043017708444E-2</v>
      </c>
      <c r="K83" s="37"/>
      <c r="L83" s="37"/>
      <c r="M83" s="11"/>
      <c r="N83" s="7">
        <f t="shared" si="15"/>
        <v>0</v>
      </c>
      <c r="O83" s="11"/>
      <c r="S83" s="29"/>
      <c r="T83" s="29"/>
      <c r="U83" s="29"/>
      <c r="V83" s="29"/>
    </row>
    <row r="84" spans="1:22" s="2" customFormat="1" ht="25.15" customHeight="1" x14ac:dyDescent="2.5">
      <c r="A84" s="68" t="s">
        <v>5</v>
      </c>
      <c r="B84" s="57">
        <v>6183</v>
      </c>
      <c r="C84" s="57">
        <f>1743.5-370</f>
        <v>1373.5</v>
      </c>
      <c r="D84" s="57">
        <f>B84-C84</f>
        <v>4809.5</v>
      </c>
      <c r="E84" s="57">
        <f>D84+150+100</f>
        <v>5059.5</v>
      </c>
      <c r="F84" s="57">
        <f>ROUND(E84*(1+$Q$21),1)</f>
        <v>5120.2</v>
      </c>
      <c r="G84" s="57">
        <f>ROUND(F84*(1+$Q$21),1)</f>
        <v>5181.6000000000004</v>
      </c>
      <c r="H84" s="58">
        <f t="shared" si="13"/>
        <v>-0.1817079087821446</v>
      </c>
      <c r="I84" s="58">
        <f t="shared" si="14"/>
        <v>1.1997232928155022E-2</v>
      </c>
      <c r="J84" s="58">
        <f t="shared" si="14"/>
        <v>1.1991719073473739E-2</v>
      </c>
      <c r="K84" s="37"/>
      <c r="L84" s="37" t="s">
        <v>119</v>
      </c>
      <c r="M84" s="11"/>
      <c r="N84" s="7">
        <f t="shared" si="15"/>
        <v>-1123.5</v>
      </c>
      <c r="O84" s="98">
        <f>C84/$C$27</f>
        <v>0.22716747709305019</v>
      </c>
      <c r="P84" s="99">
        <f>ROUND(O84*$T$18,1)</f>
        <v>0</v>
      </c>
      <c r="S84" s="29"/>
      <c r="T84" s="29"/>
      <c r="U84" s="29"/>
      <c r="V84" s="29"/>
    </row>
    <row r="85" spans="1:22" s="3" customFormat="1" ht="25.15" customHeight="1" x14ac:dyDescent="2.5">
      <c r="A85" s="84" t="s">
        <v>64</v>
      </c>
      <c r="B85" s="85">
        <f t="shared" ref="B85:G85" si="38">B86+B87</f>
        <v>15485.8</v>
      </c>
      <c r="C85" s="85">
        <f t="shared" si="38"/>
        <v>0</v>
      </c>
      <c r="D85" s="85">
        <f t="shared" si="38"/>
        <v>15485.8</v>
      </c>
      <c r="E85" s="85">
        <f t="shared" si="38"/>
        <v>15735.8</v>
      </c>
      <c r="F85" s="85">
        <f t="shared" si="38"/>
        <v>15975.800000000001</v>
      </c>
      <c r="G85" s="85">
        <f t="shared" si="38"/>
        <v>16221.3</v>
      </c>
      <c r="H85" s="86">
        <f t="shared" si="13"/>
        <v>1.6143822082165693E-2</v>
      </c>
      <c r="I85" s="86">
        <f t="shared" si="14"/>
        <v>1.5251846108872869E-2</v>
      </c>
      <c r="J85" s="86">
        <f t="shared" si="14"/>
        <v>1.5366992576271388E-2</v>
      </c>
      <c r="K85" s="87"/>
      <c r="L85" s="87"/>
      <c r="M85" s="23"/>
      <c r="N85" s="9">
        <f t="shared" si="15"/>
        <v>250</v>
      </c>
      <c r="O85" s="23"/>
      <c r="S85" s="32"/>
      <c r="T85" s="32"/>
      <c r="U85" s="32"/>
      <c r="V85" s="32"/>
    </row>
    <row r="86" spans="1:22" s="2" customFormat="1" ht="25.15" customHeight="1" x14ac:dyDescent="2.5">
      <c r="A86" s="68" t="s">
        <v>4</v>
      </c>
      <c r="B86" s="57">
        <v>1345.8</v>
      </c>
      <c r="C86" s="57"/>
      <c r="D86" s="57">
        <f>B86-C86</f>
        <v>1345.8</v>
      </c>
      <c r="E86" s="57">
        <f>D86</f>
        <v>1345.8</v>
      </c>
      <c r="F86" s="57">
        <f>ROUND(E86*(1+$Q$19),1)</f>
        <v>1413.1</v>
      </c>
      <c r="G86" s="57">
        <f>ROUND(F86*(1+$Q$19),1)</f>
        <v>1483.8</v>
      </c>
      <c r="H86" s="58">
        <f t="shared" si="13"/>
        <v>0</v>
      </c>
      <c r="I86" s="58">
        <f t="shared" si="14"/>
        <v>5.0007430524594998E-2</v>
      </c>
      <c r="J86" s="58">
        <f t="shared" si="14"/>
        <v>5.0031844880050969E-2</v>
      </c>
      <c r="K86" s="37"/>
      <c r="L86" s="37"/>
      <c r="M86" s="11"/>
      <c r="N86" s="7">
        <f t="shared" si="15"/>
        <v>0</v>
      </c>
      <c r="O86" s="11"/>
      <c r="S86" s="29"/>
      <c r="T86" s="29"/>
      <c r="U86" s="29"/>
      <c r="V86" s="29"/>
    </row>
    <row r="87" spans="1:22" s="2" customFormat="1" ht="25.15" customHeight="1" x14ac:dyDescent="2.5">
      <c r="A87" s="68" t="s">
        <v>5</v>
      </c>
      <c r="B87" s="57">
        <v>14140</v>
      </c>
      <c r="C87" s="57"/>
      <c r="D87" s="57">
        <f>B87-C87</f>
        <v>14140</v>
      </c>
      <c r="E87" s="57">
        <f>D87+150+100</f>
        <v>14390</v>
      </c>
      <c r="F87" s="57">
        <f>ROUND(E87*(1+$Q$21),1)</f>
        <v>14562.7</v>
      </c>
      <c r="G87" s="57">
        <f>ROUND(F87*(1+$Q$21),1)</f>
        <v>14737.5</v>
      </c>
      <c r="H87" s="58">
        <f t="shared" si="13"/>
        <v>1.7680339462517791E-2</v>
      </c>
      <c r="I87" s="58">
        <f t="shared" si="14"/>
        <v>1.2001389854065403E-2</v>
      </c>
      <c r="J87" s="58">
        <f t="shared" si="14"/>
        <v>1.2003268624636965E-2</v>
      </c>
      <c r="K87" s="37"/>
      <c r="L87" s="37" t="s">
        <v>118</v>
      </c>
      <c r="M87" s="11"/>
      <c r="N87" s="7">
        <f t="shared" si="15"/>
        <v>250</v>
      </c>
      <c r="O87" s="98">
        <f>C87/$C$27</f>
        <v>0</v>
      </c>
      <c r="P87" s="99">
        <f>ROUND(O87*$T$18,1)</f>
        <v>0</v>
      </c>
      <c r="S87" s="29"/>
      <c r="T87" s="29"/>
      <c r="U87" s="29"/>
      <c r="V87" s="29"/>
    </row>
    <row r="88" spans="1:22" s="3" customFormat="1" ht="25.15" customHeight="1" x14ac:dyDescent="2.5">
      <c r="A88" s="84" t="s">
        <v>65</v>
      </c>
      <c r="B88" s="85">
        <f t="shared" ref="B88:G88" si="39">B89+B90</f>
        <v>252</v>
      </c>
      <c r="C88" s="85">
        <f t="shared" si="39"/>
        <v>0</v>
      </c>
      <c r="D88" s="85">
        <f t="shared" si="39"/>
        <v>252</v>
      </c>
      <c r="E88" s="85">
        <f t="shared" si="39"/>
        <v>552</v>
      </c>
      <c r="F88" s="85">
        <f t="shared" si="39"/>
        <v>558.6</v>
      </c>
      <c r="G88" s="85">
        <f t="shared" si="39"/>
        <v>565.29999999999995</v>
      </c>
      <c r="H88" s="86">
        <f t="shared" si="13"/>
        <v>1.1904761904761907</v>
      </c>
      <c r="I88" s="86">
        <f t="shared" si="14"/>
        <v>1.1956521739130421E-2</v>
      </c>
      <c r="J88" s="86">
        <f t="shared" si="14"/>
        <v>1.199427139276743E-2</v>
      </c>
      <c r="K88" s="87"/>
      <c r="L88" s="87"/>
      <c r="M88" s="23"/>
      <c r="N88" s="9">
        <f t="shared" ref="N88:N151" si="40">E88-B88</f>
        <v>300</v>
      </c>
      <c r="O88" s="23"/>
      <c r="S88" s="32"/>
      <c r="T88" s="32"/>
      <c r="U88" s="32"/>
      <c r="V88" s="32"/>
    </row>
    <row r="89" spans="1:22" s="2" customFormat="1" ht="25.15" customHeight="1" x14ac:dyDescent="2.5">
      <c r="A89" s="68" t="s">
        <v>4</v>
      </c>
      <c r="B89" s="57">
        <v>0</v>
      </c>
      <c r="C89" s="57"/>
      <c r="D89" s="57">
        <f>B89-C89</f>
        <v>0</v>
      </c>
      <c r="E89" s="57">
        <f>D89</f>
        <v>0</v>
      </c>
      <c r="F89" s="57">
        <f>ROUND(E89*(1+$Q$19),1)</f>
        <v>0</v>
      </c>
      <c r="G89" s="57">
        <f>ROUND(F89*(1+$Q$19),1)</f>
        <v>0</v>
      </c>
      <c r="H89" s="58" t="str">
        <f t="shared" si="13"/>
        <v>-</v>
      </c>
      <c r="I89" s="58" t="str">
        <f t="shared" si="14"/>
        <v>-</v>
      </c>
      <c r="J89" s="58" t="str">
        <f t="shared" si="14"/>
        <v>-</v>
      </c>
      <c r="K89" s="37"/>
      <c r="L89" s="37"/>
      <c r="M89" s="11"/>
      <c r="N89" s="7">
        <f t="shared" si="40"/>
        <v>0</v>
      </c>
      <c r="O89" s="11"/>
      <c r="S89" s="29"/>
      <c r="T89" s="29"/>
      <c r="U89" s="29"/>
      <c r="V89" s="29"/>
    </row>
    <row r="90" spans="1:22" s="2" customFormat="1" ht="25.15" customHeight="1" x14ac:dyDescent="2.5">
      <c r="A90" s="68" t="s">
        <v>5</v>
      </c>
      <c r="B90" s="57">
        <v>252</v>
      </c>
      <c r="C90" s="57"/>
      <c r="D90" s="57">
        <f>B90-C90</f>
        <v>252</v>
      </c>
      <c r="E90" s="57">
        <f>D90+150+150</f>
        <v>552</v>
      </c>
      <c r="F90" s="57">
        <f>ROUND(E90*(1+$Q$21),1)</f>
        <v>558.6</v>
      </c>
      <c r="G90" s="57">
        <f>ROUND(F90*(1+$Q$21),1)</f>
        <v>565.29999999999995</v>
      </c>
      <c r="H90" s="58">
        <f t="shared" si="13"/>
        <v>1.1904761904761907</v>
      </c>
      <c r="I90" s="58">
        <f t="shared" si="14"/>
        <v>1.1956521739130421E-2</v>
      </c>
      <c r="J90" s="58">
        <f t="shared" si="14"/>
        <v>1.199427139276743E-2</v>
      </c>
      <c r="K90" s="37"/>
      <c r="L90" s="37" t="s">
        <v>117</v>
      </c>
      <c r="M90" s="11"/>
      <c r="N90" s="7">
        <f t="shared" si="40"/>
        <v>300</v>
      </c>
      <c r="O90" s="11"/>
      <c r="S90" s="29"/>
      <c r="T90" s="29"/>
      <c r="U90" s="29"/>
      <c r="V90" s="29"/>
    </row>
    <row r="91" spans="1:22" s="3" customFormat="1" ht="25.15" customHeight="1" x14ac:dyDescent="2.5">
      <c r="A91" s="84" t="s">
        <v>136</v>
      </c>
      <c r="B91" s="85">
        <f t="shared" ref="B91:G91" si="41">B92+B93</f>
        <v>1433</v>
      </c>
      <c r="C91" s="85">
        <f t="shared" si="41"/>
        <v>0</v>
      </c>
      <c r="D91" s="85">
        <f t="shared" si="41"/>
        <v>1433</v>
      </c>
      <c r="E91" s="85">
        <f t="shared" si="41"/>
        <v>1533</v>
      </c>
      <c r="F91" s="85">
        <f t="shared" si="41"/>
        <v>1599.6000000000001</v>
      </c>
      <c r="G91" s="85">
        <f t="shared" si="41"/>
        <v>1669.4</v>
      </c>
      <c r="H91" s="86">
        <f t="shared" si="13"/>
        <v>6.9783670621074601E-2</v>
      </c>
      <c r="I91" s="86">
        <f t="shared" si="14"/>
        <v>4.3444227005871028E-2</v>
      </c>
      <c r="J91" s="86">
        <f t="shared" si="14"/>
        <v>4.3635908977244231E-2</v>
      </c>
      <c r="K91" s="87"/>
      <c r="L91" s="87"/>
      <c r="M91" s="23"/>
      <c r="N91" s="9">
        <f t="shared" si="40"/>
        <v>100</v>
      </c>
      <c r="O91" s="23"/>
      <c r="S91" s="32"/>
      <c r="T91" s="32"/>
      <c r="U91" s="32"/>
      <c r="V91" s="32"/>
    </row>
    <row r="92" spans="1:22" s="2" customFormat="1" ht="25.15" customHeight="1" x14ac:dyDescent="2.5">
      <c r="A92" s="68" t="s">
        <v>4</v>
      </c>
      <c r="B92" s="57">
        <v>1268</v>
      </c>
      <c r="C92" s="57"/>
      <c r="D92" s="57">
        <f>B92-C92</f>
        <v>1268</v>
      </c>
      <c r="E92" s="57">
        <f>D92</f>
        <v>1268</v>
      </c>
      <c r="F92" s="57">
        <f>ROUND(E92*(1+$Q$19),1)</f>
        <v>1331.4</v>
      </c>
      <c r="G92" s="57">
        <f>ROUND(F92*(1+$Q$19),1)</f>
        <v>1398</v>
      </c>
      <c r="H92" s="58">
        <f t="shared" si="13"/>
        <v>0</v>
      </c>
      <c r="I92" s="58">
        <f t="shared" si="14"/>
        <v>5.0000000000000044E-2</v>
      </c>
      <c r="J92" s="58">
        <f t="shared" si="14"/>
        <v>5.0022532672374886E-2</v>
      </c>
      <c r="K92" s="37"/>
      <c r="L92" s="37"/>
      <c r="M92" s="11"/>
      <c r="N92" s="7">
        <f t="shared" si="40"/>
        <v>0</v>
      </c>
      <c r="O92" s="11"/>
      <c r="S92" s="29"/>
      <c r="T92" s="29"/>
      <c r="U92" s="29"/>
      <c r="V92" s="29"/>
    </row>
    <row r="93" spans="1:22" s="2" customFormat="1" ht="25.15" customHeight="1" x14ac:dyDescent="2.5">
      <c r="A93" s="68" t="s">
        <v>5</v>
      </c>
      <c r="B93" s="57">
        <v>165</v>
      </c>
      <c r="C93" s="57"/>
      <c r="D93" s="57">
        <f>B93-C93</f>
        <v>165</v>
      </c>
      <c r="E93" s="57">
        <f>D93+100</f>
        <v>265</v>
      </c>
      <c r="F93" s="57">
        <f>ROUND(E93*(1+$Q$21),1)</f>
        <v>268.2</v>
      </c>
      <c r="G93" s="57">
        <f>ROUND(F93*(1+$Q$21),1)</f>
        <v>271.39999999999998</v>
      </c>
      <c r="H93" s="58">
        <f t="shared" si="13"/>
        <v>0.60606060606060597</v>
      </c>
      <c r="I93" s="58">
        <f t="shared" si="14"/>
        <v>1.2075471698113072E-2</v>
      </c>
      <c r="J93" s="58">
        <f t="shared" si="14"/>
        <v>1.1931394481730084E-2</v>
      </c>
      <c r="K93" s="37"/>
      <c r="L93" s="37" t="s">
        <v>134</v>
      </c>
      <c r="M93" s="11"/>
      <c r="N93" s="7">
        <f t="shared" si="40"/>
        <v>100</v>
      </c>
      <c r="O93" s="11"/>
      <c r="S93" s="29"/>
      <c r="T93" s="29"/>
      <c r="U93" s="29"/>
      <c r="V93" s="29"/>
    </row>
    <row r="94" spans="1:22" s="3" customFormat="1" ht="25.15" customHeight="1" x14ac:dyDescent="2.5">
      <c r="A94" s="84" t="s">
        <v>66</v>
      </c>
      <c r="B94" s="85">
        <f t="shared" ref="B94:G94" si="42">B95+B96</f>
        <v>2632.9</v>
      </c>
      <c r="C94" s="85">
        <f t="shared" si="42"/>
        <v>0</v>
      </c>
      <c r="D94" s="85">
        <f t="shared" si="42"/>
        <v>2632.9</v>
      </c>
      <c r="E94" s="85">
        <f t="shared" si="42"/>
        <v>2782.9</v>
      </c>
      <c r="F94" s="85">
        <f t="shared" si="42"/>
        <v>2891.8</v>
      </c>
      <c r="G94" s="85">
        <f t="shared" si="42"/>
        <v>3005.7999999999997</v>
      </c>
      <c r="H94" s="86">
        <f t="shared" si="13"/>
        <v>5.6971400357020752E-2</v>
      </c>
      <c r="I94" s="86">
        <f t="shared" si="14"/>
        <v>3.9131840885407332E-2</v>
      </c>
      <c r="J94" s="86">
        <f t="shared" si="14"/>
        <v>3.9421813403416328E-2</v>
      </c>
      <c r="K94" s="87"/>
      <c r="L94" s="87"/>
      <c r="M94" s="23"/>
      <c r="N94" s="9">
        <f t="shared" si="40"/>
        <v>150</v>
      </c>
      <c r="O94" s="23"/>
      <c r="S94" s="32"/>
      <c r="T94" s="32"/>
      <c r="U94" s="32"/>
      <c r="V94" s="32"/>
    </row>
    <row r="95" spans="1:22" s="2" customFormat="1" ht="25.15" customHeight="1" x14ac:dyDescent="2.5">
      <c r="A95" s="68" t="s">
        <v>4</v>
      </c>
      <c r="B95" s="57">
        <v>1988.9</v>
      </c>
      <c r="C95" s="57"/>
      <c r="D95" s="57">
        <f>B95-C95</f>
        <v>1988.9</v>
      </c>
      <c r="E95" s="57">
        <f>D95</f>
        <v>1988.9</v>
      </c>
      <c r="F95" s="57">
        <f>ROUND(E95*(1+$Q$19),1)</f>
        <v>2088.3000000000002</v>
      </c>
      <c r="G95" s="57">
        <f>ROUND(F95*(1+$Q$19),1)</f>
        <v>2192.6999999999998</v>
      </c>
      <c r="H95" s="58">
        <f t="shared" si="13"/>
        <v>0</v>
      </c>
      <c r="I95" s="58">
        <f t="shared" si="14"/>
        <v>4.9977374428075816E-2</v>
      </c>
      <c r="J95" s="58">
        <f t="shared" si="14"/>
        <v>4.9992817123976296E-2</v>
      </c>
      <c r="K95" s="37"/>
      <c r="L95" s="37"/>
      <c r="M95" s="11"/>
      <c r="N95" s="7">
        <f t="shared" si="40"/>
        <v>0</v>
      </c>
      <c r="O95" s="11"/>
      <c r="S95" s="29"/>
      <c r="T95" s="29"/>
      <c r="U95" s="29"/>
      <c r="V95" s="29"/>
    </row>
    <row r="96" spans="1:22" s="2" customFormat="1" ht="25.15" customHeight="1" x14ac:dyDescent="2.5">
      <c r="A96" s="68" t="s">
        <v>5</v>
      </c>
      <c r="B96" s="57">
        <v>644</v>
      </c>
      <c r="C96" s="57"/>
      <c r="D96" s="57">
        <f>B96-C96</f>
        <v>644</v>
      </c>
      <c r="E96" s="57">
        <f>D96+150</f>
        <v>794</v>
      </c>
      <c r="F96" s="57">
        <f>ROUND(E96*(1+$Q$21),1)</f>
        <v>803.5</v>
      </c>
      <c r="G96" s="57">
        <f>ROUND(F96*(1+$Q$21),1)</f>
        <v>813.1</v>
      </c>
      <c r="H96" s="58">
        <f t="shared" si="13"/>
        <v>0.23291925465838514</v>
      </c>
      <c r="I96" s="58">
        <f t="shared" si="14"/>
        <v>1.1964735516372782E-2</v>
      </c>
      <c r="J96" s="58">
        <f t="shared" si="14"/>
        <v>1.1947728686994452E-2</v>
      </c>
      <c r="K96" s="37"/>
      <c r="L96" s="37" t="s">
        <v>134</v>
      </c>
      <c r="M96" s="11"/>
      <c r="N96" s="7">
        <f t="shared" si="40"/>
        <v>150</v>
      </c>
      <c r="O96" s="11"/>
      <c r="S96" s="29"/>
      <c r="T96" s="29"/>
      <c r="U96" s="29"/>
      <c r="V96" s="29"/>
    </row>
    <row r="97" spans="1:22" s="3" customFormat="1" ht="25.15" customHeight="1" x14ac:dyDescent="2.5">
      <c r="A97" s="84" t="s">
        <v>138</v>
      </c>
      <c r="B97" s="85">
        <f t="shared" ref="B97:G97" si="43">B98+B99</f>
        <v>0</v>
      </c>
      <c r="C97" s="85">
        <f t="shared" si="43"/>
        <v>0</v>
      </c>
      <c r="D97" s="85">
        <f t="shared" si="43"/>
        <v>0</v>
      </c>
      <c r="E97" s="85">
        <f t="shared" si="43"/>
        <v>0</v>
      </c>
      <c r="F97" s="85">
        <f t="shared" si="43"/>
        <v>0</v>
      </c>
      <c r="G97" s="85">
        <f t="shared" si="43"/>
        <v>0</v>
      </c>
      <c r="H97" s="86" t="str">
        <f t="shared" si="13"/>
        <v>-</v>
      </c>
      <c r="I97" s="86" t="str">
        <f t="shared" si="14"/>
        <v>-</v>
      </c>
      <c r="J97" s="86" t="str">
        <f t="shared" si="14"/>
        <v>-</v>
      </c>
      <c r="K97" s="87"/>
      <c r="L97" s="87"/>
      <c r="M97" s="23"/>
      <c r="N97" s="9">
        <f t="shared" si="40"/>
        <v>0</v>
      </c>
      <c r="O97" s="23"/>
      <c r="S97" s="32"/>
      <c r="T97" s="32"/>
      <c r="U97" s="32"/>
      <c r="V97" s="32"/>
    </row>
    <row r="98" spans="1:22" s="2" customFormat="1" ht="25.15" customHeight="1" x14ac:dyDescent="2.5">
      <c r="A98" s="68" t="s">
        <v>4</v>
      </c>
      <c r="B98" s="57">
        <v>0</v>
      </c>
      <c r="C98" s="57"/>
      <c r="D98" s="57">
        <f>B98-C98</f>
        <v>0</v>
      </c>
      <c r="E98" s="57">
        <f>D98</f>
        <v>0</v>
      </c>
      <c r="F98" s="57">
        <f>ROUND(E98*(1+$Q$19),1)</f>
        <v>0</v>
      </c>
      <c r="G98" s="57">
        <f>ROUND(F98*(1+$Q$19),1)</f>
        <v>0</v>
      </c>
      <c r="H98" s="58" t="str">
        <f t="shared" si="13"/>
        <v>-</v>
      </c>
      <c r="I98" s="58" t="str">
        <f t="shared" si="14"/>
        <v>-</v>
      </c>
      <c r="J98" s="58" t="str">
        <f t="shared" si="14"/>
        <v>-</v>
      </c>
      <c r="K98" s="37"/>
      <c r="L98" s="37"/>
      <c r="M98" s="11"/>
      <c r="N98" s="7">
        <f t="shared" si="40"/>
        <v>0</v>
      </c>
      <c r="O98" s="11"/>
      <c r="S98" s="29"/>
      <c r="T98" s="29"/>
      <c r="U98" s="29"/>
      <c r="V98" s="29"/>
    </row>
    <row r="99" spans="1:22" s="2" customFormat="1" ht="25.15" customHeight="1" x14ac:dyDescent="2.5">
      <c r="A99" s="68" t="s">
        <v>5</v>
      </c>
      <c r="B99" s="57">
        <v>0</v>
      </c>
      <c r="C99" s="57"/>
      <c r="D99" s="57">
        <f>B99-C99</f>
        <v>0</v>
      </c>
      <c r="E99" s="57">
        <f>D99</f>
        <v>0</v>
      </c>
      <c r="F99" s="57">
        <f>ROUND(E99*(1+$Q$21),1)</f>
        <v>0</v>
      </c>
      <c r="G99" s="57">
        <f>ROUND(F99*(1+$Q$21),1)</f>
        <v>0</v>
      </c>
      <c r="H99" s="58" t="str">
        <f t="shared" si="13"/>
        <v>-</v>
      </c>
      <c r="I99" s="58" t="str">
        <f t="shared" si="14"/>
        <v>-</v>
      </c>
      <c r="J99" s="58" t="str">
        <f t="shared" si="14"/>
        <v>-</v>
      </c>
      <c r="K99" s="37"/>
      <c r="L99" s="37"/>
      <c r="M99" s="11"/>
      <c r="N99" s="7">
        <f t="shared" si="40"/>
        <v>0</v>
      </c>
      <c r="O99" s="11"/>
      <c r="S99" s="29"/>
      <c r="T99" s="29"/>
      <c r="U99" s="29"/>
      <c r="V99" s="29"/>
    </row>
    <row r="100" spans="1:22" s="3" customFormat="1" ht="25.15" customHeight="1" x14ac:dyDescent="2.5">
      <c r="A100" s="84" t="s">
        <v>67</v>
      </c>
      <c r="B100" s="85">
        <f t="shared" ref="B100:G100" si="44">B101+B102</f>
        <v>1354.8</v>
      </c>
      <c r="C100" s="85">
        <f t="shared" si="44"/>
        <v>0</v>
      </c>
      <c r="D100" s="85">
        <f t="shared" si="44"/>
        <v>1354.8</v>
      </c>
      <c r="E100" s="85">
        <f t="shared" si="44"/>
        <v>1554.8</v>
      </c>
      <c r="F100" s="85">
        <f t="shared" si="44"/>
        <v>1604.2</v>
      </c>
      <c r="G100" s="85">
        <f t="shared" si="44"/>
        <v>1655.8000000000002</v>
      </c>
      <c r="H100" s="86">
        <f t="shared" si="13"/>
        <v>0.14762326542663118</v>
      </c>
      <c r="I100" s="86">
        <f t="shared" si="14"/>
        <v>3.177257525083621E-2</v>
      </c>
      <c r="J100" s="86">
        <f t="shared" si="14"/>
        <v>3.2165565390849027E-2</v>
      </c>
      <c r="K100" s="87"/>
      <c r="L100" s="87"/>
      <c r="M100" s="23"/>
      <c r="N100" s="9">
        <f t="shared" si="40"/>
        <v>200</v>
      </c>
      <c r="O100" s="23"/>
      <c r="S100" s="32"/>
      <c r="T100" s="32"/>
      <c r="U100" s="32"/>
      <c r="V100" s="32"/>
    </row>
    <row r="101" spans="1:22" s="2" customFormat="1" ht="25.15" customHeight="1" x14ac:dyDescent="2.5">
      <c r="A101" s="68" t="s">
        <v>4</v>
      </c>
      <c r="B101" s="57">
        <v>808.8</v>
      </c>
      <c r="C101" s="57"/>
      <c r="D101" s="57">
        <f>B101-C101</f>
        <v>808.8</v>
      </c>
      <c r="E101" s="57">
        <f>D101</f>
        <v>808.8</v>
      </c>
      <c r="F101" s="57">
        <f>ROUND(E101*(1+$Q$19),1)</f>
        <v>849.2</v>
      </c>
      <c r="G101" s="57">
        <f>ROUND(F101*(1+$Q$19),1)</f>
        <v>891.7</v>
      </c>
      <c r="H101" s="58">
        <f t="shared" si="13"/>
        <v>0</v>
      </c>
      <c r="I101" s="58">
        <f t="shared" si="14"/>
        <v>4.9950544015826104E-2</v>
      </c>
      <c r="J101" s="58">
        <f t="shared" si="14"/>
        <v>5.0047103155911543E-2</v>
      </c>
      <c r="K101" s="37"/>
      <c r="L101" s="37"/>
      <c r="M101" s="11"/>
      <c r="N101" s="7">
        <f t="shared" si="40"/>
        <v>0</v>
      </c>
      <c r="O101" s="11"/>
      <c r="S101" s="29"/>
      <c r="T101" s="29"/>
      <c r="U101" s="29"/>
      <c r="V101" s="29"/>
    </row>
    <row r="102" spans="1:22" s="2" customFormat="1" ht="25.15" customHeight="1" x14ac:dyDescent="2.5">
      <c r="A102" s="68" t="s">
        <v>5</v>
      </c>
      <c r="B102" s="57">
        <v>546</v>
      </c>
      <c r="C102" s="57"/>
      <c r="D102" s="57">
        <f>B102-C102</f>
        <v>546</v>
      </c>
      <c r="E102" s="57">
        <f>D102+150+50</f>
        <v>746</v>
      </c>
      <c r="F102" s="57">
        <f>ROUND(E102*(1+$Q$21),1)</f>
        <v>755</v>
      </c>
      <c r="G102" s="57">
        <f>ROUND(F102*(1+$Q$21),1)</f>
        <v>764.1</v>
      </c>
      <c r="H102" s="58">
        <f t="shared" si="13"/>
        <v>0.36630036630036633</v>
      </c>
      <c r="I102" s="58">
        <f t="shared" si="14"/>
        <v>1.2064343163538771E-2</v>
      </c>
      <c r="J102" s="58">
        <f t="shared" si="14"/>
        <v>1.2052980132450264E-2</v>
      </c>
      <c r="K102" s="37"/>
      <c r="L102" s="37" t="s">
        <v>133</v>
      </c>
      <c r="M102" s="11"/>
      <c r="N102" s="7">
        <f t="shared" si="40"/>
        <v>200</v>
      </c>
      <c r="O102" s="11"/>
      <c r="S102" s="29"/>
      <c r="T102" s="29"/>
      <c r="U102" s="29"/>
      <c r="V102" s="29"/>
    </row>
    <row r="103" spans="1:22" s="3" customFormat="1" ht="25.15" customHeight="1" x14ac:dyDescent="2.5">
      <c r="A103" s="84" t="s">
        <v>68</v>
      </c>
      <c r="B103" s="85">
        <f t="shared" ref="B103:G103" si="45">B104+B105</f>
        <v>1595.4</v>
      </c>
      <c r="C103" s="85">
        <f t="shared" si="45"/>
        <v>0</v>
      </c>
      <c r="D103" s="85">
        <f t="shared" si="45"/>
        <v>1595.4</v>
      </c>
      <c r="E103" s="85">
        <f t="shared" si="45"/>
        <v>1695.4</v>
      </c>
      <c r="F103" s="85">
        <f t="shared" si="45"/>
        <v>1752</v>
      </c>
      <c r="G103" s="85">
        <f t="shared" si="45"/>
        <v>1811.1</v>
      </c>
      <c r="H103" s="86">
        <f t="shared" si="13"/>
        <v>6.2680205591074234E-2</v>
      </c>
      <c r="I103" s="86">
        <f t="shared" si="14"/>
        <v>3.3384452046714586E-2</v>
      </c>
      <c r="J103" s="86">
        <f t="shared" si="14"/>
        <v>3.3732876712328608E-2</v>
      </c>
      <c r="K103" s="87"/>
      <c r="L103" s="87"/>
      <c r="M103" s="23"/>
      <c r="N103" s="9">
        <f t="shared" si="40"/>
        <v>100</v>
      </c>
      <c r="O103" s="23"/>
      <c r="S103" s="32"/>
      <c r="T103" s="32"/>
      <c r="U103" s="32"/>
      <c r="V103" s="32"/>
    </row>
    <row r="104" spans="1:22" s="2" customFormat="1" ht="25.15" customHeight="1" x14ac:dyDescent="2.5">
      <c r="A104" s="68" t="s">
        <v>4</v>
      </c>
      <c r="B104" s="57">
        <v>953.4</v>
      </c>
      <c r="C104" s="57"/>
      <c r="D104" s="57">
        <f>B104-C104</f>
        <v>953.4</v>
      </c>
      <c r="E104" s="57">
        <f>D104</f>
        <v>953.4</v>
      </c>
      <c r="F104" s="57">
        <f>ROUND(E104*(1+$Q$19),1)</f>
        <v>1001.1</v>
      </c>
      <c r="G104" s="57">
        <f>ROUND(F104*(1+$Q$19),1)</f>
        <v>1051.2</v>
      </c>
      <c r="H104" s="58">
        <f t="shared" si="13"/>
        <v>0</v>
      </c>
      <c r="I104" s="58">
        <f t="shared" si="14"/>
        <v>5.0031466331025953E-2</v>
      </c>
      <c r="J104" s="58">
        <f t="shared" si="14"/>
        <v>5.0044950554390288E-2</v>
      </c>
      <c r="K104" s="37"/>
      <c r="L104" s="37"/>
      <c r="M104" s="11"/>
      <c r="N104" s="7">
        <f t="shared" si="40"/>
        <v>0</v>
      </c>
      <c r="O104" s="11"/>
      <c r="S104" s="29"/>
      <c r="T104" s="29"/>
      <c r="U104" s="29"/>
      <c r="V104" s="29"/>
    </row>
    <row r="105" spans="1:22" s="2" customFormat="1" ht="25.15" customHeight="1" x14ac:dyDescent="2.5">
      <c r="A105" s="68" t="s">
        <v>5</v>
      </c>
      <c r="B105" s="57">
        <v>642</v>
      </c>
      <c r="C105" s="57"/>
      <c r="D105" s="57">
        <f>B105-C105</f>
        <v>642</v>
      </c>
      <c r="E105" s="57">
        <f>D105+100</f>
        <v>742</v>
      </c>
      <c r="F105" s="57">
        <f>ROUND(E105*(1+$Q$21),1)</f>
        <v>750.9</v>
      </c>
      <c r="G105" s="57">
        <f>ROUND(F105*(1+$Q$21),1)</f>
        <v>759.9</v>
      </c>
      <c r="H105" s="58">
        <f t="shared" si="13"/>
        <v>0.15576323987538943</v>
      </c>
      <c r="I105" s="58">
        <f t="shared" si="14"/>
        <v>1.1994609164420522E-2</v>
      </c>
      <c r="J105" s="58">
        <f t="shared" si="14"/>
        <v>1.1985617259288928E-2</v>
      </c>
      <c r="K105" s="37"/>
      <c r="L105" s="37" t="s">
        <v>134</v>
      </c>
      <c r="M105" s="11"/>
      <c r="N105" s="7">
        <f t="shared" si="40"/>
        <v>100</v>
      </c>
      <c r="O105" s="11"/>
      <c r="S105" s="29"/>
      <c r="T105" s="29"/>
      <c r="U105" s="29"/>
      <c r="V105" s="29"/>
    </row>
    <row r="106" spans="1:22" s="3" customFormat="1" ht="25.15" customHeight="1" x14ac:dyDescent="2.5">
      <c r="A106" s="84" t="s">
        <v>69</v>
      </c>
      <c r="B106" s="85">
        <f t="shared" ref="B106:G106" si="46">B107+B108</f>
        <v>47634.8</v>
      </c>
      <c r="C106" s="85">
        <f t="shared" si="46"/>
        <v>631</v>
      </c>
      <c r="D106" s="85">
        <f t="shared" si="46"/>
        <v>47003.8</v>
      </c>
      <c r="E106" s="85">
        <f t="shared" si="46"/>
        <v>58352</v>
      </c>
      <c r="F106" s="85">
        <f t="shared" si="46"/>
        <v>60077</v>
      </c>
      <c r="G106" s="85">
        <f t="shared" si="46"/>
        <v>61934.3</v>
      </c>
      <c r="H106" s="86">
        <f t="shared" si="13"/>
        <v>0.22498677437503667</v>
      </c>
      <c r="I106" s="86">
        <f t="shared" si="14"/>
        <v>2.9561968741431244E-2</v>
      </c>
      <c r="J106" s="86">
        <f t="shared" si="14"/>
        <v>3.0915325332490085E-2</v>
      </c>
      <c r="K106" s="87"/>
      <c r="L106" s="87"/>
      <c r="M106" s="23"/>
      <c r="N106" s="9">
        <f t="shared" si="40"/>
        <v>10717.199999999997</v>
      </c>
      <c r="O106" s="23"/>
      <c r="S106" s="32"/>
      <c r="T106" s="32"/>
      <c r="U106" s="32"/>
      <c r="V106" s="32"/>
    </row>
    <row r="107" spans="1:22" s="2" customFormat="1" ht="25.15" customHeight="1" x14ac:dyDescent="2.5">
      <c r="A107" s="68" t="s">
        <v>4</v>
      </c>
      <c r="B107" s="57">
        <f>B110+B113</f>
        <v>15324</v>
      </c>
      <c r="C107" s="57">
        <f t="shared" ref="C107:G108" si="47">C110+C113</f>
        <v>0</v>
      </c>
      <c r="D107" s="57">
        <f t="shared" si="47"/>
        <v>15324</v>
      </c>
      <c r="E107" s="57">
        <f t="shared" si="47"/>
        <v>26381</v>
      </c>
      <c r="F107" s="57">
        <f t="shared" si="47"/>
        <v>27700.3</v>
      </c>
      <c r="G107" s="57">
        <f t="shared" si="47"/>
        <v>29085.399999999998</v>
      </c>
      <c r="H107" s="58">
        <f t="shared" si="13"/>
        <v>0.72154789872096048</v>
      </c>
      <c r="I107" s="58">
        <f t="shared" si="14"/>
        <v>5.0009476517190343E-2</v>
      </c>
      <c r="J107" s="58">
        <f t="shared" si="14"/>
        <v>5.0003068558824193E-2</v>
      </c>
      <c r="K107" s="37"/>
      <c r="L107" s="37"/>
      <c r="M107" s="11"/>
      <c r="N107" s="7">
        <f t="shared" si="40"/>
        <v>11057</v>
      </c>
      <c r="O107" s="11"/>
      <c r="S107" s="29"/>
      <c r="T107" s="29"/>
      <c r="U107" s="29"/>
      <c r="V107" s="29"/>
    </row>
    <row r="108" spans="1:22" s="2" customFormat="1" ht="25.15" customHeight="1" x14ac:dyDescent="2.5">
      <c r="A108" s="68" t="s">
        <v>5</v>
      </c>
      <c r="B108" s="57">
        <f t="shared" ref="B108:E108" si="48">B111+B114</f>
        <v>32310.799999999999</v>
      </c>
      <c r="C108" s="57">
        <f t="shared" si="48"/>
        <v>631</v>
      </c>
      <c r="D108" s="57">
        <f t="shared" si="47"/>
        <v>31679.8</v>
      </c>
      <c r="E108" s="72">
        <f t="shared" si="48"/>
        <v>31971</v>
      </c>
      <c r="F108" s="72">
        <f t="shared" si="47"/>
        <v>32376.7</v>
      </c>
      <c r="G108" s="72">
        <f t="shared" si="47"/>
        <v>32848.9</v>
      </c>
      <c r="H108" s="58">
        <f t="shared" si="13"/>
        <v>-1.0516607450140492E-2</v>
      </c>
      <c r="I108" s="58">
        <f t="shared" si="14"/>
        <v>1.2689624972631375E-2</v>
      </c>
      <c r="J108" s="58">
        <f t="shared" si="14"/>
        <v>1.458456235502692E-2</v>
      </c>
      <c r="K108" s="37"/>
      <c r="L108" s="37"/>
      <c r="M108" s="11"/>
      <c r="N108" s="7">
        <f t="shared" si="40"/>
        <v>-339.79999999999927</v>
      </c>
      <c r="O108" s="11"/>
      <c r="S108" s="29"/>
      <c r="T108" s="29"/>
      <c r="U108" s="29"/>
      <c r="V108" s="29"/>
    </row>
    <row r="109" spans="1:22" s="3" customFormat="1" ht="25.15" customHeight="1" x14ac:dyDescent="2.5">
      <c r="A109" s="79" t="s">
        <v>44</v>
      </c>
      <c r="B109" s="70">
        <f t="shared" ref="B109:G109" si="49">B110+B111</f>
        <v>41867.800000000003</v>
      </c>
      <c r="C109" s="70">
        <f t="shared" si="49"/>
        <v>431</v>
      </c>
      <c r="D109" s="70">
        <f t="shared" si="49"/>
        <v>41436.800000000003</v>
      </c>
      <c r="E109" s="70">
        <f t="shared" si="49"/>
        <v>53250</v>
      </c>
      <c r="F109" s="70">
        <f t="shared" si="49"/>
        <v>54822</v>
      </c>
      <c r="G109" s="70">
        <f t="shared" si="49"/>
        <v>56522.3</v>
      </c>
      <c r="H109" s="71">
        <f t="shared" si="13"/>
        <v>0.27186047511452704</v>
      </c>
      <c r="I109" s="71">
        <f t="shared" si="14"/>
        <v>2.9521126760563288E-2</v>
      </c>
      <c r="J109" s="71">
        <f t="shared" si="14"/>
        <v>3.1014921017110009E-2</v>
      </c>
      <c r="K109" s="41"/>
      <c r="L109" s="41"/>
      <c r="M109" s="23"/>
      <c r="N109" s="9">
        <f t="shared" si="40"/>
        <v>11382.199999999997</v>
      </c>
      <c r="O109" s="23"/>
      <c r="S109" s="32"/>
      <c r="T109" s="32"/>
      <c r="U109" s="32"/>
      <c r="V109" s="32"/>
    </row>
    <row r="110" spans="1:22" s="2" customFormat="1" ht="25.15" customHeight="1" x14ac:dyDescent="2.5">
      <c r="A110" s="78" t="s">
        <v>4</v>
      </c>
      <c r="B110" s="57">
        <v>15324</v>
      </c>
      <c r="C110" s="57"/>
      <c r="D110" s="57">
        <f>B110-C110</f>
        <v>15324</v>
      </c>
      <c r="E110" s="57">
        <f>D110+11057</f>
        <v>26381</v>
      </c>
      <c r="F110" s="57">
        <f>ROUND(E110*(1+$Q$19),1)+0.2</f>
        <v>27700.3</v>
      </c>
      <c r="G110" s="57">
        <f>ROUND(F110*(1+$Q$19),1)+0.1</f>
        <v>29085.399999999998</v>
      </c>
      <c r="H110" s="58">
        <f t="shared" si="13"/>
        <v>0.72154789872096048</v>
      </c>
      <c r="I110" s="58">
        <f t="shared" si="14"/>
        <v>5.0009476517190343E-2</v>
      </c>
      <c r="J110" s="58">
        <f t="shared" si="14"/>
        <v>5.0003068558824193E-2</v>
      </c>
      <c r="K110" s="37"/>
      <c r="L110" s="37" t="s">
        <v>121</v>
      </c>
      <c r="M110" s="11"/>
      <c r="N110" s="7">
        <f t="shared" si="40"/>
        <v>11057</v>
      </c>
      <c r="O110" s="11"/>
      <c r="S110" s="29"/>
      <c r="T110" s="29"/>
      <c r="U110" s="29"/>
      <c r="V110" s="29"/>
    </row>
    <row r="111" spans="1:22" s="2" customFormat="1" ht="25.15" customHeight="1" x14ac:dyDescent="2.5">
      <c r="A111" s="78" t="s">
        <v>5</v>
      </c>
      <c r="B111" s="57">
        <f>32310.8-5767</f>
        <v>26543.8</v>
      </c>
      <c r="C111" s="57">
        <f>82+202+47+100</f>
        <v>431</v>
      </c>
      <c r="D111" s="57">
        <f>B111-C111</f>
        <v>26112.799999999999</v>
      </c>
      <c r="E111" s="57">
        <f>D111+150+606.2</f>
        <v>26869</v>
      </c>
      <c r="F111" s="72">
        <f>ROUND(E111*(1+$Q$21),1)-69.7</f>
        <v>27121.7</v>
      </c>
      <c r="G111" s="72">
        <f>ROUND(F111*(1+$Q$21),1)-10.3</f>
        <v>27436.9</v>
      </c>
      <c r="H111" s="58">
        <f t="shared" si="13"/>
        <v>1.2251448549190469E-2</v>
      </c>
      <c r="I111" s="58">
        <f t="shared" si="14"/>
        <v>9.4048903941346129E-3</v>
      </c>
      <c r="J111" s="58">
        <f t="shared" si="14"/>
        <v>1.1621690380765326E-2</v>
      </c>
      <c r="K111" s="37"/>
      <c r="L111" s="37" t="s">
        <v>120</v>
      </c>
      <c r="M111" s="11"/>
      <c r="N111" s="7">
        <f t="shared" si="40"/>
        <v>325.20000000000073</v>
      </c>
      <c r="O111" s="98">
        <f>(C111+C114)/$C$27</f>
        <v>0.1043630710198141</v>
      </c>
      <c r="P111" s="99">
        <f>ROUND(O111*$T$18,1)</f>
        <v>0</v>
      </c>
      <c r="S111" s="29"/>
      <c r="T111" s="29"/>
      <c r="U111" s="29"/>
      <c r="V111" s="29"/>
    </row>
    <row r="112" spans="1:22" s="3" customFormat="1" ht="25.15" customHeight="1" x14ac:dyDescent="2.5">
      <c r="A112" s="79" t="s">
        <v>45</v>
      </c>
      <c r="B112" s="70">
        <f t="shared" ref="B112:G112" si="50">B113+B114</f>
        <v>5767</v>
      </c>
      <c r="C112" s="70">
        <f t="shared" si="50"/>
        <v>200</v>
      </c>
      <c r="D112" s="70">
        <f t="shared" si="50"/>
        <v>5567</v>
      </c>
      <c r="E112" s="70">
        <f t="shared" si="50"/>
        <v>5102</v>
      </c>
      <c r="F112" s="70">
        <f t="shared" si="50"/>
        <v>5255</v>
      </c>
      <c r="G112" s="70">
        <f t="shared" si="50"/>
        <v>5412</v>
      </c>
      <c r="H112" s="71">
        <f t="shared" si="13"/>
        <v>-0.11531125368475814</v>
      </c>
      <c r="I112" s="71">
        <f t="shared" si="14"/>
        <v>2.9988239905919256E-2</v>
      </c>
      <c r="J112" s="71">
        <f t="shared" si="14"/>
        <v>2.987630827783061E-2</v>
      </c>
      <c r="K112" s="41"/>
      <c r="L112" s="41"/>
      <c r="M112" s="23"/>
      <c r="N112" s="9">
        <f t="shared" si="40"/>
        <v>-665</v>
      </c>
      <c r="O112" s="23"/>
      <c r="S112" s="32"/>
      <c r="T112" s="32"/>
      <c r="U112" s="32"/>
      <c r="V112" s="32"/>
    </row>
    <row r="113" spans="1:22" s="2" customFormat="1" ht="25.15" customHeight="1" x14ac:dyDescent="2.5">
      <c r="A113" s="78" t="s">
        <v>4</v>
      </c>
      <c r="B113" s="57">
        <v>0</v>
      </c>
      <c r="C113" s="57"/>
      <c r="D113" s="57">
        <f>B113-C113</f>
        <v>0</v>
      </c>
      <c r="E113" s="57">
        <f>D113</f>
        <v>0</v>
      </c>
      <c r="F113" s="57">
        <f>ROUND(E113*(1+$Q$19),1)</f>
        <v>0</v>
      </c>
      <c r="G113" s="57">
        <f>ROUND(F113*(1+$Q$19),1)</f>
        <v>0</v>
      </c>
      <c r="H113" s="58" t="str">
        <f t="shared" si="13"/>
        <v>-</v>
      </c>
      <c r="I113" s="58" t="str">
        <f t="shared" si="14"/>
        <v>-</v>
      </c>
      <c r="J113" s="58" t="str">
        <f t="shared" si="14"/>
        <v>-</v>
      </c>
      <c r="K113" s="37"/>
      <c r="L113" s="37"/>
      <c r="M113" s="11"/>
      <c r="N113" s="7">
        <f t="shared" si="40"/>
        <v>0</v>
      </c>
      <c r="O113" s="11"/>
      <c r="S113" s="29"/>
      <c r="T113" s="29"/>
      <c r="U113" s="29"/>
      <c r="V113" s="29"/>
    </row>
    <row r="114" spans="1:22" s="2" customFormat="1" ht="25.15" customHeight="1" x14ac:dyDescent="2.5">
      <c r="A114" s="78" t="s">
        <v>5</v>
      </c>
      <c r="B114" s="57">
        <v>5767</v>
      </c>
      <c r="C114" s="57">
        <v>200</v>
      </c>
      <c r="D114" s="57">
        <f>B114-C114</f>
        <v>5567</v>
      </c>
      <c r="E114" s="72">
        <v>5102</v>
      </c>
      <c r="F114" s="72">
        <v>5255</v>
      </c>
      <c r="G114" s="72">
        <v>5412</v>
      </c>
      <c r="H114" s="58">
        <f t="shared" si="13"/>
        <v>-0.11531125368475814</v>
      </c>
      <c r="I114" s="58">
        <f t="shared" si="14"/>
        <v>2.9988239905919256E-2</v>
      </c>
      <c r="J114" s="58">
        <f t="shared" si="14"/>
        <v>2.987630827783061E-2</v>
      </c>
      <c r="K114" s="37"/>
      <c r="L114" s="37" t="s">
        <v>90</v>
      </c>
      <c r="M114" s="11"/>
      <c r="N114" s="7">
        <f t="shared" si="40"/>
        <v>-665</v>
      </c>
      <c r="O114" s="11"/>
      <c r="S114" s="29"/>
      <c r="T114" s="29"/>
      <c r="U114" s="29"/>
      <c r="V114" s="29"/>
    </row>
    <row r="115" spans="1:22" s="3" customFormat="1" ht="25.15" customHeight="1" x14ac:dyDescent="2.5">
      <c r="A115" s="84" t="s">
        <v>70</v>
      </c>
      <c r="B115" s="85">
        <f t="shared" ref="B115:G115" si="51">B116+B117</f>
        <v>1195.4000000000001</v>
      </c>
      <c r="C115" s="85">
        <f t="shared" si="51"/>
        <v>0</v>
      </c>
      <c r="D115" s="85">
        <f t="shared" si="51"/>
        <v>1195.4000000000001</v>
      </c>
      <c r="E115" s="85">
        <f t="shared" si="51"/>
        <v>1295.4000000000001</v>
      </c>
      <c r="F115" s="85">
        <f t="shared" si="51"/>
        <v>1339.4</v>
      </c>
      <c r="G115" s="85">
        <f t="shared" si="51"/>
        <v>1385.3</v>
      </c>
      <c r="H115" s="86">
        <f t="shared" ref="H115:H178" si="52">IFERROR(E115/B115-1,"-")</f>
        <v>8.3654007026936483E-2</v>
      </c>
      <c r="I115" s="86">
        <f t="shared" ref="I115:J166" si="53">IFERROR(F115/E115-1,"-")</f>
        <v>3.3966342442488751E-2</v>
      </c>
      <c r="J115" s="86">
        <f t="shared" si="53"/>
        <v>3.426907570553972E-2</v>
      </c>
      <c r="K115" s="87"/>
      <c r="L115" s="87"/>
      <c r="M115" s="23"/>
      <c r="N115" s="9">
        <f t="shared" si="40"/>
        <v>100</v>
      </c>
      <c r="O115" s="23"/>
      <c r="S115" s="32"/>
      <c r="T115" s="32"/>
      <c r="U115" s="32"/>
      <c r="V115" s="32"/>
    </row>
    <row r="116" spans="1:22" s="2" customFormat="1" ht="25.15" customHeight="1" x14ac:dyDescent="2.5">
      <c r="A116" s="68" t="s">
        <v>4</v>
      </c>
      <c r="B116" s="57">
        <v>747.4</v>
      </c>
      <c r="C116" s="57"/>
      <c r="D116" s="57">
        <f>B116-C116</f>
        <v>747.4</v>
      </c>
      <c r="E116" s="57">
        <f>D116</f>
        <v>747.4</v>
      </c>
      <c r="F116" s="57">
        <f>ROUND(E116*(1+$Q$19),1)</f>
        <v>784.8</v>
      </c>
      <c r="G116" s="57">
        <f>ROUND(F116*(1+$Q$19),1)</f>
        <v>824</v>
      </c>
      <c r="H116" s="58">
        <f t="shared" si="52"/>
        <v>0</v>
      </c>
      <c r="I116" s="58">
        <f t="shared" si="53"/>
        <v>5.0040139149049923E-2</v>
      </c>
      <c r="J116" s="58">
        <f t="shared" si="53"/>
        <v>4.9949031600407867E-2</v>
      </c>
      <c r="K116" s="37"/>
      <c r="L116" s="37"/>
      <c r="M116" s="11"/>
      <c r="N116" s="7">
        <f t="shared" si="40"/>
        <v>0</v>
      </c>
      <c r="O116" s="11"/>
      <c r="S116" s="29"/>
      <c r="T116" s="29"/>
      <c r="U116" s="29"/>
      <c r="V116" s="29"/>
    </row>
    <row r="117" spans="1:22" s="2" customFormat="1" ht="25.15" customHeight="1" x14ac:dyDescent="2.5">
      <c r="A117" s="115" t="s">
        <v>5</v>
      </c>
      <c r="B117" s="116">
        <v>448</v>
      </c>
      <c r="C117" s="116"/>
      <c r="D117" s="116">
        <f>B117-C117</f>
        <v>448</v>
      </c>
      <c r="E117" s="116">
        <f>D117+100</f>
        <v>548</v>
      </c>
      <c r="F117" s="116">
        <f>ROUND(E117*(1+$Q$21),1)</f>
        <v>554.6</v>
      </c>
      <c r="G117" s="116">
        <f>ROUND(F117*(1+$Q$21),1)</f>
        <v>561.29999999999995</v>
      </c>
      <c r="H117" s="117">
        <f t="shared" si="52"/>
        <v>0.22321428571428581</v>
      </c>
      <c r="I117" s="117">
        <f t="shared" si="53"/>
        <v>1.2043795620438003E-2</v>
      </c>
      <c r="J117" s="117">
        <f t="shared" si="53"/>
        <v>1.2080778939776327E-2</v>
      </c>
      <c r="K117" s="118"/>
      <c r="L117" s="118" t="s">
        <v>134</v>
      </c>
      <c r="M117" s="11"/>
      <c r="N117" s="7">
        <f t="shared" si="40"/>
        <v>100</v>
      </c>
      <c r="O117" s="11"/>
      <c r="S117" s="29"/>
      <c r="T117" s="29"/>
      <c r="U117" s="29"/>
      <c r="V117" s="29"/>
    </row>
    <row r="118" spans="1:22" s="3" customFormat="1" ht="25.15" customHeight="1" x14ac:dyDescent="2.5">
      <c r="A118" s="111" t="s">
        <v>74</v>
      </c>
      <c r="B118" s="112">
        <f>B119+B120</f>
        <v>26450.999999999993</v>
      </c>
      <c r="C118" s="112">
        <f>C119+C120</f>
        <v>7329.9000000000005</v>
      </c>
      <c r="D118" s="112">
        <f>D119+D120</f>
        <v>19121.099999999999</v>
      </c>
      <c r="E118" s="112">
        <f t="shared" ref="E118:G118" si="54">E119+E120</f>
        <v>28005.999999999993</v>
      </c>
      <c r="F118" s="112">
        <f t="shared" si="54"/>
        <v>29102</v>
      </c>
      <c r="G118" s="112">
        <f t="shared" si="54"/>
        <v>30244</v>
      </c>
      <c r="H118" s="113">
        <f t="shared" si="52"/>
        <v>5.8787947525613449E-2</v>
      </c>
      <c r="I118" s="113">
        <f t="shared" si="53"/>
        <v>3.9134471184746333E-2</v>
      </c>
      <c r="J118" s="113">
        <f t="shared" si="53"/>
        <v>3.9241289258470147E-2</v>
      </c>
      <c r="K118" s="114"/>
      <c r="L118" s="114"/>
      <c r="M118" s="23"/>
      <c r="N118" s="8">
        <f t="shared" si="40"/>
        <v>1555</v>
      </c>
      <c r="O118" s="23"/>
      <c r="S118" s="32"/>
      <c r="T118" s="32"/>
      <c r="U118" s="32"/>
      <c r="V118" s="32"/>
    </row>
    <row r="119" spans="1:22" s="2" customFormat="1" ht="25.15" customHeight="1" x14ac:dyDescent="2.5">
      <c r="A119" s="68" t="s">
        <v>4</v>
      </c>
      <c r="B119" s="57">
        <f>B122+B125+B128+B131+B134+B137+B140+B143+B146+B149+B152+B155+B158+B161+B164+B167+B170+B173+B176+B179+B182+B185+B188+B191+B194</f>
        <v>11724.999999999998</v>
      </c>
      <c r="C119" s="57">
        <f t="shared" ref="C119:G120" si="55">C122+C125+C128+C131+C134+C137+C140+C143+C146+C149+C152+C155+C158+C161+C164+C167+C170+C173+C176+C179+C182+C185+C188+C191+C194</f>
        <v>0</v>
      </c>
      <c r="D119" s="57">
        <f t="shared" si="55"/>
        <v>11724.999999999998</v>
      </c>
      <c r="E119" s="57">
        <f t="shared" si="55"/>
        <v>12838.999999999998</v>
      </c>
      <c r="F119" s="57">
        <f t="shared" si="55"/>
        <v>13481.000000000002</v>
      </c>
      <c r="G119" s="57">
        <f t="shared" si="55"/>
        <v>14154.999999999998</v>
      </c>
      <c r="H119" s="58">
        <f t="shared" si="52"/>
        <v>9.5010660980810346E-2</v>
      </c>
      <c r="I119" s="58">
        <f t="shared" si="53"/>
        <v>5.0003894384298198E-2</v>
      </c>
      <c r="J119" s="58">
        <f t="shared" si="53"/>
        <v>4.9996291076329413E-2</v>
      </c>
      <c r="K119" s="42"/>
      <c r="L119" s="42"/>
      <c r="M119" s="11"/>
      <c r="N119" s="7">
        <f t="shared" si="40"/>
        <v>1114</v>
      </c>
      <c r="O119" s="11"/>
      <c r="S119" s="29"/>
      <c r="T119" s="29"/>
      <c r="U119" s="29"/>
      <c r="V119" s="29"/>
    </row>
    <row r="120" spans="1:22" s="2" customFormat="1" ht="25.15" customHeight="1" x14ac:dyDescent="2.5">
      <c r="A120" s="68" t="s">
        <v>5</v>
      </c>
      <c r="B120" s="57">
        <f t="shared" ref="B120:C120" si="56">B123+B126+B129+B132+B135+B138+B141+B144+B147+B150+B153+B156+B159+B162+B165+B168+B171+B174+B177+B180+B183+B186+B189+B192+B195</f>
        <v>14725.999999999996</v>
      </c>
      <c r="C120" s="57">
        <f t="shared" si="56"/>
        <v>7329.9000000000005</v>
      </c>
      <c r="D120" s="57">
        <f t="shared" si="55"/>
        <v>7396.0999999999995</v>
      </c>
      <c r="E120" s="57">
        <f t="shared" si="55"/>
        <v>15166.999999999996</v>
      </c>
      <c r="F120" s="57">
        <f t="shared" si="55"/>
        <v>15621</v>
      </c>
      <c r="G120" s="57">
        <f t="shared" si="55"/>
        <v>16089</v>
      </c>
      <c r="H120" s="58">
        <f t="shared" si="52"/>
        <v>2.994703245959518E-2</v>
      </c>
      <c r="I120" s="58">
        <f t="shared" si="53"/>
        <v>2.9933408056965982E-2</v>
      </c>
      <c r="J120" s="58">
        <f t="shared" si="53"/>
        <v>2.9959669675436951E-2</v>
      </c>
      <c r="K120" s="42"/>
      <c r="L120" s="42"/>
      <c r="M120" s="11"/>
      <c r="N120" s="7">
        <f t="shared" si="40"/>
        <v>441</v>
      </c>
      <c r="O120" s="11"/>
      <c r="S120" s="29"/>
      <c r="T120" s="29"/>
      <c r="U120" s="29"/>
      <c r="V120" s="29"/>
    </row>
    <row r="121" spans="1:22" s="3" customFormat="1" ht="25.15" customHeight="1" x14ac:dyDescent="2.5">
      <c r="A121" s="73" t="s">
        <v>6</v>
      </c>
      <c r="B121" s="74">
        <f t="shared" ref="B121:G121" si="57">B122+B123</f>
        <v>1422</v>
      </c>
      <c r="C121" s="74">
        <f t="shared" si="57"/>
        <v>466.5</v>
      </c>
      <c r="D121" s="74">
        <f t="shared" si="57"/>
        <v>955.50000000000011</v>
      </c>
      <c r="E121" s="74">
        <f t="shared" si="57"/>
        <v>1498.3</v>
      </c>
      <c r="F121" s="74">
        <f t="shared" si="57"/>
        <v>1556.4</v>
      </c>
      <c r="G121" s="74">
        <f t="shared" si="57"/>
        <v>1616.9</v>
      </c>
      <c r="H121" s="75">
        <f t="shared" si="52"/>
        <v>5.365682137834038E-2</v>
      </c>
      <c r="I121" s="75">
        <f t="shared" si="53"/>
        <v>3.877728091837418E-2</v>
      </c>
      <c r="J121" s="75">
        <f t="shared" si="53"/>
        <v>3.887175533281928E-2</v>
      </c>
      <c r="K121" s="43"/>
      <c r="L121" s="43"/>
      <c r="M121" s="23"/>
      <c r="N121" s="9">
        <f t="shared" si="40"/>
        <v>76.299999999999955</v>
      </c>
      <c r="O121" s="23"/>
      <c r="S121" s="32"/>
      <c r="T121" s="32"/>
      <c r="U121" s="32"/>
      <c r="V121" s="32"/>
    </row>
    <row r="122" spans="1:22" s="2" customFormat="1" ht="25.15" customHeight="1" x14ac:dyDescent="2.5">
      <c r="A122" s="68" t="s">
        <v>4</v>
      </c>
      <c r="B122" s="57">
        <v>598.20000000000005</v>
      </c>
      <c r="C122" s="57"/>
      <c r="D122" s="57">
        <f>B122-C122</f>
        <v>598.20000000000005</v>
      </c>
      <c r="E122" s="57">
        <f>ROUND(D122*(1+$Q$16),1)</f>
        <v>655</v>
      </c>
      <c r="F122" s="57">
        <f>ROUND(E122*(1+$Q$20),1)</f>
        <v>687.8</v>
      </c>
      <c r="G122" s="57">
        <f>ROUND(F122*(1+$Q$20),1)</f>
        <v>722.2</v>
      </c>
      <c r="H122" s="58">
        <f t="shared" si="52"/>
        <v>9.495152123035755E-2</v>
      </c>
      <c r="I122" s="58">
        <f t="shared" si="53"/>
        <v>5.0076335877862421E-2</v>
      </c>
      <c r="J122" s="58">
        <f t="shared" si="53"/>
        <v>5.0014539110206702E-2</v>
      </c>
      <c r="K122" s="37"/>
      <c r="L122" s="37"/>
      <c r="M122" s="11"/>
      <c r="N122" s="7">
        <f t="shared" si="40"/>
        <v>56.799999999999955</v>
      </c>
      <c r="O122" s="11"/>
      <c r="S122" s="29"/>
      <c r="T122" s="29"/>
      <c r="U122" s="29"/>
      <c r="V122" s="29"/>
    </row>
    <row r="123" spans="1:22" s="2" customFormat="1" ht="25.15" customHeight="1" x14ac:dyDescent="2.5">
      <c r="A123" s="68" t="s">
        <v>5</v>
      </c>
      <c r="B123" s="57">
        <v>823.80000000000007</v>
      </c>
      <c r="C123" s="57">
        <f>97.8+368.7</f>
        <v>466.5</v>
      </c>
      <c r="D123" s="57">
        <f>B123-C123</f>
        <v>357.30000000000007</v>
      </c>
      <c r="E123" s="57">
        <f>ROUND(D123*(1+$Q$18),1)+C123+8.8</f>
        <v>843.3</v>
      </c>
      <c r="F123" s="57">
        <f>ROUND(E123*(1+$Q$22),1)</f>
        <v>868.6</v>
      </c>
      <c r="G123" s="57">
        <f>ROUND(F123*(1+$Q$22),1)</f>
        <v>894.7</v>
      </c>
      <c r="H123" s="58">
        <f t="shared" si="52"/>
        <v>2.3670793882009988E-2</v>
      </c>
      <c r="I123" s="58">
        <f t="shared" si="53"/>
        <v>3.0001185817621234E-2</v>
      </c>
      <c r="J123" s="58">
        <f t="shared" si="53"/>
        <v>3.0048353672576633E-2</v>
      </c>
      <c r="K123" s="37"/>
      <c r="L123" s="37" t="s">
        <v>91</v>
      </c>
      <c r="M123" s="11"/>
      <c r="N123" s="7">
        <f t="shared" si="40"/>
        <v>19.499999999999886</v>
      </c>
      <c r="O123" s="11"/>
      <c r="S123" s="29"/>
      <c r="T123" s="29"/>
      <c r="U123" s="29"/>
      <c r="V123" s="29"/>
    </row>
    <row r="124" spans="1:22" s="3" customFormat="1" ht="25.15" customHeight="1" x14ac:dyDescent="2.5">
      <c r="A124" s="73" t="s">
        <v>7</v>
      </c>
      <c r="B124" s="74">
        <f t="shared" ref="B124:G124" si="58">B125+B126</f>
        <v>1465.5</v>
      </c>
      <c r="C124" s="74">
        <f t="shared" si="58"/>
        <v>399</v>
      </c>
      <c r="D124" s="74">
        <f t="shared" si="58"/>
        <v>1066.5</v>
      </c>
      <c r="E124" s="74">
        <f t="shared" si="58"/>
        <v>1549</v>
      </c>
      <c r="F124" s="74">
        <f t="shared" si="58"/>
        <v>1609.9</v>
      </c>
      <c r="G124" s="74">
        <f t="shared" si="58"/>
        <v>1673.3</v>
      </c>
      <c r="H124" s="75">
        <f t="shared" si="52"/>
        <v>5.6977140907540136E-2</v>
      </c>
      <c r="I124" s="75">
        <f t="shared" si="53"/>
        <v>3.9315687540348643E-2</v>
      </c>
      <c r="J124" s="75">
        <f t="shared" si="53"/>
        <v>3.9381328032797036E-2</v>
      </c>
      <c r="K124" s="43"/>
      <c r="L124" s="43"/>
      <c r="M124" s="23"/>
      <c r="N124" s="9">
        <f t="shared" si="40"/>
        <v>83.5</v>
      </c>
      <c r="O124" s="23"/>
      <c r="S124" s="32"/>
      <c r="T124" s="32"/>
      <c r="U124" s="32"/>
      <c r="V124" s="32"/>
    </row>
    <row r="125" spans="1:22" s="2" customFormat="1" ht="25.15" customHeight="1" x14ac:dyDescent="2.5">
      <c r="A125" s="68" t="s">
        <v>4</v>
      </c>
      <c r="B125" s="57">
        <v>657.2</v>
      </c>
      <c r="C125" s="57"/>
      <c r="D125" s="57">
        <f>B125-C125</f>
        <v>657.2</v>
      </c>
      <c r="E125" s="57">
        <f>ROUND(D125*(1+$Q$16),1)</f>
        <v>719.6</v>
      </c>
      <c r="F125" s="57">
        <f>ROUND(E125*(1+$Q$20),1)</f>
        <v>755.6</v>
      </c>
      <c r="G125" s="57">
        <f>ROUND(F125*(1+$Q$20),1)</f>
        <v>793.4</v>
      </c>
      <c r="H125" s="58">
        <f t="shared" si="52"/>
        <v>9.4948265368228757E-2</v>
      </c>
      <c r="I125" s="58">
        <f t="shared" si="53"/>
        <v>5.0027793218454741E-2</v>
      </c>
      <c r="J125" s="58">
        <f t="shared" si="53"/>
        <v>5.0026469031233312E-2</v>
      </c>
      <c r="K125" s="37"/>
      <c r="L125" s="37"/>
      <c r="M125" s="11"/>
      <c r="N125" s="7">
        <f t="shared" si="40"/>
        <v>62.399999999999977</v>
      </c>
      <c r="O125" s="11"/>
      <c r="S125" s="29"/>
      <c r="T125" s="29"/>
      <c r="U125" s="29"/>
      <c r="V125" s="29"/>
    </row>
    <row r="126" spans="1:22" s="2" customFormat="1" ht="25.15" customHeight="1" x14ac:dyDescent="2.5">
      <c r="A126" s="68" t="s">
        <v>5</v>
      </c>
      <c r="B126" s="57">
        <v>808.30000000000007</v>
      </c>
      <c r="C126" s="57">
        <f>70.8+328.2</f>
        <v>399</v>
      </c>
      <c r="D126" s="57">
        <f>B126-C126</f>
        <v>409.30000000000007</v>
      </c>
      <c r="E126" s="57">
        <f>ROUND(D126*(1+$Q$18),1)+C126+8.8</f>
        <v>829.4</v>
      </c>
      <c r="F126" s="57">
        <f>ROUND(E126*(1+$Q$22),1)</f>
        <v>854.3</v>
      </c>
      <c r="G126" s="57">
        <f>ROUND(F126*(1+$Q$22),1)</f>
        <v>879.9</v>
      </c>
      <c r="H126" s="58">
        <f t="shared" si="52"/>
        <v>2.6104169244092423E-2</v>
      </c>
      <c r="I126" s="58">
        <f t="shared" si="53"/>
        <v>3.0021702435495623E-2</v>
      </c>
      <c r="J126" s="58">
        <f t="shared" si="53"/>
        <v>2.9966054079363147E-2</v>
      </c>
      <c r="K126" s="37"/>
      <c r="L126" s="37" t="s">
        <v>92</v>
      </c>
      <c r="M126" s="11"/>
      <c r="N126" s="7">
        <f t="shared" si="40"/>
        <v>21.099999999999909</v>
      </c>
      <c r="O126" s="11"/>
      <c r="S126" s="29"/>
      <c r="T126" s="29"/>
      <c r="U126" s="29"/>
      <c r="V126" s="29"/>
    </row>
    <row r="127" spans="1:22" s="3" customFormat="1" ht="25.15" customHeight="1" x14ac:dyDescent="2.5">
      <c r="A127" s="73" t="s">
        <v>8</v>
      </c>
      <c r="B127" s="74">
        <f t="shared" ref="B127:G127" si="59">B128+B129</f>
        <v>1304.4000000000001</v>
      </c>
      <c r="C127" s="74">
        <f t="shared" si="59"/>
        <v>551.29999999999995</v>
      </c>
      <c r="D127" s="74">
        <f t="shared" si="59"/>
        <v>753.10000000000014</v>
      </c>
      <c r="E127" s="74">
        <f t="shared" si="59"/>
        <v>1365.9</v>
      </c>
      <c r="F127" s="74">
        <f t="shared" si="59"/>
        <v>1417.1</v>
      </c>
      <c r="G127" s="74">
        <f t="shared" si="59"/>
        <v>1470.2</v>
      </c>
      <c r="H127" s="75">
        <f t="shared" si="52"/>
        <v>4.7148114075437064E-2</v>
      </c>
      <c r="I127" s="75">
        <f t="shared" si="53"/>
        <v>3.7484442492129677E-2</v>
      </c>
      <c r="J127" s="75">
        <f t="shared" si="53"/>
        <v>3.7470891256792038E-2</v>
      </c>
      <c r="K127" s="43"/>
      <c r="L127" s="43"/>
      <c r="M127" s="23"/>
      <c r="N127" s="9">
        <f t="shared" si="40"/>
        <v>61.5</v>
      </c>
      <c r="O127" s="23"/>
      <c r="S127" s="32"/>
      <c r="T127" s="32"/>
      <c r="U127" s="32"/>
      <c r="V127" s="32"/>
    </row>
    <row r="128" spans="1:22" s="2" customFormat="1" ht="25.15" customHeight="1" x14ac:dyDescent="2.5">
      <c r="A128" s="68" t="s">
        <v>4</v>
      </c>
      <c r="B128" s="57">
        <v>463.1</v>
      </c>
      <c r="C128" s="57"/>
      <c r="D128" s="57">
        <f>B128-C128</f>
        <v>463.1</v>
      </c>
      <c r="E128" s="57">
        <f>ROUND(D128*(1+$Q$16),1)</f>
        <v>507.1</v>
      </c>
      <c r="F128" s="57">
        <f>ROUND(E128*(1+$Q$20),1)</f>
        <v>532.5</v>
      </c>
      <c r="G128" s="57">
        <f>ROUND(F128*(1+$Q$20),1)</f>
        <v>559.1</v>
      </c>
      <c r="H128" s="58">
        <f t="shared" si="52"/>
        <v>9.5011876484560664E-2</v>
      </c>
      <c r="I128" s="58">
        <f t="shared" si="53"/>
        <v>5.0088739893512146E-2</v>
      </c>
      <c r="J128" s="58">
        <f t="shared" si="53"/>
        <v>4.9953051643192525E-2</v>
      </c>
      <c r="K128" s="37"/>
      <c r="L128" s="37"/>
      <c r="M128" s="11"/>
      <c r="N128" s="7">
        <f t="shared" si="40"/>
        <v>44</v>
      </c>
      <c r="O128" s="11"/>
      <c r="S128" s="29"/>
      <c r="T128" s="29"/>
      <c r="U128" s="29"/>
      <c r="V128" s="29"/>
    </row>
    <row r="129" spans="1:22" s="2" customFormat="1" ht="25.15" customHeight="1" x14ac:dyDescent="2.5">
      <c r="A129" s="68" t="s">
        <v>5</v>
      </c>
      <c r="B129" s="57">
        <v>841.30000000000007</v>
      </c>
      <c r="C129" s="57">
        <f>188.2+363.1</f>
        <v>551.29999999999995</v>
      </c>
      <c r="D129" s="57">
        <f>B129-C129</f>
        <v>290.00000000000011</v>
      </c>
      <c r="E129" s="57">
        <f>ROUND(D129*(1+$Q$18),1)+C129+8.8</f>
        <v>858.8</v>
      </c>
      <c r="F129" s="57">
        <f>ROUND(E129*(1+$Q$22),1)</f>
        <v>884.6</v>
      </c>
      <c r="G129" s="57">
        <f>ROUND(F129*(1+$Q$22),1)</f>
        <v>911.1</v>
      </c>
      <c r="H129" s="58">
        <f t="shared" si="52"/>
        <v>2.0801141091168374E-2</v>
      </c>
      <c r="I129" s="58">
        <f t="shared" si="53"/>
        <v>3.0041918956683844E-2</v>
      </c>
      <c r="J129" s="58">
        <f t="shared" si="53"/>
        <v>2.9957042731177941E-2</v>
      </c>
      <c r="K129" s="37"/>
      <c r="L129" s="37" t="s">
        <v>93</v>
      </c>
      <c r="M129" s="11"/>
      <c r="N129" s="7">
        <f t="shared" si="40"/>
        <v>17.499999999999886</v>
      </c>
      <c r="O129" s="11"/>
      <c r="S129" s="29"/>
      <c r="T129" s="29"/>
      <c r="U129" s="29"/>
      <c r="V129" s="29"/>
    </row>
    <row r="130" spans="1:22" s="3" customFormat="1" ht="25.15" customHeight="1" x14ac:dyDescent="2.5">
      <c r="A130" s="73" t="s">
        <v>14</v>
      </c>
      <c r="B130" s="74">
        <f t="shared" ref="B130:G130" si="60">B131+B132</f>
        <v>907.8</v>
      </c>
      <c r="C130" s="74">
        <f t="shared" si="60"/>
        <v>149.19999999999999</v>
      </c>
      <c r="D130" s="74">
        <f t="shared" si="60"/>
        <v>758.6</v>
      </c>
      <c r="E130" s="74">
        <f t="shared" si="60"/>
        <v>967.8</v>
      </c>
      <c r="F130" s="74">
        <f t="shared" si="60"/>
        <v>1006.4</v>
      </c>
      <c r="G130" s="74">
        <f t="shared" si="60"/>
        <v>1046.7</v>
      </c>
      <c r="H130" s="75">
        <f t="shared" si="52"/>
        <v>6.6093853271645742E-2</v>
      </c>
      <c r="I130" s="75">
        <f t="shared" si="53"/>
        <v>3.9884273610250043E-2</v>
      </c>
      <c r="J130" s="75">
        <f t="shared" si="53"/>
        <v>4.0043720190779064E-2</v>
      </c>
      <c r="K130" s="43"/>
      <c r="L130" s="43"/>
      <c r="M130" s="23"/>
      <c r="N130" s="9">
        <f t="shared" si="40"/>
        <v>60</v>
      </c>
      <c r="O130" s="23"/>
      <c r="S130" s="32"/>
      <c r="T130" s="32"/>
      <c r="U130" s="32"/>
      <c r="V130" s="32"/>
    </row>
    <row r="131" spans="1:22" s="2" customFormat="1" ht="25.15" customHeight="1" x14ac:dyDescent="2.5">
      <c r="A131" s="68" t="s">
        <v>4</v>
      </c>
      <c r="B131" s="57">
        <v>438.4</v>
      </c>
      <c r="C131" s="57"/>
      <c r="D131" s="57">
        <f>B131-C131</f>
        <v>438.4</v>
      </c>
      <c r="E131" s="57">
        <f>ROUND(D131*(1+$Q$16),1)</f>
        <v>480</v>
      </c>
      <c r="F131" s="57">
        <f>ROUND(E131*(1+$Q$20),1)</f>
        <v>504</v>
      </c>
      <c r="G131" s="57">
        <f>ROUND(F131*(1+$Q$20),1)</f>
        <v>529.20000000000005</v>
      </c>
      <c r="H131" s="58">
        <f t="shared" si="52"/>
        <v>9.4890510948905105E-2</v>
      </c>
      <c r="I131" s="58">
        <f t="shared" si="53"/>
        <v>5.0000000000000044E-2</v>
      </c>
      <c r="J131" s="58">
        <f t="shared" si="53"/>
        <v>5.0000000000000044E-2</v>
      </c>
      <c r="K131" s="37"/>
      <c r="L131" s="37"/>
      <c r="M131" s="11"/>
      <c r="N131" s="7">
        <f t="shared" si="40"/>
        <v>41.600000000000023</v>
      </c>
      <c r="O131" s="11"/>
      <c r="S131" s="29"/>
      <c r="T131" s="29"/>
      <c r="U131" s="29"/>
      <c r="V131" s="29"/>
    </row>
    <row r="132" spans="1:22" s="2" customFormat="1" ht="25.15" customHeight="1" x14ac:dyDescent="2.5">
      <c r="A132" s="68" t="s">
        <v>5</v>
      </c>
      <c r="B132" s="57">
        <v>469.40000000000003</v>
      </c>
      <c r="C132" s="57">
        <f>44+105.2</f>
        <v>149.19999999999999</v>
      </c>
      <c r="D132" s="57">
        <f>B132-C132</f>
        <v>320.20000000000005</v>
      </c>
      <c r="E132" s="57">
        <f>ROUND(D132*(1+$Q$18),1)+C132+8.8</f>
        <v>487.8</v>
      </c>
      <c r="F132" s="57">
        <f>ROUND(E132*(1+$Q$22),1)</f>
        <v>502.4</v>
      </c>
      <c r="G132" s="57">
        <f>ROUND(F132*(1+$Q$22),1)</f>
        <v>517.5</v>
      </c>
      <c r="H132" s="58">
        <f t="shared" si="52"/>
        <v>3.9198977417980396E-2</v>
      </c>
      <c r="I132" s="58">
        <f t="shared" si="53"/>
        <v>2.9930299302993069E-2</v>
      </c>
      <c r="J132" s="58">
        <f t="shared" si="53"/>
        <v>3.0055732484076447E-2</v>
      </c>
      <c r="K132" s="37"/>
      <c r="L132" s="37" t="s">
        <v>94</v>
      </c>
      <c r="M132" s="11"/>
      <c r="N132" s="7">
        <f t="shared" si="40"/>
        <v>18.399999999999977</v>
      </c>
      <c r="O132" s="11"/>
      <c r="S132" s="29"/>
      <c r="T132" s="29"/>
      <c r="U132" s="29"/>
      <c r="V132" s="29"/>
    </row>
    <row r="133" spans="1:22" s="3" customFormat="1" ht="25.15" customHeight="1" x14ac:dyDescent="2.5">
      <c r="A133" s="73" t="s">
        <v>13</v>
      </c>
      <c r="B133" s="74">
        <f t="shared" ref="B133:G133" si="61">B134+B135</f>
        <v>1056.0999999999999</v>
      </c>
      <c r="C133" s="74">
        <f t="shared" si="61"/>
        <v>324.39999999999998</v>
      </c>
      <c r="D133" s="74">
        <f t="shared" si="61"/>
        <v>731.69999999999993</v>
      </c>
      <c r="E133" s="74">
        <f t="shared" si="61"/>
        <v>1117.4000000000001</v>
      </c>
      <c r="F133" s="74">
        <f t="shared" si="61"/>
        <v>1161.3</v>
      </c>
      <c r="G133" s="74">
        <f t="shared" si="61"/>
        <v>1206.9000000000001</v>
      </c>
      <c r="H133" s="75">
        <f t="shared" si="52"/>
        <v>5.8043745857400131E-2</v>
      </c>
      <c r="I133" s="75">
        <f t="shared" si="53"/>
        <v>3.9287632002863671E-2</v>
      </c>
      <c r="J133" s="75">
        <f t="shared" si="53"/>
        <v>3.9266339447171283E-2</v>
      </c>
      <c r="K133" s="43"/>
      <c r="L133" s="43"/>
      <c r="M133" s="23"/>
      <c r="N133" s="9">
        <f t="shared" si="40"/>
        <v>61.300000000000182</v>
      </c>
      <c r="O133" s="23"/>
      <c r="S133" s="32"/>
      <c r="T133" s="32"/>
      <c r="U133" s="32"/>
      <c r="V133" s="32"/>
    </row>
    <row r="134" spans="1:22" s="2" customFormat="1" ht="25.15" customHeight="1" x14ac:dyDescent="2.5">
      <c r="A134" s="68" t="s">
        <v>4</v>
      </c>
      <c r="B134" s="57">
        <v>470.4</v>
      </c>
      <c r="C134" s="57"/>
      <c r="D134" s="57">
        <f>B134-C134</f>
        <v>470.4</v>
      </c>
      <c r="E134" s="57">
        <f>ROUND(D134*(1+$Q$16),1)</f>
        <v>515.1</v>
      </c>
      <c r="F134" s="57">
        <f>ROUND(E134*(1+$Q$20),1)</f>
        <v>540.9</v>
      </c>
      <c r="G134" s="57">
        <f>ROUND(F134*(1+$Q$20),1)</f>
        <v>567.9</v>
      </c>
      <c r="H134" s="58">
        <f t="shared" si="52"/>
        <v>9.5025510204081787E-2</v>
      </c>
      <c r="I134" s="58">
        <f t="shared" si="53"/>
        <v>5.0087361677344067E-2</v>
      </c>
      <c r="J134" s="58">
        <f t="shared" si="53"/>
        <v>4.991680532445919E-2</v>
      </c>
      <c r="K134" s="37"/>
      <c r="L134" s="37"/>
      <c r="M134" s="11"/>
      <c r="N134" s="7">
        <f t="shared" si="40"/>
        <v>44.700000000000045</v>
      </c>
      <c r="O134" s="11"/>
      <c r="S134" s="29"/>
      <c r="T134" s="29"/>
      <c r="U134" s="29"/>
      <c r="V134" s="29"/>
    </row>
    <row r="135" spans="1:22" s="2" customFormat="1" ht="25.15" customHeight="1" x14ac:dyDescent="2.5">
      <c r="A135" s="68" t="s">
        <v>5</v>
      </c>
      <c r="B135" s="57">
        <v>585.69999999999993</v>
      </c>
      <c r="C135" s="57">
        <f>70+254.4</f>
        <v>324.39999999999998</v>
      </c>
      <c r="D135" s="57">
        <f>B135-C135</f>
        <v>261.29999999999995</v>
      </c>
      <c r="E135" s="57">
        <f>ROUND(D135*(1+$Q$18),1)+C135+8.8</f>
        <v>602.29999999999995</v>
      </c>
      <c r="F135" s="57">
        <f>ROUND(E135*(1+$Q$22),1)</f>
        <v>620.4</v>
      </c>
      <c r="G135" s="57">
        <f>ROUND(F135*(1+$Q$22),1)</f>
        <v>639</v>
      </c>
      <c r="H135" s="58">
        <f t="shared" si="52"/>
        <v>2.8342154686699761E-2</v>
      </c>
      <c r="I135" s="58">
        <f t="shared" si="53"/>
        <v>3.0051469367424977E-2</v>
      </c>
      <c r="J135" s="58">
        <f t="shared" si="53"/>
        <v>2.9980657640232167E-2</v>
      </c>
      <c r="K135" s="37"/>
      <c r="L135" s="37" t="s">
        <v>95</v>
      </c>
      <c r="M135" s="11"/>
      <c r="N135" s="7">
        <f t="shared" si="40"/>
        <v>16.600000000000023</v>
      </c>
      <c r="O135" s="11"/>
      <c r="S135" s="29"/>
      <c r="T135" s="29"/>
      <c r="U135" s="29"/>
      <c r="V135" s="29"/>
    </row>
    <row r="136" spans="1:22" s="3" customFormat="1" ht="25.15" customHeight="1" x14ac:dyDescent="2.5">
      <c r="A136" s="73" t="s">
        <v>12</v>
      </c>
      <c r="B136" s="74">
        <f t="shared" ref="B136:G136" si="62">B137+B138</f>
        <v>1028.3000000000002</v>
      </c>
      <c r="C136" s="74">
        <f t="shared" si="62"/>
        <v>360.5</v>
      </c>
      <c r="D136" s="74">
        <f t="shared" si="62"/>
        <v>667.80000000000007</v>
      </c>
      <c r="E136" s="74">
        <f t="shared" si="62"/>
        <v>1088.8</v>
      </c>
      <c r="F136" s="74">
        <f t="shared" si="62"/>
        <v>1132.0999999999999</v>
      </c>
      <c r="G136" s="74">
        <f t="shared" si="62"/>
        <v>1177.2</v>
      </c>
      <c r="H136" s="75">
        <f t="shared" si="52"/>
        <v>5.8834970339394888E-2</v>
      </c>
      <c r="I136" s="75">
        <f t="shared" si="53"/>
        <v>3.9768552534900747E-2</v>
      </c>
      <c r="J136" s="75">
        <f t="shared" si="53"/>
        <v>3.9837470188146096E-2</v>
      </c>
      <c r="K136" s="43"/>
      <c r="L136" s="43"/>
      <c r="M136" s="23"/>
      <c r="N136" s="9">
        <f t="shared" si="40"/>
        <v>60.499999999999773</v>
      </c>
      <c r="O136" s="23"/>
      <c r="S136" s="32"/>
      <c r="T136" s="32"/>
      <c r="U136" s="32"/>
      <c r="V136" s="32"/>
    </row>
    <row r="137" spans="1:22" s="2" customFormat="1" ht="25.15" customHeight="1" x14ac:dyDescent="2.5">
      <c r="A137" s="68" t="s">
        <v>4</v>
      </c>
      <c r="B137" s="57">
        <v>485.9</v>
      </c>
      <c r="C137" s="57"/>
      <c r="D137" s="57">
        <f>B137-C137</f>
        <v>485.9</v>
      </c>
      <c r="E137" s="57">
        <f>ROUND(D137*(1+$Q$16),1)</f>
        <v>532.1</v>
      </c>
      <c r="F137" s="57">
        <f>ROUND(E137*(1+$Q$20),1)</f>
        <v>558.70000000000005</v>
      </c>
      <c r="G137" s="57">
        <f>ROUND(F137*(1+$Q$20),1)</f>
        <v>586.6</v>
      </c>
      <c r="H137" s="58">
        <f t="shared" si="52"/>
        <v>9.5081292447005694E-2</v>
      </c>
      <c r="I137" s="58">
        <f t="shared" si="53"/>
        <v>4.9990603270062106E-2</v>
      </c>
      <c r="J137" s="58">
        <f t="shared" si="53"/>
        <v>4.9937354573116099E-2</v>
      </c>
      <c r="K137" s="37"/>
      <c r="L137" s="37"/>
      <c r="M137" s="11"/>
      <c r="N137" s="7">
        <f t="shared" si="40"/>
        <v>46.200000000000045</v>
      </c>
      <c r="O137" s="11"/>
      <c r="S137" s="29"/>
      <c r="T137" s="29"/>
      <c r="U137" s="29"/>
      <c r="V137" s="29"/>
    </row>
    <row r="138" spans="1:22" s="2" customFormat="1" ht="25.15" customHeight="1" x14ac:dyDescent="2.5">
      <c r="A138" s="68" t="s">
        <v>5</v>
      </c>
      <c r="B138" s="57">
        <v>542.40000000000009</v>
      </c>
      <c r="C138" s="57">
        <f>64.5+296</f>
        <v>360.5</v>
      </c>
      <c r="D138" s="57">
        <f>B138-C138</f>
        <v>181.90000000000009</v>
      </c>
      <c r="E138" s="57">
        <f>ROUND(D138*(1+$Q$18),1)+C138+8.8</f>
        <v>556.69999999999993</v>
      </c>
      <c r="F138" s="57">
        <f>ROUND(E138*(1+$Q$22),1)</f>
        <v>573.4</v>
      </c>
      <c r="G138" s="57">
        <f>ROUND(F138*(1+$Q$22),1)</f>
        <v>590.6</v>
      </c>
      <c r="H138" s="58">
        <f t="shared" si="52"/>
        <v>2.6364306784660396E-2</v>
      </c>
      <c r="I138" s="58">
        <f t="shared" si="53"/>
        <v>2.9998203700377202E-2</v>
      </c>
      <c r="J138" s="58">
        <f t="shared" si="53"/>
        <v>2.9996512033484635E-2</v>
      </c>
      <c r="K138" s="37"/>
      <c r="L138" s="37" t="s">
        <v>96</v>
      </c>
      <c r="M138" s="11"/>
      <c r="N138" s="7">
        <f t="shared" si="40"/>
        <v>14.299999999999841</v>
      </c>
      <c r="O138" s="11"/>
      <c r="S138" s="29"/>
      <c r="T138" s="29"/>
      <c r="U138" s="29"/>
      <c r="V138" s="29"/>
    </row>
    <row r="139" spans="1:22" s="3" customFormat="1" ht="25.15" customHeight="1" x14ac:dyDescent="2.5">
      <c r="A139" s="73" t="s">
        <v>11</v>
      </c>
      <c r="B139" s="74">
        <f t="shared" ref="B139:G139" si="63">B140+B141</f>
        <v>873.6</v>
      </c>
      <c r="C139" s="74">
        <f t="shared" si="63"/>
        <v>101</v>
      </c>
      <c r="D139" s="74">
        <f t="shared" si="63"/>
        <v>772.6</v>
      </c>
      <c r="E139" s="74">
        <f t="shared" si="63"/>
        <v>931.5</v>
      </c>
      <c r="F139" s="74">
        <f t="shared" si="63"/>
        <v>968.09999999999991</v>
      </c>
      <c r="G139" s="74">
        <f t="shared" si="63"/>
        <v>1006.3</v>
      </c>
      <c r="H139" s="75">
        <f t="shared" si="52"/>
        <v>6.6277472527472403E-2</v>
      </c>
      <c r="I139" s="75">
        <f t="shared" si="53"/>
        <v>3.9291465378421764E-2</v>
      </c>
      <c r="J139" s="75">
        <f t="shared" si="53"/>
        <v>3.9458733601900775E-2</v>
      </c>
      <c r="K139" s="43"/>
      <c r="L139" s="43"/>
      <c r="M139" s="23"/>
      <c r="N139" s="9">
        <f t="shared" si="40"/>
        <v>57.899999999999977</v>
      </c>
      <c r="O139" s="23"/>
      <c r="S139" s="32"/>
      <c r="T139" s="32"/>
      <c r="U139" s="32"/>
      <c r="V139" s="32"/>
    </row>
    <row r="140" spans="1:22" s="2" customFormat="1" ht="25.15" customHeight="1" x14ac:dyDescent="2.5">
      <c r="A140" s="68" t="s">
        <v>4</v>
      </c>
      <c r="B140" s="57">
        <v>398.7</v>
      </c>
      <c r="C140" s="57"/>
      <c r="D140" s="57">
        <f>B140-C140</f>
        <v>398.7</v>
      </c>
      <c r="E140" s="57">
        <f>ROUND(D140*(1+$Q$16),1)</f>
        <v>436.6</v>
      </c>
      <c r="F140" s="57">
        <f>ROUND(E140*(1+$Q$20),1)</f>
        <v>458.4</v>
      </c>
      <c r="G140" s="57">
        <f>ROUND(F140*(1+$Q$20),1)</f>
        <v>481.3</v>
      </c>
      <c r="H140" s="58">
        <f t="shared" si="52"/>
        <v>9.505894156007022E-2</v>
      </c>
      <c r="I140" s="58">
        <f t="shared" si="53"/>
        <v>4.9931287219422638E-2</v>
      </c>
      <c r="J140" s="58">
        <f t="shared" si="53"/>
        <v>4.9956369982548043E-2</v>
      </c>
      <c r="K140" s="37"/>
      <c r="L140" s="37"/>
      <c r="M140" s="11"/>
      <c r="N140" s="7">
        <f t="shared" si="40"/>
        <v>37.900000000000034</v>
      </c>
      <c r="O140" s="11"/>
      <c r="S140" s="29"/>
      <c r="T140" s="29"/>
      <c r="U140" s="29"/>
      <c r="V140" s="29"/>
    </row>
    <row r="141" spans="1:22" s="2" customFormat="1" ht="25.15" customHeight="1" x14ac:dyDescent="2.5">
      <c r="A141" s="68" t="s">
        <v>5</v>
      </c>
      <c r="B141" s="57">
        <v>474.90000000000003</v>
      </c>
      <c r="C141" s="57">
        <f>28.1+72.9</f>
        <v>101</v>
      </c>
      <c r="D141" s="57">
        <f>B141-C141</f>
        <v>373.90000000000003</v>
      </c>
      <c r="E141" s="57">
        <f>ROUND(D141*(1+$Q$18),1)+C141+8.8</f>
        <v>494.90000000000003</v>
      </c>
      <c r="F141" s="57">
        <f>ROUND(E141*(1+$Q$22),1)</f>
        <v>509.7</v>
      </c>
      <c r="G141" s="57">
        <f>ROUND(F141*(1+$Q$22),1)</f>
        <v>525</v>
      </c>
      <c r="H141" s="58">
        <f t="shared" si="52"/>
        <v>4.2114129290376834E-2</v>
      </c>
      <c r="I141" s="58">
        <f t="shared" si="53"/>
        <v>2.9905031319458431E-2</v>
      </c>
      <c r="J141" s="58">
        <f t="shared" si="53"/>
        <v>3.0017657445556178E-2</v>
      </c>
      <c r="K141" s="37"/>
      <c r="L141" s="37" t="s">
        <v>97</v>
      </c>
      <c r="M141" s="11"/>
      <c r="N141" s="7">
        <f t="shared" si="40"/>
        <v>20</v>
      </c>
      <c r="O141" s="11"/>
      <c r="S141" s="29"/>
      <c r="T141" s="29"/>
      <c r="U141" s="29"/>
      <c r="V141" s="29"/>
    </row>
    <row r="142" spans="1:22" s="3" customFormat="1" ht="25.15" customHeight="1" x14ac:dyDescent="2.5">
      <c r="A142" s="73" t="s">
        <v>10</v>
      </c>
      <c r="B142" s="74">
        <f t="shared" ref="B142:G142" si="64">B143+B144</f>
        <v>1037.9000000000001</v>
      </c>
      <c r="C142" s="74">
        <f t="shared" si="64"/>
        <v>193.8</v>
      </c>
      <c r="D142" s="74">
        <f t="shared" si="64"/>
        <v>844.1</v>
      </c>
      <c r="E142" s="74">
        <f t="shared" si="64"/>
        <v>1108.2</v>
      </c>
      <c r="F142" s="74">
        <f t="shared" si="64"/>
        <v>1153.5999999999999</v>
      </c>
      <c r="G142" s="74">
        <f t="shared" si="64"/>
        <v>1201</v>
      </c>
      <c r="H142" s="75">
        <f t="shared" si="52"/>
        <v>6.7732922246844574E-2</v>
      </c>
      <c r="I142" s="75">
        <f t="shared" si="53"/>
        <v>4.0967334416170287E-2</v>
      </c>
      <c r="J142" s="75">
        <f t="shared" si="53"/>
        <v>4.1088765603328747E-2</v>
      </c>
      <c r="K142" s="43"/>
      <c r="L142" s="43"/>
      <c r="M142" s="23"/>
      <c r="N142" s="9">
        <f t="shared" si="40"/>
        <v>70.299999999999955</v>
      </c>
      <c r="O142" s="23"/>
      <c r="S142" s="32"/>
      <c r="T142" s="32"/>
      <c r="U142" s="32"/>
      <c r="V142" s="32"/>
    </row>
    <row r="143" spans="1:22" s="2" customFormat="1" ht="25.15" customHeight="1" x14ac:dyDescent="2.5">
      <c r="A143" s="68" t="s">
        <v>4</v>
      </c>
      <c r="B143" s="57">
        <v>557</v>
      </c>
      <c r="C143" s="57"/>
      <c r="D143" s="57">
        <f>B143-C143</f>
        <v>557</v>
      </c>
      <c r="E143" s="57">
        <f>ROUND(D143*(1+$Q$16),1)</f>
        <v>609.9</v>
      </c>
      <c r="F143" s="57">
        <f>ROUND(E143*(1+$Q$20),1)</f>
        <v>640.4</v>
      </c>
      <c r="G143" s="57">
        <f>ROUND(F143*(1+$Q$20),1)</f>
        <v>672.4</v>
      </c>
      <c r="H143" s="58">
        <f t="shared" si="52"/>
        <v>9.4973070017953187E-2</v>
      </c>
      <c r="I143" s="58">
        <f t="shared" si="53"/>
        <v>5.0008198065256693E-2</v>
      </c>
      <c r="J143" s="58">
        <f t="shared" si="53"/>
        <v>4.9968769519050493E-2</v>
      </c>
      <c r="K143" s="37"/>
      <c r="L143" s="37"/>
      <c r="M143" s="11"/>
      <c r="N143" s="7">
        <f t="shared" si="40"/>
        <v>52.899999999999977</v>
      </c>
      <c r="O143" s="11"/>
      <c r="S143" s="29"/>
      <c r="T143" s="29"/>
      <c r="U143" s="29"/>
      <c r="V143" s="29"/>
    </row>
    <row r="144" spans="1:22" s="2" customFormat="1" ht="25.15" customHeight="1" x14ac:dyDescent="2.5">
      <c r="A144" s="68" t="s">
        <v>5</v>
      </c>
      <c r="B144" s="57">
        <v>480.90000000000003</v>
      </c>
      <c r="C144" s="57">
        <f>66+127.8</f>
        <v>193.8</v>
      </c>
      <c r="D144" s="57">
        <f>B144-C144</f>
        <v>287.10000000000002</v>
      </c>
      <c r="E144" s="57">
        <f>ROUND(D144*(1+$Q$18),1)+C144+8.8</f>
        <v>498.3</v>
      </c>
      <c r="F144" s="57">
        <f>ROUND(E144*(1+$Q$22),1)</f>
        <v>513.20000000000005</v>
      </c>
      <c r="G144" s="57">
        <f>ROUND(F144*(1+$Q$22),1)</f>
        <v>528.6</v>
      </c>
      <c r="H144" s="58">
        <f t="shared" si="52"/>
        <v>3.6182158452900737E-2</v>
      </c>
      <c r="I144" s="58">
        <f t="shared" si="53"/>
        <v>2.9901665663255139E-2</v>
      </c>
      <c r="J144" s="58">
        <f t="shared" si="53"/>
        <v>3.000779423226807E-2</v>
      </c>
      <c r="K144" s="37"/>
      <c r="L144" s="37" t="s">
        <v>98</v>
      </c>
      <c r="M144" s="11"/>
      <c r="N144" s="7">
        <f t="shared" si="40"/>
        <v>17.399999999999977</v>
      </c>
      <c r="O144" s="11"/>
      <c r="S144" s="29"/>
      <c r="T144" s="29"/>
      <c r="U144" s="29"/>
      <c r="V144" s="29"/>
    </row>
    <row r="145" spans="1:22" s="3" customFormat="1" ht="25.15" customHeight="1" x14ac:dyDescent="2.5">
      <c r="A145" s="73" t="s">
        <v>9</v>
      </c>
      <c r="B145" s="74">
        <f t="shared" ref="B145:G145" si="65">B146+B147</f>
        <v>699.1</v>
      </c>
      <c r="C145" s="74">
        <f t="shared" si="65"/>
        <v>131.1</v>
      </c>
      <c r="D145" s="74">
        <f t="shared" si="65"/>
        <v>568</v>
      </c>
      <c r="E145" s="74">
        <f t="shared" si="65"/>
        <v>748.6</v>
      </c>
      <c r="F145" s="74">
        <f t="shared" si="65"/>
        <v>779.09999999999991</v>
      </c>
      <c r="G145" s="74">
        <f t="shared" si="65"/>
        <v>810.9</v>
      </c>
      <c r="H145" s="75">
        <f t="shared" si="52"/>
        <v>7.0805321127163534E-2</v>
      </c>
      <c r="I145" s="75">
        <f t="shared" si="53"/>
        <v>4.0742719743521061E-2</v>
      </c>
      <c r="J145" s="75">
        <f t="shared" si="53"/>
        <v>4.081632653061229E-2</v>
      </c>
      <c r="K145" s="43"/>
      <c r="L145" s="43"/>
      <c r="M145" s="23"/>
      <c r="N145" s="9">
        <f t="shared" si="40"/>
        <v>49.5</v>
      </c>
      <c r="O145" s="23"/>
      <c r="S145" s="32"/>
      <c r="T145" s="32"/>
      <c r="U145" s="32"/>
      <c r="V145" s="32"/>
    </row>
    <row r="146" spans="1:22" s="2" customFormat="1" ht="25.15" customHeight="1" x14ac:dyDescent="2.5">
      <c r="A146" s="68" t="s">
        <v>4</v>
      </c>
      <c r="B146" s="57">
        <v>364.6</v>
      </c>
      <c r="C146" s="57"/>
      <c r="D146" s="57">
        <f>B146-C146</f>
        <v>364.6</v>
      </c>
      <c r="E146" s="57">
        <f>ROUND(D146*(1+$Q$16),1)</f>
        <v>399.2</v>
      </c>
      <c r="F146" s="57">
        <f>ROUND(E146*(1+$Q$20),1)</f>
        <v>419.2</v>
      </c>
      <c r="G146" s="57">
        <f>ROUND(F146*(1+$Q$20),1)</f>
        <v>440.2</v>
      </c>
      <c r="H146" s="58">
        <f t="shared" si="52"/>
        <v>9.4898518924849018E-2</v>
      </c>
      <c r="I146" s="58">
        <f t="shared" si="53"/>
        <v>5.0100200400801542E-2</v>
      </c>
      <c r="J146" s="58">
        <f t="shared" si="53"/>
        <v>5.0095419847328237E-2</v>
      </c>
      <c r="K146" s="37"/>
      <c r="L146" s="37"/>
      <c r="M146" s="11"/>
      <c r="N146" s="7">
        <f t="shared" si="40"/>
        <v>34.599999999999966</v>
      </c>
      <c r="O146" s="11"/>
      <c r="S146" s="29"/>
      <c r="T146" s="29"/>
      <c r="U146" s="29"/>
      <c r="V146" s="29"/>
    </row>
    <row r="147" spans="1:22" s="2" customFormat="1" ht="25.15" customHeight="1" x14ac:dyDescent="2.5">
      <c r="A147" s="68" t="s">
        <v>5</v>
      </c>
      <c r="B147" s="57">
        <v>334.5</v>
      </c>
      <c r="C147" s="57">
        <f>29.6+101.5</f>
        <v>131.1</v>
      </c>
      <c r="D147" s="57">
        <f>B147-C147</f>
        <v>203.4</v>
      </c>
      <c r="E147" s="57">
        <f>ROUND(D147*(1+$Q$18),1)+C147+8.8</f>
        <v>349.40000000000003</v>
      </c>
      <c r="F147" s="57">
        <f>ROUND(E147*(1+$Q$22),1)</f>
        <v>359.9</v>
      </c>
      <c r="G147" s="57">
        <f>ROUND(F147*(1+$Q$22),1)</f>
        <v>370.7</v>
      </c>
      <c r="H147" s="58">
        <f t="shared" si="52"/>
        <v>4.4544095665171923E-2</v>
      </c>
      <c r="I147" s="58">
        <f t="shared" si="53"/>
        <v>3.0051516886090202E-2</v>
      </c>
      <c r="J147" s="58">
        <f t="shared" si="53"/>
        <v>3.0008335648791462E-2</v>
      </c>
      <c r="K147" s="37"/>
      <c r="L147" s="37" t="s">
        <v>99</v>
      </c>
      <c r="M147" s="11"/>
      <c r="N147" s="7">
        <f t="shared" si="40"/>
        <v>14.900000000000034</v>
      </c>
      <c r="O147" s="11"/>
      <c r="S147" s="29"/>
      <c r="T147" s="29"/>
      <c r="U147" s="29"/>
      <c r="V147" s="29"/>
    </row>
    <row r="148" spans="1:22" s="3" customFormat="1" ht="25.15" customHeight="1" x14ac:dyDescent="2.5">
      <c r="A148" s="73" t="s">
        <v>15</v>
      </c>
      <c r="B148" s="74">
        <f t="shared" ref="B148:G148" si="66">B149+B150</f>
        <v>1052.3000000000002</v>
      </c>
      <c r="C148" s="74">
        <f t="shared" si="66"/>
        <v>440.9</v>
      </c>
      <c r="D148" s="74">
        <f t="shared" si="66"/>
        <v>611.40000000000009</v>
      </c>
      <c r="E148" s="74">
        <f t="shared" si="66"/>
        <v>1101.5</v>
      </c>
      <c r="F148" s="74">
        <f t="shared" si="66"/>
        <v>1142</v>
      </c>
      <c r="G148" s="74">
        <f t="shared" si="66"/>
        <v>1184.0999999999999</v>
      </c>
      <c r="H148" s="75">
        <f t="shared" si="52"/>
        <v>4.6754727739237723E-2</v>
      </c>
      <c r="I148" s="75">
        <f t="shared" si="53"/>
        <v>3.6768043576940634E-2</v>
      </c>
      <c r="J148" s="75">
        <f t="shared" si="53"/>
        <v>3.6865148861646047E-2</v>
      </c>
      <c r="K148" s="43"/>
      <c r="L148" s="43"/>
      <c r="M148" s="23"/>
      <c r="N148" s="9">
        <f t="shared" si="40"/>
        <v>49.199999999999818</v>
      </c>
      <c r="O148" s="23"/>
      <c r="S148" s="32"/>
      <c r="T148" s="32"/>
      <c r="U148" s="32"/>
      <c r="V148" s="32"/>
    </row>
    <row r="149" spans="1:22" s="2" customFormat="1" ht="25.15" customHeight="1" x14ac:dyDescent="2.5">
      <c r="A149" s="68" t="s">
        <v>4</v>
      </c>
      <c r="B149" s="57">
        <v>340.4</v>
      </c>
      <c r="C149" s="57"/>
      <c r="D149" s="57">
        <f>B149-C149</f>
        <v>340.4</v>
      </c>
      <c r="E149" s="57">
        <f>ROUND(D149*(1+$Q$16),1)</f>
        <v>372.7</v>
      </c>
      <c r="F149" s="57">
        <f>ROUND(E149*(1+$Q$20),1)</f>
        <v>391.3</v>
      </c>
      <c r="G149" s="57">
        <f>ROUND(F149*(1+$Q$20),1)</f>
        <v>410.9</v>
      </c>
      <c r="H149" s="58">
        <f t="shared" si="52"/>
        <v>9.4888366627497112E-2</v>
      </c>
      <c r="I149" s="58">
        <f t="shared" si="53"/>
        <v>4.9906090689562754E-2</v>
      </c>
      <c r="J149" s="58">
        <f t="shared" si="53"/>
        <v>5.0089445438282532E-2</v>
      </c>
      <c r="K149" s="37"/>
      <c r="L149" s="37"/>
      <c r="M149" s="11"/>
      <c r="N149" s="7">
        <f t="shared" si="40"/>
        <v>32.300000000000011</v>
      </c>
      <c r="O149" s="11"/>
      <c r="S149" s="29"/>
      <c r="T149" s="29"/>
      <c r="U149" s="29"/>
      <c r="V149" s="29"/>
    </row>
    <row r="150" spans="1:22" s="2" customFormat="1" ht="25.15" customHeight="1" x14ac:dyDescent="2.5">
      <c r="A150" s="68" t="s">
        <v>5</v>
      </c>
      <c r="B150" s="57">
        <v>711.90000000000009</v>
      </c>
      <c r="C150" s="57">
        <f>67.2+373.7</f>
        <v>440.9</v>
      </c>
      <c r="D150" s="57">
        <f>B150-C150</f>
        <v>271.00000000000011</v>
      </c>
      <c r="E150" s="57">
        <f>ROUND(D150*(1+$Q$18),1)+C150+8.8</f>
        <v>728.8</v>
      </c>
      <c r="F150" s="57">
        <f>ROUND(E150*(1+$Q$22),1)</f>
        <v>750.7</v>
      </c>
      <c r="G150" s="57">
        <f>ROUND(F150*(1+$Q$22),1)</f>
        <v>773.2</v>
      </c>
      <c r="H150" s="58">
        <f t="shared" si="52"/>
        <v>2.3739289226014648E-2</v>
      </c>
      <c r="I150" s="58">
        <f t="shared" si="53"/>
        <v>3.0049396267837647E-2</v>
      </c>
      <c r="J150" s="58">
        <f t="shared" si="53"/>
        <v>2.9972026108964878E-2</v>
      </c>
      <c r="K150" s="37"/>
      <c r="L150" s="37" t="s">
        <v>100</v>
      </c>
      <c r="M150" s="11"/>
      <c r="N150" s="7">
        <f t="shared" si="40"/>
        <v>16.899999999999864</v>
      </c>
      <c r="O150" s="11"/>
      <c r="S150" s="29"/>
      <c r="T150" s="29"/>
      <c r="U150" s="29"/>
      <c r="V150" s="29"/>
    </row>
    <row r="151" spans="1:22" s="3" customFormat="1" ht="25.15" customHeight="1" x14ac:dyDescent="2.5">
      <c r="A151" s="73" t="s">
        <v>16</v>
      </c>
      <c r="B151" s="74">
        <f t="shared" ref="B151:G151" si="67">B152+B153</f>
        <v>740</v>
      </c>
      <c r="C151" s="74">
        <f t="shared" si="67"/>
        <v>222</v>
      </c>
      <c r="D151" s="74">
        <f t="shared" si="67"/>
        <v>518</v>
      </c>
      <c r="E151" s="74">
        <f t="shared" si="67"/>
        <v>787.4</v>
      </c>
      <c r="F151" s="74">
        <f t="shared" si="67"/>
        <v>818.8</v>
      </c>
      <c r="G151" s="74">
        <f t="shared" si="67"/>
        <v>851.5</v>
      </c>
      <c r="H151" s="75">
        <f t="shared" si="52"/>
        <v>6.4054054054053955E-2</v>
      </c>
      <c r="I151" s="75">
        <f t="shared" si="53"/>
        <v>3.9878079756159535E-2</v>
      </c>
      <c r="J151" s="75">
        <f t="shared" si="53"/>
        <v>3.9936492427943282E-2</v>
      </c>
      <c r="K151" s="43"/>
      <c r="L151" s="43"/>
      <c r="M151" s="23"/>
      <c r="N151" s="9">
        <f t="shared" si="40"/>
        <v>47.399999999999977</v>
      </c>
      <c r="O151" s="23"/>
      <c r="S151" s="32"/>
      <c r="T151" s="32"/>
      <c r="U151" s="32"/>
      <c r="V151" s="32"/>
    </row>
    <row r="152" spans="1:22" s="2" customFormat="1" ht="25.15" customHeight="1" x14ac:dyDescent="2.5">
      <c r="A152" s="68" t="s">
        <v>4</v>
      </c>
      <c r="B152" s="57">
        <v>355</v>
      </c>
      <c r="C152" s="57"/>
      <c r="D152" s="57">
        <f>B152-C152</f>
        <v>355</v>
      </c>
      <c r="E152" s="57">
        <f>ROUND(D152*(1+$Q$16),1)</f>
        <v>388.7</v>
      </c>
      <c r="F152" s="57">
        <f>ROUND(E152*(1+$Q$20),1)</f>
        <v>408.1</v>
      </c>
      <c r="G152" s="57">
        <f>ROUND(F152*(1+$Q$20),1)</f>
        <v>428.5</v>
      </c>
      <c r="H152" s="58">
        <f t="shared" si="52"/>
        <v>9.4929577464788695E-2</v>
      </c>
      <c r="I152" s="58">
        <f t="shared" si="53"/>
        <v>4.9909956264471367E-2</v>
      </c>
      <c r="J152" s="58">
        <f t="shared" si="53"/>
        <v>4.9987748100955631E-2</v>
      </c>
      <c r="K152" s="37"/>
      <c r="L152" s="37"/>
      <c r="M152" s="11"/>
      <c r="N152" s="7">
        <f t="shared" ref="N152:N195" si="68">E152-B152</f>
        <v>33.699999999999989</v>
      </c>
      <c r="O152" s="11"/>
      <c r="S152" s="29"/>
      <c r="T152" s="29"/>
      <c r="U152" s="29"/>
      <c r="V152" s="29"/>
    </row>
    <row r="153" spans="1:22" s="2" customFormat="1" ht="25.15" customHeight="1" x14ac:dyDescent="2.5">
      <c r="A153" s="68" t="s">
        <v>5</v>
      </c>
      <c r="B153" s="57">
        <v>385.00000000000006</v>
      </c>
      <c r="C153" s="57">
        <f>58+164</f>
        <v>222</v>
      </c>
      <c r="D153" s="57">
        <f>B153-C153</f>
        <v>163.00000000000006</v>
      </c>
      <c r="E153" s="57">
        <f>ROUND(D153*(1+$Q$18),1)+C153+8.8</f>
        <v>398.7</v>
      </c>
      <c r="F153" s="57">
        <f>ROUND(E153*(1+$Q$22),1)</f>
        <v>410.7</v>
      </c>
      <c r="G153" s="57">
        <f>ROUND(F153*(1+$Q$22),1)</f>
        <v>423</v>
      </c>
      <c r="H153" s="58">
        <f t="shared" si="52"/>
        <v>3.5584415584415385E-2</v>
      </c>
      <c r="I153" s="58">
        <f t="shared" si="53"/>
        <v>3.0097817908201652E-2</v>
      </c>
      <c r="J153" s="58">
        <f t="shared" si="53"/>
        <v>2.9948867786705691E-2</v>
      </c>
      <c r="K153" s="37"/>
      <c r="L153" s="37" t="s">
        <v>101</v>
      </c>
      <c r="M153" s="11"/>
      <c r="N153" s="7">
        <f t="shared" si="68"/>
        <v>13.699999999999932</v>
      </c>
      <c r="O153" s="11"/>
      <c r="S153" s="29"/>
      <c r="T153" s="29"/>
      <c r="U153" s="29"/>
      <c r="V153" s="29"/>
    </row>
    <row r="154" spans="1:22" s="3" customFormat="1" ht="25.15" customHeight="1" x14ac:dyDescent="2.5">
      <c r="A154" s="73" t="s">
        <v>17</v>
      </c>
      <c r="B154" s="74">
        <f t="shared" ref="B154:G154" si="69">B155+B156</f>
        <v>1404.5</v>
      </c>
      <c r="C154" s="74">
        <f t="shared" si="69"/>
        <v>204.70000000000002</v>
      </c>
      <c r="D154" s="74">
        <f t="shared" si="69"/>
        <v>1199.8</v>
      </c>
      <c r="E154" s="74">
        <f t="shared" si="69"/>
        <v>1511.8000000000002</v>
      </c>
      <c r="F154" s="74">
        <f t="shared" si="69"/>
        <v>1578</v>
      </c>
      <c r="G154" s="74">
        <f t="shared" si="69"/>
        <v>1647.3</v>
      </c>
      <c r="H154" s="75">
        <f t="shared" si="52"/>
        <v>7.6397294410822436E-2</v>
      </c>
      <c r="I154" s="75">
        <f t="shared" si="53"/>
        <v>4.3788860960444431E-2</v>
      </c>
      <c r="J154" s="75">
        <f t="shared" si="53"/>
        <v>4.3916349809886013E-2</v>
      </c>
      <c r="K154" s="43"/>
      <c r="L154" s="43"/>
      <c r="M154" s="23"/>
      <c r="N154" s="9">
        <f t="shared" si="68"/>
        <v>107.30000000000018</v>
      </c>
      <c r="O154" s="23"/>
      <c r="S154" s="32"/>
      <c r="T154" s="32"/>
      <c r="U154" s="32"/>
      <c r="V154" s="32"/>
    </row>
    <row r="155" spans="1:22" s="2" customFormat="1" ht="25.15" customHeight="1" x14ac:dyDescent="2.5">
      <c r="A155" s="68" t="s">
        <v>4</v>
      </c>
      <c r="B155" s="57">
        <v>954.8</v>
      </c>
      <c r="C155" s="57"/>
      <c r="D155" s="57">
        <f>B155-C155</f>
        <v>954.8</v>
      </c>
      <c r="E155" s="57">
        <f>ROUND(D155*(1+$Q$16),1)+0.4</f>
        <v>1045.9000000000001</v>
      </c>
      <c r="F155" s="57">
        <f>ROUND(E155*(1+$Q$20),1)-0.1</f>
        <v>1098.1000000000001</v>
      </c>
      <c r="G155" s="57">
        <f>ROUND(F155*(1+$Q$20),1)</f>
        <v>1153</v>
      </c>
      <c r="H155" s="58">
        <f t="shared" si="52"/>
        <v>9.5412651864264841E-2</v>
      </c>
      <c r="I155" s="58">
        <f t="shared" si="53"/>
        <v>4.9909169136628684E-2</v>
      </c>
      <c r="J155" s="58">
        <f t="shared" si="53"/>
        <v>4.9995446680630051E-2</v>
      </c>
      <c r="K155" s="37"/>
      <c r="L155" s="37"/>
      <c r="M155" s="11"/>
      <c r="N155" s="7">
        <f t="shared" si="68"/>
        <v>91.100000000000136</v>
      </c>
      <c r="O155" s="11"/>
      <c r="S155" s="29"/>
      <c r="T155" s="29"/>
      <c r="U155" s="29"/>
      <c r="V155" s="29"/>
    </row>
    <row r="156" spans="1:22" s="2" customFormat="1" ht="25.15" customHeight="1" x14ac:dyDescent="2.5">
      <c r="A156" s="68" t="s">
        <v>5</v>
      </c>
      <c r="B156" s="57">
        <v>449.7</v>
      </c>
      <c r="C156" s="57">
        <f>64.9+139.8</f>
        <v>204.70000000000002</v>
      </c>
      <c r="D156" s="57">
        <f>B156-C156</f>
        <v>244.99999999999997</v>
      </c>
      <c r="E156" s="57">
        <f>ROUND(D156*(1+$Q$18),1)+C156+8.8</f>
        <v>465.90000000000003</v>
      </c>
      <c r="F156" s="57">
        <f>ROUND(E156*(1+$Q$22),1)</f>
        <v>479.9</v>
      </c>
      <c r="G156" s="57">
        <f>ROUND(F156*(1+$Q$22),1)</f>
        <v>494.3</v>
      </c>
      <c r="H156" s="58">
        <f t="shared" si="52"/>
        <v>3.6024016010673954E-2</v>
      </c>
      <c r="I156" s="58">
        <f t="shared" si="53"/>
        <v>3.0049366816913281E-2</v>
      </c>
      <c r="J156" s="58">
        <f t="shared" si="53"/>
        <v>3.0006251302354681E-2</v>
      </c>
      <c r="K156" s="37"/>
      <c r="L156" s="37" t="s">
        <v>102</v>
      </c>
      <c r="M156" s="11"/>
      <c r="N156" s="7">
        <f t="shared" si="68"/>
        <v>16.200000000000045</v>
      </c>
      <c r="O156" s="11"/>
      <c r="S156" s="29"/>
      <c r="T156" s="29"/>
      <c r="U156" s="29"/>
      <c r="V156" s="29"/>
    </row>
    <row r="157" spans="1:22" s="3" customFormat="1" ht="25.15" customHeight="1" x14ac:dyDescent="2.5">
      <c r="A157" s="73" t="s">
        <v>18</v>
      </c>
      <c r="B157" s="74">
        <f t="shared" ref="B157:G157" si="70">B158+B159</f>
        <v>909.2</v>
      </c>
      <c r="C157" s="74">
        <f t="shared" si="70"/>
        <v>343</v>
      </c>
      <c r="D157" s="74">
        <f t="shared" si="70"/>
        <v>566.20000000000005</v>
      </c>
      <c r="E157" s="74">
        <f t="shared" si="70"/>
        <v>957.59999999999991</v>
      </c>
      <c r="F157" s="74">
        <f t="shared" si="70"/>
        <v>993.90000000000009</v>
      </c>
      <c r="G157" s="74">
        <f t="shared" si="70"/>
        <v>1031.7</v>
      </c>
      <c r="H157" s="75">
        <f t="shared" si="52"/>
        <v>5.3233611966563954E-2</v>
      </c>
      <c r="I157" s="75">
        <f t="shared" si="53"/>
        <v>3.7907268170426223E-2</v>
      </c>
      <c r="J157" s="75">
        <f t="shared" si="53"/>
        <v>3.8031995170540345E-2</v>
      </c>
      <c r="K157" s="43"/>
      <c r="L157" s="43"/>
      <c r="M157" s="23"/>
      <c r="N157" s="9">
        <f t="shared" si="68"/>
        <v>48.399999999999864</v>
      </c>
      <c r="O157" s="23"/>
      <c r="S157" s="32"/>
      <c r="T157" s="32"/>
      <c r="U157" s="32"/>
      <c r="V157" s="32"/>
    </row>
    <row r="158" spans="1:22" s="2" customFormat="1" ht="25.15" customHeight="1" x14ac:dyDescent="2.5">
      <c r="A158" s="68" t="s">
        <v>4</v>
      </c>
      <c r="B158" s="57">
        <v>347.7</v>
      </c>
      <c r="C158" s="57"/>
      <c r="D158" s="57">
        <f>B158-C158</f>
        <v>347.7</v>
      </c>
      <c r="E158" s="57">
        <f>ROUND(D158*(1+$Q$16),1)</f>
        <v>380.7</v>
      </c>
      <c r="F158" s="57">
        <f>ROUND(E158*(1+$Q$20),1)</f>
        <v>399.7</v>
      </c>
      <c r="G158" s="57">
        <f>ROUND(F158*(1+$Q$20),1)</f>
        <v>419.7</v>
      </c>
      <c r="H158" s="58">
        <f t="shared" si="52"/>
        <v>9.4909404659188956E-2</v>
      </c>
      <c r="I158" s="58">
        <f t="shared" si="53"/>
        <v>4.990806409246118E-2</v>
      </c>
      <c r="J158" s="58">
        <f t="shared" si="53"/>
        <v>5.0037528146109622E-2</v>
      </c>
      <c r="K158" s="37"/>
      <c r="L158" s="37"/>
      <c r="M158" s="11"/>
      <c r="N158" s="7">
        <f t="shared" si="68"/>
        <v>33</v>
      </c>
      <c r="O158" s="11"/>
      <c r="S158" s="29"/>
      <c r="T158" s="29"/>
      <c r="U158" s="29"/>
      <c r="V158" s="29"/>
    </row>
    <row r="159" spans="1:22" s="2" customFormat="1" ht="25.15" customHeight="1" x14ac:dyDescent="2.5">
      <c r="A159" s="68" t="s">
        <v>5</v>
      </c>
      <c r="B159" s="57">
        <v>561.5</v>
      </c>
      <c r="C159" s="57">
        <f>33+310</f>
        <v>343</v>
      </c>
      <c r="D159" s="57">
        <f>B159-C159</f>
        <v>218.5</v>
      </c>
      <c r="E159" s="57">
        <f>ROUND(D159*(1+$Q$18),1)+C159+8.8</f>
        <v>576.9</v>
      </c>
      <c r="F159" s="57">
        <f>ROUND(E159*(1+$Q$22),1)</f>
        <v>594.20000000000005</v>
      </c>
      <c r="G159" s="57">
        <f>ROUND(F159*(1+$Q$22),1)</f>
        <v>612</v>
      </c>
      <c r="H159" s="58">
        <f t="shared" si="52"/>
        <v>2.7426536064113938E-2</v>
      </c>
      <c r="I159" s="58">
        <f t="shared" si="53"/>
        <v>2.9987866181313994E-2</v>
      </c>
      <c r="J159" s="58">
        <f t="shared" si="53"/>
        <v>2.9956243688993522E-2</v>
      </c>
      <c r="K159" s="37"/>
      <c r="L159" s="37" t="s">
        <v>103</v>
      </c>
      <c r="M159" s="11"/>
      <c r="N159" s="7">
        <f t="shared" si="68"/>
        <v>15.399999999999977</v>
      </c>
      <c r="O159" s="11"/>
      <c r="S159" s="29"/>
      <c r="T159" s="29"/>
      <c r="U159" s="29"/>
      <c r="V159" s="29"/>
    </row>
    <row r="160" spans="1:22" s="3" customFormat="1" ht="25.15" customHeight="1" x14ac:dyDescent="2.5">
      <c r="A160" s="73" t="s">
        <v>19</v>
      </c>
      <c r="B160" s="74">
        <f t="shared" ref="B160:G160" si="71">B161+B162</f>
        <v>1562.7</v>
      </c>
      <c r="C160" s="74">
        <f t="shared" si="71"/>
        <v>486.7</v>
      </c>
      <c r="D160" s="74">
        <f t="shared" si="71"/>
        <v>1076</v>
      </c>
      <c r="E160" s="74">
        <f t="shared" si="71"/>
        <v>1642.3</v>
      </c>
      <c r="F160" s="74">
        <f t="shared" si="71"/>
        <v>1704</v>
      </c>
      <c r="G160" s="74">
        <f t="shared" si="71"/>
        <v>1768.6999999999998</v>
      </c>
      <c r="H160" s="75">
        <f t="shared" si="52"/>
        <v>5.093748000255971E-2</v>
      </c>
      <c r="I160" s="75">
        <f t="shared" si="53"/>
        <v>3.7569262619497001E-2</v>
      </c>
      <c r="J160" s="75">
        <f t="shared" si="53"/>
        <v>3.7969483568075058E-2</v>
      </c>
      <c r="K160" s="43"/>
      <c r="L160" s="43"/>
      <c r="M160" s="23"/>
      <c r="N160" s="9">
        <f t="shared" si="68"/>
        <v>79.599999999999909</v>
      </c>
      <c r="O160" s="23"/>
      <c r="S160" s="32"/>
      <c r="T160" s="32"/>
      <c r="U160" s="32"/>
      <c r="V160" s="32"/>
    </row>
    <row r="161" spans="1:22" s="2" customFormat="1" ht="25.15" customHeight="1" x14ac:dyDescent="2.5">
      <c r="A161" s="68" t="s">
        <v>4</v>
      </c>
      <c r="B161" s="57">
        <v>607.70000000000005</v>
      </c>
      <c r="C161" s="57"/>
      <c r="D161" s="57">
        <f>B161-C161</f>
        <v>607.70000000000005</v>
      </c>
      <c r="E161" s="57">
        <f>ROUND(D161*(1+$Q$16),1)</f>
        <v>665.4</v>
      </c>
      <c r="F161" s="57">
        <f>ROUND(E161*(1+$Q$20),1)</f>
        <v>698.7</v>
      </c>
      <c r="G161" s="57">
        <f>ROUND(F161*(1+$Q$20),1)</f>
        <v>733.6</v>
      </c>
      <c r="H161" s="58">
        <f t="shared" si="52"/>
        <v>9.4948165213098346E-2</v>
      </c>
      <c r="I161" s="58">
        <f t="shared" si="53"/>
        <v>5.0045085662759448E-2</v>
      </c>
      <c r="J161" s="58">
        <f t="shared" si="53"/>
        <v>4.9949906970087277E-2</v>
      </c>
      <c r="K161" s="37"/>
      <c r="L161" s="37"/>
      <c r="M161" s="11"/>
      <c r="N161" s="7">
        <f t="shared" si="68"/>
        <v>57.699999999999932</v>
      </c>
      <c r="O161" s="11"/>
      <c r="S161" s="29"/>
      <c r="T161" s="29"/>
      <c r="U161" s="29"/>
      <c r="V161" s="29"/>
    </row>
    <row r="162" spans="1:22" s="2" customFormat="1" ht="25.15" customHeight="1" x14ac:dyDescent="2.5">
      <c r="A162" s="68" t="s">
        <v>5</v>
      </c>
      <c r="B162" s="57">
        <v>955</v>
      </c>
      <c r="C162" s="57">
        <f>188.7+298</f>
        <v>486.7</v>
      </c>
      <c r="D162" s="57">
        <f>B162-C162</f>
        <v>468.3</v>
      </c>
      <c r="E162" s="57">
        <f>ROUND(D162*(1+$Q$18),1)+C162+8.8-0.9</f>
        <v>976.9</v>
      </c>
      <c r="F162" s="57">
        <f>ROUND(E162*(1+$Q$22),1)-0.9</f>
        <v>1005.3000000000001</v>
      </c>
      <c r="G162" s="57">
        <f>ROUND(F162*(1+$Q$22),1)-0.4</f>
        <v>1035.0999999999999</v>
      </c>
      <c r="H162" s="58">
        <f t="shared" si="52"/>
        <v>2.2931937172774752E-2</v>
      </c>
      <c r="I162" s="58">
        <f t="shared" si="53"/>
        <v>2.9071552871327677E-2</v>
      </c>
      <c r="J162" s="58">
        <f t="shared" si="53"/>
        <v>2.9642892668855003E-2</v>
      </c>
      <c r="K162" s="37"/>
      <c r="L162" s="37" t="s">
        <v>104</v>
      </c>
      <c r="M162" s="11"/>
      <c r="N162" s="7">
        <f t="shared" si="68"/>
        <v>21.899999999999977</v>
      </c>
      <c r="O162" s="11"/>
      <c r="S162" s="29"/>
      <c r="T162" s="29"/>
      <c r="U162" s="29"/>
      <c r="V162" s="29"/>
    </row>
    <row r="163" spans="1:22" s="3" customFormat="1" ht="25.15" customHeight="1" x14ac:dyDescent="2.5">
      <c r="A163" s="73" t="s">
        <v>20</v>
      </c>
      <c r="B163" s="74">
        <f t="shared" ref="B163:G163" si="72">B164+B165</f>
        <v>1205.9000000000001</v>
      </c>
      <c r="C163" s="74">
        <f t="shared" si="72"/>
        <v>535.5</v>
      </c>
      <c r="D163" s="74">
        <f t="shared" si="72"/>
        <v>670.40000000000009</v>
      </c>
      <c r="E163" s="74">
        <f t="shared" si="72"/>
        <v>1260.1999999999998</v>
      </c>
      <c r="F163" s="74">
        <f t="shared" si="72"/>
        <v>1306.5999999999999</v>
      </c>
      <c r="G163" s="74">
        <f t="shared" si="72"/>
        <v>1354.8</v>
      </c>
      <c r="H163" s="75">
        <f t="shared" si="52"/>
        <v>4.5028609337424141E-2</v>
      </c>
      <c r="I163" s="75">
        <f t="shared" si="53"/>
        <v>3.6819552451991866E-2</v>
      </c>
      <c r="J163" s="75">
        <f t="shared" si="53"/>
        <v>3.688963722638916E-2</v>
      </c>
      <c r="K163" s="43"/>
      <c r="L163" s="43"/>
      <c r="M163" s="23"/>
      <c r="N163" s="9">
        <f t="shared" si="68"/>
        <v>54.299999999999727</v>
      </c>
      <c r="O163" s="23"/>
      <c r="S163" s="32"/>
      <c r="T163" s="32"/>
      <c r="U163" s="32"/>
      <c r="V163" s="32"/>
    </row>
    <row r="164" spans="1:22" s="2" customFormat="1" ht="25.15" customHeight="1" x14ac:dyDescent="2.5">
      <c r="A164" s="68" t="s">
        <v>4</v>
      </c>
      <c r="B164" s="57">
        <v>390.5</v>
      </c>
      <c r="C164" s="57"/>
      <c r="D164" s="57">
        <f>B164-C164</f>
        <v>390.5</v>
      </c>
      <c r="E164" s="57">
        <f>ROUND(D164*(1+$Q$16),1)</f>
        <v>427.6</v>
      </c>
      <c r="F164" s="57">
        <f>ROUND(E164*(1+$Q$20),1)</f>
        <v>449</v>
      </c>
      <c r="G164" s="57">
        <f>ROUND(F164*(1+$Q$20),1)</f>
        <v>471.5</v>
      </c>
      <c r="H164" s="58">
        <f t="shared" si="52"/>
        <v>9.5006402048655625E-2</v>
      </c>
      <c r="I164" s="58">
        <f t="shared" si="53"/>
        <v>5.0046772684751994E-2</v>
      </c>
      <c r="J164" s="58">
        <f t="shared" si="53"/>
        <v>5.0111358574610243E-2</v>
      </c>
      <c r="K164" s="37"/>
      <c r="L164" s="37"/>
      <c r="M164" s="11"/>
      <c r="N164" s="7">
        <f t="shared" si="68"/>
        <v>37.100000000000023</v>
      </c>
      <c r="O164" s="11"/>
      <c r="S164" s="29"/>
      <c r="T164" s="29"/>
      <c r="U164" s="29"/>
      <c r="V164" s="29"/>
    </row>
    <row r="165" spans="1:22" s="2" customFormat="1" ht="25.15" customHeight="1" x14ac:dyDescent="2.5">
      <c r="A165" s="68" t="s">
        <v>5</v>
      </c>
      <c r="B165" s="57">
        <v>815.40000000000009</v>
      </c>
      <c r="C165" s="57">
        <f>142.9+392.6</f>
        <v>535.5</v>
      </c>
      <c r="D165" s="57">
        <f>B165-C165</f>
        <v>279.90000000000009</v>
      </c>
      <c r="E165" s="57">
        <f>ROUND(D165*(1+$Q$18),1)+C165+8.8</f>
        <v>832.59999999999991</v>
      </c>
      <c r="F165" s="57">
        <f>ROUND(E165*(1+$Q$22),1)</f>
        <v>857.6</v>
      </c>
      <c r="G165" s="57">
        <f>ROUND(F165*(1+$Q$22),1)</f>
        <v>883.3</v>
      </c>
      <c r="H165" s="58">
        <f t="shared" si="52"/>
        <v>2.1093941623742785E-2</v>
      </c>
      <c r="I165" s="58">
        <f t="shared" si="53"/>
        <v>3.0026423252462298E-2</v>
      </c>
      <c r="J165" s="58">
        <f t="shared" si="53"/>
        <v>2.9967350746268551E-2</v>
      </c>
      <c r="K165" s="37"/>
      <c r="L165" s="37" t="s">
        <v>105</v>
      </c>
      <c r="M165" s="11"/>
      <c r="N165" s="7">
        <f t="shared" si="68"/>
        <v>17.199999999999818</v>
      </c>
      <c r="O165" s="11"/>
      <c r="S165" s="29"/>
      <c r="T165" s="29"/>
      <c r="U165" s="29"/>
      <c r="V165" s="29"/>
    </row>
    <row r="166" spans="1:22" s="3" customFormat="1" ht="25.15" customHeight="1" x14ac:dyDescent="2.5">
      <c r="A166" s="73" t="s">
        <v>21</v>
      </c>
      <c r="B166" s="74">
        <f t="shared" ref="B166:G166" si="73">B167+B168</f>
        <v>883.8</v>
      </c>
      <c r="C166" s="74">
        <f t="shared" si="73"/>
        <v>224.7</v>
      </c>
      <c r="D166" s="74">
        <f t="shared" si="73"/>
        <v>659.09999999999991</v>
      </c>
      <c r="E166" s="74">
        <f t="shared" si="73"/>
        <v>938.90000000000009</v>
      </c>
      <c r="F166" s="74">
        <f t="shared" si="73"/>
        <v>976</v>
      </c>
      <c r="G166" s="74">
        <f t="shared" si="73"/>
        <v>1014.5999999999999</v>
      </c>
      <c r="H166" s="75">
        <f t="shared" si="52"/>
        <v>6.2344421814890305E-2</v>
      </c>
      <c r="I166" s="75">
        <f t="shared" si="53"/>
        <v>3.9514325274256912E-2</v>
      </c>
      <c r="J166" s="75">
        <f t="shared" si="53"/>
        <v>3.9549180327868694E-2</v>
      </c>
      <c r="K166" s="43"/>
      <c r="L166" s="43"/>
      <c r="M166" s="23"/>
      <c r="N166" s="9">
        <f t="shared" si="68"/>
        <v>55.100000000000136</v>
      </c>
      <c r="O166" s="23"/>
      <c r="S166" s="32"/>
      <c r="T166" s="32"/>
      <c r="U166" s="32"/>
      <c r="V166" s="32"/>
    </row>
    <row r="167" spans="1:22" s="2" customFormat="1" ht="25.15" customHeight="1" x14ac:dyDescent="2.5">
      <c r="A167" s="68" t="s">
        <v>4</v>
      </c>
      <c r="B167" s="57">
        <v>407.4</v>
      </c>
      <c r="C167" s="57"/>
      <c r="D167" s="57">
        <f>B167-C167</f>
        <v>407.4</v>
      </c>
      <c r="E167" s="57">
        <f>ROUND(D167*(1+$Q$16),1)</f>
        <v>446.1</v>
      </c>
      <c r="F167" s="57">
        <f>ROUND(E167*(1+$Q$20),1)</f>
        <v>468.4</v>
      </c>
      <c r="G167" s="57">
        <f>ROUND(F167*(1+$Q$20),1)</f>
        <v>491.8</v>
      </c>
      <c r="H167" s="58">
        <f t="shared" si="52"/>
        <v>9.4992636229749738E-2</v>
      </c>
      <c r="I167" s="58">
        <f t="shared" ref="I167:J195" si="74">IFERROR(F167/E167-1,"-")</f>
        <v>4.9988791750728456E-2</v>
      </c>
      <c r="J167" s="58">
        <f t="shared" si="74"/>
        <v>4.9957301451750702E-2</v>
      </c>
      <c r="K167" s="37"/>
      <c r="L167" s="37"/>
      <c r="M167" s="11"/>
      <c r="N167" s="7">
        <f t="shared" si="68"/>
        <v>38.700000000000045</v>
      </c>
      <c r="O167" s="11"/>
      <c r="S167" s="29"/>
      <c r="T167" s="29"/>
      <c r="U167" s="29"/>
      <c r="V167" s="29"/>
    </row>
    <row r="168" spans="1:22" s="2" customFormat="1" ht="25.15" customHeight="1" x14ac:dyDescent="2.5">
      <c r="A168" s="68" t="s">
        <v>5</v>
      </c>
      <c r="B168" s="57">
        <v>476.4</v>
      </c>
      <c r="C168" s="57">
        <f>69.7+155</f>
        <v>224.7</v>
      </c>
      <c r="D168" s="57">
        <f>B168-C168</f>
        <v>251.7</v>
      </c>
      <c r="E168" s="57">
        <f>ROUND(D168*(1+$Q$18),1)+C168+8.8</f>
        <v>492.8</v>
      </c>
      <c r="F168" s="57">
        <f>ROUND(E168*(1+$Q$22),1)</f>
        <v>507.6</v>
      </c>
      <c r="G168" s="57">
        <f>ROUND(F168*(1+$Q$22),1)</f>
        <v>522.79999999999995</v>
      </c>
      <c r="H168" s="58">
        <f t="shared" si="52"/>
        <v>3.4424853064651595E-2</v>
      </c>
      <c r="I168" s="58">
        <f t="shared" si="74"/>
        <v>3.0032467532467466E-2</v>
      </c>
      <c r="J168" s="58">
        <f t="shared" si="74"/>
        <v>2.9944838455476575E-2</v>
      </c>
      <c r="K168" s="37"/>
      <c r="L168" s="37" t="s">
        <v>106</v>
      </c>
      <c r="M168" s="11"/>
      <c r="N168" s="7">
        <f t="shared" si="68"/>
        <v>16.400000000000034</v>
      </c>
      <c r="O168" s="11"/>
      <c r="S168" s="29"/>
      <c r="T168" s="29"/>
      <c r="U168" s="29"/>
      <c r="V168" s="29"/>
    </row>
    <row r="169" spans="1:22" s="3" customFormat="1" ht="25.15" customHeight="1" x14ac:dyDescent="2.5">
      <c r="A169" s="73" t="s">
        <v>22</v>
      </c>
      <c r="B169" s="74">
        <f t="shared" ref="B169:G169" si="75">B170+B171</f>
        <v>1212.0999999999999</v>
      </c>
      <c r="C169" s="74">
        <f t="shared" si="75"/>
        <v>139.6</v>
      </c>
      <c r="D169" s="74">
        <f t="shared" si="75"/>
        <v>1072.5</v>
      </c>
      <c r="E169" s="74">
        <f t="shared" si="75"/>
        <v>1288.3</v>
      </c>
      <c r="F169" s="74">
        <f t="shared" si="75"/>
        <v>1338.8000000000002</v>
      </c>
      <c r="G169" s="74">
        <f t="shared" si="75"/>
        <v>1391.5</v>
      </c>
      <c r="H169" s="75">
        <f t="shared" si="52"/>
        <v>6.2866100156752758E-2</v>
      </c>
      <c r="I169" s="75">
        <f t="shared" si="74"/>
        <v>3.9198944345261388E-2</v>
      </c>
      <c r="J169" s="75">
        <f t="shared" si="74"/>
        <v>3.9363609202270444E-2</v>
      </c>
      <c r="K169" s="43"/>
      <c r="L169" s="43"/>
      <c r="M169" s="23"/>
      <c r="N169" s="9">
        <f t="shared" si="68"/>
        <v>76.200000000000045</v>
      </c>
      <c r="O169" s="23"/>
      <c r="S169" s="32"/>
      <c r="T169" s="32"/>
      <c r="U169" s="32"/>
      <c r="V169" s="32"/>
    </row>
    <row r="170" spans="1:22" s="2" customFormat="1" ht="25.15" customHeight="1" x14ac:dyDescent="2.5">
      <c r="A170" s="68" t="s">
        <v>4</v>
      </c>
      <c r="B170" s="57">
        <v>542</v>
      </c>
      <c r="C170" s="57"/>
      <c r="D170" s="57">
        <f>B170-C170</f>
        <v>542</v>
      </c>
      <c r="E170" s="57">
        <f>ROUND(D170*(1+$Q$16),1)</f>
        <v>593.5</v>
      </c>
      <c r="F170" s="57">
        <f>ROUND(E170*(1+$Q$20),1)</f>
        <v>623.20000000000005</v>
      </c>
      <c r="G170" s="57">
        <f>ROUND(F170*(1+$Q$20),1)</f>
        <v>654.4</v>
      </c>
      <c r="H170" s="58">
        <f t="shared" si="52"/>
        <v>9.5018450184501946E-2</v>
      </c>
      <c r="I170" s="58">
        <f t="shared" si="74"/>
        <v>5.0042122999157668E-2</v>
      </c>
      <c r="J170" s="58">
        <f t="shared" si="74"/>
        <v>5.0064184852374627E-2</v>
      </c>
      <c r="K170" s="37"/>
      <c r="L170" s="37"/>
      <c r="M170" s="11"/>
      <c r="N170" s="7">
        <f t="shared" si="68"/>
        <v>51.5</v>
      </c>
      <c r="O170" s="11"/>
      <c r="S170" s="29"/>
      <c r="T170" s="29"/>
      <c r="U170" s="29"/>
      <c r="V170" s="29"/>
    </row>
    <row r="171" spans="1:22" s="2" customFormat="1" ht="25.15" customHeight="1" x14ac:dyDescent="2.5">
      <c r="A171" s="68" t="s">
        <v>5</v>
      </c>
      <c r="B171" s="57">
        <v>670.1</v>
      </c>
      <c r="C171" s="57">
        <f>24.8+114.8</f>
        <v>139.6</v>
      </c>
      <c r="D171" s="57">
        <f>B171-C171</f>
        <v>530.5</v>
      </c>
      <c r="E171" s="57">
        <f>ROUND(D171*(1+$Q$18),1)+C171+8.8</f>
        <v>694.8</v>
      </c>
      <c r="F171" s="57">
        <f>ROUND(E171*(1+$Q$22),1)</f>
        <v>715.6</v>
      </c>
      <c r="G171" s="57">
        <f>ROUND(F171*(1+$Q$22),1)</f>
        <v>737.1</v>
      </c>
      <c r="H171" s="58">
        <f t="shared" si="52"/>
        <v>3.6860170123862002E-2</v>
      </c>
      <c r="I171" s="58">
        <f t="shared" si="74"/>
        <v>2.9936672423719113E-2</v>
      </c>
      <c r="J171" s="58">
        <f t="shared" si="74"/>
        <v>3.0044717719396319E-2</v>
      </c>
      <c r="K171" s="37"/>
      <c r="L171" s="37" t="s">
        <v>107</v>
      </c>
      <c r="M171" s="11"/>
      <c r="N171" s="7">
        <f t="shared" si="68"/>
        <v>24.699999999999932</v>
      </c>
      <c r="O171" s="11"/>
      <c r="S171" s="29"/>
      <c r="T171" s="29"/>
      <c r="U171" s="29"/>
      <c r="V171" s="29"/>
    </row>
    <row r="172" spans="1:22" s="3" customFormat="1" ht="25.15" customHeight="1" x14ac:dyDescent="2.5">
      <c r="A172" s="73" t="s">
        <v>23</v>
      </c>
      <c r="B172" s="74">
        <f t="shared" ref="B172:G172" si="76">B173+B174</f>
        <v>897.2</v>
      </c>
      <c r="C172" s="74">
        <f t="shared" si="76"/>
        <v>198.4</v>
      </c>
      <c r="D172" s="74">
        <f t="shared" si="76"/>
        <v>698.80000000000007</v>
      </c>
      <c r="E172" s="74">
        <f t="shared" si="76"/>
        <v>956.2</v>
      </c>
      <c r="F172" s="74">
        <f t="shared" si="76"/>
        <v>994.7</v>
      </c>
      <c r="G172" s="74">
        <f t="shared" si="76"/>
        <v>1034.8000000000002</v>
      </c>
      <c r="H172" s="75">
        <f t="shared" si="52"/>
        <v>6.576014266607233E-2</v>
      </c>
      <c r="I172" s="75">
        <f t="shared" si="74"/>
        <v>4.026354319180081E-2</v>
      </c>
      <c r="J172" s="75">
        <f t="shared" si="74"/>
        <v>4.0313662410777162E-2</v>
      </c>
      <c r="K172" s="43"/>
      <c r="L172" s="43"/>
      <c r="M172" s="23"/>
      <c r="N172" s="9">
        <f t="shared" si="68"/>
        <v>59</v>
      </c>
      <c r="O172" s="23"/>
      <c r="S172" s="32"/>
      <c r="T172" s="32"/>
      <c r="U172" s="32"/>
      <c r="V172" s="32"/>
    </row>
    <row r="173" spans="1:22" s="2" customFormat="1" ht="25.15" customHeight="1" x14ac:dyDescent="2.5">
      <c r="A173" s="68" t="s">
        <v>4</v>
      </c>
      <c r="B173" s="57">
        <v>449.1</v>
      </c>
      <c r="C173" s="57"/>
      <c r="D173" s="57">
        <f>B173-C173</f>
        <v>449.1</v>
      </c>
      <c r="E173" s="57">
        <f>ROUND(D173*(1+$Q$16),1)</f>
        <v>491.8</v>
      </c>
      <c r="F173" s="57">
        <f>ROUND(E173*(1+$Q$20),1)</f>
        <v>516.4</v>
      </c>
      <c r="G173" s="57">
        <f>ROUND(F173*(1+$Q$20),1)</f>
        <v>542.20000000000005</v>
      </c>
      <c r="H173" s="58">
        <f t="shared" si="52"/>
        <v>9.5079046982854631E-2</v>
      </c>
      <c r="I173" s="58">
        <f t="shared" si="74"/>
        <v>5.0020333468889788E-2</v>
      </c>
      <c r="J173" s="58">
        <f t="shared" si="74"/>
        <v>4.9961270333075181E-2</v>
      </c>
      <c r="K173" s="37"/>
      <c r="L173" s="37"/>
      <c r="M173" s="11"/>
      <c r="N173" s="7">
        <f t="shared" si="68"/>
        <v>42.699999999999989</v>
      </c>
      <c r="O173" s="11"/>
      <c r="S173" s="29"/>
      <c r="T173" s="29"/>
      <c r="U173" s="29"/>
      <c r="V173" s="29"/>
    </row>
    <row r="174" spans="1:22" s="2" customFormat="1" ht="25.15" customHeight="1" x14ac:dyDescent="2.5">
      <c r="A174" s="68" t="s">
        <v>5</v>
      </c>
      <c r="B174" s="57">
        <v>448.1</v>
      </c>
      <c r="C174" s="57">
        <f>48.4+150</f>
        <v>198.4</v>
      </c>
      <c r="D174" s="57">
        <f>B174-C174</f>
        <v>249.70000000000002</v>
      </c>
      <c r="E174" s="57">
        <f>ROUND(D174*(1+$Q$18),1)+C174+8.8</f>
        <v>464.40000000000003</v>
      </c>
      <c r="F174" s="57">
        <f>ROUND(E174*(1+$Q$22),1)</f>
        <v>478.3</v>
      </c>
      <c r="G174" s="57">
        <f>ROUND(F174*(1+$Q$22),1)</f>
        <v>492.6</v>
      </c>
      <c r="H174" s="58">
        <f t="shared" si="52"/>
        <v>3.6375808971211843E-2</v>
      </c>
      <c r="I174" s="58">
        <f t="shared" si="74"/>
        <v>2.9931093884582261E-2</v>
      </c>
      <c r="J174" s="58">
        <f t="shared" si="74"/>
        <v>2.9897553836504276E-2</v>
      </c>
      <c r="K174" s="37"/>
      <c r="L174" s="37" t="s">
        <v>108</v>
      </c>
      <c r="M174" s="11"/>
      <c r="N174" s="7">
        <f t="shared" si="68"/>
        <v>16.300000000000011</v>
      </c>
      <c r="O174" s="11"/>
      <c r="S174" s="29"/>
      <c r="T174" s="29"/>
      <c r="U174" s="29"/>
      <c r="V174" s="29"/>
    </row>
    <row r="175" spans="1:22" s="3" customFormat="1" ht="25.15" customHeight="1" x14ac:dyDescent="2.5">
      <c r="A175" s="73" t="s">
        <v>24</v>
      </c>
      <c r="B175" s="74">
        <f t="shared" ref="B175:G175" si="77">B176+B177</f>
        <v>1000.1999999999999</v>
      </c>
      <c r="C175" s="74">
        <f t="shared" si="77"/>
        <v>390.3</v>
      </c>
      <c r="D175" s="74">
        <f t="shared" si="77"/>
        <v>609.89999999999986</v>
      </c>
      <c r="E175" s="74">
        <f t="shared" si="77"/>
        <v>1048</v>
      </c>
      <c r="F175" s="74">
        <f t="shared" si="77"/>
        <v>1086.4000000000001</v>
      </c>
      <c r="G175" s="74">
        <f t="shared" si="77"/>
        <v>1126.4000000000001</v>
      </c>
      <c r="H175" s="75">
        <f t="shared" si="52"/>
        <v>4.7790441911617743E-2</v>
      </c>
      <c r="I175" s="75">
        <f t="shared" si="74"/>
        <v>3.6641221374045907E-2</v>
      </c>
      <c r="J175" s="75">
        <f t="shared" si="74"/>
        <v>3.6818851251841034E-2</v>
      </c>
      <c r="K175" s="43"/>
      <c r="L175" s="43"/>
      <c r="M175" s="23"/>
      <c r="N175" s="9">
        <f t="shared" si="68"/>
        <v>47.800000000000068</v>
      </c>
      <c r="O175" s="23"/>
      <c r="S175" s="32"/>
      <c r="T175" s="32"/>
      <c r="U175" s="32"/>
      <c r="V175" s="32"/>
    </row>
    <row r="176" spans="1:22" s="2" customFormat="1" ht="25.15" customHeight="1" x14ac:dyDescent="2.5">
      <c r="A176" s="68" t="s">
        <v>4</v>
      </c>
      <c r="B176" s="57">
        <v>319.39999999999998</v>
      </c>
      <c r="C176" s="57"/>
      <c r="D176" s="57">
        <f>B176-C176</f>
        <v>319.39999999999998</v>
      </c>
      <c r="E176" s="57">
        <f>ROUND(D176*(1+$Q$16),1)</f>
        <v>349.7</v>
      </c>
      <c r="F176" s="57">
        <f>ROUND(E176*(1+$Q$20),1)</f>
        <v>367.2</v>
      </c>
      <c r="G176" s="57">
        <f>ROUND(F176*(1+$Q$20),1)</f>
        <v>385.6</v>
      </c>
      <c r="H176" s="58">
        <f t="shared" si="52"/>
        <v>9.4865372573575524E-2</v>
      </c>
      <c r="I176" s="58">
        <f t="shared" si="74"/>
        <v>5.0042893909064912E-2</v>
      </c>
      <c r="J176" s="58">
        <f t="shared" si="74"/>
        <v>5.0108932461873756E-2</v>
      </c>
      <c r="K176" s="37"/>
      <c r="L176" s="37"/>
      <c r="M176" s="11"/>
      <c r="N176" s="7">
        <f t="shared" si="68"/>
        <v>30.300000000000011</v>
      </c>
      <c r="O176" s="11"/>
      <c r="S176" s="29"/>
      <c r="T176" s="29"/>
      <c r="U176" s="29"/>
      <c r="V176" s="29"/>
    </row>
    <row r="177" spans="1:22" s="2" customFormat="1" ht="25.15" customHeight="1" x14ac:dyDescent="2.5">
      <c r="A177" s="68" t="s">
        <v>5</v>
      </c>
      <c r="B177" s="57">
        <v>680.8</v>
      </c>
      <c r="C177" s="57">
        <f>85.8+304.5</f>
        <v>390.3</v>
      </c>
      <c r="D177" s="57">
        <f>B177-C177</f>
        <v>290.49999999999994</v>
      </c>
      <c r="E177" s="57">
        <f>ROUND(D177*(1+$Q$18),1)+C177+8.8</f>
        <v>698.3</v>
      </c>
      <c r="F177" s="57">
        <f>ROUND(E177*(1+$Q$22),1)</f>
        <v>719.2</v>
      </c>
      <c r="G177" s="57">
        <f>ROUND(F177*(1+$Q$22),1)</f>
        <v>740.8</v>
      </c>
      <c r="H177" s="58">
        <f t="shared" si="52"/>
        <v>2.5705052878965962E-2</v>
      </c>
      <c r="I177" s="58">
        <f t="shared" si="74"/>
        <v>2.9929829586137879E-2</v>
      </c>
      <c r="J177" s="58">
        <f t="shared" si="74"/>
        <v>3.0033370411568283E-2</v>
      </c>
      <c r="K177" s="37"/>
      <c r="L177" s="37" t="s">
        <v>109</v>
      </c>
      <c r="M177" s="11"/>
      <c r="N177" s="7">
        <f t="shared" si="68"/>
        <v>17.5</v>
      </c>
      <c r="O177" s="11"/>
      <c r="S177" s="29"/>
      <c r="T177" s="29"/>
      <c r="U177" s="29"/>
      <c r="V177" s="29"/>
    </row>
    <row r="178" spans="1:22" s="3" customFormat="1" ht="25.15" customHeight="1" x14ac:dyDescent="2.5">
      <c r="A178" s="73" t="s">
        <v>25</v>
      </c>
      <c r="B178" s="74">
        <f t="shared" ref="B178:G178" si="78">B179+B180</f>
        <v>1007.8</v>
      </c>
      <c r="C178" s="74">
        <f t="shared" si="78"/>
        <v>187.3</v>
      </c>
      <c r="D178" s="74">
        <f t="shared" si="78"/>
        <v>820.5</v>
      </c>
      <c r="E178" s="74">
        <f t="shared" si="78"/>
        <v>1075.8</v>
      </c>
      <c r="F178" s="74">
        <f t="shared" si="78"/>
        <v>1119.7</v>
      </c>
      <c r="G178" s="74">
        <f t="shared" si="78"/>
        <v>1165.5</v>
      </c>
      <c r="H178" s="75">
        <f t="shared" si="52"/>
        <v>6.7473705100218329E-2</v>
      </c>
      <c r="I178" s="75">
        <f t="shared" si="74"/>
        <v>4.0806841420338413E-2</v>
      </c>
      <c r="J178" s="75">
        <f t="shared" si="74"/>
        <v>4.0903813521478982E-2</v>
      </c>
      <c r="K178" s="43"/>
      <c r="L178" s="43"/>
      <c r="M178" s="23"/>
      <c r="N178" s="9">
        <f t="shared" si="68"/>
        <v>68</v>
      </c>
      <c r="O178" s="23"/>
      <c r="S178" s="32"/>
      <c r="T178" s="32"/>
      <c r="U178" s="32"/>
      <c r="V178" s="32"/>
    </row>
    <row r="179" spans="1:22" s="2" customFormat="1" ht="25.15" customHeight="1" x14ac:dyDescent="2.5">
      <c r="A179" s="68" t="s">
        <v>4</v>
      </c>
      <c r="B179" s="57">
        <v>532</v>
      </c>
      <c r="C179" s="57"/>
      <c r="D179" s="57">
        <f>B179-C179</f>
        <v>532</v>
      </c>
      <c r="E179" s="57">
        <f>ROUND(D179*(1+$Q$16),1)</f>
        <v>582.5</v>
      </c>
      <c r="F179" s="57">
        <f>ROUND(E179*(1+$Q$20),1)</f>
        <v>611.6</v>
      </c>
      <c r="G179" s="57">
        <f>ROUND(F179*(1+$Q$20),1)</f>
        <v>642.20000000000005</v>
      </c>
      <c r="H179" s="58">
        <f t="shared" ref="H179:H195" si="79">IFERROR(E179/B179-1,"-")</f>
        <v>9.492481203007519E-2</v>
      </c>
      <c r="I179" s="58">
        <f t="shared" si="74"/>
        <v>4.9957081545064508E-2</v>
      </c>
      <c r="J179" s="58">
        <f t="shared" si="74"/>
        <v>5.0032701111837774E-2</v>
      </c>
      <c r="K179" s="37"/>
      <c r="L179" s="37"/>
      <c r="M179" s="11"/>
      <c r="N179" s="7">
        <f t="shared" si="68"/>
        <v>50.5</v>
      </c>
      <c r="O179" s="11"/>
      <c r="S179" s="29"/>
      <c r="T179" s="29"/>
      <c r="U179" s="29"/>
      <c r="V179" s="29"/>
    </row>
    <row r="180" spans="1:22" s="2" customFormat="1" ht="25.15" customHeight="1" x14ac:dyDescent="2.5">
      <c r="A180" s="68" t="s">
        <v>5</v>
      </c>
      <c r="B180" s="57">
        <v>475.8</v>
      </c>
      <c r="C180" s="57">
        <f>68+119.3</f>
        <v>187.3</v>
      </c>
      <c r="D180" s="57">
        <f>B180-C180</f>
        <v>288.5</v>
      </c>
      <c r="E180" s="57">
        <f>ROUND(D180*(1+$Q$18),1)+C180+8.8</f>
        <v>493.3</v>
      </c>
      <c r="F180" s="57">
        <f>ROUND(E180*(1+$Q$22),1)</f>
        <v>508.1</v>
      </c>
      <c r="G180" s="57">
        <f>ROUND(F180*(1+$Q$22),1)</f>
        <v>523.29999999999995</v>
      </c>
      <c r="H180" s="58">
        <f t="shared" si="79"/>
        <v>3.6780159730979367E-2</v>
      </c>
      <c r="I180" s="58">
        <f t="shared" si="74"/>
        <v>3.000202716399758E-2</v>
      </c>
      <c r="J180" s="58">
        <f t="shared" si="74"/>
        <v>2.9915370989962442E-2</v>
      </c>
      <c r="K180" s="37"/>
      <c r="L180" s="37" t="s">
        <v>110</v>
      </c>
      <c r="M180" s="11"/>
      <c r="N180" s="7">
        <f t="shared" si="68"/>
        <v>17.5</v>
      </c>
      <c r="O180" s="11"/>
      <c r="S180" s="29"/>
      <c r="T180" s="29"/>
      <c r="U180" s="29"/>
      <c r="V180" s="29"/>
    </row>
    <row r="181" spans="1:22" s="3" customFormat="1" ht="25.15" customHeight="1" x14ac:dyDescent="2.5">
      <c r="A181" s="73" t="s">
        <v>26</v>
      </c>
      <c r="B181" s="74">
        <f t="shared" ref="B181:G181" si="80">B182+B183</f>
        <v>1434.6</v>
      </c>
      <c r="C181" s="74">
        <f t="shared" si="80"/>
        <v>399.4</v>
      </c>
      <c r="D181" s="74">
        <f t="shared" si="80"/>
        <v>1035.2</v>
      </c>
      <c r="E181" s="74">
        <f t="shared" si="80"/>
        <v>1513.5</v>
      </c>
      <c r="F181" s="74">
        <f t="shared" si="80"/>
        <v>1572.1</v>
      </c>
      <c r="G181" s="74">
        <f t="shared" si="80"/>
        <v>1633</v>
      </c>
      <c r="H181" s="75">
        <f t="shared" si="79"/>
        <v>5.4997908824759634E-2</v>
      </c>
      <c r="I181" s="75">
        <f t="shared" si="74"/>
        <v>3.8718202841096838E-2</v>
      </c>
      <c r="J181" s="75">
        <f t="shared" si="74"/>
        <v>3.8737993766299939E-2</v>
      </c>
      <c r="K181" s="43"/>
      <c r="L181" s="43"/>
      <c r="M181" s="23"/>
      <c r="N181" s="9">
        <f t="shared" si="68"/>
        <v>78.900000000000091</v>
      </c>
      <c r="O181" s="23"/>
      <c r="S181" s="32"/>
      <c r="T181" s="32"/>
      <c r="U181" s="32"/>
      <c r="V181" s="32"/>
    </row>
    <row r="182" spans="1:22" s="2" customFormat="1" ht="25.15" customHeight="1" x14ac:dyDescent="2.5">
      <c r="A182" s="68" t="s">
        <v>4</v>
      </c>
      <c r="B182" s="57">
        <v>600.79999999999995</v>
      </c>
      <c r="C182" s="57"/>
      <c r="D182" s="57">
        <f>B182-C182</f>
        <v>600.79999999999995</v>
      </c>
      <c r="E182" s="57">
        <f>ROUND(D182*(1+$Q$16),1)</f>
        <v>657.9</v>
      </c>
      <c r="F182" s="57">
        <f>ROUND(E182*(1+$Q$20),1)</f>
        <v>690.8</v>
      </c>
      <c r="G182" s="57">
        <f>ROUND(F182*(1+$Q$20),1)</f>
        <v>725.3</v>
      </c>
      <c r="H182" s="58">
        <f t="shared" si="79"/>
        <v>9.5039946737683234E-2</v>
      </c>
      <c r="I182" s="58">
        <f t="shared" si="74"/>
        <v>5.0007599939200453E-2</v>
      </c>
      <c r="J182" s="58">
        <f t="shared" si="74"/>
        <v>4.9942096120439983E-2</v>
      </c>
      <c r="K182" s="37"/>
      <c r="L182" s="37"/>
      <c r="M182" s="11"/>
      <c r="N182" s="7">
        <f t="shared" si="68"/>
        <v>57.100000000000023</v>
      </c>
      <c r="O182" s="11"/>
      <c r="S182" s="29"/>
      <c r="T182" s="29"/>
      <c r="U182" s="29"/>
      <c r="V182" s="29"/>
    </row>
    <row r="183" spans="1:22" s="2" customFormat="1" ht="25.15" customHeight="1" x14ac:dyDescent="2.5">
      <c r="A183" s="68" t="s">
        <v>5</v>
      </c>
      <c r="B183" s="57">
        <v>833.80000000000007</v>
      </c>
      <c r="C183" s="57">
        <f>64.5+334.9</f>
        <v>399.4</v>
      </c>
      <c r="D183" s="57">
        <f>B183-C183</f>
        <v>434.40000000000009</v>
      </c>
      <c r="E183" s="57">
        <f>ROUND(D183*(1+$Q$18),1)+C183+8.8</f>
        <v>855.59999999999991</v>
      </c>
      <c r="F183" s="57">
        <f>ROUND(E183*(1+$Q$22),1)</f>
        <v>881.3</v>
      </c>
      <c r="G183" s="57">
        <f>ROUND(F183*(1+$Q$22),1)</f>
        <v>907.7</v>
      </c>
      <c r="H183" s="58">
        <f t="shared" si="79"/>
        <v>2.614535859918421E-2</v>
      </c>
      <c r="I183" s="58">
        <f t="shared" si="74"/>
        <v>3.0037400654511437E-2</v>
      </c>
      <c r="J183" s="58">
        <f t="shared" si="74"/>
        <v>2.9955747191648729E-2</v>
      </c>
      <c r="K183" s="37"/>
      <c r="L183" s="37" t="s">
        <v>111</v>
      </c>
      <c r="M183" s="11"/>
      <c r="N183" s="7">
        <f t="shared" si="68"/>
        <v>21.799999999999841</v>
      </c>
      <c r="O183" s="11"/>
      <c r="S183" s="29"/>
      <c r="T183" s="29"/>
      <c r="U183" s="29"/>
      <c r="V183" s="29"/>
    </row>
    <row r="184" spans="1:22" s="3" customFormat="1" ht="25.15" customHeight="1" x14ac:dyDescent="2.5">
      <c r="A184" s="73" t="s">
        <v>27</v>
      </c>
      <c r="B184" s="74">
        <f t="shared" ref="B184:G184" si="81">B185+B186</f>
        <v>701.4</v>
      </c>
      <c r="C184" s="74">
        <f t="shared" si="81"/>
        <v>225</v>
      </c>
      <c r="D184" s="74">
        <f t="shared" si="81"/>
        <v>476.4</v>
      </c>
      <c r="E184" s="74">
        <f t="shared" si="81"/>
        <v>742.2</v>
      </c>
      <c r="F184" s="74">
        <f t="shared" si="81"/>
        <v>770.4</v>
      </c>
      <c r="G184" s="74">
        <f t="shared" si="81"/>
        <v>799.8</v>
      </c>
      <c r="H184" s="75">
        <f t="shared" si="79"/>
        <v>5.8169375534645074E-2</v>
      </c>
      <c r="I184" s="75">
        <f t="shared" si="74"/>
        <v>3.7995149555375862E-2</v>
      </c>
      <c r="J184" s="75">
        <f t="shared" si="74"/>
        <v>3.8161993769470381E-2</v>
      </c>
      <c r="K184" s="43"/>
      <c r="L184" s="43"/>
      <c r="M184" s="23"/>
      <c r="N184" s="9">
        <f t="shared" si="68"/>
        <v>40.800000000000068</v>
      </c>
      <c r="O184" s="23"/>
      <c r="S184" s="32"/>
      <c r="T184" s="32"/>
      <c r="U184" s="32"/>
      <c r="V184" s="32"/>
    </row>
    <row r="185" spans="1:22" s="2" customFormat="1" ht="25.15" customHeight="1" x14ac:dyDescent="2.5">
      <c r="A185" s="68" t="s">
        <v>4</v>
      </c>
      <c r="B185" s="57">
        <v>272.89999999999998</v>
      </c>
      <c r="C185" s="57"/>
      <c r="D185" s="57">
        <f>B185-C185</f>
        <v>272.89999999999998</v>
      </c>
      <c r="E185" s="57">
        <f>ROUND(D185*(1+$Q$16),1)</f>
        <v>298.8</v>
      </c>
      <c r="F185" s="57">
        <f>ROUND(E185*(1+$Q$20),1)</f>
        <v>313.7</v>
      </c>
      <c r="G185" s="57">
        <f>ROUND(F185*(1+$Q$20),1)</f>
        <v>329.4</v>
      </c>
      <c r="H185" s="58">
        <f t="shared" si="79"/>
        <v>9.4906559179186667E-2</v>
      </c>
      <c r="I185" s="58">
        <f t="shared" si="74"/>
        <v>4.986613119143235E-2</v>
      </c>
      <c r="J185" s="58">
        <f t="shared" si="74"/>
        <v>5.0047816385081267E-2</v>
      </c>
      <c r="K185" s="37"/>
      <c r="L185" s="37"/>
      <c r="M185" s="11"/>
      <c r="N185" s="7">
        <f t="shared" si="68"/>
        <v>25.900000000000034</v>
      </c>
      <c r="O185" s="11"/>
      <c r="S185" s="29"/>
      <c r="T185" s="29"/>
      <c r="U185" s="29"/>
      <c r="V185" s="29"/>
    </row>
    <row r="186" spans="1:22" s="2" customFormat="1" ht="25.15" customHeight="1" x14ac:dyDescent="2.5">
      <c r="A186" s="68" t="s">
        <v>5</v>
      </c>
      <c r="B186" s="57">
        <v>428.5</v>
      </c>
      <c r="C186" s="57">
        <f>87.5+137.5</f>
        <v>225</v>
      </c>
      <c r="D186" s="57">
        <f>B186-C186</f>
        <v>203.5</v>
      </c>
      <c r="E186" s="57">
        <f>ROUND(D186*(1+$Q$18),1)+C186+8.8</f>
        <v>443.40000000000003</v>
      </c>
      <c r="F186" s="57">
        <f>ROUND(E186*(1+$Q$22),1)</f>
        <v>456.7</v>
      </c>
      <c r="G186" s="57">
        <f>ROUND(F186*(1+$Q$22),1)</f>
        <v>470.4</v>
      </c>
      <c r="H186" s="58">
        <f t="shared" si="79"/>
        <v>3.47724620770129E-2</v>
      </c>
      <c r="I186" s="58">
        <f t="shared" si="74"/>
        <v>2.9995489400090003E-2</v>
      </c>
      <c r="J186" s="58">
        <f t="shared" si="74"/>
        <v>2.9997810378804335E-2</v>
      </c>
      <c r="K186" s="37"/>
      <c r="L186" s="37" t="s">
        <v>112</v>
      </c>
      <c r="M186" s="11"/>
      <c r="N186" s="7">
        <f t="shared" si="68"/>
        <v>14.900000000000034</v>
      </c>
      <c r="O186" s="11"/>
      <c r="S186" s="29"/>
      <c r="T186" s="29"/>
      <c r="U186" s="29"/>
      <c r="V186" s="29"/>
    </row>
    <row r="187" spans="1:22" s="3" customFormat="1" ht="25.15" customHeight="1" x14ac:dyDescent="2.5">
      <c r="A187" s="73" t="s">
        <v>28</v>
      </c>
      <c r="B187" s="74">
        <f t="shared" ref="B187:G187" si="82">B188+B189</f>
        <v>904.7</v>
      </c>
      <c r="C187" s="74">
        <f t="shared" si="82"/>
        <v>336.5</v>
      </c>
      <c r="D187" s="74">
        <f t="shared" si="82"/>
        <v>568.20000000000005</v>
      </c>
      <c r="E187" s="74">
        <f t="shared" si="82"/>
        <v>952.9</v>
      </c>
      <c r="F187" s="74">
        <f t="shared" si="82"/>
        <v>989</v>
      </c>
      <c r="G187" s="74">
        <f t="shared" si="82"/>
        <v>1026.5</v>
      </c>
      <c r="H187" s="75">
        <f t="shared" si="79"/>
        <v>5.327732950149211E-2</v>
      </c>
      <c r="I187" s="75">
        <f t="shared" si="74"/>
        <v>3.7884353027600071E-2</v>
      </c>
      <c r="J187" s="75">
        <f t="shared" si="74"/>
        <v>3.7917087967644036E-2</v>
      </c>
      <c r="K187" s="43"/>
      <c r="L187" s="43"/>
      <c r="M187" s="23"/>
      <c r="N187" s="9">
        <f t="shared" si="68"/>
        <v>48.199999999999932</v>
      </c>
      <c r="O187" s="23"/>
      <c r="S187" s="32"/>
      <c r="T187" s="32"/>
      <c r="U187" s="32"/>
      <c r="V187" s="32"/>
    </row>
    <row r="188" spans="1:22" s="2" customFormat="1" ht="25.15" customHeight="1" x14ac:dyDescent="2.5">
      <c r="A188" s="68" t="s">
        <v>4</v>
      </c>
      <c r="B188" s="57">
        <v>342.9</v>
      </c>
      <c r="C188" s="57"/>
      <c r="D188" s="57">
        <f>B188-C188</f>
        <v>342.9</v>
      </c>
      <c r="E188" s="57">
        <f>ROUND(D188*(1+$Q$16),1)</f>
        <v>375.5</v>
      </c>
      <c r="F188" s="57">
        <f>ROUND(E188*(1+$Q$20),1)</f>
        <v>394.3</v>
      </c>
      <c r="G188" s="57">
        <f>ROUND(F188*(1+$Q$20),1)</f>
        <v>414</v>
      </c>
      <c r="H188" s="58">
        <f t="shared" si="79"/>
        <v>9.5071449402158059E-2</v>
      </c>
      <c r="I188" s="58">
        <f t="shared" si="74"/>
        <v>5.0066577896138442E-2</v>
      </c>
      <c r="J188" s="58">
        <f t="shared" si="74"/>
        <v>4.9961957900076071E-2</v>
      </c>
      <c r="K188" s="37"/>
      <c r="L188" s="37"/>
      <c r="M188" s="11"/>
      <c r="N188" s="7">
        <f t="shared" si="68"/>
        <v>32.600000000000023</v>
      </c>
      <c r="O188" s="11"/>
      <c r="S188" s="29"/>
      <c r="T188" s="29"/>
      <c r="U188" s="29"/>
      <c r="V188" s="29"/>
    </row>
    <row r="189" spans="1:22" s="2" customFormat="1" ht="25.15" customHeight="1" x14ac:dyDescent="2.5">
      <c r="A189" s="68" t="s">
        <v>5</v>
      </c>
      <c r="B189" s="57">
        <v>561.80000000000007</v>
      </c>
      <c r="C189" s="57">
        <f>129+207.5</f>
        <v>336.5</v>
      </c>
      <c r="D189" s="57">
        <f>B189-C189</f>
        <v>225.30000000000007</v>
      </c>
      <c r="E189" s="57">
        <f>ROUND(D189*(1+$Q$18),1)+C189+8.8</f>
        <v>577.4</v>
      </c>
      <c r="F189" s="57">
        <f>ROUND(E189*(1+$Q$22),1)</f>
        <v>594.70000000000005</v>
      </c>
      <c r="G189" s="57">
        <f>ROUND(F189*(1+$Q$22),1)</f>
        <v>612.5</v>
      </c>
      <c r="H189" s="58">
        <f t="shared" si="79"/>
        <v>2.7767888928444062E-2</v>
      </c>
      <c r="I189" s="58">
        <f t="shared" si="74"/>
        <v>2.9961898164184486E-2</v>
      </c>
      <c r="J189" s="58">
        <f t="shared" si="74"/>
        <v>2.9931057676139128E-2</v>
      </c>
      <c r="K189" s="37"/>
      <c r="L189" s="37" t="s">
        <v>113</v>
      </c>
      <c r="M189" s="11"/>
      <c r="N189" s="7">
        <f t="shared" si="68"/>
        <v>15.599999999999909</v>
      </c>
      <c r="O189" s="11"/>
      <c r="S189" s="29"/>
      <c r="T189" s="29"/>
      <c r="U189" s="29"/>
      <c r="V189" s="29"/>
    </row>
    <row r="190" spans="1:22" s="3" customFormat="1" ht="25.15" customHeight="1" x14ac:dyDescent="2.5">
      <c r="A190" s="73" t="s">
        <v>29</v>
      </c>
      <c r="B190" s="74">
        <f t="shared" ref="B190:G190" si="83">B191+B192</f>
        <v>934</v>
      </c>
      <c r="C190" s="74">
        <f t="shared" si="83"/>
        <v>219.6</v>
      </c>
      <c r="D190" s="74">
        <f t="shared" si="83"/>
        <v>714.4</v>
      </c>
      <c r="E190" s="74">
        <f t="shared" si="83"/>
        <v>991.69999999999993</v>
      </c>
      <c r="F190" s="74">
        <f t="shared" si="83"/>
        <v>1030.7</v>
      </c>
      <c r="G190" s="74">
        <f t="shared" si="83"/>
        <v>1071.3000000000002</v>
      </c>
      <c r="H190" s="75">
        <f t="shared" si="79"/>
        <v>6.1777301927194772E-2</v>
      </c>
      <c r="I190" s="75">
        <f t="shared" si="74"/>
        <v>3.9326409196329681E-2</v>
      </c>
      <c r="J190" s="75">
        <f t="shared" si="74"/>
        <v>3.9390705345881516E-2</v>
      </c>
      <c r="K190" s="43"/>
      <c r="L190" s="43"/>
      <c r="M190" s="23"/>
      <c r="N190" s="9">
        <f t="shared" si="68"/>
        <v>57.699999999999932</v>
      </c>
      <c r="O190" s="23"/>
      <c r="S190" s="32"/>
      <c r="T190" s="32"/>
      <c r="U190" s="32"/>
      <c r="V190" s="32"/>
    </row>
    <row r="191" spans="1:22" s="2" customFormat="1" ht="25.15" customHeight="1" x14ac:dyDescent="2.5">
      <c r="A191" s="68" t="s">
        <v>4</v>
      </c>
      <c r="B191" s="57">
        <v>423.4</v>
      </c>
      <c r="C191" s="57"/>
      <c r="D191" s="57">
        <f>B191-C191</f>
        <v>423.4</v>
      </c>
      <c r="E191" s="57">
        <f>ROUND(D191*(1+$Q$16),1)</f>
        <v>463.6</v>
      </c>
      <c r="F191" s="57">
        <f>ROUND(E191*(1+$Q$20),1)</f>
        <v>486.8</v>
      </c>
      <c r="G191" s="57">
        <f>ROUND(F191*(1+$Q$20),1)</f>
        <v>511.1</v>
      </c>
      <c r="H191" s="58">
        <f t="shared" si="79"/>
        <v>9.4945677846008714E-2</v>
      </c>
      <c r="I191" s="58">
        <f t="shared" si="74"/>
        <v>5.0043140638481365E-2</v>
      </c>
      <c r="J191" s="58">
        <f t="shared" si="74"/>
        <v>4.9917830731306623E-2</v>
      </c>
      <c r="K191" s="37"/>
      <c r="L191" s="37"/>
      <c r="M191" s="11"/>
      <c r="N191" s="7">
        <f t="shared" si="68"/>
        <v>40.200000000000045</v>
      </c>
      <c r="O191" s="11"/>
      <c r="S191" s="29"/>
      <c r="T191" s="29"/>
      <c r="U191" s="29"/>
      <c r="V191" s="29"/>
    </row>
    <row r="192" spans="1:22" s="2" customFormat="1" ht="25.15" customHeight="1" x14ac:dyDescent="2.5">
      <c r="A192" s="68" t="s">
        <v>5</v>
      </c>
      <c r="B192" s="57">
        <v>510.59999999999997</v>
      </c>
      <c r="C192" s="57">
        <f>81.6+138</f>
        <v>219.6</v>
      </c>
      <c r="D192" s="57">
        <f>B192-C192</f>
        <v>291</v>
      </c>
      <c r="E192" s="57">
        <f>ROUND(D192*(1+$Q$18),1)+C192+8.8</f>
        <v>528.09999999999991</v>
      </c>
      <c r="F192" s="57">
        <f>ROUND(E192*(1+$Q$22),1)</f>
        <v>543.9</v>
      </c>
      <c r="G192" s="57">
        <f>ROUND(F192*(1+$Q$22),1)</f>
        <v>560.20000000000005</v>
      </c>
      <c r="H192" s="58">
        <f t="shared" si="79"/>
        <v>3.4273403838621208E-2</v>
      </c>
      <c r="I192" s="58">
        <f t="shared" si="74"/>
        <v>2.9918576027267774E-2</v>
      </c>
      <c r="J192" s="58">
        <f t="shared" si="74"/>
        <v>2.9968744254458723E-2</v>
      </c>
      <c r="K192" s="37"/>
      <c r="L192" s="37" t="s">
        <v>114</v>
      </c>
      <c r="M192" s="11"/>
      <c r="N192" s="7">
        <f t="shared" si="68"/>
        <v>17.499999999999943</v>
      </c>
      <c r="O192" s="11"/>
      <c r="S192" s="29"/>
      <c r="T192" s="29"/>
      <c r="U192" s="29"/>
      <c r="V192" s="29"/>
    </row>
    <row r="193" spans="1:22" s="3" customFormat="1" ht="25.15" customHeight="1" x14ac:dyDescent="2.5">
      <c r="A193" s="73" t="s">
        <v>30</v>
      </c>
      <c r="B193" s="74">
        <f t="shared" ref="B193:G193" si="84">B194+B195</f>
        <v>805.90000000000009</v>
      </c>
      <c r="C193" s="74">
        <f t="shared" si="84"/>
        <v>99.5</v>
      </c>
      <c r="D193" s="74">
        <f t="shared" si="84"/>
        <v>706.40000000000009</v>
      </c>
      <c r="E193" s="74">
        <f t="shared" si="84"/>
        <v>862.2</v>
      </c>
      <c r="F193" s="74">
        <f t="shared" si="84"/>
        <v>896.9</v>
      </c>
      <c r="G193" s="74">
        <f t="shared" si="84"/>
        <v>933.1</v>
      </c>
      <c r="H193" s="75">
        <f t="shared" si="79"/>
        <v>6.9859784092319188E-2</v>
      </c>
      <c r="I193" s="75">
        <f t="shared" si="74"/>
        <v>4.0245882625840723E-2</v>
      </c>
      <c r="J193" s="75">
        <f t="shared" si="74"/>
        <v>4.0361244285873621E-2</v>
      </c>
      <c r="K193" s="43"/>
      <c r="L193" s="43"/>
      <c r="M193" s="23"/>
      <c r="N193" s="9">
        <f t="shared" si="68"/>
        <v>56.299999999999955</v>
      </c>
      <c r="O193" s="23"/>
      <c r="S193" s="32"/>
      <c r="T193" s="32"/>
      <c r="U193" s="32"/>
      <c r="V193" s="32"/>
    </row>
    <row r="194" spans="1:22" s="2" customFormat="1" ht="25.15" customHeight="1" x14ac:dyDescent="2.5">
      <c r="A194" s="68" t="s">
        <v>4</v>
      </c>
      <c r="B194" s="57">
        <v>405.5</v>
      </c>
      <c r="C194" s="57"/>
      <c r="D194" s="57">
        <f>B194-C194</f>
        <v>405.5</v>
      </c>
      <c r="E194" s="57">
        <f>ROUND(D194*(1+$Q$16),1)</f>
        <v>444</v>
      </c>
      <c r="F194" s="57">
        <f>ROUND(E194*(1+$Q$20),1)</f>
        <v>466.2</v>
      </c>
      <c r="G194" s="57">
        <f>ROUND(F194*(1+$Q$20),1)</f>
        <v>489.5</v>
      </c>
      <c r="H194" s="58">
        <f t="shared" si="79"/>
        <v>9.4944512946979032E-2</v>
      </c>
      <c r="I194" s="58">
        <f t="shared" si="74"/>
        <v>5.0000000000000044E-2</v>
      </c>
      <c r="J194" s="58">
        <f t="shared" si="74"/>
        <v>4.9978549978550113E-2</v>
      </c>
      <c r="K194" s="37"/>
      <c r="L194" s="37"/>
      <c r="M194" s="11"/>
      <c r="N194" s="7">
        <f t="shared" si="68"/>
        <v>38.5</v>
      </c>
      <c r="O194" s="11"/>
      <c r="S194" s="29"/>
      <c r="T194" s="29"/>
      <c r="U194" s="29"/>
      <c r="V194" s="29"/>
    </row>
    <row r="195" spans="1:22" s="2" customFormat="1" ht="25.15" customHeight="1" thickBot="1" x14ac:dyDescent="2.65">
      <c r="A195" s="80" t="s">
        <v>5</v>
      </c>
      <c r="B195" s="76">
        <v>400.40000000000003</v>
      </c>
      <c r="C195" s="76">
        <f>42.6+56.9</f>
        <v>99.5</v>
      </c>
      <c r="D195" s="76">
        <f>B195-C195</f>
        <v>300.90000000000003</v>
      </c>
      <c r="E195" s="76">
        <f>ROUND(D195*(1+$Q$18),1)+C195+8.8</f>
        <v>418.2</v>
      </c>
      <c r="F195" s="76">
        <f>ROUND(E195*(1+$Q$22),1)</f>
        <v>430.7</v>
      </c>
      <c r="G195" s="76">
        <f>ROUND(F195*(1+$Q$22),1)</f>
        <v>443.6</v>
      </c>
      <c r="H195" s="77">
        <f t="shared" si="79"/>
        <v>4.4455544455544338E-2</v>
      </c>
      <c r="I195" s="77">
        <f t="shared" si="74"/>
        <v>2.989000478240067E-2</v>
      </c>
      <c r="J195" s="77">
        <f t="shared" si="74"/>
        <v>2.9951242163919201E-2</v>
      </c>
      <c r="K195" s="44"/>
      <c r="L195" s="44" t="s">
        <v>115</v>
      </c>
      <c r="M195" s="11"/>
      <c r="N195" s="7">
        <f t="shared" si="68"/>
        <v>17.799999999999955</v>
      </c>
      <c r="O195" s="11"/>
      <c r="S195" s="29"/>
      <c r="T195" s="29"/>
      <c r="U195" s="29"/>
      <c r="V195" s="29"/>
    </row>
    <row r="197" spans="1:22" s="2" customFormat="1" ht="27.5" x14ac:dyDescent="2.5">
      <c r="A197" s="102" t="s">
        <v>122</v>
      </c>
      <c r="S197" s="29"/>
      <c r="T197" s="29"/>
      <c r="U197" s="29"/>
      <c r="V197" s="29"/>
    </row>
    <row r="198" spans="1:22" s="2" customFormat="1" ht="27.5" x14ac:dyDescent="2.5">
      <c r="A198" s="3" t="s">
        <v>123</v>
      </c>
      <c r="S198" s="29"/>
      <c r="T198" s="29"/>
      <c r="U198" s="29"/>
      <c r="V198" s="29"/>
    </row>
    <row r="199" spans="1:22" ht="27.5" x14ac:dyDescent="2.5">
      <c r="A199" s="121" t="s">
        <v>124</v>
      </c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</row>
    <row r="200" spans="1:22" ht="54.65" customHeight="1" x14ac:dyDescent="0.75">
      <c r="A200" s="122" t="s">
        <v>135</v>
      </c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</row>
    <row r="201" spans="1:22" s="2" customFormat="1" ht="27.5" x14ac:dyDescent="2.5">
      <c r="A201" s="3" t="s">
        <v>125</v>
      </c>
      <c r="S201" s="29"/>
      <c r="T201" s="29"/>
      <c r="U201" s="29"/>
      <c r="V201" s="29"/>
    </row>
    <row r="202" spans="1:22" ht="27.5" x14ac:dyDescent="2.5">
      <c r="A202" s="121" t="s">
        <v>126</v>
      </c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</row>
    <row r="203" spans="1:22" ht="54.65" customHeight="1" x14ac:dyDescent="0.75">
      <c r="A203" s="122" t="s">
        <v>128</v>
      </c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</row>
    <row r="204" spans="1:22" s="2" customFormat="1" ht="27.5" x14ac:dyDescent="2.5">
      <c r="A204" s="2" t="s">
        <v>127</v>
      </c>
      <c r="S204" s="29"/>
      <c r="T204" s="29"/>
      <c r="U204" s="29"/>
      <c r="V204" s="29"/>
    </row>
  </sheetData>
  <mergeCells count="16">
    <mergeCell ref="N11:N12"/>
    <mergeCell ref="P11:P12"/>
    <mergeCell ref="Q11:Q12"/>
    <mergeCell ref="T11:V11"/>
    <mergeCell ref="A11:A12"/>
    <mergeCell ref="B11:B12"/>
    <mergeCell ref="C11:C12"/>
    <mergeCell ref="D11:D12"/>
    <mergeCell ref="E11:G11"/>
    <mergeCell ref="H11:J11"/>
    <mergeCell ref="A199:L199"/>
    <mergeCell ref="A200:L200"/>
    <mergeCell ref="A202:L202"/>
    <mergeCell ref="A203:L203"/>
    <mergeCell ref="K11:K12"/>
    <mergeCell ref="L11:L12"/>
  </mergeCells>
  <printOptions horizontalCentered="1"/>
  <pageMargins left="0.39370078740157483" right="0.39370078740157483" top="0.39370078740157483" bottom="0.39370078740157483" header="0.31496062992125984" footer="0.19685039370078741"/>
  <pageSetup paperSize="9" scale="74" fitToHeight="0" orientation="portrait" r:id="rId1"/>
  <headerFooter>
    <oddFooter>&amp;C&amp;"Khmer MEF1,Regular"&amp;9ទំព័រ&amp;"-,Regular"&amp;11 &amp;"Limon S1,Normal"&amp;18&amp;P&amp;"-,Regular"&amp;11 &amp;"Khmer MEF1,Regular"&amp;9នៃ&amp;"-,Regular"&amp;11 &amp;"Limon S1,Normal"&amp;18&amp;N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Ceiling-Entity-2023</vt:lpstr>
      <vt:lpstr>Ceiling-Data-Detail-2023</vt:lpstr>
      <vt:lpstr>Ceiling_exp_group</vt:lpstr>
      <vt:lpstr>Ceiling_exp_type</vt:lpstr>
      <vt:lpstr>Ceiling-Entity-2023 (2)</vt:lpstr>
      <vt:lpstr>Ceiling-Detail-Exp-Type-202 (2)</vt:lpstr>
      <vt:lpstr>BSP2023-2025 PB2023 Ceiling (2)</vt:lpstr>
      <vt:lpstr>'BSP2023-2025 PB2023 Ceiling (2)'!Print_Area</vt:lpstr>
      <vt:lpstr>'Ceiling-Data-Detail-2023'!Print_Area</vt:lpstr>
      <vt:lpstr>'Ceiling-Detail-Exp-Type-202 (2)'!Print_Area</vt:lpstr>
      <vt:lpstr>'Ceiling-Entity-2023'!Print_Area</vt:lpstr>
      <vt:lpstr>'Ceiling-Entity-2023 (2)'!Print_Area</vt:lpstr>
      <vt:lpstr>'BSP2023-2025 PB2023 Ceiling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Daro C</dc:creator>
  <cp:lastModifiedBy>sineth sim</cp:lastModifiedBy>
  <cp:lastPrinted>2022-06-23T11:58:14Z</cp:lastPrinted>
  <dcterms:created xsi:type="dcterms:W3CDTF">2015-06-05T18:17:20Z</dcterms:created>
  <dcterms:modified xsi:type="dcterms:W3CDTF">2024-02-04T13:39:32Z</dcterms:modified>
</cp:coreProperties>
</file>
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comments6.xml" ContentType="application/vnd.openxmlformats-officedocument.spreadsheetml.comments+xml"/>
  <Override PartName="/xl/drawings/drawing11.xml" ContentType="application/vnd.openxmlformats-officedocument.drawing+xml"/>
  <Override PartName="/xl/comments7.xml" ContentType="application/vnd.openxmlformats-officedocument.spreadsheetml.comments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1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hidePivotFieldList="1" defaultThemeVersion="124226"/>
  <xr:revisionPtr revIDLastSave="0" documentId="13_ncr:1_{8A0EE23C-368F-4B40-BD56-333A581D1C30}" xr6:coauthVersionLast="47" xr6:coauthVersionMax="47" xr10:uidLastSave="{00000000-0000-0000-0000-000000000000}"/>
  <bookViews>
    <workbookView xWindow="-90" yWindow="-90" windowWidth="19380" windowHeight="10260" tabRatio="676" firstSheet="7" activeTab="11" xr2:uid="{00000000-000D-0000-FFFF-FFFF00000000}"/>
  </bookViews>
  <sheets>
    <sheet name="PIP-Status 2017 (2)" sheetId="14" state="hidden" r:id="rId1"/>
    <sheet name="PIP-Status 2017-18 " sheetId="15" state="hidden" r:id="rId2"/>
    <sheet name="PIP 2019 by Fund-status" sheetId="18" state="hidden" r:id="rId3"/>
    <sheet name="PIP 2019-2021 by BEs" sheetId="16" state="hidden" r:id="rId4"/>
    <sheet name="pip_project (2)" sheetId="36" r:id="rId5"/>
    <sheet name="pip_project (3)" sheetId="39" r:id="rId6"/>
    <sheet name="Finance Resource" sheetId="40" r:id="rId7"/>
    <sheet name="Project Status" sheetId="37" r:id="rId8"/>
    <sheet name="Project Type" sheetId="38" r:id="rId9"/>
    <sheet name="pip_project" sheetId="35" r:id="rId10"/>
    <sheet name="PIP 2023-2025 by Projects" sheetId="25" r:id="rId11"/>
    <sheet name="PIP 2023-2025 by BEs" sheetId="24" r:id="rId12"/>
    <sheet name="PIP 2023-2025 by BEs (riel)" sheetId="34" r:id="rId13"/>
    <sheet name="PIP 2023-2025 by grading" sheetId="29" r:id="rId14"/>
    <sheet name="2016" sheetId="19" state="hidden" r:id="rId15"/>
    <sheet name="2017" sheetId="20" state="hidden" r:id="rId16"/>
    <sheet name="2018" sheetId="21" state="hidden" r:id="rId17"/>
    <sheet name="2019" sheetId="23" state="hidden" r:id="rId18"/>
    <sheet name="2020" sheetId="26" state="hidden" r:id="rId19"/>
    <sheet name="2021" sheetId="28" state="hidden" r:id="rId20"/>
    <sheet name="2022" sheetId="30" state="hidden" r:id="rId21"/>
    <sheet name="2023" sheetId="32" state="hidden" r:id="rId22"/>
  </sheets>
  <externalReferences>
    <externalReference r:id="rId23"/>
    <externalReference r:id="rId24"/>
  </externalReferences>
  <definedNames>
    <definedName name="_xlnm._FilterDatabase" localSheetId="2" hidden="1">'PIP 2019 by Fund-status'!$S$9:$S$114</definedName>
    <definedName name="_xlnm._FilterDatabase" localSheetId="3" hidden="1">'PIP 2019-2021 by BEs'!$S$1:$S$141</definedName>
    <definedName name="_xlnm._FilterDatabase" localSheetId="11" hidden="1">'PIP 2023-2025 by BEs'!$A$7:$V$30</definedName>
    <definedName name="_xlnm._FilterDatabase" localSheetId="12" hidden="1">'PIP 2023-2025 by BEs (riel)'!$A$7:$V$30</definedName>
    <definedName name="_xlnm._FilterDatabase" localSheetId="10" hidden="1">'PIP 2023-2025 by Projects'!$A$7:$V$15</definedName>
    <definedName name="_xlnm._FilterDatabase" localSheetId="9" hidden="1">pip_project!$A$7:$AB$29</definedName>
    <definedName name="_xlnm._FilterDatabase" localSheetId="4" hidden="1">'pip_project (2)'!$A$5:$AH$26</definedName>
    <definedName name="_xlnm._FilterDatabase" localSheetId="5" hidden="1">'pip_project (3)'!$A$1:$AG$22</definedName>
    <definedName name="_xlnm._FilterDatabase" localSheetId="1" hidden="1">'PIP-Status 2017-18 '!$A$9:$Y$343</definedName>
    <definedName name="_xlnm.Print_Area" localSheetId="2">'PIP 2019 by Fund-status'!$B$1:$R$123</definedName>
    <definedName name="_xlnm.Print_Area" localSheetId="3">'PIP 2019-2021 by BEs'!$A$1:$R$132</definedName>
    <definedName name="_xlnm.Print_Area" localSheetId="11">'PIP 2023-2025 by BEs'!$A$1:$R$35</definedName>
    <definedName name="_xlnm.Print_Area" localSheetId="12">'PIP 2023-2025 by BEs (riel)'!$A$1:$R$35</definedName>
    <definedName name="_xlnm.Print_Area" localSheetId="13">'PIP 2023-2025 by grading'!$B$1:$H$27</definedName>
    <definedName name="_xlnm.Print_Area" localSheetId="10">'PIP 2023-2025 by Projects'!$B$1:$R$21</definedName>
    <definedName name="_xlnm.Print_Area" localSheetId="9">pip_project!$A$1:$X$34</definedName>
    <definedName name="_xlnm.Print_Area" localSheetId="4">'pip_project (2)'!$A$1:$AC$31</definedName>
    <definedName name="_xlnm.Print_Area" localSheetId="5">'pip_project (3)'!$A$1:$AB$27</definedName>
    <definedName name="_xlnm.Print_Area" localSheetId="0">'PIP-Status 2017 (2)'!$A$1:$U$342</definedName>
    <definedName name="_xlnm.Print_Area" localSheetId="1">'PIP-Status 2017-18 '!$A$1:$U$347</definedName>
    <definedName name="_xlnm.Print_Titles" localSheetId="2">'PIP 2019 by Fund-status'!$6:$9</definedName>
    <definedName name="_xlnm.Print_Titles" localSheetId="3">'PIP 2019-2021 by BEs'!$5:$8</definedName>
    <definedName name="_xlnm.Print_Titles" localSheetId="11">'PIP 2023-2025 by BEs'!$5:$8</definedName>
    <definedName name="_xlnm.Print_Titles" localSheetId="12">'PIP 2023-2025 by BEs (riel)'!$5:$8</definedName>
    <definedName name="_xlnm.Print_Titles" localSheetId="13">'PIP 2023-2025 by grading'!$6:$9</definedName>
    <definedName name="_xlnm.Print_Titles" localSheetId="10">'PIP 2023-2025 by Projects'!$5:$8</definedName>
    <definedName name="_xlnm.Print_Titles" localSheetId="9">pip_project!$5:$7</definedName>
    <definedName name="_xlnm.Print_Titles" localSheetId="4">'pip_project (2)'!$5:$5</definedName>
    <definedName name="_xlnm.Print_Titles" localSheetId="5">'pip_project (3)'!$1:$1</definedName>
    <definedName name="_xlnm.Print_Titles" localSheetId="0">'PIP-Status 2017 (2)'!$A:$A,'PIP-Status 2017 (2)'!$7:$9</definedName>
    <definedName name="_xlnm.Print_Titles" localSheetId="1">'PIP-Status 2017-18 '!$A:$A,'PIP-Status 2017-18 '!$7:$9</definedName>
  </definedNames>
  <calcPr calcId="191029"/>
</workbook>
</file>

<file path=xl/calcChain.xml><?xml version="1.0" encoding="utf-8"?>
<calcChain xmlns="http://schemas.openxmlformats.org/spreadsheetml/2006/main">
  <c r="J16" i="36" l="1"/>
  <c r="J13" i="36"/>
  <c r="J9" i="36"/>
  <c r="J7" i="36"/>
  <c r="R21" i="39"/>
  <c r="V21" i="39"/>
  <c r="W21" i="39"/>
  <c r="X21" i="39"/>
  <c r="Y21" i="39"/>
  <c r="R22" i="39"/>
  <c r="V22" i="39"/>
  <c r="W22" i="39"/>
  <c r="X22" i="39"/>
  <c r="Y22" i="39"/>
  <c r="R14" i="39"/>
  <c r="V14" i="39"/>
  <c r="W14" i="39"/>
  <c r="X14" i="39"/>
  <c r="Y14" i="39"/>
  <c r="AG14" i="39"/>
  <c r="R15" i="39"/>
  <c r="V15" i="39"/>
  <c r="W15" i="39"/>
  <c r="X15" i="39"/>
  <c r="Y15" i="39"/>
  <c r="R16" i="39"/>
  <c r="V16" i="39"/>
  <c r="W16" i="39"/>
  <c r="X16" i="39"/>
  <c r="Y16" i="39"/>
  <c r="R17" i="39"/>
  <c r="V17" i="39"/>
  <c r="W17" i="39"/>
  <c r="X17" i="39"/>
  <c r="Y17" i="39"/>
  <c r="R18" i="39"/>
  <c r="V18" i="39"/>
  <c r="W18" i="39"/>
  <c r="X18" i="39"/>
  <c r="Y18" i="39"/>
  <c r="R19" i="39"/>
  <c r="V19" i="39"/>
  <c r="W19" i="39"/>
  <c r="X19" i="39"/>
  <c r="Y19" i="39"/>
  <c r="C11" i="39"/>
  <c r="I11" i="39"/>
  <c r="D12" i="39"/>
  <c r="I12" i="39"/>
  <c r="C8" i="39"/>
  <c r="I8" i="39"/>
  <c r="D9" i="39"/>
  <c r="I9" i="39"/>
  <c r="O9" i="39"/>
  <c r="O8" i="39" s="1"/>
  <c r="P9" i="39"/>
  <c r="P8" i="39" s="1"/>
  <c r="Q9" i="39"/>
  <c r="Q8" i="39" s="1"/>
  <c r="S9" i="39"/>
  <c r="S8" i="39" s="1"/>
  <c r="T9" i="39"/>
  <c r="T8" i="39" s="1"/>
  <c r="U9" i="39"/>
  <c r="U8" i="39" s="1"/>
  <c r="D5" i="39"/>
  <c r="I5" i="39"/>
  <c r="O5" i="39"/>
  <c r="P5" i="39"/>
  <c r="Q5" i="39"/>
  <c r="S5" i="39"/>
  <c r="T5" i="39"/>
  <c r="U5" i="39"/>
  <c r="V5" i="39"/>
  <c r="C2" i="39"/>
  <c r="I2" i="39"/>
  <c r="AG2" i="39"/>
  <c r="D3" i="39"/>
  <c r="I3" i="39"/>
  <c r="O3" i="39"/>
  <c r="P3" i="39"/>
  <c r="Q3" i="39"/>
  <c r="Q2" i="39" s="1"/>
  <c r="S3" i="39"/>
  <c r="T3" i="39"/>
  <c r="U3" i="39"/>
  <c r="Y20" i="39"/>
  <c r="X20" i="39"/>
  <c r="U20" i="39"/>
  <c r="T20" i="39"/>
  <c r="S20" i="39"/>
  <c r="Q20" i="39"/>
  <c r="P20" i="39"/>
  <c r="O20" i="39"/>
  <c r="U13" i="39"/>
  <c r="U12" i="39" s="1"/>
  <c r="U11" i="39" s="1"/>
  <c r="T13" i="39"/>
  <c r="S13" i="39"/>
  <c r="Q13" i="39"/>
  <c r="P13" i="39"/>
  <c r="O13" i="39"/>
  <c r="Y10" i="39"/>
  <c r="Y9" i="39" s="1"/>
  <c r="Y8" i="39" s="1"/>
  <c r="X10" i="39"/>
  <c r="X9" i="39" s="1"/>
  <c r="X8" i="39" s="1"/>
  <c r="W10" i="39"/>
  <c r="W9" i="39" s="1"/>
  <c r="W8" i="39" s="1"/>
  <c r="V10" i="39"/>
  <c r="R10" i="39"/>
  <c r="Y7" i="39"/>
  <c r="X7" i="39"/>
  <c r="W7" i="39"/>
  <c r="V7" i="39"/>
  <c r="R7" i="39"/>
  <c r="Y6" i="39"/>
  <c r="X6" i="39"/>
  <c r="W6" i="39"/>
  <c r="V6" i="39"/>
  <c r="R6" i="39"/>
  <c r="Y4" i="39"/>
  <c r="Y3" i="39" s="1"/>
  <c r="X4" i="39"/>
  <c r="X3" i="39" s="1"/>
  <c r="W4" i="39"/>
  <c r="W3" i="39" s="1"/>
  <c r="V4" i="39"/>
  <c r="R4" i="39"/>
  <c r="Z26" i="36"/>
  <c r="Y26" i="36"/>
  <c r="X26" i="36"/>
  <c r="W26" i="36"/>
  <c r="S26" i="36"/>
  <c r="Z25" i="36"/>
  <c r="Y25" i="36"/>
  <c r="X25" i="36"/>
  <c r="W25" i="36"/>
  <c r="S25" i="36"/>
  <c r="V24" i="36"/>
  <c r="U24" i="36"/>
  <c r="T24" i="36"/>
  <c r="R24" i="36"/>
  <c r="Q24" i="36"/>
  <c r="P24" i="36"/>
  <c r="Z23" i="36"/>
  <c r="Y23" i="36"/>
  <c r="X23" i="36"/>
  <c r="W23" i="36"/>
  <c r="S23" i="36"/>
  <c r="Z22" i="36"/>
  <c r="Y22" i="36"/>
  <c r="X22" i="36"/>
  <c r="W22" i="36"/>
  <c r="S22" i="36"/>
  <c r="Z21" i="36"/>
  <c r="Y21" i="36"/>
  <c r="X21" i="36"/>
  <c r="W21" i="36"/>
  <c r="S21" i="36"/>
  <c r="Z20" i="36"/>
  <c r="Y20" i="36"/>
  <c r="X20" i="36"/>
  <c r="W20" i="36"/>
  <c r="S20" i="36"/>
  <c r="Z19" i="36"/>
  <c r="Y19" i="36"/>
  <c r="X19" i="36"/>
  <c r="W19" i="36"/>
  <c r="S19" i="36"/>
  <c r="AH18" i="36"/>
  <c r="Z18" i="36"/>
  <c r="Y18" i="36"/>
  <c r="X18" i="36"/>
  <c r="W18" i="36"/>
  <c r="S18" i="36"/>
  <c r="V17" i="36"/>
  <c r="U17" i="36"/>
  <c r="T17" i="36"/>
  <c r="R17" i="36"/>
  <c r="Q17" i="36"/>
  <c r="P17" i="36"/>
  <c r="D16" i="36"/>
  <c r="J15" i="36"/>
  <c r="C15" i="36"/>
  <c r="Z14" i="36"/>
  <c r="Z13" i="36" s="1"/>
  <c r="Z12" i="36" s="1"/>
  <c r="Y14" i="36"/>
  <c r="Y13" i="36" s="1"/>
  <c r="Y12" i="36" s="1"/>
  <c r="X14" i="36"/>
  <c r="W14" i="36"/>
  <c r="S14" i="36"/>
  <c r="V13" i="36"/>
  <c r="V12" i="36" s="1"/>
  <c r="U13" i="36"/>
  <c r="U12" i="36" s="1"/>
  <c r="T13" i="36"/>
  <c r="T12" i="36" s="1"/>
  <c r="R13" i="36"/>
  <c r="R12" i="36" s="1"/>
  <c r="Q13" i="36"/>
  <c r="Q12" i="36" s="1"/>
  <c r="P13" i="36"/>
  <c r="P12" i="36" s="1"/>
  <c r="D13" i="36"/>
  <c r="J12" i="36"/>
  <c r="C12" i="36"/>
  <c r="Z11" i="36"/>
  <c r="Y11" i="36"/>
  <c r="X11" i="36"/>
  <c r="W11" i="36"/>
  <c r="S11" i="36"/>
  <c r="Z10" i="36"/>
  <c r="Y10" i="36"/>
  <c r="X10" i="36"/>
  <c r="W10" i="36"/>
  <c r="S10" i="36"/>
  <c r="V9" i="36"/>
  <c r="U9" i="36"/>
  <c r="T9" i="36"/>
  <c r="R9" i="36"/>
  <c r="Q9" i="36"/>
  <c r="P9" i="36"/>
  <c r="D9" i="36"/>
  <c r="Z8" i="36"/>
  <c r="Z7" i="36" s="1"/>
  <c r="Y8" i="36"/>
  <c r="Y7" i="36" s="1"/>
  <c r="X8" i="36"/>
  <c r="W8" i="36"/>
  <c r="S8" i="36"/>
  <c r="V7" i="36"/>
  <c r="U7" i="36"/>
  <c r="T7" i="36"/>
  <c r="R7" i="36"/>
  <c r="Q7" i="36"/>
  <c r="P7" i="36"/>
  <c r="D7" i="36"/>
  <c r="AH6" i="36"/>
  <c r="J6" i="36"/>
  <c r="C6" i="36"/>
  <c r="C10" i="35"/>
  <c r="C12" i="35"/>
  <c r="C16" i="35"/>
  <c r="C19" i="35"/>
  <c r="B15" i="35"/>
  <c r="B18" i="35"/>
  <c r="B9" i="35"/>
  <c r="H18" i="35"/>
  <c r="H15" i="35"/>
  <c r="H9" i="35"/>
  <c r="H10" i="35"/>
  <c r="Q6" i="36" l="1"/>
  <c r="Z21" i="39"/>
  <c r="Z19" i="39"/>
  <c r="Z16" i="39"/>
  <c r="T12" i="39"/>
  <c r="T11" i="39" s="1"/>
  <c r="Z17" i="39"/>
  <c r="AC17" i="39" s="1"/>
  <c r="R20" i="39"/>
  <c r="Z3" i="39"/>
  <c r="V20" i="39"/>
  <c r="P12" i="39"/>
  <c r="P11" i="39" s="1"/>
  <c r="X5" i="39"/>
  <c r="X2" i="39" s="1"/>
  <c r="AC16" i="39"/>
  <c r="Z22" i="39"/>
  <c r="AC22" i="39" s="1"/>
  <c r="AC19" i="39"/>
  <c r="Z14" i="39"/>
  <c r="AC14" i="39" s="1"/>
  <c r="O12" i="39"/>
  <c r="O11" i="39" s="1"/>
  <c r="Z18" i="39"/>
  <c r="AC18" i="39" s="1"/>
  <c r="Z15" i="39"/>
  <c r="AC15" i="39" s="1"/>
  <c r="Q12" i="39"/>
  <c r="Q11" i="39" s="1"/>
  <c r="P2" i="39"/>
  <c r="S12" i="39"/>
  <c r="S11" i="39" s="1"/>
  <c r="R3" i="39"/>
  <c r="U2" i="39"/>
  <c r="V9" i="39"/>
  <c r="V8" i="39" s="1"/>
  <c r="Y5" i="39"/>
  <c r="Y2" i="39" s="1"/>
  <c r="T2" i="39"/>
  <c r="W5" i="39"/>
  <c r="W2" i="39" s="1"/>
  <c r="S2" i="39"/>
  <c r="R5" i="39"/>
  <c r="AC21" i="39"/>
  <c r="R2" i="39"/>
  <c r="V3" i="39"/>
  <c r="V2" i="39" s="1"/>
  <c r="Z9" i="39"/>
  <c r="Z8" i="39" s="1"/>
  <c r="R9" i="39"/>
  <c r="O2" i="39"/>
  <c r="Z10" i="39"/>
  <c r="AC10" i="39" s="1"/>
  <c r="Z7" i="39"/>
  <c r="AC7" i="39" s="1"/>
  <c r="R13" i="39"/>
  <c r="Y13" i="39"/>
  <c r="Y12" i="39" s="1"/>
  <c r="Y11" i="39" s="1"/>
  <c r="V13" i="39"/>
  <c r="V12" i="39" s="1"/>
  <c r="V11" i="39" s="1"/>
  <c r="Z4" i="39"/>
  <c r="AC4" i="39" s="1"/>
  <c r="X13" i="39"/>
  <c r="X12" i="39" s="1"/>
  <c r="X11" i="39" s="1"/>
  <c r="Z6" i="39"/>
  <c r="AC6" i="39" s="1"/>
  <c r="W13" i="39"/>
  <c r="W20" i="39"/>
  <c r="V6" i="36"/>
  <c r="V16" i="36"/>
  <c r="V15" i="36" s="1"/>
  <c r="U6" i="36"/>
  <c r="S24" i="36"/>
  <c r="X9" i="36"/>
  <c r="U16" i="36"/>
  <c r="U15" i="36" s="1"/>
  <c r="Q16" i="36"/>
  <c r="Q15" i="36" s="1"/>
  <c r="Y24" i="36"/>
  <c r="AA14" i="36"/>
  <c r="AD14" i="36" s="1"/>
  <c r="T6" i="36"/>
  <c r="S9" i="36"/>
  <c r="S17" i="36"/>
  <c r="S16" i="36" s="1"/>
  <c r="S15" i="36" s="1"/>
  <c r="R6" i="36"/>
  <c r="P16" i="36"/>
  <c r="P15" i="36" s="1"/>
  <c r="AA25" i="36"/>
  <c r="AD25" i="36" s="1"/>
  <c r="W9" i="36"/>
  <c r="R16" i="36"/>
  <c r="R15" i="36" s="1"/>
  <c r="W17" i="36"/>
  <c r="Z17" i="36"/>
  <c r="AA26" i="36"/>
  <c r="AD26" i="36" s="1"/>
  <c r="AA11" i="36"/>
  <c r="AD11" i="36" s="1"/>
  <c r="AA18" i="36"/>
  <c r="AA21" i="36"/>
  <c r="AD21" i="36" s="1"/>
  <c r="AA23" i="36"/>
  <c r="AD23" i="36" s="1"/>
  <c r="Y17" i="36"/>
  <c r="S7" i="36"/>
  <c r="AA8" i="36"/>
  <c r="AD8" i="36" s="1"/>
  <c r="Z9" i="36"/>
  <c r="Z6" i="36" s="1"/>
  <c r="T16" i="36"/>
  <c r="T15" i="36" s="1"/>
  <c r="AA20" i="36"/>
  <c r="AD20" i="36" s="1"/>
  <c r="S13" i="36"/>
  <c r="S12" i="36" s="1"/>
  <c r="AA22" i="36"/>
  <c r="AD22" i="36" s="1"/>
  <c r="W7" i="36"/>
  <c r="W13" i="36"/>
  <c r="W12" i="36" s="1"/>
  <c r="AA19" i="36"/>
  <c r="AD19" i="36" s="1"/>
  <c r="W24" i="36"/>
  <c r="P6" i="36"/>
  <c r="X7" i="36"/>
  <c r="Y9" i="36"/>
  <c r="Y6" i="36" s="1"/>
  <c r="AA10" i="36"/>
  <c r="AD10" i="36" s="1"/>
  <c r="X13" i="36"/>
  <c r="X17" i="36"/>
  <c r="X24" i="36"/>
  <c r="Z24" i="36"/>
  <c r="H19" i="35"/>
  <c r="H16" i="35"/>
  <c r="H12" i="35"/>
  <c r="AC3" i="39" l="1"/>
  <c r="R12" i="39"/>
  <c r="R11" i="39" s="1"/>
  <c r="W12" i="39"/>
  <c r="W11" i="39" s="1"/>
  <c r="Z5" i="39"/>
  <c r="Z2" i="39" s="1"/>
  <c r="AC2" i="39" s="1"/>
  <c r="R8" i="39"/>
  <c r="AC8" i="39" s="1"/>
  <c r="AC9" i="39"/>
  <c r="Z13" i="39"/>
  <c r="Z20" i="39"/>
  <c r="AC20" i="39" s="1"/>
  <c r="S6" i="36"/>
  <c r="AA9" i="36"/>
  <c r="AD9" i="36" s="1"/>
  <c r="AA24" i="36"/>
  <c r="AD24" i="36" s="1"/>
  <c r="Y16" i="36"/>
  <c r="Y15" i="36" s="1"/>
  <c r="Z16" i="36"/>
  <c r="Z15" i="36" s="1"/>
  <c r="W16" i="36"/>
  <c r="W15" i="36" s="1"/>
  <c r="AA17" i="36"/>
  <c r="W6" i="36"/>
  <c r="AD18" i="36"/>
  <c r="X16" i="36"/>
  <c r="X15" i="36" s="1"/>
  <c r="X12" i="36"/>
  <c r="AA13" i="36"/>
  <c r="AA7" i="36"/>
  <c r="X6" i="36"/>
  <c r="V29" i="35"/>
  <c r="U29" i="35"/>
  <c r="T29" i="35"/>
  <c r="S29" i="35"/>
  <c r="O29" i="35"/>
  <c r="V28" i="35"/>
  <c r="U28" i="35"/>
  <c r="T28" i="35"/>
  <c r="S28" i="35"/>
  <c r="O28" i="35"/>
  <c r="R27" i="35"/>
  <c r="Q27" i="35"/>
  <c r="P27" i="35"/>
  <c r="N27" i="35"/>
  <c r="M27" i="35"/>
  <c r="L27" i="35"/>
  <c r="V26" i="35"/>
  <c r="U26" i="35"/>
  <c r="T26" i="35"/>
  <c r="S26" i="35"/>
  <c r="O26" i="35"/>
  <c r="V25" i="35"/>
  <c r="U25" i="35"/>
  <c r="T25" i="35"/>
  <c r="S25" i="35"/>
  <c r="O25" i="35"/>
  <c r="V24" i="35"/>
  <c r="U24" i="35"/>
  <c r="T24" i="35"/>
  <c r="S24" i="35"/>
  <c r="O24" i="35"/>
  <c r="V23" i="35"/>
  <c r="U23" i="35"/>
  <c r="T23" i="35"/>
  <c r="S23" i="35"/>
  <c r="O23" i="35"/>
  <c r="V22" i="35"/>
  <c r="U22" i="35"/>
  <c r="T22" i="35"/>
  <c r="S22" i="35"/>
  <c r="O22" i="35"/>
  <c r="AC21" i="35"/>
  <c r="V21" i="35"/>
  <c r="U21" i="35"/>
  <c r="T21" i="35"/>
  <c r="S21" i="35"/>
  <c r="O21" i="35"/>
  <c r="R20" i="35"/>
  <c r="Q20" i="35"/>
  <c r="P20" i="35"/>
  <c r="N20" i="35"/>
  <c r="M20" i="35"/>
  <c r="L20" i="35"/>
  <c r="V17" i="35"/>
  <c r="U17" i="35"/>
  <c r="U16" i="35" s="1"/>
  <c r="U15" i="35" s="1"/>
  <c r="T17" i="35"/>
  <c r="T16" i="35" s="1"/>
  <c r="S17" i="35"/>
  <c r="O17" i="35"/>
  <c r="R16" i="35"/>
  <c r="R15" i="35" s="1"/>
  <c r="Q16" i="35"/>
  <c r="Q15" i="35" s="1"/>
  <c r="P16" i="35"/>
  <c r="P15" i="35" s="1"/>
  <c r="N16" i="35"/>
  <c r="N15" i="35" s="1"/>
  <c r="M16" i="35"/>
  <c r="L16" i="35"/>
  <c r="L15" i="35" s="1"/>
  <c r="V14" i="35"/>
  <c r="U14" i="35"/>
  <c r="T14" i="35"/>
  <c r="S14" i="35"/>
  <c r="O14" i="35"/>
  <c r="V13" i="35"/>
  <c r="U13" i="35"/>
  <c r="T13" i="35"/>
  <c r="S13" i="35"/>
  <c r="O13" i="35"/>
  <c r="R12" i="35"/>
  <c r="Q12" i="35"/>
  <c r="P12" i="35"/>
  <c r="N12" i="35"/>
  <c r="M12" i="35"/>
  <c r="L12" i="35"/>
  <c r="V11" i="35"/>
  <c r="V10" i="35" s="1"/>
  <c r="U11" i="35"/>
  <c r="U10" i="35" s="1"/>
  <c r="T11" i="35"/>
  <c r="S11" i="35"/>
  <c r="O11" i="35"/>
  <c r="R10" i="35"/>
  <c r="Q10" i="35"/>
  <c r="P10" i="35"/>
  <c r="N10" i="35"/>
  <c r="M10" i="35"/>
  <c r="L10" i="35"/>
  <c r="AC9" i="35"/>
  <c r="Y7" i="35"/>
  <c r="P12" i="24"/>
  <c r="H29" i="34"/>
  <c r="H28" i="34" s="1"/>
  <c r="G30" i="34"/>
  <c r="O30" i="34" s="1"/>
  <c r="G29" i="34"/>
  <c r="F30" i="34"/>
  <c r="F29" i="34"/>
  <c r="H22" i="34"/>
  <c r="P22" i="34" s="1"/>
  <c r="G23" i="34"/>
  <c r="O23" i="34" s="1"/>
  <c r="G22" i="34"/>
  <c r="O22" i="34" s="1"/>
  <c r="F27" i="34"/>
  <c r="I27" i="34" s="1"/>
  <c r="F26" i="34"/>
  <c r="F25" i="34"/>
  <c r="I25" i="34" s="1"/>
  <c r="F24" i="34"/>
  <c r="I24" i="34" s="1"/>
  <c r="F23" i="34"/>
  <c r="F22" i="34"/>
  <c r="N22" i="34" s="1"/>
  <c r="H18" i="34"/>
  <c r="G18" i="34"/>
  <c r="O18" i="34" s="1"/>
  <c r="O17" i="34" s="1"/>
  <c r="O16" i="34" s="1"/>
  <c r="F18" i="34"/>
  <c r="N18" i="34" s="1"/>
  <c r="H15" i="34"/>
  <c r="G15" i="34"/>
  <c r="F15" i="34"/>
  <c r="H14" i="34"/>
  <c r="G14" i="34"/>
  <c r="O14" i="34" s="1"/>
  <c r="F14" i="34"/>
  <c r="N14" i="34" s="1"/>
  <c r="H12" i="34"/>
  <c r="G12" i="34"/>
  <c r="F12" i="34"/>
  <c r="F11" i="34"/>
  <c r="S28" i="24"/>
  <c r="S21" i="24"/>
  <c r="P30" i="34"/>
  <c r="N30" i="34"/>
  <c r="M30" i="34"/>
  <c r="P29" i="34"/>
  <c r="O29" i="34"/>
  <c r="N29" i="34"/>
  <c r="M29" i="34"/>
  <c r="P28" i="34"/>
  <c r="M28" i="34"/>
  <c r="L28" i="34"/>
  <c r="K28" i="34"/>
  <c r="J28" i="34"/>
  <c r="P27" i="34"/>
  <c r="O27" i="34"/>
  <c r="M27" i="34"/>
  <c r="P26" i="34"/>
  <c r="O26" i="34"/>
  <c r="N26" i="34"/>
  <c r="M26" i="34"/>
  <c r="I26" i="34"/>
  <c r="P25" i="34"/>
  <c r="O25" i="34"/>
  <c r="M25" i="34"/>
  <c r="P24" i="34"/>
  <c r="O24" i="34"/>
  <c r="M24" i="34"/>
  <c r="P23" i="34"/>
  <c r="N23" i="34"/>
  <c r="M23" i="34"/>
  <c r="W22" i="34"/>
  <c r="M22" i="34"/>
  <c r="M21" i="34" s="1"/>
  <c r="M20" i="34" s="1"/>
  <c r="M19" i="34" s="1"/>
  <c r="L21" i="34"/>
  <c r="K21" i="34"/>
  <c r="K20" i="34" s="1"/>
  <c r="K19" i="34" s="1"/>
  <c r="J21" i="34"/>
  <c r="J20" i="34" s="1"/>
  <c r="J19" i="34" s="1"/>
  <c r="L20" i="34"/>
  <c r="L19" i="34" s="1"/>
  <c r="P18" i="34"/>
  <c r="P17" i="34" s="1"/>
  <c r="P16" i="34" s="1"/>
  <c r="M18" i="34"/>
  <c r="M17" i="34"/>
  <c r="M16" i="34" s="1"/>
  <c r="L17" i="34"/>
  <c r="L16" i="34" s="1"/>
  <c r="L9" i="34" s="1"/>
  <c r="K17" i="34"/>
  <c r="J17" i="34"/>
  <c r="H17" i="34"/>
  <c r="H16" i="34" s="1"/>
  <c r="F17" i="34"/>
  <c r="K16" i="34"/>
  <c r="J16" i="34"/>
  <c r="F16" i="34"/>
  <c r="P15" i="34"/>
  <c r="O15" i="34"/>
  <c r="N15" i="34"/>
  <c r="M15" i="34"/>
  <c r="P14" i="34"/>
  <c r="M14" i="34"/>
  <c r="M13" i="34"/>
  <c r="L13" i="34"/>
  <c r="K13" i="34"/>
  <c r="J13" i="34"/>
  <c r="H13" i="34"/>
  <c r="P12" i="34"/>
  <c r="O12" i="34"/>
  <c r="O11" i="34" s="1"/>
  <c r="M12" i="34"/>
  <c r="P11" i="34"/>
  <c r="M11" i="34"/>
  <c r="M10" i="34" s="1"/>
  <c r="L11" i="34"/>
  <c r="K11" i="34"/>
  <c r="J11" i="34"/>
  <c r="J10" i="34" s="1"/>
  <c r="J9" i="34" s="1"/>
  <c r="H11" i="34"/>
  <c r="G11" i="34"/>
  <c r="W10" i="34"/>
  <c r="L10" i="34"/>
  <c r="K10" i="34"/>
  <c r="S8" i="34"/>
  <c r="S7" i="34"/>
  <c r="B21" i="32"/>
  <c r="L21" i="24"/>
  <c r="K21" i="24"/>
  <c r="J21" i="24"/>
  <c r="H21" i="24"/>
  <c r="G21" i="24"/>
  <c r="F21" i="24"/>
  <c r="L28" i="24"/>
  <c r="K28" i="24"/>
  <c r="J28" i="24"/>
  <c r="H28" i="24"/>
  <c r="G28" i="24"/>
  <c r="F28" i="24"/>
  <c r="AC5" i="39" l="1"/>
  <c r="AC13" i="39"/>
  <c r="Z12" i="39"/>
  <c r="AA16" i="36"/>
  <c r="AA15" i="36" s="1"/>
  <c r="AD15" i="36" s="1"/>
  <c r="AD17" i="36"/>
  <c r="AA6" i="36"/>
  <c r="AD6" i="36" s="1"/>
  <c r="AD7" i="36"/>
  <c r="AA12" i="36"/>
  <c r="AD12" i="36" s="1"/>
  <c r="AD13" i="36"/>
  <c r="O27" i="35"/>
  <c r="Q19" i="35"/>
  <c r="Q18" i="35" s="1"/>
  <c r="S27" i="35"/>
  <c r="W24" i="35"/>
  <c r="Y24" i="35" s="1"/>
  <c r="U27" i="35"/>
  <c r="L19" i="35"/>
  <c r="L18" i="35" s="1"/>
  <c r="V27" i="35"/>
  <c r="S12" i="35"/>
  <c r="M19" i="35"/>
  <c r="M18" i="35" s="1"/>
  <c r="O16" i="35"/>
  <c r="O15" i="35" s="1"/>
  <c r="N9" i="35"/>
  <c r="P9" i="35"/>
  <c r="Q9" i="35"/>
  <c r="U12" i="35"/>
  <c r="U9" i="35" s="1"/>
  <c r="N19" i="35"/>
  <c r="N18" i="35" s="1"/>
  <c r="P19" i="35"/>
  <c r="P18" i="35" s="1"/>
  <c r="R19" i="35"/>
  <c r="R18" i="35" s="1"/>
  <c r="W29" i="35"/>
  <c r="Y29" i="35" s="1"/>
  <c r="W21" i="35"/>
  <c r="Y21" i="35" s="1"/>
  <c r="W25" i="35"/>
  <c r="Y25" i="35" s="1"/>
  <c r="L9" i="35"/>
  <c r="W11" i="35"/>
  <c r="Y11" i="35" s="1"/>
  <c r="W14" i="35"/>
  <c r="Y14" i="35" s="1"/>
  <c r="O20" i="35"/>
  <c r="W23" i="35"/>
  <c r="Y23" i="35" s="1"/>
  <c r="T27" i="35"/>
  <c r="W28" i="35"/>
  <c r="Y28" i="35" s="1"/>
  <c r="R9" i="35"/>
  <c r="W22" i="35"/>
  <c r="Y22" i="35" s="1"/>
  <c r="S20" i="35"/>
  <c r="M9" i="35"/>
  <c r="T12" i="35"/>
  <c r="W17" i="35"/>
  <c r="Y17" i="35" s="1"/>
  <c r="W13" i="35"/>
  <c r="Y13" i="35" s="1"/>
  <c r="S16" i="35"/>
  <c r="S15" i="35" s="1"/>
  <c r="V20" i="35"/>
  <c r="T20" i="35"/>
  <c r="T15" i="35"/>
  <c r="V12" i="35"/>
  <c r="V9" i="35" s="1"/>
  <c r="V16" i="35"/>
  <c r="V15" i="35" s="1"/>
  <c r="O12" i="35"/>
  <c r="T10" i="35"/>
  <c r="M15" i="35"/>
  <c r="W26" i="35"/>
  <c r="Y26" i="35" s="1"/>
  <c r="S10" i="35"/>
  <c r="O10" i="35"/>
  <c r="U20" i="35"/>
  <c r="Q30" i="34"/>
  <c r="I30" i="34"/>
  <c r="O28" i="34"/>
  <c r="G28" i="34"/>
  <c r="I29" i="34"/>
  <c r="Q29" i="34"/>
  <c r="S29" i="34" s="1"/>
  <c r="I28" i="34"/>
  <c r="F28" i="34"/>
  <c r="H21" i="34"/>
  <c r="H20" i="34" s="1"/>
  <c r="H19" i="34" s="1"/>
  <c r="Q23" i="34"/>
  <c r="I23" i="34"/>
  <c r="O21" i="34"/>
  <c r="O20" i="34" s="1"/>
  <c r="O19" i="34" s="1"/>
  <c r="I22" i="34"/>
  <c r="G21" i="34"/>
  <c r="N27" i="34"/>
  <c r="Q27" i="34" s="1"/>
  <c r="S27" i="34" s="1"/>
  <c r="Q26" i="34"/>
  <c r="S26" i="34" s="1"/>
  <c r="N25" i="34"/>
  <c r="Q25" i="34" s="1"/>
  <c r="S25" i="34" s="1"/>
  <c r="N24" i="34"/>
  <c r="Q24" i="34" s="1"/>
  <c r="S24" i="34" s="1"/>
  <c r="I21" i="34"/>
  <c r="I20" i="34" s="1"/>
  <c r="I19" i="34" s="1"/>
  <c r="Q22" i="34"/>
  <c r="S22" i="34" s="1"/>
  <c r="F21" i="34"/>
  <c r="F20" i="34" s="1"/>
  <c r="F19" i="34" s="1"/>
  <c r="G17" i="34"/>
  <c r="G16" i="34" s="1"/>
  <c r="Q18" i="34"/>
  <c r="I18" i="34"/>
  <c r="H10" i="34"/>
  <c r="O13" i="34"/>
  <c r="Q15" i="34"/>
  <c r="I15" i="34"/>
  <c r="S15" i="34" s="1"/>
  <c r="F13" i="34"/>
  <c r="P13" i="34"/>
  <c r="I14" i="34"/>
  <c r="G13" i="34"/>
  <c r="G10" i="34" s="1"/>
  <c r="O10" i="34"/>
  <c r="Q14" i="34"/>
  <c r="H9" i="34"/>
  <c r="P10" i="34"/>
  <c r="I12" i="34"/>
  <c r="F10" i="34"/>
  <c r="I11" i="34"/>
  <c r="N12" i="34"/>
  <c r="Q12" i="34" s="1"/>
  <c r="K9" i="34"/>
  <c r="M9" i="34" s="1"/>
  <c r="S30" i="34"/>
  <c r="P21" i="34"/>
  <c r="P20" i="34" s="1"/>
  <c r="P19" i="34" s="1"/>
  <c r="N28" i="34"/>
  <c r="N13" i="34"/>
  <c r="Q13" i="34" s="1"/>
  <c r="N17" i="34"/>
  <c r="L20" i="24"/>
  <c r="L19" i="24" s="1"/>
  <c r="G20" i="24"/>
  <c r="G19" i="24" s="1"/>
  <c r="H20" i="24"/>
  <c r="H19" i="24" s="1"/>
  <c r="K20" i="24"/>
  <c r="K19" i="24" s="1"/>
  <c r="F20" i="24"/>
  <c r="F19" i="24" s="1"/>
  <c r="J20" i="24"/>
  <c r="J19" i="24" s="1"/>
  <c r="Z11" i="39" l="1"/>
  <c r="AC11" i="39" s="1"/>
  <c r="AC12" i="39"/>
  <c r="AD16" i="36"/>
  <c r="Q8" i="35"/>
  <c r="S19" i="35"/>
  <c r="S18" i="35" s="1"/>
  <c r="M8" i="35"/>
  <c r="S9" i="35"/>
  <c r="V19" i="35"/>
  <c r="V18" i="35" s="1"/>
  <c r="V8" i="35" s="1"/>
  <c r="O19" i="35"/>
  <c r="O18" i="35" s="1"/>
  <c r="R8" i="35"/>
  <c r="U19" i="35"/>
  <c r="U18" i="35" s="1"/>
  <c r="U8" i="35" s="1"/>
  <c r="N8" i="35"/>
  <c r="W27" i="35"/>
  <c r="Y27" i="35" s="1"/>
  <c r="L8" i="35"/>
  <c r="P8" i="35"/>
  <c r="W20" i="35"/>
  <c r="T19" i="35"/>
  <c r="T18" i="35" s="1"/>
  <c r="W16" i="35"/>
  <c r="W15" i="35" s="1"/>
  <c r="Y15" i="35" s="1"/>
  <c r="W10" i="35"/>
  <c r="Y10" i="35" s="1"/>
  <c r="T9" i="35"/>
  <c r="O9" i="35"/>
  <c r="W12" i="35"/>
  <c r="Y12" i="35" s="1"/>
  <c r="P9" i="34"/>
  <c r="Q28" i="34"/>
  <c r="G20" i="34"/>
  <c r="G19" i="34" s="1"/>
  <c r="O9" i="34"/>
  <c r="S23" i="34"/>
  <c r="N21" i="34"/>
  <c r="N20" i="34"/>
  <c r="N19" i="34" s="1"/>
  <c r="Q21" i="34"/>
  <c r="Q20" i="34" s="1"/>
  <c r="Q19" i="34" s="1"/>
  <c r="S19" i="34" s="1"/>
  <c r="F9" i="34"/>
  <c r="I17" i="34"/>
  <c r="I16" i="34" s="1"/>
  <c r="G9" i="34"/>
  <c r="S18" i="34"/>
  <c r="S14" i="34"/>
  <c r="I13" i="34"/>
  <c r="I10" i="34" s="1"/>
  <c r="S12" i="34"/>
  <c r="N11" i="34"/>
  <c r="N10" i="34" s="1"/>
  <c r="Q17" i="34"/>
  <c r="N16" i="34"/>
  <c r="K5" i="32"/>
  <c r="J5" i="32"/>
  <c r="I5" i="32"/>
  <c r="H5" i="32"/>
  <c r="D5" i="32"/>
  <c r="T8" i="35" l="1"/>
  <c r="W8" i="35" s="1"/>
  <c r="S8" i="35"/>
  <c r="O8" i="35"/>
  <c r="W19" i="35"/>
  <c r="W18" i="35" s="1"/>
  <c r="Y18" i="35" s="1"/>
  <c r="Y20" i="35"/>
  <c r="Y16" i="35"/>
  <c r="W9" i="35"/>
  <c r="Y9" i="35" s="1"/>
  <c r="S20" i="34"/>
  <c r="I9" i="34"/>
  <c r="S13" i="34"/>
  <c r="Q11" i="34"/>
  <c r="Q10" i="34" s="1"/>
  <c r="S10" i="34" s="1"/>
  <c r="Q16" i="34"/>
  <c r="S16" i="34" s="1"/>
  <c r="S17" i="34"/>
  <c r="S11" i="34"/>
  <c r="N9" i="34"/>
  <c r="Q9" i="34" s="1"/>
  <c r="L5" i="32"/>
  <c r="Y8" i="35" l="1"/>
  <c r="Y19" i="35"/>
  <c r="S9" i="34"/>
  <c r="A3" i="30"/>
  <c r="K5" i="30"/>
  <c r="J5" i="30"/>
  <c r="I5" i="30"/>
  <c r="H5" i="30"/>
  <c r="D5" i="30"/>
  <c r="K4" i="30"/>
  <c r="J4" i="30"/>
  <c r="J3" i="30" s="1"/>
  <c r="I4" i="30"/>
  <c r="H4" i="30"/>
  <c r="D4" i="30"/>
  <c r="G3" i="30"/>
  <c r="F3" i="30"/>
  <c r="E3" i="30"/>
  <c r="C3" i="30"/>
  <c r="B3" i="30"/>
  <c r="D16" i="29"/>
  <c r="N18" i="24"/>
  <c r="H3" i="30" l="1"/>
  <c r="D3" i="30"/>
  <c r="L5" i="30"/>
  <c r="L4" i="30"/>
  <c r="I3" i="30"/>
  <c r="L3" i="30" s="1"/>
  <c r="K3" i="30"/>
  <c r="W22" i="24"/>
  <c r="W10" i="24" l="1"/>
  <c r="G15" i="25" l="1"/>
  <c r="G9" i="25" l="1"/>
  <c r="B4" i="32" s="1"/>
  <c r="B3" i="32" s="1"/>
  <c r="D15" i="29"/>
  <c r="D10" i="29" s="1"/>
  <c r="E15" i="29"/>
  <c r="E12" i="29"/>
  <c r="E11" i="29" s="1"/>
  <c r="E10" i="29" s="1"/>
  <c r="D12" i="29"/>
  <c r="D11" i="29" s="1"/>
  <c r="E3" i="28" l="1"/>
  <c r="K5" i="28"/>
  <c r="J5" i="28"/>
  <c r="I5" i="28"/>
  <c r="H5" i="28"/>
  <c r="D5" i="28"/>
  <c r="K4" i="28"/>
  <c r="K3" i="28" s="1"/>
  <c r="J4" i="28"/>
  <c r="I4" i="28"/>
  <c r="H4" i="28"/>
  <c r="D4" i="28"/>
  <c r="J3" i="28"/>
  <c r="G3" i="28"/>
  <c r="F3" i="28"/>
  <c r="C3" i="28"/>
  <c r="B3" i="28"/>
  <c r="A3" i="28"/>
  <c r="L5" i="28" l="1"/>
  <c r="H3" i="28"/>
  <c r="I3" i="28"/>
  <c r="L3" i="28" s="1"/>
  <c r="L4" i="28"/>
  <c r="D3" i="28"/>
  <c r="I26" i="24" l="1"/>
  <c r="M26" i="24"/>
  <c r="N26" i="24"/>
  <c r="O26" i="24"/>
  <c r="P26" i="24"/>
  <c r="Q26" i="24" l="1"/>
  <c r="S26" i="24" s="1"/>
  <c r="I25" i="24"/>
  <c r="P25" i="24"/>
  <c r="O25" i="24"/>
  <c r="N25" i="24"/>
  <c r="M25" i="24"/>
  <c r="Q25" i="24" l="1"/>
  <c r="S25" i="24" s="1"/>
  <c r="O12" i="24"/>
  <c r="B23" i="26" l="1"/>
  <c r="K5" i="26"/>
  <c r="J5" i="26"/>
  <c r="I5" i="26"/>
  <c r="H5" i="26"/>
  <c r="D5" i="26"/>
  <c r="K4" i="26"/>
  <c r="J4" i="26"/>
  <c r="I4" i="26"/>
  <c r="H4" i="26"/>
  <c r="D4" i="26"/>
  <c r="G3" i="26"/>
  <c r="F3" i="26"/>
  <c r="E3" i="26"/>
  <c r="C3" i="26"/>
  <c r="B3" i="26"/>
  <c r="A3" i="26"/>
  <c r="E3" i="23"/>
  <c r="F3" i="23"/>
  <c r="K3" i="26" l="1"/>
  <c r="J3" i="26"/>
  <c r="L4" i="26"/>
  <c r="H3" i="26"/>
  <c r="D3" i="26"/>
  <c r="L5" i="26"/>
  <c r="I3" i="26"/>
  <c r="L3" i="26" s="1"/>
  <c r="N15" i="25"/>
  <c r="P15" i="25"/>
  <c r="O15" i="25"/>
  <c r="P14" i="25"/>
  <c r="O14" i="25"/>
  <c r="P13" i="25"/>
  <c r="O13" i="25"/>
  <c r="P12" i="25"/>
  <c r="O12" i="25"/>
  <c r="P11" i="25"/>
  <c r="O11" i="25"/>
  <c r="P10" i="25"/>
  <c r="O10" i="25"/>
  <c r="N14" i="25"/>
  <c r="N13" i="25"/>
  <c r="N12" i="25"/>
  <c r="N11" i="25"/>
  <c r="N10" i="25"/>
  <c r="M15" i="25"/>
  <c r="M14" i="25"/>
  <c r="M13" i="25"/>
  <c r="M12" i="25"/>
  <c r="M11" i="25"/>
  <c r="M10" i="25"/>
  <c r="I15" i="25"/>
  <c r="I14" i="25"/>
  <c r="I13" i="25"/>
  <c r="I12" i="25"/>
  <c r="I11" i="25"/>
  <c r="I10" i="25"/>
  <c r="L9" i="25"/>
  <c r="G4" i="32" s="1"/>
  <c r="G3" i="32" s="1"/>
  <c r="J9" i="25"/>
  <c r="E4" i="32" s="1"/>
  <c r="H9" i="25"/>
  <c r="C4" i="32" s="1"/>
  <c r="C3" i="32" s="1"/>
  <c r="S8" i="25"/>
  <c r="S7" i="25"/>
  <c r="E3" i="32" l="1"/>
  <c r="Q10" i="25"/>
  <c r="S10" i="25" s="1"/>
  <c r="Q12" i="25"/>
  <c r="Q11" i="25"/>
  <c r="S11" i="25" s="1"/>
  <c r="P9" i="25"/>
  <c r="K4" i="32" s="1"/>
  <c r="K3" i="32" s="1"/>
  <c r="Q14" i="25"/>
  <c r="S14" i="25" s="1"/>
  <c r="Q15" i="25"/>
  <c r="S15" i="25" s="1"/>
  <c r="Q13" i="25"/>
  <c r="S13" i="25" s="1"/>
  <c r="S8" i="24"/>
  <c r="S7" i="24"/>
  <c r="F17" i="24"/>
  <c r="F16" i="24" s="1"/>
  <c r="I18" i="24"/>
  <c r="M18" i="24"/>
  <c r="O18" i="24"/>
  <c r="O17" i="24" s="1"/>
  <c r="O16" i="24" s="1"/>
  <c r="P18" i="24"/>
  <c r="P17" i="24" s="1"/>
  <c r="P16" i="24" s="1"/>
  <c r="G17" i="24"/>
  <c r="G16" i="24" s="1"/>
  <c r="H17" i="24"/>
  <c r="H16" i="24" s="1"/>
  <c r="K9" i="25" l="1"/>
  <c r="S12" i="25"/>
  <c r="F9" i="25"/>
  <c r="Q18" i="24"/>
  <c r="S18" i="24" s="1"/>
  <c r="I17" i="24"/>
  <c r="I16" i="24" s="1"/>
  <c r="N17" i="24"/>
  <c r="N16" i="24" s="1"/>
  <c r="P27" i="24"/>
  <c r="O27" i="24"/>
  <c r="N27" i="24"/>
  <c r="M27" i="24"/>
  <c r="I27" i="24"/>
  <c r="M9" i="25" l="1"/>
  <c r="F4" i="32"/>
  <c r="I9" i="25"/>
  <c r="A4" i="32"/>
  <c r="O9" i="25"/>
  <c r="J4" i="32" s="1"/>
  <c r="J3" i="32" s="1"/>
  <c r="Q27" i="24"/>
  <c r="S27" i="24" s="1"/>
  <c r="F3" i="32" l="1"/>
  <c r="H3" i="32" s="1"/>
  <c r="H4" i="32"/>
  <c r="A3" i="32"/>
  <c r="D3" i="32" s="1"/>
  <c r="D4" i="32"/>
  <c r="N9" i="25"/>
  <c r="Q9" i="25" l="1"/>
  <c r="S9" i="25" s="1"/>
  <c r="I4" i="32"/>
  <c r="I3" i="32" l="1"/>
  <c r="L3" i="32" s="1"/>
  <c r="L4" i="32"/>
  <c r="P30" i="24"/>
  <c r="O30" i="24"/>
  <c r="N30" i="24"/>
  <c r="M30" i="24"/>
  <c r="I30" i="24"/>
  <c r="P29" i="24"/>
  <c r="O29" i="24"/>
  <c r="N29" i="24"/>
  <c r="M29" i="24"/>
  <c r="I29" i="24"/>
  <c r="P24" i="24"/>
  <c r="O24" i="24"/>
  <c r="N24" i="24"/>
  <c r="M24" i="24"/>
  <c r="I24" i="24"/>
  <c r="P23" i="24"/>
  <c r="O23" i="24"/>
  <c r="N23" i="24"/>
  <c r="M23" i="24"/>
  <c r="I23" i="24"/>
  <c r="P22" i="24"/>
  <c r="O22" i="24"/>
  <c r="N22" i="24"/>
  <c r="M22" i="24"/>
  <c r="I22" i="24"/>
  <c r="L17" i="24"/>
  <c r="L16" i="24" s="1"/>
  <c r="K17" i="24"/>
  <c r="K16" i="24" s="1"/>
  <c r="J17" i="24"/>
  <c r="J16" i="24" s="1"/>
  <c r="P15" i="24"/>
  <c r="O15" i="24"/>
  <c r="N15" i="24"/>
  <c r="M15" i="24"/>
  <c r="I15" i="24"/>
  <c r="P14" i="24"/>
  <c r="O14" i="24"/>
  <c r="N14" i="24"/>
  <c r="M14" i="24"/>
  <c r="I14" i="24"/>
  <c r="L13" i="24"/>
  <c r="K13" i="24"/>
  <c r="J13" i="24"/>
  <c r="H13" i="24"/>
  <c r="G13" i="24"/>
  <c r="F13" i="24"/>
  <c r="N12" i="24"/>
  <c r="M12" i="24"/>
  <c r="I12" i="24"/>
  <c r="L11" i="24"/>
  <c r="K11" i="24"/>
  <c r="J11" i="24"/>
  <c r="H11" i="24"/>
  <c r="G11" i="24"/>
  <c r="F11" i="24"/>
  <c r="N28" i="24" l="1"/>
  <c r="I28" i="24"/>
  <c r="P28" i="24"/>
  <c r="O21" i="24"/>
  <c r="I21" i="24"/>
  <c r="P21" i="24"/>
  <c r="M28" i="24"/>
  <c r="M21" i="24"/>
  <c r="N21" i="24"/>
  <c r="N20" i="24" s="1"/>
  <c r="N19" i="24" s="1"/>
  <c r="O28" i="24"/>
  <c r="G10" i="24"/>
  <c r="L10" i="24"/>
  <c r="F10" i="24"/>
  <c r="F9" i="24" s="1"/>
  <c r="K10" i="24"/>
  <c r="H10" i="24"/>
  <c r="J10" i="24"/>
  <c r="M11" i="24"/>
  <c r="P13" i="24"/>
  <c r="Q15" i="24"/>
  <c r="S15" i="24" s="1"/>
  <c r="Q29" i="24"/>
  <c r="M13" i="24"/>
  <c r="Q23" i="24"/>
  <c r="S23" i="24" s="1"/>
  <c r="Q22" i="24"/>
  <c r="O13" i="24"/>
  <c r="I13" i="24"/>
  <c r="I11" i="24"/>
  <c r="Q12" i="24"/>
  <c r="S12" i="24" s="1"/>
  <c r="O11" i="24"/>
  <c r="M17" i="24"/>
  <c r="M16" i="24" s="1"/>
  <c r="Q14" i="24"/>
  <c r="S14" i="24" s="1"/>
  <c r="N11" i="24"/>
  <c r="P11" i="24"/>
  <c r="N13" i="24"/>
  <c r="Q30" i="24"/>
  <c r="S30" i="24" s="1"/>
  <c r="Q17" i="24"/>
  <c r="Q16" i="24" s="1"/>
  <c r="Q24" i="24"/>
  <c r="S24" i="24" s="1"/>
  <c r="K5" i="23"/>
  <c r="J5" i="23"/>
  <c r="I5" i="23"/>
  <c r="K4" i="23"/>
  <c r="J4" i="23"/>
  <c r="I4" i="23"/>
  <c r="P20" i="24" l="1"/>
  <c r="P19" i="24" s="1"/>
  <c r="I20" i="24"/>
  <c r="I19" i="24" s="1"/>
  <c r="O20" i="24"/>
  <c r="O19" i="24" s="1"/>
  <c r="M20" i="24"/>
  <c r="M19" i="24" s="1"/>
  <c r="S29" i="24"/>
  <c r="Q28" i="24"/>
  <c r="S22" i="24"/>
  <c r="Q21" i="24"/>
  <c r="I10" i="24"/>
  <c r="M10" i="24"/>
  <c r="S17" i="24"/>
  <c r="H9" i="24"/>
  <c r="P10" i="24"/>
  <c r="O10" i="24"/>
  <c r="N10" i="24"/>
  <c r="J9" i="24"/>
  <c r="K9" i="24"/>
  <c r="L9" i="24"/>
  <c r="G9" i="24"/>
  <c r="L4" i="23"/>
  <c r="Q13" i="24"/>
  <c r="S13" i="24" s="1"/>
  <c r="Q11" i="24"/>
  <c r="F62" i="16"/>
  <c r="F57" i="16"/>
  <c r="G57" i="16"/>
  <c r="M51" i="18"/>
  <c r="L51" i="18"/>
  <c r="K51" i="18"/>
  <c r="M50" i="18"/>
  <c r="L50" i="18"/>
  <c r="K50" i="18"/>
  <c r="H50" i="18"/>
  <c r="G50" i="18"/>
  <c r="F50" i="18"/>
  <c r="H51" i="18"/>
  <c r="G51" i="18"/>
  <c r="F51" i="18"/>
  <c r="Q20" i="24" l="1"/>
  <c r="Q19" i="24" s="1"/>
  <c r="S11" i="24"/>
  <c r="Q10" i="24"/>
  <c r="S10" i="24" s="1"/>
  <c r="P9" i="24"/>
  <c r="O9" i="24"/>
  <c r="N9" i="24"/>
  <c r="M9" i="24"/>
  <c r="I9" i="24"/>
  <c r="S16" i="24"/>
  <c r="B25" i="23"/>
  <c r="B3" i="23"/>
  <c r="D5" i="23"/>
  <c r="L5" i="23"/>
  <c r="G3" i="23"/>
  <c r="H4" i="23"/>
  <c r="C3" i="23"/>
  <c r="K3" i="23"/>
  <c r="J3" i="23"/>
  <c r="A3" i="23"/>
  <c r="D6" i="21"/>
  <c r="C6" i="21"/>
  <c r="B6" i="21"/>
  <c r="C8" i="21" l="1"/>
  <c r="S19" i="24"/>
  <c r="S20" i="24"/>
  <c r="Q9" i="24"/>
  <c r="S9" i="24" s="1"/>
  <c r="D4" i="23"/>
  <c r="H5" i="23"/>
  <c r="H3" i="23"/>
  <c r="D3" i="23"/>
  <c r="I3" i="23"/>
  <c r="L3" i="23" s="1"/>
  <c r="C6" i="20"/>
  <c r="C8" i="20" s="1"/>
  <c r="B6" i="20"/>
  <c r="D6" i="19"/>
  <c r="C8" i="19" s="1"/>
  <c r="C6" i="19"/>
  <c r="B6" i="19"/>
  <c r="S97" i="16" l="1"/>
  <c r="S96" i="16"/>
  <c r="H88" i="18"/>
  <c r="G88" i="18"/>
  <c r="F88" i="18"/>
  <c r="I89" i="18"/>
  <c r="I88" i="18" l="1"/>
  <c r="S40" i="18"/>
  <c r="S41" i="18"/>
  <c r="S42" i="18"/>
  <c r="I32" i="18" l="1"/>
  <c r="O23" i="16"/>
  <c r="Q114" i="18"/>
  <c r="P114" i="18"/>
  <c r="O114" i="18"/>
  <c r="N114" i="18"/>
  <c r="I114" i="18"/>
  <c r="Q113" i="18"/>
  <c r="P113" i="18"/>
  <c r="O113" i="18"/>
  <c r="N113" i="18"/>
  <c r="I113" i="18"/>
  <c r="M112" i="18"/>
  <c r="L112" i="18"/>
  <c r="K112" i="18"/>
  <c r="H112" i="18"/>
  <c r="G112" i="18"/>
  <c r="F112" i="18"/>
  <c r="Q111" i="18"/>
  <c r="Q108" i="18" s="1"/>
  <c r="P111" i="18"/>
  <c r="O111" i="18"/>
  <c r="N111" i="18"/>
  <c r="I111" i="18"/>
  <c r="Q110" i="18"/>
  <c r="P110" i="18"/>
  <c r="O110" i="18"/>
  <c r="N110" i="18"/>
  <c r="I110" i="18"/>
  <c r="M109" i="18"/>
  <c r="L109" i="18"/>
  <c r="K109" i="18"/>
  <c r="H109" i="18"/>
  <c r="G109" i="18"/>
  <c r="F109" i="18"/>
  <c r="M108" i="18"/>
  <c r="M48" i="18" s="1"/>
  <c r="L108" i="18"/>
  <c r="K108" i="18"/>
  <c r="H108" i="18"/>
  <c r="G108" i="18"/>
  <c r="F108" i="18"/>
  <c r="M107" i="18"/>
  <c r="L107" i="18"/>
  <c r="K107" i="18"/>
  <c r="H107" i="18"/>
  <c r="G107" i="18"/>
  <c r="F107" i="18"/>
  <c r="F47" i="18" s="1"/>
  <c r="D106" i="18"/>
  <c r="Q105" i="18"/>
  <c r="P105" i="18"/>
  <c r="O105" i="18"/>
  <c r="N105" i="18"/>
  <c r="I105" i="18"/>
  <c r="Q104" i="18"/>
  <c r="P104" i="18"/>
  <c r="O104" i="18"/>
  <c r="O103" i="18" s="1"/>
  <c r="N104" i="18"/>
  <c r="I104" i="18"/>
  <c r="M103" i="18"/>
  <c r="L103" i="18"/>
  <c r="K103" i="18"/>
  <c r="H103" i="18"/>
  <c r="G103" i="18"/>
  <c r="F103" i="18"/>
  <c r="Q102" i="18"/>
  <c r="P102" i="18"/>
  <c r="O102" i="18"/>
  <c r="N102" i="18"/>
  <c r="I102" i="18"/>
  <c r="Q101" i="18"/>
  <c r="P101" i="18"/>
  <c r="O101" i="18"/>
  <c r="O100" i="18" s="1"/>
  <c r="N101" i="18"/>
  <c r="I101" i="18"/>
  <c r="M100" i="18"/>
  <c r="L100" i="18"/>
  <c r="K100" i="18"/>
  <c r="H100" i="18"/>
  <c r="G100" i="18"/>
  <c r="F100" i="18"/>
  <c r="Q99" i="18"/>
  <c r="P99" i="18"/>
  <c r="O99" i="18"/>
  <c r="N99" i="18"/>
  <c r="I99" i="18"/>
  <c r="Q98" i="18"/>
  <c r="P98" i="18"/>
  <c r="O98" i="18"/>
  <c r="N98" i="18"/>
  <c r="I98" i="18"/>
  <c r="M97" i="18"/>
  <c r="L97" i="18"/>
  <c r="K97" i="18"/>
  <c r="H97" i="18"/>
  <c r="G97" i="18"/>
  <c r="F97" i="18"/>
  <c r="Q96" i="18"/>
  <c r="P96" i="18"/>
  <c r="O96" i="18"/>
  <c r="N96" i="18"/>
  <c r="I96" i="18"/>
  <c r="Q95" i="18"/>
  <c r="P95" i="18"/>
  <c r="O95" i="18"/>
  <c r="N95" i="18"/>
  <c r="I95" i="18"/>
  <c r="M94" i="18"/>
  <c r="L94" i="18"/>
  <c r="K94" i="18"/>
  <c r="H94" i="18"/>
  <c r="G94" i="18"/>
  <c r="F94" i="18"/>
  <c r="Q93" i="18"/>
  <c r="P93" i="18"/>
  <c r="O93" i="18"/>
  <c r="N93" i="18"/>
  <c r="I93" i="18"/>
  <c r="Q92" i="18"/>
  <c r="P92" i="18"/>
  <c r="O92" i="18"/>
  <c r="O91" i="18" s="1"/>
  <c r="N92" i="18"/>
  <c r="I92" i="18"/>
  <c r="M91" i="18"/>
  <c r="L91" i="18"/>
  <c r="K91" i="18"/>
  <c r="H91" i="18"/>
  <c r="G91" i="18"/>
  <c r="F91" i="18"/>
  <c r="Q90" i="18"/>
  <c r="P90" i="18"/>
  <c r="O90" i="18"/>
  <c r="N90" i="18"/>
  <c r="I90" i="18"/>
  <c r="Q89" i="18"/>
  <c r="P89" i="18"/>
  <c r="O89" i="18"/>
  <c r="O88" i="18" s="1"/>
  <c r="N89" i="18"/>
  <c r="M88" i="18"/>
  <c r="L88" i="18"/>
  <c r="K88" i="18"/>
  <c r="Q87" i="18"/>
  <c r="P87" i="18"/>
  <c r="O87" i="18"/>
  <c r="N87" i="18"/>
  <c r="I87" i="18"/>
  <c r="Q86" i="18"/>
  <c r="P86" i="18"/>
  <c r="O86" i="18"/>
  <c r="N86" i="18"/>
  <c r="I86" i="18"/>
  <c r="M85" i="18"/>
  <c r="L85" i="18"/>
  <c r="K85" i="18"/>
  <c r="H85" i="18"/>
  <c r="G85" i="18"/>
  <c r="F85" i="18"/>
  <c r="Q84" i="18"/>
  <c r="P84" i="18"/>
  <c r="O84" i="18"/>
  <c r="N84" i="18"/>
  <c r="I84" i="18"/>
  <c r="Q83" i="18"/>
  <c r="P83" i="18"/>
  <c r="O83" i="18"/>
  <c r="N83" i="18"/>
  <c r="I83" i="18"/>
  <c r="M82" i="18"/>
  <c r="L82" i="18"/>
  <c r="K82" i="18"/>
  <c r="H82" i="18"/>
  <c r="G82" i="18"/>
  <c r="F82" i="18"/>
  <c r="Q81" i="18"/>
  <c r="P81" i="18"/>
  <c r="O81" i="18"/>
  <c r="N81" i="18"/>
  <c r="I81" i="18"/>
  <c r="Q80" i="18"/>
  <c r="P80" i="18"/>
  <c r="O80" i="18"/>
  <c r="N80" i="18"/>
  <c r="I80" i="18"/>
  <c r="M79" i="18"/>
  <c r="L79" i="18"/>
  <c r="K79" i="18"/>
  <c r="H79" i="18"/>
  <c r="G79" i="18"/>
  <c r="F79" i="18"/>
  <c r="Q78" i="18"/>
  <c r="P78" i="18"/>
  <c r="O78" i="18"/>
  <c r="N78" i="18"/>
  <c r="I78" i="18"/>
  <c r="Q77" i="18"/>
  <c r="P77" i="18"/>
  <c r="O77" i="18"/>
  <c r="O76" i="18" s="1"/>
  <c r="N77" i="18"/>
  <c r="I77" i="18"/>
  <c r="M76" i="18"/>
  <c r="L76" i="18"/>
  <c r="K76" i="18"/>
  <c r="H76" i="18"/>
  <c r="G76" i="18"/>
  <c r="F76" i="18"/>
  <c r="Q75" i="18"/>
  <c r="P75" i="18"/>
  <c r="O75" i="18"/>
  <c r="N75" i="18"/>
  <c r="I75" i="18"/>
  <c r="Q74" i="18"/>
  <c r="P74" i="18"/>
  <c r="O74" i="18"/>
  <c r="O73" i="18" s="1"/>
  <c r="N74" i="18"/>
  <c r="I74" i="18"/>
  <c r="M73" i="18"/>
  <c r="L73" i="18"/>
  <c r="K73" i="18"/>
  <c r="H73" i="18"/>
  <c r="G73" i="18"/>
  <c r="F73" i="18"/>
  <c r="Q72" i="18"/>
  <c r="P72" i="18"/>
  <c r="O72" i="18"/>
  <c r="N72" i="18"/>
  <c r="I72" i="18"/>
  <c r="Q71" i="18"/>
  <c r="P71" i="18"/>
  <c r="O71" i="18"/>
  <c r="N71" i="18"/>
  <c r="I71" i="18"/>
  <c r="M70" i="18"/>
  <c r="L70" i="18"/>
  <c r="K70" i="18"/>
  <c r="H70" i="18"/>
  <c r="G70" i="18"/>
  <c r="F70" i="18"/>
  <c r="Q69" i="18"/>
  <c r="P69" i="18"/>
  <c r="O69" i="18"/>
  <c r="N69" i="18"/>
  <c r="I69" i="18"/>
  <c r="Q68" i="18"/>
  <c r="P68" i="18"/>
  <c r="O68" i="18"/>
  <c r="N68" i="18"/>
  <c r="I68" i="18"/>
  <c r="M67" i="18"/>
  <c r="L67" i="18"/>
  <c r="K67" i="18"/>
  <c r="H67" i="18"/>
  <c r="G67" i="18"/>
  <c r="F67" i="18"/>
  <c r="Q66" i="18"/>
  <c r="P66" i="18"/>
  <c r="O66" i="18"/>
  <c r="N66" i="18"/>
  <c r="I66" i="18"/>
  <c r="Q65" i="18"/>
  <c r="P65" i="18"/>
  <c r="O65" i="18"/>
  <c r="N65" i="18"/>
  <c r="I65" i="18"/>
  <c r="M64" i="18"/>
  <c r="L64" i="18"/>
  <c r="K64" i="18"/>
  <c r="H64" i="18"/>
  <c r="G64" i="18"/>
  <c r="F64" i="18"/>
  <c r="Q63" i="18"/>
  <c r="P63" i="18"/>
  <c r="O63" i="18"/>
  <c r="N63" i="18"/>
  <c r="I63" i="18"/>
  <c r="Q62" i="18"/>
  <c r="P62" i="18"/>
  <c r="O62" i="18"/>
  <c r="N62" i="18"/>
  <c r="I62" i="18"/>
  <c r="M61" i="18"/>
  <c r="L61" i="18"/>
  <c r="K61" i="18"/>
  <c r="H61" i="18"/>
  <c r="G61" i="18"/>
  <c r="F61" i="18"/>
  <c r="Q60" i="18"/>
  <c r="P60" i="18"/>
  <c r="O60" i="18"/>
  <c r="N60" i="18"/>
  <c r="I60" i="18"/>
  <c r="Q59" i="18"/>
  <c r="P59" i="18"/>
  <c r="O59" i="18"/>
  <c r="N59" i="18"/>
  <c r="I59" i="18"/>
  <c r="M58" i="18"/>
  <c r="L58" i="18"/>
  <c r="K58" i="18"/>
  <c r="H58" i="18"/>
  <c r="G58" i="18"/>
  <c r="F58" i="18"/>
  <c r="Q57" i="18"/>
  <c r="P57" i="18"/>
  <c r="O57" i="18"/>
  <c r="N57" i="18"/>
  <c r="I57" i="18"/>
  <c r="Q56" i="18"/>
  <c r="P56" i="18"/>
  <c r="O56" i="18"/>
  <c r="N56" i="18"/>
  <c r="I56" i="18"/>
  <c r="M55" i="18"/>
  <c r="L55" i="18"/>
  <c r="K55" i="18"/>
  <c r="H55" i="18"/>
  <c r="G55" i="18"/>
  <c r="F55" i="18"/>
  <c r="Q54" i="18"/>
  <c r="Q51" i="18" s="1"/>
  <c r="P54" i="18"/>
  <c r="P51" i="18" s="1"/>
  <c r="O54" i="18"/>
  <c r="O51" i="18" s="1"/>
  <c r="N54" i="18"/>
  <c r="I54" i="18"/>
  <c r="Q53" i="18"/>
  <c r="Q50" i="18" s="1"/>
  <c r="P53" i="18"/>
  <c r="O53" i="18"/>
  <c r="O50" i="18" s="1"/>
  <c r="N53" i="18"/>
  <c r="I53" i="18"/>
  <c r="M52" i="18"/>
  <c r="L52" i="18"/>
  <c r="K52" i="18"/>
  <c r="H52" i="18"/>
  <c r="G52" i="18"/>
  <c r="F52" i="18"/>
  <c r="H48" i="18"/>
  <c r="E46" i="18"/>
  <c r="Q45" i="18"/>
  <c r="P45" i="18"/>
  <c r="O45" i="18"/>
  <c r="N45" i="18"/>
  <c r="I45" i="18"/>
  <c r="Q44" i="18"/>
  <c r="Q38" i="18" s="1"/>
  <c r="P44" i="18"/>
  <c r="P38" i="18" s="1"/>
  <c r="O44" i="18"/>
  <c r="N44" i="18"/>
  <c r="I44" i="18"/>
  <c r="M43" i="18"/>
  <c r="L43" i="18"/>
  <c r="K43" i="18"/>
  <c r="H43" i="18"/>
  <c r="G43" i="18"/>
  <c r="F43" i="18"/>
  <c r="Q39" i="18"/>
  <c r="M39" i="18"/>
  <c r="L39" i="18"/>
  <c r="K39" i="18"/>
  <c r="H39" i="18"/>
  <c r="G39" i="18"/>
  <c r="F39" i="18"/>
  <c r="M38" i="18"/>
  <c r="L38" i="18"/>
  <c r="K38" i="18"/>
  <c r="H38" i="18"/>
  <c r="G38" i="18"/>
  <c r="F38" i="18"/>
  <c r="D37" i="18"/>
  <c r="Q36" i="18"/>
  <c r="P36" i="18"/>
  <c r="O36" i="18"/>
  <c r="N36" i="18"/>
  <c r="I36" i="18"/>
  <c r="Q35" i="18"/>
  <c r="P35" i="18"/>
  <c r="O35" i="18"/>
  <c r="N35" i="18"/>
  <c r="I35" i="18"/>
  <c r="M34" i="18"/>
  <c r="L34" i="18"/>
  <c r="K34" i="18"/>
  <c r="H34" i="18"/>
  <c r="G34" i="18"/>
  <c r="F34" i="18"/>
  <c r="Q33" i="18"/>
  <c r="P33" i="18"/>
  <c r="O33" i="18"/>
  <c r="N33" i="18"/>
  <c r="I33" i="18"/>
  <c r="Q32" i="18"/>
  <c r="P32" i="18"/>
  <c r="O32" i="18"/>
  <c r="N32" i="18"/>
  <c r="M31" i="18"/>
  <c r="L31" i="18"/>
  <c r="K31" i="18"/>
  <c r="H31" i="18"/>
  <c r="G31" i="18"/>
  <c r="F31" i="18"/>
  <c r="Q30" i="18"/>
  <c r="P30" i="18"/>
  <c r="O30" i="18"/>
  <c r="N30" i="18"/>
  <c r="I30" i="18"/>
  <c r="Q29" i="18"/>
  <c r="P29" i="18"/>
  <c r="O29" i="18"/>
  <c r="N29" i="18"/>
  <c r="I29" i="18"/>
  <c r="M28" i="18"/>
  <c r="L28" i="18"/>
  <c r="K28" i="18"/>
  <c r="H28" i="18"/>
  <c r="G28" i="18"/>
  <c r="F28" i="18"/>
  <c r="Q27" i="18"/>
  <c r="P27" i="18"/>
  <c r="O27" i="18"/>
  <c r="N27" i="18"/>
  <c r="I27" i="18"/>
  <c r="Q26" i="18"/>
  <c r="P26" i="18"/>
  <c r="O26" i="18"/>
  <c r="N26" i="18"/>
  <c r="I26" i="18"/>
  <c r="M25" i="18"/>
  <c r="L25" i="18"/>
  <c r="K25" i="18"/>
  <c r="H25" i="18"/>
  <c r="G25" i="18"/>
  <c r="F25" i="18"/>
  <c r="Q24" i="18"/>
  <c r="P24" i="18"/>
  <c r="O24" i="18"/>
  <c r="N24" i="18"/>
  <c r="I24" i="18"/>
  <c r="Q23" i="18"/>
  <c r="P23" i="18"/>
  <c r="O23" i="18"/>
  <c r="N23" i="18"/>
  <c r="I23" i="18"/>
  <c r="M22" i="18"/>
  <c r="L22" i="18"/>
  <c r="K22" i="18"/>
  <c r="H22" i="18"/>
  <c r="G22" i="18"/>
  <c r="F22" i="18"/>
  <c r="Q21" i="18"/>
  <c r="P21" i="18"/>
  <c r="O21" i="18"/>
  <c r="N21" i="18"/>
  <c r="I21" i="18"/>
  <c r="Q20" i="18"/>
  <c r="P20" i="18"/>
  <c r="O20" i="18"/>
  <c r="N20" i="18"/>
  <c r="I20" i="18"/>
  <c r="M19" i="18"/>
  <c r="L19" i="18"/>
  <c r="K19" i="18"/>
  <c r="H19" i="18"/>
  <c r="G19" i="18"/>
  <c r="F19" i="18"/>
  <c r="M18" i="18"/>
  <c r="L18" i="18"/>
  <c r="K18" i="18"/>
  <c r="H18" i="18"/>
  <c r="G18" i="18"/>
  <c r="G15" i="18" s="1"/>
  <c r="F18" i="18"/>
  <c r="M17" i="18"/>
  <c r="M14" i="18" s="1"/>
  <c r="L17" i="18"/>
  <c r="K17" i="18"/>
  <c r="H17" i="18"/>
  <c r="G17" i="18"/>
  <c r="F17" i="18"/>
  <c r="D16" i="18"/>
  <c r="P50" i="18" l="1"/>
  <c r="N76" i="18"/>
  <c r="P76" i="18"/>
  <c r="K106" i="18"/>
  <c r="R110" i="18"/>
  <c r="S110" i="18" s="1"/>
  <c r="O109" i="18"/>
  <c r="R36" i="18"/>
  <c r="R75" i="18"/>
  <c r="O61" i="18"/>
  <c r="O55" i="18"/>
  <c r="P19" i="18"/>
  <c r="P22" i="18"/>
  <c r="I28" i="18"/>
  <c r="E28" i="18" s="1"/>
  <c r="P28" i="18"/>
  <c r="Q31" i="18"/>
  <c r="M16" i="18"/>
  <c r="P107" i="18"/>
  <c r="Q48" i="18"/>
  <c r="N64" i="18"/>
  <c r="R105" i="18"/>
  <c r="S105" i="18" s="1"/>
  <c r="O107" i="18"/>
  <c r="N28" i="18"/>
  <c r="M49" i="18"/>
  <c r="O79" i="18"/>
  <c r="G106" i="18"/>
  <c r="M106" i="18"/>
  <c r="P109" i="18"/>
  <c r="D13" i="18"/>
  <c r="M37" i="18"/>
  <c r="R44" i="18"/>
  <c r="S44" i="18" s="1"/>
  <c r="L48" i="18"/>
  <c r="R57" i="18"/>
  <c r="Q58" i="18"/>
  <c r="Q67" i="18"/>
  <c r="Q70" i="18"/>
  <c r="R84" i="18"/>
  <c r="P85" i="18"/>
  <c r="R87" i="18"/>
  <c r="R96" i="18"/>
  <c r="S96" i="18" s="1"/>
  <c r="P97" i="18"/>
  <c r="R99" i="18"/>
  <c r="S99" i="18" s="1"/>
  <c r="N50" i="18"/>
  <c r="R81" i="18"/>
  <c r="Q88" i="18"/>
  <c r="R93" i="18"/>
  <c r="S93" i="18" s="1"/>
  <c r="Q100" i="18"/>
  <c r="P112" i="18"/>
  <c r="Q43" i="18"/>
  <c r="M47" i="18"/>
  <c r="M46" i="18" s="1"/>
  <c r="P61" i="18"/>
  <c r="P67" i="18"/>
  <c r="R69" i="18"/>
  <c r="R72" i="18"/>
  <c r="Q82" i="18"/>
  <c r="Q94" i="18"/>
  <c r="R102" i="18"/>
  <c r="S102" i="18" s="1"/>
  <c r="P103" i="18"/>
  <c r="H106" i="18"/>
  <c r="H16" i="18"/>
  <c r="N43" i="18"/>
  <c r="I22" i="18"/>
  <c r="E22" i="18" s="1"/>
  <c r="R24" i="18"/>
  <c r="P25" i="18"/>
  <c r="I34" i="18"/>
  <c r="E34" i="18" s="1"/>
  <c r="I43" i="18"/>
  <c r="N52" i="18"/>
  <c r="N58" i="18"/>
  <c r="N67" i="18"/>
  <c r="P73" i="18"/>
  <c r="R78" i="18"/>
  <c r="O82" i="18"/>
  <c r="R90" i="18"/>
  <c r="P91" i="18"/>
  <c r="O94" i="18"/>
  <c r="O97" i="18"/>
  <c r="O85" i="18"/>
  <c r="L49" i="18"/>
  <c r="P79" i="18"/>
  <c r="H49" i="18"/>
  <c r="N51" i="18"/>
  <c r="I51" i="18"/>
  <c r="K49" i="18"/>
  <c r="P70" i="18"/>
  <c r="P64" i="18"/>
  <c r="G49" i="18"/>
  <c r="P52" i="18"/>
  <c r="H47" i="18"/>
  <c r="H46" i="18" s="1"/>
  <c r="I50" i="18"/>
  <c r="I52" i="18"/>
  <c r="D52" i="18" s="1"/>
  <c r="G48" i="18"/>
  <c r="N34" i="18"/>
  <c r="P34" i="18"/>
  <c r="O18" i="18"/>
  <c r="L16" i="18"/>
  <c r="P17" i="18"/>
  <c r="P31" i="18"/>
  <c r="O17" i="18"/>
  <c r="O16" i="18" s="1"/>
  <c r="R30" i="18"/>
  <c r="L15" i="18"/>
  <c r="P15" i="18" s="1"/>
  <c r="N25" i="18"/>
  <c r="N18" i="18"/>
  <c r="R27" i="18"/>
  <c r="G16" i="18"/>
  <c r="Q25" i="18"/>
  <c r="L14" i="18"/>
  <c r="R20" i="18"/>
  <c r="S20" i="18" s="1"/>
  <c r="Q19" i="18"/>
  <c r="O58" i="18"/>
  <c r="I25" i="18"/>
  <c r="E25" i="18" s="1"/>
  <c r="R26" i="18"/>
  <c r="S26" i="18" s="1"/>
  <c r="I38" i="18"/>
  <c r="N39" i="18"/>
  <c r="P108" i="18"/>
  <c r="N19" i="18"/>
  <c r="R21" i="18"/>
  <c r="I31" i="18"/>
  <c r="E31" i="18" s="1"/>
  <c r="H14" i="18"/>
  <c r="O38" i="18"/>
  <c r="R38" i="18" s="1"/>
  <c r="H37" i="18"/>
  <c r="G47" i="18"/>
  <c r="F49" i="18"/>
  <c r="N61" i="18"/>
  <c r="O70" i="18"/>
  <c r="N73" i="18"/>
  <c r="Q76" i="18"/>
  <c r="Q79" i="18"/>
  <c r="Q85" i="18"/>
  <c r="Q91" i="18"/>
  <c r="Q97" i="18"/>
  <c r="Q103" i="18"/>
  <c r="N109" i="18"/>
  <c r="I112" i="18"/>
  <c r="F37" i="18"/>
  <c r="Q18" i="18"/>
  <c r="N31" i="18"/>
  <c r="S36" i="18"/>
  <c r="F15" i="18"/>
  <c r="I19" i="18"/>
  <c r="E19" i="18" s="1"/>
  <c r="N22" i="18"/>
  <c r="G37" i="18"/>
  <c r="O43" i="18"/>
  <c r="R66" i="18"/>
  <c r="O67" i="18"/>
  <c r="N70" i="18"/>
  <c r="Q73" i="18"/>
  <c r="I79" i="18"/>
  <c r="D79" i="18" s="1"/>
  <c r="P82" i="18"/>
  <c r="P88" i="18"/>
  <c r="I91" i="18"/>
  <c r="D91" i="18" s="1"/>
  <c r="P94" i="18"/>
  <c r="P100" i="18"/>
  <c r="I103" i="18"/>
  <c r="D103" i="18" s="1"/>
  <c r="M15" i="18"/>
  <c r="M12" i="18" s="1"/>
  <c r="L37" i="18"/>
  <c r="I39" i="18"/>
  <c r="N38" i="18"/>
  <c r="H15" i="18"/>
  <c r="K37" i="18"/>
  <c r="Q37" i="18"/>
  <c r="Q22" i="18"/>
  <c r="R23" i="18"/>
  <c r="S23" i="18" s="1"/>
  <c r="Q17" i="18"/>
  <c r="Q55" i="18"/>
  <c r="I61" i="18"/>
  <c r="D61" i="18" s="1"/>
  <c r="R63" i="18"/>
  <c r="I82" i="18"/>
  <c r="D82" i="18" s="1"/>
  <c r="I107" i="18"/>
  <c r="F106" i="18"/>
  <c r="L47" i="18"/>
  <c r="L106" i="18"/>
  <c r="I108" i="18"/>
  <c r="F48" i="18"/>
  <c r="G14" i="18"/>
  <c r="O25" i="18"/>
  <c r="Q34" i="18"/>
  <c r="R35" i="18"/>
  <c r="S35" i="18" s="1"/>
  <c r="P39" i="18"/>
  <c r="P37" i="18" s="1"/>
  <c r="R45" i="18"/>
  <c r="S45" i="18" s="1"/>
  <c r="I94" i="18"/>
  <c r="D94" i="18" s="1"/>
  <c r="K15" i="18"/>
  <c r="N17" i="18"/>
  <c r="K16" i="18"/>
  <c r="K14" i="18"/>
  <c r="O19" i="18"/>
  <c r="R19" i="18" s="1"/>
  <c r="P18" i="18"/>
  <c r="Q28" i="18"/>
  <c r="R29" i="18"/>
  <c r="S29" i="18" s="1"/>
  <c r="O31" i="18"/>
  <c r="R32" i="18"/>
  <c r="P43" i="18"/>
  <c r="I58" i="18"/>
  <c r="D58" i="18" s="1"/>
  <c r="R60" i="18"/>
  <c r="P58" i="18"/>
  <c r="I64" i="18"/>
  <c r="D64" i="18" s="1"/>
  <c r="I17" i="18"/>
  <c r="F16" i="18"/>
  <c r="F14" i="18"/>
  <c r="I18" i="18"/>
  <c r="R54" i="18"/>
  <c r="R65" i="18"/>
  <c r="S65" i="18" s="1"/>
  <c r="O64" i="18"/>
  <c r="O39" i="18"/>
  <c r="E37" i="18"/>
  <c r="R53" i="18"/>
  <c r="S53" i="18" s="1"/>
  <c r="O52" i="18"/>
  <c r="R62" i="18"/>
  <c r="S62" i="18" s="1"/>
  <c r="R68" i="18"/>
  <c r="S68" i="18" s="1"/>
  <c r="R71" i="18"/>
  <c r="S71" i="18" s="1"/>
  <c r="R74" i="18"/>
  <c r="S74" i="18" s="1"/>
  <c r="R77" i="18"/>
  <c r="S77" i="18" s="1"/>
  <c r="R114" i="18"/>
  <c r="S114" i="18" s="1"/>
  <c r="O112" i="18"/>
  <c r="O108" i="18"/>
  <c r="O22" i="18"/>
  <c r="O28" i="18"/>
  <c r="R33" i="18"/>
  <c r="S33" i="18" s="1"/>
  <c r="O34" i="18"/>
  <c r="K47" i="18"/>
  <c r="O47" i="18" s="1"/>
  <c r="N55" i="18"/>
  <c r="P55" i="18"/>
  <c r="R56" i="18"/>
  <c r="S56" i="18" s="1"/>
  <c r="I67" i="18"/>
  <c r="D67" i="18" s="1"/>
  <c r="I70" i="18"/>
  <c r="D70" i="18" s="1"/>
  <c r="I73" i="18"/>
  <c r="D73" i="18" s="1"/>
  <c r="I76" i="18"/>
  <c r="D76" i="18" s="1"/>
  <c r="D88" i="18"/>
  <c r="I100" i="18"/>
  <c r="D100" i="18" s="1"/>
  <c r="N112" i="18"/>
  <c r="Q112" i="18"/>
  <c r="R113" i="18"/>
  <c r="S113" i="18" s="1"/>
  <c r="I55" i="18"/>
  <c r="D55" i="18" s="1"/>
  <c r="Q61" i="18"/>
  <c r="I85" i="18"/>
  <c r="D85" i="18" s="1"/>
  <c r="I97" i="18"/>
  <c r="D97" i="18" s="1"/>
  <c r="N107" i="18"/>
  <c r="N108" i="18"/>
  <c r="K48" i="18"/>
  <c r="Q52" i="18"/>
  <c r="R59" i="18"/>
  <c r="S59" i="18" s="1"/>
  <c r="Q64" i="18"/>
  <c r="I109" i="18"/>
  <c r="Q109" i="18"/>
  <c r="Q107" i="18"/>
  <c r="Q106" i="18" s="1"/>
  <c r="R111" i="18"/>
  <c r="S111" i="18" s="1"/>
  <c r="N79" i="18"/>
  <c r="R80" i="18"/>
  <c r="S80" i="18" s="1"/>
  <c r="N82" i="18"/>
  <c r="R83" i="18"/>
  <c r="S83" i="18" s="1"/>
  <c r="N85" i="18"/>
  <c r="R86" i="18"/>
  <c r="S86" i="18" s="1"/>
  <c r="N88" i="18"/>
  <c r="R89" i="18"/>
  <c r="S89" i="18" s="1"/>
  <c r="N91" i="18"/>
  <c r="R92" i="18"/>
  <c r="S92" i="18" s="1"/>
  <c r="N94" i="18"/>
  <c r="R95" i="18"/>
  <c r="S95" i="18" s="1"/>
  <c r="N97" i="18"/>
  <c r="R98" i="18"/>
  <c r="S98" i="18" s="1"/>
  <c r="N100" i="18"/>
  <c r="R101" i="18"/>
  <c r="S101" i="18" s="1"/>
  <c r="N103" i="18"/>
  <c r="R104" i="18"/>
  <c r="S104" i="18" s="1"/>
  <c r="P48" i="18" l="1"/>
  <c r="R97" i="18"/>
  <c r="R76" i="18"/>
  <c r="S76" i="18" s="1"/>
  <c r="R109" i="18"/>
  <c r="S109" i="18" s="1"/>
  <c r="R91" i="18"/>
  <c r="R73" i="18"/>
  <c r="R85" i="18"/>
  <c r="S85" i="18" s="1"/>
  <c r="R103" i="18"/>
  <c r="S103" i="18" s="1"/>
  <c r="I37" i="18"/>
  <c r="P106" i="18"/>
  <c r="N106" i="18"/>
  <c r="R61" i="18"/>
  <c r="S61" i="18" s="1"/>
  <c r="L46" i="18"/>
  <c r="L13" i="18"/>
  <c r="R100" i="18"/>
  <c r="S100" i="18" s="1"/>
  <c r="N48" i="18"/>
  <c r="R67" i="18"/>
  <c r="L12" i="18"/>
  <c r="R43" i="18"/>
  <c r="R88" i="18"/>
  <c r="S88" i="18" s="1"/>
  <c r="R70" i="18"/>
  <c r="S70" i="18" s="1"/>
  <c r="R82" i="18"/>
  <c r="S82" i="18" s="1"/>
  <c r="S43" i="18"/>
  <c r="R94" i="18"/>
  <c r="S94" i="18" s="1"/>
  <c r="R58" i="18"/>
  <c r="N16" i="18"/>
  <c r="S38" i="18"/>
  <c r="R79" i="18"/>
  <c r="S79" i="18" s="1"/>
  <c r="S58" i="18"/>
  <c r="I106" i="18"/>
  <c r="R22" i="18"/>
  <c r="L11" i="18"/>
  <c r="N49" i="18"/>
  <c r="M11" i="18"/>
  <c r="M10" i="18" s="1"/>
  <c r="S22" i="18"/>
  <c r="N37" i="18"/>
  <c r="S91" i="18"/>
  <c r="I49" i="18"/>
  <c r="P49" i="18"/>
  <c r="G12" i="18"/>
  <c r="P12" i="18"/>
  <c r="G46" i="18"/>
  <c r="R51" i="18"/>
  <c r="Q47" i="18"/>
  <c r="Q46" i="18" s="1"/>
  <c r="H11" i="18"/>
  <c r="P47" i="18"/>
  <c r="P46" i="18" s="1"/>
  <c r="I47" i="18"/>
  <c r="P16" i="18"/>
  <c r="R31" i="18"/>
  <c r="S31" i="18" s="1"/>
  <c r="E16" i="18"/>
  <c r="E13" i="18" s="1"/>
  <c r="E10" i="18" s="1"/>
  <c r="R28" i="18"/>
  <c r="S28" i="18" s="1"/>
  <c r="Q14" i="18"/>
  <c r="I15" i="18"/>
  <c r="M13" i="18"/>
  <c r="R25" i="18"/>
  <c r="S25" i="18" s="1"/>
  <c r="Q16" i="18"/>
  <c r="R16" i="18" s="1"/>
  <c r="S19" i="18"/>
  <c r="R17" i="18"/>
  <c r="S17" i="18" s="1"/>
  <c r="R107" i="18"/>
  <c r="S107" i="18" s="1"/>
  <c r="D49" i="18"/>
  <c r="D46" i="18" s="1"/>
  <c r="D10" i="18" s="1"/>
  <c r="F12" i="18"/>
  <c r="Q49" i="18"/>
  <c r="R34" i="18"/>
  <c r="S34" i="18" s="1"/>
  <c r="Q15" i="18"/>
  <c r="Q12" i="18" s="1"/>
  <c r="H12" i="18"/>
  <c r="H13" i="18"/>
  <c r="O14" i="18"/>
  <c r="I14" i="18"/>
  <c r="F13" i="18"/>
  <c r="F11" i="18"/>
  <c r="K46" i="18"/>
  <c r="N47" i="18"/>
  <c r="R108" i="18"/>
  <c r="S108" i="18" s="1"/>
  <c r="O106" i="18"/>
  <c r="R52" i="18"/>
  <c r="S52" i="18" s="1"/>
  <c r="R39" i="18"/>
  <c r="S39" i="18" s="1"/>
  <c r="O37" i="18"/>
  <c r="R37" i="18" s="1"/>
  <c r="S97" i="18"/>
  <c r="R64" i="18"/>
  <c r="S64" i="18" s="1"/>
  <c r="I16" i="18"/>
  <c r="N15" i="18"/>
  <c r="K12" i="18"/>
  <c r="G13" i="18"/>
  <c r="G11" i="18"/>
  <c r="P14" i="18"/>
  <c r="S73" i="18"/>
  <c r="S67" i="18"/>
  <c r="R55" i="18"/>
  <c r="S55" i="18" s="1"/>
  <c r="R112" i="18"/>
  <c r="S112" i="18" s="1"/>
  <c r="N14" i="18"/>
  <c r="K13" i="18"/>
  <c r="K11" i="18"/>
  <c r="O15" i="18"/>
  <c r="R50" i="18"/>
  <c r="S50" i="18" s="1"/>
  <c r="O49" i="18"/>
  <c r="O48" i="18"/>
  <c r="R48" i="18" s="1"/>
  <c r="I48" i="18"/>
  <c r="F46" i="18"/>
  <c r="R18" i="18"/>
  <c r="S18" i="18" s="1"/>
  <c r="N46" i="18" l="1"/>
  <c r="R106" i="18"/>
  <c r="G10" i="18"/>
  <c r="L10" i="18"/>
  <c r="N12" i="18"/>
  <c r="N13" i="18"/>
  <c r="S106" i="18"/>
  <c r="Q11" i="18"/>
  <c r="Q10" i="18" s="1"/>
  <c r="R47" i="18"/>
  <c r="S47" i="18" s="1"/>
  <c r="H10" i="18"/>
  <c r="S16" i="18"/>
  <c r="I12" i="18"/>
  <c r="S37" i="18"/>
  <c r="Q13" i="18"/>
  <c r="R14" i="18"/>
  <c r="S14" i="18" s="1"/>
  <c r="O13" i="18"/>
  <c r="O11" i="18"/>
  <c r="O46" i="18"/>
  <c r="R46" i="18" s="1"/>
  <c r="P13" i="18"/>
  <c r="P11" i="18"/>
  <c r="P10" i="18" s="1"/>
  <c r="I11" i="18"/>
  <c r="F10" i="18"/>
  <c r="R49" i="18"/>
  <c r="S49" i="18" s="1"/>
  <c r="I46" i="18"/>
  <c r="R15" i="18"/>
  <c r="O12" i="18"/>
  <c r="R12" i="18" s="1"/>
  <c r="K10" i="18"/>
  <c r="N11" i="18"/>
  <c r="S15" i="18"/>
  <c r="I13" i="18"/>
  <c r="N10" i="18" l="1"/>
  <c r="S46" i="18"/>
  <c r="R13" i="18"/>
  <c r="S13" i="18" s="1"/>
  <c r="I10" i="18"/>
  <c r="S12" i="18"/>
  <c r="R11" i="18"/>
  <c r="S11" i="18" s="1"/>
  <c r="O10" i="18"/>
  <c r="R10" i="18" s="1"/>
  <c r="S10" i="18" l="1"/>
  <c r="L123" i="16" l="1"/>
  <c r="K123" i="16"/>
  <c r="J123" i="16"/>
  <c r="H123" i="16"/>
  <c r="G123" i="16"/>
  <c r="F123" i="16"/>
  <c r="P126" i="16"/>
  <c r="O126" i="16"/>
  <c r="N126" i="16"/>
  <c r="M126" i="16"/>
  <c r="I126" i="16"/>
  <c r="Q126" i="16" l="1"/>
  <c r="S126" i="16" s="1"/>
  <c r="L113" i="16"/>
  <c r="K113" i="16"/>
  <c r="J113" i="16"/>
  <c r="H113" i="16"/>
  <c r="G113" i="16"/>
  <c r="F113" i="16"/>
  <c r="P116" i="16"/>
  <c r="O116" i="16"/>
  <c r="N116" i="16"/>
  <c r="M116" i="16"/>
  <c r="I116" i="16"/>
  <c r="P115" i="16"/>
  <c r="O115" i="16"/>
  <c r="N115" i="16"/>
  <c r="M115" i="16"/>
  <c r="I115" i="16"/>
  <c r="L110" i="16"/>
  <c r="K110" i="16"/>
  <c r="J110" i="16"/>
  <c r="H110" i="16"/>
  <c r="G110" i="16"/>
  <c r="F110" i="16"/>
  <c r="L80" i="16"/>
  <c r="K80" i="16"/>
  <c r="J80" i="16"/>
  <c r="H80" i="16"/>
  <c r="G80" i="16"/>
  <c r="F80" i="16"/>
  <c r="P84" i="16"/>
  <c r="O84" i="16"/>
  <c r="N84" i="16"/>
  <c r="M84" i="16"/>
  <c r="I84" i="16"/>
  <c r="P83" i="16"/>
  <c r="O83" i="16"/>
  <c r="N83" i="16"/>
  <c r="M83" i="16"/>
  <c r="I83" i="16"/>
  <c r="L69" i="16"/>
  <c r="K69" i="16"/>
  <c r="J69" i="16"/>
  <c r="H69" i="16"/>
  <c r="G69" i="16"/>
  <c r="F69" i="16"/>
  <c r="P72" i="16"/>
  <c r="O72" i="16"/>
  <c r="N72" i="16"/>
  <c r="M72" i="16"/>
  <c r="I72" i="16"/>
  <c r="L62" i="16"/>
  <c r="K62" i="16"/>
  <c r="J62" i="16"/>
  <c r="H62" i="16"/>
  <c r="G62" i="16"/>
  <c r="L57" i="16"/>
  <c r="K57" i="16"/>
  <c r="J57" i="16"/>
  <c r="H57" i="16"/>
  <c r="Q115" i="16" l="1"/>
  <c r="S115" i="16" s="1"/>
  <c r="Q72" i="16"/>
  <c r="S72" i="16" s="1"/>
  <c r="Q116" i="16"/>
  <c r="S116" i="16" s="1"/>
  <c r="Q84" i="16"/>
  <c r="S84" i="16" s="1"/>
  <c r="Q83" i="16"/>
  <c r="S83" i="16" s="1"/>
  <c r="L29" i="16"/>
  <c r="K29" i="16"/>
  <c r="J29" i="16"/>
  <c r="H29" i="16"/>
  <c r="G29" i="16"/>
  <c r="F29" i="16"/>
  <c r="P33" i="16"/>
  <c r="O33" i="16"/>
  <c r="N33" i="16"/>
  <c r="M33" i="16"/>
  <c r="I33" i="16"/>
  <c r="G91" i="16"/>
  <c r="F91" i="16"/>
  <c r="L120" i="16"/>
  <c r="K120" i="16"/>
  <c r="J120" i="16"/>
  <c r="H120" i="16"/>
  <c r="G120" i="16"/>
  <c r="F120" i="16"/>
  <c r="P122" i="16"/>
  <c r="O122" i="16"/>
  <c r="N122" i="16"/>
  <c r="M122" i="16"/>
  <c r="I122" i="16"/>
  <c r="N90" i="16"/>
  <c r="L87" i="16"/>
  <c r="K87" i="16"/>
  <c r="J87" i="16"/>
  <c r="I90" i="16"/>
  <c r="H87" i="16"/>
  <c r="G87" i="16"/>
  <c r="F87" i="16"/>
  <c r="P90" i="16"/>
  <c r="O90" i="16"/>
  <c r="M90" i="16"/>
  <c r="Q90" i="16" l="1"/>
  <c r="Q33" i="16"/>
  <c r="S33" i="16" s="1"/>
  <c r="Q122" i="16"/>
  <c r="S122" i="16" s="1"/>
  <c r="I87" i="16"/>
  <c r="S90" i="16"/>
  <c r="S134" i="16"/>
  <c r="S133" i="16"/>
  <c r="P132" i="16"/>
  <c r="P131" i="16" s="1"/>
  <c r="O132" i="16"/>
  <c r="O131" i="16" s="1"/>
  <c r="N132" i="16"/>
  <c r="N131" i="16" s="1"/>
  <c r="M132" i="16"/>
  <c r="I132" i="16"/>
  <c r="L131" i="16"/>
  <c r="K131" i="16"/>
  <c r="J131" i="16"/>
  <c r="H131" i="16"/>
  <c r="G131" i="16"/>
  <c r="F131" i="16"/>
  <c r="S130" i="16"/>
  <c r="S129" i="16"/>
  <c r="P128" i="16"/>
  <c r="P127" i="16" s="1"/>
  <c r="O128" i="16"/>
  <c r="O127" i="16" s="1"/>
  <c r="N128" i="16"/>
  <c r="N127" i="16" s="1"/>
  <c r="M128" i="16"/>
  <c r="I128" i="16"/>
  <c r="L127" i="16"/>
  <c r="K127" i="16"/>
  <c r="J127" i="16"/>
  <c r="H127" i="16"/>
  <c r="G127" i="16"/>
  <c r="F127" i="16"/>
  <c r="P125" i="16"/>
  <c r="O125" i="16"/>
  <c r="N125" i="16"/>
  <c r="M125" i="16"/>
  <c r="I125" i="16"/>
  <c r="P124" i="16"/>
  <c r="O124" i="16"/>
  <c r="N124" i="16"/>
  <c r="N123" i="16" s="1"/>
  <c r="M124" i="16"/>
  <c r="I124" i="16"/>
  <c r="P121" i="16"/>
  <c r="P120" i="16" s="1"/>
  <c r="O121" i="16"/>
  <c r="O120" i="16" s="1"/>
  <c r="N121" i="16"/>
  <c r="N120" i="16" s="1"/>
  <c r="M121" i="16"/>
  <c r="I121" i="16"/>
  <c r="M120" i="16"/>
  <c r="I120" i="16"/>
  <c r="P119" i="16"/>
  <c r="O119" i="16"/>
  <c r="N119" i="16"/>
  <c r="M119" i="16"/>
  <c r="I119" i="16"/>
  <c r="P118" i="16"/>
  <c r="O118" i="16"/>
  <c r="N118" i="16"/>
  <c r="M118" i="16"/>
  <c r="I118" i="16"/>
  <c r="L117" i="16"/>
  <c r="K117" i="16"/>
  <c r="J117" i="16"/>
  <c r="H117" i="16"/>
  <c r="G117" i="16"/>
  <c r="F117" i="16"/>
  <c r="P114" i="16"/>
  <c r="P113" i="16" s="1"/>
  <c r="O114" i="16"/>
  <c r="O113" i="16" s="1"/>
  <c r="N114" i="16"/>
  <c r="N113" i="16" s="1"/>
  <c r="M114" i="16"/>
  <c r="I114" i="16"/>
  <c r="P112" i="16"/>
  <c r="O112" i="16"/>
  <c r="N112" i="16"/>
  <c r="M112" i="16"/>
  <c r="I112" i="16"/>
  <c r="P111" i="16"/>
  <c r="O111" i="16"/>
  <c r="N111" i="16"/>
  <c r="M111" i="16"/>
  <c r="I111" i="16"/>
  <c r="P109" i="16"/>
  <c r="O109" i="16"/>
  <c r="N109" i="16"/>
  <c r="M109" i="16"/>
  <c r="I109" i="16"/>
  <c r="P108" i="16"/>
  <c r="O108" i="16"/>
  <c r="N108" i="16"/>
  <c r="M108" i="16"/>
  <c r="I108" i="16"/>
  <c r="L107" i="16"/>
  <c r="K107" i="16"/>
  <c r="J107" i="16"/>
  <c r="H107" i="16"/>
  <c r="G107" i="16"/>
  <c r="F107" i="16"/>
  <c r="P106" i="16"/>
  <c r="P105" i="16" s="1"/>
  <c r="O106" i="16"/>
  <c r="O105" i="16" s="1"/>
  <c r="N106" i="16"/>
  <c r="M106" i="16"/>
  <c r="I106" i="16"/>
  <c r="L105" i="16"/>
  <c r="K105" i="16"/>
  <c r="J105" i="16"/>
  <c r="H105" i="16"/>
  <c r="G105" i="16"/>
  <c r="F105" i="16"/>
  <c r="S104" i="16"/>
  <c r="S103" i="16"/>
  <c r="P102" i="16"/>
  <c r="P101" i="16" s="1"/>
  <c r="O102" i="16"/>
  <c r="O101" i="16" s="1"/>
  <c r="N102" i="16"/>
  <c r="N101" i="16" s="1"/>
  <c r="M102" i="16"/>
  <c r="I102" i="16"/>
  <c r="L101" i="16"/>
  <c r="K101" i="16"/>
  <c r="J101" i="16"/>
  <c r="H101" i="16"/>
  <c r="G101" i="16"/>
  <c r="F101" i="16"/>
  <c r="P100" i="16"/>
  <c r="O100" i="16"/>
  <c r="N100" i="16"/>
  <c r="M100" i="16"/>
  <c r="I100" i="16"/>
  <c r="P99" i="16"/>
  <c r="O99" i="16"/>
  <c r="N99" i="16"/>
  <c r="M99" i="16"/>
  <c r="I99" i="16"/>
  <c r="L98" i="16"/>
  <c r="K98" i="16"/>
  <c r="J98" i="16"/>
  <c r="H98" i="16"/>
  <c r="G98" i="16"/>
  <c r="F98" i="16"/>
  <c r="L95" i="16"/>
  <c r="K95" i="16"/>
  <c r="J95" i="16"/>
  <c r="H95" i="16"/>
  <c r="G95" i="16"/>
  <c r="F95" i="16"/>
  <c r="P94" i="16"/>
  <c r="O94" i="16"/>
  <c r="N94" i="16"/>
  <c r="M94" i="16"/>
  <c r="I94" i="16"/>
  <c r="L93" i="16"/>
  <c r="K93" i="16"/>
  <c r="J93" i="16"/>
  <c r="H93" i="16"/>
  <c r="G93" i="16"/>
  <c r="F93" i="16"/>
  <c r="P92" i="16"/>
  <c r="P91" i="16" s="1"/>
  <c r="O92" i="16"/>
  <c r="N92" i="16"/>
  <c r="M92" i="16"/>
  <c r="I92" i="16"/>
  <c r="L91" i="16"/>
  <c r="K91" i="16"/>
  <c r="J91" i="16"/>
  <c r="H91" i="16"/>
  <c r="I91" i="16" s="1"/>
  <c r="P89" i="16"/>
  <c r="O89" i="16"/>
  <c r="N89" i="16"/>
  <c r="M89" i="16"/>
  <c r="I89" i="16"/>
  <c r="P88" i="16"/>
  <c r="O88" i="16"/>
  <c r="N88" i="16"/>
  <c r="M88" i="16"/>
  <c r="I88" i="16"/>
  <c r="M87" i="16"/>
  <c r="P86" i="16"/>
  <c r="P85" i="16" s="1"/>
  <c r="O86" i="16"/>
  <c r="O85" i="16" s="1"/>
  <c r="N86" i="16"/>
  <c r="M86" i="16"/>
  <c r="I86" i="16"/>
  <c r="L85" i="16"/>
  <c r="K85" i="16"/>
  <c r="J85" i="16"/>
  <c r="H85" i="16"/>
  <c r="G85" i="16"/>
  <c r="F85" i="16"/>
  <c r="P82" i="16"/>
  <c r="O82" i="16"/>
  <c r="N82" i="16"/>
  <c r="M82" i="16"/>
  <c r="I82" i="16"/>
  <c r="P81" i="16"/>
  <c r="O81" i="16"/>
  <c r="N81" i="16"/>
  <c r="M81" i="16"/>
  <c r="I81" i="16"/>
  <c r="P79" i="16"/>
  <c r="O79" i="16"/>
  <c r="N79" i="16"/>
  <c r="M79" i="16"/>
  <c r="I79" i="16"/>
  <c r="P78" i="16"/>
  <c r="O78" i="16"/>
  <c r="N78" i="16"/>
  <c r="M78" i="16"/>
  <c r="I78" i="16"/>
  <c r="L77" i="16"/>
  <c r="K77" i="16"/>
  <c r="J77" i="16"/>
  <c r="H77" i="16"/>
  <c r="G77" i="16"/>
  <c r="F77" i="16"/>
  <c r="P76" i="16"/>
  <c r="P75" i="16" s="1"/>
  <c r="O76" i="16"/>
  <c r="O75" i="16" s="1"/>
  <c r="N76" i="16"/>
  <c r="N75" i="16" s="1"/>
  <c r="M76" i="16"/>
  <c r="I76" i="16"/>
  <c r="L75" i="16"/>
  <c r="K75" i="16"/>
  <c r="J75" i="16"/>
  <c r="H75" i="16"/>
  <c r="G75" i="16"/>
  <c r="F75" i="16"/>
  <c r="P74" i="16"/>
  <c r="P73" i="16" s="1"/>
  <c r="O74" i="16"/>
  <c r="O73" i="16" s="1"/>
  <c r="N74" i="16"/>
  <c r="N73" i="16" s="1"/>
  <c r="M74" i="16"/>
  <c r="I74" i="16"/>
  <c r="L73" i="16"/>
  <c r="K73" i="16"/>
  <c r="J73" i="16"/>
  <c r="H73" i="16"/>
  <c r="G73" i="16"/>
  <c r="F73" i="16"/>
  <c r="P71" i="16"/>
  <c r="O71" i="16"/>
  <c r="N71" i="16"/>
  <c r="M71" i="16"/>
  <c r="I71" i="16"/>
  <c r="P70" i="16"/>
  <c r="O70" i="16"/>
  <c r="N70" i="16"/>
  <c r="M70" i="16"/>
  <c r="I70" i="16"/>
  <c r="P68" i="16"/>
  <c r="O68" i="16"/>
  <c r="N68" i="16"/>
  <c r="M68" i="16"/>
  <c r="I68" i="16"/>
  <c r="L67" i="16"/>
  <c r="K67" i="16"/>
  <c r="J67" i="16"/>
  <c r="H67" i="16"/>
  <c r="G67" i="16"/>
  <c r="F67" i="16"/>
  <c r="P66" i="16"/>
  <c r="P65" i="16" s="1"/>
  <c r="O66" i="16"/>
  <c r="O65" i="16" s="1"/>
  <c r="N66" i="16"/>
  <c r="M66" i="16"/>
  <c r="I66" i="16"/>
  <c r="L65" i="16"/>
  <c r="K65" i="16"/>
  <c r="J65" i="16"/>
  <c r="H65" i="16"/>
  <c r="G65" i="16"/>
  <c r="F65" i="16"/>
  <c r="P64" i="16"/>
  <c r="O64" i="16"/>
  <c r="N64" i="16"/>
  <c r="M64" i="16"/>
  <c r="I64" i="16"/>
  <c r="P63" i="16"/>
  <c r="O63" i="16"/>
  <c r="N63" i="16"/>
  <c r="M63" i="16"/>
  <c r="I63" i="16"/>
  <c r="P61" i="16"/>
  <c r="O61" i="16"/>
  <c r="N61" i="16"/>
  <c r="M61" i="16"/>
  <c r="I61" i="16"/>
  <c r="P60" i="16"/>
  <c r="O60" i="16"/>
  <c r="N60" i="16"/>
  <c r="M60" i="16"/>
  <c r="I60" i="16"/>
  <c r="P59" i="16"/>
  <c r="O59" i="16"/>
  <c r="N59" i="16"/>
  <c r="M59" i="16"/>
  <c r="I59" i="16"/>
  <c r="P58" i="16"/>
  <c r="O58" i="16"/>
  <c r="N58" i="16"/>
  <c r="M58" i="16"/>
  <c r="I58" i="16"/>
  <c r="P56" i="16"/>
  <c r="O56" i="16"/>
  <c r="N56" i="16"/>
  <c r="M56" i="16"/>
  <c r="I56" i="16"/>
  <c r="P55" i="16"/>
  <c r="O55" i="16"/>
  <c r="N55" i="16"/>
  <c r="M55" i="16"/>
  <c r="I55" i="16"/>
  <c r="L54" i="16"/>
  <c r="K54" i="16"/>
  <c r="J54" i="16"/>
  <c r="H54" i="16"/>
  <c r="G54" i="16"/>
  <c r="F54" i="16"/>
  <c r="S52" i="16"/>
  <c r="S51" i="16"/>
  <c r="S50" i="16"/>
  <c r="S49" i="16"/>
  <c r="P47" i="16"/>
  <c r="O47" i="16"/>
  <c r="N47" i="16"/>
  <c r="M47" i="16"/>
  <c r="I47" i="16"/>
  <c r="P46" i="16"/>
  <c r="O46" i="16"/>
  <c r="N46" i="16"/>
  <c r="M46" i="16"/>
  <c r="I46" i="16"/>
  <c r="L45" i="16"/>
  <c r="K45" i="16"/>
  <c r="J45" i="16"/>
  <c r="H45" i="16"/>
  <c r="G45" i="16"/>
  <c r="F45" i="16"/>
  <c r="P44" i="16"/>
  <c r="O44" i="16"/>
  <c r="O43" i="16" s="1"/>
  <c r="N44" i="16"/>
  <c r="N43" i="16" s="1"/>
  <c r="M44" i="16"/>
  <c r="I44" i="16"/>
  <c r="L43" i="16"/>
  <c r="K43" i="16"/>
  <c r="J43" i="16"/>
  <c r="H43" i="16"/>
  <c r="G43" i="16"/>
  <c r="F43" i="16"/>
  <c r="S42" i="16"/>
  <c r="S41" i="16"/>
  <c r="S40" i="16"/>
  <c r="S39" i="16"/>
  <c r="S38" i="16"/>
  <c r="S37" i="16"/>
  <c r="S35" i="16"/>
  <c r="S34" i="16"/>
  <c r="P32" i="16"/>
  <c r="O32" i="16"/>
  <c r="N32" i="16"/>
  <c r="M32" i="16"/>
  <c r="I32" i="16"/>
  <c r="P31" i="16"/>
  <c r="O31" i="16"/>
  <c r="N31" i="16"/>
  <c r="M31" i="16"/>
  <c r="I31" i="16"/>
  <c r="P30" i="16"/>
  <c r="O30" i="16"/>
  <c r="N30" i="16"/>
  <c r="M30" i="16"/>
  <c r="I30" i="16"/>
  <c r="P28" i="16"/>
  <c r="O28" i="16"/>
  <c r="N28" i="16"/>
  <c r="M28" i="16"/>
  <c r="I28" i="16"/>
  <c r="P27" i="16"/>
  <c r="O27" i="16"/>
  <c r="N27" i="16"/>
  <c r="M27" i="16"/>
  <c r="I27" i="16"/>
  <c r="P26" i="16"/>
  <c r="O26" i="16"/>
  <c r="N26" i="16"/>
  <c r="M26" i="16"/>
  <c r="I26" i="16"/>
  <c r="L25" i="16"/>
  <c r="K25" i="16"/>
  <c r="J25" i="16"/>
  <c r="H25" i="16"/>
  <c r="H24" i="16" s="1"/>
  <c r="G25" i="16"/>
  <c r="F25" i="16"/>
  <c r="P23" i="16"/>
  <c r="P22" i="16" s="1"/>
  <c r="P17" i="16" s="1"/>
  <c r="N23" i="16"/>
  <c r="N22" i="16" s="1"/>
  <c r="M23" i="16"/>
  <c r="I23" i="16"/>
  <c r="O22" i="16"/>
  <c r="O17" i="16" s="1"/>
  <c r="L22" i="16"/>
  <c r="L17" i="16" s="1"/>
  <c r="K22" i="16"/>
  <c r="K17" i="16" s="1"/>
  <c r="J22" i="16"/>
  <c r="H22" i="16"/>
  <c r="H17" i="16" s="1"/>
  <c r="G22" i="16"/>
  <c r="G17" i="16" s="1"/>
  <c r="F22" i="16"/>
  <c r="S21" i="16"/>
  <c r="S20" i="16"/>
  <c r="S19" i="16"/>
  <c r="S18" i="16"/>
  <c r="S16" i="16"/>
  <c r="S15" i="16"/>
  <c r="S14" i="16"/>
  <c r="S13" i="16"/>
  <c r="S12" i="16"/>
  <c r="S11" i="16"/>
  <c r="Q10" i="16"/>
  <c r="P10" i="16"/>
  <c r="O10" i="16"/>
  <c r="N10" i="16"/>
  <c r="M10" i="16"/>
  <c r="L10" i="16"/>
  <c r="K10" i="16"/>
  <c r="J10" i="16"/>
  <c r="I10" i="16"/>
  <c r="S10" i="16" s="1"/>
  <c r="H10" i="16"/>
  <c r="G10" i="16"/>
  <c r="F10" i="16"/>
  <c r="G36" i="16" l="1"/>
  <c r="J36" i="16"/>
  <c r="O123" i="16"/>
  <c r="P123" i="16"/>
  <c r="P80" i="16"/>
  <c r="N110" i="16"/>
  <c r="O110" i="16"/>
  <c r="P69" i="16"/>
  <c r="N80" i="16"/>
  <c r="P110" i="16"/>
  <c r="O80" i="16"/>
  <c r="O62" i="16"/>
  <c r="N69" i="16"/>
  <c r="P62" i="16"/>
  <c r="O69" i="16"/>
  <c r="M105" i="16"/>
  <c r="N29" i="16"/>
  <c r="O57" i="16"/>
  <c r="N62" i="16"/>
  <c r="P29" i="16"/>
  <c r="P57" i="16"/>
  <c r="N57" i="16"/>
  <c r="O29" i="16"/>
  <c r="I75" i="16"/>
  <c r="M25" i="16"/>
  <c r="O93" i="16"/>
  <c r="K24" i="16"/>
  <c r="Q106" i="16"/>
  <c r="S106" i="16" s="1"/>
  <c r="P45" i="16"/>
  <c r="I85" i="16"/>
  <c r="M101" i="16"/>
  <c r="M43" i="16"/>
  <c r="M77" i="16"/>
  <c r="M80" i="16"/>
  <c r="O95" i="16"/>
  <c r="K36" i="16"/>
  <c r="I43" i="16"/>
  <c r="Q70" i="16"/>
  <c r="S70" i="16" s="1"/>
  <c r="I77" i="16"/>
  <c r="N77" i="16"/>
  <c r="I107" i="16"/>
  <c r="M110" i="16"/>
  <c r="M113" i="16"/>
  <c r="M131" i="16"/>
  <c r="M67" i="16"/>
  <c r="N95" i="16"/>
  <c r="M98" i="16"/>
  <c r="I101" i="16"/>
  <c r="M22" i="16"/>
  <c r="M17" i="16" s="1"/>
  <c r="Q32" i="16"/>
  <c r="S32" i="16" s="1"/>
  <c r="F36" i="16"/>
  <c r="I67" i="16"/>
  <c r="M93" i="16"/>
  <c r="Q120" i="16"/>
  <c r="S120" i="16" s="1"/>
  <c r="M123" i="16"/>
  <c r="I127" i="16"/>
  <c r="I22" i="16"/>
  <c r="P25" i="16"/>
  <c r="L24" i="16"/>
  <c r="Q44" i="16"/>
  <c r="S44" i="16" s="1"/>
  <c r="M57" i="16"/>
  <c r="M62" i="16"/>
  <c r="M91" i="16"/>
  <c r="N105" i="16"/>
  <c r="Q105" i="16" s="1"/>
  <c r="P117" i="16"/>
  <c r="Q119" i="16"/>
  <c r="S119" i="16" s="1"/>
  <c r="Q132" i="16"/>
  <c r="S132" i="16" s="1"/>
  <c r="P54" i="16"/>
  <c r="N54" i="16"/>
  <c r="Q22" i="16"/>
  <c r="Q17" i="16" s="1"/>
  <c r="F17" i="16"/>
  <c r="Q27" i="16"/>
  <c r="S27" i="16" s="1"/>
  <c r="I98" i="16"/>
  <c r="O98" i="16"/>
  <c r="Q114" i="16"/>
  <c r="S114" i="16" s="1"/>
  <c r="Q131" i="16"/>
  <c r="J17" i="16"/>
  <c r="I25" i="16"/>
  <c r="M29" i="16"/>
  <c r="P43" i="16"/>
  <c r="Q43" i="16" s="1"/>
  <c r="M65" i="16"/>
  <c r="O67" i="16"/>
  <c r="Q73" i="16"/>
  <c r="Q74" i="16"/>
  <c r="S74" i="16" s="1"/>
  <c r="Q92" i="16"/>
  <c r="S92" i="16" s="1"/>
  <c r="M95" i="16"/>
  <c r="P98" i="16"/>
  <c r="I105" i="16"/>
  <c r="I110" i="16"/>
  <c r="I113" i="16"/>
  <c r="Q125" i="16"/>
  <c r="S125" i="16" s="1"/>
  <c r="O25" i="16"/>
  <c r="I57" i="16"/>
  <c r="I123" i="16"/>
  <c r="I131" i="16"/>
  <c r="N17" i="16"/>
  <c r="Q23" i="16"/>
  <c r="S23" i="16" s="1"/>
  <c r="G24" i="16"/>
  <c r="I29" i="16"/>
  <c r="I65" i="16"/>
  <c r="M73" i="16"/>
  <c r="O77" i="16"/>
  <c r="Q82" i="16"/>
  <c r="S82" i="16" s="1"/>
  <c r="M85" i="16"/>
  <c r="O87" i="16"/>
  <c r="Q89" i="16"/>
  <c r="S89" i="16" s="1"/>
  <c r="N98" i="16"/>
  <c r="P107" i="16"/>
  <c r="O54" i="16"/>
  <c r="Q64" i="16"/>
  <c r="S64" i="16" s="1"/>
  <c r="Q81" i="16"/>
  <c r="S81" i="16" s="1"/>
  <c r="N91" i="16"/>
  <c r="Q61" i="16"/>
  <c r="S61" i="16" s="1"/>
  <c r="P87" i="16"/>
  <c r="O107" i="16"/>
  <c r="P67" i="16"/>
  <c r="Q78" i="16"/>
  <c r="S78" i="16" s="1"/>
  <c r="Q88" i="16"/>
  <c r="S88" i="16" s="1"/>
  <c r="N87" i="16"/>
  <c r="N93" i="16"/>
  <c r="Q94" i="16"/>
  <c r="S94" i="16" s="1"/>
  <c r="P95" i="16"/>
  <c r="N117" i="16"/>
  <c r="O117" i="16"/>
  <c r="Q68" i="16"/>
  <c r="S68" i="16" s="1"/>
  <c r="Q26" i="16"/>
  <c r="S26" i="16" s="1"/>
  <c r="Q55" i="16"/>
  <c r="S55" i="16" s="1"/>
  <c r="Q28" i="16"/>
  <c r="S28" i="16" s="1"/>
  <c r="Q30" i="16"/>
  <c r="S30" i="16" s="1"/>
  <c r="N45" i="16"/>
  <c r="N36" i="16" s="1"/>
  <c r="Q60" i="16"/>
  <c r="S60" i="16" s="1"/>
  <c r="Q63" i="16"/>
  <c r="S63" i="16" s="1"/>
  <c r="Q79" i="16"/>
  <c r="S79" i="16" s="1"/>
  <c r="N25" i="16"/>
  <c r="L36" i="16"/>
  <c r="M45" i="16"/>
  <c r="Q58" i="16"/>
  <c r="S58" i="16" s="1"/>
  <c r="Q108" i="16"/>
  <c r="S108" i="16" s="1"/>
  <c r="H36" i="16"/>
  <c r="I45" i="16"/>
  <c r="H53" i="16"/>
  <c r="H48" i="16" s="1"/>
  <c r="G53" i="16"/>
  <c r="G48" i="16" s="1"/>
  <c r="L53" i="16"/>
  <c r="L48" i="16" s="1"/>
  <c r="N67" i="16"/>
  <c r="N85" i="16"/>
  <c r="Q85" i="16" s="1"/>
  <c r="Q86" i="16"/>
  <c r="S86" i="16" s="1"/>
  <c r="Q101" i="16"/>
  <c r="F53" i="16"/>
  <c r="I69" i="16"/>
  <c r="N107" i="16"/>
  <c r="Q31" i="16"/>
  <c r="S31" i="16" s="1"/>
  <c r="N65" i="16"/>
  <c r="Q65" i="16" s="1"/>
  <c r="Q66" i="16"/>
  <c r="S66" i="16" s="1"/>
  <c r="J53" i="16"/>
  <c r="M69" i="16"/>
  <c r="Q111" i="16"/>
  <c r="S111" i="16" s="1"/>
  <c r="Q124" i="16"/>
  <c r="S124" i="16" s="1"/>
  <c r="F24" i="16"/>
  <c r="J24" i="16"/>
  <c r="Q46" i="16"/>
  <c r="S46" i="16" s="1"/>
  <c r="Q47" i="16"/>
  <c r="S47" i="16" s="1"/>
  <c r="M54" i="16"/>
  <c r="Q56" i="16"/>
  <c r="S56" i="16" s="1"/>
  <c r="I62" i="16"/>
  <c r="I73" i="16"/>
  <c r="Q75" i="16"/>
  <c r="I80" i="16"/>
  <c r="O91" i="16"/>
  <c r="I93" i="16"/>
  <c r="I95" i="16"/>
  <c r="Q99" i="16"/>
  <c r="S99" i="16" s="1"/>
  <c r="Q100" i="16"/>
  <c r="S100" i="16" s="1"/>
  <c r="Q112" i="16"/>
  <c r="S112" i="16" s="1"/>
  <c r="M117" i="16"/>
  <c r="Q121" i="16"/>
  <c r="S121" i="16" s="1"/>
  <c r="Q127" i="16"/>
  <c r="O45" i="16"/>
  <c r="I54" i="16"/>
  <c r="K53" i="16"/>
  <c r="K48" i="16" s="1"/>
  <c r="Q59" i="16"/>
  <c r="S59" i="16" s="1"/>
  <c r="Q71" i="16"/>
  <c r="S71" i="16" s="1"/>
  <c r="M75" i="16"/>
  <c r="Q76" i="16"/>
  <c r="S76" i="16" s="1"/>
  <c r="P77" i="16"/>
  <c r="P93" i="16"/>
  <c r="Q102" i="16"/>
  <c r="S102" i="16" s="1"/>
  <c r="M107" i="16"/>
  <c r="Q109" i="16"/>
  <c r="S109" i="16" s="1"/>
  <c r="Q113" i="16"/>
  <c r="I117" i="16"/>
  <c r="Q118" i="16"/>
  <c r="S118" i="16" s="1"/>
  <c r="M127" i="16"/>
  <c r="Q128" i="16"/>
  <c r="S128" i="16" s="1"/>
  <c r="Q95" i="16" l="1"/>
  <c r="S95" i="16" s="1"/>
  <c r="S75" i="16"/>
  <c r="S43" i="16"/>
  <c r="M24" i="16"/>
  <c r="I24" i="16"/>
  <c r="S105" i="16"/>
  <c r="S85" i="16"/>
  <c r="S65" i="16"/>
  <c r="Q110" i="16"/>
  <c r="S110" i="16" s="1"/>
  <c r="M36" i="16"/>
  <c r="Q117" i="16"/>
  <c r="S117" i="16" s="1"/>
  <c r="S73" i="16"/>
  <c r="Q107" i="16"/>
  <c r="S107" i="16" s="1"/>
  <c r="P36" i="16"/>
  <c r="O24" i="16"/>
  <c r="S101" i="16"/>
  <c r="S22" i="16"/>
  <c r="K9" i="16"/>
  <c r="Q123" i="16"/>
  <c r="S123" i="16" s="1"/>
  <c r="P24" i="16"/>
  <c r="Q62" i="16"/>
  <c r="S62" i="16" s="1"/>
  <c r="Q98" i="16"/>
  <c r="S98" i="16" s="1"/>
  <c r="S113" i="16"/>
  <c r="S127" i="16"/>
  <c r="I17" i="16"/>
  <c r="S17" i="16" s="1"/>
  <c r="Q57" i="16"/>
  <c r="S57" i="16" s="1"/>
  <c r="S131" i="16"/>
  <c r="Q54" i="16"/>
  <c r="S54" i="16" s="1"/>
  <c r="O53" i="16"/>
  <c r="O48" i="16" s="1"/>
  <c r="G9" i="16"/>
  <c r="Q93" i="16"/>
  <c r="S93" i="16" s="1"/>
  <c r="Q67" i="16"/>
  <c r="S67" i="16" s="1"/>
  <c r="Q87" i="16"/>
  <c r="S87" i="16" s="1"/>
  <c r="Q80" i="16"/>
  <c r="S80" i="16" s="1"/>
  <c r="Q69" i="16"/>
  <c r="S69" i="16" s="1"/>
  <c r="M53" i="16"/>
  <c r="M48" i="16" s="1"/>
  <c r="J48" i="16"/>
  <c r="J9" i="16" s="1"/>
  <c r="Q25" i="16"/>
  <c r="N24" i="16"/>
  <c r="Q91" i="16"/>
  <c r="S91" i="16" s="1"/>
  <c r="Q29" i="16"/>
  <c r="S29" i="16" s="1"/>
  <c r="P53" i="16"/>
  <c r="P48" i="16" s="1"/>
  <c r="N53" i="16"/>
  <c r="Q77" i="16"/>
  <c r="S77" i="16" s="1"/>
  <c r="I36" i="16"/>
  <c r="Q45" i="16"/>
  <c r="Q36" i="16" s="1"/>
  <c r="O36" i="16"/>
  <c r="I53" i="16"/>
  <c r="F48" i="16"/>
  <c r="F9" i="16" s="1"/>
  <c r="H9" i="16"/>
  <c r="L9" i="16"/>
  <c r="E274" i="15"/>
  <c r="D274" i="15"/>
  <c r="H274" i="15"/>
  <c r="G274" i="15"/>
  <c r="K274" i="15"/>
  <c r="I274" i="15" s="1"/>
  <c r="J274" i="15"/>
  <c r="P274" i="15"/>
  <c r="Q274" i="15"/>
  <c r="N274" i="15"/>
  <c r="B274" i="15"/>
  <c r="M274" i="15"/>
  <c r="M221" i="15"/>
  <c r="M130" i="15"/>
  <c r="Q130" i="15"/>
  <c r="P130" i="15"/>
  <c r="N130" i="15"/>
  <c r="B130" i="15"/>
  <c r="B129" i="15" s="1"/>
  <c r="R132" i="15"/>
  <c r="O132" i="15"/>
  <c r="L132" i="15"/>
  <c r="I132" i="15"/>
  <c r="F132" i="15"/>
  <c r="C132" i="15"/>
  <c r="R280" i="15"/>
  <c r="O280" i="15"/>
  <c r="L280" i="15"/>
  <c r="I280" i="15"/>
  <c r="F280" i="15"/>
  <c r="C280" i="15"/>
  <c r="R279" i="15"/>
  <c r="O279" i="15"/>
  <c r="L279" i="15"/>
  <c r="I279" i="15"/>
  <c r="F279" i="15"/>
  <c r="C279" i="15"/>
  <c r="R278" i="15"/>
  <c r="O278" i="15"/>
  <c r="L278" i="15"/>
  <c r="I278" i="15"/>
  <c r="F278" i="15"/>
  <c r="C278" i="15"/>
  <c r="R277" i="15"/>
  <c r="O277" i="15"/>
  <c r="L277" i="15"/>
  <c r="I277" i="15"/>
  <c r="F277" i="15"/>
  <c r="C277" i="15"/>
  <c r="M224" i="15"/>
  <c r="N224" i="15"/>
  <c r="P224" i="15"/>
  <c r="Q224" i="15"/>
  <c r="S224" i="15"/>
  <c r="T224" i="15"/>
  <c r="B224" i="15"/>
  <c r="R343" i="15"/>
  <c r="O343" i="15"/>
  <c r="L343" i="15"/>
  <c r="I343" i="15"/>
  <c r="F343" i="15"/>
  <c r="C343" i="15"/>
  <c r="R342" i="15"/>
  <c r="O342" i="15"/>
  <c r="L342" i="15"/>
  <c r="I342" i="15"/>
  <c r="F342" i="15"/>
  <c r="C342" i="15"/>
  <c r="T341" i="15"/>
  <c r="S341" i="15"/>
  <c r="Q341" i="15"/>
  <c r="P341" i="15"/>
  <c r="N341" i="15"/>
  <c r="M341" i="15"/>
  <c r="K341" i="15"/>
  <c r="J341" i="15"/>
  <c r="H341" i="15"/>
  <c r="G341" i="15"/>
  <c r="E341" i="15"/>
  <c r="D341" i="15"/>
  <c r="B341" i="15"/>
  <c r="R340" i="15"/>
  <c r="O340" i="15"/>
  <c r="L340" i="15"/>
  <c r="I340" i="15"/>
  <c r="F340" i="15"/>
  <c r="C340" i="15"/>
  <c r="R339" i="15"/>
  <c r="O339" i="15"/>
  <c r="L339" i="15"/>
  <c r="I339" i="15"/>
  <c r="F339" i="15"/>
  <c r="C339" i="15"/>
  <c r="T338" i="15"/>
  <c r="S338" i="15"/>
  <c r="Q338" i="15"/>
  <c r="P338" i="15"/>
  <c r="N338" i="15"/>
  <c r="M338" i="15"/>
  <c r="K338" i="15"/>
  <c r="J338" i="15"/>
  <c r="H338" i="15"/>
  <c r="G338" i="15"/>
  <c r="E338" i="15"/>
  <c r="D338" i="15"/>
  <c r="B338" i="15"/>
  <c r="R336" i="15"/>
  <c r="O336" i="15"/>
  <c r="L336" i="15"/>
  <c r="I336" i="15"/>
  <c r="F336" i="15"/>
  <c r="C336" i="15"/>
  <c r="R335" i="15"/>
  <c r="O335" i="15"/>
  <c r="L335" i="15"/>
  <c r="I335" i="15"/>
  <c r="F335" i="15"/>
  <c r="C335" i="15"/>
  <c r="T334" i="15"/>
  <c r="S334" i="15"/>
  <c r="Q334" i="15"/>
  <c r="P334" i="15"/>
  <c r="N334" i="15"/>
  <c r="M334" i="15"/>
  <c r="K334" i="15"/>
  <c r="J334" i="15"/>
  <c r="H334" i="15"/>
  <c r="G334" i="15"/>
  <c r="E334" i="15"/>
  <c r="D334" i="15"/>
  <c r="B334" i="15"/>
  <c r="R333" i="15"/>
  <c r="O333" i="15"/>
  <c r="L333" i="15"/>
  <c r="I333" i="15"/>
  <c r="F333" i="15"/>
  <c r="C333" i="15"/>
  <c r="R332" i="15"/>
  <c r="O332" i="15"/>
  <c r="L332" i="15"/>
  <c r="I332" i="15"/>
  <c r="F332" i="15"/>
  <c r="C332" i="15"/>
  <c r="T331" i="15"/>
  <c r="S331" i="15"/>
  <c r="Q331" i="15"/>
  <c r="P331" i="15"/>
  <c r="N331" i="15"/>
  <c r="M331" i="15"/>
  <c r="K331" i="15"/>
  <c r="K330" i="15" s="1"/>
  <c r="J331" i="15"/>
  <c r="H331" i="15"/>
  <c r="G331" i="15"/>
  <c r="E331" i="15"/>
  <c r="D331" i="15"/>
  <c r="B331" i="15"/>
  <c r="R328" i="15"/>
  <c r="O328" i="15"/>
  <c r="L328" i="15"/>
  <c r="I328" i="15"/>
  <c r="F328" i="15"/>
  <c r="C328" i="15"/>
  <c r="R327" i="15"/>
  <c r="O327" i="15"/>
  <c r="L327" i="15"/>
  <c r="I327" i="15"/>
  <c r="F327" i="15"/>
  <c r="C327" i="15"/>
  <c r="T326" i="15"/>
  <c r="S326" i="15"/>
  <c r="Q326" i="15"/>
  <c r="P326" i="15"/>
  <c r="N326" i="15"/>
  <c r="M326" i="15"/>
  <c r="K326" i="15"/>
  <c r="J326" i="15"/>
  <c r="H326" i="15"/>
  <c r="G326" i="15"/>
  <c r="E326" i="15"/>
  <c r="D326" i="15"/>
  <c r="B326" i="15"/>
  <c r="R325" i="15"/>
  <c r="O325" i="15"/>
  <c r="L325" i="15"/>
  <c r="I325" i="15"/>
  <c r="F325" i="15"/>
  <c r="C325" i="15"/>
  <c r="R324" i="15"/>
  <c r="O324" i="15"/>
  <c r="L324" i="15"/>
  <c r="I324" i="15"/>
  <c r="F324" i="15"/>
  <c r="C324" i="15"/>
  <c r="T323" i="15"/>
  <c r="S323" i="15"/>
  <c r="Q323" i="15"/>
  <c r="P323" i="15"/>
  <c r="N323" i="15"/>
  <c r="M323" i="15"/>
  <c r="K323" i="15"/>
  <c r="J323" i="15"/>
  <c r="H323" i="15"/>
  <c r="G323" i="15"/>
  <c r="E323" i="15"/>
  <c r="D323" i="15"/>
  <c r="B323" i="15"/>
  <c r="R321" i="15"/>
  <c r="O321" i="15"/>
  <c r="L321" i="15"/>
  <c r="I321" i="15"/>
  <c r="F321" i="15"/>
  <c r="C321" i="15"/>
  <c r="R320" i="15"/>
  <c r="O320" i="15"/>
  <c r="L320" i="15"/>
  <c r="I320" i="15"/>
  <c r="F320" i="15"/>
  <c r="C320" i="15"/>
  <c r="T319" i="15"/>
  <c r="S319" i="15"/>
  <c r="Q319" i="15"/>
  <c r="P319" i="15"/>
  <c r="N319" i="15"/>
  <c r="M319" i="15"/>
  <c r="K319" i="15"/>
  <c r="J319" i="15"/>
  <c r="H319" i="15"/>
  <c r="G319" i="15"/>
  <c r="E319" i="15"/>
  <c r="D319" i="15"/>
  <c r="B319" i="15"/>
  <c r="R318" i="15"/>
  <c r="O318" i="15"/>
  <c r="L318" i="15"/>
  <c r="I318" i="15"/>
  <c r="F318" i="15"/>
  <c r="C318" i="15"/>
  <c r="R317" i="15"/>
  <c r="O317" i="15"/>
  <c r="L317" i="15"/>
  <c r="I317" i="15"/>
  <c r="F317" i="15"/>
  <c r="C317" i="15"/>
  <c r="T316" i="15"/>
  <c r="S316" i="15"/>
  <c r="S315" i="15" s="1"/>
  <c r="Q316" i="15"/>
  <c r="P316" i="15"/>
  <c r="N316" i="15"/>
  <c r="M316" i="15"/>
  <c r="K316" i="15"/>
  <c r="J316" i="15"/>
  <c r="H316" i="15"/>
  <c r="G316" i="15"/>
  <c r="G315" i="15" s="1"/>
  <c r="E316" i="15"/>
  <c r="D316" i="15"/>
  <c r="B316" i="15"/>
  <c r="M315" i="15"/>
  <c r="R313" i="15"/>
  <c r="O313" i="15"/>
  <c r="L313" i="15"/>
  <c r="I313" i="15"/>
  <c r="F313" i="15"/>
  <c r="C313" i="15"/>
  <c r="R312" i="15"/>
  <c r="O312" i="15"/>
  <c r="L312" i="15"/>
  <c r="I312" i="15"/>
  <c r="F312" i="15"/>
  <c r="C312" i="15"/>
  <c r="T311" i="15"/>
  <c r="S311" i="15"/>
  <c r="Q311" i="15"/>
  <c r="P311" i="15"/>
  <c r="N311" i="15"/>
  <c r="M311" i="15"/>
  <c r="K311" i="15"/>
  <c r="J311" i="15"/>
  <c r="H311" i="15"/>
  <c r="G311" i="15"/>
  <c r="E311" i="15"/>
  <c r="D311" i="15"/>
  <c r="B311" i="15"/>
  <c r="R310" i="15"/>
  <c r="O310" i="15"/>
  <c r="L310" i="15"/>
  <c r="I310" i="15"/>
  <c r="F310" i="15"/>
  <c r="C310" i="15"/>
  <c r="R309" i="15"/>
  <c r="O309" i="15"/>
  <c r="L309" i="15"/>
  <c r="I309" i="15"/>
  <c r="F309" i="15"/>
  <c r="C309" i="15"/>
  <c r="T308" i="15"/>
  <c r="S308" i="15"/>
  <c r="Q308" i="15"/>
  <c r="P308" i="15"/>
  <c r="N308" i="15"/>
  <c r="M308" i="15"/>
  <c r="K308" i="15"/>
  <c r="J308" i="15"/>
  <c r="H308" i="15"/>
  <c r="G308" i="15"/>
  <c r="E308" i="15"/>
  <c r="D308" i="15"/>
  <c r="B308" i="15"/>
  <c r="R306" i="15"/>
  <c r="O306" i="15"/>
  <c r="L306" i="15"/>
  <c r="I306" i="15"/>
  <c r="F306" i="15"/>
  <c r="C306" i="15"/>
  <c r="R305" i="15"/>
  <c r="O305" i="15"/>
  <c r="L305" i="15"/>
  <c r="I305" i="15"/>
  <c r="F305" i="15"/>
  <c r="C305" i="15"/>
  <c r="T304" i="15"/>
  <c r="S304" i="15"/>
  <c r="Q304" i="15"/>
  <c r="P304" i="15"/>
  <c r="N304" i="15"/>
  <c r="M304" i="15"/>
  <c r="K304" i="15"/>
  <c r="J304" i="15"/>
  <c r="H304" i="15"/>
  <c r="G304" i="15"/>
  <c r="E304" i="15"/>
  <c r="D304" i="15"/>
  <c r="B304" i="15"/>
  <c r="R303" i="15"/>
  <c r="O303" i="15"/>
  <c r="L303" i="15"/>
  <c r="I303" i="15"/>
  <c r="F303" i="15"/>
  <c r="C303" i="15"/>
  <c r="R302" i="15"/>
  <c r="O302" i="15"/>
  <c r="L302" i="15"/>
  <c r="I302" i="15"/>
  <c r="F302" i="15"/>
  <c r="C302" i="15"/>
  <c r="T301" i="15"/>
  <c r="S301" i="15"/>
  <c r="Q301" i="15"/>
  <c r="P301" i="15"/>
  <c r="N301" i="15"/>
  <c r="M301" i="15"/>
  <c r="M300" i="15" s="1"/>
  <c r="K301" i="15"/>
  <c r="J301" i="15"/>
  <c r="H301" i="15"/>
  <c r="G301" i="15"/>
  <c r="G300" i="15" s="1"/>
  <c r="E301" i="15"/>
  <c r="D301" i="15"/>
  <c r="B301" i="15"/>
  <c r="S300" i="15"/>
  <c r="R298" i="15"/>
  <c r="O298" i="15"/>
  <c r="L298" i="15"/>
  <c r="I298" i="15"/>
  <c r="F298" i="15"/>
  <c r="C298" i="15"/>
  <c r="R297" i="15"/>
  <c r="O297" i="15"/>
  <c r="L297" i="15"/>
  <c r="I297" i="15"/>
  <c r="F297" i="15"/>
  <c r="C297" i="15"/>
  <c r="T296" i="15"/>
  <c r="S296" i="15"/>
  <c r="Q296" i="15"/>
  <c r="P296" i="15"/>
  <c r="O296" i="15" s="1"/>
  <c r="N296" i="15"/>
  <c r="M296" i="15"/>
  <c r="K296" i="15"/>
  <c r="J296" i="15"/>
  <c r="H296" i="15"/>
  <c r="G296" i="15"/>
  <c r="E296" i="15"/>
  <c r="D296" i="15"/>
  <c r="B296" i="15"/>
  <c r="R295" i="15"/>
  <c r="O295" i="15"/>
  <c r="L295" i="15"/>
  <c r="I295" i="15"/>
  <c r="F295" i="15"/>
  <c r="C295" i="15"/>
  <c r="R294" i="15"/>
  <c r="O294" i="15"/>
  <c r="L294" i="15"/>
  <c r="I294" i="15"/>
  <c r="F294" i="15"/>
  <c r="C294" i="15"/>
  <c r="T293" i="15"/>
  <c r="S293" i="15"/>
  <c r="Q293" i="15"/>
  <c r="Q292" i="15" s="1"/>
  <c r="P293" i="15"/>
  <c r="N293" i="15"/>
  <c r="M293" i="15"/>
  <c r="K293" i="15"/>
  <c r="K292" i="15" s="1"/>
  <c r="J293" i="15"/>
  <c r="H293" i="15"/>
  <c r="G293" i="15"/>
  <c r="E293" i="15"/>
  <c r="E292" i="15" s="1"/>
  <c r="D293" i="15"/>
  <c r="B293" i="15"/>
  <c r="R291" i="15"/>
  <c r="O291" i="15"/>
  <c r="L291" i="15"/>
  <c r="I291" i="15"/>
  <c r="F291" i="15"/>
  <c r="C291" i="15"/>
  <c r="R290" i="15"/>
  <c r="O290" i="15"/>
  <c r="L290" i="15"/>
  <c r="I290" i="15"/>
  <c r="F290" i="15"/>
  <c r="C290" i="15"/>
  <c r="T289" i="15"/>
  <c r="S289" i="15"/>
  <c r="Q289" i="15"/>
  <c r="P289" i="15"/>
  <c r="N289" i="15"/>
  <c r="M289" i="15"/>
  <c r="K289" i="15"/>
  <c r="J289" i="15"/>
  <c r="H289" i="15"/>
  <c r="G289" i="15"/>
  <c r="E289" i="15"/>
  <c r="D289" i="15"/>
  <c r="B289" i="15"/>
  <c r="R288" i="15"/>
  <c r="O288" i="15"/>
  <c r="L288" i="15"/>
  <c r="I288" i="15"/>
  <c r="F288" i="15"/>
  <c r="C288" i="15"/>
  <c r="R287" i="15"/>
  <c r="O287" i="15"/>
  <c r="L287" i="15"/>
  <c r="I287" i="15"/>
  <c r="F287" i="15"/>
  <c r="C287" i="15"/>
  <c r="T286" i="15"/>
  <c r="T285" i="15" s="1"/>
  <c r="S286" i="15"/>
  <c r="Q286" i="15"/>
  <c r="P286" i="15"/>
  <c r="N286" i="15"/>
  <c r="M286" i="15"/>
  <c r="K286" i="15"/>
  <c r="J286" i="15"/>
  <c r="H286" i="15"/>
  <c r="G286" i="15"/>
  <c r="E286" i="15"/>
  <c r="D286" i="15"/>
  <c r="D285" i="15" s="1"/>
  <c r="B286" i="15"/>
  <c r="B285" i="15" s="1"/>
  <c r="R283" i="15"/>
  <c r="O283" i="15"/>
  <c r="L283" i="15"/>
  <c r="I283" i="15"/>
  <c r="F283" i="15"/>
  <c r="C283" i="15"/>
  <c r="R282" i="15"/>
  <c r="O282" i="15"/>
  <c r="L282" i="15"/>
  <c r="I282" i="15"/>
  <c r="F282" i="15"/>
  <c r="C282" i="15"/>
  <c r="T281" i="15"/>
  <c r="S281" i="15"/>
  <c r="Q281" i="15"/>
  <c r="P281" i="15"/>
  <c r="N281" i="15"/>
  <c r="M281" i="15"/>
  <c r="K281" i="15"/>
  <c r="J281" i="15"/>
  <c r="H281" i="15"/>
  <c r="G281" i="15"/>
  <c r="E281" i="15"/>
  <c r="D281" i="15"/>
  <c r="B281" i="15"/>
  <c r="R276" i="15"/>
  <c r="O276" i="15"/>
  <c r="L276" i="15"/>
  <c r="I276" i="15"/>
  <c r="F276" i="15"/>
  <c r="C276" i="15"/>
  <c r="R275" i="15"/>
  <c r="O275" i="15"/>
  <c r="L275" i="15"/>
  <c r="I275" i="15"/>
  <c r="F275" i="15"/>
  <c r="C275" i="15"/>
  <c r="T274" i="15"/>
  <c r="S274" i="15"/>
  <c r="R274" i="15" s="1"/>
  <c r="R272" i="15"/>
  <c r="O272" i="15"/>
  <c r="L272" i="15"/>
  <c r="I272" i="15"/>
  <c r="F272" i="15"/>
  <c r="C272" i="15"/>
  <c r="R271" i="15"/>
  <c r="O271" i="15"/>
  <c r="L271" i="15"/>
  <c r="I271" i="15"/>
  <c r="F271" i="15"/>
  <c r="C271" i="15"/>
  <c r="T270" i="15"/>
  <c r="S270" i="15"/>
  <c r="Q270" i="15"/>
  <c r="P270" i="15"/>
  <c r="N270" i="15"/>
  <c r="M270" i="15"/>
  <c r="K270" i="15"/>
  <c r="J270" i="15"/>
  <c r="H270" i="15"/>
  <c r="G270" i="15"/>
  <c r="E270" i="15"/>
  <c r="D270" i="15"/>
  <c r="B270" i="15"/>
  <c r="R269" i="15"/>
  <c r="O269" i="15"/>
  <c r="L269" i="15"/>
  <c r="I269" i="15"/>
  <c r="F269" i="15"/>
  <c r="C269" i="15"/>
  <c r="R268" i="15"/>
  <c r="O268" i="15"/>
  <c r="L268" i="15"/>
  <c r="I268" i="15"/>
  <c r="F268" i="15"/>
  <c r="C268" i="15"/>
  <c r="T267" i="15"/>
  <c r="S267" i="15"/>
  <c r="Q267" i="15"/>
  <c r="P267" i="15"/>
  <c r="N267" i="15"/>
  <c r="M267" i="15"/>
  <c r="K267" i="15"/>
  <c r="J267" i="15"/>
  <c r="H267" i="15"/>
  <c r="G267" i="15"/>
  <c r="E267" i="15"/>
  <c r="D267" i="15"/>
  <c r="B267" i="15"/>
  <c r="R264" i="15"/>
  <c r="O264" i="15"/>
  <c r="L264" i="15"/>
  <c r="I264" i="15"/>
  <c r="F264" i="15"/>
  <c r="C264" i="15"/>
  <c r="R263" i="15"/>
  <c r="O263" i="15"/>
  <c r="L263" i="15"/>
  <c r="I263" i="15"/>
  <c r="F263" i="15"/>
  <c r="C263" i="15"/>
  <c r="T262" i="15"/>
  <c r="S262" i="15"/>
  <c r="Q262" i="15"/>
  <c r="P262" i="15"/>
  <c r="N262" i="15"/>
  <c r="M262" i="15"/>
  <c r="K262" i="15"/>
  <c r="J262" i="15"/>
  <c r="H262" i="15"/>
  <c r="G262" i="15"/>
  <c r="E262" i="15"/>
  <c r="D262" i="15"/>
  <c r="B262" i="15"/>
  <c r="R261" i="15"/>
  <c r="O261" i="15"/>
  <c r="L261" i="15"/>
  <c r="I261" i="15"/>
  <c r="F261" i="15"/>
  <c r="C261" i="15"/>
  <c r="R260" i="15"/>
  <c r="O260" i="15"/>
  <c r="L260" i="15"/>
  <c r="I260" i="15"/>
  <c r="F260" i="15"/>
  <c r="C260" i="15"/>
  <c r="T259" i="15"/>
  <c r="S259" i="15"/>
  <c r="Q259" i="15"/>
  <c r="P259" i="15"/>
  <c r="N259" i="15"/>
  <c r="M259" i="15"/>
  <c r="K259" i="15"/>
  <c r="J259" i="15"/>
  <c r="H259" i="15"/>
  <c r="G259" i="15"/>
  <c r="E259" i="15"/>
  <c r="D259" i="15"/>
  <c r="B259" i="15"/>
  <c r="R257" i="15"/>
  <c r="O257" i="15"/>
  <c r="L257" i="15"/>
  <c r="I257" i="15"/>
  <c r="F257" i="15"/>
  <c r="C257" i="15"/>
  <c r="R256" i="15"/>
  <c r="O256" i="15"/>
  <c r="L256" i="15"/>
  <c r="I256" i="15"/>
  <c r="F256" i="15"/>
  <c r="C256" i="15"/>
  <c r="T255" i="15"/>
  <c r="S255" i="15"/>
  <c r="Q255" i="15"/>
  <c r="P255" i="15"/>
  <c r="N255" i="15"/>
  <c r="M255" i="15"/>
  <c r="K255" i="15"/>
  <c r="J255" i="15"/>
  <c r="H255" i="15"/>
  <c r="G255" i="15"/>
  <c r="E255" i="15"/>
  <c r="D255" i="15"/>
  <c r="B255" i="15"/>
  <c r="R254" i="15"/>
  <c r="O254" i="15"/>
  <c r="L254" i="15"/>
  <c r="I254" i="15"/>
  <c r="F254" i="15"/>
  <c r="C254" i="15"/>
  <c r="R253" i="15"/>
  <c r="O253" i="15"/>
  <c r="L253" i="15"/>
  <c r="I253" i="15"/>
  <c r="F253" i="15"/>
  <c r="C253" i="15"/>
  <c r="T252" i="15"/>
  <c r="S252" i="15"/>
  <c r="Q252" i="15"/>
  <c r="P252" i="15"/>
  <c r="N252" i="15"/>
  <c r="M252" i="15"/>
  <c r="K252" i="15"/>
  <c r="J252" i="15"/>
  <c r="H252" i="15"/>
  <c r="G252" i="15"/>
  <c r="E252" i="15"/>
  <c r="E251" i="15" s="1"/>
  <c r="D252" i="15"/>
  <c r="B252" i="15"/>
  <c r="R249" i="15"/>
  <c r="O249" i="15"/>
  <c r="L249" i="15"/>
  <c r="I249" i="15"/>
  <c r="F249" i="15"/>
  <c r="C249" i="15"/>
  <c r="R248" i="15"/>
  <c r="O248" i="15"/>
  <c r="L248" i="15"/>
  <c r="I248" i="15"/>
  <c r="F248" i="15"/>
  <c r="C248" i="15"/>
  <c r="T247" i="15"/>
  <c r="S247" i="15"/>
  <c r="Q247" i="15"/>
  <c r="P247" i="15"/>
  <c r="N247" i="15"/>
  <c r="M247" i="15"/>
  <c r="K247" i="15"/>
  <c r="J247" i="15"/>
  <c r="H247" i="15"/>
  <c r="G247" i="15"/>
  <c r="E247" i="15"/>
  <c r="D247" i="15"/>
  <c r="B247" i="15"/>
  <c r="R246" i="15"/>
  <c r="O246" i="15"/>
  <c r="L246" i="15"/>
  <c r="I246" i="15"/>
  <c r="F246" i="15"/>
  <c r="C246" i="15"/>
  <c r="R245" i="15"/>
  <c r="O245" i="15"/>
  <c r="L245" i="15"/>
  <c r="I245" i="15"/>
  <c r="F245" i="15"/>
  <c r="C245" i="15"/>
  <c r="T244" i="15"/>
  <c r="S244" i="15"/>
  <c r="Q244" i="15"/>
  <c r="P244" i="15"/>
  <c r="N244" i="15"/>
  <c r="M244" i="15"/>
  <c r="K244" i="15"/>
  <c r="J244" i="15"/>
  <c r="H244" i="15"/>
  <c r="G244" i="15"/>
  <c r="E244" i="15"/>
  <c r="D244" i="15"/>
  <c r="B244" i="15"/>
  <c r="R242" i="15"/>
  <c r="O242" i="15"/>
  <c r="L242" i="15"/>
  <c r="I242" i="15"/>
  <c r="F242" i="15"/>
  <c r="C242" i="15"/>
  <c r="R241" i="15"/>
  <c r="O241" i="15"/>
  <c r="L241" i="15"/>
  <c r="I241" i="15"/>
  <c r="F241" i="15"/>
  <c r="C241" i="15"/>
  <c r="T240" i="15"/>
  <c r="S240" i="15"/>
  <c r="Q240" i="15"/>
  <c r="P240" i="15"/>
  <c r="N240" i="15"/>
  <c r="M240" i="15"/>
  <c r="K240" i="15"/>
  <c r="J240" i="15"/>
  <c r="H240" i="15"/>
  <c r="G240" i="15"/>
  <c r="E240" i="15"/>
  <c r="D240" i="15"/>
  <c r="B240" i="15"/>
  <c r="R239" i="15"/>
  <c r="O239" i="15"/>
  <c r="L239" i="15"/>
  <c r="I239" i="15"/>
  <c r="F239" i="15"/>
  <c r="C239" i="15"/>
  <c r="R238" i="15"/>
  <c r="O238" i="15"/>
  <c r="L238" i="15"/>
  <c r="I238" i="15"/>
  <c r="F238" i="15"/>
  <c r="C238" i="15"/>
  <c r="T237" i="15"/>
  <c r="S237" i="15"/>
  <c r="Q237" i="15"/>
  <c r="P237" i="15"/>
  <c r="N237" i="15"/>
  <c r="M237" i="15"/>
  <c r="K237" i="15"/>
  <c r="J237" i="15"/>
  <c r="H237" i="15"/>
  <c r="G237" i="15"/>
  <c r="E237" i="15"/>
  <c r="E236" i="15" s="1"/>
  <c r="D237" i="15"/>
  <c r="B237" i="15"/>
  <c r="R233" i="15"/>
  <c r="O233" i="15"/>
  <c r="L233" i="15"/>
  <c r="I233" i="15"/>
  <c r="F233" i="15"/>
  <c r="C233" i="15"/>
  <c r="R232" i="15"/>
  <c r="O232" i="15"/>
  <c r="L232" i="15"/>
  <c r="I232" i="15"/>
  <c r="F232" i="15"/>
  <c r="C232" i="15"/>
  <c r="T231" i="15"/>
  <c r="S231" i="15"/>
  <c r="Q231" i="15"/>
  <c r="P231" i="15"/>
  <c r="N231" i="15"/>
  <c r="M231" i="15"/>
  <c r="K231" i="15"/>
  <c r="J231" i="15"/>
  <c r="H231" i="15"/>
  <c r="G231" i="15"/>
  <c r="E231" i="15"/>
  <c r="D231" i="15"/>
  <c r="B231" i="15"/>
  <c r="R230" i="15"/>
  <c r="O230" i="15"/>
  <c r="L230" i="15"/>
  <c r="I230" i="15"/>
  <c r="F230" i="15"/>
  <c r="C230" i="15"/>
  <c r="R229" i="15"/>
  <c r="O229" i="15"/>
  <c r="L229" i="15"/>
  <c r="I229" i="15"/>
  <c r="F229" i="15"/>
  <c r="C229" i="15"/>
  <c r="T228" i="15"/>
  <c r="S228" i="15"/>
  <c r="Q228" i="15"/>
  <c r="P228" i="15"/>
  <c r="N228" i="15"/>
  <c r="M228" i="15"/>
  <c r="K228" i="15"/>
  <c r="J228" i="15"/>
  <c r="H228" i="15"/>
  <c r="G228" i="15"/>
  <c r="E228" i="15"/>
  <c r="D228" i="15"/>
  <c r="B228" i="15"/>
  <c r="R226" i="15"/>
  <c r="O226" i="15"/>
  <c r="L226" i="15"/>
  <c r="I226" i="15"/>
  <c r="F226" i="15"/>
  <c r="C226" i="15"/>
  <c r="R225" i="15"/>
  <c r="O225" i="15"/>
  <c r="L225" i="15"/>
  <c r="I225" i="15"/>
  <c r="F225" i="15"/>
  <c r="C225" i="15"/>
  <c r="K224" i="15"/>
  <c r="J224" i="15"/>
  <c r="H224" i="15"/>
  <c r="G224" i="15"/>
  <c r="E224" i="15"/>
  <c r="D224" i="15"/>
  <c r="R223" i="15"/>
  <c r="O223" i="15"/>
  <c r="L223" i="15"/>
  <c r="I223" i="15"/>
  <c r="F223" i="15"/>
  <c r="C223" i="15"/>
  <c r="R222" i="15"/>
  <c r="O222" i="15"/>
  <c r="L222" i="15"/>
  <c r="I222" i="15"/>
  <c r="F222" i="15"/>
  <c r="C222" i="15"/>
  <c r="T221" i="15"/>
  <c r="S221" i="15"/>
  <c r="Q221" i="15"/>
  <c r="P221" i="15"/>
  <c r="N221" i="15"/>
  <c r="K221" i="15"/>
  <c r="J221" i="15"/>
  <c r="H221" i="15"/>
  <c r="G221" i="15"/>
  <c r="E221" i="15"/>
  <c r="D221" i="15"/>
  <c r="B221" i="15"/>
  <c r="R218" i="15"/>
  <c r="O218" i="15"/>
  <c r="L218" i="15"/>
  <c r="I218" i="15"/>
  <c r="F218" i="15"/>
  <c r="C218" i="15"/>
  <c r="R217" i="15"/>
  <c r="O217" i="15"/>
  <c r="L217" i="15"/>
  <c r="I217" i="15"/>
  <c r="F217" i="15"/>
  <c r="C217" i="15"/>
  <c r="T216" i="15"/>
  <c r="S216" i="15"/>
  <c r="Q216" i="15"/>
  <c r="P216" i="15"/>
  <c r="N216" i="15"/>
  <c r="M216" i="15"/>
  <c r="K216" i="15"/>
  <c r="J216" i="15"/>
  <c r="H216" i="15"/>
  <c r="G216" i="15"/>
  <c r="E216" i="15"/>
  <c r="D216" i="15"/>
  <c r="B216" i="15"/>
  <c r="R215" i="15"/>
  <c r="O215" i="15"/>
  <c r="L215" i="15"/>
  <c r="I215" i="15"/>
  <c r="F215" i="15"/>
  <c r="C215" i="15"/>
  <c r="R214" i="15"/>
  <c r="O214" i="15"/>
  <c r="L214" i="15"/>
  <c r="I214" i="15"/>
  <c r="F214" i="15"/>
  <c r="C214" i="15"/>
  <c r="T213" i="15"/>
  <c r="S213" i="15"/>
  <c r="Q213" i="15"/>
  <c r="P213" i="15"/>
  <c r="N213" i="15"/>
  <c r="M213" i="15"/>
  <c r="K213" i="15"/>
  <c r="J213" i="15"/>
  <c r="H213" i="15"/>
  <c r="G213" i="15"/>
  <c r="E213" i="15"/>
  <c r="D213" i="15"/>
  <c r="B213" i="15"/>
  <c r="R211" i="15"/>
  <c r="O211" i="15"/>
  <c r="L211" i="15"/>
  <c r="I211" i="15"/>
  <c r="F211" i="15"/>
  <c r="C211" i="15"/>
  <c r="R210" i="15"/>
  <c r="O210" i="15"/>
  <c r="L210" i="15"/>
  <c r="I210" i="15"/>
  <c r="F210" i="15"/>
  <c r="C210" i="15"/>
  <c r="T209" i="15"/>
  <c r="S209" i="15"/>
  <c r="Q209" i="15"/>
  <c r="P209" i="15"/>
  <c r="N209" i="15"/>
  <c r="M209" i="15"/>
  <c r="K209" i="15"/>
  <c r="J209" i="15"/>
  <c r="H209" i="15"/>
  <c r="G209" i="15"/>
  <c r="E209" i="15"/>
  <c r="D209" i="15"/>
  <c r="B209" i="15"/>
  <c r="R208" i="15"/>
  <c r="O208" i="15"/>
  <c r="L208" i="15"/>
  <c r="I208" i="15"/>
  <c r="F208" i="15"/>
  <c r="C208" i="15"/>
  <c r="T201" i="15"/>
  <c r="S201" i="15"/>
  <c r="S200" i="15" s="1"/>
  <c r="Q201" i="15"/>
  <c r="Q200" i="15" s="1"/>
  <c r="P201" i="15"/>
  <c r="N201" i="15"/>
  <c r="M201" i="15"/>
  <c r="M200" i="15" s="1"/>
  <c r="K201" i="15"/>
  <c r="J201" i="15"/>
  <c r="J200" i="15" s="1"/>
  <c r="H201" i="15"/>
  <c r="H200" i="15" s="1"/>
  <c r="G201" i="15"/>
  <c r="G200" i="15" s="1"/>
  <c r="E201" i="15"/>
  <c r="E200" i="15" s="1"/>
  <c r="D201" i="15"/>
  <c r="B200" i="15"/>
  <c r="R197" i="15"/>
  <c r="O197" i="15"/>
  <c r="L197" i="15"/>
  <c r="I197" i="15"/>
  <c r="F197" i="15"/>
  <c r="C197" i="15"/>
  <c r="R196" i="15"/>
  <c r="O196" i="15"/>
  <c r="L196" i="15"/>
  <c r="I196" i="15"/>
  <c r="F196" i="15"/>
  <c r="C196" i="15"/>
  <c r="T195" i="15"/>
  <c r="S195" i="15"/>
  <c r="Q195" i="15"/>
  <c r="P195" i="15"/>
  <c r="N195" i="15"/>
  <c r="M195" i="15"/>
  <c r="K195" i="15"/>
  <c r="J195" i="15"/>
  <c r="H195" i="15"/>
  <c r="G195" i="15"/>
  <c r="E195" i="15"/>
  <c r="D195" i="15"/>
  <c r="B195" i="15"/>
  <c r="R194" i="15"/>
  <c r="O194" i="15"/>
  <c r="L194" i="15"/>
  <c r="I194" i="15"/>
  <c r="F194" i="15"/>
  <c r="C194" i="15"/>
  <c r="R193" i="15"/>
  <c r="O193" i="15"/>
  <c r="L193" i="15"/>
  <c r="I193" i="15"/>
  <c r="F193" i="15"/>
  <c r="C193" i="15"/>
  <c r="T192" i="15"/>
  <c r="S192" i="15"/>
  <c r="Q192" i="15"/>
  <c r="P192" i="15"/>
  <c r="O192" i="15" s="1"/>
  <c r="N192" i="15"/>
  <c r="M192" i="15"/>
  <c r="K192" i="15"/>
  <c r="J192" i="15"/>
  <c r="H192" i="15"/>
  <c r="G192" i="15"/>
  <c r="E192" i="15"/>
  <c r="D192" i="15"/>
  <c r="D191" i="15" s="1"/>
  <c r="B192" i="15"/>
  <c r="R190" i="15"/>
  <c r="O190" i="15"/>
  <c r="L190" i="15"/>
  <c r="I190" i="15"/>
  <c r="F190" i="15"/>
  <c r="C190" i="15"/>
  <c r="R189" i="15"/>
  <c r="O189" i="15"/>
  <c r="L189" i="15"/>
  <c r="I189" i="15"/>
  <c r="F189" i="15"/>
  <c r="C189" i="15"/>
  <c r="T188" i="15"/>
  <c r="S188" i="15"/>
  <c r="Q188" i="15"/>
  <c r="P188" i="15"/>
  <c r="N188" i="15"/>
  <c r="M188" i="15"/>
  <c r="K188" i="15"/>
  <c r="J188" i="15"/>
  <c r="H188" i="15"/>
  <c r="G188" i="15"/>
  <c r="E188" i="15"/>
  <c r="D188" i="15"/>
  <c r="B188" i="15"/>
  <c r="R187" i="15"/>
  <c r="O187" i="15"/>
  <c r="L187" i="15"/>
  <c r="I187" i="15"/>
  <c r="F187" i="15"/>
  <c r="C187" i="15"/>
  <c r="R186" i="15"/>
  <c r="O186" i="15"/>
  <c r="L186" i="15"/>
  <c r="I186" i="15"/>
  <c r="F186" i="15"/>
  <c r="C186" i="15"/>
  <c r="T185" i="15"/>
  <c r="S185" i="15"/>
  <c r="Q185" i="15"/>
  <c r="P185" i="15"/>
  <c r="N185" i="15"/>
  <c r="M185" i="15"/>
  <c r="K185" i="15"/>
  <c r="J185" i="15"/>
  <c r="H185" i="15"/>
  <c r="G185" i="15"/>
  <c r="E185" i="15"/>
  <c r="D185" i="15"/>
  <c r="B185" i="15"/>
  <c r="R182" i="15"/>
  <c r="O182" i="15"/>
  <c r="L182" i="15"/>
  <c r="I182" i="15"/>
  <c r="F182" i="15"/>
  <c r="C182" i="15"/>
  <c r="R181" i="15"/>
  <c r="O181" i="15"/>
  <c r="L181" i="15"/>
  <c r="I181" i="15"/>
  <c r="F181" i="15"/>
  <c r="C181" i="15"/>
  <c r="T180" i="15"/>
  <c r="S180" i="15"/>
  <c r="Q180" i="15"/>
  <c r="P180" i="15"/>
  <c r="N180" i="15"/>
  <c r="M180" i="15"/>
  <c r="K180" i="15"/>
  <c r="J180" i="15"/>
  <c r="H180" i="15"/>
  <c r="G180" i="15"/>
  <c r="E180" i="15"/>
  <c r="D180" i="15"/>
  <c r="B180" i="15"/>
  <c r="R179" i="15"/>
  <c r="O179" i="15"/>
  <c r="L179" i="15"/>
  <c r="I179" i="15"/>
  <c r="F179" i="15"/>
  <c r="C179" i="15"/>
  <c r="R178" i="15"/>
  <c r="O178" i="15"/>
  <c r="L178" i="15"/>
  <c r="I178" i="15"/>
  <c r="F178" i="15"/>
  <c r="C178" i="15"/>
  <c r="T177" i="15"/>
  <c r="S177" i="15"/>
  <c r="Q177" i="15"/>
  <c r="P177" i="15"/>
  <c r="N177" i="15"/>
  <c r="M177" i="15"/>
  <c r="K177" i="15"/>
  <c r="J177" i="15"/>
  <c r="H177" i="15"/>
  <c r="G177" i="15"/>
  <c r="E177" i="15"/>
  <c r="D177" i="15"/>
  <c r="B177" i="15"/>
  <c r="R175" i="15"/>
  <c r="O175" i="15"/>
  <c r="L175" i="15"/>
  <c r="I175" i="15"/>
  <c r="F175" i="15"/>
  <c r="C175" i="15"/>
  <c r="R174" i="15"/>
  <c r="O174" i="15"/>
  <c r="L174" i="15"/>
  <c r="I174" i="15"/>
  <c r="F174" i="15"/>
  <c r="C174" i="15"/>
  <c r="T173" i="15"/>
  <c r="S173" i="15"/>
  <c r="Q173" i="15"/>
  <c r="P173" i="15"/>
  <c r="N173" i="15"/>
  <c r="M173" i="15"/>
  <c r="K173" i="15"/>
  <c r="J173" i="15"/>
  <c r="H173" i="15"/>
  <c r="G173" i="15"/>
  <c r="E173" i="15"/>
  <c r="D173" i="15"/>
  <c r="B173" i="15"/>
  <c r="R172" i="15"/>
  <c r="O172" i="15"/>
  <c r="L172" i="15"/>
  <c r="I172" i="15"/>
  <c r="F172" i="15"/>
  <c r="C172" i="15"/>
  <c r="R171" i="15"/>
  <c r="O171" i="15"/>
  <c r="L171" i="15"/>
  <c r="I171" i="15"/>
  <c r="F171" i="15"/>
  <c r="C171" i="15"/>
  <c r="T170" i="15"/>
  <c r="S170" i="15"/>
  <c r="Q170" i="15"/>
  <c r="P170" i="15"/>
  <c r="N170" i="15"/>
  <c r="M170" i="15"/>
  <c r="K170" i="15"/>
  <c r="J170" i="15"/>
  <c r="H170" i="15"/>
  <c r="G170" i="15"/>
  <c r="F170" i="15" s="1"/>
  <c r="E170" i="15"/>
  <c r="D170" i="15"/>
  <c r="B170" i="15"/>
  <c r="R167" i="15"/>
  <c r="O167" i="15"/>
  <c r="L167" i="15"/>
  <c r="I167" i="15"/>
  <c r="F167" i="15"/>
  <c r="C167" i="15"/>
  <c r="R166" i="15"/>
  <c r="O166" i="15"/>
  <c r="L166" i="15"/>
  <c r="I166" i="15"/>
  <c r="F166" i="15"/>
  <c r="C166" i="15"/>
  <c r="T165" i="15"/>
  <c r="S165" i="15"/>
  <c r="Q165" i="15"/>
  <c r="P165" i="15"/>
  <c r="N165" i="15"/>
  <c r="M165" i="15"/>
  <c r="K165" i="15"/>
  <c r="J165" i="15"/>
  <c r="H165" i="15"/>
  <c r="G165" i="15"/>
  <c r="E165" i="15"/>
  <c r="D165" i="15"/>
  <c r="B165" i="15"/>
  <c r="R164" i="15"/>
  <c r="O164" i="15"/>
  <c r="L164" i="15"/>
  <c r="I164" i="15"/>
  <c r="F164" i="15"/>
  <c r="C164" i="15"/>
  <c r="R163" i="15"/>
  <c r="O163" i="15"/>
  <c r="L163" i="15"/>
  <c r="I163" i="15"/>
  <c r="F163" i="15"/>
  <c r="C163" i="15"/>
  <c r="T162" i="15"/>
  <c r="S162" i="15"/>
  <c r="Q162" i="15"/>
  <c r="P162" i="15"/>
  <c r="N162" i="15"/>
  <c r="M162" i="15"/>
  <c r="K162" i="15"/>
  <c r="J162" i="15"/>
  <c r="H162" i="15"/>
  <c r="G162" i="15"/>
  <c r="E162" i="15"/>
  <c r="D162" i="15"/>
  <c r="B162" i="15"/>
  <c r="R160" i="15"/>
  <c r="O160" i="15"/>
  <c r="L160" i="15"/>
  <c r="I160" i="15"/>
  <c r="F160" i="15"/>
  <c r="C160" i="15"/>
  <c r="R159" i="15"/>
  <c r="O159" i="15"/>
  <c r="L159" i="15"/>
  <c r="I159" i="15"/>
  <c r="F159" i="15"/>
  <c r="C159" i="15"/>
  <c r="T158" i="15"/>
  <c r="S158" i="15"/>
  <c r="Q158" i="15"/>
  <c r="P158" i="15"/>
  <c r="N158" i="15"/>
  <c r="M158" i="15"/>
  <c r="K158" i="15"/>
  <c r="J158" i="15"/>
  <c r="H158" i="15"/>
  <c r="G158" i="15"/>
  <c r="E158" i="15"/>
  <c r="D158" i="15"/>
  <c r="B158" i="15"/>
  <c r="R157" i="15"/>
  <c r="O157" i="15"/>
  <c r="L157" i="15"/>
  <c r="I157" i="15"/>
  <c r="F157" i="15"/>
  <c r="C157" i="15"/>
  <c r="R156" i="15"/>
  <c r="O156" i="15"/>
  <c r="L156" i="15"/>
  <c r="I156" i="15"/>
  <c r="F156" i="15"/>
  <c r="C156" i="15"/>
  <c r="T155" i="15"/>
  <c r="S155" i="15"/>
  <c r="Q155" i="15"/>
  <c r="P155" i="15"/>
  <c r="N155" i="15"/>
  <c r="M155" i="15"/>
  <c r="K155" i="15"/>
  <c r="J155" i="15"/>
  <c r="H155" i="15"/>
  <c r="G155" i="15"/>
  <c r="F155" i="15" s="1"/>
  <c r="E155" i="15"/>
  <c r="D155" i="15"/>
  <c r="B155" i="15"/>
  <c r="R151" i="15"/>
  <c r="O151" i="15"/>
  <c r="L151" i="15"/>
  <c r="I151" i="15"/>
  <c r="F151" i="15"/>
  <c r="C151" i="15"/>
  <c r="R150" i="15"/>
  <c r="O150" i="15"/>
  <c r="L150" i="15"/>
  <c r="I150" i="15"/>
  <c r="F150" i="15"/>
  <c r="C150" i="15"/>
  <c r="T149" i="15"/>
  <c r="S149" i="15"/>
  <c r="Q149" i="15"/>
  <c r="P149" i="15"/>
  <c r="N149" i="15"/>
  <c r="M149" i="15"/>
  <c r="K149" i="15"/>
  <c r="J149" i="15"/>
  <c r="H149" i="15"/>
  <c r="G149" i="15"/>
  <c r="E149" i="15"/>
  <c r="D149" i="15"/>
  <c r="B149" i="15"/>
  <c r="R148" i="15"/>
  <c r="O148" i="15"/>
  <c r="L148" i="15"/>
  <c r="I148" i="15"/>
  <c r="F148" i="15"/>
  <c r="C148" i="15"/>
  <c r="R147" i="15"/>
  <c r="O147" i="15"/>
  <c r="L147" i="15"/>
  <c r="I147" i="15"/>
  <c r="F147" i="15"/>
  <c r="C147" i="15"/>
  <c r="T146" i="15"/>
  <c r="S146" i="15"/>
  <c r="Q146" i="15"/>
  <c r="P146" i="15"/>
  <c r="N146" i="15"/>
  <c r="M146" i="15"/>
  <c r="K146" i="15"/>
  <c r="J146" i="15"/>
  <c r="H146" i="15"/>
  <c r="G146" i="15"/>
  <c r="E146" i="15"/>
  <c r="D146" i="15"/>
  <c r="B146" i="15"/>
  <c r="R144" i="15"/>
  <c r="O144" i="15"/>
  <c r="L144" i="15"/>
  <c r="I144" i="15"/>
  <c r="F144" i="15"/>
  <c r="C144" i="15"/>
  <c r="R143" i="15"/>
  <c r="O143" i="15"/>
  <c r="L143" i="15"/>
  <c r="I143" i="15"/>
  <c r="F143" i="15"/>
  <c r="C143" i="15"/>
  <c r="T142" i="15"/>
  <c r="S142" i="15"/>
  <c r="Q142" i="15"/>
  <c r="P142" i="15"/>
  <c r="N142" i="15"/>
  <c r="M142" i="15"/>
  <c r="K142" i="15"/>
  <c r="J142" i="15"/>
  <c r="H142" i="15"/>
  <c r="G142" i="15"/>
  <c r="E142" i="15"/>
  <c r="D142" i="15"/>
  <c r="B142" i="15"/>
  <c r="R141" i="15"/>
  <c r="O141" i="15"/>
  <c r="L141" i="15"/>
  <c r="I141" i="15"/>
  <c r="F141" i="15"/>
  <c r="C141" i="15"/>
  <c r="R140" i="15"/>
  <c r="O140" i="15"/>
  <c r="L140" i="15"/>
  <c r="I140" i="15"/>
  <c r="F140" i="15"/>
  <c r="C140" i="15"/>
  <c r="T139" i="15"/>
  <c r="S139" i="15"/>
  <c r="Q139" i="15"/>
  <c r="P139" i="15"/>
  <c r="N139" i="15"/>
  <c r="M139" i="15"/>
  <c r="K139" i="15"/>
  <c r="J139" i="15"/>
  <c r="H139" i="15"/>
  <c r="G139" i="15"/>
  <c r="E139" i="15"/>
  <c r="D139" i="15"/>
  <c r="B139" i="15"/>
  <c r="G138" i="15"/>
  <c r="R136" i="15"/>
  <c r="O136" i="15"/>
  <c r="L136" i="15"/>
  <c r="I136" i="15"/>
  <c r="F136" i="15"/>
  <c r="C136" i="15"/>
  <c r="R135" i="15"/>
  <c r="O135" i="15"/>
  <c r="L135" i="15"/>
  <c r="I135" i="15"/>
  <c r="F135" i="15"/>
  <c r="C135" i="15"/>
  <c r="T134" i="15"/>
  <c r="S134" i="15"/>
  <c r="Q134" i="15"/>
  <c r="P134" i="15"/>
  <c r="N134" i="15"/>
  <c r="M134" i="15"/>
  <c r="K134" i="15"/>
  <c r="J134" i="15"/>
  <c r="I134" i="15" s="1"/>
  <c r="H134" i="15"/>
  <c r="G134" i="15"/>
  <c r="E134" i="15"/>
  <c r="D134" i="15"/>
  <c r="B134" i="15"/>
  <c r="R133" i="15"/>
  <c r="O133" i="15"/>
  <c r="L133" i="15"/>
  <c r="I133" i="15"/>
  <c r="F133" i="15"/>
  <c r="C133" i="15"/>
  <c r="R131" i="15"/>
  <c r="O131" i="15"/>
  <c r="L131" i="15"/>
  <c r="I131" i="15"/>
  <c r="F131" i="15"/>
  <c r="C131" i="15"/>
  <c r="T130" i="15"/>
  <c r="S130" i="15"/>
  <c r="K130" i="15"/>
  <c r="J130" i="15"/>
  <c r="H130" i="15"/>
  <c r="G130" i="15"/>
  <c r="G129" i="15" s="1"/>
  <c r="E130" i="15"/>
  <c r="D130" i="15"/>
  <c r="R128" i="15"/>
  <c r="O128" i="15"/>
  <c r="L128" i="15"/>
  <c r="I128" i="15"/>
  <c r="F128" i="15"/>
  <c r="C128" i="15"/>
  <c r="R127" i="15"/>
  <c r="O127" i="15"/>
  <c r="L127" i="15"/>
  <c r="I127" i="15"/>
  <c r="F127" i="15"/>
  <c r="C127" i="15"/>
  <c r="T126" i="15"/>
  <c r="S126" i="15"/>
  <c r="Q126" i="15"/>
  <c r="P126" i="15"/>
  <c r="N126" i="15"/>
  <c r="M126" i="15"/>
  <c r="K126" i="15"/>
  <c r="J126" i="15"/>
  <c r="H126" i="15"/>
  <c r="G126" i="15"/>
  <c r="E126" i="15"/>
  <c r="D126" i="15"/>
  <c r="B126" i="15"/>
  <c r="R125" i="15"/>
  <c r="O125" i="15"/>
  <c r="L125" i="15"/>
  <c r="I125" i="15"/>
  <c r="F125" i="15"/>
  <c r="C125" i="15"/>
  <c r="R124" i="15"/>
  <c r="O124" i="15"/>
  <c r="L124" i="15"/>
  <c r="I124" i="15"/>
  <c r="F124" i="15"/>
  <c r="C124" i="15"/>
  <c r="T123" i="15"/>
  <c r="S123" i="15"/>
  <c r="R123" i="15" s="1"/>
  <c r="Q123" i="15"/>
  <c r="P123" i="15"/>
  <c r="N123" i="15"/>
  <c r="M123" i="15"/>
  <c r="L123" i="15" s="1"/>
  <c r="K123" i="15"/>
  <c r="J123" i="15"/>
  <c r="H123" i="15"/>
  <c r="G123" i="15"/>
  <c r="E123" i="15"/>
  <c r="D123" i="15"/>
  <c r="B123" i="15"/>
  <c r="R120" i="15"/>
  <c r="O120" i="15"/>
  <c r="L120" i="15"/>
  <c r="I120" i="15"/>
  <c r="F120" i="15"/>
  <c r="C120" i="15"/>
  <c r="R119" i="15"/>
  <c r="O119" i="15"/>
  <c r="L119" i="15"/>
  <c r="I119" i="15"/>
  <c r="F119" i="15"/>
  <c r="C119" i="15"/>
  <c r="T118" i="15"/>
  <c r="S118" i="15"/>
  <c r="Q118" i="15"/>
  <c r="P118" i="15"/>
  <c r="N118" i="15"/>
  <c r="M118" i="15"/>
  <c r="K118" i="15"/>
  <c r="J118" i="15"/>
  <c r="H118" i="15"/>
  <c r="G118" i="15"/>
  <c r="E118" i="15"/>
  <c r="D118" i="15"/>
  <c r="B118" i="15"/>
  <c r="R117" i="15"/>
  <c r="O117" i="15"/>
  <c r="L117" i="15"/>
  <c r="I117" i="15"/>
  <c r="F117" i="15"/>
  <c r="C117" i="15"/>
  <c r="R116" i="15"/>
  <c r="O116" i="15"/>
  <c r="L116" i="15"/>
  <c r="I116" i="15"/>
  <c r="F116" i="15"/>
  <c r="C116" i="15"/>
  <c r="T115" i="15"/>
  <c r="S115" i="15"/>
  <c r="Q115" i="15"/>
  <c r="P115" i="15"/>
  <c r="P114" i="15" s="1"/>
  <c r="N115" i="15"/>
  <c r="M115" i="15"/>
  <c r="K115" i="15"/>
  <c r="J115" i="15"/>
  <c r="H115" i="15"/>
  <c r="G115" i="15"/>
  <c r="E115" i="15"/>
  <c r="D115" i="15"/>
  <c r="D114" i="15" s="1"/>
  <c r="B115" i="15"/>
  <c r="R113" i="15"/>
  <c r="O113" i="15"/>
  <c r="L113" i="15"/>
  <c r="I113" i="15"/>
  <c r="F113" i="15"/>
  <c r="C113" i="15"/>
  <c r="R112" i="15"/>
  <c r="O112" i="15"/>
  <c r="L112" i="15"/>
  <c r="I112" i="15"/>
  <c r="F112" i="15"/>
  <c r="C112" i="15"/>
  <c r="T111" i="15"/>
  <c r="S111" i="15"/>
  <c r="Q111" i="15"/>
  <c r="P111" i="15"/>
  <c r="N111" i="15"/>
  <c r="M111" i="15"/>
  <c r="K111" i="15"/>
  <c r="J111" i="15"/>
  <c r="H111" i="15"/>
  <c r="G111" i="15"/>
  <c r="E111" i="15"/>
  <c r="D111" i="15"/>
  <c r="B111" i="15"/>
  <c r="R110" i="15"/>
  <c r="O110" i="15"/>
  <c r="L110" i="15"/>
  <c r="I110" i="15"/>
  <c r="F110" i="15"/>
  <c r="C110" i="15"/>
  <c r="R109" i="15"/>
  <c r="O109" i="15"/>
  <c r="L109" i="15"/>
  <c r="I109" i="15"/>
  <c r="F109" i="15"/>
  <c r="C109" i="15"/>
  <c r="T108" i="15"/>
  <c r="S108" i="15"/>
  <c r="R108" i="15" s="1"/>
  <c r="Q108" i="15"/>
  <c r="P108" i="15"/>
  <c r="N108" i="15"/>
  <c r="M108" i="15"/>
  <c r="L108" i="15" s="1"/>
  <c r="K108" i="15"/>
  <c r="J108" i="15"/>
  <c r="H108" i="15"/>
  <c r="G108" i="15"/>
  <c r="F108" i="15" s="1"/>
  <c r="E108" i="15"/>
  <c r="D108" i="15"/>
  <c r="B108" i="15"/>
  <c r="R103" i="15"/>
  <c r="O103" i="15"/>
  <c r="L103" i="15"/>
  <c r="I103" i="15"/>
  <c r="F103" i="15"/>
  <c r="C103" i="15"/>
  <c r="R102" i="15"/>
  <c r="O102" i="15"/>
  <c r="L102" i="15"/>
  <c r="I102" i="15"/>
  <c r="F102" i="15"/>
  <c r="C102" i="15"/>
  <c r="T101" i="15"/>
  <c r="S101" i="15"/>
  <c r="Q101" i="15"/>
  <c r="P101" i="15"/>
  <c r="N101" i="15"/>
  <c r="M101" i="15"/>
  <c r="K101" i="15"/>
  <c r="J101" i="15"/>
  <c r="H101" i="15"/>
  <c r="G101" i="15"/>
  <c r="E101" i="15"/>
  <c r="D101" i="15"/>
  <c r="B101" i="15"/>
  <c r="R100" i="15"/>
  <c r="O100" i="15"/>
  <c r="L100" i="15"/>
  <c r="I100" i="15"/>
  <c r="F100" i="15"/>
  <c r="C100" i="15"/>
  <c r="R99" i="15"/>
  <c r="O99" i="15"/>
  <c r="L99" i="15"/>
  <c r="I99" i="15"/>
  <c r="F99" i="15"/>
  <c r="C99" i="15"/>
  <c r="T98" i="15"/>
  <c r="S98" i="15"/>
  <c r="Q98" i="15"/>
  <c r="P98" i="15"/>
  <c r="P97" i="15" s="1"/>
  <c r="N98" i="15"/>
  <c r="M98" i="15"/>
  <c r="K98" i="15"/>
  <c r="J98" i="15"/>
  <c r="J97" i="15" s="1"/>
  <c r="H98" i="15"/>
  <c r="G98" i="15"/>
  <c r="E98" i="15"/>
  <c r="D98" i="15"/>
  <c r="D97" i="15" s="1"/>
  <c r="B98" i="15"/>
  <c r="R96" i="15"/>
  <c r="O96" i="15"/>
  <c r="L96" i="15"/>
  <c r="I96" i="15"/>
  <c r="F96" i="15"/>
  <c r="C96" i="15"/>
  <c r="R95" i="15"/>
  <c r="O95" i="15"/>
  <c r="L95" i="15"/>
  <c r="I95" i="15"/>
  <c r="F95" i="15"/>
  <c r="C95" i="15"/>
  <c r="T94" i="15"/>
  <c r="S94" i="15"/>
  <c r="Q94" i="15"/>
  <c r="P94" i="15"/>
  <c r="N94" i="15"/>
  <c r="M94" i="15"/>
  <c r="K94" i="15"/>
  <c r="J94" i="15"/>
  <c r="H94" i="15"/>
  <c r="G94" i="15"/>
  <c r="E94" i="15"/>
  <c r="D94" i="15"/>
  <c r="B94" i="15"/>
  <c r="R93" i="15"/>
  <c r="O93" i="15"/>
  <c r="L93" i="15"/>
  <c r="I93" i="15"/>
  <c r="F93" i="15"/>
  <c r="C93" i="15"/>
  <c r="R92" i="15"/>
  <c r="O92" i="15"/>
  <c r="L92" i="15"/>
  <c r="I92" i="15"/>
  <c r="F92" i="15"/>
  <c r="C92" i="15"/>
  <c r="T91" i="15"/>
  <c r="S91" i="15"/>
  <c r="R91" i="15" s="1"/>
  <c r="Q91" i="15"/>
  <c r="P91" i="15"/>
  <c r="N91" i="15"/>
  <c r="M91" i="15"/>
  <c r="K91" i="15"/>
  <c r="J91" i="15"/>
  <c r="H91" i="15"/>
  <c r="G91" i="15"/>
  <c r="E91" i="15"/>
  <c r="D91" i="15"/>
  <c r="B91" i="15"/>
  <c r="R88" i="15"/>
  <c r="O88" i="15"/>
  <c r="L88" i="15"/>
  <c r="I88" i="15"/>
  <c r="F88" i="15"/>
  <c r="C88" i="15"/>
  <c r="R87" i="15"/>
  <c r="O87" i="15"/>
  <c r="L87" i="15"/>
  <c r="I87" i="15"/>
  <c r="F87" i="15"/>
  <c r="C87" i="15"/>
  <c r="T86" i="15"/>
  <c r="S86" i="15"/>
  <c r="Q86" i="15"/>
  <c r="P86" i="15"/>
  <c r="N86" i="15"/>
  <c r="M86" i="15"/>
  <c r="K86" i="15"/>
  <c r="J86" i="15"/>
  <c r="H86" i="15"/>
  <c r="G86" i="15"/>
  <c r="E86" i="15"/>
  <c r="D86" i="15"/>
  <c r="B86" i="15"/>
  <c r="R85" i="15"/>
  <c r="O85" i="15"/>
  <c r="L85" i="15"/>
  <c r="I85" i="15"/>
  <c r="F85" i="15"/>
  <c r="C85" i="15"/>
  <c r="R84" i="15"/>
  <c r="O84" i="15"/>
  <c r="L84" i="15"/>
  <c r="I84" i="15"/>
  <c r="F84" i="15"/>
  <c r="C84" i="15"/>
  <c r="T83" i="15"/>
  <c r="S83" i="15"/>
  <c r="Q83" i="15"/>
  <c r="P83" i="15"/>
  <c r="P82" i="15" s="1"/>
  <c r="N83" i="15"/>
  <c r="M83" i="15"/>
  <c r="K83" i="15"/>
  <c r="J83" i="15"/>
  <c r="I83" i="15" s="1"/>
  <c r="H83" i="15"/>
  <c r="G83" i="15"/>
  <c r="E83" i="15"/>
  <c r="D83" i="15"/>
  <c r="D82" i="15" s="1"/>
  <c r="B83" i="15"/>
  <c r="R81" i="15"/>
  <c r="O81" i="15"/>
  <c r="L81" i="15"/>
  <c r="I81" i="15"/>
  <c r="F81" i="15"/>
  <c r="C81" i="15"/>
  <c r="R80" i="15"/>
  <c r="O80" i="15"/>
  <c r="L80" i="15"/>
  <c r="I80" i="15"/>
  <c r="F80" i="15"/>
  <c r="C80" i="15"/>
  <c r="T79" i="15"/>
  <c r="S79" i="15"/>
  <c r="Q79" i="15"/>
  <c r="P79" i="15"/>
  <c r="N79" i="15"/>
  <c r="M79" i="15"/>
  <c r="K79" i="15"/>
  <c r="J79" i="15"/>
  <c r="H79" i="15"/>
  <c r="G79" i="15"/>
  <c r="E79" i="15"/>
  <c r="D79" i="15"/>
  <c r="B79" i="15"/>
  <c r="R78" i="15"/>
  <c r="O78" i="15"/>
  <c r="L78" i="15"/>
  <c r="I78" i="15"/>
  <c r="F78" i="15"/>
  <c r="C78" i="15"/>
  <c r="R77" i="15"/>
  <c r="O77" i="15"/>
  <c r="L77" i="15"/>
  <c r="I77" i="15"/>
  <c r="F77" i="15"/>
  <c r="C77" i="15"/>
  <c r="T76" i="15"/>
  <c r="S76" i="15"/>
  <c r="Q76" i="15"/>
  <c r="P76" i="15"/>
  <c r="N76" i="15"/>
  <c r="M76" i="15"/>
  <c r="K76" i="15"/>
  <c r="J76" i="15"/>
  <c r="J75" i="15" s="1"/>
  <c r="H76" i="15"/>
  <c r="G76" i="15"/>
  <c r="E76" i="15"/>
  <c r="D76" i="15"/>
  <c r="D75" i="15" s="1"/>
  <c r="B76" i="15"/>
  <c r="R73" i="15"/>
  <c r="O73" i="15"/>
  <c r="L73" i="15"/>
  <c r="I73" i="15"/>
  <c r="F73" i="15"/>
  <c r="C73" i="15"/>
  <c r="R72" i="15"/>
  <c r="O72" i="15"/>
  <c r="L72" i="15"/>
  <c r="I72" i="15"/>
  <c r="F72" i="15"/>
  <c r="C72" i="15"/>
  <c r="T71" i="15"/>
  <c r="S71" i="15"/>
  <c r="Q71" i="15"/>
  <c r="P71" i="15"/>
  <c r="N71" i="15"/>
  <c r="M71" i="15"/>
  <c r="K71" i="15"/>
  <c r="J71" i="15"/>
  <c r="H71" i="15"/>
  <c r="G71" i="15"/>
  <c r="E71" i="15"/>
  <c r="D71" i="15"/>
  <c r="B71" i="15"/>
  <c r="R70" i="15"/>
  <c r="O70" i="15"/>
  <c r="L70" i="15"/>
  <c r="I70" i="15"/>
  <c r="F70" i="15"/>
  <c r="C70" i="15"/>
  <c r="R69" i="15"/>
  <c r="O69" i="15"/>
  <c r="L69" i="15"/>
  <c r="I69" i="15"/>
  <c r="F69" i="15"/>
  <c r="C69" i="15"/>
  <c r="T68" i="15"/>
  <c r="S68" i="15"/>
  <c r="Q68" i="15"/>
  <c r="P68" i="15"/>
  <c r="P67" i="15" s="1"/>
  <c r="N68" i="15"/>
  <c r="M68" i="15"/>
  <c r="K68" i="15"/>
  <c r="J68" i="15"/>
  <c r="H68" i="15"/>
  <c r="G68" i="15"/>
  <c r="E68" i="15"/>
  <c r="D68" i="15"/>
  <c r="B68" i="15"/>
  <c r="R66" i="15"/>
  <c r="O66" i="15"/>
  <c r="L66" i="15"/>
  <c r="I66" i="15"/>
  <c r="F66" i="15"/>
  <c r="C66" i="15"/>
  <c r="R65" i="15"/>
  <c r="O65" i="15"/>
  <c r="L65" i="15"/>
  <c r="I65" i="15"/>
  <c r="F65" i="15"/>
  <c r="C65" i="15"/>
  <c r="T64" i="15"/>
  <c r="S64" i="15"/>
  <c r="Q64" i="15"/>
  <c r="P64" i="15"/>
  <c r="N64" i="15"/>
  <c r="M64" i="15"/>
  <c r="K64" i="15"/>
  <c r="J64" i="15"/>
  <c r="H64" i="15"/>
  <c r="G64" i="15"/>
  <c r="E64" i="15"/>
  <c r="D64" i="15"/>
  <c r="B64" i="15"/>
  <c r="R63" i="15"/>
  <c r="O63" i="15"/>
  <c r="L63" i="15"/>
  <c r="I63" i="15"/>
  <c r="F63" i="15"/>
  <c r="C63" i="15"/>
  <c r="R62" i="15"/>
  <c r="O62" i="15"/>
  <c r="L62" i="15"/>
  <c r="I62" i="15"/>
  <c r="F62" i="15"/>
  <c r="C62" i="15"/>
  <c r="T61" i="15"/>
  <c r="S61" i="15"/>
  <c r="S60" i="15" s="1"/>
  <c r="Q61" i="15"/>
  <c r="P61" i="15"/>
  <c r="N61" i="15"/>
  <c r="M61" i="15"/>
  <c r="L61" i="15" s="1"/>
  <c r="K61" i="15"/>
  <c r="J61" i="15"/>
  <c r="H61" i="15"/>
  <c r="G61" i="15"/>
  <c r="E61" i="15"/>
  <c r="D61" i="15"/>
  <c r="B61" i="15"/>
  <c r="R57" i="15"/>
  <c r="O57" i="15"/>
  <c r="L57" i="15"/>
  <c r="I57" i="15"/>
  <c r="F57" i="15"/>
  <c r="C57" i="15"/>
  <c r="R56" i="15"/>
  <c r="O56" i="15"/>
  <c r="L56" i="15"/>
  <c r="I56" i="15"/>
  <c r="F56" i="15"/>
  <c r="C56" i="15"/>
  <c r="T55" i="15"/>
  <c r="S55" i="15"/>
  <c r="Q55" i="15"/>
  <c r="P55" i="15"/>
  <c r="N55" i="15"/>
  <c r="M55" i="15"/>
  <c r="K55" i="15"/>
  <c r="J55" i="15"/>
  <c r="H55" i="15"/>
  <c r="G55" i="15"/>
  <c r="E55" i="15"/>
  <c r="D55" i="15"/>
  <c r="B55" i="15"/>
  <c r="R54" i="15"/>
  <c r="O54" i="15"/>
  <c r="L54" i="15"/>
  <c r="I54" i="15"/>
  <c r="F54" i="15"/>
  <c r="C54" i="15"/>
  <c r="R53" i="15"/>
  <c r="O53" i="15"/>
  <c r="L53" i="15"/>
  <c r="I53" i="15"/>
  <c r="F53" i="15"/>
  <c r="C53" i="15"/>
  <c r="T52" i="15"/>
  <c r="S52" i="15"/>
  <c r="Q52" i="15"/>
  <c r="P52" i="15"/>
  <c r="N52" i="15"/>
  <c r="M52" i="15"/>
  <c r="K52" i="15"/>
  <c r="J52" i="15"/>
  <c r="H52" i="15"/>
  <c r="G52" i="15"/>
  <c r="E52" i="15"/>
  <c r="D52" i="15"/>
  <c r="D51" i="15" s="1"/>
  <c r="B52" i="15"/>
  <c r="R50" i="15"/>
  <c r="O50" i="15"/>
  <c r="L50" i="15"/>
  <c r="I50" i="15"/>
  <c r="F50" i="15"/>
  <c r="C50" i="15"/>
  <c r="R49" i="15"/>
  <c r="O49" i="15"/>
  <c r="L49" i="15"/>
  <c r="I49" i="15"/>
  <c r="F49" i="15"/>
  <c r="C49" i="15"/>
  <c r="T48" i="15"/>
  <c r="S48" i="15"/>
  <c r="Q48" i="15"/>
  <c r="P48" i="15"/>
  <c r="N48" i="15"/>
  <c r="M48" i="15"/>
  <c r="K48" i="15"/>
  <c r="J48" i="15"/>
  <c r="H48" i="15"/>
  <c r="G48" i="15"/>
  <c r="E48" i="15"/>
  <c r="D48" i="15"/>
  <c r="B48" i="15"/>
  <c r="R47" i="15"/>
  <c r="O47" i="15"/>
  <c r="L47" i="15"/>
  <c r="I47" i="15"/>
  <c r="F47" i="15"/>
  <c r="C47" i="15"/>
  <c r="R46" i="15"/>
  <c r="O46" i="15"/>
  <c r="L46" i="15"/>
  <c r="I46" i="15"/>
  <c r="F46" i="15"/>
  <c r="C46" i="15"/>
  <c r="T45" i="15"/>
  <c r="S45" i="15"/>
  <c r="Q45" i="15"/>
  <c r="P45" i="15"/>
  <c r="N45" i="15"/>
  <c r="M45" i="15"/>
  <c r="K45" i="15"/>
  <c r="J45" i="15"/>
  <c r="H45" i="15"/>
  <c r="G45" i="15"/>
  <c r="E45" i="15"/>
  <c r="D45" i="15"/>
  <c r="D44" i="15" s="1"/>
  <c r="B45" i="15"/>
  <c r="R42" i="15"/>
  <c r="O42" i="15"/>
  <c r="L42" i="15"/>
  <c r="I42" i="15"/>
  <c r="F42" i="15"/>
  <c r="C42" i="15"/>
  <c r="R41" i="15"/>
  <c r="O41" i="15"/>
  <c r="L41" i="15"/>
  <c r="I41" i="15"/>
  <c r="F41" i="15"/>
  <c r="C41" i="15"/>
  <c r="T40" i="15"/>
  <c r="S40" i="15"/>
  <c r="Q40" i="15"/>
  <c r="P40" i="15"/>
  <c r="N40" i="15"/>
  <c r="M40" i="15"/>
  <c r="K40" i="15"/>
  <c r="J40" i="15"/>
  <c r="H40" i="15"/>
  <c r="G40" i="15"/>
  <c r="E40" i="15"/>
  <c r="D40" i="15"/>
  <c r="B40" i="15"/>
  <c r="R39" i="15"/>
  <c r="O39" i="15"/>
  <c r="L39" i="15"/>
  <c r="I39" i="15"/>
  <c r="F39" i="15"/>
  <c r="C39" i="15"/>
  <c r="R38" i="15"/>
  <c r="O38" i="15"/>
  <c r="L38" i="15"/>
  <c r="I38" i="15"/>
  <c r="F38" i="15"/>
  <c r="C38" i="15"/>
  <c r="T37" i="15"/>
  <c r="S37" i="15"/>
  <c r="Q37" i="15"/>
  <c r="P37" i="15"/>
  <c r="P36" i="15" s="1"/>
  <c r="N37" i="15"/>
  <c r="M37" i="15"/>
  <c r="K37" i="15"/>
  <c r="J37" i="15"/>
  <c r="H37" i="15"/>
  <c r="G37" i="15"/>
  <c r="E37" i="15"/>
  <c r="D37" i="15"/>
  <c r="D36" i="15" s="1"/>
  <c r="B37" i="15"/>
  <c r="R35" i="15"/>
  <c r="O35" i="15"/>
  <c r="L35" i="15"/>
  <c r="I35" i="15"/>
  <c r="F35" i="15"/>
  <c r="C35" i="15"/>
  <c r="R34" i="15"/>
  <c r="O34" i="15"/>
  <c r="L34" i="15"/>
  <c r="I34" i="15"/>
  <c r="F34" i="15"/>
  <c r="C34" i="15"/>
  <c r="T33" i="15"/>
  <c r="S33" i="15"/>
  <c r="Q33" i="15"/>
  <c r="P33" i="15"/>
  <c r="N33" i="15"/>
  <c r="M33" i="15"/>
  <c r="K33" i="15"/>
  <c r="J33" i="15"/>
  <c r="H33" i="15"/>
  <c r="G33" i="15"/>
  <c r="E33" i="15"/>
  <c r="D33" i="15"/>
  <c r="B33" i="15"/>
  <c r="R32" i="15"/>
  <c r="O32" i="15"/>
  <c r="L32" i="15"/>
  <c r="I32" i="15"/>
  <c r="F32" i="15"/>
  <c r="C32" i="15"/>
  <c r="R31" i="15"/>
  <c r="O31" i="15"/>
  <c r="L31" i="15"/>
  <c r="I31" i="15"/>
  <c r="F31" i="15"/>
  <c r="C31" i="15"/>
  <c r="T30" i="15"/>
  <c r="S30" i="15"/>
  <c r="R30" i="15" s="1"/>
  <c r="Q30" i="15"/>
  <c r="P30" i="15"/>
  <c r="N30" i="15"/>
  <c r="M30" i="15"/>
  <c r="L30" i="15" s="1"/>
  <c r="K30" i="15"/>
  <c r="J30" i="15"/>
  <c r="H30" i="15"/>
  <c r="G30" i="15"/>
  <c r="G29" i="15" s="1"/>
  <c r="E30" i="15"/>
  <c r="D30" i="15"/>
  <c r="B30" i="15"/>
  <c r="R27" i="15"/>
  <c r="O27" i="15"/>
  <c r="L27" i="15"/>
  <c r="I27" i="15"/>
  <c r="F27" i="15"/>
  <c r="C27" i="15"/>
  <c r="R26" i="15"/>
  <c r="O26" i="15"/>
  <c r="L26" i="15"/>
  <c r="I26" i="15"/>
  <c r="F26" i="15"/>
  <c r="C26" i="15"/>
  <c r="T25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R24" i="15"/>
  <c r="O24" i="15"/>
  <c r="L24" i="15"/>
  <c r="I24" i="15"/>
  <c r="F24" i="15"/>
  <c r="C24" i="15"/>
  <c r="R23" i="15"/>
  <c r="O23" i="15"/>
  <c r="L23" i="15"/>
  <c r="I23" i="15"/>
  <c r="F23" i="15"/>
  <c r="C23" i="15"/>
  <c r="T22" i="15"/>
  <c r="S22" i="15"/>
  <c r="Q22" i="15"/>
  <c r="P22" i="15"/>
  <c r="N22" i="15"/>
  <c r="M22" i="15"/>
  <c r="K22" i="15"/>
  <c r="J22" i="15"/>
  <c r="H22" i="15"/>
  <c r="G22" i="15"/>
  <c r="E22" i="15"/>
  <c r="D22" i="15"/>
  <c r="B22" i="15"/>
  <c r="R20" i="15"/>
  <c r="O20" i="15"/>
  <c r="L20" i="15"/>
  <c r="I20" i="15"/>
  <c r="F20" i="15"/>
  <c r="C20" i="15"/>
  <c r="R19" i="15"/>
  <c r="O19" i="15"/>
  <c r="L19" i="15"/>
  <c r="I19" i="15"/>
  <c r="F19" i="15"/>
  <c r="C19" i="15"/>
  <c r="T18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R17" i="15"/>
  <c r="O17" i="15"/>
  <c r="L17" i="15"/>
  <c r="I17" i="15"/>
  <c r="F17" i="15"/>
  <c r="C17" i="15"/>
  <c r="R16" i="15"/>
  <c r="O16" i="15"/>
  <c r="L16" i="15"/>
  <c r="I16" i="15"/>
  <c r="F16" i="15"/>
  <c r="C16" i="15"/>
  <c r="T15" i="15"/>
  <c r="S15" i="15"/>
  <c r="Q15" i="15"/>
  <c r="P15" i="15"/>
  <c r="N15" i="15"/>
  <c r="M15" i="15"/>
  <c r="K15" i="15"/>
  <c r="J15" i="15"/>
  <c r="H15" i="15"/>
  <c r="G15" i="15"/>
  <c r="E15" i="15"/>
  <c r="D15" i="15"/>
  <c r="B15" i="15"/>
  <c r="B108" i="14"/>
  <c r="B55" i="14"/>
  <c r="T200" i="14"/>
  <c r="T199" i="14" s="1"/>
  <c r="S200" i="14"/>
  <c r="S199" i="14" s="1"/>
  <c r="Q200" i="14"/>
  <c r="Q199" i="14" s="1"/>
  <c r="P200" i="14"/>
  <c r="P199" i="14" s="1"/>
  <c r="N200" i="14"/>
  <c r="N199" i="14" s="1"/>
  <c r="M200" i="14"/>
  <c r="M199" i="14" s="1"/>
  <c r="K200" i="14"/>
  <c r="K199" i="14" s="1"/>
  <c r="J200" i="14"/>
  <c r="J199" i="14" s="1"/>
  <c r="H200" i="14"/>
  <c r="H199" i="14" s="1"/>
  <c r="G200" i="14"/>
  <c r="G199" i="14" s="1"/>
  <c r="E200" i="14"/>
  <c r="E199" i="14" s="1"/>
  <c r="D200" i="14"/>
  <c r="D199" i="14" s="1"/>
  <c r="R338" i="14"/>
  <c r="O338" i="14"/>
  <c r="L338" i="14"/>
  <c r="I338" i="14"/>
  <c r="F338" i="14"/>
  <c r="C338" i="14"/>
  <c r="R337" i="14"/>
  <c r="O337" i="14"/>
  <c r="L337" i="14"/>
  <c r="I337" i="14"/>
  <c r="F337" i="14"/>
  <c r="C337" i="14"/>
  <c r="T336" i="14"/>
  <c r="S336" i="14"/>
  <c r="Q336" i="14"/>
  <c r="O336" i="14" s="1"/>
  <c r="P336" i="14"/>
  <c r="N336" i="14"/>
  <c r="M336" i="14"/>
  <c r="K336" i="14"/>
  <c r="J336" i="14"/>
  <c r="H336" i="14"/>
  <c r="G336" i="14"/>
  <c r="E336" i="14"/>
  <c r="D336" i="14"/>
  <c r="B336" i="14"/>
  <c r="R335" i="14"/>
  <c r="O335" i="14"/>
  <c r="L335" i="14"/>
  <c r="I335" i="14"/>
  <c r="F335" i="14"/>
  <c r="C335" i="14"/>
  <c r="R334" i="14"/>
  <c r="O334" i="14"/>
  <c r="L334" i="14"/>
  <c r="I334" i="14"/>
  <c r="F334" i="14"/>
  <c r="C334" i="14"/>
  <c r="T333" i="14"/>
  <c r="S333" i="14"/>
  <c r="Q333" i="14"/>
  <c r="P333" i="14"/>
  <c r="N333" i="14"/>
  <c r="M333" i="14"/>
  <c r="K333" i="14"/>
  <c r="J333" i="14"/>
  <c r="H333" i="14"/>
  <c r="G333" i="14"/>
  <c r="E333" i="14"/>
  <c r="D333" i="14"/>
  <c r="B333" i="14"/>
  <c r="E332" i="14"/>
  <c r="R331" i="14"/>
  <c r="O331" i="14"/>
  <c r="L331" i="14"/>
  <c r="I331" i="14"/>
  <c r="F331" i="14"/>
  <c r="C331" i="14"/>
  <c r="R330" i="14"/>
  <c r="O330" i="14"/>
  <c r="L330" i="14"/>
  <c r="I330" i="14"/>
  <c r="F330" i="14"/>
  <c r="C330" i="14"/>
  <c r="T329" i="14"/>
  <c r="S329" i="14"/>
  <c r="Q329" i="14"/>
  <c r="P329" i="14"/>
  <c r="O329" i="14" s="1"/>
  <c r="N329" i="14"/>
  <c r="M329" i="14"/>
  <c r="K329" i="14"/>
  <c r="J329" i="14"/>
  <c r="H329" i="14"/>
  <c r="G329" i="14"/>
  <c r="E329" i="14"/>
  <c r="D329" i="14"/>
  <c r="B329" i="14"/>
  <c r="R328" i="14"/>
  <c r="O328" i="14"/>
  <c r="L328" i="14"/>
  <c r="I328" i="14"/>
  <c r="F328" i="14"/>
  <c r="C328" i="14"/>
  <c r="R327" i="14"/>
  <c r="O327" i="14"/>
  <c r="L327" i="14"/>
  <c r="I327" i="14"/>
  <c r="F327" i="14"/>
  <c r="C327" i="14"/>
  <c r="T326" i="14"/>
  <c r="S326" i="14"/>
  <c r="Q326" i="14"/>
  <c r="Q325" i="14" s="1"/>
  <c r="P326" i="14"/>
  <c r="N326" i="14"/>
  <c r="M326" i="14"/>
  <c r="K326" i="14"/>
  <c r="J326" i="14"/>
  <c r="H326" i="14"/>
  <c r="G326" i="14"/>
  <c r="E326" i="14"/>
  <c r="D326" i="14"/>
  <c r="B326" i="14"/>
  <c r="R323" i="14"/>
  <c r="O323" i="14"/>
  <c r="L323" i="14"/>
  <c r="I323" i="14"/>
  <c r="F323" i="14"/>
  <c r="C323" i="14"/>
  <c r="R322" i="14"/>
  <c r="O322" i="14"/>
  <c r="L322" i="14"/>
  <c r="I322" i="14"/>
  <c r="F322" i="14"/>
  <c r="C322" i="14"/>
  <c r="T321" i="14"/>
  <c r="S321" i="14"/>
  <c r="Q321" i="14"/>
  <c r="P321" i="14"/>
  <c r="N321" i="14"/>
  <c r="M321" i="14"/>
  <c r="K321" i="14"/>
  <c r="J321" i="14"/>
  <c r="H321" i="14"/>
  <c r="G321" i="14"/>
  <c r="E321" i="14"/>
  <c r="D321" i="14"/>
  <c r="C321" i="14" s="1"/>
  <c r="B321" i="14"/>
  <c r="R320" i="14"/>
  <c r="O320" i="14"/>
  <c r="L320" i="14"/>
  <c r="I320" i="14"/>
  <c r="F320" i="14"/>
  <c r="C320" i="14"/>
  <c r="R319" i="14"/>
  <c r="O319" i="14"/>
  <c r="L319" i="14"/>
  <c r="I319" i="14"/>
  <c r="F319" i="14"/>
  <c r="C319" i="14"/>
  <c r="T318" i="14"/>
  <c r="S318" i="14"/>
  <c r="Q318" i="14"/>
  <c r="Q317" i="14" s="1"/>
  <c r="P318" i="14"/>
  <c r="N318" i="14"/>
  <c r="M318" i="14"/>
  <c r="K318" i="14"/>
  <c r="J318" i="14"/>
  <c r="H318" i="14"/>
  <c r="G318" i="14"/>
  <c r="E318" i="14"/>
  <c r="E317" i="14" s="1"/>
  <c r="D318" i="14"/>
  <c r="B318" i="14"/>
  <c r="R316" i="14"/>
  <c r="O316" i="14"/>
  <c r="L316" i="14"/>
  <c r="I316" i="14"/>
  <c r="F316" i="14"/>
  <c r="C316" i="14"/>
  <c r="R315" i="14"/>
  <c r="O315" i="14"/>
  <c r="L315" i="14"/>
  <c r="I315" i="14"/>
  <c r="F315" i="14"/>
  <c r="C315" i="14"/>
  <c r="T314" i="14"/>
  <c r="S314" i="14"/>
  <c r="Q314" i="14"/>
  <c r="P314" i="14"/>
  <c r="N314" i="14"/>
  <c r="M314" i="14"/>
  <c r="K314" i="14"/>
  <c r="J314" i="14"/>
  <c r="H314" i="14"/>
  <c r="G314" i="14"/>
  <c r="E314" i="14"/>
  <c r="D314" i="14"/>
  <c r="B314" i="14"/>
  <c r="R313" i="14"/>
  <c r="O313" i="14"/>
  <c r="L313" i="14"/>
  <c r="I313" i="14"/>
  <c r="F313" i="14"/>
  <c r="C313" i="14"/>
  <c r="R312" i="14"/>
  <c r="O312" i="14"/>
  <c r="L312" i="14"/>
  <c r="I312" i="14"/>
  <c r="F312" i="14"/>
  <c r="C312" i="14"/>
  <c r="T311" i="14"/>
  <c r="S311" i="14"/>
  <c r="Q311" i="14"/>
  <c r="P311" i="14"/>
  <c r="N311" i="14"/>
  <c r="N310" i="14" s="1"/>
  <c r="M311" i="14"/>
  <c r="K311" i="14"/>
  <c r="J311" i="14"/>
  <c r="H311" i="14"/>
  <c r="G311" i="14"/>
  <c r="E311" i="14"/>
  <c r="D311" i="14"/>
  <c r="B311" i="14"/>
  <c r="B310" i="14" s="1"/>
  <c r="S285" i="15" l="1"/>
  <c r="M310" i="14"/>
  <c r="N107" i="15"/>
  <c r="T107" i="15"/>
  <c r="C118" i="15"/>
  <c r="J199" i="15"/>
  <c r="R216" i="15"/>
  <c r="M332" i="14"/>
  <c r="O326" i="14"/>
  <c r="C336" i="14"/>
  <c r="I336" i="14"/>
  <c r="N129" i="15"/>
  <c r="N121" i="15" s="1"/>
  <c r="K154" i="15"/>
  <c r="I158" i="15"/>
  <c r="L177" i="15"/>
  <c r="K184" i="15"/>
  <c r="F209" i="15"/>
  <c r="K212" i="15"/>
  <c r="O221" i="15"/>
  <c r="E227" i="15"/>
  <c r="Q227" i="15"/>
  <c r="R237" i="15"/>
  <c r="E243" i="15"/>
  <c r="C247" i="15"/>
  <c r="R252" i="15"/>
  <c r="H292" i="15"/>
  <c r="Q322" i="15"/>
  <c r="Q332" i="14"/>
  <c r="Q324" i="14" s="1"/>
  <c r="C40" i="15"/>
  <c r="O71" i="15"/>
  <c r="H129" i="15"/>
  <c r="F129" i="15" s="1"/>
  <c r="S129" i="15"/>
  <c r="R142" i="15"/>
  <c r="C149" i="15"/>
  <c r="K161" i="15"/>
  <c r="I161" i="15" s="1"/>
  <c r="K176" i="15"/>
  <c r="O180" i="15"/>
  <c r="B199" i="15"/>
  <c r="B212" i="15"/>
  <c r="B198" i="15" s="1"/>
  <c r="N212" i="15"/>
  <c r="I221" i="15"/>
  <c r="F281" i="15"/>
  <c r="H191" i="15"/>
  <c r="I318" i="14"/>
  <c r="P317" i="14"/>
  <c r="L333" i="14"/>
  <c r="F25" i="15"/>
  <c r="K29" i="15"/>
  <c r="H36" i="15"/>
  <c r="T36" i="15"/>
  <c r="F40" i="15"/>
  <c r="H51" i="15"/>
  <c r="T67" i="15"/>
  <c r="E75" i="15"/>
  <c r="E74" i="15" s="1"/>
  <c r="Q75" i="15"/>
  <c r="C79" i="15"/>
  <c r="E90" i="15"/>
  <c r="H107" i="15"/>
  <c r="H106" i="15" s="1"/>
  <c r="L111" i="15"/>
  <c r="E114" i="15"/>
  <c r="T129" i="15"/>
  <c r="F134" i="15"/>
  <c r="P138" i="15"/>
  <c r="L192" i="15"/>
  <c r="N220" i="15"/>
  <c r="T220" i="15"/>
  <c r="E266" i="15"/>
  <c r="G285" i="15"/>
  <c r="M285" i="15"/>
  <c r="K310" i="14"/>
  <c r="S21" i="15"/>
  <c r="C94" i="15"/>
  <c r="O94" i="15"/>
  <c r="E315" i="15"/>
  <c r="Q315" i="15"/>
  <c r="Q314" i="15" s="1"/>
  <c r="E330" i="15"/>
  <c r="V335" i="15"/>
  <c r="L338" i="15"/>
  <c r="F341" i="15"/>
  <c r="M337" i="15"/>
  <c r="L224" i="15"/>
  <c r="G273" i="15"/>
  <c r="B154" i="15"/>
  <c r="H184" i="15"/>
  <c r="S292" i="15"/>
  <c r="S284" i="15" s="1"/>
  <c r="I326" i="14"/>
  <c r="S145" i="15"/>
  <c r="L162" i="15"/>
  <c r="F289" i="15"/>
  <c r="G307" i="15"/>
  <c r="G299" i="15" s="1"/>
  <c r="T330" i="15"/>
  <c r="T329" i="15" s="1"/>
  <c r="R329" i="15" s="1"/>
  <c r="R334" i="15"/>
  <c r="M317" i="14"/>
  <c r="T332" i="14"/>
  <c r="L22" i="15"/>
  <c r="H29" i="15"/>
  <c r="H60" i="15"/>
  <c r="L68" i="15"/>
  <c r="H75" i="15"/>
  <c r="I91" i="15"/>
  <c r="T90" i="15"/>
  <c r="D107" i="15"/>
  <c r="D106" i="15" s="1"/>
  <c r="H161" i="15"/>
  <c r="N161" i="15"/>
  <c r="H176" i="15"/>
  <c r="N191" i="15"/>
  <c r="H317" i="14"/>
  <c r="R25" i="15"/>
  <c r="G51" i="15"/>
  <c r="T145" i="15"/>
  <c r="L170" i="15"/>
  <c r="T176" i="15"/>
  <c r="C192" i="15"/>
  <c r="Q273" i="15"/>
  <c r="I311" i="14"/>
  <c r="O321" i="14"/>
  <c r="V328" i="14"/>
  <c r="E325" i="14"/>
  <c r="E324" i="14" s="1"/>
  <c r="G21" i="15"/>
  <c r="D21" i="15"/>
  <c r="O48" i="15"/>
  <c r="N82" i="15"/>
  <c r="F142" i="15"/>
  <c r="T138" i="15"/>
  <c r="H169" i="15"/>
  <c r="H168" i="15" s="1"/>
  <c r="D176" i="15"/>
  <c r="Q191" i="15"/>
  <c r="I216" i="15"/>
  <c r="L262" i="15"/>
  <c r="H266" i="15"/>
  <c r="T266" i="15"/>
  <c r="T265" i="15" s="1"/>
  <c r="Q285" i="15"/>
  <c r="H300" i="15"/>
  <c r="F300" i="15" s="1"/>
  <c r="E307" i="15"/>
  <c r="K322" i="15"/>
  <c r="I338" i="15"/>
  <c r="Q220" i="15"/>
  <c r="T317" i="14"/>
  <c r="V338" i="14"/>
  <c r="M97" i="15"/>
  <c r="C162" i="15"/>
  <c r="C177" i="15"/>
  <c r="N176" i="15"/>
  <c r="L318" i="14"/>
  <c r="F329" i="14"/>
  <c r="G14" i="15"/>
  <c r="L15" i="15"/>
  <c r="R15" i="15"/>
  <c r="E14" i="15"/>
  <c r="K14" i="15"/>
  <c r="K21" i="15"/>
  <c r="C86" i="15"/>
  <c r="K138" i="15"/>
  <c r="L146" i="15"/>
  <c r="R146" i="15"/>
  <c r="S161" i="15"/>
  <c r="K169" i="15"/>
  <c r="K168" i="15" s="1"/>
  <c r="O173" i="15"/>
  <c r="L185" i="15"/>
  <c r="T191" i="15"/>
  <c r="F195" i="15"/>
  <c r="T212" i="15"/>
  <c r="K251" i="15"/>
  <c r="J212" i="15"/>
  <c r="P212" i="15"/>
  <c r="S212" i="15"/>
  <c r="R212" i="15" s="1"/>
  <c r="M243" i="15"/>
  <c r="R244" i="15"/>
  <c r="N251" i="15"/>
  <c r="O270" i="15"/>
  <c r="I293" i="15"/>
  <c r="F311" i="15"/>
  <c r="Q307" i="15"/>
  <c r="F311" i="14"/>
  <c r="L314" i="14"/>
  <c r="F326" i="14"/>
  <c r="C33" i="15"/>
  <c r="J90" i="15"/>
  <c r="J89" i="15" s="1"/>
  <c r="C170" i="15"/>
  <c r="F216" i="15"/>
  <c r="R341" i="15"/>
  <c r="S337" i="15"/>
  <c r="L326" i="14"/>
  <c r="M325" i="14"/>
  <c r="V312" i="14"/>
  <c r="F314" i="14"/>
  <c r="H310" i="14"/>
  <c r="H309" i="14" s="1"/>
  <c r="E310" i="14"/>
  <c r="E309" i="14" s="1"/>
  <c r="Q310" i="14"/>
  <c r="Q309" i="14" s="1"/>
  <c r="C314" i="14"/>
  <c r="P310" i="14"/>
  <c r="P309" i="14" s="1"/>
  <c r="V315" i="14"/>
  <c r="C318" i="14"/>
  <c r="I333" i="14"/>
  <c r="O333" i="14"/>
  <c r="H44" i="15"/>
  <c r="H43" i="15" s="1"/>
  <c r="T44" i="15"/>
  <c r="R48" i="15"/>
  <c r="N75" i="15"/>
  <c r="T75" i="15"/>
  <c r="L79" i="15"/>
  <c r="B97" i="15"/>
  <c r="T97" i="15"/>
  <c r="T89" i="15" s="1"/>
  <c r="E107" i="15"/>
  <c r="E106" i="15" s="1"/>
  <c r="B114" i="15"/>
  <c r="H114" i="15"/>
  <c r="O185" i="15"/>
  <c r="I209" i="15"/>
  <c r="R231" i="15"/>
  <c r="Q219" i="15"/>
  <c r="H220" i="15"/>
  <c r="P227" i="15"/>
  <c r="O227" i="15" s="1"/>
  <c r="O244" i="15"/>
  <c r="Q251" i="15"/>
  <c r="O255" i="15"/>
  <c r="M258" i="15"/>
  <c r="F259" i="15"/>
  <c r="R259" i="15"/>
  <c r="R311" i="14"/>
  <c r="S310" i="14"/>
  <c r="P60" i="15"/>
  <c r="P59" i="15" s="1"/>
  <c r="G67" i="15"/>
  <c r="O146" i="15"/>
  <c r="P145" i="15"/>
  <c r="N169" i="15"/>
  <c r="T169" i="15"/>
  <c r="T168" i="15" s="1"/>
  <c r="D220" i="15"/>
  <c r="D219" i="15" s="1"/>
  <c r="L240" i="15"/>
  <c r="M236" i="15"/>
  <c r="F286" i="15"/>
  <c r="H285" i="15"/>
  <c r="F285" i="15" s="1"/>
  <c r="G337" i="15"/>
  <c r="R296" i="15"/>
  <c r="L301" i="15"/>
  <c r="L323" i="15"/>
  <c r="M322" i="15"/>
  <c r="S322" i="15"/>
  <c r="O274" i="15"/>
  <c r="V335" i="14"/>
  <c r="F18" i="15"/>
  <c r="N14" i="15"/>
  <c r="T14" i="15"/>
  <c r="F33" i="15"/>
  <c r="R33" i="15"/>
  <c r="I52" i="15"/>
  <c r="P51" i="15"/>
  <c r="E82" i="15"/>
  <c r="C82" i="15" s="1"/>
  <c r="C98" i="15"/>
  <c r="I142" i="15"/>
  <c r="F158" i="15"/>
  <c r="D169" i="15"/>
  <c r="C169" i="15" s="1"/>
  <c r="B176" i="15"/>
  <c r="R195" i="15"/>
  <c r="Q199" i="15"/>
  <c r="S227" i="15"/>
  <c r="P273" i="15"/>
  <c r="R304" i="15"/>
  <c r="V317" i="15"/>
  <c r="F319" i="15"/>
  <c r="V336" i="15"/>
  <c r="O130" i="15"/>
  <c r="V320" i="14"/>
  <c r="C329" i="14"/>
  <c r="I329" i="14"/>
  <c r="V331" i="14"/>
  <c r="F333" i="14"/>
  <c r="F336" i="14"/>
  <c r="C30" i="15"/>
  <c r="I30" i="15"/>
  <c r="G36" i="15"/>
  <c r="G28" i="15" s="1"/>
  <c r="L37" i="15"/>
  <c r="K36" i="15"/>
  <c r="L45" i="15"/>
  <c r="L52" i="15"/>
  <c r="B82" i="15"/>
  <c r="H82" i="15"/>
  <c r="T82" i="15"/>
  <c r="L86" i="15"/>
  <c r="B90" i="15"/>
  <c r="B89" i="15" s="1"/>
  <c r="N90" i="15"/>
  <c r="P107" i="15"/>
  <c r="F115" i="15"/>
  <c r="I123" i="15"/>
  <c r="N122" i="15"/>
  <c r="K129" i="15"/>
  <c r="R149" i="15"/>
  <c r="H154" i="15"/>
  <c r="H153" i="15" s="1"/>
  <c r="N154" i="15"/>
  <c r="N153" i="15" s="1"/>
  <c r="T154" i="15"/>
  <c r="B161" i="15"/>
  <c r="T184" i="15"/>
  <c r="T183" i="15" s="1"/>
  <c r="R188" i="15"/>
  <c r="B191" i="15"/>
  <c r="S191" i="15"/>
  <c r="F221" i="15"/>
  <c r="F224" i="15"/>
  <c r="N227" i="15"/>
  <c r="N219" i="15" s="1"/>
  <c r="T227" i="15"/>
  <c r="F231" i="15"/>
  <c r="B243" i="15"/>
  <c r="N243" i="15"/>
  <c r="Q258" i="15"/>
  <c r="F267" i="15"/>
  <c r="R267" i="15"/>
  <c r="T273" i="15"/>
  <c r="R281" i="15"/>
  <c r="E285" i="15"/>
  <c r="E284" i="15" s="1"/>
  <c r="G292" i="15"/>
  <c r="G284" i="15" s="1"/>
  <c r="M292" i="15"/>
  <c r="M284" i="15" s="1"/>
  <c r="E300" i="15"/>
  <c r="K300" i="15"/>
  <c r="Q300" i="15"/>
  <c r="O304" i="15"/>
  <c r="M307" i="15"/>
  <c r="M299" i="15" s="1"/>
  <c r="S307" i="15"/>
  <c r="S299" i="15" s="1"/>
  <c r="V332" i="15"/>
  <c r="H337" i="15"/>
  <c r="F337" i="15" s="1"/>
  <c r="K337" i="15"/>
  <c r="K329" i="15" s="1"/>
  <c r="Q337" i="15"/>
  <c r="L130" i="15"/>
  <c r="P9" i="16"/>
  <c r="O9" i="16"/>
  <c r="S36" i="16"/>
  <c r="S45" i="16"/>
  <c r="I9" i="16"/>
  <c r="Q53" i="16"/>
  <c r="Q48" i="16" s="1"/>
  <c r="N48" i="16"/>
  <c r="N9" i="16" s="1"/>
  <c r="M9" i="16"/>
  <c r="I48" i="16"/>
  <c r="Q24" i="16"/>
  <c r="S24" i="16" s="1"/>
  <c r="S25" i="16"/>
  <c r="C15" i="15"/>
  <c r="R18" i="15"/>
  <c r="R22" i="15"/>
  <c r="O25" i="15"/>
  <c r="T29" i="15"/>
  <c r="R40" i="15"/>
  <c r="F173" i="15"/>
  <c r="F180" i="15"/>
  <c r="F188" i="15"/>
  <c r="G184" i="15"/>
  <c r="F184" i="15" s="1"/>
  <c r="F308" i="15"/>
  <c r="H307" i="15"/>
  <c r="F307" i="15" s="1"/>
  <c r="O331" i="15"/>
  <c r="P330" i="15"/>
  <c r="T21" i="15"/>
  <c r="P137" i="15"/>
  <c r="C165" i="15"/>
  <c r="D161" i="15"/>
  <c r="L201" i="15"/>
  <c r="N200" i="15"/>
  <c r="N199" i="15" s="1"/>
  <c r="N198" i="15" s="1"/>
  <c r="F326" i="15"/>
  <c r="G322" i="15"/>
  <c r="G314" i="15" s="1"/>
  <c r="G330" i="15"/>
  <c r="G329" i="15" s="1"/>
  <c r="C18" i="15"/>
  <c r="O18" i="15"/>
  <c r="O22" i="15"/>
  <c r="N21" i="15"/>
  <c r="K28" i="15"/>
  <c r="F45" i="15"/>
  <c r="R45" i="15"/>
  <c r="S44" i="15"/>
  <c r="R64" i="15"/>
  <c r="R83" i="15"/>
  <c r="C101" i="15"/>
  <c r="J114" i="15"/>
  <c r="I115" i="15"/>
  <c r="C139" i="15"/>
  <c r="D138" i="15"/>
  <c r="O155" i="15"/>
  <c r="K191" i="15"/>
  <c r="K183" i="15" s="1"/>
  <c r="N266" i="15"/>
  <c r="S273" i="15"/>
  <c r="F48" i="15"/>
  <c r="L48" i="15"/>
  <c r="C55" i="15"/>
  <c r="C64" i="15"/>
  <c r="O64" i="15"/>
  <c r="I68" i="15"/>
  <c r="N67" i="15"/>
  <c r="P90" i="15"/>
  <c r="P89" i="15" s="1"/>
  <c r="O123" i="15"/>
  <c r="D122" i="15"/>
  <c r="J122" i="15"/>
  <c r="E129" i="15"/>
  <c r="N138" i="15"/>
  <c r="Q145" i="15"/>
  <c r="O145" i="15" s="1"/>
  <c r="L155" i="15"/>
  <c r="Q161" i="15"/>
  <c r="N184" i="15"/>
  <c r="N183" i="15" s="1"/>
  <c r="F185" i="15"/>
  <c r="C209" i="15"/>
  <c r="O213" i="15"/>
  <c r="C224" i="15"/>
  <c r="C231" i="15"/>
  <c r="O237" i="15"/>
  <c r="K243" i="15"/>
  <c r="O247" i="15"/>
  <c r="F252" i="15"/>
  <c r="L255" i="15"/>
  <c r="N258" i="15"/>
  <c r="J273" i="15"/>
  <c r="O281" i="15"/>
  <c r="R289" i="15"/>
  <c r="V303" i="15"/>
  <c r="V309" i="15"/>
  <c r="R311" i="15"/>
  <c r="V313" i="15"/>
  <c r="O316" i="15"/>
  <c r="R319" i="15"/>
  <c r="V321" i="15"/>
  <c r="I323" i="15"/>
  <c r="V324" i="15"/>
  <c r="R326" i="15"/>
  <c r="F334" i="15"/>
  <c r="V339" i="15"/>
  <c r="N273" i="15"/>
  <c r="N265" i="15" s="1"/>
  <c r="O45" i="15"/>
  <c r="F55" i="15"/>
  <c r="R55" i="15"/>
  <c r="T60" i="15"/>
  <c r="L64" i="15"/>
  <c r="F68" i="15"/>
  <c r="D67" i="15"/>
  <c r="F76" i="15"/>
  <c r="R76" i="15"/>
  <c r="O79" i="15"/>
  <c r="F83" i="15"/>
  <c r="L94" i="15"/>
  <c r="H97" i="15"/>
  <c r="P106" i="15"/>
  <c r="B122" i="15"/>
  <c r="B121" i="15" s="1"/>
  <c r="H122" i="15"/>
  <c r="H121" i="15" s="1"/>
  <c r="E122" i="15"/>
  <c r="R134" i="15"/>
  <c r="L139" i="15"/>
  <c r="E138" i="15"/>
  <c r="C138" i="15" s="1"/>
  <c r="C155" i="15"/>
  <c r="F165" i="15"/>
  <c r="B184" i="15"/>
  <c r="S184" i="15"/>
  <c r="E184" i="15"/>
  <c r="I188" i="15"/>
  <c r="O188" i="15"/>
  <c r="C195" i="15"/>
  <c r="L213" i="15"/>
  <c r="R213" i="15"/>
  <c r="K220" i="15"/>
  <c r="G227" i="15"/>
  <c r="O231" i="15"/>
  <c r="Q236" i="15"/>
  <c r="I240" i="15"/>
  <c r="N236" i="15"/>
  <c r="L236" i="15" s="1"/>
  <c r="L247" i="15"/>
  <c r="C252" i="15"/>
  <c r="E273" i="15"/>
  <c r="K273" i="15"/>
  <c r="K285" i="15"/>
  <c r="K284" i="15" s="1"/>
  <c r="C289" i="15"/>
  <c r="F304" i="15"/>
  <c r="C311" i="15"/>
  <c r="V311" i="15" s="1"/>
  <c r="M314" i="15"/>
  <c r="K315" i="15"/>
  <c r="S330" i="15"/>
  <c r="S329" i="15" s="1"/>
  <c r="N51" i="15"/>
  <c r="O61" i="15"/>
  <c r="B75" i="15"/>
  <c r="F91" i="15"/>
  <c r="L91" i="15"/>
  <c r="F98" i="15"/>
  <c r="O101" i="15"/>
  <c r="C108" i="15"/>
  <c r="C111" i="15"/>
  <c r="N114" i="15"/>
  <c r="T114" i="15"/>
  <c r="I146" i="15"/>
  <c r="B145" i="15"/>
  <c r="H145" i="15"/>
  <c r="P161" i="15"/>
  <c r="C185" i="15"/>
  <c r="S199" i="15"/>
  <c r="H199" i="15"/>
  <c r="F237" i="15"/>
  <c r="F244" i="15"/>
  <c r="H243" i="15"/>
  <c r="T251" i="15"/>
  <c r="E258" i="15"/>
  <c r="E250" i="15" s="1"/>
  <c r="I259" i="15"/>
  <c r="D258" i="15"/>
  <c r="I262" i="15"/>
  <c r="L281" i="15"/>
  <c r="L286" i="15"/>
  <c r="F296" i="15"/>
  <c r="I301" i="15"/>
  <c r="L308" i="15"/>
  <c r="V312" i="15"/>
  <c r="L316" i="15"/>
  <c r="S314" i="15"/>
  <c r="V320" i="15"/>
  <c r="E322" i="15"/>
  <c r="F331" i="15"/>
  <c r="Q330" i="15"/>
  <c r="Q329" i="15" s="1"/>
  <c r="E337" i="15"/>
  <c r="E329" i="15" s="1"/>
  <c r="O341" i="15"/>
  <c r="V277" i="15"/>
  <c r="V279" i="15"/>
  <c r="V132" i="15"/>
  <c r="L274" i="15"/>
  <c r="L293" i="15"/>
  <c r="Q129" i="15"/>
  <c r="V280" i="15"/>
  <c r="V295" i="15"/>
  <c r="V128" i="15"/>
  <c r="V287" i="15"/>
  <c r="V294" i="15"/>
  <c r="V278" i="15"/>
  <c r="V46" i="15"/>
  <c r="V103" i="15"/>
  <c r="V140" i="15"/>
  <c r="V148" i="15"/>
  <c r="V172" i="15"/>
  <c r="V208" i="15"/>
  <c r="V261" i="15"/>
  <c r="V179" i="15"/>
  <c r="V187" i="15"/>
  <c r="V249" i="15"/>
  <c r="V264" i="15"/>
  <c r="V290" i="15"/>
  <c r="V62" i="15"/>
  <c r="V141" i="15"/>
  <c r="V190" i="15"/>
  <c r="V194" i="15"/>
  <c r="V241" i="15"/>
  <c r="V302" i="15"/>
  <c r="V16" i="15"/>
  <c r="V17" i="15"/>
  <c r="V23" i="15"/>
  <c r="V248" i="15"/>
  <c r="B273" i="15"/>
  <c r="V275" i="15"/>
  <c r="B236" i="15"/>
  <c r="B235" i="15" s="1"/>
  <c r="H14" i="15"/>
  <c r="O33" i="15"/>
  <c r="V34" i="15"/>
  <c r="H28" i="15"/>
  <c r="O40" i="15"/>
  <c r="F64" i="15"/>
  <c r="G60" i="15"/>
  <c r="Q82" i="15"/>
  <c r="O82" i="15" s="1"/>
  <c r="H90" i="15"/>
  <c r="L118" i="15"/>
  <c r="M114" i="15"/>
  <c r="E121" i="15"/>
  <c r="R158" i="15"/>
  <c r="S154" i="15"/>
  <c r="R165" i="15"/>
  <c r="T161" i="15"/>
  <c r="T153" i="15" s="1"/>
  <c r="P169" i="15"/>
  <c r="O170" i="15"/>
  <c r="J176" i="15"/>
  <c r="I176" i="15" s="1"/>
  <c r="I180" i="15"/>
  <c r="H212" i="15"/>
  <c r="J227" i="15"/>
  <c r="I228" i="15"/>
  <c r="R37" i="15"/>
  <c r="S36" i="15"/>
  <c r="O98" i="15"/>
  <c r="Q97" i="15"/>
  <c r="O97" i="15" s="1"/>
  <c r="P122" i="15"/>
  <c r="O126" i="15"/>
  <c r="C146" i="15"/>
  <c r="D145" i="15"/>
  <c r="J169" i="15"/>
  <c r="I169" i="15" s="1"/>
  <c r="I173" i="15"/>
  <c r="P236" i="15"/>
  <c r="O240" i="15"/>
  <c r="I15" i="15"/>
  <c r="Q14" i="15"/>
  <c r="H21" i="15"/>
  <c r="C25" i="15"/>
  <c r="D29" i="15"/>
  <c r="D28" i="15" s="1"/>
  <c r="S29" i="15"/>
  <c r="O30" i="15"/>
  <c r="V31" i="15"/>
  <c r="C37" i="15"/>
  <c r="G44" i="15"/>
  <c r="G43" i="15" s="1"/>
  <c r="F43" i="15" s="1"/>
  <c r="D74" i="15"/>
  <c r="B74" i="15"/>
  <c r="L83" i="15"/>
  <c r="M82" i="15"/>
  <c r="C91" i="15"/>
  <c r="D90" i="15"/>
  <c r="N97" i="15"/>
  <c r="N89" i="15" s="1"/>
  <c r="O111" i="15"/>
  <c r="Q107" i="15"/>
  <c r="O107" i="15" s="1"/>
  <c r="P176" i="15"/>
  <c r="O177" i="15"/>
  <c r="D184" i="15"/>
  <c r="D183" i="15" s="1"/>
  <c r="R44" i="15"/>
  <c r="I45" i="15"/>
  <c r="K44" i="15"/>
  <c r="I108" i="15"/>
  <c r="J107" i="15"/>
  <c r="J106" i="15" s="1"/>
  <c r="I185" i="15"/>
  <c r="J184" i="15"/>
  <c r="F200" i="15"/>
  <c r="G199" i="15"/>
  <c r="D14" i="15"/>
  <c r="S14" i="15"/>
  <c r="O15" i="15"/>
  <c r="C22" i="15"/>
  <c r="I22" i="15"/>
  <c r="N29" i="15"/>
  <c r="R52" i="15"/>
  <c r="S51" i="15"/>
  <c r="S43" i="15" s="1"/>
  <c r="I61" i="15"/>
  <c r="K60" i="15"/>
  <c r="F71" i="15"/>
  <c r="R71" i="15"/>
  <c r="S67" i="15"/>
  <c r="S59" i="15" s="1"/>
  <c r="I76" i="15"/>
  <c r="P75" i="15"/>
  <c r="O86" i="15"/>
  <c r="I98" i="15"/>
  <c r="R139" i="15"/>
  <c r="S138" i="15"/>
  <c r="R184" i="15"/>
  <c r="D212" i="15"/>
  <c r="C213" i="15"/>
  <c r="I37" i="15"/>
  <c r="O37" i="15"/>
  <c r="V47" i="15"/>
  <c r="N44" i="15"/>
  <c r="K51" i="15"/>
  <c r="C52" i="15"/>
  <c r="T51" i="15"/>
  <c r="T43" i="15" s="1"/>
  <c r="O55" i="15"/>
  <c r="N60" i="15"/>
  <c r="K67" i="15"/>
  <c r="H67" i="15"/>
  <c r="H59" i="15" s="1"/>
  <c r="R68" i="15"/>
  <c r="C71" i="15"/>
  <c r="C76" i="15"/>
  <c r="L76" i="15"/>
  <c r="J82" i="15"/>
  <c r="J74" i="15" s="1"/>
  <c r="V85" i="15"/>
  <c r="I86" i="15"/>
  <c r="V88" i="15"/>
  <c r="V96" i="15"/>
  <c r="E97" i="15"/>
  <c r="C97" i="15" s="1"/>
  <c r="L98" i="15"/>
  <c r="R98" i="15"/>
  <c r="V113" i="15"/>
  <c r="C115" i="15"/>
  <c r="T122" i="15"/>
  <c r="T121" i="15" s="1"/>
  <c r="H138" i="15"/>
  <c r="H137" i="15" s="1"/>
  <c r="R155" i="15"/>
  <c r="V157" i="15"/>
  <c r="E154" i="15"/>
  <c r="I165" i="15"/>
  <c r="J161" i="15"/>
  <c r="O165" i="15"/>
  <c r="V166" i="15"/>
  <c r="B169" i="15"/>
  <c r="B168" i="15" s="1"/>
  <c r="P184" i="15"/>
  <c r="P191" i="15"/>
  <c r="R209" i="15"/>
  <c r="V218" i="15"/>
  <c r="R221" i="15"/>
  <c r="K227" i="15"/>
  <c r="P220" i="15"/>
  <c r="O220" i="15" s="1"/>
  <c r="O224" i="15"/>
  <c r="V38" i="15"/>
  <c r="V39" i="15"/>
  <c r="N36" i="15"/>
  <c r="C45" i="15"/>
  <c r="C48" i="15"/>
  <c r="O52" i="15"/>
  <c r="V53" i="15"/>
  <c r="C68" i="15"/>
  <c r="V72" i="15"/>
  <c r="V78" i="15"/>
  <c r="V81" i="15"/>
  <c r="O83" i="15"/>
  <c r="K82" i="15"/>
  <c r="K90" i="15"/>
  <c r="O118" i="15"/>
  <c r="O134" i="15"/>
  <c r="P129" i="15"/>
  <c r="O139" i="15"/>
  <c r="I149" i="15"/>
  <c r="K145" i="15"/>
  <c r="K137" i="15" s="1"/>
  <c r="I155" i="15"/>
  <c r="J154" i="15"/>
  <c r="O158" i="15"/>
  <c r="P154" i="15"/>
  <c r="O162" i="15"/>
  <c r="R173" i="15"/>
  <c r="S169" i="15"/>
  <c r="R180" i="15"/>
  <c r="S176" i="15"/>
  <c r="R176" i="15" s="1"/>
  <c r="J198" i="15"/>
  <c r="K200" i="15"/>
  <c r="K199" i="15" s="1"/>
  <c r="K198" i="15" s="1"/>
  <c r="I201" i="15"/>
  <c r="E220" i="15"/>
  <c r="O326" i="15"/>
  <c r="P322" i="15"/>
  <c r="O322" i="15" s="1"/>
  <c r="C338" i="15"/>
  <c r="D337" i="15"/>
  <c r="D43" i="15"/>
  <c r="C61" i="15"/>
  <c r="V65" i="15"/>
  <c r="O68" i="15"/>
  <c r="V69" i="15"/>
  <c r="L71" i="15"/>
  <c r="K75" i="15"/>
  <c r="I75" i="15" s="1"/>
  <c r="Q90" i="15"/>
  <c r="O90" i="15" s="1"/>
  <c r="L101" i="15"/>
  <c r="B107" i="15"/>
  <c r="B106" i="15" s="1"/>
  <c r="B105" i="15" s="1"/>
  <c r="B104" i="15" s="1"/>
  <c r="C114" i="15"/>
  <c r="C126" i="15"/>
  <c r="C130" i="15"/>
  <c r="D129" i="15"/>
  <c r="C129" i="15" s="1"/>
  <c r="V133" i="15"/>
  <c r="F149" i="15"/>
  <c r="D154" i="15"/>
  <c r="E169" i="15"/>
  <c r="E176" i="15"/>
  <c r="R185" i="15"/>
  <c r="I195" i="15"/>
  <c r="J191" i="15"/>
  <c r="O195" i="15"/>
  <c r="F201" i="15"/>
  <c r="C228" i="15"/>
  <c r="D227" i="15"/>
  <c r="C227" i="15" s="1"/>
  <c r="V271" i="15"/>
  <c r="Q299" i="15"/>
  <c r="C319" i="15"/>
  <c r="D315" i="15"/>
  <c r="L331" i="15"/>
  <c r="M330" i="15"/>
  <c r="M329" i="15" s="1"/>
  <c r="C334" i="15"/>
  <c r="D330" i="15"/>
  <c r="C330" i="15" s="1"/>
  <c r="O115" i="15"/>
  <c r="V120" i="15"/>
  <c r="C123" i="15"/>
  <c r="L126" i="15"/>
  <c r="J138" i="15"/>
  <c r="E145" i="15"/>
  <c r="N145" i="15"/>
  <c r="Q154" i="15"/>
  <c r="Q153" i="15" s="1"/>
  <c r="V159" i="15"/>
  <c r="V163" i="15"/>
  <c r="Q169" i="15"/>
  <c r="Q176" i="15"/>
  <c r="Q184" i="15"/>
  <c r="O209" i="15"/>
  <c r="V210" i="15"/>
  <c r="I212" i="15"/>
  <c r="I213" i="15"/>
  <c r="V215" i="15"/>
  <c r="G220" i="15"/>
  <c r="V256" i="15"/>
  <c r="P258" i="15"/>
  <c r="O262" i="15"/>
  <c r="L270" i="15"/>
  <c r="M266" i="15"/>
  <c r="L266" i="15" s="1"/>
  <c r="M273" i="15"/>
  <c r="O308" i="15"/>
  <c r="P307" i="15"/>
  <c r="O307" i="15" s="1"/>
  <c r="F316" i="15"/>
  <c r="H315" i="15"/>
  <c r="F315" i="15" s="1"/>
  <c r="R323" i="15"/>
  <c r="T322" i="15"/>
  <c r="R322" i="15" s="1"/>
  <c r="L115" i="15"/>
  <c r="R115" i="15"/>
  <c r="F123" i="15"/>
  <c r="C134" i="15"/>
  <c r="F139" i="15"/>
  <c r="B138" i="15"/>
  <c r="B137" i="15" s="1"/>
  <c r="Q138" i="15"/>
  <c r="F146" i="15"/>
  <c r="J145" i="15"/>
  <c r="O149" i="15"/>
  <c r="V156" i="15"/>
  <c r="C158" i="15"/>
  <c r="I162" i="15"/>
  <c r="R162" i="15"/>
  <c r="V164" i="15"/>
  <c r="E161" i="15"/>
  <c r="I170" i="15"/>
  <c r="R170" i="15"/>
  <c r="C173" i="15"/>
  <c r="I177" i="15"/>
  <c r="R177" i="15"/>
  <c r="C180" i="15"/>
  <c r="C188" i="15"/>
  <c r="I192" i="15"/>
  <c r="R192" i="15"/>
  <c r="E191" i="15"/>
  <c r="V197" i="15"/>
  <c r="E199" i="15"/>
  <c r="L209" i="15"/>
  <c r="B227" i="15"/>
  <c r="M227" i="15"/>
  <c r="L228" i="15"/>
  <c r="B258" i="15"/>
  <c r="Q284" i="15"/>
  <c r="K307" i="15"/>
  <c r="K299" i="15" s="1"/>
  <c r="C323" i="15"/>
  <c r="D322" i="15"/>
  <c r="R338" i="15"/>
  <c r="T337" i="15"/>
  <c r="R337" i="15" s="1"/>
  <c r="F228" i="15"/>
  <c r="H236" i="15"/>
  <c r="V246" i="15"/>
  <c r="D243" i="15"/>
  <c r="C243" i="15" s="1"/>
  <c r="I247" i="15"/>
  <c r="M251" i="15"/>
  <c r="P251" i="15"/>
  <c r="O251" i="15" s="1"/>
  <c r="C262" i="15"/>
  <c r="H258" i="15"/>
  <c r="V263" i="15"/>
  <c r="B266" i="15"/>
  <c r="L267" i="15"/>
  <c r="V272" i="15"/>
  <c r="C281" i="15"/>
  <c r="I281" i="15"/>
  <c r="R285" i="15"/>
  <c r="V297" i="15"/>
  <c r="V305" i="15"/>
  <c r="D307" i="15"/>
  <c r="P315" i="15"/>
  <c r="C316" i="15"/>
  <c r="I316" i="15"/>
  <c r="O319" i="15"/>
  <c r="O323" i="15"/>
  <c r="V327" i="15"/>
  <c r="C331" i="15"/>
  <c r="I331" i="15"/>
  <c r="R331" i="15"/>
  <c r="O334" i="15"/>
  <c r="V342" i="15"/>
  <c r="V242" i="15"/>
  <c r="T243" i="15"/>
  <c r="H251" i="15"/>
  <c r="H250" i="15" s="1"/>
  <c r="F292" i="15"/>
  <c r="H227" i="15"/>
  <c r="R228" i="15"/>
  <c r="V229" i="15"/>
  <c r="C237" i="15"/>
  <c r="V239" i="15"/>
  <c r="K236" i="15"/>
  <c r="K235" i="15" s="1"/>
  <c r="T236" i="15"/>
  <c r="Q243" i="15"/>
  <c r="P243" i="15"/>
  <c r="B251" i="15"/>
  <c r="L252" i="15"/>
  <c r="I255" i="15"/>
  <c r="V257" i="15"/>
  <c r="L258" i="15"/>
  <c r="J258" i="15"/>
  <c r="O259" i="15"/>
  <c r="K258" i="15"/>
  <c r="K250" i="15" s="1"/>
  <c r="T258" i="15"/>
  <c r="C267" i="15"/>
  <c r="P266" i="15"/>
  <c r="P265" i="15" s="1"/>
  <c r="V282" i="15"/>
  <c r="C286" i="15"/>
  <c r="I286" i="15"/>
  <c r="R286" i="15"/>
  <c r="V288" i="15"/>
  <c r="O289" i="15"/>
  <c r="F293" i="15"/>
  <c r="C296" i="15"/>
  <c r="H299" i="15"/>
  <c r="F301" i="15"/>
  <c r="C304" i="15"/>
  <c r="C308" i="15"/>
  <c r="I308" i="15"/>
  <c r="O311" i="15"/>
  <c r="F323" i="15"/>
  <c r="C326" i="15"/>
  <c r="V328" i="15"/>
  <c r="F338" i="15"/>
  <c r="C341" i="15"/>
  <c r="V343" i="15"/>
  <c r="V20" i="15"/>
  <c r="V26" i="15"/>
  <c r="V117" i="15"/>
  <c r="V147" i="15"/>
  <c r="V193" i="15"/>
  <c r="V233" i="15"/>
  <c r="V32" i="15"/>
  <c r="V35" i="15"/>
  <c r="V49" i="15"/>
  <c r="V63" i="15"/>
  <c r="V70" i="15"/>
  <c r="V80" i="15"/>
  <c r="V84" i="15"/>
  <c r="V100" i="15"/>
  <c r="V110" i="15"/>
  <c r="V124" i="15"/>
  <c r="V131" i="15"/>
  <c r="V144" i="15"/>
  <c r="V160" i="15"/>
  <c r="V167" i="15"/>
  <c r="V186" i="15"/>
  <c r="V189" i="15"/>
  <c r="V211" i="15"/>
  <c r="V214" i="15"/>
  <c r="V217" i="15"/>
  <c r="V222" i="15"/>
  <c r="V225" i="15"/>
  <c r="V42" i="15"/>
  <c r="V56" i="15"/>
  <c r="V93" i="15"/>
  <c r="V135" i="15"/>
  <c r="V150" i="15"/>
  <c r="V174" i="15"/>
  <c r="V178" i="15"/>
  <c r="V181" i="15"/>
  <c r="V19" i="15"/>
  <c r="V24" i="15"/>
  <c r="V27" i="15"/>
  <c r="V41" i="15"/>
  <c r="V54" i="15"/>
  <c r="V57" i="15"/>
  <c r="V95" i="15"/>
  <c r="V102" i="15"/>
  <c r="V112" i="15"/>
  <c r="V125" i="15"/>
  <c r="V136" i="15"/>
  <c r="V151" i="15"/>
  <c r="V175" i="15"/>
  <c r="V182" i="15"/>
  <c r="V230" i="15"/>
  <c r="V226" i="15"/>
  <c r="L237" i="15"/>
  <c r="O108" i="15"/>
  <c r="M107" i="15"/>
  <c r="V171" i="15"/>
  <c r="F15" i="15"/>
  <c r="B14" i="15"/>
  <c r="L18" i="15"/>
  <c r="P21" i="15"/>
  <c r="I25" i="15"/>
  <c r="J21" i="15"/>
  <c r="F30" i="15"/>
  <c r="B29" i="15"/>
  <c r="L33" i="15"/>
  <c r="I40" i="15"/>
  <c r="J36" i="15"/>
  <c r="I36" i="15" s="1"/>
  <c r="B44" i="15"/>
  <c r="F51" i="15"/>
  <c r="I55" i="15"/>
  <c r="J51" i="15"/>
  <c r="I51" i="15" s="1"/>
  <c r="V73" i="15"/>
  <c r="I64" i="15"/>
  <c r="J60" i="15"/>
  <c r="B67" i="15"/>
  <c r="N13" i="15"/>
  <c r="V50" i="15"/>
  <c r="F61" i="15"/>
  <c r="B60" i="15"/>
  <c r="I71" i="15"/>
  <c r="J67" i="15"/>
  <c r="P14" i="15"/>
  <c r="I18" i="15"/>
  <c r="J14" i="15"/>
  <c r="F22" i="15"/>
  <c r="B21" i="15"/>
  <c r="L25" i="15"/>
  <c r="F29" i="15"/>
  <c r="P29" i="15"/>
  <c r="I33" i="15"/>
  <c r="J29" i="15"/>
  <c r="F37" i="15"/>
  <c r="B36" i="15"/>
  <c r="L40" i="15"/>
  <c r="P44" i="15"/>
  <c r="I48" i="15"/>
  <c r="J44" i="15"/>
  <c r="F52" i="15"/>
  <c r="B51" i="15"/>
  <c r="L55" i="15"/>
  <c r="D60" i="15"/>
  <c r="R61" i="15"/>
  <c r="V66" i="15"/>
  <c r="R67" i="15"/>
  <c r="I111" i="15"/>
  <c r="K107" i="15"/>
  <c r="L158" i="15"/>
  <c r="M154" i="15"/>
  <c r="F213" i="15"/>
  <c r="G212" i="15"/>
  <c r="S220" i="15"/>
  <c r="R224" i="15"/>
  <c r="D236" i="15"/>
  <c r="C240" i="15"/>
  <c r="R240" i="15"/>
  <c r="S236" i="15"/>
  <c r="M14" i="15"/>
  <c r="E21" i="15"/>
  <c r="E13" i="15" s="1"/>
  <c r="M21" i="15"/>
  <c r="L21" i="15" s="1"/>
  <c r="Q21" i="15"/>
  <c r="E29" i="15"/>
  <c r="M29" i="15"/>
  <c r="Q29" i="15"/>
  <c r="E36" i="15"/>
  <c r="C36" i="15" s="1"/>
  <c r="M36" i="15"/>
  <c r="Q36" i="15"/>
  <c r="O36" i="15" s="1"/>
  <c r="E44" i="15"/>
  <c r="C44" i="15" s="1"/>
  <c r="M44" i="15"/>
  <c r="Q44" i="15"/>
  <c r="E51" i="15"/>
  <c r="C51" i="15" s="1"/>
  <c r="M51" i="15"/>
  <c r="Q51" i="15"/>
  <c r="E60" i="15"/>
  <c r="M60" i="15"/>
  <c r="Q60" i="15"/>
  <c r="O60" i="15" s="1"/>
  <c r="E67" i="15"/>
  <c r="M67" i="15"/>
  <c r="Q67" i="15"/>
  <c r="O67" i="15" s="1"/>
  <c r="V77" i="15"/>
  <c r="F79" i="15"/>
  <c r="G75" i="15"/>
  <c r="R86" i="15"/>
  <c r="S82" i="15"/>
  <c r="R82" i="15" s="1"/>
  <c r="V92" i="15"/>
  <c r="F94" i="15"/>
  <c r="G90" i="15"/>
  <c r="V99" i="15"/>
  <c r="F101" i="15"/>
  <c r="G97" i="15"/>
  <c r="F111" i="15"/>
  <c r="G107" i="15"/>
  <c r="V116" i="15"/>
  <c r="R118" i="15"/>
  <c r="S114" i="15"/>
  <c r="R114" i="15" s="1"/>
  <c r="Q122" i="15"/>
  <c r="L134" i="15"/>
  <c r="M129" i="15"/>
  <c r="L188" i="15"/>
  <c r="M184" i="15"/>
  <c r="I101" i="15"/>
  <c r="K97" i="15"/>
  <c r="I97" i="15" s="1"/>
  <c r="F118" i="15"/>
  <c r="G114" i="15"/>
  <c r="F114" i="15" s="1"/>
  <c r="L173" i="15"/>
  <c r="M169" i="15"/>
  <c r="D266" i="15"/>
  <c r="C270" i="15"/>
  <c r="R270" i="15"/>
  <c r="S266" i="15"/>
  <c r="O338" i="15"/>
  <c r="P337" i="15"/>
  <c r="O337" i="15" s="1"/>
  <c r="M75" i="15"/>
  <c r="M90" i="15"/>
  <c r="R101" i="15"/>
  <c r="S97" i="15"/>
  <c r="V109" i="15"/>
  <c r="R111" i="15"/>
  <c r="S107" i="15"/>
  <c r="Q114" i="15"/>
  <c r="M122" i="15"/>
  <c r="I126" i="15"/>
  <c r="K122" i="15"/>
  <c r="V127" i="15"/>
  <c r="L149" i="15"/>
  <c r="M145" i="15"/>
  <c r="S153" i="15"/>
  <c r="F162" i="15"/>
  <c r="G161" i="15"/>
  <c r="F177" i="15"/>
  <c r="G176" i="15"/>
  <c r="F176" i="15" s="1"/>
  <c r="R126" i="15"/>
  <c r="S122" i="15"/>
  <c r="O76" i="15"/>
  <c r="I79" i="15"/>
  <c r="R79" i="15"/>
  <c r="S75" i="15"/>
  <c r="C83" i="15"/>
  <c r="F86" i="15"/>
  <c r="G82" i="15"/>
  <c r="F82" i="15" s="1"/>
  <c r="V87" i="15"/>
  <c r="O91" i="15"/>
  <c r="I94" i="15"/>
  <c r="R94" i="15"/>
  <c r="S90" i="15"/>
  <c r="I118" i="15"/>
  <c r="K114" i="15"/>
  <c r="V119" i="15"/>
  <c r="F126" i="15"/>
  <c r="G122" i="15"/>
  <c r="F192" i="15"/>
  <c r="V192" i="15" s="1"/>
  <c r="G191" i="15"/>
  <c r="O201" i="15"/>
  <c r="P200" i="15"/>
  <c r="J129" i="15"/>
  <c r="F130" i="15"/>
  <c r="I139" i="15"/>
  <c r="C142" i="15"/>
  <c r="L142" i="15"/>
  <c r="M138" i="15"/>
  <c r="V143" i="15"/>
  <c r="G154" i="15"/>
  <c r="G169" i="15"/>
  <c r="O216" i="15"/>
  <c r="Q212" i="15"/>
  <c r="O212" i="15" s="1"/>
  <c r="I224" i="15"/>
  <c r="J220" i="15"/>
  <c r="L231" i="15"/>
  <c r="E235" i="15"/>
  <c r="I244" i="15"/>
  <c r="J243" i="15"/>
  <c r="I243" i="15" s="1"/>
  <c r="L165" i="15"/>
  <c r="M161" i="15"/>
  <c r="L161" i="15" s="1"/>
  <c r="L180" i="15"/>
  <c r="M176" i="15"/>
  <c r="L195" i="15"/>
  <c r="M191" i="15"/>
  <c r="L191" i="15" s="1"/>
  <c r="V196" i="15"/>
  <c r="C201" i="15"/>
  <c r="D200" i="15"/>
  <c r="M199" i="15"/>
  <c r="L216" i="15"/>
  <c r="M212" i="15"/>
  <c r="L212" i="15" s="1"/>
  <c r="C220" i="15"/>
  <c r="O228" i="15"/>
  <c r="M235" i="15"/>
  <c r="R129" i="15"/>
  <c r="I130" i="15"/>
  <c r="R130" i="15"/>
  <c r="O142" i="15"/>
  <c r="G145" i="15"/>
  <c r="I184" i="15"/>
  <c r="R201" i="15"/>
  <c r="T200" i="15"/>
  <c r="T199" i="15" s="1"/>
  <c r="C216" i="15"/>
  <c r="E212" i="15"/>
  <c r="L221" i="15"/>
  <c r="M220" i="15"/>
  <c r="V224" i="15"/>
  <c r="I231" i="15"/>
  <c r="I237" i="15"/>
  <c r="J236" i="15"/>
  <c r="R262" i="15"/>
  <c r="S258" i="15"/>
  <c r="I267" i="15"/>
  <c r="J266" i="15"/>
  <c r="V269" i="15"/>
  <c r="I270" i="15"/>
  <c r="K266" i="15"/>
  <c r="C293" i="15"/>
  <c r="D292" i="15"/>
  <c r="R293" i="15"/>
  <c r="T292" i="15"/>
  <c r="I296" i="15"/>
  <c r="J292" i="15"/>
  <c r="I292" i="15" s="1"/>
  <c r="D251" i="15"/>
  <c r="C255" i="15"/>
  <c r="R255" i="15"/>
  <c r="S251" i="15"/>
  <c r="O267" i="15"/>
  <c r="Q266" i="15"/>
  <c r="Q265" i="15" s="1"/>
  <c r="O293" i="15"/>
  <c r="P292" i="15"/>
  <c r="O292" i="15" s="1"/>
  <c r="C301" i="15"/>
  <c r="D300" i="15"/>
  <c r="R301" i="15"/>
  <c r="T300" i="15"/>
  <c r="I304" i="15"/>
  <c r="J300" i="15"/>
  <c r="B220" i="15"/>
  <c r="C221" i="15"/>
  <c r="V223" i="15"/>
  <c r="V232" i="15"/>
  <c r="B234" i="15"/>
  <c r="R247" i="15"/>
  <c r="S243" i="15"/>
  <c r="N250" i="15"/>
  <c r="I252" i="15"/>
  <c r="J251" i="15"/>
  <c r="O252" i="15"/>
  <c r="V254" i="15"/>
  <c r="O301" i="15"/>
  <c r="P300" i="15"/>
  <c r="B322" i="15"/>
  <c r="B330" i="15"/>
  <c r="B337" i="15"/>
  <c r="V238" i="15"/>
  <c r="F240" i="15"/>
  <c r="G236" i="15"/>
  <c r="V253" i="15"/>
  <c r="F255" i="15"/>
  <c r="G251" i="15"/>
  <c r="V268" i="15"/>
  <c r="F270" i="15"/>
  <c r="G266" i="15"/>
  <c r="O266" i="15"/>
  <c r="H273" i="15"/>
  <c r="F273" i="15" s="1"/>
  <c r="F274" i="15"/>
  <c r="O286" i="15"/>
  <c r="P285" i="15"/>
  <c r="L311" i="15"/>
  <c r="N307" i="15"/>
  <c r="L319" i="15"/>
  <c r="N315" i="15"/>
  <c r="L326" i="15"/>
  <c r="N322" i="15"/>
  <c r="L322" i="15" s="1"/>
  <c r="L334" i="15"/>
  <c r="N330" i="15"/>
  <c r="C244" i="15"/>
  <c r="L244" i="15"/>
  <c r="V245" i="15"/>
  <c r="F247" i="15"/>
  <c r="G243" i="15"/>
  <c r="C259" i="15"/>
  <c r="L259" i="15"/>
  <c r="V260" i="15"/>
  <c r="F262" i="15"/>
  <c r="G258" i="15"/>
  <c r="O258" i="15"/>
  <c r="C274" i="15"/>
  <c r="D273" i="15"/>
  <c r="R308" i="15"/>
  <c r="T307" i="15"/>
  <c r="V310" i="15"/>
  <c r="I311" i="15"/>
  <c r="J307" i="15"/>
  <c r="R316" i="15"/>
  <c r="T315" i="15"/>
  <c r="V318" i="15"/>
  <c r="I319" i="15"/>
  <c r="J315" i="15"/>
  <c r="H322" i="15"/>
  <c r="H330" i="15"/>
  <c r="V276" i="15"/>
  <c r="L289" i="15"/>
  <c r="N285" i="15"/>
  <c r="V291" i="15"/>
  <c r="B292" i="15"/>
  <c r="B300" i="15"/>
  <c r="V325" i="15"/>
  <c r="I326" i="15"/>
  <c r="J322" i="15"/>
  <c r="V333" i="15"/>
  <c r="I334" i="15"/>
  <c r="J330" i="15"/>
  <c r="L341" i="15"/>
  <c r="N337" i="15"/>
  <c r="L337" i="15" s="1"/>
  <c r="V283" i="15"/>
  <c r="I289" i="15"/>
  <c r="J285" i="15"/>
  <c r="L296" i="15"/>
  <c r="N292" i="15"/>
  <c r="L292" i="15" s="1"/>
  <c r="V298" i="15"/>
  <c r="L304" i="15"/>
  <c r="N300" i="15"/>
  <c r="V306" i="15"/>
  <c r="B307" i="15"/>
  <c r="B315" i="15"/>
  <c r="D329" i="15"/>
  <c r="V340" i="15"/>
  <c r="I341" i="15"/>
  <c r="J337" i="15"/>
  <c r="S317" i="14"/>
  <c r="S309" i="14" s="1"/>
  <c r="M309" i="14"/>
  <c r="T310" i="14"/>
  <c r="I314" i="14"/>
  <c r="O314" i="14"/>
  <c r="V316" i="14"/>
  <c r="R318" i="14"/>
  <c r="V319" i="14"/>
  <c r="V323" i="14"/>
  <c r="D325" i="14"/>
  <c r="P325" i="14"/>
  <c r="C326" i="14"/>
  <c r="R326" i="14"/>
  <c r="V327" i="14"/>
  <c r="K325" i="14"/>
  <c r="V330" i="14"/>
  <c r="D332" i="14"/>
  <c r="C332" i="14" s="1"/>
  <c r="P332" i="14"/>
  <c r="O332" i="14" s="1"/>
  <c r="C333" i="14"/>
  <c r="R333" i="14"/>
  <c r="V334" i="14"/>
  <c r="K332" i="14"/>
  <c r="V337" i="14"/>
  <c r="L311" i="14"/>
  <c r="F321" i="14"/>
  <c r="K317" i="14"/>
  <c r="D310" i="14"/>
  <c r="C311" i="14"/>
  <c r="G310" i="14"/>
  <c r="F318" i="14"/>
  <c r="G317" i="14"/>
  <c r="H325" i="14"/>
  <c r="T325" i="14"/>
  <c r="L329" i="14"/>
  <c r="R329" i="14"/>
  <c r="H332" i="14"/>
  <c r="L336" i="14"/>
  <c r="R336" i="14"/>
  <c r="C310" i="14"/>
  <c r="I321" i="14"/>
  <c r="J317" i="14"/>
  <c r="J310" i="14"/>
  <c r="B317" i="14"/>
  <c r="L310" i="14"/>
  <c r="O311" i="14"/>
  <c r="V313" i="14"/>
  <c r="R314" i="14"/>
  <c r="D317" i="14"/>
  <c r="C317" i="14" s="1"/>
  <c r="V322" i="14"/>
  <c r="O318" i="14"/>
  <c r="L321" i="14"/>
  <c r="N317" i="14"/>
  <c r="L317" i="14" s="1"/>
  <c r="R321" i="14"/>
  <c r="O317" i="14"/>
  <c r="B325" i="14"/>
  <c r="J325" i="14"/>
  <c r="N325" i="14"/>
  <c r="B332" i="14"/>
  <c r="J332" i="14"/>
  <c r="N332" i="14"/>
  <c r="G325" i="14"/>
  <c r="S325" i="14"/>
  <c r="G332" i="14"/>
  <c r="S332" i="14"/>
  <c r="R308" i="14"/>
  <c r="O308" i="14"/>
  <c r="L308" i="14"/>
  <c r="I308" i="14"/>
  <c r="F308" i="14"/>
  <c r="C308" i="14"/>
  <c r="R307" i="14"/>
  <c r="O307" i="14"/>
  <c r="L307" i="14"/>
  <c r="I307" i="14"/>
  <c r="F307" i="14"/>
  <c r="C307" i="14"/>
  <c r="T306" i="14"/>
  <c r="S306" i="14"/>
  <c r="Q306" i="14"/>
  <c r="P306" i="14"/>
  <c r="N306" i="14"/>
  <c r="M306" i="14"/>
  <c r="K306" i="14"/>
  <c r="J306" i="14"/>
  <c r="H306" i="14"/>
  <c r="G306" i="14"/>
  <c r="E306" i="14"/>
  <c r="D306" i="14"/>
  <c r="B306" i="14"/>
  <c r="R305" i="14"/>
  <c r="O305" i="14"/>
  <c r="L305" i="14"/>
  <c r="I305" i="14"/>
  <c r="F305" i="14"/>
  <c r="C305" i="14"/>
  <c r="R304" i="14"/>
  <c r="O304" i="14"/>
  <c r="L304" i="14"/>
  <c r="I304" i="14"/>
  <c r="F304" i="14"/>
  <c r="C304" i="14"/>
  <c r="T303" i="14"/>
  <c r="S303" i="14"/>
  <c r="Q303" i="14"/>
  <c r="P303" i="14"/>
  <c r="N303" i="14"/>
  <c r="M303" i="14"/>
  <c r="K303" i="14"/>
  <c r="J303" i="14"/>
  <c r="H303" i="14"/>
  <c r="G303" i="14"/>
  <c r="E303" i="14"/>
  <c r="D303" i="14"/>
  <c r="B303" i="14"/>
  <c r="R301" i="14"/>
  <c r="O301" i="14"/>
  <c r="L301" i="14"/>
  <c r="I301" i="14"/>
  <c r="F301" i="14"/>
  <c r="C301" i="14"/>
  <c r="R300" i="14"/>
  <c r="O300" i="14"/>
  <c r="L300" i="14"/>
  <c r="I300" i="14"/>
  <c r="F300" i="14"/>
  <c r="C300" i="14"/>
  <c r="V300" i="14" s="1"/>
  <c r="T299" i="14"/>
  <c r="S299" i="14"/>
  <c r="Q299" i="14"/>
  <c r="P299" i="14"/>
  <c r="N299" i="14"/>
  <c r="M299" i="14"/>
  <c r="K299" i="14"/>
  <c r="J299" i="14"/>
  <c r="H299" i="14"/>
  <c r="G299" i="14"/>
  <c r="E299" i="14"/>
  <c r="D299" i="14"/>
  <c r="B299" i="14"/>
  <c r="R298" i="14"/>
  <c r="O298" i="14"/>
  <c r="L298" i="14"/>
  <c r="I298" i="14"/>
  <c r="F298" i="14"/>
  <c r="C298" i="14"/>
  <c r="R297" i="14"/>
  <c r="O297" i="14"/>
  <c r="L297" i="14"/>
  <c r="I297" i="14"/>
  <c r="F297" i="14"/>
  <c r="C297" i="14"/>
  <c r="T296" i="14"/>
  <c r="S296" i="14"/>
  <c r="Q296" i="14"/>
  <c r="P296" i="14"/>
  <c r="N296" i="14"/>
  <c r="M296" i="14"/>
  <c r="K296" i="14"/>
  <c r="K295" i="14" s="1"/>
  <c r="J296" i="14"/>
  <c r="H296" i="14"/>
  <c r="G296" i="14"/>
  <c r="E296" i="14"/>
  <c r="E295" i="14" s="1"/>
  <c r="D296" i="14"/>
  <c r="B296" i="14"/>
  <c r="R293" i="14"/>
  <c r="O293" i="14"/>
  <c r="L293" i="14"/>
  <c r="I293" i="14"/>
  <c r="F293" i="14"/>
  <c r="C293" i="14"/>
  <c r="R292" i="14"/>
  <c r="O292" i="14"/>
  <c r="L292" i="14"/>
  <c r="I292" i="14"/>
  <c r="F292" i="14"/>
  <c r="C292" i="14"/>
  <c r="T291" i="14"/>
  <c r="S291" i="14"/>
  <c r="Q291" i="14"/>
  <c r="P291" i="14"/>
  <c r="N291" i="14"/>
  <c r="M291" i="14"/>
  <c r="K291" i="14"/>
  <c r="J291" i="14"/>
  <c r="H291" i="14"/>
  <c r="G291" i="14"/>
  <c r="E291" i="14"/>
  <c r="D291" i="14"/>
  <c r="B291" i="14"/>
  <c r="R290" i="14"/>
  <c r="O290" i="14"/>
  <c r="L290" i="14"/>
  <c r="I290" i="14"/>
  <c r="F290" i="14"/>
  <c r="C290" i="14"/>
  <c r="R289" i="14"/>
  <c r="O289" i="14"/>
  <c r="L289" i="14"/>
  <c r="I289" i="14"/>
  <c r="F289" i="14"/>
  <c r="C289" i="14"/>
  <c r="T288" i="14"/>
  <c r="S288" i="14"/>
  <c r="Q288" i="14"/>
  <c r="P288" i="14"/>
  <c r="N288" i="14"/>
  <c r="M288" i="14"/>
  <c r="K288" i="14"/>
  <c r="J288" i="14"/>
  <c r="H288" i="14"/>
  <c r="G288" i="14"/>
  <c r="E288" i="14"/>
  <c r="D288" i="14"/>
  <c r="B288" i="14"/>
  <c r="R286" i="14"/>
  <c r="O286" i="14"/>
  <c r="L286" i="14"/>
  <c r="I286" i="14"/>
  <c r="F286" i="14"/>
  <c r="C286" i="14"/>
  <c r="R285" i="14"/>
  <c r="O285" i="14"/>
  <c r="L285" i="14"/>
  <c r="I285" i="14"/>
  <c r="F285" i="14"/>
  <c r="C285" i="14"/>
  <c r="T284" i="14"/>
  <c r="S284" i="14"/>
  <c r="Q284" i="14"/>
  <c r="P284" i="14"/>
  <c r="N284" i="14"/>
  <c r="L284" i="14" s="1"/>
  <c r="M284" i="14"/>
  <c r="K284" i="14"/>
  <c r="J284" i="14"/>
  <c r="H284" i="14"/>
  <c r="G284" i="14"/>
  <c r="E284" i="14"/>
  <c r="D284" i="14"/>
  <c r="B284" i="14"/>
  <c r="R283" i="14"/>
  <c r="O283" i="14"/>
  <c r="L283" i="14"/>
  <c r="I283" i="14"/>
  <c r="F283" i="14"/>
  <c r="C283" i="14"/>
  <c r="R282" i="14"/>
  <c r="O282" i="14"/>
  <c r="L282" i="14"/>
  <c r="I282" i="14"/>
  <c r="F282" i="14"/>
  <c r="C282" i="14"/>
  <c r="T281" i="14"/>
  <c r="S281" i="14"/>
  <c r="Q281" i="14"/>
  <c r="P281" i="14"/>
  <c r="N281" i="14"/>
  <c r="M281" i="14"/>
  <c r="K281" i="14"/>
  <c r="J281" i="14"/>
  <c r="H281" i="14"/>
  <c r="G281" i="14"/>
  <c r="E281" i="14"/>
  <c r="D281" i="14"/>
  <c r="B281" i="14"/>
  <c r="R278" i="14"/>
  <c r="O278" i="14"/>
  <c r="L278" i="14"/>
  <c r="I278" i="14"/>
  <c r="F278" i="14"/>
  <c r="C278" i="14"/>
  <c r="R277" i="14"/>
  <c r="O277" i="14"/>
  <c r="L277" i="14"/>
  <c r="I277" i="14"/>
  <c r="F277" i="14"/>
  <c r="C277" i="14"/>
  <c r="T276" i="14"/>
  <c r="S276" i="14"/>
  <c r="Q276" i="14"/>
  <c r="P276" i="14"/>
  <c r="N276" i="14"/>
  <c r="M276" i="14"/>
  <c r="K276" i="14"/>
  <c r="I276" i="14" s="1"/>
  <c r="J276" i="14"/>
  <c r="H276" i="14"/>
  <c r="G276" i="14"/>
  <c r="E276" i="14"/>
  <c r="D276" i="14"/>
  <c r="B276" i="14"/>
  <c r="R275" i="14"/>
  <c r="O275" i="14"/>
  <c r="L275" i="14"/>
  <c r="I275" i="14"/>
  <c r="F275" i="14"/>
  <c r="C275" i="14"/>
  <c r="R274" i="14"/>
  <c r="O274" i="14"/>
  <c r="L274" i="14"/>
  <c r="I274" i="14"/>
  <c r="F274" i="14"/>
  <c r="C274" i="14"/>
  <c r="T273" i="14"/>
  <c r="S273" i="14"/>
  <c r="Q273" i="14"/>
  <c r="P273" i="14"/>
  <c r="N273" i="14"/>
  <c r="M273" i="14"/>
  <c r="K273" i="14"/>
  <c r="J273" i="14"/>
  <c r="H273" i="14"/>
  <c r="G273" i="14"/>
  <c r="E273" i="14"/>
  <c r="D273" i="14"/>
  <c r="B273" i="14"/>
  <c r="B272" i="14" s="1"/>
  <c r="Q272" i="14"/>
  <c r="R271" i="14"/>
  <c r="O271" i="14"/>
  <c r="L271" i="14"/>
  <c r="I271" i="14"/>
  <c r="F271" i="14"/>
  <c r="C271" i="14"/>
  <c r="R270" i="14"/>
  <c r="O270" i="14"/>
  <c r="L270" i="14"/>
  <c r="I270" i="14"/>
  <c r="F270" i="14"/>
  <c r="C270" i="14"/>
  <c r="T269" i="14"/>
  <c r="S269" i="14"/>
  <c r="Q269" i="14"/>
  <c r="P269" i="14"/>
  <c r="N269" i="14"/>
  <c r="M269" i="14"/>
  <c r="K269" i="14"/>
  <c r="J269" i="14"/>
  <c r="H269" i="14"/>
  <c r="G269" i="14"/>
  <c r="F269" i="14" s="1"/>
  <c r="E269" i="14"/>
  <c r="D269" i="14"/>
  <c r="B269" i="14"/>
  <c r="R268" i="14"/>
  <c r="O268" i="14"/>
  <c r="L268" i="14"/>
  <c r="I268" i="14"/>
  <c r="F268" i="14"/>
  <c r="C268" i="14"/>
  <c r="R267" i="14"/>
  <c r="O267" i="14"/>
  <c r="L267" i="14"/>
  <c r="I267" i="14"/>
  <c r="F267" i="14"/>
  <c r="C267" i="14"/>
  <c r="T266" i="14"/>
  <c r="S266" i="14"/>
  <c r="R266" i="14" s="1"/>
  <c r="Q266" i="14"/>
  <c r="P266" i="14"/>
  <c r="N266" i="14"/>
  <c r="M266" i="14"/>
  <c r="K266" i="14"/>
  <c r="J266" i="14"/>
  <c r="H266" i="14"/>
  <c r="G266" i="14"/>
  <c r="E266" i="14"/>
  <c r="D266" i="14"/>
  <c r="B266" i="14"/>
  <c r="R263" i="14"/>
  <c r="O263" i="14"/>
  <c r="L263" i="14"/>
  <c r="I263" i="14"/>
  <c r="F263" i="14"/>
  <c r="C263" i="14"/>
  <c r="R262" i="14"/>
  <c r="O262" i="14"/>
  <c r="L262" i="14"/>
  <c r="I262" i="14"/>
  <c r="F262" i="14"/>
  <c r="C262" i="14"/>
  <c r="T261" i="14"/>
  <c r="S261" i="14"/>
  <c r="Q261" i="14"/>
  <c r="P261" i="14"/>
  <c r="N261" i="14"/>
  <c r="M261" i="14"/>
  <c r="K261" i="14"/>
  <c r="J261" i="14"/>
  <c r="H261" i="14"/>
  <c r="G261" i="14"/>
  <c r="E261" i="14"/>
  <c r="D261" i="14"/>
  <c r="B261" i="14"/>
  <c r="R260" i="14"/>
  <c r="O260" i="14"/>
  <c r="L260" i="14"/>
  <c r="I260" i="14"/>
  <c r="F260" i="14"/>
  <c r="C260" i="14"/>
  <c r="R259" i="14"/>
  <c r="O259" i="14"/>
  <c r="L259" i="14"/>
  <c r="I259" i="14"/>
  <c r="F259" i="14"/>
  <c r="C259" i="14"/>
  <c r="T258" i="14"/>
  <c r="S258" i="14"/>
  <c r="Q258" i="14"/>
  <c r="P258" i="14"/>
  <c r="N258" i="14"/>
  <c r="M258" i="14"/>
  <c r="K258" i="14"/>
  <c r="J258" i="14"/>
  <c r="I258" i="14" s="1"/>
  <c r="H258" i="14"/>
  <c r="G258" i="14"/>
  <c r="E258" i="14"/>
  <c r="D258" i="14"/>
  <c r="B258" i="14"/>
  <c r="R256" i="14"/>
  <c r="O256" i="14"/>
  <c r="L256" i="14"/>
  <c r="I256" i="14"/>
  <c r="F256" i="14"/>
  <c r="C256" i="14"/>
  <c r="R255" i="14"/>
  <c r="O255" i="14"/>
  <c r="L255" i="14"/>
  <c r="I255" i="14"/>
  <c r="F255" i="14"/>
  <c r="C255" i="14"/>
  <c r="T254" i="14"/>
  <c r="S254" i="14"/>
  <c r="Q254" i="14"/>
  <c r="P254" i="14"/>
  <c r="N254" i="14"/>
  <c r="M254" i="14"/>
  <c r="L254" i="14" s="1"/>
  <c r="K254" i="14"/>
  <c r="J254" i="14"/>
  <c r="H254" i="14"/>
  <c r="G254" i="14"/>
  <c r="E254" i="14"/>
  <c r="D254" i="14"/>
  <c r="B254" i="14"/>
  <c r="R253" i="14"/>
  <c r="O253" i="14"/>
  <c r="L253" i="14"/>
  <c r="I253" i="14"/>
  <c r="F253" i="14"/>
  <c r="C253" i="14"/>
  <c r="R252" i="14"/>
  <c r="O252" i="14"/>
  <c r="L252" i="14"/>
  <c r="I252" i="14"/>
  <c r="F252" i="14"/>
  <c r="C252" i="14"/>
  <c r="T251" i="14"/>
  <c r="S251" i="14"/>
  <c r="R251" i="14" s="1"/>
  <c r="Q251" i="14"/>
  <c r="P251" i="14"/>
  <c r="N251" i="14"/>
  <c r="M251" i="14"/>
  <c r="K251" i="14"/>
  <c r="J251" i="14"/>
  <c r="H251" i="14"/>
  <c r="G251" i="14"/>
  <c r="G250" i="14" s="1"/>
  <c r="E251" i="14"/>
  <c r="D251" i="14"/>
  <c r="B251" i="14"/>
  <c r="B250" i="14" s="1"/>
  <c r="N250" i="14"/>
  <c r="R248" i="14"/>
  <c r="O248" i="14"/>
  <c r="L248" i="14"/>
  <c r="I248" i="14"/>
  <c r="F248" i="14"/>
  <c r="C248" i="14"/>
  <c r="R247" i="14"/>
  <c r="O247" i="14"/>
  <c r="L247" i="14"/>
  <c r="I247" i="14"/>
  <c r="F247" i="14"/>
  <c r="C247" i="14"/>
  <c r="T246" i="14"/>
  <c r="S246" i="14"/>
  <c r="Q246" i="14"/>
  <c r="P246" i="14"/>
  <c r="N246" i="14"/>
  <c r="M246" i="14"/>
  <c r="K246" i="14"/>
  <c r="J246" i="14"/>
  <c r="H246" i="14"/>
  <c r="G246" i="14"/>
  <c r="E246" i="14"/>
  <c r="D246" i="14"/>
  <c r="B246" i="14"/>
  <c r="R245" i="14"/>
  <c r="O245" i="14"/>
  <c r="L245" i="14"/>
  <c r="I245" i="14"/>
  <c r="F245" i="14"/>
  <c r="C245" i="14"/>
  <c r="R244" i="14"/>
  <c r="O244" i="14"/>
  <c r="L244" i="14"/>
  <c r="I244" i="14"/>
  <c r="F244" i="14"/>
  <c r="C244" i="14"/>
  <c r="T243" i="14"/>
  <c r="S243" i="14"/>
  <c r="Q243" i="14"/>
  <c r="P243" i="14"/>
  <c r="N243" i="14"/>
  <c r="M243" i="14"/>
  <c r="K243" i="14"/>
  <c r="J243" i="14"/>
  <c r="H243" i="14"/>
  <c r="G243" i="14"/>
  <c r="E243" i="14"/>
  <c r="D243" i="14"/>
  <c r="B243" i="14"/>
  <c r="H242" i="14"/>
  <c r="R241" i="14"/>
  <c r="O241" i="14"/>
  <c r="L241" i="14"/>
  <c r="I241" i="14"/>
  <c r="F241" i="14"/>
  <c r="C241" i="14"/>
  <c r="R240" i="14"/>
  <c r="O240" i="14"/>
  <c r="L240" i="14"/>
  <c r="I240" i="14"/>
  <c r="F240" i="14"/>
  <c r="C240" i="14"/>
  <c r="T239" i="14"/>
  <c r="S239" i="14"/>
  <c r="Q239" i="14"/>
  <c r="P239" i="14"/>
  <c r="N239" i="14"/>
  <c r="M239" i="14"/>
  <c r="K239" i="14"/>
  <c r="J239" i="14"/>
  <c r="H239" i="14"/>
  <c r="G239" i="14"/>
  <c r="E239" i="14"/>
  <c r="D239" i="14"/>
  <c r="B239" i="14"/>
  <c r="R238" i="14"/>
  <c r="O238" i="14"/>
  <c r="L238" i="14"/>
  <c r="I238" i="14"/>
  <c r="F238" i="14"/>
  <c r="C238" i="14"/>
  <c r="R237" i="14"/>
  <c r="O237" i="14"/>
  <c r="L237" i="14"/>
  <c r="I237" i="14"/>
  <c r="F237" i="14"/>
  <c r="C237" i="14"/>
  <c r="T236" i="14"/>
  <c r="S236" i="14"/>
  <c r="Q236" i="14"/>
  <c r="P236" i="14"/>
  <c r="N236" i="14"/>
  <c r="M236" i="14"/>
  <c r="K236" i="14"/>
  <c r="J236" i="14"/>
  <c r="H236" i="14"/>
  <c r="G236" i="14"/>
  <c r="E236" i="14"/>
  <c r="D236" i="14"/>
  <c r="B236" i="14"/>
  <c r="R232" i="14"/>
  <c r="O232" i="14"/>
  <c r="L232" i="14"/>
  <c r="I232" i="14"/>
  <c r="F232" i="14"/>
  <c r="C232" i="14"/>
  <c r="R231" i="14"/>
  <c r="O231" i="14"/>
  <c r="L231" i="14"/>
  <c r="I231" i="14"/>
  <c r="F231" i="14"/>
  <c r="C231" i="14"/>
  <c r="T230" i="14"/>
  <c r="S230" i="14"/>
  <c r="Q230" i="14"/>
  <c r="P230" i="14"/>
  <c r="N230" i="14"/>
  <c r="M230" i="14"/>
  <c r="K230" i="14"/>
  <c r="J230" i="14"/>
  <c r="H230" i="14"/>
  <c r="G230" i="14"/>
  <c r="E230" i="14"/>
  <c r="D230" i="14"/>
  <c r="B230" i="14"/>
  <c r="R229" i="14"/>
  <c r="O229" i="14"/>
  <c r="L229" i="14"/>
  <c r="I229" i="14"/>
  <c r="F229" i="14"/>
  <c r="C229" i="14"/>
  <c r="R228" i="14"/>
  <c r="O228" i="14"/>
  <c r="L228" i="14"/>
  <c r="I228" i="14"/>
  <c r="F228" i="14"/>
  <c r="C228" i="14"/>
  <c r="T227" i="14"/>
  <c r="S227" i="14"/>
  <c r="Q227" i="14"/>
  <c r="P227" i="14"/>
  <c r="N227" i="14"/>
  <c r="M227" i="14"/>
  <c r="K227" i="14"/>
  <c r="J227" i="14"/>
  <c r="J226" i="14" s="1"/>
  <c r="H227" i="14"/>
  <c r="G227" i="14"/>
  <c r="E227" i="14"/>
  <c r="D227" i="14"/>
  <c r="B227" i="14"/>
  <c r="R225" i="14"/>
  <c r="O225" i="14"/>
  <c r="L225" i="14"/>
  <c r="I225" i="14"/>
  <c r="F225" i="14"/>
  <c r="C225" i="14"/>
  <c r="R224" i="14"/>
  <c r="O224" i="14"/>
  <c r="L224" i="14"/>
  <c r="I224" i="14"/>
  <c r="F224" i="14"/>
  <c r="C224" i="14"/>
  <c r="T223" i="14"/>
  <c r="S223" i="14"/>
  <c r="Q223" i="14"/>
  <c r="P223" i="14"/>
  <c r="O223" i="14" s="1"/>
  <c r="N223" i="14"/>
  <c r="M223" i="14"/>
  <c r="K223" i="14"/>
  <c r="J223" i="14"/>
  <c r="H223" i="14"/>
  <c r="G223" i="14"/>
  <c r="E223" i="14"/>
  <c r="D223" i="14"/>
  <c r="B223" i="14"/>
  <c r="R222" i="14"/>
  <c r="O222" i="14"/>
  <c r="L222" i="14"/>
  <c r="I222" i="14"/>
  <c r="F222" i="14"/>
  <c r="C222" i="14"/>
  <c r="R221" i="14"/>
  <c r="O221" i="14"/>
  <c r="L221" i="14"/>
  <c r="I221" i="14"/>
  <c r="F221" i="14"/>
  <c r="C221" i="14"/>
  <c r="T220" i="14"/>
  <c r="S220" i="14"/>
  <c r="Q220" i="14"/>
  <c r="Q219" i="14" s="1"/>
  <c r="P220" i="14"/>
  <c r="N220" i="14"/>
  <c r="M220" i="14"/>
  <c r="K220" i="14"/>
  <c r="J220" i="14"/>
  <c r="H220" i="14"/>
  <c r="G220" i="14"/>
  <c r="E220" i="14"/>
  <c r="E219" i="14" s="1"/>
  <c r="D220" i="14"/>
  <c r="B220" i="14"/>
  <c r="R217" i="14"/>
  <c r="O217" i="14"/>
  <c r="L217" i="14"/>
  <c r="I217" i="14"/>
  <c r="F217" i="14"/>
  <c r="C217" i="14"/>
  <c r="R216" i="14"/>
  <c r="O216" i="14"/>
  <c r="L216" i="14"/>
  <c r="I216" i="14"/>
  <c r="F216" i="14"/>
  <c r="C216" i="14"/>
  <c r="T215" i="14"/>
  <c r="S215" i="14"/>
  <c r="Q215" i="14"/>
  <c r="P215" i="14"/>
  <c r="N215" i="14"/>
  <c r="M215" i="14"/>
  <c r="K215" i="14"/>
  <c r="J215" i="14"/>
  <c r="H215" i="14"/>
  <c r="G215" i="14"/>
  <c r="E215" i="14"/>
  <c r="D215" i="14"/>
  <c r="B215" i="14"/>
  <c r="R214" i="14"/>
  <c r="O214" i="14"/>
  <c r="L214" i="14"/>
  <c r="I214" i="14"/>
  <c r="F214" i="14"/>
  <c r="C214" i="14"/>
  <c r="R213" i="14"/>
  <c r="O213" i="14"/>
  <c r="L213" i="14"/>
  <c r="I213" i="14"/>
  <c r="F213" i="14"/>
  <c r="C213" i="14"/>
  <c r="T212" i="14"/>
  <c r="S212" i="14"/>
  <c r="Q212" i="14"/>
  <c r="P212" i="14"/>
  <c r="O212" i="14" s="1"/>
  <c r="N212" i="14"/>
  <c r="M212" i="14"/>
  <c r="K212" i="14"/>
  <c r="J212" i="14"/>
  <c r="I212" i="14" s="1"/>
  <c r="H212" i="14"/>
  <c r="G212" i="14"/>
  <c r="E212" i="14"/>
  <c r="D212" i="14"/>
  <c r="B212" i="14"/>
  <c r="K211" i="14"/>
  <c r="R210" i="14"/>
  <c r="O210" i="14"/>
  <c r="L210" i="14"/>
  <c r="I210" i="14"/>
  <c r="F210" i="14"/>
  <c r="C210" i="14"/>
  <c r="R209" i="14"/>
  <c r="O209" i="14"/>
  <c r="L209" i="14"/>
  <c r="I209" i="14"/>
  <c r="F209" i="14"/>
  <c r="C209" i="14"/>
  <c r="T208" i="14"/>
  <c r="S208" i="14"/>
  <c r="S198" i="14" s="1"/>
  <c r="Q208" i="14"/>
  <c r="Q198" i="14" s="1"/>
  <c r="P208" i="14"/>
  <c r="N208" i="14"/>
  <c r="M208" i="14"/>
  <c r="M198" i="14" s="1"/>
  <c r="K208" i="14"/>
  <c r="J208" i="14"/>
  <c r="H208" i="14"/>
  <c r="G208" i="14"/>
  <c r="G198" i="14" s="1"/>
  <c r="E208" i="14"/>
  <c r="E198" i="14" s="1"/>
  <c r="D208" i="14"/>
  <c r="B208" i="14"/>
  <c r="R207" i="14"/>
  <c r="O207" i="14"/>
  <c r="L207" i="14"/>
  <c r="I207" i="14"/>
  <c r="F207" i="14"/>
  <c r="C207" i="14"/>
  <c r="R200" i="14"/>
  <c r="O200" i="14"/>
  <c r="L200" i="14"/>
  <c r="I200" i="14"/>
  <c r="F200" i="14"/>
  <c r="C200" i="14"/>
  <c r="L199" i="14"/>
  <c r="K198" i="14"/>
  <c r="F199" i="14"/>
  <c r="B199" i="14"/>
  <c r="B198" i="14" s="1"/>
  <c r="R196" i="14"/>
  <c r="O196" i="14"/>
  <c r="L196" i="14"/>
  <c r="I196" i="14"/>
  <c r="F196" i="14"/>
  <c r="C196" i="14"/>
  <c r="R195" i="14"/>
  <c r="O195" i="14"/>
  <c r="L195" i="14"/>
  <c r="I195" i="14"/>
  <c r="F195" i="14"/>
  <c r="C195" i="14"/>
  <c r="T194" i="14"/>
  <c r="S194" i="14"/>
  <c r="Q194" i="14"/>
  <c r="P194" i="14"/>
  <c r="N194" i="14"/>
  <c r="M194" i="14"/>
  <c r="K194" i="14"/>
  <c r="J194" i="14"/>
  <c r="H194" i="14"/>
  <c r="G194" i="14"/>
  <c r="E194" i="14"/>
  <c r="D194" i="14"/>
  <c r="B194" i="14"/>
  <c r="R193" i="14"/>
  <c r="O193" i="14"/>
  <c r="L193" i="14"/>
  <c r="I193" i="14"/>
  <c r="F193" i="14"/>
  <c r="C193" i="14"/>
  <c r="R192" i="14"/>
  <c r="O192" i="14"/>
  <c r="L192" i="14"/>
  <c r="I192" i="14"/>
  <c r="F192" i="14"/>
  <c r="C192" i="14"/>
  <c r="T191" i="14"/>
  <c r="S191" i="14"/>
  <c r="Q191" i="14"/>
  <c r="P191" i="14"/>
  <c r="N191" i="14"/>
  <c r="M191" i="14"/>
  <c r="K191" i="14"/>
  <c r="J191" i="14"/>
  <c r="H191" i="14"/>
  <c r="G191" i="14"/>
  <c r="G190" i="14" s="1"/>
  <c r="E191" i="14"/>
  <c r="D191" i="14"/>
  <c r="B191" i="14"/>
  <c r="R189" i="14"/>
  <c r="O189" i="14"/>
  <c r="L189" i="14"/>
  <c r="I189" i="14"/>
  <c r="F189" i="14"/>
  <c r="C189" i="14"/>
  <c r="R188" i="14"/>
  <c r="O188" i="14"/>
  <c r="L188" i="14"/>
  <c r="I188" i="14"/>
  <c r="F188" i="14"/>
  <c r="C188" i="14"/>
  <c r="T187" i="14"/>
  <c r="S187" i="14"/>
  <c r="Q187" i="14"/>
  <c r="P187" i="14"/>
  <c r="N187" i="14"/>
  <c r="M187" i="14"/>
  <c r="K187" i="14"/>
  <c r="J187" i="14"/>
  <c r="H187" i="14"/>
  <c r="G187" i="14"/>
  <c r="E187" i="14"/>
  <c r="D187" i="14"/>
  <c r="B187" i="14"/>
  <c r="R186" i="14"/>
  <c r="O186" i="14"/>
  <c r="L186" i="14"/>
  <c r="I186" i="14"/>
  <c r="F186" i="14"/>
  <c r="C186" i="14"/>
  <c r="R185" i="14"/>
  <c r="O185" i="14"/>
  <c r="L185" i="14"/>
  <c r="I185" i="14"/>
  <c r="F185" i="14"/>
  <c r="C185" i="14"/>
  <c r="T184" i="14"/>
  <c r="S184" i="14"/>
  <c r="Q184" i="14"/>
  <c r="P184" i="14"/>
  <c r="N184" i="14"/>
  <c r="M184" i="14"/>
  <c r="K184" i="14"/>
  <c r="J184" i="14"/>
  <c r="H184" i="14"/>
  <c r="G184" i="14"/>
  <c r="E184" i="14"/>
  <c r="D184" i="14"/>
  <c r="B184" i="14"/>
  <c r="R181" i="14"/>
  <c r="O181" i="14"/>
  <c r="L181" i="14"/>
  <c r="I181" i="14"/>
  <c r="F181" i="14"/>
  <c r="C181" i="14"/>
  <c r="R180" i="14"/>
  <c r="O180" i="14"/>
  <c r="L180" i="14"/>
  <c r="I180" i="14"/>
  <c r="F180" i="14"/>
  <c r="C180" i="14"/>
  <c r="T179" i="14"/>
  <c r="S179" i="14"/>
  <c r="Q179" i="14"/>
  <c r="P179" i="14"/>
  <c r="N179" i="14"/>
  <c r="M179" i="14"/>
  <c r="K179" i="14"/>
  <c r="J179" i="14"/>
  <c r="H179" i="14"/>
  <c r="G179" i="14"/>
  <c r="E179" i="14"/>
  <c r="D179" i="14"/>
  <c r="B179" i="14"/>
  <c r="R178" i="14"/>
  <c r="O178" i="14"/>
  <c r="L178" i="14"/>
  <c r="I178" i="14"/>
  <c r="F178" i="14"/>
  <c r="C178" i="14"/>
  <c r="R177" i="14"/>
  <c r="O177" i="14"/>
  <c r="L177" i="14"/>
  <c r="I177" i="14"/>
  <c r="F177" i="14"/>
  <c r="C177" i="14"/>
  <c r="T176" i="14"/>
  <c r="S176" i="14"/>
  <c r="Q176" i="14"/>
  <c r="P176" i="14"/>
  <c r="N176" i="14"/>
  <c r="M176" i="14"/>
  <c r="K176" i="14"/>
  <c r="J176" i="14"/>
  <c r="H176" i="14"/>
  <c r="G176" i="14"/>
  <c r="F176" i="14" s="1"/>
  <c r="E176" i="14"/>
  <c r="D176" i="14"/>
  <c r="B176" i="14"/>
  <c r="R174" i="14"/>
  <c r="O174" i="14"/>
  <c r="L174" i="14"/>
  <c r="I174" i="14"/>
  <c r="F174" i="14"/>
  <c r="C174" i="14"/>
  <c r="R173" i="14"/>
  <c r="O173" i="14"/>
  <c r="L173" i="14"/>
  <c r="I173" i="14"/>
  <c r="F173" i="14"/>
  <c r="C173" i="14"/>
  <c r="T172" i="14"/>
  <c r="S172" i="14"/>
  <c r="Q172" i="14"/>
  <c r="P172" i="14"/>
  <c r="N172" i="14"/>
  <c r="M172" i="14"/>
  <c r="K172" i="14"/>
  <c r="J172" i="14"/>
  <c r="H172" i="14"/>
  <c r="G172" i="14"/>
  <c r="E172" i="14"/>
  <c r="D172" i="14"/>
  <c r="B172" i="14"/>
  <c r="R171" i="14"/>
  <c r="O171" i="14"/>
  <c r="L171" i="14"/>
  <c r="I171" i="14"/>
  <c r="F171" i="14"/>
  <c r="C171" i="14"/>
  <c r="R170" i="14"/>
  <c r="O170" i="14"/>
  <c r="L170" i="14"/>
  <c r="I170" i="14"/>
  <c r="F170" i="14"/>
  <c r="C170" i="14"/>
  <c r="T169" i="14"/>
  <c r="S169" i="14"/>
  <c r="Q169" i="14"/>
  <c r="P169" i="14"/>
  <c r="N169" i="14"/>
  <c r="M169" i="14"/>
  <c r="K169" i="14"/>
  <c r="K168" i="14" s="1"/>
  <c r="J169" i="14"/>
  <c r="H169" i="14"/>
  <c r="G169" i="14"/>
  <c r="E169" i="14"/>
  <c r="D169" i="14"/>
  <c r="C169" i="14" s="1"/>
  <c r="B169" i="14"/>
  <c r="S168" i="14"/>
  <c r="R166" i="14"/>
  <c r="O166" i="14"/>
  <c r="L166" i="14"/>
  <c r="I166" i="14"/>
  <c r="F166" i="14"/>
  <c r="C166" i="14"/>
  <c r="R165" i="14"/>
  <c r="O165" i="14"/>
  <c r="L165" i="14"/>
  <c r="I165" i="14"/>
  <c r="F165" i="14"/>
  <c r="C165" i="14"/>
  <c r="T164" i="14"/>
  <c r="S164" i="14"/>
  <c r="Q164" i="14"/>
  <c r="P164" i="14"/>
  <c r="N164" i="14"/>
  <c r="M164" i="14"/>
  <c r="K164" i="14"/>
  <c r="J164" i="14"/>
  <c r="I164" i="14" s="1"/>
  <c r="H164" i="14"/>
  <c r="G164" i="14"/>
  <c r="E164" i="14"/>
  <c r="D164" i="14"/>
  <c r="B164" i="14"/>
  <c r="R163" i="14"/>
  <c r="O163" i="14"/>
  <c r="L163" i="14"/>
  <c r="I163" i="14"/>
  <c r="F163" i="14"/>
  <c r="C163" i="14"/>
  <c r="R162" i="14"/>
  <c r="O162" i="14"/>
  <c r="L162" i="14"/>
  <c r="I162" i="14"/>
  <c r="F162" i="14"/>
  <c r="C162" i="14"/>
  <c r="T161" i="14"/>
  <c r="S161" i="14"/>
  <c r="Q161" i="14"/>
  <c r="P161" i="14"/>
  <c r="N161" i="14"/>
  <c r="M161" i="14"/>
  <c r="K161" i="14"/>
  <c r="J161" i="14"/>
  <c r="H161" i="14"/>
  <c r="G161" i="14"/>
  <c r="E161" i="14"/>
  <c r="D161" i="14"/>
  <c r="B161" i="14"/>
  <c r="B160" i="14" s="1"/>
  <c r="R159" i="14"/>
  <c r="O159" i="14"/>
  <c r="L159" i="14"/>
  <c r="I159" i="14"/>
  <c r="F159" i="14"/>
  <c r="C159" i="14"/>
  <c r="R158" i="14"/>
  <c r="O158" i="14"/>
  <c r="L158" i="14"/>
  <c r="I158" i="14"/>
  <c r="F158" i="14"/>
  <c r="C158" i="14"/>
  <c r="V158" i="14" s="1"/>
  <c r="T157" i="14"/>
  <c r="S157" i="14"/>
  <c r="Q157" i="14"/>
  <c r="P157" i="14"/>
  <c r="N157" i="14"/>
  <c r="M157" i="14"/>
  <c r="K157" i="14"/>
  <c r="J157" i="14"/>
  <c r="I157" i="14" s="1"/>
  <c r="H157" i="14"/>
  <c r="G157" i="14"/>
  <c r="E157" i="14"/>
  <c r="D157" i="14"/>
  <c r="B157" i="14"/>
  <c r="R156" i="14"/>
  <c r="O156" i="14"/>
  <c r="L156" i="14"/>
  <c r="I156" i="14"/>
  <c r="F156" i="14"/>
  <c r="C156" i="14"/>
  <c r="R155" i="14"/>
  <c r="O155" i="14"/>
  <c r="L155" i="14"/>
  <c r="I155" i="14"/>
  <c r="F155" i="14"/>
  <c r="C155" i="14"/>
  <c r="T154" i="14"/>
  <c r="S154" i="14"/>
  <c r="Q154" i="14"/>
  <c r="P154" i="14"/>
  <c r="N154" i="14"/>
  <c r="M154" i="14"/>
  <c r="K154" i="14"/>
  <c r="K153" i="14" s="1"/>
  <c r="J154" i="14"/>
  <c r="H154" i="14"/>
  <c r="G154" i="14"/>
  <c r="F154" i="14"/>
  <c r="E154" i="14"/>
  <c r="D154" i="14"/>
  <c r="B154" i="14"/>
  <c r="N153" i="14"/>
  <c r="R150" i="14"/>
  <c r="O150" i="14"/>
  <c r="L150" i="14"/>
  <c r="I150" i="14"/>
  <c r="F150" i="14"/>
  <c r="C150" i="14"/>
  <c r="R149" i="14"/>
  <c r="O149" i="14"/>
  <c r="L149" i="14"/>
  <c r="I149" i="14"/>
  <c r="F149" i="14"/>
  <c r="C149" i="14"/>
  <c r="T148" i="14"/>
  <c r="S148" i="14"/>
  <c r="Q148" i="14"/>
  <c r="P148" i="14"/>
  <c r="N148" i="14"/>
  <c r="M148" i="14"/>
  <c r="L148" i="14" s="1"/>
  <c r="K148" i="14"/>
  <c r="J148" i="14"/>
  <c r="H148" i="14"/>
  <c r="G148" i="14"/>
  <c r="E148" i="14"/>
  <c r="D148" i="14"/>
  <c r="B148" i="14"/>
  <c r="R147" i="14"/>
  <c r="O147" i="14"/>
  <c r="L147" i="14"/>
  <c r="I147" i="14"/>
  <c r="F147" i="14"/>
  <c r="C147" i="14"/>
  <c r="R146" i="14"/>
  <c r="O146" i="14"/>
  <c r="L146" i="14"/>
  <c r="I146" i="14"/>
  <c r="F146" i="14"/>
  <c r="C146" i="14"/>
  <c r="T145" i="14"/>
  <c r="S145" i="14"/>
  <c r="S144" i="14" s="1"/>
  <c r="Q145" i="14"/>
  <c r="Q144" i="14" s="1"/>
  <c r="P145" i="14"/>
  <c r="N145" i="14"/>
  <c r="M145" i="14"/>
  <c r="K145" i="14"/>
  <c r="J145" i="14"/>
  <c r="H145" i="14"/>
  <c r="G145" i="14"/>
  <c r="E145" i="14"/>
  <c r="D145" i="14"/>
  <c r="B145" i="14"/>
  <c r="M144" i="14"/>
  <c r="R143" i="14"/>
  <c r="O143" i="14"/>
  <c r="L143" i="14"/>
  <c r="I143" i="14"/>
  <c r="F143" i="14"/>
  <c r="C143" i="14"/>
  <c r="R142" i="14"/>
  <c r="O142" i="14"/>
  <c r="L142" i="14"/>
  <c r="I142" i="14"/>
  <c r="F142" i="14"/>
  <c r="C142" i="14"/>
  <c r="T141" i="14"/>
  <c r="R141" i="14" s="1"/>
  <c r="S141" i="14"/>
  <c r="Q141" i="14"/>
  <c r="P141" i="14"/>
  <c r="N141" i="14"/>
  <c r="M141" i="14"/>
  <c r="K141" i="14"/>
  <c r="J141" i="14"/>
  <c r="H141" i="14"/>
  <c r="G141" i="14"/>
  <c r="E141" i="14"/>
  <c r="D141" i="14"/>
  <c r="B141" i="14"/>
  <c r="R140" i="14"/>
  <c r="O140" i="14"/>
  <c r="L140" i="14"/>
  <c r="I140" i="14"/>
  <c r="F140" i="14"/>
  <c r="C140" i="14"/>
  <c r="R139" i="14"/>
  <c r="O139" i="14"/>
  <c r="L139" i="14"/>
  <c r="I139" i="14"/>
  <c r="F139" i="14"/>
  <c r="C139" i="14"/>
  <c r="T138" i="14"/>
  <c r="S138" i="14"/>
  <c r="Q138" i="14"/>
  <c r="Q137" i="14" s="1"/>
  <c r="P138" i="14"/>
  <c r="N138" i="14"/>
  <c r="M138" i="14"/>
  <c r="K138" i="14"/>
  <c r="K137" i="14" s="1"/>
  <c r="J138" i="14"/>
  <c r="H138" i="14"/>
  <c r="G138" i="14"/>
  <c r="E138" i="14"/>
  <c r="E137" i="14" s="1"/>
  <c r="D138" i="14"/>
  <c r="B138" i="14"/>
  <c r="M137" i="14"/>
  <c r="R135" i="14"/>
  <c r="O135" i="14"/>
  <c r="L135" i="14"/>
  <c r="I135" i="14"/>
  <c r="F135" i="14"/>
  <c r="C135" i="14"/>
  <c r="R134" i="14"/>
  <c r="O134" i="14"/>
  <c r="L134" i="14"/>
  <c r="I134" i="14"/>
  <c r="F134" i="14"/>
  <c r="C134" i="14"/>
  <c r="T133" i="14"/>
  <c r="S133" i="14"/>
  <c r="Q133" i="14"/>
  <c r="P133" i="14"/>
  <c r="N133" i="14"/>
  <c r="M133" i="14"/>
  <c r="K133" i="14"/>
  <c r="J133" i="14"/>
  <c r="H133" i="14"/>
  <c r="G133" i="14"/>
  <c r="E133" i="14"/>
  <c r="D133" i="14"/>
  <c r="B133" i="14"/>
  <c r="R132" i="14"/>
  <c r="O132" i="14"/>
  <c r="L132" i="14"/>
  <c r="I132" i="14"/>
  <c r="F132" i="14"/>
  <c r="C132" i="14"/>
  <c r="R131" i="14"/>
  <c r="O131" i="14"/>
  <c r="L131" i="14"/>
  <c r="I131" i="14"/>
  <c r="F131" i="14"/>
  <c r="C131" i="14"/>
  <c r="T130" i="14"/>
  <c r="S130" i="14"/>
  <c r="Q130" i="14"/>
  <c r="P130" i="14"/>
  <c r="N130" i="14"/>
  <c r="M130" i="14"/>
  <c r="K130" i="14"/>
  <c r="J130" i="14"/>
  <c r="J129" i="14" s="1"/>
  <c r="H130" i="14"/>
  <c r="G130" i="14"/>
  <c r="E130" i="14"/>
  <c r="D130" i="14"/>
  <c r="B130" i="14"/>
  <c r="R128" i="14"/>
  <c r="O128" i="14"/>
  <c r="L128" i="14"/>
  <c r="I128" i="14"/>
  <c r="F128" i="14"/>
  <c r="C128" i="14"/>
  <c r="R127" i="14"/>
  <c r="O127" i="14"/>
  <c r="L127" i="14"/>
  <c r="I127" i="14"/>
  <c r="F127" i="14"/>
  <c r="C127" i="14"/>
  <c r="T126" i="14"/>
  <c r="S126" i="14"/>
  <c r="Q126" i="14"/>
  <c r="P126" i="14"/>
  <c r="N126" i="14"/>
  <c r="M126" i="14"/>
  <c r="K126" i="14"/>
  <c r="J126" i="14"/>
  <c r="H126" i="14"/>
  <c r="G126" i="14"/>
  <c r="E126" i="14"/>
  <c r="D126" i="14"/>
  <c r="B126" i="14"/>
  <c r="R125" i="14"/>
  <c r="O125" i="14"/>
  <c r="L125" i="14"/>
  <c r="I125" i="14"/>
  <c r="F125" i="14"/>
  <c r="C125" i="14"/>
  <c r="R124" i="14"/>
  <c r="O124" i="14"/>
  <c r="L124" i="14"/>
  <c r="I124" i="14"/>
  <c r="F124" i="14"/>
  <c r="C124" i="14"/>
  <c r="T123" i="14"/>
  <c r="S123" i="14"/>
  <c r="Q123" i="14"/>
  <c r="P123" i="14"/>
  <c r="N123" i="14"/>
  <c r="M123" i="14"/>
  <c r="K123" i="14"/>
  <c r="J123" i="14"/>
  <c r="H123" i="14"/>
  <c r="G123" i="14"/>
  <c r="E123" i="14"/>
  <c r="E122" i="14" s="1"/>
  <c r="D123" i="14"/>
  <c r="B123" i="14"/>
  <c r="R120" i="14"/>
  <c r="O120" i="14"/>
  <c r="L120" i="14"/>
  <c r="I120" i="14"/>
  <c r="F120" i="14"/>
  <c r="C120" i="14"/>
  <c r="R119" i="14"/>
  <c r="O119" i="14"/>
  <c r="L119" i="14"/>
  <c r="I119" i="14"/>
  <c r="F119" i="14"/>
  <c r="C119" i="14"/>
  <c r="T118" i="14"/>
  <c r="S118" i="14"/>
  <c r="Q118" i="14"/>
  <c r="P118" i="14"/>
  <c r="N118" i="14"/>
  <c r="M118" i="14"/>
  <c r="K118" i="14"/>
  <c r="J118" i="14"/>
  <c r="H118" i="14"/>
  <c r="G118" i="14"/>
  <c r="E118" i="14"/>
  <c r="D118" i="14"/>
  <c r="B118" i="14"/>
  <c r="R117" i="14"/>
  <c r="O117" i="14"/>
  <c r="L117" i="14"/>
  <c r="I117" i="14"/>
  <c r="F117" i="14"/>
  <c r="C117" i="14"/>
  <c r="R116" i="14"/>
  <c r="O116" i="14"/>
  <c r="L116" i="14"/>
  <c r="I116" i="14"/>
  <c r="F116" i="14"/>
  <c r="C116" i="14"/>
  <c r="T115" i="14"/>
  <c r="S115" i="14"/>
  <c r="Q115" i="14"/>
  <c r="Q114" i="14" s="1"/>
  <c r="P115" i="14"/>
  <c r="N115" i="14"/>
  <c r="M115" i="14"/>
  <c r="K115" i="14"/>
  <c r="J115" i="14"/>
  <c r="H115" i="14"/>
  <c r="G115" i="14"/>
  <c r="E115" i="14"/>
  <c r="E114" i="14" s="1"/>
  <c r="D115" i="14"/>
  <c r="B115" i="14"/>
  <c r="R113" i="14"/>
  <c r="O113" i="14"/>
  <c r="L113" i="14"/>
  <c r="I113" i="14"/>
  <c r="F113" i="14"/>
  <c r="C113" i="14"/>
  <c r="R112" i="14"/>
  <c r="O112" i="14"/>
  <c r="L112" i="14"/>
  <c r="I112" i="14"/>
  <c r="F112" i="14"/>
  <c r="C112" i="14"/>
  <c r="T111" i="14"/>
  <c r="S111" i="14"/>
  <c r="Q111" i="14"/>
  <c r="P111" i="14"/>
  <c r="N111" i="14"/>
  <c r="M111" i="14"/>
  <c r="K111" i="14"/>
  <c r="J111" i="14"/>
  <c r="H111" i="14"/>
  <c r="G111" i="14"/>
  <c r="E111" i="14"/>
  <c r="D111" i="14"/>
  <c r="B111" i="14"/>
  <c r="B107" i="14" s="1"/>
  <c r="R110" i="14"/>
  <c r="O110" i="14"/>
  <c r="L110" i="14"/>
  <c r="I110" i="14"/>
  <c r="F110" i="14"/>
  <c r="C110" i="14"/>
  <c r="R109" i="14"/>
  <c r="O109" i="14"/>
  <c r="L109" i="14"/>
  <c r="I109" i="14"/>
  <c r="F109" i="14"/>
  <c r="C109" i="14"/>
  <c r="T108" i="14"/>
  <c r="S108" i="14"/>
  <c r="Q108" i="14"/>
  <c r="P108" i="14"/>
  <c r="N108" i="14"/>
  <c r="M108" i="14"/>
  <c r="K108" i="14"/>
  <c r="J108" i="14"/>
  <c r="H108" i="14"/>
  <c r="G108" i="14"/>
  <c r="E108" i="14"/>
  <c r="D108" i="14"/>
  <c r="R103" i="14"/>
  <c r="O103" i="14"/>
  <c r="L103" i="14"/>
  <c r="I103" i="14"/>
  <c r="F103" i="14"/>
  <c r="C103" i="14"/>
  <c r="R102" i="14"/>
  <c r="O102" i="14"/>
  <c r="L102" i="14"/>
  <c r="I102" i="14"/>
  <c r="F102" i="14"/>
  <c r="C102" i="14"/>
  <c r="T101" i="14"/>
  <c r="S101" i="14"/>
  <c r="Q101" i="14"/>
  <c r="P101" i="14"/>
  <c r="N101" i="14"/>
  <c r="M101" i="14"/>
  <c r="K101" i="14"/>
  <c r="I101" i="14" s="1"/>
  <c r="J101" i="14"/>
  <c r="H101" i="14"/>
  <c r="G101" i="14"/>
  <c r="G97" i="14" s="1"/>
  <c r="E101" i="14"/>
  <c r="D101" i="14"/>
  <c r="B101" i="14"/>
  <c r="R100" i="14"/>
  <c r="O100" i="14"/>
  <c r="L100" i="14"/>
  <c r="I100" i="14"/>
  <c r="F100" i="14"/>
  <c r="C100" i="14"/>
  <c r="R99" i="14"/>
  <c r="O99" i="14"/>
  <c r="L99" i="14"/>
  <c r="I99" i="14"/>
  <c r="F99" i="14"/>
  <c r="C99" i="14"/>
  <c r="T98" i="14"/>
  <c r="S98" i="14"/>
  <c r="Q98" i="14"/>
  <c r="P98" i="14"/>
  <c r="N98" i="14"/>
  <c r="M98" i="14"/>
  <c r="K98" i="14"/>
  <c r="J98" i="14"/>
  <c r="H98" i="14"/>
  <c r="F98" i="14" s="1"/>
  <c r="G98" i="14"/>
  <c r="E98" i="14"/>
  <c r="D98" i="14"/>
  <c r="B98" i="14"/>
  <c r="R96" i="14"/>
  <c r="O96" i="14"/>
  <c r="L96" i="14"/>
  <c r="I96" i="14"/>
  <c r="F96" i="14"/>
  <c r="C96" i="14"/>
  <c r="R95" i="14"/>
  <c r="O95" i="14"/>
  <c r="L95" i="14"/>
  <c r="I95" i="14"/>
  <c r="F95" i="14"/>
  <c r="C95" i="14"/>
  <c r="T94" i="14"/>
  <c r="S94" i="14"/>
  <c r="Q94" i="14"/>
  <c r="P94" i="14"/>
  <c r="N94" i="14"/>
  <c r="M94" i="14"/>
  <c r="K94" i="14"/>
  <c r="J94" i="14"/>
  <c r="I94" i="14" s="1"/>
  <c r="H94" i="14"/>
  <c r="G94" i="14"/>
  <c r="E94" i="14"/>
  <c r="D94" i="14"/>
  <c r="B94" i="14"/>
  <c r="R93" i="14"/>
  <c r="O93" i="14"/>
  <c r="L93" i="14"/>
  <c r="I93" i="14"/>
  <c r="F93" i="14"/>
  <c r="C93" i="14"/>
  <c r="R92" i="14"/>
  <c r="O92" i="14"/>
  <c r="L92" i="14"/>
  <c r="I92" i="14"/>
  <c r="F92" i="14"/>
  <c r="C92" i="14"/>
  <c r="T91" i="14"/>
  <c r="S91" i="14"/>
  <c r="Q91" i="14"/>
  <c r="P91" i="14"/>
  <c r="N91" i="14"/>
  <c r="M91" i="14"/>
  <c r="K91" i="14"/>
  <c r="J91" i="14"/>
  <c r="H91" i="14"/>
  <c r="G91" i="14"/>
  <c r="E91" i="14"/>
  <c r="D91" i="14"/>
  <c r="B91" i="14"/>
  <c r="R88" i="14"/>
  <c r="O88" i="14"/>
  <c r="L88" i="14"/>
  <c r="I88" i="14"/>
  <c r="F88" i="14"/>
  <c r="C88" i="14"/>
  <c r="R87" i="14"/>
  <c r="O87" i="14"/>
  <c r="L87" i="14"/>
  <c r="I87" i="14"/>
  <c r="F87" i="14"/>
  <c r="C87" i="14"/>
  <c r="T86" i="14"/>
  <c r="S86" i="14"/>
  <c r="Q86" i="14"/>
  <c r="P86" i="14"/>
  <c r="N86" i="14"/>
  <c r="M86" i="14"/>
  <c r="L86" i="14" s="1"/>
  <c r="K86" i="14"/>
  <c r="J86" i="14"/>
  <c r="H86" i="14"/>
  <c r="G86" i="14"/>
  <c r="E86" i="14"/>
  <c r="D86" i="14"/>
  <c r="B86" i="14"/>
  <c r="R85" i="14"/>
  <c r="O85" i="14"/>
  <c r="L85" i="14"/>
  <c r="I85" i="14"/>
  <c r="F85" i="14"/>
  <c r="C85" i="14"/>
  <c r="R84" i="14"/>
  <c r="O84" i="14"/>
  <c r="L84" i="14"/>
  <c r="I84" i="14"/>
  <c r="F84" i="14"/>
  <c r="C84" i="14"/>
  <c r="T83" i="14"/>
  <c r="T82" i="14" s="1"/>
  <c r="S83" i="14"/>
  <c r="Q83" i="14"/>
  <c r="P83" i="14"/>
  <c r="N83" i="14"/>
  <c r="M83" i="14"/>
  <c r="K83" i="14"/>
  <c r="J83" i="14"/>
  <c r="H83" i="14"/>
  <c r="G83" i="14"/>
  <c r="E83" i="14"/>
  <c r="D83" i="14"/>
  <c r="B83" i="14"/>
  <c r="R81" i="14"/>
  <c r="O81" i="14"/>
  <c r="L81" i="14"/>
  <c r="I81" i="14"/>
  <c r="F81" i="14"/>
  <c r="C81" i="14"/>
  <c r="R80" i="14"/>
  <c r="O80" i="14"/>
  <c r="L80" i="14"/>
  <c r="I80" i="14"/>
  <c r="F80" i="14"/>
  <c r="C80" i="14"/>
  <c r="T79" i="14"/>
  <c r="S79" i="14"/>
  <c r="Q79" i="14"/>
  <c r="P79" i="14"/>
  <c r="N79" i="14"/>
  <c r="M79" i="14"/>
  <c r="K79" i="14"/>
  <c r="J79" i="14"/>
  <c r="I79" i="14" s="1"/>
  <c r="H79" i="14"/>
  <c r="G79" i="14"/>
  <c r="E79" i="14"/>
  <c r="D79" i="14"/>
  <c r="B79" i="14"/>
  <c r="R78" i="14"/>
  <c r="O78" i="14"/>
  <c r="L78" i="14"/>
  <c r="I78" i="14"/>
  <c r="F78" i="14"/>
  <c r="C78" i="14"/>
  <c r="R77" i="14"/>
  <c r="O77" i="14"/>
  <c r="L77" i="14"/>
  <c r="I77" i="14"/>
  <c r="F77" i="14"/>
  <c r="C77" i="14"/>
  <c r="T76" i="14"/>
  <c r="S76" i="14"/>
  <c r="Q76" i="14"/>
  <c r="P76" i="14"/>
  <c r="N76" i="14"/>
  <c r="M76" i="14"/>
  <c r="K76" i="14"/>
  <c r="J76" i="14"/>
  <c r="H76" i="14"/>
  <c r="G76" i="14"/>
  <c r="E76" i="14"/>
  <c r="D76" i="14"/>
  <c r="B76" i="14"/>
  <c r="R73" i="14"/>
  <c r="O73" i="14"/>
  <c r="L73" i="14"/>
  <c r="I73" i="14"/>
  <c r="F73" i="14"/>
  <c r="C73" i="14"/>
  <c r="R72" i="14"/>
  <c r="O72" i="14"/>
  <c r="L72" i="14"/>
  <c r="I72" i="14"/>
  <c r="F72" i="14"/>
  <c r="C72" i="14"/>
  <c r="T71" i="14"/>
  <c r="S71" i="14"/>
  <c r="Q71" i="14"/>
  <c r="P71" i="14"/>
  <c r="N71" i="14"/>
  <c r="M71" i="14"/>
  <c r="K71" i="14"/>
  <c r="J71" i="14"/>
  <c r="H71" i="14"/>
  <c r="G71" i="14"/>
  <c r="E71" i="14"/>
  <c r="D71" i="14"/>
  <c r="B71" i="14"/>
  <c r="R70" i="14"/>
  <c r="O70" i="14"/>
  <c r="L70" i="14"/>
  <c r="I70" i="14"/>
  <c r="F70" i="14"/>
  <c r="C70" i="14"/>
  <c r="R69" i="14"/>
  <c r="O69" i="14"/>
  <c r="L69" i="14"/>
  <c r="I69" i="14"/>
  <c r="F69" i="14"/>
  <c r="C69" i="14"/>
  <c r="T68" i="14"/>
  <c r="S68" i="14"/>
  <c r="S67" i="14" s="1"/>
  <c r="Q68" i="14"/>
  <c r="P68" i="14"/>
  <c r="N68" i="14"/>
  <c r="M68" i="14"/>
  <c r="K68" i="14"/>
  <c r="J68" i="14"/>
  <c r="H68" i="14"/>
  <c r="G68" i="14"/>
  <c r="G67" i="14" s="1"/>
  <c r="E68" i="14"/>
  <c r="D68" i="14"/>
  <c r="B68" i="14"/>
  <c r="T67" i="14"/>
  <c r="H67" i="14"/>
  <c r="R66" i="14"/>
  <c r="O66" i="14"/>
  <c r="L66" i="14"/>
  <c r="I66" i="14"/>
  <c r="F66" i="14"/>
  <c r="C66" i="14"/>
  <c r="R65" i="14"/>
  <c r="O65" i="14"/>
  <c r="L65" i="14"/>
  <c r="I65" i="14"/>
  <c r="F65" i="14"/>
  <c r="C65" i="14"/>
  <c r="T64" i="14"/>
  <c r="S64" i="14"/>
  <c r="Q64" i="14"/>
  <c r="P64" i="14"/>
  <c r="N64" i="14"/>
  <c r="M64" i="14"/>
  <c r="K64" i="14"/>
  <c r="J64" i="14"/>
  <c r="H64" i="14"/>
  <c r="G64" i="14"/>
  <c r="E64" i="14"/>
  <c r="D64" i="14"/>
  <c r="B64" i="14"/>
  <c r="R63" i="14"/>
  <c r="O63" i="14"/>
  <c r="L63" i="14"/>
  <c r="I63" i="14"/>
  <c r="F63" i="14"/>
  <c r="C63" i="14"/>
  <c r="R62" i="14"/>
  <c r="O62" i="14"/>
  <c r="L62" i="14"/>
  <c r="I62" i="14"/>
  <c r="F62" i="14"/>
  <c r="C62" i="14"/>
  <c r="T61" i="14"/>
  <c r="T60" i="14" s="1"/>
  <c r="S61" i="14"/>
  <c r="Q61" i="14"/>
  <c r="P61" i="14"/>
  <c r="N61" i="14"/>
  <c r="M61" i="14"/>
  <c r="K61" i="14"/>
  <c r="J61" i="14"/>
  <c r="H61" i="14"/>
  <c r="G61" i="14"/>
  <c r="E61" i="14"/>
  <c r="D61" i="14"/>
  <c r="B61" i="14"/>
  <c r="B60" i="14" s="1"/>
  <c r="R57" i="14"/>
  <c r="O57" i="14"/>
  <c r="L57" i="14"/>
  <c r="I57" i="14"/>
  <c r="F57" i="14"/>
  <c r="C57" i="14"/>
  <c r="R56" i="14"/>
  <c r="O56" i="14"/>
  <c r="L56" i="14"/>
  <c r="I56" i="14"/>
  <c r="F56" i="14"/>
  <c r="C56" i="14"/>
  <c r="T55" i="14"/>
  <c r="S55" i="14"/>
  <c r="Q55" i="14"/>
  <c r="P55" i="14"/>
  <c r="N55" i="14"/>
  <c r="M55" i="14"/>
  <c r="K55" i="14"/>
  <c r="J55" i="14"/>
  <c r="H55" i="14"/>
  <c r="G55" i="14"/>
  <c r="E55" i="14"/>
  <c r="D55" i="14"/>
  <c r="R54" i="14"/>
  <c r="O54" i="14"/>
  <c r="L54" i="14"/>
  <c r="I54" i="14"/>
  <c r="F54" i="14"/>
  <c r="C54" i="14"/>
  <c r="R53" i="14"/>
  <c r="O53" i="14"/>
  <c r="L53" i="14"/>
  <c r="I53" i="14"/>
  <c r="F53" i="14"/>
  <c r="C53" i="14"/>
  <c r="T52" i="14"/>
  <c r="S52" i="14"/>
  <c r="Q52" i="14"/>
  <c r="Q51" i="14" s="1"/>
  <c r="P52" i="14"/>
  <c r="N52" i="14"/>
  <c r="M52" i="14"/>
  <c r="K52" i="14"/>
  <c r="K51" i="14" s="1"/>
  <c r="J52" i="14"/>
  <c r="H52" i="14"/>
  <c r="G52" i="14"/>
  <c r="E52" i="14"/>
  <c r="D52" i="14"/>
  <c r="B52" i="14"/>
  <c r="B51" i="14" s="1"/>
  <c r="E51" i="14"/>
  <c r="R50" i="14"/>
  <c r="O50" i="14"/>
  <c r="L50" i="14"/>
  <c r="I50" i="14"/>
  <c r="F50" i="14"/>
  <c r="C50" i="14"/>
  <c r="R49" i="14"/>
  <c r="O49" i="14"/>
  <c r="L49" i="14"/>
  <c r="I49" i="14"/>
  <c r="F49" i="14"/>
  <c r="C49" i="14"/>
  <c r="T48" i="14"/>
  <c r="S48" i="14"/>
  <c r="Q48" i="14"/>
  <c r="P48" i="14"/>
  <c r="N48" i="14"/>
  <c r="M48" i="14"/>
  <c r="K48" i="14"/>
  <c r="J48" i="14"/>
  <c r="H48" i="14"/>
  <c r="G48" i="14"/>
  <c r="E48" i="14"/>
  <c r="D48" i="14"/>
  <c r="B48" i="14"/>
  <c r="R47" i="14"/>
  <c r="O47" i="14"/>
  <c r="L47" i="14"/>
  <c r="I47" i="14"/>
  <c r="F47" i="14"/>
  <c r="C47" i="14"/>
  <c r="R46" i="14"/>
  <c r="O46" i="14"/>
  <c r="L46" i="14"/>
  <c r="I46" i="14"/>
  <c r="F46" i="14"/>
  <c r="C46" i="14"/>
  <c r="T45" i="14"/>
  <c r="S45" i="14"/>
  <c r="Q45" i="14"/>
  <c r="P45" i="14"/>
  <c r="N45" i="14"/>
  <c r="M45" i="14"/>
  <c r="M44" i="14" s="1"/>
  <c r="K45" i="14"/>
  <c r="J45" i="14"/>
  <c r="H45" i="14"/>
  <c r="G45" i="14"/>
  <c r="E45" i="14"/>
  <c r="C45" i="14" s="1"/>
  <c r="D45" i="14"/>
  <c r="B45" i="14"/>
  <c r="B44" i="14" s="1"/>
  <c r="S44" i="14"/>
  <c r="R42" i="14"/>
  <c r="O42" i="14"/>
  <c r="L42" i="14"/>
  <c r="I42" i="14"/>
  <c r="F42" i="14"/>
  <c r="C42" i="14"/>
  <c r="R41" i="14"/>
  <c r="O41" i="14"/>
  <c r="L41" i="14"/>
  <c r="I41" i="14"/>
  <c r="F41" i="14"/>
  <c r="C41" i="14"/>
  <c r="T40" i="14"/>
  <c r="S40" i="14"/>
  <c r="Q40" i="14"/>
  <c r="P40" i="14"/>
  <c r="O40" i="14" s="1"/>
  <c r="N40" i="14"/>
  <c r="M40" i="14"/>
  <c r="K40" i="14"/>
  <c r="J40" i="14"/>
  <c r="H40" i="14"/>
  <c r="F40" i="14" s="1"/>
  <c r="G40" i="14"/>
  <c r="E40" i="14"/>
  <c r="D40" i="14"/>
  <c r="B40" i="14"/>
  <c r="R39" i="14"/>
  <c r="O39" i="14"/>
  <c r="L39" i="14"/>
  <c r="I39" i="14"/>
  <c r="F39" i="14"/>
  <c r="C39" i="14"/>
  <c r="R38" i="14"/>
  <c r="O38" i="14"/>
  <c r="L38" i="14"/>
  <c r="I38" i="14"/>
  <c r="F38" i="14"/>
  <c r="C38" i="14"/>
  <c r="T37" i="14"/>
  <c r="S37" i="14"/>
  <c r="Q37" i="14"/>
  <c r="Q36" i="14" s="1"/>
  <c r="P37" i="14"/>
  <c r="N37" i="14"/>
  <c r="M37" i="14"/>
  <c r="K37" i="14"/>
  <c r="J37" i="14"/>
  <c r="H37" i="14"/>
  <c r="G37" i="14"/>
  <c r="E37" i="14"/>
  <c r="D37" i="14"/>
  <c r="B37" i="14"/>
  <c r="R35" i="14"/>
  <c r="O35" i="14"/>
  <c r="L35" i="14"/>
  <c r="I35" i="14"/>
  <c r="F35" i="14"/>
  <c r="C35" i="14"/>
  <c r="R34" i="14"/>
  <c r="O34" i="14"/>
  <c r="L34" i="14"/>
  <c r="I34" i="14"/>
  <c r="F34" i="14"/>
  <c r="C34" i="14"/>
  <c r="T33" i="14"/>
  <c r="S33" i="14"/>
  <c r="Q33" i="14"/>
  <c r="P33" i="14"/>
  <c r="N33" i="14"/>
  <c r="M33" i="14"/>
  <c r="L33" i="14" s="1"/>
  <c r="K33" i="14"/>
  <c r="J33" i="14"/>
  <c r="H33" i="14"/>
  <c r="G33" i="14"/>
  <c r="E33" i="14"/>
  <c r="D33" i="14"/>
  <c r="B33" i="14"/>
  <c r="R32" i="14"/>
  <c r="O32" i="14"/>
  <c r="L32" i="14"/>
  <c r="I32" i="14"/>
  <c r="F32" i="14"/>
  <c r="C32" i="14"/>
  <c r="R31" i="14"/>
  <c r="O31" i="14"/>
  <c r="L31" i="14"/>
  <c r="I31" i="14"/>
  <c r="F31" i="14"/>
  <c r="C31" i="14"/>
  <c r="T30" i="14"/>
  <c r="S30" i="14"/>
  <c r="Q30" i="14"/>
  <c r="P30" i="14"/>
  <c r="N30" i="14"/>
  <c r="N29" i="14" s="1"/>
  <c r="M30" i="14"/>
  <c r="K30" i="14"/>
  <c r="J30" i="14"/>
  <c r="H30" i="14"/>
  <c r="G30" i="14"/>
  <c r="E30" i="14"/>
  <c r="D30" i="14"/>
  <c r="B30" i="14"/>
  <c r="B29" i="14" s="1"/>
  <c r="J29" i="14"/>
  <c r="G295" i="14" l="1"/>
  <c r="K302" i="14"/>
  <c r="K294" i="14" s="1"/>
  <c r="Q302" i="14"/>
  <c r="R332" i="14"/>
  <c r="L332" i="14"/>
  <c r="V329" i="14"/>
  <c r="K309" i="14"/>
  <c r="I307" i="15"/>
  <c r="O330" i="15"/>
  <c r="K265" i="15"/>
  <c r="K234" i="15" s="1"/>
  <c r="L176" i="15"/>
  <c r="F161" i="15"/>
  <c r="E89" i="15"/>
  <c r="L129" i="15"/>
  <c r="F97" i="15"/>
  <c r="M106" i="15"/>
  <c r="H284" i="15"/>
  <c r="O138" i="15"/>
  <c r="Q183" i="15"/>
  <c r="N43" i="15"/>
  <c r="C75" i="15"/>
  <c r="F21" i="15"/>
  <c r="V170" i="15"/>
  <c r="N106" i="15"/>
  <c r="K314" i="15"/>
  <c r="L243" i="15"/>
  <c r="N168" i="15"/>
  <c r="N152" i="15" s="1"/>
  <c r="F299" i="15"/>
  <c r="K153" i="15"/>
  <c r="R118" i="14"/>
  <c r="G211" i="14"/>
  <c r="G197" i="14" s="1"/>
  <c r="V224" i="14"/>
  <c r="O310" i="14"/>
  <c r="F317" i="14"/>
  <c r="V317" i="14" s="1"/>
  <c r="I322" i="15"/>
  <c r="R307" i="15"/>
  <c r="C258" i="15"/>
  <c r="L145" i="15"/>
  <c r="E137" i="15"/>
  <c r="E105" i="15" s="1"/>
  <c r="O191" i="15"/>
  <c r="T106" i="15"/>
  <c r="E265" i="15"/>
  <c r="E234" i="15" s="1"/>
  <c r="B153" i="15"/>
  <c r="B152" i="15" s="1"/>
  <c r="G13" i="15"/>
  <c r="K97" i="14"/>
  <c r="L154" i="14"/>
  <c r="V154" i="14" s="1"/>
  <c r="N190" i="14"/>
  <c r="F37" i="14"/>
  <c r="L37" i="14"/>
  <c r="L48" i="14"/>
  <c r="G75" i="14"/>
  <c r="G74" i="14" s="1"/>
  <c r="R76" i="14"/>
  <c r="O83" i="14"/>
  <c r="F91" i="14"/>
  <c r="S90" i="14"/>
  <c r="S89" i="14" s="1"/>
  <c r="M114" i="14"/>
  <c r="G183" i="14"/>
  <c r="F220" i="14"/>
  <c r="L220" i="14"/>
  <c r="V220" i="14" s="1"/>
  <c r="O243" i="14"/>
  <c r="F310" i="14"/>
  <c r="V336" i="14"/>
  <c r="T324" i="14"/>
  <c r="V314" i="14"/>
  <c r="L200" i="15"/>
  <c r="I114" i="15"/>
  <c r="Q89" i="15"/>
  <c r="O89" i="15" s="1"/>
  <c r="F36" i="15"/>
  <c r="I21" i="15"/>
  <c r="R330" i="15"/>
  <c r="T250" i="15"/>
  <c r="Q168" i="15"/>
  <c r="E219" i="15"/>
  <c r="C219" i="15" s="1"/>
  <c r="V45" i="15"/>
  <c r="R36" i="15"/>
  <c r="H198" i="15"/>
  <c r="H89" i="15"/>
  <c r="E314" i="15"/>
  <c r="T28" i="15"/>
  <c r="H74" i="15"/>
  <c r="M324" i="14"/>
  <c r="H183" i="15"/>
  <c r="C37" i="14"/>
  <c r="V37" i="14" s="1"/>
  <c r="J36" i="14"/>
  <c r="K44" i="14"/>
  <c r="K43" i="14" s="1"/>
  <c r="K67" i="14"/>
  <c r="I71" i="14"/>
  <c r="O71" i="14"/>
  <c r="E107" i="14"/>
  <c r="K107" i="14"/>
  <c r="C111" i="14"/>
  <c r="V111" i="14" s="1"/>
  <c r="I111" i="14"/>
  <c r="K175" i="14"/>
  <c r="O176" i="14"/>
  <c r="B190" i="14"/>
  <c r="D235" i="14"/>
  <c r="P235" i="14"/>
  <c r="B257" i="14"/>
  <c r="B249" i="14" s="1"/>
  <c r="F261" i="14"/>
  <c r="M272" i="14"/>
  <c r="R273" i="14"/>
  <c r="O91" i="14"/>
  <c r="R108" i="14"/>
  <c r="F133" i="14"/>
  <c r="Q136" i="14"/>
  <c r="O246" i="14"/>
  <c r="E211" i="14"/>
  <c r="Q211" i="14"/>
  <c r="K226" i="14"/>
  <c r="K218" i="14" s="1"/>
  <c r="I218" i="14" s="1"/>
  <c r="Q226" i="14"/>
  <c r="Q218" i="14" s="1"/>
  <c r="O230" i="14"/>
  <c r="D242" i="14"/>
  <c r="T242" i="14"/>
  <c r="I266" i="14"/>
  <c r="K287" i="14"/>
  <c r="L306" i="14"/>
  <c r="G36" i="14"/>
  <c r="I52" i="14"/>
  <c r="O52" i="14"/>
  <c r="Q82" i="14"/>
  <c r="N90" i="14"/>
  <c r="L90" i="14" s="1"/>
  <c r="F227" i="14"/>
  <c r="G226" i="14"/>
  <c r="S226" i="14"/>
  <c r="P242" i="14"/>
  <c r="E265" i="14"/>
  <c r="E264" i="14" s="1"/>
  <c r="H295" i="14"/>
  <c r="N295" i="14"/>
  <c r="T74" i="15"/>
  <c r="K29" i="14"/>
  <c r="B36" i="14"/>
  <c r="B28" i="14" s="1"/>
  <c r="J44" i="14"/>
  <c r="S60" i="14"/>
  <c r="R60" i="14" s="1"/>
  <c r="G82" i="14"/>
  <c r="S107" i="14"/>
  <c r="N211" i="14"/>
  <c r="B226" i="14"/>
  <c r="I246" i="14"/>
  <c r="O243" i="15"/>
  <c r="C154" i="15"/>
  <c r="C122" i="15"/>
  <c r="O309" i="14"/>
  <c r="G153" i="14"/>
  <c r="M153" i="14"/>
  <c r="L153" i="14" s="1"/>
  <c r="I194" i="14"/>
  <c r="G219" i="14"/>
  <c r="E257" i="14"/>
  <c r="R281" i="14"/>
  <c r="J287" i="14"/>
  <c r="I287" i="14" s="1"/>
  <c r="V292" i="14"/>
  <c r="K13" i="15"/>
  <c r="H265" i="15"/>
  <c r="D168" i="15"/>
  <c r="F48" i="14"/>
  <c r="C64" i="14"/>
  <c r="D67" i="14"/>
  <c r="R161" i="14"/>
  <c r="I179" i="14"/>
  <c r="B235" i="14"/>
  <c r="H235" i="14"/>
  <c r="H234" i="14" s="1"/>
  <c r="E272" i="14"/>
  <c r="T302" i="14"/>
  <c r="T137" i="15"/>
  <c r="T105" i="15" s="1"/>
  <c r="R145" i="15"/>
  <c r="R45" i="14"/>
  <c r="Q44" i="14"/>
  <c r="Q43" i="14" s="1"/>
  <c r="J60" i="14"/>
  <c r="R111" i="14"/>
  <c r="G182" i="14"/>
  <c r="R191" i="14"/>
  <c r="T198" i="15"/>
  <c r="T152" i="15" s="1"/>
  <c r="F199" i="15"/>
  <c r="G198" i="15"/>
  <c r="F198" i="15" s="1"/>
  <c r="L111" i="14"/>
  <c r="Q29" i="14"/>
  <c r="Q28" i="14" s="1"/>
  <c r="R52" i="14"/>
  <c r="F55" i="14"/>
  <c r="M51" i="14"/>
  <c r="M43" i="14" s="1"/>
  <c r="F67" i="14"/>
  <c r="L76" i="14"/>
  <c r="O169" i="14"/>
  <c r="F184" i="14"/>
  <c r="L184" i="14"/>
  <c r="M183" i="14"/>
  <c r="L183" i="14" s="1"/>
  <c r="R212" i="14"/>
  <c r="J219" i="14"/>
  <c r="J218" i="14" s="1"/>
  <c r="V256" i="14"/>
  <c r="J295" i="14"/>
  <c r="I295" i="14" s="1"/>
  <c r="V297" i="14"/>
  <c r="C303" i="14"/>
  <c r="R317" i="14"/>
  <c r="V108" i="15"/>
  <c r="B250" i="15"/>
  <c r="C191" i="15"/>
  <c r="E183" i="15"/>
  <c r="C107" i="15"/>
  <c r="N74" i="15"/>
  <c r="F30" i="14"/>
  <c r="R30" i="14"/>
  <c r="C48" i="14"/>
  <c r="V48" i="14" s="1"/>
  <c r="N60" i="14"/>
  <c r="F83" i="14"/>
  <c r="L83" i="14"/>
  <c r="C91" i="14"/>
  <c r="V91" i="14" s="1"/>
  <c r="N129" i="14"/>
  <c r="E144" i="14"/>
  <c r="C148" i="14"/>
  <c r="I148" i="14"/>
  <c r="T235" i="14"/>
  <c r="R258" i="14"/>
  <c r="C176" i="15"/>
  <c r="I90" i="15"/>
  <c r="T59" i="15"/>
  <c r="R59" i="15" s="1"/>
  <c r="R60" i="15"/>
  <c r="T13" i="15"/>
  <c r="R21" i="15"/>
  <c r="E299" i="15"/>
  <c r="T219" i="15"/>
  <c r="R227" i="15"/>
  <c r="R191" i="15"/>
  <c r="S183" i="15"/>
  <c r="R183" i="15" s="1"/>
  <c r="Q250" i="15"/>
  <c r="V33" i="15"/>
  <c r="H219" i="15"/>
  <c r="H152" i="15" s="1"/>
  <c r="C307" i="15"/>
  <c r="R169" i="15"/>
  <c r="F14" i="15"/>
  <c r="R64" i="14"/>
  <c r="G107" i="14"/>
  <c r="M107" i="14"/>
  <c r="B122" i="14"/>
  <c r="F126" i="14"/>
  <c r="B144" i="14"/>
  <c r="R145" i="14"/>
  <c r="C161" i="14"/>
  <c r="J160" i="14"/>
  <c r="O161" i="14"/>
  <c r="I172" i="14"/>
  <c r="B175" i="14"/>
  <c r="C191" i="14"/>
  <c r="J190" i="14"/>
  <c r="O191" i="14"/>
  <c r="M211" i="14"/>
  <c r="M197" i="14" s="1"/>
  <c r="C215" i="14"/>
  <c r="V215" i="14" s="1"/>
  <c r="I215" i="14"/>
  <c r="L236" i="14"/>
  <c r="C239" i="14"/>
  <c r="N242" i="14"/>
  <c r="V274" i="14"/>
  <c r="F288" i="14"/>
  <c r="N287" i="14"/>
  <c r="G287" i="14"/>
  <c r="R291" i="14"/>
  <c r="V293" i="14"/>
  <c r="F296" i="14"/>
  <c r="R296" i="14"/>
  <c r="V298" i="14"/>
  <c r="R303" i="14"/>
  <c r="I332" i="14"/>
  <c r="G309" i="14"/>
  <c r="F309" i="14" s="1"/>
  <c r="V326" i="14"/>
  <c r="I337" i="15"/>
  <c r="V274" i="15"/>
  <c r="F243" i="15"/>
  <c r="V243" i="15" s="1"/>
  <c r="L307" i="15"/>
  <c r="R258" i="15"/>
  <c r="V231" i="15"/>
  <c r="R97" i="15"/>
  <c r="Q235" i="15"/>
  <c r="V281" i="15"/>
  <c r="L251" i="15"/>
  <c r="H235" i="15"/>
  <c r="N137" i="15"/>
  <c r="J153" i="15"/>
  <c r="I153" i="15" s="1"/>
  <c r="F28" i="15"/>
  <c r="S198" i="15"/>
  <c r="N235" i="15"/>
  <c r="R273" i="15"/>
  <c r="O273" i="15"/>
  <c r="C285" i="15"/>
  <c r="O68" i="14"/>
  <c r="K75" i="14"/>
  <c r="K82" i="14"/>
  <c r="C86" i="14"/>
  <c r="I86" i="14"/>
  <c r="L98" i="14"/>
  <c r="N114" i="14"/>
  <c r="F130" i="14"/>
  <c r="C154" i="14"/>
  <c r="C176" i="14"/>
  <c r="K183" i="14"/>
  <c r="I187" i="14"/>
  <c r="C208" i="14"/>
  <c r="I208" i="14"/>
  <c r="B211" i="14"/>
  <c r="B197" i="14" s="1"/>
  <c r="V232" i="14"/>
  <c r="L243" i="14"/>
  <c r="K250" i="14"/>
  <c r="Q250" i="14"/>
  <c r="C254" i="14"/>
  <c r="F258" i="14"/>
  <c r="F266" i="14"/>
  <c r="V270" i="14"/>
  <c r="B280" i="14"/>
  <c r="B279" i="14" s="1"/>
  <c r="N280" i="14"/>
  <c r="F284" i="14"/>
  <c r="N302" i="14"/>
  <c r="N294" i="14" s="1"/>
  <c r="V333" i="14"/>
  <c r="V304" i="15"/>
  <c r="V247" i="15"/>
  <c r="V79" i="15"/>
  <c r="C67" i="15"/>
  <c r="O51" i="15"/>
  <c r="Q13" i="15"/>
  <c r="V40" i="15"/>
  <c r="V323" i="15"/>
  <c r="L227" i="15"/>
  <c r="C14" i="15"/>
  <c r="L82" i="15"/>
  <c r="V82" i="15" s="1"/>
  <c r="O236" i="15"/>
  <c r="R154" i="15"/>
  <c r="B183" i="15"/>
  <c r="R130" i="14"/>
  <c r="S129" i="14"/>
  <c r="L30" i="14"/>
  <c r="I45" i="14"/>
  <c r="L55" i="14"/>
  <c r="T51" i="14"/>
  <c r="F61" i="14"/>
  <c r="I64" i="14"/>
  <c r="E75" i="14"/>
  <c r="R86" i="14"/>
  <c r="E97" i="14"/>
  <c r="Q107" i="14"/>
  <c r="Q106" i="14" s="1"/>
  <c r="S114" i="14"/>
  <c r="S106" i="14" s="1"/>
  <c r="R115" i="14"/>
  <c r="K114" i="14"/>
  <c r="B129" i="14"/>
  <c r="R138" i="14"/>
  <c r="S137" i="14"/>
  <c r="S136" i="14" s="1"/>
  <c r="R123" i="14"/>
  <c r="S122" i="14"/>
  <c r="G29" i="14"/>
  <c r="G28" i="14" s="1"/>
  <c r="E29" i="14"/>
  <c r="I30" i="14"/>
  <c r="O30" i="14"/>
  <c r="F33" i="14"/>
  <c r="N36" i="14"/>
  <c r="N28" i="14" s="1"/>
  <c r="R37" i="14"/>
  <c r="E36" i="14"/>
  <c r="K36" i="14"/>
  <c r="I36" i="14" s="1"/>
  <c r="I48" i="14"/>
  <c r="N44" i="14"/>
  <c r="C55" i="14"/>
  <c r="J51" i="14"/>
  <c r="I51" i="14" s="1"/>
  <c r="T59" i="14"/>
  <c r="M60" i="14"/>
  <c r="I68" i="14"/>
  <c r="F71" i="14"/>
  <c r="B75" i="14"/>
  <c r="H75" i="14"/>
  <c r="T75" i="14"/>
  <c r="T74" i="14" s="1"/>
  <c r="F79" i="14"/>
  <c r="C83" i="14"/>
  <c r="V83" i="14" s="1"/>
  <c r="G90" i="14"/>
  <c r="G89" i="14" s="1"/>
  <c r="D90" i="14"/>
  <c r="J90" i="14"/>
  <c r="C98" i="14"/>
  <c r="C108" i="14"/>
  <c r="I108" i="14"/>
  <c r="O108" i="14"/>
  <c r="B114" i="14"/>
  <c r="B106" i="14" s="1"/>
  <c r="B105" i="14" s="1"/>
  <c r="B104" i="14" s="1"/>
  <c r="B137" i="14"/>
  <c r="G122" i="14"/>
  <c r="F123" i="14"/>
  <c r="I29" i="14"/>
  <c r="S29" i="14"/>
  <c r="O33" i="14"/>
  <c r="M36" i="14"/>
  <c r="R40" i="14"/>
  <c r="I44" i="14"/>
  <c r="G44" i="14"/>
  <c r="L45" i="14"/>
  <c r="S51" i="14"/>
  <c r="S43" i="14" s="1"/>
  <c r="F52" i="14"/>
  <c r="L52" i="14"/>
  <c r="D60" i="14"/>
  <c r="D59" i="14" s="1"/>
  <c r="P67" i="14"/>
  <c r="R79" i="14"/>
  <c r="J107" i="14"/>
  <c r="I107" i="14" s="1"/>
  <c r="I115" i="14"/>
  <c r="G129" i="14"/>
  <c r="E129" i="14"/>
  <c r="E121" i="14" s="1"/>
  <c r="G160" i="14"/>
  <c r="G152" i="14" s="1"/>
  <c r="N168" i="14"/>
  <c r="D234" i="14"/>
  <c r="Q280" i="14"/>
  <c r="B295" i="14"/>
  <c r="O115" i="14"/>
  <c r="K122" i="14"/>
  <c r="Q122" i="14"/>
  <c r="J122" i="14"/>
  <c r="J121" i="14" s="1"/>
  <c r="O126" i="14"/>
  <c r="K129" i="14"/>
  <c r="Q129" i="14"/>
  <c r="O133" i="14"/>
  <c r="C141" i="14"/>
  <c r="J144" i="14"/>
  <c r="I145" i="14"/>
  <c r="O145" i="14"/>
  <c r="R154" i="14"/>
  <c r="E153" i="14"/>
  <c r="Q153" i="14"/>
  <c r="K160" i="14"/>
  <c r="S160" i="14"/>
  <c r="G175" i="14"/>
  <c r="L179" i="14"/>
  <c r="C184" i="14"/>
  <c r="V184" i="14" s="1"/>
  <c r="O184" i="14"/>
  <c r="F191" i="14"/>
  <c r="L191" i="14"/>
  <c r="V195" i="14"/>
  <c r="R208" i="14"/>
  <c r="L215" i="14"/>
  <c r="R215" i="14"/>
  <c r="C220" i="14"/>
  <c r="B219" i="14"/>
  <c r="B218" i="14" s="1"/>
  <c r="F223" i="14"/>
  <c r="R227" i="14"/>
  <c r="E226" i="14"/>
  <c r="E218" i="14" s="1"/>
  <c r="K235" i="14"/>
  <c r="O236" i="14"/>
  <c r="V237" i="14"/>
  <c r="I239" i="14"/>
  <c r="V240" i="14"/>
  <c r="V245" i="14"/>
  <c r="C246" i="14"/>
  <c r="V247" i="14"/>
  <c r="L251" i="14"/>
  <c r="C258" i="14"/>
  <c r="T257" i="14"/>
  <c r="C266" i="14"/>
  <c r="T265" i="14"/>
  <c r="F273" i="14"/>
  <c r="N272" i="14"/>
  <c r="L272" i="14" s="1"/>
  <c r="L276" i="14"/>
  <c r="I281" i="14"/>
  <c r="R288" i="14"/>
  <c r="V290" i="14"/>
  <c r="E287" i="14"/>
  <c r="I291" i="14"/>
  <c r="S302" i="14"/>
  <c r="R302" i="14" s="1"/>
  <c r="V307" i="14"/>
  <c r="K89" i="15"/>
  <c r="I89" i="15" s="1"/>
  <c r="F284" i="15"/>
  <c r="I145" i="15"/>
  <c r="Q74" i="15"/>
  <c r="V209" i="15"/>
  <c r="V155" i="15"/>
  <c r="N144" i="14"/>
  <c r="L144" i="14" s="1"/>
  <c r="G242" i="14"/>
  <c r="V185" i="15"/>
  <c r="C118" i="14"/>
  <c r="I118" i="14"/>
  <c r="C123" i="14"/>
  <c r="L123" i="14"/>
  <c r="C130" i="14"/>
  <c r="L130" i="14"/>
  <c r="M136" i="14"/>
  <c r="I138" i="14"/>
  <c r="O138" i="14"/>
  <c r="G144" i="14"/>
  <c r="K144" i="14"/>
  <c r="K136" i="14" s="1"/>
  <c r="O154" i="14"/>
  <c r="L161" i="14"/>
  <c r="I169" i="14"/>
  <c r="E175" i="14"/>
  <c r="N183" i="14"/>
  <c r="E183" i="14"/>
  <c r="K190" i="14"/>
  <c r="I190" i="14" s="1"/>
  <c r="S190" i="14"/>
  <c r="Q197" i="14"/>
  <c r="K197" i="14"/>
  <c r="J211" i="14"/>
  <c r="I211" i="14" s="1"/>
  <c r="S211" i="14"/>
  <c r="S197" i="14" s="1"/>
  <c r="N219" i="14"/>
  <c r="N218" i="14" s="1"/>
  <c r="R220" i="14"/>
  <c r="K219" i="14"/>
  <c r="I219" i="14" s="1"/>
  <c r="C227" i="14"/>
  <c r="F230" i="14"/>
  <c r="L239" i="14"/>
  <c r="V241" i="14"/>
  <c r="C243" i="14"/>
  <c r="B242" i="14"/>
  <c r="V248" i="14"/>
  <c r="D250" i="14"/>
  <c r="J250" i="14"/>
  <c r="E250" i="14"/>
  <c r="E249" i="14" s="1"/>
  <c r="I254" i="14"/>
  <c r="Q257" i="14"/>
  <c r="V262" i="14"/>
  <c r="Q265" i="14"/>
  <c r="Q264" i="14" s="1"/>
  <c r="O273" i="14"/>
  <c r="V277" i="14"/>
  <c r="F281" i="14"/>
  <c r="L281" i="14"/>
  <c r="V289" i="14"/>
  <c r="B287" i="14"/>
  <c r="H287" i="14"/>
  <c r="H279" i="14" s="1"/>
  <c r="R299" i="14"/>
  <c r="V301" i="14"/>
  <c r="I303" i="14"/>
  <c r="F306" i="14"/>
  <c r="V308" i="14"/>
  <c r="V321" i="14"/>
  <c r="J137" i="15"/>
  <c r="I137" i="15" s="1"/>
  <c r="V331" i="15"/>
  <c r="V68" i="15"/>
  <c r="K43" i="15"/>
  <c r="K12" i="15" s="1"/>
  <c r="O161" i="15"/>
  <c r="Q9" i="16"/>
  <c r="S48" i="16"/>
  <c r="S53" i="16"/>
  <c r="C273" i="15"/>
  <c r="O265" i="15"/>
  <c r="F145" i="15"/>
  <c r="L51" i="15"/>
  <c r="V15" i="15"/>
  <c r="V308" i="15"/>
  <c r="C322" i="15"/>
  <c r="F227" i="15"/>
  <c r="D314" i="15"/>
  <c r="C314" i="15" s="1"/>
  <c r="N105" i="15"/>
  <c r="K219" i="15"/>
  <c r="K152" i="15" s="1"/>
  <c r="H58" i="15"/>
  <c r="R43" i="15"/>
  <c r="I227" i="15"/>
  <c r="V289" i="15"/>
  <c r="F322" i="15"/>
  <c r="P235" i="15"/>
  <c r="R198" i="15"/>
  <c r="F44" i="15"/>
  <c r="V30" i="15"/>
  <c r="V334" i="15"/>
  <c r="V316" i="15"/>
  <c r="C161" i="15"/>
  <c r="V146" i="15"/>
  <c r="C337" i="15"/>
  <c r="V337" i="15" s="1"/>
  <c r="V48" i="15"/>
  <c r="V98" i="15"/>
  <c r="N28" i="15"/>
  <c r="N12" i="15" s="1"/>
  <c r="J168" i="15"/>
  <c r="I168" i="15" s="1"/>
  <c r="L114" i="15"/>
  <c r="G12" i="15"/>
  <c r="I273" i="15"/>
  <c r="V149" i="15"/>
  <c r="C329" i="15"/>
  <c r="V319" i="15"/>
  <c r="V237" i="15"/>
  <c r="C315" i="15"/>
  <c r="I154" i="15"/>
  <c r="V180" i="15"/>
  <c r="F138" i="15"/>
  <c r="V94" i="15"/>
  <c r="L67" i="15"/>
  <c r="E59" i="15"/>
  <c r="E58" i="15" s="1"/>
  <c r="Q43" i="15"/>
  <c r="L36" i="15"/>
  <c r="V36" i="15" s="1"/>
  <c r="D13" i="15"/>
  <c r="D12" i="15" s="1"/>
  <c r="V18" i="15"/>
  <c r="L106" i="15"/>
  <c r="Q137" i="15"/>
  <c r="O137" i="15" s="1"/>
  <c r="H105" i="15"/>
  <c r="M265" i="15"/>
  <c r="L265" i="15" s="1"/>
  <c r="P250" i="15"/>
  <c r="O250" i="15" s="1"/>
  <c r="I191" i="15"/>
  <c r="D153" i="15"/>
  <c r="V338" i="15"/>
  <c r="O129" i="15"/>
  <c r="V129" i="15" s="1"/>
  <c r="N59" i="15"/>
  <c r="L97" i="15"/>
  <c r="C106" i="15"/>
  <c r="C74" i="15"/>
  <c r="C145" i="15"/>
  <c r="V64" i="15"/>
  <c r="B265" i="15"/>
  <c r="L273" i="15"/>
  <c r="P121" i="15"/>
  <c r="P105" i="15" s="1"/>
  <c r="V101" i="15"/>
  <c r="V115" i="15"/>
  <c r="D121" i="15"/>
  <c r="C121" i="15" s="1"/>
  <c r="V158" i="15"/>
  <c r="V213" i="15"/>
  <c r="V55" i="15"/>
  <c r="V139" i="15"/>
  <c r="V227" i="15"/>
  <c r="V177" i="15"/>
  <c r="V270" i="15"/>
  <c r="V111" i="15"/>
  <c r="V301" i="15"/>
  <c r="V293" i="15"/>
  <c r="V195" i="15"/>
  <c r="V165" i="15"/>
  <c r="V52" i="15"/>
  <c r="V126" i="15"/>
  <c r="V134" i="15"/>
  <c r="V262" i="15"/>
  <c r="V188" i="15"/>
  <c r="V162" i="15"/>
  <c r="V286" i="15"/>
  <c r="V252" i="15"/>
  <c r="V61" i="15"/>
  <c r="V244" i="15"/>
  <c r="V130" i="15"/>
  <c r="V71" i="15"/>
  <c r="V267" i="15"/>
  <c r="V216" i="15"/>
  <c r="V86" i="15"/>
  <c r="V228" i="15"/>
  <c r="V91" i="15"/>
  <c r="V83" i="15"/>
  <c r="V173" i="15"/>
  <c r="V37" i="15"/>
  <c r="O184" i="15"/>
  <c r="P183" i="15"/>
  <c r="M250" i="15"/>
  <c r="V76" i="15"/>
  <c r="S168" i="15"/>
  <c r="R168" i="15" s="1"/>
  <c r="V341" i="15"/>
  <c r="F258" i="15"/>
  <c r="V258" i="15" s="1"/>
  <c r="V326" i="15"/>
  <c r="R243" i="15"/>
  <c r="Q234" i="15"/>
  <c r="I138" i="15"/>
  <c r="V118" i="15"/>
  <c r="F67" i="15"/>
  <c r="R51" i="15"/>
  <c r="V123" i="15"/>
  <c r="E168" i="15"/>
  <c r="I198" i="15"/>
  <c r="O154" i="15"/>
  <c r="P153" i="15"/>
  <c r="O153" i="15" s="1"/>
  <c r="D137" i="15"/>
  <c r="T12" i="15"/>
  <c r="R14" i="15"/>
  <c r="S13" i="15"/>
  <c r="O176" i="15"/>
  <c r="C90" i="15"/>
  <c r="D89" i="15"/>
  <c r="C89" i="15" s="1"/>
  <c r="R29" i="15"/>
  <c r="S28" i="15"/>
  <c r="O75" i="15"/>
  <c r="P74" i="15"/>
  <c r="C184" i="15"/>
  <c r="R199" i="15"/>
  <c r="V22" i="15"/>
  <c r="O315" i="15"/>
  <c r="P314" i="15"/>
  <c r="O314" i="15" s="1"/>
  <c r="R161" i="15"/>
  <c r="G219" i="15"/>
  <c r="F220" i="15"/>
  <c r="C183" i="15"/>
  <c r="K59" i="15"/>
  <c r="H13" i="15"/>
  <c r="F60" i="15"/>
  <c r="G59" i="15"/>
  <c r="F59" i="15" s="1"/>
  <c r="V296" i="15"/>
  <c r="V259" i="15"/>
  <c r="V255" i="15"/>
  <c r="C212" i="15"/>
  <c r="V161" i="15"/>
  <c r="V240" i="15"/>
  <c r="F212" i="15"/>
  <c r="V25" i="15"/>
  <c r="I67" i="15"/>
  <c r="O21" i="15"/>
  <c r="I258" i="15"/>
  <c r="T235" i="15"/>
  <c r="I200" i="15"/>
  <c r="K74" i="15"/>
  <c r="I74" i="15" s="1"/>
  <c r="I199" i="15"/>
  <c r="E153" i="15"/>
  <c r="I82" i="15"/>
  <c r="R138" i="15"/>
  <c r="S137" i="15"/>
  <c r="R137" i="15" s="1"/>
  <c r="J183" i="15"/>
  <c r="I183" i="15" s="1"/>
  <c r="O169" i="15"/>
  <c r="P168" i="15"/>
  <c r="O168" i="15" s="1"/>
  <c r="V221" i="15"/>
  <c r="L107" i="15"/>
  <c r="I330" i="15"/>
  <c r="J329" i="15"/>
  <c r="I329" i="15" s="1"/>
  <c r="N314" i="15"/>
  <c r="L314" i="15" s="1"/>
  <c r="L315" i="15"/>
  <c r="D250" i="15"/>
  <c r="C250" i="15" s="1"/>
  <c r="C251" i="15"/>
  <c r="M59" i="15"/>
  <c r="L60" i="15"/>
  <c r="M28" i="15"/>
  <c r="L29" i="15"/>
  <c r="J13" i="15"/>
  <c r="I14" i="15"/>
  <c r="J59" i="15"/>
  <c r="I60" i="15"/>
  <c r="B43" i="15"/>
  <c r="B314" i="15"/>
  <c r="I285" i="15"/>
  <c r="J284" i="15"/>
  <c r="I284" i="15" s="1"/>
  <c r="R315" i="15"/>
  <c r="T314" i="15"/>
  <c r="R314" i="15" s="1"/>
  <c r="G235" i="15"/>
  <c r="F236" i="15"/>
  <c r="O300" i="15"/>
  <c r="P299" i="15"/>
  <c r="O299" i="15" s="1"/>
  <c r="B219" i="15"/>
  <c r="S250" i="15"/>
  <c r="R251" i="15"/>
  <c r="P219" i="15"/>
  <c r="O219" i="15" s="1"/>
  <c r="I266" i="15"/>
  <c r="J265" i="15"/>
  <c r="I265" i="15" s="1"/>
  <c r="I236" i="15"/>
  <c r="J235" i="15"/>
  <c r="L220" i="15"/>
  <c r="M219" i="15"/>
  <c r="L219" i="15" s="1"/>
  <c r="M198" i="15"/>
  <c r="L198" i="15" s="1"/>
  <c r="L199" i="15"/>
  <c r="J219" i="15"/>
  <c r="I220" i="15"/>
  <c r="Q198" i="15"/>
  <c r="Q152" i="15" s="1"/>
  <c r="F154" i="15"/>
  <c r="G153" i="15"/>
  <c r="V142" i="15"/>
  <c r="J121" i="15"/>
  <c r="I129" i="15"/>
  <c r="F191" i="15"/>
  <c r="V191" i="15" s="1"/>
  <c r="G183" i="15"/>
  <c r="F183" i="15" s="1"/>
  <c r="G121" i="15"/>
  <c r="F121" i="15" s="1"/>
  <c r="F122" i="15"/>
  <c r="K121" i="15"/>
  <c r="I122" i="15"/>
  <c r="S106" i="15"/>
  <c r="R107" i="15"/>
  <c r="D265" i="15"/>
  <c r="C266" i="15"/>
  <c r="M168" i="15"/>
  <c r="L168" i="15" s="1"/>
  <c r="L169" i="15"/>
  <c r="G137" i="15"/>
  <c r="F137" i="15" s="1"/>
  <c r="G89" i="15"/>
  <c r="F89" i="15" s="1"/>
  <c r="F90" i="15"/>
  <c r="E28" i="15"/>
  <c r="C28" i="15" s="1"/>
  <c r="M13" i="15"/>
  <c r="L14" i="15"/>
  <c r="C236" i="15"/>
  <c r="D235" i="15"/>
  <c r="J43" i="15"/>
  <c r="I44" i="15"/>
  <c r="O29" i="15"/>
  <c r="P28" i="15"/>
  <c r="C29" i="15"/>
  <c r="C13" i="15"/>
  <c r="N329" i="15"/>
  <c r="L329" i="15" s="1"/>
  <c r="L330" i="15"/>
  <c r="G250" i="15"/>
  <c r="F250" i="15" s="1"/>
  <c r="F251" i="15"/>
  <c r="R300" i="15"/>
  <c r="T299" i="15"/>
  <c r="R299" i="15" s="1"/>
  <c r="C292" i="15"/>
  <c r="V292" i="15" s="1"/>
  <c r="D284" i="15"/>
  <c r="C284" i="15" s="1"/>
  <c r="R75" i="15"/>
  <c r="S74" i="15"/>
  <c r="S121" i="15"/>
  <c r="R121" i="15" s="1"/>
  <c r="R122" i="15"/>
  <c r="R153" i="15"/>
  <c r="O114" i="15"/>
  <c r="Q106" i="15"/>
  <c r="L90" i="15"/>
  <c r="M89" i="15"/>
  <c r="L89" i="15" s="1"/>
  <c r="S219" i="15"/>
  <c r="R219" i="15" s="1"/>
  <c r="R220" i="15"/>
  <c r="C60" i="15"/>
  <c r="D59" i="15"/>
  <c r="O44" i="15"/>
  <c r="P43" i="15"/>
  <c r="C21" i="15"/>
  <c r="N299" i="15"/>
  <c r="L299" i="15" s="1"/>
  <c r="L300" i="15"/>
  <c r="B299" i="15"/>
  <c r="I315" i="15"/>
  <c r="J314" i="15"/>
  <c r="I314" i="15" s="1"/>
  <c r="G265" i="15"/>
  <c r="F266" i="15"/>
  <c r="I300" i="15"/>
  <c r="J299" i="15"/>
  <c r="I299" i="15" s="1"/>
  <c r="C300" i="15"/>
  <c r="D299" i="15"/>
  <c r="C299" i="15" s="1"/>
  <c r="H314" i="15"/>
  <c r="R292" i="15"/>
  <c r="T284" i="15"/>
  <c r="B284" i="15"/>
  <c r="L235" i="15"/>
  <c r="D199" i="15"/>
  <c r="C200" i="15"/>
  <c r="R200" i="15"/>
  <c r="F169" i="15"/>
  <c r="G168" i="15"/>
  <c r="F168" i="15" s="1"/>
  <c r="S89" i="15"/>
  <c r="R89" i="15" s="1"/>
  <c r="R90" i="15"/>
  <c r="S265" i="15"/>
  <c r="R265" i="15" s="1"/>
  <c r="R266" i="15"/>
  <c r="M183" i="15"/>
  <c r="L183" i="15" s="1"/>
  <c r="L184" i="15"/>
  <c r="O122" i="15"/>
  <c r="Q121" i="15"/>
  <c r="M43" i="15"/>
  <c r="L43" i="15" s="1"/>
  <c r="L44" i="15"/>
  <c r="S235" i="15"/>
  <c r="R236" i="15"/>
  <c r="K106" i="15"/>
  <c r="I107" i="15"/>
  <c r="V51" i="15"/>
  <c r="O285" i="15"/>
  <c r="P284" i="15"/>
  <c r="O284" i="15" s="1"/>
  <c r="I251" i="15"/>
  <c r="J250" i="15"/>
  <c r="I250" i="15" s="1"/>
  <c r="G74" i="15"/>
  <c r="F75" i="15"/>
  <c r="N284" i="15"/>
  <c r="L285" i="15"/>
  <c r="F330" i="15"/>
  <c r="H329" i="15"/>
  <c r="F329" i="15" s="1"/>
  <c r="O235" i="15"/>
  <c r="P329" i="15"/>
  <c r="O329" i="15" s="1"/>
  <c r="B329" i="15"/>
  <c r="E198" i="15"/>
  <c r="V201" i="15"/>
  <c r="M137" i="15"/>
  <c r="L137" i="15" s="1"/>
  <c r="L138" i="15"/>
  <c r="P199" i="15"/>
  <c r="O200" i="15"/>
  <c r="L122" i="15"/>
  <c r="M121" i="15"/>
  <c r="L75" i="15"/>
  <c r="M74" i="15"/>
  <c r="G106" i="15"/>
  <c r="F107" i="15"/>
  <c r="Q59" i="15"/>
  <c r="E43" i="15"/>
  <c r="C43" i="15" s="1"/>
  <c r="Q28" i="15"/>
  <c r="M153" i="15"/>
  <c r="L154" i="15"/>
  <c r="J28" i="15"/>
  <c r="I28" i="15" s="1"/>
  <c r="I29" i="15"/>
  <c r="O14" i="15"/>
  <c r="P13" i="15"/>
  <c r="B59" i="15"/>
  <c r="B28" i="15"/>
  <c r="B13" i="15"/>
  <c r="B43" i="14"/>
  <c r="E67" i="14"/>
  <c r="C67" i="14" s="1"/>
  <c r="M106" i="14"/>
  <c r="G114" i="14"/>
  <c r="G106" i="14" s="1"/>
  <c r="F115" i="14"/>
  <c r="I122" i="14"/>
  <c r="M29" i="14"/>
  <c r="C33" i="14"/>
  <c r="V33" i="14" s="1"/>
  <c r="I33" i="14"/>
  <c r="R33" i="14"/>
  <c r="I37" i="14"/>
  <c r="O37" i="14"/>
  <c r="L40" i="14"/>
  <c r="F45" i="14"/>
  <c r="O45" i="14"/>
  <c r="H44" i="14"/>
  <c r="H43" i="14" s="1"/>
  <c r="R48" i="14"/>
  <c r="G51" i="14"/>
  <c r="G43" i="14" s="1"/>
  <c r="N51" i="14"/>
  <c r="N43" i="14" s="1"/>
  <c r="C52" i="14"/>
  <c r="I55" i="14"/>
  <c r="O55" i="14"/>
  <c r="K60" i="14"/>
  <c r="K59" i="14" s="1"/>
  <c r="S59" i="14"/>
  <c r="L64" i="14"/>
  <c r="Q60" i="14"/>
  <c r="J67" i="14"/>
  <c r="I67" i="14" s="1"/>
  <c r="F68" i="14"/>
  <c r="Q67" i="14"/>
  <c r="N75" i="14"/>
  <c r="I76" i="14"/>
  <c r="O76" i="14"/>
  <c r="F86" i="14"/>
  <c r="M82" i="14"/>
  <c r="L91" i="14"/>
  <c r="R91" i="14"/>
  <c r="E90" i="14"/>
  <c r="E89" i="14" s="1"/>
  <c r="R98" i="14"/>
  <c r="S97" i="14"/>
  <c r="K167" i="14"/>
  <c r="R176" i="14"/>
  <c r="S175" i="14"/>
  <c r="R184" i="14"/>
  <c r="S183" i="14"/>
  <c r="M190" i="14"/>
  <c r="L194" i="14"/>
  <c r="L227" i="14"/>
  <c r="N226" i="14"/>
  <c r="M226" i="14"/>
  <c r="L230" i="14"/>
  <c r="L114" i="14"/>
  <c r="J28" i="14"/>
  <c r="C30" i="14"/>
  <c r="S36" i="14"/>
  <c r="S28" i="14" s="1"/>
  <c r="E44" i="14"/>
  <c r="E43" i="14" s="1"/>
  <c r="L44" i="14"/>
  <c r="T44" i="14"/>
  <c r="L61" i="14"/>
  <c r="M67" i="14"/>
  <c r="M59" i="14" s="1"/>
  <c r="S75" i="14"/>
  <c r="Q75" i="14"/>
  <c r="Q74" i="14" s="1"/>
  <c r="Q90" i="14"/>
  <c r="N107" i="14"/>
  <c r="J114" i="14"/>
  <c r="I114" i="14" s="1"/>
  <c r="L118" i="14"/>
  <c r="M122" i="14"/>
  <c r="L126" i="14"/>
  <c r="L141" i="14"/>
  <c r="N137" i="14"/>
  <c r="I176" i="14"/>
  <c r="J175" i="14"/>
  <c r="I175" i="14" s="1"/>
  <c r="F236" i="14"/>
  <c r="G235" i="14"/>
  <c r="F235" i="14" s="1"/>
  <c r="C40" i="14"/>
  <c r="V40" i="14" s="1"/>
  <c r="I40" i="14"/>
  <c r="T36" i="14"/>
  <c r="O48" i="14"/>
  <c r="H51" i="14"/>
  <c r="R55" i="14"/>
  <c r="G60" i="14"/>
  <c r="G59" i="14" s="1"/>
  <c r="C61" i="14"/>
  <c r="R61" i="14"/>
  <c r="E60" i="14"/>
  <c r="C68" i="14"/>
  <c r="R68" i="14"/>
  <c r="R71" i="14"/>
  <c r="J75" i="14"/>
  <c r="I75" i="14" s="1"/>
  <c r="F76" i="14"/>
  <c r="J82" i="14"/>
  <c r="N82" i="14"/>
  <c r="E82" i="14"/>
  <c r="O86" i="14"/>
  <c r="K90" i="14"/>
  <c r="K89" i="14" s="1"/>
  <c r="M90" i="14"/>
  <c r="N97" i="14"/>
  <c r="N89" i="14" s="1"/>
  <c r="O98" i="14"/>
  <c r="V98" i="14" s="1"/>
  <c r="E106" i="14"/>
  <c r="F111" i="14"/>
  <c r="N122" i="14"/>
  <c r="B121" i="14"/>
  <c r="L133" i="14"/>
  <c r="M129" i="14"/>
  <c r="E136" i="14"/>
  <c r="F138" i="14"/>
  <c r="G137" i="14"/>
  <c r="G136" i="14" s="1"/>
  <c r="I141" i="14"/>
  <c r="J137" i="14"/>
  <c r="I144" i="14"/>
  <c r="M160" i="14"/>
  <c r="L164" i="14"/>
  <c r="F169" i="14"/>
  <c r="V169" i="14" s="1"/>
  <c r="G168" i="14"/>
  <c r="G167" i="14" s="1"/>
  <c r="N198" i="14"/>
  <c r="L198" i="14" s="1"/>
  <c r="L208" i="14"/>
  <c r="L266" i="14"/>
  <c r="M265" i="14"/>
  <c r="Q97" i="14"/>
  <c r="L108" i="14"/>
  <c r="O111" i="14"/>
  <c r="F118" i="14"/>
  <c r="I123" i="14"/>
  <c r="O123" i="14"/>
  <c r="C133" i="14"/>
  <c r="I133" i="14"/>
  <c r="R133" i="14"/>
  <c r="C138" i="14"/>
  <c r="L138" i="14"/>
  <c r="O141" i="14"/>
  <c r="F145" i="14"/>
  <c r="F148" i="14"/>
  <c r="R148" i="14"/>
  <c r="I161" i="14"/>
  <c r="E160" i="14"/>
  <c r="E152" i="14" s="1"/>
  <c r="L169" i="14"/>
  <c r="R169" i="14"/>
  <c r="I184" i="14"/>
  <c r="Q183" i="14"/>
  <c r="I191" i="14"/>
  <c r="E190" i="14"/>
  <c r="O208" i="14"/>
  <c r="C212" i="14"/>
  <c r="G218" i="14"/>
  <c r="S219" i="14"/>
  <c r="S218" i="14" s="1"/>
  <c r="F242" i="14"/>
  <c r="B265" i="14"/>
  <c r="B264" i="14" s="1"/>
  <c r="C281" i="14"/>
  <c r="E280" i="14"/>
  <c r="E279" i="14" s="1"/>
  <c r="S287" i="14"/>
  <c r="O288" i="14"/>
  <c r="Q287" i="14"/>
  <c r="F295" i="14"/>
  <c r="S295" i="14"/>
  <c r="S294" i="14" s="1"/>
  <c r="O296" i="14"/>
  <c r="Q295" i="14"/>
  <c r="H324" i="14"/>
  <c r="T144" i="14"/>
  <c r="R144" i="14" s="1"/>
  <c r="Q168" i="14"/>
  <c r="Q175" i="14"/>
  <c r="L211" i="14"/>
  <c r="V238" i="14"/>
  <c r="R239" i="14"/>
  <c r="S235" i="14"/>
  <c r="I243" i="14"/>
  <c r="K242" i="14"/>
  <c r="R246" i="14"/>
  <c r="S242" i="14"/>
  <c r="L261" i="14"/>
  <c r="N257" i="14"/>
  <c r="N249" i="14" s="1"/>
  <c r="V285" i="14"/>
  <c r="F303" i="14"/>
  <c r="G302" i="14"/>
  <c r="L303" i="14"/>
  <c r="V303" i="14" s="1"/>
  <c r="M302" i="14"/>
  <c r="C115" i="14"/>
  <c r="L115" i="14"/>
  <c r="O118" i="14"/>
  <c r="C126" i="14"/>
  <c r="I126" i="14"/>
  <c r="R126" i="14"/>
  <c r="I129" i="14"/>
  <c r="I130" i="14"/>
  <c r="O130" i="14"/>
  <c r="F141" i="14"/>
  <c r="C145" i="14"/>
  <c r="V145" i="14" s="1"/>
  <c r="L145" i="14"/>
  <c r="O148" i="14"/>
  <c r="S153" i="14"/>
  <c r="I154" i="14"/>
  <c r="F161" i="14"/>
  <c r="Q160" i="14"/>
  <c r="M168" i="14"/>
  <c r="L168" i="14" s="1"/>
  <c r="L176" i="14"/>
  <c r="V176" i="14" s="1"/>
  <c r="M175" i="14"/>
  <c r="Q190" i="14"/>
  <c r="E197" i="14"/>
  <c r="F208" i="14"/>
  <c r="V208" i="14" s="1"/>
  <c r="F212" i="14"/>
  <c r="L223" i="14"/>
  <c r="M219" i="14"/>
  <c r="H250" i="14"/>
  <c r="F250" i="14" s="1"/>
  <c r="F251" i="14"/>
  <c r="L258" i="14"/>
  <c r="M257" i="14"/>
  <c r="L269" i="14"/>
  <c r="N265" i="14"/>
  <c r="N264" i="14" s="1"/>
  <c r="L291" i="14"/>
  <c r="M287" i="14"/>
  <c r="L299" i="14"/>
  <c r="M295" i="14"/>
  <c r="F215" i="14"/>
  <c r="C223" i="14"/>
  <c r="I223" i="14"/>
  <c r="R223" i="14"/>
  <c r="I227" i="14"/>
  <c r="O227" i="14"/>
  <c r="R236" i="14"/>
  <c r="N235" i="14"/>
  <c r="F243" i="14"/>
  <c r="F246" i="14"/>
  <c r="J242" i="14"/>
  <c r="C251" i="14"/>
  <c r="I251" i="14"/>
  <c r="V253" i="14"/>
  <c r="T250" i="14"/>
  <c r="I261" i="14"/>
  <c r="I269" i="14"/>
  <c r="C273" i="14"/>
  <c r="I273" i="14"/>
  <c r="F276" i="14"/>
  <c r="O281" i="14"/>
  <c r="V282" i="14"/>
  <c r="H280" i="14"/>
  <c r="V286" i="14"/>
  <c r="T287" i="14"/>
  <c r="L296" i="14"/>
  <c r="I299" i="14"/>
  <c r="T295" i="14"/>
  <c r="T294" i="14" s="1"/>
  <c r="I306" i="14"/>
  <c r="V318" i="14"/>
  <c r="V311" i="14"/>
  <c r="N309" i="14"/>
  <c r="L309" i="14" s="1"/>
  <c r="K324" i="14"/>
  <c r="O325" i="14"/>
  <c r="P324" i="14"/>
  <c r="O324" i="14" s="1"/>
  <c r="T309" i="14"/>
  <c r="R309" i="14" s="1"/>
  <c r="R310" i="14"/>
  <c r="J235" i="14"/>
  <c r="J234" i="14" s="1"/>
  <c r="V244" i="14"/>
  <c r="P250" i="14"/>
  <c r="O250" i="14" s="1"/>
  <c r="H272" i="14"/>
  <c r="V278" i="14"/>
  <c r="T280" i="14"/>
  <c r="I317" i="14"/>
  <c r="C325" i="14"/>
  <c r="D324" i="14"/>
  <c r="C324" i="14" s="1"/>
  <c r="L212" i="14"/>
  <c r="O215" i="14"/>
  <c r="I220" i="14"/>
  <c r="O220" i="14"/>
  <c r="C230" i="14"/>
  <c r="I230" i="14"/>
  <c r="R230" i="14"/>
  <c r="C236" i="14"/>
  <c r="I236" i="14"/>
  <c r="F239" i="14"/>
  <c r="O239" i="14"/>
  <c r="R243" i="14"/>
  <c r="L246" i="14"/>
  <c r="O251" i="14"/>
  <c r="V252" i="14"/>
  <c r="F254" i="14"/>
  <c r="V255" i="14"/>
  <c r="O258" i="14"/>
  <c r="V259" i="14"/>
  <c r="H257" i="14"/>
  <c r="R261" i="14"/>
  <c r="V263" i="14"/>
  <c r="O266" i="14"/>
  <c r="V267" i="14"/>
  <c r="H265" i="14"/>
  <c r="V271" i="14"/>
  <c r="L273" i="14"/>
  <c r="T272" i="14"/>
  <c r="M280" i="14"/>
  <c r="I284" i="14"/>
  <c r="C288" i="14"/>
  <c r="I288" i="14"/>
  <c r="C296" i="14"/>
  <c r="I296" i="14"/>
  <c r="E302" i="14"/>
  <c r="E294" i="14" s="1"/>
  <c r="O303" i="14"/>
  <c r="V304" i="14"/>
  <c r="H302" i="14"/>
  <c r="H294" i="14" s="1"/>
  <c r="F332" i="14"/>
  <c r="V332" i="14" s="1"/>
  <c r="V310" i="14"/>
  <c r="R199" i="14"/>
  <c r="O199" i="14"/>
  <c r="I199" i="14"/>
  <c r="V178" i="14"/>
  <c r="V188" i="14"/>
  <c r="V231" i="14"/>
  <c r="J198" i="14"/>
  <c r="C199" i="14"/>
  <c r="V70" i="14"/>
  <c r="V112" i="14"/>
  <c r="V116" i="14"/>
  <c r="V143" i="14"/>
  <c r="V147" i="14"/>
  <c r="V149" i="14"/>
  <c r="V216" i="14"/>
  <c r="V180" i="14"/>
  <c r="V113" i="14"/>
  <c r="V117" i="14"/>
  <c r="V142" i="14"/>
  <c r="V146" i="14"/>
  <c r="V163" i="14"/>
  <c r="V41" i="14"/>
  <c r="V56" i="14"/>
  <c r="V84" i="14"/>
  <c r="V125" i="14"/>
  <c r="V127" i="14"/>
  <c r="V135" i="14"/>
  <c r="V173" i="14"/>
  <c r="V209" i="14"/>
  <c r="V221" i="14"/>
  <c r="V166" i="14"/>
  <c r="V119" i="14"/>
  <c r="V171" i="14"/>
  <c r="V53" i="14"/>
  <c r="V87" i="14"/>
  <c r="V102" i="14"/>
  <c r="V124" i="14"/>
  <c r="V134" i="14"/>
  <c r="V192" i="14"/>
  <c r="V210" i="14"/>
  <c r="V214" i="14"/>
  <c r="V222" i="14"/>
  <c r="V32" i="14"/>
  <c r="V34" i="14"/>
  <c r="V110" i="14"/>
  <c r="V131" i="14"/>
  <c r="V139" i="14"/>
  <c r="V150" i="14"/>
  <c r="V186" i="14"/>
  <c r="V200" i="14"/>
  <c r="V217" i="14"/>
  <c r="V225" i="14"/>
  <c r="V229" i="14"/>
  <c r="V213" i="14"/>
  <c r="V72" i="14"/>
  <c r="V199" i="14"/>
  <c r="V49" i="14"/>
  <c r="V50" i="14"/>
  <c r="V93" i="14"/>
  <c r="V95" i="14"/>
  <c r="V120" i="14"/>
  <c r="V128" i="14"/>
  <c r="V132" i="14"/>
  <c r="V140" i="14"/>
  <c r="V156" i="14"/>
  <c r="V165" i="14"/>
  <c r="V181" i="14"/>
  <c r="V193" i="14"/>
  <c r="V207" i="14"/>
  <c r="V228" i="14"/>
  <c r="E168" i="14"/>
  <c r="F108" i="14"/>
  <c r="V108" i="14" s="1"/>
  <c r="V109" i="14"/>
  <c r="V38" i="14"/>
  <c r="V46" i="14"/>
  <c r="V57" i="14"/>
  <c r="V66" i="14"/>
  <c r="V69" i="14"/>
  <c r="V78" i="14"/>
  <c r="V92" i="14"/>
  <c r="V31" i="14"/>
  <c r="V42" i="14"/>
  <c r="V54" i="14"/>
  <c r="V63" i="14"/>
  <c r="V77" i="14"/>
  <c r="V80" i="14"/>
  <c r="V35" i="14"/>
  <c r="V39" i="14"/>
  <c r="V47" i="14"/>
  <c r="V62" i="14"/>
  <c r="V65" i="14"/>
  <c r="V85" i="14"/>
  <c r="V100" i="14"/>
  <c r="G324" i="14"/>
  <c r="F325" i="14"/>
  <c r="N324" i="14"/>
  <c r="L324" i="14" s="1"/>
  <c r="D309" i="14"/>
  <c r="C309" i="14" s="1"/>
  <c r="I325" i="14"/>
  <c r="J324" i="14"/>
  <c r="L325" i="14"/>
  <c r="B309" i="14"/>
  <c r="S324" i="14"/>
  <c r="R325" i="14"/>
  <c r="I310" i="14"/>
  <c r="J309" i="14"/>
  <c r="B324" i="14"/>
  <c r="I250" i="14"/>
  <c r="B234" i="14"/>
  <c r="M250" i="14"/>
  <c r="J257" i="14"/>
  <c r="V268" i="14"/>
  <c r="O269" i="14"/>
  <c r="P265" i="14"/>
  <c r="J272" i="14"/>
  <c r="R276" i="14"/>
  <c r="V283" i="14"/>
  <c r="O284" i="14"/>
  <c r="P280" i="14"/>
  <c r="L288" i="14"/>
  <c r="C291" i="14"/>
  <c r="D287" i="14"/>
  <c r="C299" i="14"/>
  <c r="D295" i="14"/>
  <c r="R306" i="14"/>
  <c r="C269" i="14"/>
  <c r="D265" i="14"/>
  <c r="C284" i="14"/>
  <c r="D280" i="14"/>
  <c r="E235" i="14"/>
  <c r="M235" i="14"/>
  <c r="Q235" i="14"/>
  <c r="E242" i="14"/>
  <c r="C242" i="14" s="1"/>
  <c r="M242" i="14"/>
  <c r="Q242" i="14"/>
  <c r="R254" i="14"/>
  <c r="S250" i="14"/>
  <c r="C261" i="14"/>
  <c r="D257" i="14"/>
  <c r="C276" i="14"/>
  <c r="D272" i="14"/>
  <c r="C272" i="14" s="1"/>
  <c r="O291" i="14"/>
  <c r="P287" i="14"/>
  <c r="O287" i="14" s="1"/>
  <c r="O299" i="14"/>
  <c r="P295" i="14"/>
  <c r="C306" i="14"/>
  <c r="D302" i="14"/>
  <c r="O254" i="14"/>
  <c r="V260" i="14"/>
  <c r="O261" i="14"/>
  <c r="P257" i="14"/>
  <c r="J265" i="14"/>
  <c r="R269" i="14"/>
  <c r="V275" i="14"/>
  <c r="O276" i="14"/>
  <c r="P272" i="14"/>
  <c r="O272" i="14" s="1"/>
  <c r="J280" i="14"/>
  <c r="R284" i="14"/>
  <c r="F291" i="14"/>
  <c r="F299" i="14"/>
  <c r="B302" i="14"/>
  <c r="J302" i="14"/>
  <c r="I302" i="14" s="1"/>
  <c r="V305" i="14"/>
  <c r="O306" i="14"/>
  <c r="P302" i="14"/>
  <c r="G257" i="14"/>
  <c r="K257" i="14"/>
  <c r="K249" i="14" s="1"/>
  <c r="S257" i="14"/>
  <c r="G265" i="14"/>
  <c r="K265" i="14"/>
  <c r="S265" i="14"/>
  <c r="G272" i="14"/>
  <c r="K272" i="14"/>
  <c r="S272" i="14"/>
  <c r="R272" i="14" s="1"/>
  <c r="G280" i="14"/>
  <c r="K280" i="14"/>
  <c r="K279" i="14" s="1"/>
  <c r="S280" i="14"/>
  <c r="V230" i="14"/>
  <c r="D198" i="14"/>
  <c r="H198" i="14"/>
  <c r="P198" i="14"/>
  <c r="T198" i="14"/>
  <c r="D211" i="14"/>
  <c r="C211" i="14" s="1"/>
  <c r="H211" i="14"/>
  <c r="P211" i="14"/>
  <c r="O211" i="14" s="1"/>
  <c r="T211" i="14"/>
  <c r="D219" i="14"/>
  <c r="H219" i="14"/>
  <c r="P219" i="14"/>
  <c r="T219" i="14"/>
  <c r="D226" i="14"/>
  <c r="C226" i="14" s="1"/>
  <c r="H226" i="14"/>
  <c r="F226" i="14" s="1"/>
  <c r="P226" i="14"/>
  <c r="T226" i="14"/>
  <c r="R226" i="14" s="1"/>
  <c r="C157" i="14"/>
  <c r="D153" i="14"/>
  <c r="C172" i="14"/>
  <c r="D168" i="14"/>
  <c r="R157" i="14"/>
  <c r="T153" i="14"/>
  <c r="C164" i="14"/>
  <c r="D160" i="14"/>
  <c r="C160" i="14" s="1"/>
  <c r="C179" i="14"/>
  <c r="D175" i="14"/>
  <c r="V189" i="14"/>
  <c r="V155" i="14"/>
  <c r="O157" i="14"/>
  <c r="P153" i="14"/>
  <c r="V159" i="14"/>
  <c r="N160" i="14"/>
  <c r="N152" i="14" s="1"/>
  <c r="R164" i="14"/>
  <c r="T160" i="14"/>
  <c r="S167" i="14"/>
  <c r="V170" i="14"/>
  <c r="O172" i="14"/>
  <c r="P168" i="14"/>
  <c r="V174" i="14"/>
  <c r="N175" i="14"/>
  <c r="N167" i="14" s="1"/>
  <c r="R179" i="14"/>
  <c r="T175" i="14"/>
  <c r="R175" i="14" s="1"/>
  <c r="V185" i="14"/>
  <c r="O187" i="14"/>
  <c r="P183" i="14"/>
  <c r="R194" i="14"/>
  <c r="T190" i="14"/>
  <c r="V196" i="14"/>
  <c r="F164" i="14"/>
  <c r="H160" i="14"/>
  <c r="F160" i="14" s="1"/>
  <c r="F179" i="14"/>
  <c r="H175" i="14"/>
  <c r="F175" i="14" s="1"/>
  <c r="C187" i="14"/>
  <c r="D183" i="14"/>
  <c r="F194" i="14"/>
  <c r="H190" i="14"/>
  <c r="F190" i="14" s="1"/>
  <c r="R172" i="14"/>
  <c r="T168" i="14"/>
  <c r="R187" i="14"/>
  <c r="T183" i="14"/>
  <c r="C194" i="14"/>
  <c r="D190" i="14"/>
  <c r="B153" i="14"/>
  <c r="J153" i="14"/>
  <c r="F157" i="14"/>
  <c r="H153" i="14"/>
  <c r="L157" i="14"/>
  <c r="Q152" i="14"/>
  <c r="V162" i="14"/>
  <c r="O164" i="14"/>
  <c r="P160" i="14"/>
  <c r="B168" i="14"/>
  <c r="J168" i="14"/>
  <c r="F172" i="14"/>
  <c r="H168" i="14"/>
  <c r="L172" i="14"/>
  <c r="V177" i="14"/>
  <c r="O179" i="14"/>
  <c r="P175" i="14"/>
  <c r="B183" i="14"/>
  <c r="J183" i="14"/>
  <c r="F187" i="14"/>
  <c r="H183" i="14"/>
  <c r="L187" i="14"/>
  <c r="O194" i="14"/>
  <c r="P190" i="14"/>
  <c r="D107" i="14"/>
  <c r="H107" i="14"/>
  <c r="P107" i="14"/>
  <c r="T107" i="14"/>
  <c r="D114" i="14"/>
  <c r="C114" i="14" s="1"/>
  <c r="H114" i="14"/>
  <c r="P114" i="14"/>
  <c r="O114" i="14" s="1"/>
  <c r="T114" i="14"/>
  <c r="D122" i="14"/>
  <c r="H122" i="14"/>
  <c r="P122" i="14"/>
  <c r="T122" i="14"/>
  <c r="D129" i="14"/>
  <c r="H129" i="14"/>
  <c r="P129" i="14"/>
  <c r="O129" i="14" s="1"/>
  <c r="T129" i="14"/>
  <c r="D137" i="14"/>
  <c r="H137" i="14"/>
  <c r="P137" i="14"/>
  <c r="T137" i="14"/>
  <c r="D144" i="14"/>
  <c r="C144" i="14" s="1"/>
  <c r="H144" i="14"/>
  <c r="P144" i="14"/>
  <c r="O144" i="14" s="1"/>
  <c r="M75" i="14"/>
  <c r="L79" i="14"/>
  <c r="R59" i="14"/>
  <c r="O61" i="14"/>
  <c r="P60" i="14"/>
  <c r="F64" i="14"/>
  <c r="H60" i="14"/>
  <c r="H59" i="14" s="1"/>
  <c r="R67" i="14"/>
  <c r="C76" i="14"/>
  <c r="D75" i="14"/>
  <c r="R94" i="14"/>
  <c r="T90" i="14"/>
  <c r="C101" i="14"/>
  <c r="D97" i="14"/>
  <c r="C97" i="14" s="1"/>
  <c r="B82" i="14"/>
  <c r="I98" i="14"/>
  <c r="J97" i="14"/>
  <c r="I97" i="14" s="1"/>
  <c r="N67" i="14"/>
  <c r="L68" i="14"/>
  <c r="V68" i="14" s="1"/>
  <c r="B90" i="14"/>
  <c r="M97" i="14"/>
  <c r="L97" i="14" s="1"/>
  <c r="L101" i="14"/>
  <c r="S74" i="14"/>
  <c r="R74" i="14" s="1"/>
  <c r="P82" i="14"/>
  <c r="O82" i="14" s="1"/>
  <c r="R83" i="14"/>
  <c r="S82" i="14"/>
  <c r="R82" i="14" s="1"/>
  <c r="V88" i="14"/>
  <c r="O94" i="14"/>
  <c r="P90" i="14"/>
  <c r="V96" i="14"/>
  <c r="R101" i="14"/>
  <c r="T97" i="14"/>
  <c r="I61" i="14"/>
  <c r="B67" i="14"/>
  <c r="B59" i="14" s="1"/>
  <c r="C71" i="14"/>
  <c r="L71" i="14"/>
  <c r="V73" i="14"/>
  <c r="J74" i="14"/>
  <c r="P75" i="14"/>
  <c r="O79" i="14"/>
  <c r="H82" i="14"/>
  <c r="F94" i="14"/>
  <c r="H90" i="14"/>
  <c r="L94" i="14"/>
  <c r="V99" i="14"/>
  <c r="O101" i="14"/>
  <c r="P97" i="14"/>
  <c r="V103" i="14"/>
  <c r="O64" i="14"/>
  <c r="C79" i="14"/>
  <c r="V81" i="14"/>
  <c r="D82" i="14"/>
  <c r="I83" i="14"/>
  <c r="I91" i="14"/>
  <c r="C94" i="14"/>
  <c r="B97" i="14"/>
  <c r="F101" i="14"/>
  <c r="H97" i="14"/>
  <c r="F97" i="14" s="1"/>
  <c r="F44" i="14"/>
  <c r="R44" i="14"/>
  <c r="D44" i="14"/>
  <c r="P44" i="14"/>
  <c r="D51" i="14"/>
  <c r="C51" i="14" s="1"/>
  <c r="P51" i="14"/>
  <c r="O51" i="14" s="1"/>
  <c r="V30" i="14"/>
  <c r="D29" i="14"/>
  <c r="H29" i="14"/>
  <c r="P29" i="14"/>
  <c r="T29" i="14"/>
  <c r="D36" i="14"/>
  <c r="H36" i="14"/>
  <c r="P36" i="14"/>
  <c r="O36" i="14" s="1"/>
  <c r="R27" i="14"/>
  <c r="O27" i="14"/>
  <c r="L27" i="14"/>
  <c r="I27" i="14"/>
  <c r="F27" i="14"/>
  <c r="C27" i="14"/>
  <c r="R26" i="14"/>
  <c r="O26" i="14"/>
  <c r="L26" i="14"/>
  <c r="I26" i="14"/>
  <c r="F26" i="14"/>
  <c r="C26" i="14"/>
  <c r="T25" i="14"/>
  <c r="S25" i="14"/>
  <c r="Q25" i="14"/>
  <c r="P25" i="14"/>
  <c r="N25" i="14"/>
  <c r="M25" i="14"/>
  <c r="K25" i="14"/>
  <c r="J25" i="14"/>
  <c r="H25" i="14"/>
  <c r="G25" i="14"/>
  <c r="E25" i="14"/>
  <c r="D25" i="14"/>
  <c r="B25" i="14"/>
  <c r="R24" i="14"/>
  <c r="O24" i="14"/>
  <c r="L24" i="14"/>
  <c r="I24" i="14"/>
  <c r="F24" i="14"/>
  <c r="C24" i="14"/>
  <c r="R23" i="14"/>
  <c r="O23" i="14"/>
  <c r="L23" i="14"/>
  <c r="I23" i="14"/>
  <c r="F23" i="14"/>
  <c r="C23" i="14"/>
  <c r="T22" i="14"/>
  <c r="S22" i="14"/>
  <c r="Q22" i="14"/>
  <c r="P22" i="14"/>
  <c r="O22" i="14" s="1"/>
  <c r="N22" i="14"/>
  <c r="M22" i="14"/>
  <c r="K22" i="14"/>
  <c r="J22" i="14"/>
  <c r="J21" i="14" s="1"/>
  <c r="H22" i="14"/>
  <c r="G22" i="14"/>
  <c r="E22" i="14"/>
  <c r="D22" i="14"/>
  <c r="B22" i="14"/>
  <c r="R20" i="14"/>
  <c r="O20" i="14"/>
  <c r="L20" i="14"/>
  <c r="I20" i="14"/>
  <c r="F20" i="14"/>
  <c r="C20" i="14"/>
  <c r="R19" i="14"/>
  <c r="O19" i="14"/>
  <c r="L19" i="14"/>
  <c r="I19" i="14"/>
  <c r="F19" i="14"/>
  <c r="C19" i="14"/>
  <c r="T18" i="14"/>
  <c r="S18" i="14"/>
  <c r="Q18" i="14"/>
  <c r="P18" i="14"/>
  <c r="N18" i="14"/>
  <c r="M18" i="14"/>
  <c r="K18" i="14"/>
  <c r="J18" i="14"/>
  <c r="H18" i="14"/>
  <c r="G18" i="14"/>
  <c r="E18" i="14"/>
  <c r="D18" i="14"/>
  <c r="B18" i="14"/>
  <c r="R17" i="14"/>
  <c r="O17" i="14"/>
  <c r="L17" i="14"/>
  <c r="I17" i="14"/>
  <c r="F17" i="14"/>
  <c r="C17" i="14"/>
  <c r="R16" i="14"/>
  <c r="O16" i="14"/>
  <c r="L16" i="14"/>
  <c r="I16" i="14"/>
  <c r="F16" i="14"/>
  <c r="C16" i="14"/>
  <c r="T15" i="14"/>
  <c r="S15" i="14"/>
  <c r="Q15" i="14"/>
  <c r="P15" i="14"/>
  <c r="N15" i="14"/>
  <c r="M15" i="14"/>
  <c r="K15" i="14"/>
  <c r="J15" i="14"/>
  <c r="H15" i="14"/>
  <c r="G15" i="14"/>
  <c r="E15" i="14"/>
  <c r="D15" i="14"/>
  <c r="B15" i="14"/>
  <c r="F82" i="14" l="1"/>
  <c r="L67" i="14"/>
  <c r="O302" i="14"/>
  <c r="R287" i="14"/>
  <c r="E59" i="14"/>
  <c r="V176" i="15"/>
  <c r="C168" i="15"/>
  <c r="N182" i="14"/>
  <c r="F36" i="14"/>
  <c r="C82" i="14"/>
  <c r="I60" i="14"/>
  <c r="J59" i="14"/>
  <c r="I59" i="14" s="1"/>
  <c r="C60" i="14"/>
  <c r="F75" i="14"/>
  <c r="R129" i="14"/>
  <c r="R114" i="14"/>
  <c r="O226" i="14"/>
  <c r="F272" i="14"/>
  <c r="O242" i="14"/>
  <c r="R324" i="14"/>
  <c r="H264" i="14"/>
  <c r="I226" i="14"/>
  <c r="V148" i="14"/>
  <c r="R242" i="14"/>
  <c r="Q167" i="14"/>
  <c r="Q294" i="14"/>
  <c r="V118" i="14"/>
  <c r="T43" i="14"/>
  <c r="R43" i="14" s="1"/>
  <c r="L190" i="14"/>
  <c r="O67" i="14"/>
  <c r="V45" i="14"/>
  <c r="M28" i="14"/>
  <c r="L28" i="14" s="1"/>
  <c r="O43" i="15"/>
  <c r="C265" i="15"/>
  <c r="F219" i="15"/>
  <c r="V191" i="14"/>
  <c r="P234" i="14"/>
  <c r="V281" i="14"/>
  <c r="E182" i="14"/>
  <c r="L36" i="14"/>
  <c r="V36" i="14" s="1"/>
  <c r="R250" i="15"/>
  <c r="R28" i="15"/>
  <c r="K28" i="14"/>
  <c r="R97" i="14"/>
  <c r="F211" i="14"/>
  <c r="R295" i="14"/>
  <c r="L242" i="14"/>
  <c r="C287" i="14"/>
  <c r="I309" i="14"/>
  <c r="V236" i="14"/>
  <c r="M167" i="14"/>
  <c r="V212" i="14"/>
  <c r="Q89" i="14"/>
  <c r="M152" i="14"/>
  <c r="V138" i="15"/>
  <c r="F265" i="15"/>
  <c r="O183" i="15"/>
  <c r="V97" i="15"/>
  <c r="V273" i="14"/>
  <c r="K106" i="14"/>
  <c r="I106" i="14" s="1"/>
  <c r="V307" i="15"/>
  <c r="T234" i="14"/>
  <c r="V254" i="14"/>
  <c r="F15" i="14"/>
  <c r="J14" i="14"/>
  <c r="O97" i="14"/>
  <c r="V97" i="14" s="1"/>
  <c r="I90" i="14"/>
  <c r="C129" i="14"/>
  <c r="R257" i="14"/>
  <c r="N197" i="14"/>
  <c r="V296" i="14"/>
  <c r="T249" i="14"/>
  <c r="N234" i="14"/>
  <c r="L257" i="14"/>
  <c r="V133" i="14"/>
  <c r="E74" i="14"/>
  <c r="E58" i="14" s="1"/>
  <c r="G234" i="14"/>
  <c r="F234" i="14" s="1"/>
  <c r="Q12" i="15"/>
  <c r="L28" i="15"/>
  <c r="M234" i="15"/>
  <c r="F287" i="14"/>
  <c r="B136" i="14"/>
  <c r="I18" i="14"/>
  <c r="O175" i="14"/>
  <c r="Q182" i="14"/>
  <c r="V130" i="14"/>
  <c r="L43" i="14"/>
  <c r="T58" i="15"/>
  <c r="I160" i="14"/>
  <c r="F144" i="14"/>
  <c r="V144" i="14" s="1"/>
  <c r="C302" i="14"/>
  <c r="F324" i="14"/>
  <c r="V324" i="14" s="1"/>
  <c r="Q279" i="14"/>
  <c r="J43" i="14"/>
  <c r="I43" i="14" s="1"/>
  <c r="I28" i="14"/>
  <c r="G121" i="14"/>
  <c r="G105" i="14" s="1"/>
  <c r="S121" i="14"/>
  <c r="S105" i="14" s="1"/>
  <c r="L22" i="14"/>
  <c r="K21" i="14"/>
  <c r="C25" i="14"/>
  <c r="O25" i="14"/>
  <c r="M89" i="14"/>
  <c r="V246" i="14"/>
  <c r="V227" i="14"/>
  <c r="S182" i="14"/>
  <c r="V123" i="14"/>
  <c r="G151" i="14"/>
  <c r="V138" i="14"/>
  <c r="V86" i="14"/>
  <c r="F22" i="14"/>
  <c r="V67" i="15"/>
  <c r="R22" i="14"/>
  <c r="N21" i="14"/>
  <c r="I242" i="14"/>
  <c r="V258" i="14"/>
  <c r="V223" i="14"/>
  <c r="V115" i="14"/>
  <c r="V251" i="14"/>
  <c r="S152" i="14"/>
  <c r="S151" i="14" s="1"/>
  <c r="V141" i="14"/>
  <c r="V126" i="14"/>
  <c r="V52" i="14"/>
  <c r="D89" i="14"/>
  <c r="C89" i="14" s="1"/>
  <c r="V55" i="14"/>
  <c r="Q249" i="14"/>
  <c r="K182" i="14"/>
  <c r="K74" i="14"/>
  <c r="I74" i="14" s="1"/>
  <c r="N279" i="14"/>
  <c r="V161" i="14"/>
  <c r="N14" i="14"/>
  <c r="I235" i="14"/>
  <c r="V239" i="14"/>
  <c r="R36" i="14"/>
  <c r="I43" i="15"/>
  <c r="C153" i="15"/>
  <c r="N58" i="15"/>
  <c r="N11" i="15" s="1"/>
  <c r="L60" i="14"/>
  <c r="I82" i="14"/>
  <c r="R75" i="14"/>
  <c r="O160" i="14"/>
  <c r="V160" i="14" s="1"/>
  <c r="L160" i="14"/>
  <c r="V325" i="14"/>
  <c r="C190" i="14"/>
  <c r="M182" i="14"/>
  <c r="R190" i="14"/>
  <c r="O257" i="14"/>
  <c r="L287" i="14"/>
  <c r="V288" i="14"/>
  <c r="I324" i="14"/>
  <c r="T264" i="14"/>
  <c r="V243" i="14"/>
  <c r="L302" i="14"/>
  <c r="L129" i="14"/>
  <c r="F51" i="14"/>
  <c r="L29" i="14"/>
  <c r="V330" i="15"/>
  <c r="T11" i="15"/>
  <c r="V61" i="14"/>
  <c r="R160" i="14"/>
  <c r="C175" i="14"/>
  <c r="V284" i="14"/>
  <c r="R15" i="14"/>
  <c r="S21" i="14"/>
  <c r="C36" i="14"/>
  <c r="V76" i="14"/>
  <c r="F129" i="14"/>
  <c r="F114" i="14"/>
  <c r="V114" i="14" s="1"/>
  <c r="O190" i="14"/>
  <c r="R211" i="14"/>
  <c r="E167" i="14"/>
  <c r="V266" i="14"/>
  <c r="M218" i="14"/>
  <c r="M151" i="14" s="1"/>
  <c r="K234" i="14"/>
  <c r="I234" i="14" s="1"/>
  <c r="L74" i="15"/>
  <c r="O121" i="15"/>
  <c r="O15" i="14"/>
  <c r="Q151" i="14"/>
  <c r="T182" i="14"/>
  <c r="R182" i="14" s="1"/>
  <c r="Q121" i="14"/>
  <c r="Q105" i="14" s="1"/>
  <c r="R51" i="14"/>
  <c r="K14" i="14"/>
  <c r="K13" i="14" s="1"/>
  <c r="K12" i="14" s="1"/>
  <c r="V269" i="14"/>
  <c r="L82" i="14"/>
  <c r="V82" i="14" s="1"/>
  <c r="L226" i="14"/>
  <c r="V226" i="14" s="1"/>
  <c r="V315" i="15"/>
  <c r="K58" i="15"/>
  <c r="K11" i="15" s="1"/>
  <c r="V322" i="15"/>
  <c r="V145" i="15"/>
  <c r="K121" i="14"/>
  <c r="K152" i="14"/>
  <c r="K151" i="14" s="1"/>
  <c r="B14" i="14"/>
  <c r="L15" i="14"/>
  <c r="M14" i="14"/>
  <c r="S14" i="14"/>
  <c r="L175" i="14"/>
  <c r="V175" i="14" s="1"/>
  <c r="V291" i="14"/>
  <c r="T279" i="14"/>
  <c r="J106" i="14"/>
  <c r="V220" i="15"/>
  <c r="V273" i="15"/>
  <c r="V114" i="15"/>
  <c r="C250" i="14"/>
  <c r="E28" i="14"/>
  <c r="E152" i="15"/>
  <c r="E104" i="15" s="1"/>
  <c r="V107" i="15"/>
  <c r="V44" i="15"/>
  <c r="V21" i="15"/>
  <c r="V285" i="15"/>
  <c r="V60" i="15"/>
  <c r="V184" i="15"/>
  <c r="V236" i="15"/>
  <c r="D105" i="15"/>
  <c r="C105" i="15" s="1"/>
  <c r="C137" i="15"/>
  <c r="V137" i="15" s="1"/>
  <c r="V169" i="15"/>
  <c r="V300" i="15"/>
  <c r="V14" i="15"/>
  <c r="V90" i="15"/>
  <c r="L250" i="15"/>
  <c r="V250" i="15" s="1"/>
  <c r="E12" i="15"/>
  <c r="E11" i="15" s="1"/>
  <c r="P58" i="15"/>
  <c r="O74" i="15"/>
  <c r="S12" i="15"/>
  <c r="R12" i="15" s="1"/>
  <c r="R13" i="15"/>
  <c r="V299" i="15"/>
  <c r="P234" i="15"/>
  <c r="O234" i="15" s="1"/>
  <c r="V29" i="15"/>
  <c r="V89" i="15"/>
  <c r="V212" i="15"/>
  <c r="H12" i="15"/>
  <c r="F13" i="15"/>
  <c r="S152" i="15"/>
  <c r="R152" i="15" s="1"/>
  <c r="V43" i="15"/>
  <c r="V154" i="15"/>
  <c r="D198" i="15"/>
  <c r="C199" i="15"/>
  <c r="B12" i="15"/>
  <c r="B58" i="15"/>
  <c r="V329" i="15"/>
  <c r="L284" i="15"/>
  <c r="V284" i="15" s="1"/>
  <c r="N234" i="15"/>
  <c r="N104" i="15" s="1"/>
  <c r="K105" i="15"/>
  <c r="K104" i="15" s="1"/>
  <c r="K10" i="15" s="1"/>
  <c r="I106" i="15"/>
  <c r="S58" i="15"/>
  <c r="R74" i="15"/>
  <c r="M12" i="15"/>
  <c r="L13" i="15"/>
  <c r="V266" i="15"/>
  <c r="J105" i="15"/>
  <c r="I121" i="15"/>
  <c r="V219" i="15"/>
  <c r="M58" i="15"/>
  <c r="L59" i="15"/>
  <c r="C59" i="15"/>
  <c r="D58" i="15"/>
  <c r="C58" i="15" s="1"/>
  <c r="J234" i="15"/>
  <c r="I234" i="15" s="1"/>
  <c r="I235" i="15"/>
  <c r="O13" i="15"/>
  <c r="P12" i="15"/>
  <c r="Q58" i="15"/>
  <c r="O59" i="15"/>
  <c r="V75" i="15"/>
  <c r="F314" i="15"/>
  <c r="V314" i="15" s="1"/>
  <c r="H234" i="15"/>
  <c r="H104" i="15" s="1"/>
  <c r="O28" i="15"/>
  <c r="V28" i="15" s="1"/>
  <c r="C235" i="15"/>
  <c r="D234" i="15"/>
  <c r="C234" i="15" s="1"/>
  <c r="V265" i="15"/>
  <c r="V183" i="15"/>
  <c r="J58" i="15"/>
  <c r="I58" i="15" s="1"/>
  <c r="I59" i="15"/>
  <c r="V251" i="15"/>
  <c r="G105" i="15"/>
  <c r="F106" i="15"/>
  <c r="R284" i="15"/>
  <c r="T234" i="15"/>
  <c r="T104" i="15" s="1"/>
  <c r="T10" i="15" s="1"/>
  <c r="S105" i="15"/>
  <c r="R106" i="15"/>
  <c r="G234" i="15"/>
  <c r="F235" i="15"/>
  <c r="J12" i="15"/>
  <c r="I13" i="15"/>
  <c r="M152" i="15"/>
  <c r="L152" i="15" s="1"/>
  <c r="L153" i="15"/>
  <c r="L121" i="15"/>
  <c r="M105" i="15"/>
  <c r="P198" i="15"/>
  <c r="O199" i="15"/>
  <c r="G58" i="15"/>
  <c r="F74" i="15"/>
  <c r="S234" i="15"/>
  <c r="R235" i="15"/>
  <c r="V168" i="15"/>
  <c r="V200" i="15"/>
  <c r="O106" i="15"/>
  <c r="Q105" i="15"/>
  <c r="V122" i="15"/>
  <c r="F153" i="15"/>
  <c r="G152" i="15"/>
  <c r="F152" i="15" s="1"/>
  <c r="J152" i="15"/>
  <c r="I152" i="15" s="1"/>
  <c r="I219" i="15"/>
  <c r="L280" i="14"/>
  <c r="M279" i="14"/>
  <c r="L279" i="14" s="1"/>
  <c r="L295" i="14"/>
  <c r="M294" i="14"/>
  <c r="L294" i="14" s="1"/>
  <c r="R235" i="14"/>
  <c r="S234" i="14"/>
  <c r="L218" i="14"/>
  <c r="L107" i="14"/>
  <c r="N106" i="14"/>
  <c r="N74" i="14"/>
  <c r="V306" i="14"/>
  <c r="I257" i="14"/>
  <c r="R294" i="14"/>
  <c r="L265" i="14"/>
  <c r="M264" i="14"/>
  <c r="L264" i="14" s="1"/>
  <c r="E105" i="14"/>
  <c r="L219" i="14"/>
  <c r="M121" i="14"/>
  <c r="M105" i="14" s="1"/>
  <c r="Q59" i="14"/>
  <c r="Q58" i="14" s="1"/>
  <c r="C90" i="14"/>
  <c r="C15" i="14"/>
  <c r="D14" i="14"/>
  <c r="L89" i="14"/>
  <c r="V276" i="14"/>
  <c r="F43" i="14"/>
  <c r="J13" i="14"/>
  <c r="N13" i="14"/>
  <c r="N12" i="14" s="1"/>
  <c r="G14" i="14"/>
  <c r="C18" i="14"/>
  <c r="B21" i="14"/>
  <c r="I25" i="14"/>
  <c r="E151" i="14"/>
  <c r="F302" i="14"/>
  <c r="V302" i="14" s="1"/>
  <c r="G294" i="14"/>
  <c r="F294" i="14" s="1"/>
  <c r="L137" i="14"/>
  <c r="N136" i="14"/>
  <c r="L136" i="14" s="1"/>
  <c r="O18" i="14"/>
  <c r="C22" i="14"/>
  <c r="G21" i="14"/>
  <c r="L25" i="14"/>
  <c r="J89" i="14"/>
  <c r="I89" i="14" s="1"/>
  <c r="L167" i="14"/>
  <c r="R183" i="14"/>
  <c r="V272" i="14"/>
  <c r="V261" i="14"/>
  <c r="V242" i="14"/>
  <c r="V299" i="14"/>
  <c r="N233" i="14"/>
  <c r="H249" i="14"/>
  <c r="H233" i="14" s="1"/>
  <c r="I137" i="14"/>
  <c r="J136" i="14"/>
  <c r="I136" i="14" s="1"/>
  <c r="L122" i="14"/>
  <c r="N121" i="14"/>
  <c r="L51" i="14"/>
  <c r="V51" i="14" s="1"/>
  <c r="I198" i="14"/>
  <c r="J197" i="14"/>
  <c r="L197" i="14"/>
  <c r="V71" i="14"/>
  <c r="V129" i="14"/>
  <c r="V157" i="14"/>
  <c r="V211" i="14"/>
  <c r="V64" i="14"/>
  <c r="V309" i="14"/>
  <c r="P294" i="14"/>
  <c r="O294" i="14" s="1"/>
  <c r="O295" i="14"/>
  <c r="G279" i="14"/>
  <c r="F279" i="14" s="1"/>
  <c r="F280" i="14"/>
  <c r="S264" i="14"/>
  <c r="R264" i="14" s="1"/>
  <c r="R265" i="14"/>
  <c r="E234" i="14"/>
  <c r="E233" i="14" s="1"/>
  <c r="C235" i="14"/>
  <c r="D264" i="14"/>
  <c r="C264" i="14" s="1"/>
  <c r="C265" i="14"/>
  <c r="L250" i="14"/>
  <c r="V250" i="14" s="1"/>
  <c r="M249" i="14"/>
  <c r="L249" i="14" s="1"/>
  <c r="B233" i="14"/>
  <c r="I280" i="14"/>
  <c r="J279" i="14"/>
  <c r="I279" i="14" s="1"/>
  <c r="M234" i="14"/>
  <c r="L235" i="14"/>
  <c r="P264" i="14"/>
  <c r="O264" i="14" s="1"/>
  <c r="O265" i="14"/>
  <c r="K264" i="14"/>
  <c r="F257" i="14"/>
  <c r="G249" i="14"/>
  <c r="J294" i="14"/>
  <c r="I294" i="14" s="1"/>
  <c r="I265" i="14"/>
  <c r="J264" i="14"/>
  <c r="C257" i="14"/>
  <c r="D249" i="14"/>
  <c r="S249" i="14"/>
  <c r="R250" i="14"/>
  <c r="D279" i="14"/>
  <c r="C279" i="14" s="1"/>
  <c r="C280" i="14"/>
  <c r="D294" i="14"/>
  <c r="C294" i="14" s="1"/>
  <c r="C295" i="14"/>
  <c r="P279" i="14"/>
  <c r="O279" i="14" s="1"/>
  <c r="O280" i="14"/>
  <c r="P249" i="14"/>
  <c r="S279" i="14"/>
  <c r="R279" i="14" s="1"/>
  <c r="R280" i="14"/>
  <c r="G264" i="14"/>
  <c r="F264" i="14" s="1"/>
  <c r="F265" i="14"/>
  <c r="B294" i="14"/>
  <c r="O235" i="14"/>
  <c r="Q234" i="14"/>
  <c r="Q233" i="14" s="1"/>
  <c r="I272" i="14"/>
  <c r="J249" i="14"/>
  <c r="I249" i="14" s="1"/>
  <c r="P218" i="14"/>
  <c r="O218" i="14" s="1"/>
  <c r="O219" i="14"/>
  <c r="F219" i="14"/>
  <c r="H218" i="14"/>
  <c r="F218" i="14" s="1"/>
  <c r="H197" i="14"/>
  <c r="F197" i="14" s="1"/>
  <c r="F198" i="14"/>
  <c r="P197" i="14"/>
  <c r="O198" i="14"/>
  <c r="D218" i="14"/>
  <c r="C218" i="14" s="1"/>
  <c r="C219" i="14"/>
  <c r="D197" i="14"/>
  <c r="C198" i="14"/>
  <c r="T218" i="14"/>
  <c r="R218" i="14" s="1"/>
  <c r="R219" i="14"/>
  <c r="T197" i="14"/>
  <c r="R198" i="14"/>
  <c r="H152" i="14"/>
  <c r="F153" i="14"/>
  <c r="L152" i="14"/>
  <c r="D167" i="14"/>
  <c r="C167" i="14" s="1"/>
  <c r="C168" i="14"/>
  <c r="I168" i="14"/>
  <c r="J167" i="14"/>
  <c r="I167" i="14" s="1"/>
  <c r="V194" i="14"/>
  <c r="T167" i="14"/>
  <c r="R167" i="14" s="1"/>
  <c r="P167" i="14"/>
  <c r="O167" i="14" s="1"/>
  <c r="O168" i="14"/>
  <c r="V172" i="14"/>
  <c r="R168" i="14"/>
  <c r="H182" i="14"/>
  <c r="F182" i="14" s="1"/>
  <c r="F183" i="14"/>
  <c r="B167" i="14"/>
  <c r="I153" i="14"/>
  <c r="J152" i="14"/>
  <c r="D182" i="14"/>
  <c r="C182" i="14" s="1"/>
  <c r="C183" i="14"/>
  <c r="P152" i="14"/>
  <c r="O153" i="14"/>
  <c r="T152" i="14"/>
  <c r="R153" i="14"/>
  <c r="I183" i="14"/>
  <c r="J182" i="14"/>
  <c r="I182" i="14" s="1"/>
  <c r="P182" i="14"/>
  <c r="O182" i="14" s="1"/>
  <c r="O183" i="14"/>
  <c r="B182" i="14"/>
  <c r="V164" i="14"/>
  <c r="H167" i="14"/>
  <c r="F168" i="14"/>
  <c r="B152" i="14"/>
  <c r="V187" i="14"/>
  <c r="V179" i="14"/>
  <c r="D152" i="14"/>
  <c r="C153" i="14"/>
  <c r="T136" i="14"/>
  <c r="R136" i="14" s="1"/>
  <c r="R137" i="14"/>
  <c r="R122" i="14"/>
  <c r="T121" i="14"/>
  <c r="R121" i="14" s="1"/>
  <c r="P136" i="14"/>
  <c r="O136" i="14" s="1"/>
  <c r="O137" i="14"/>
  <c r="P121" i="14"/>
  <c r="O121" i="14" s="1"/>
  <c r="O122" i="14"/>
  <c r="P106" i="14"/>
  <c r="O107" i="14"/>
  <c r="H121" i="14"/>
  <c r="F121" i="14" s="1"/>
  <c r="F122" i="14"/>
  <c r="F107" i="14"/>
  <c r="H106" i="14"/>
  <c r="R107" i="14"/>
  <c r="T106" i="14"/>
  <c r="F137" i="14"/>
  <c r="H136" i="14"/>
  <c r="F136" i="14" s="1"/>
  <c r="D136" i="14"/>
  <c r="C136" i="14" s="1"/>
  <c r="C137" i="14"/>
  <c r="D121" i="14"/>
  <c r="C121" i="14" s="1"/>
  <c r="C122" i="14"/>
  <c r="D106" i="14"/>
  <c r="C107" i="14"/>
  <c r="B58" i="14"/>
  <c r="P89" i="14"/>
  <c r="O89" i="14" s="1"/>
  <c r="O90" i="14"/>
  <c r="B74" i="14"/>
  <c r="D74" i="14"/>
  <c r="C75" i="14"/>
  <c r="V79" i="14"/>
  <c r="M74" i="14"/>
  <c r="L75" i="14"/>
  <c r="B89" i="14"/>
  <c r="C59" i="14"/>
  <c r="S58" i="14"/>
  <c r="G58" i="14"/>
  <c r="F59" i="14"/>
  <c r="P74" i="14"/>
  <c r="O74" i="14" s="1"/>
  <c r="O75" i="14"/>
  <c r="T89" i="14"/>
  <c r="T58" i="14" s="1"/>
  <c r="N59" i="14"/>
  <c r="V94" i="14"/>
  <c r="V67" i="14"/>
  <c r="H89" i="14"/>
  <c r="F89" i="14" s="1"/>
  <c r="F90" i="14"/>
  <c r="V101" i="14"/>
  <c r="O60" i="14"/>
  <c r="P59" i="14"/>
  <c r="R90" i="14"/>
  <c r="F60" i="14"/>
  <c r="H74" i="14"/>
  <c r="F74" i="14" s="1"/>
  <c r="D43" i="14"/>
  <c r="C43" i="14" s="1"/>
  <c r="C44" i="14"/>
  <c r="P43" i="14"/>
  <c r="O43" i="14" s="1"/>
  <c r="O44" i="14"/>
  <c r="P28" i="14"/>
  <c r="O28" i="14" s="1"/>
  <c r="O29" i="14"/>
  <c r="D28" i="14"/>
  <c r="C29" i="14"/>
  <c r="R29" i="14"/>
  <c r="T28" i="14"/>
  <c r="R28" i="14" s="1"/>
  <c r="H28" i="14"/>
  <c r="F28" i="14" s="1"/>
  <c r="F29" i="14"/>
  <c r="I21" i="14"/>
  <c r="I15" i="14"/>
  <c r="E14" i="14"/>
  <c r="R18" i="14"/>
  <c r="F25" i="14"/>
  <c r="Q21" i="14"/>
  <c r="M21" i="14"/>
  <c r="L21" i="14" s="1"/>
  <c r="F18" i="14"/>
  <c r="L18" i="14"/>
  <c r="Q14" i="14"/>
  <c r="I22" i="14"/>
  <c r="E21" i="14"/>
  <c r="R25" i="14"/>
  <c r="V20" i="14"/>
  <c r="V24" i="14"/>
  <c r="V26" i="14"/>
  <c r="V19" i="14"/>
  <c r="V23" i="14"/>
  <c r="V16" i="14"/>
  <c r="V17" i="14"/>
  <c r="V27" i="14"/>
  <c r="L14" i="14"/>
  <c r="V22" i="14"/>
  <c r="H14" i="14"/>
  <c r="P14" i="14"/>
  <c r="T14" i="14"/>
  <c r="D21" i="14"/>
  <c r="C21" i="14" s="1"/>
  <c r="H21" i="14"/>
  <c r="P21" i="14"/>
  <c r="T21" i="14"/>
  <c r="R152" i="14" l="1"/>
  <c r="L182" i="14"/>
  <c r="F21" i="14"/>
  <c r="C74" i="14"/>
  <c r="K105" i="14"/>
  <c r="V287" i="14"/>
  <c r="N151" i="14"/>
  <c r="K233" i="14"/>
  <c r="K104" i="14" s="1"/>
  <c r="K10" i="14" s="1"/>
  <c r="K58" i="14"/>
  <c r="T233" i="14"/>
  <c r="O58" i="15"/>
  <c r="E10" i="15"/>
  <c r="J12" i="14"/>
  <c r="F234" i="15"/>
  <c r="I14" i="14"/>
  <c r="G13" i="14"/>
  <c r="G12" i="14" s="1"/>
  <c r="G11" i="14" s="1"/>
  <c r="Q13" i="14"/>
  <c r="Q12" i="14" s="1"/>
  <c r="V190" i="14"/>
  <c r="S13" i="14"/>
  <c r="S12" i="14" s="1"/>
  <c r="R21" i="14"/>
  <c r="I13" i="14"/>
  <c r="E13" i="14"/>
  <c r="E12" i="14" s="1"/>
  <c r="K11" i="14"/>
  <c r="B13" i="14"/>
  <c r="B12" i="14" s="1"/>
  <c r="B11" i="14" s="1"/>
  <c r="B10" i="14" s="1"/>
  <c r="V121" i="15"/>
  <c r="N10" i="15"/>
  <c r="E104" i="14"/>
  <c r="L58" i="15"/>
  <c r="V15" i="14"/>
  <c r="I121" i="14"/>
  <c r="C28" i="14"/>
  <c r="V294" i="14"/>
  <c r="D233" i="14"/>
  <c r="Q104" i="14"/>
  <c r="O21" i="14"/>
  <c r="V21" i="14" s="1"/>
  <c r="V257" i="14"/>
  <c r="G233" i="14"/>
  <c r="G104" i="14" s="1"/>
  <c r="C12" i="15"/>
  <c r="V59" i="15"/>
  <c r="R234" i="15"/>
  <c r="H11" i="15"/>
  <c r="H10" i="15" s="1"/>
  <c r="F12" i="15"/>
  <c r="V74" i="15"/>
  <c r="V153" i="15"/>
  <c r="V13" i="15"/>
  <c r="G104" i="15"/>
  <c r="F104" i="15" s="1"/>
  <c r="F105" i="15"/>
  <c r="O12" i="15"/>
  <c r="P11" i="15"/>
  <c r="L105" i="15"/>
  <c r="M104" i="15"/>
  <c r="L104" i="15" s="1"/>
  <c r="D11" i="15"/>
  <c r="V199" i="15"/>
  <c r="P152" i="15"/>
  <c r="O198" i="15"/>
  <c r="O105" i="15"/>
  <c r="Q104" i="15"/>
  <c r="G11" i="15"/>
  <c r="F58" i="15"/>
  <c r="M11" i="15"/>
  <c r="L12" i="15"/>
  <c r="L234" i="15"/>
  <c r="D152" i="15"/>
  <c r="C198" i="15"/>
  <c r="S11" i="15"/>
  <c r="R58" i="15"/>
  <c r="J11" i="15"/>
  <c r="I12" i="15"/>
  <c r="S104" i="15"/>
  <c r="R104" i="15" s="1"/>
  <c r="R105" i="15"/>
  <c r="V106" i="15"/>
  <c r="V235" i="15"/>
  <c r="J104" i="15"/>
  <c r="I104" i="15" s="1"/>
  <c r="I105" i="15"/>
  <c r="B11" i="15"/>
  <c r="Q11" i="15"/>
  <c r="J233" i="14"/>
  <c r="D13" i="14"/>
  <c r="D12" i="14" s="1"/>
  <c r="R234" i="14"/>
  <c r="S233" i="14"/>
  <c r="S104" i="14" s="1"/>
  <c r="V295" i="14"/>
  <c r="J105" i="14"/>
  <c r="I105" i="14" s="1"/>
  <c r="Q11" i="14"/>
  <c r="L106" i="14"/>
  <c r="N105" i="14"/>
  <c r="L105" i="14" s="1"/>
  <c r="E11" i="14"/>
  <c r="J58" i="14"/>
  <c r="I58" i="14" s="1"/>
  <c r="I12" i="14"/>
  <c r="V18" i="14"/>
  <c r="M13" i="14"/>
  <c r="M12" i="14" s="1"/>
  <c r="V25" i="14"/>
  <c r="R58" i="14"/>
  <c r="V168" i="14"/>
  <c r="P233" i="14"/>
  <c r="M233" i="14"/>
  <c r="M104" i="14" s="1"/>
  <c r="L121" i="14"/>
  <c r="V121" i="14" s="1"/>
  <c r="S11" i="14"/>
  <c r="L151" i="14"/>
  <c r="R197" i="14"/>
  <c r="T151" i="14"/>
  <c r="C197" i="14"/>
  <c r="D151" i="14"/>
  <c r="C151" i="14" s="1"/>
  <c r="O197" i="14"/>
  <c r="P151" i="14"/>
  <c r="O151" i="14" s="1"/>
  <c r="I197" i="14"/>
  <c r="J151" i="14"/>
  <c r="V90" i="14"/>
  <c r="V219" i="14"/>
  <c r="V183" i="14"/>
  <c r="V137" i="14"/>
  <c r="V153" i="14"/>
  <c r="V198" i="14"/>
  <c r="V60" i="14"/>
  <c r="F167" i="14"/>
  <c r="V167" i="14" s="1"/>
  <c r="H151" i="14"/>
  <c r="F151" i="14" s="1"/>
  <c r="V107" i="14"/>
  <c r="V28" i="14"/>
  <c r="V43" i="14"/>
  <c r="V279" i="14"/>
  <c r="C234" i="14"/>
  <c r="I264" i="14"/>
  <c r="V265" i="14"/>
  <c r="O249" i="14"/>
  <c r="R249" i="14"/>
  <c r="L234" i="14"/>
  <c r="V264" i="14"/>
  <c r="O234" i="14"/>
  <c r="F249" i="14"/>
  <c r="F233" i="14"/>
  <c r="V280" i="14"/>
  <c r="C249" i="14"/>
  <c r="C233" i="14"/>
  <c r="V235" i="14"/>
  <c r="V218" i="14"/>
  <c r="V182" i="14"/>
  <c r="C152" i="14"/>
  <c r="B151" i="14"/>
  <c r="I152" i="14"/>
  <c r="O152" i="14"/>
  <c r="F152" i="14"/>
  <c r="D105" i="14"/>
  <c r="C106" i="14"/>
  <c r="V136" i="14"/>
  <c r="V122" i="14"/>
  <c r="H105" i="14"/>
  <c r="F105" i="14" s="1"/>
  <c r="F106" i="14"/>
  <c r="T105" i="14"/>
  <c r="R105" i="14" s="1"/>
  <c r="R106" i="14"/>
  <c r="P105" i="14"/>
  <c r="O106" i="14"/>
  <c r="O59" i="14"/>
  <c r="P58" i="14"/>
  <c r="O58" i="14" s="1"/>
  <c r="D58" i="14"/>
  <c r="C58" i="14" s="1"/>
  <c r="R89" i="14"/>
  <c r="H58" i="14"/>
  <c r="F58" i="14" s="1"/>
  <c r="N58" i="14"/>
  <c r="N11" i="14" s="1"/>
  <c r="L59" i="14"/>
  <c r="L74" i="14"/>
  <c r="V74" i="14" s="1"/>
  <c r="M58" i="14"/>
  <c r="V89" i="14"/>
  <c r="V75" i="14"/>
  <c r="V44" i="14"/>
  <c r="V29" i="14"/>
  <c r="C14" i="14"/>
  <c r="T13" i="14"/>
  <c r="T12" i="14" s="1"/>
  <c r="T11" i="14" s="1"/>
  <c r="R14" i="14"/>
  <c r="P13" i="14"/>
  <c r="P12" i="14" s="1"/>
  <c r="O14" i="14"/>
  <c r="H13" i="14"/>
  <c r="H12" i="14" s="1"/>
  <c r="F14" i="14"/>
  <c r="V58" i="15" l="1"/>
  <c r="V234" i="15"/>
  <c r="I233" i="14"/>
  <c r="Q10" i="14"/>
  <c r="H11" i="14"/>
  <c r="E10" i="14"/>
  <c r="C12" i="14"/>
  <c r="R233" i="14"/>
  <c r="J104" i="14"/>
  <c r="I104" i="14" s="1"/>
  <c r="L13" i="14"/>
  <c r="G10" i="14"/>
  <c r="V197" i="14"/>
  <c r="V12" i="15"/>
  <c r="S10" i="14"/>
  <c r="L233" i="14"/>
  <c r="V198" i="15"/>
  <c r="Q10" i="15"/>
  <c r="O11" i="15"/>
  <c r="C11" i="15"/>
  <c r="J10" i="15"/>
  <c r="I10" i="15" s="1"/>
  <c r="I11" i="15"/>
  <c r="S10" i="15"/>
  <c r="R10" i="15" s="1"/>
  <c r="R11" i="15"/>
  <c r="G10" i="15"/>
  <c r="F10" i="15" s="1"/>
  <c r="F11" i="15"/>
  <c r="P104" i="15"/>
  <c r="O104" i="15" s="1"/>
  <c r="O152" i="15"/>
  <c r="V105" i="15"/>
  <c r="B10" i="15"/>
  <c r="C152" i="15"/>
  <c r="D104" i="15"/>
  <c r="C104" i="15" s="1"/>
  <c r="M10" i="15"/>
  <c r="L10" i="15" s="1"/>
  <c r="L11" i="15"/>
  <c r="V249" i="14"/>
  <c r="F12" i="14"/>
  <c r="M11" i="14"/>
  <c r="M10" i="14" s="1"/>
  <c r="J11" i="14"/>
  <c r="T104" i="14"/>
  <c r="R104" i="14" s="1"/>
  <c r="N104" i="14"/>
  <c r="L104" i="14" s="1"/>
  <c r="D11" i="14"/>
  <c r="L58" i="14"/>
  <c r="V58" i="14" s="1"/>
  <c r="P11" i="14"/>
  <c r="P10" i="14" s="1"/>
  <c r="O10" i="14" s="1"/>
  <c r="O12" i="14"/>
  <c r="H104" i="14"/>
  <c r="F104" i="14" s="1"/>
  <c r="R151" i="14"/>
  <c r="I151" i="14"/>
  <c r="V152" i="14"/>
  <c r="O105" i="14"/>
  <c r="P104" i="14"/>
  <c r="O104" i="14" s="1"/>
  <c r="C105" i="14"/>
  <c r="V105" i="14" s="1"/>
  <c r="D104" i="14"/>
  <c r="C104" i="14" s="1"/>
  <c r="V59" i="14"/>
  <c r="O233" i="14"/>
  <c r="V233" i="14" s="1"/>
  <c r="V234" i="14"/>
  <c r="V151" i="14"/>
  <c r="V106" i="14"/>
  <c r="L12" i="14"/>
  <c r="L11" i="14"/>
  <c r="O13" i="14"/>
  <c r="V14" i="14"/>
  <c r="F13" i="14"/>
  <c r="R13" i="14"/>
  <c r="C13" i="14"/>
  <c r="H10" i="14" l="1"/>
  <c r="F10" i="14"/>
  <c r="I11" i="14"/>
  <c r="J10" i="14"/>
  <c r="I10" i="14" s="1"/>
  <c r="C11" i="14"/>
  <c r="D10" i="14"/>
  <c r="C10" i="14" s="1"/>
  <c r="T10" i="14"/>
  <c r="R10" i="14" s="1"/>
  <c r="N10" i="14"/>
  <c r="L10" i="14" s="1"/>
  <c r="V11" i="15"/>
  <c r="V104" i="15"/>
  <c r="V152" i="15"/>
  <c r="D10" i="15"/>
  <c r="C10" i="15" s="1"/>
  <c r="P10" i="15"/>
  <c r="O10" i="15" s="1"/>
  <c r="V104" i="14"/>
  <c r="F11" i="14"/>
  <c r="R12" i="14"/>
  <c r="R11" i="14"/>
  <c r="O11" i="14"/>
  <c r="V13" i="14"/>
  <c r="V10" i="14" l="1"/>
  <c r="V10" i="15"/>
  <c r="V11" i="14"/>
  <c r="V1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0" authorId="0" shapeId="0" xr:uid="{8F4CA0F9-45F0-4D1B-ADA3-EAF6EE9720D6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G10" authorId="0" shapeId="0" xr:uid="{FC911825-A8F1-4F7C-874B-2B6771B918CD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F11" authorId="0" shapeId="0" xr:uid="{AFAD366D-CBAB-4F7D-A5B8-8A1B66CE4B3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G11" authorId="0" shapeId="0" xr:uid="{9B64AF65-89E4-4696-98C2-06672641B2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G19" authorId="0" shapeId="0" xr:uid="{C030633D-35CD-4BFB-9D7F-C70A0E446EFF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G25" authorId="0" shapeId="0" xr:uid="{9EADA666-4C6E-46E9-868F-A2DDC5B8CC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G26" authorId="0" shapeId="0" xr:uid="{2CEDCD90-7B82-4A0F-B777-21D364894D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6" authorId="0" shapeId="0" xr:uid="{F20EC95D-AC3B-4679-8FD2-75FB6A2604DB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G6" authorId="0" shapeId="0" xr:uid="{DC06C52A-585F-4F12-9A09-E677D68A656C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F7" authorId="0" shapeId="0" xr:uid="{B10886B6-9C8E-4727-854F-CC8AA7850DB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G7" authorId="0" shapeId="0" xr:uid="{CC7233BE-A716-48C6-ABA2-C737EB53EC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F15" authorId="0" shapeId="0" xr:uid="{D0AB1F8C-E00E-49A2-BBDB-346040AE1653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G15" authorId="0" shapeId="0" xr:uid="{329B0DBB-C4F7-4338-9DFB-8CB61B8621E9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F21" authorId="0" shapeId="0" xr:uid="{051E9368-99BB-491A-8C8B-9E2C875821B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G21" authorId="0" shapeId="0" xr:uid="{E7ACA2E5-3368-4890-9728-8F8C92BA7EE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F22" authorId="0" shapeId="0" xr:uid="{686FCBF5-B7C6-45F8-8E52-37A62DE3878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  <comment ref="G22" authorId="0" shapeId="0" xr:uid="{D8D729F1-9AE2-480B-B063-2B54798430D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3" authorId="0" shapeId="0" xr:uid="{047859C5-36D1-49CF-8916-A74FE575A9D0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F14" authorId="0" shapeId="0" xr:uid="{4A763E4A-854B-4ADD-BE6F-A5BF97B530A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F22" authorId="0" shapeId="0" xr:uid="{10CC4006-8751-482A-8A68-19B900FAB139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F28" authorId="0" shapeId="0" xr:uid="{9B319D5D-1C0E-4F82-BF01-8FB7C56B08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F29" authorId="0" shapeId="0" xr:uid="{EF01FA64-9830-4245-A794-FBCE99EDA5F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0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B11" authorId="0" shapeId="0" xr:uid="{508EF655-2510-422D-AC0A-56A270B6995C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12" authorId="0" shapeId="0" xr:uid="{5F6CD40E-AE18-4BFF-A043-6BB0BB8A68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B13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តែសុំដកធ្វើឃ្លាំងចេញ</t>
        </r>
      </text>
    </comment>
    <comment ref="B14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បានលុប គម្រោងជួសជុលរបស់មន្ទិរមួយចំនួន
</t>
        </r>
      </text>
    </comment>
    <comment ref="B15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(មន្ទីរភ្នំពេញលែងស្នើទីញដី)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4" authorId="0" shapeId="0" xr:uid="{5EDCA696-406B-4988-945E-340900932661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15" authorId="0" shapeId="0" xr:uid="{2F7B1AD7-AEC6-4325-879E-A19952B638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B23" authorId="0" shapeId="0" xr:uid="{16AAEF47-ADB8-4DB3-9008-E5E64E808B51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B2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B30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4" authorId="0" shapeId="0" xr:uid="{4DD4F3AC-7A8A-466F-BDCD-27B25890A6A2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15" authorId="0" shapeId="0" xr:uid="{1493FB38-12C9-457B-BB9C-25E40A8F6AD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  <comment ref="B23" authorId="0" shapeId="0" xr:uid="{1869F954-1D81-49C9-BE4F-4B89F9022917}">
      <text>
        <r>
          <rPr>
            <b/>
            <sz val="9"/>
            <color indexed="81"/>
            <rFont val="Tahoma"/>
            <family val="2"/>
          </rPr>
          <t xml:space="preserve">Phan Pha:គម្រោងថ្មី
</t>
        </r>
      </text>
    </comment>
    <comment ref="B29" authorId="0" shapeId="0" xr:uid="{AD5A3699-BF62-4E6E-914B-9B360BB063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</t>
        </r>
      </text>
    </comment>
    <comment ref="B30" authorId="0" shapeId="0" xr:uid="{666ACF15-A34C-4474-86F5-05E5860C1B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ចាស់ និងបានលុបចោលគម្រោងស្នើទិញដី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0" authorId="0" shapeId="0" xr:uid="{0654BDEC-3C3D-4D9A-BFD2-5CD0AB9D67CC}">
      <text>
        <r>
          <rPr>
            <b/>
            <sz val="9"/>
            <color indexed="81"/>
            <rFont val="Tahoma"/>
            <family val="2"/>
          </rPr>
          <t xml:space="preserve">កែសម្រួល ពី សាខាពន្ធខណ្ឌ0១ និង ខេត្ត៣ តម្លៃសរុប 2400 
</t>
        </r>
      </text>
    </comment>
    <comment ref="B21" authorId="0" shapeId="0" xr:uid="{CB1B9601-E6C8-4E16-B146-5B1B0DFAF8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ប្តូរពី ពង្រីកពន្ឌដារខណ្ឌចំការមន និង សាខាពន្ធ ៤ ខេត្ត៥ តម្លៃ 775
</t>
        </r>
      </text>
    </comment>
  </commentList>
</comments>
</file>

<file path=xl/sharedStrings.xml><?xml version="1.0" encoding="utf-8"?>
<sst xmlns="http://schemas.openxmlformats.org/spreadsheetml/2006/main" count="1782" uniqueCount="348">
  <si>
    <t>ឈ្មោះគម្រោង</t>
  </si>
  <si>
    <t>តម្លៃគម្រោង</t>
  </si>
  <si>
    <t>I. សរុបគម្រោងកំពុងដំណើរការ</t>
  </si>
  <si>
    <t>-គម្រោងវិនិយោគជាទុន</t>
  </si>
  <si>
    <t>-គម្រោងជំនួយបច្ចេកទេស</t>
  </si>
  <si>
    <t>១.គម្រោង......</t>
  </si>
  <si>
    <t>២.គម្រោង......</t>
  </si>
  <si>
    <t>៣.គម្រោង......</t>
  </si>
  <si>
    <t>៤.គម្រោង......</t>
  </si>
  <si>
    <t>II. សរុបគម្រោងស្នើសុំថ្មី (ដើម្បីអនុវត្ត ផ.យ.អ.ជ)</t>
  </si>
  <si>
    <t>សរុប</t>
  </si>
  <si>
    <t>ផ្សេងៗ</t>
  </si>
  <si>
    <t>ឯកតា៖លានរៀល</t>
  </si>
  <si>
    <t>ហិរ.ក្រៅប្រ/ទ</t>
  </si>
  <si>
    <t>គម្រោងស្នើសុំ</t>
  </si>
  <si>
    <t>គម្រោងអនុម័ត</t>
  </si>
  <si>
    <t>ឆ្នាំ២០១៧</t>
  </si>
  <si>
    <t>ចំណាយ​អនុវត្តជាក់ស្ដែង</t>
  </si>
  <si>
    <t>ឆ្នាំ២០១៨</t>
  </si>
  <si>
    <t>ហិរ.ក្នុងប្រ/ទ</t>
  </si>
  <si>
    <t>សម្រង់ស្ថានភាព​គម្រោងវិនិយោគសាធារណៈ ឆ្នាំ២០១៧-២០១៨ នៃក្រសួងសេដ្ឋកិច្ចនិងហិរញ្ញវត្ថុ</t>
  </si>
  <si>
    <t>ឆ្នាំ២០១៩</t>
  </si>
  <si>
    <t>គោលបំណងគោលនយោបាយទី១</t>
  </si>
  <si>
    <t>កម្មវិធីទី១</t>
  </si>
  <si>
    <t>អនុកម្មវិធីទី១.១ (អគ្គនាយកដ្ឋានគោលនយោបាយ)</t>
  </si>
  <si>
    <t>អនុកម្មវិធីទី១.២ (ឧត្តមក្រុមប្រឹក្សាសេដ្ឋកិច្ចជាតិ)</t>
  </si>
  <si>
    <t>អនុកម្មវិធីទី១.៣ (លេខាធិការដ្ឋាន គ.ផ.ក)</t>
  </si>
  <si>
    <t>កម្មវិធីទី២</t>
  </si>
  <si>
    <t>អនុកម្មវិធីទី២.១ (អគ្គនាយកដ្ឋានឧស្សាហកម្មហិរ)</t>
  </si>
  <si>
    <t>អនុកម្មវិធីទី២.២ (ក្រុមប្រឹក្សាជាតិគណនេយ្យ)</t>
  </si>
  <si>
    <t>អនុកម្មវិធីទី២.៣ (គណៈកម្មការមូលបត្រកម្ពុជា)</t>
  </si>
  <si>
    <t>កម្មវិធីទី៣</t>
  </si>
  <si>
    <t>អនុកម្មវិធីទី៣.១ (អគ្គនាយកដ្ឋានគយនិងរដ្ឋាករកម្ពុជា)</t>
  </si>
  <si>
    <t>អនុកម្មវិធីទី៣.២ (អគ្គនាយកដ្ឋានពន្ធដារ)</t>
  </si>
  <si>
    <t>អនុកម្មវិធីទី៣.៣ (អគ្គនាយកដ្ឋានទ្រព្យសម្បត្តិរដ្ឋ និងចំណូលមិនមែនសារពើពន្ធ)</t>
  </si>
  <si>
    <t>កម្មវិធីទី៤</t>
  </si>
  <si>
    <t>អនុកម្មវិធីទី៤.១ (អគ្គនាយកដ្ឋានថវិកា)</t>
  </si>
  <si>
    <t>អនុកម្មវិធីទី៤.២ (អគ្គនាយកដ្ឋានហិរញ្ញវត្ថុរដ្ឋបាលថ្នាក់ក្រោមជាតិ)</t>
  </si>
  <si>
    <t>អនុកម្មវិធីទី៤.៣ (អគ្គនាយកដ្ឋានលទ្ធកម្មសាធារណៈ)</t>
  </si>
  <si>
    <t>អនុកម្មវិធីទី៤.៤ (អគ្គនាយកដ្ឋានរតនាគារជាតិ)</t>
  </si>
  <si>
    <t>អនុកម្មវិធីទី៤.៥ (អគ្គនាយកដ្ឋានសហប្រតិបត្តិការនិងគ្រប់គ្រងបំណុល)</t>
  </si>
  <si>
    <t>កម្មវិធីទី៥</t>
  </si>
  <si>
    <t>អនុកម្មវិធីទី៥.១ (អ.គ.ហ)</t>
  </si>
  <si>
    <t>អនុកម្មវិធីទី៥.២ (អគ្គលេខាធិការដ្ឋានកសហវ.)</t>
  </si>
  <si>
    <t>អនុកម្មវិធីទី៥.៣ (មសហវ.រាជធានី ខេត្ត)</t>
  </si>
  <si>
    <t>អនុកម្មវិធីទី៥.៤ (អគ្គនាយកដ្ឋានសវនកម្មផ្ទៃក្នុង)</t>
  </si>
  <si>
    <t>អនុកម្មវិធីទី៥.៥ (អគ្គាធិការដ្ឋាន)</t>
  </si>
  <si>
    <t>អនុកម្មវិធីទី៥.៦ (វិទ្យាស្ថានសេដ្ឋកិច្ចនិងហិរញ្ញវត្ថុ)</t>
  </si>
  <si>
    <t>អនុកម្មវិធីទី៥.៧ (អគ្គនាយកដ្ឋានដោះស្រាយផលប៉ះពាល់ដោយសារគម្រោងអភិវឌ្ឍន៍)</t>
  </si>
  <si>
    <t>គោលបំណងគោលនយោបាយទី២</t>
  </si>
  <si>
    <t>១.គម្រោងលើកកម្ពស់ហេដ្ឋារចនាសម្ព័ន្ធសេវា​សាធារណៈរបស់អគ្គនាយកដ្ឋានគយនិងរដ្ឋាករកម្ពុជា</t>
  </si>
  <si>
    <t>១.គម្រោងកំណែទម្រង់វិមជ្ឈការសេវាសាធារណៈនិងហិរញ្ញវត្ថុ (អនុកម្មវិធីទី២)</t>
  </si>
  <si>
    <t>១.គម្រោងសាងសង់អគារការិយាល័យនិងឃ្លាំងដាក់សម្ភារៈ</t>
  </si>
  <si>
    <t xml:space="preserve"> - រតនាគារខេត្តត្បូងឃ្មុំ</t>
  </si>
  <si>
    <t xml:space="preserve"> - រតនាគារខេត្តស្វាយរៀង</t>
  </si>
  <si>
    <t xml:space="preserve"> - រតនាគារខេត្តស្ទឹងត្រែង</t>
  </si>
  <si>
    <t xml:space="preserve"> - រតនាគារខេត្តពោធិ៍សាត់</t>
  </si>
  <si>
    <t xml:space="preserve"> - រតនាគារខេត្តតាកែវ</t>
  </si>
  <si>
    <t xml:space="preserve"> - រតនាគារខេត្តបាត់ដំបង</t>
  </si>
  <si>
    <t>១.គម្រោងទំនើបកម្មការគ្រប់គ្រងហិរញ្ញវត្ថុសាធារណៈ</t>
  </si>
  <si>
    <t>១.គម្រោងសាងសង់អគារសាខាពន្ធដារខេត្តឧត្តរមានជ័យ</t>
  </si>
  <si>
    <t>សរុបក្រសួងសេដ្ឋកិច្ចនិងហិរញ្ញវត្ថុ</t>
  </si>
  <si>
    <t>២.គម្រោងប្រព័ន្ធបញ្ជរជាតិតែមួយ</t>
  </si>
  <si>
    <t>១.គម្រោងសាច់ប្រាក់ពលកម្មសម្រាប់អភិវឌ្ឍហេដ្ឋា​រចនាសម្ព័ន្ធជនបទនិងការគាំទ្រកសិករ</t>
  </si>
  <si>
    <t>២.គម្រោងសាងសង់អគារចំណតរថយន្ត</t>
  </si>
  <si>
    <t>៣.គម្រោងកសាងសមត្ថភាពការអភិវឌ្ឍភាពជាដៃគូ​រវាងរដ្ឋនិងវិស័យឯកជន</t>
  </si>
  <si>
    <t>៤.គម្រោងអភិវឌ្ឍន៍ចំណេះដឹងនិងយុទ្ធសាស្រ្តរវាងរាជរដ្ឋាភិបាលនិងធនាគារអភិវឌ្ឍន៍អាស៊ី</t>
  </si>
  <si>
    <t>៣.គម្រោងពង្រឹងការគ្រប់គ្រងហិរញ្ញវត្ថុសាធារណៈ</t>
  </si>
  <si>
    <t>១.គម្រោងទិញរថយន្តដើម្បីសម្រួលការងាររបស់​មន្ទីរសេដ្ឋកិច្ចនិងហិរញ្ញវត្ថុខេត្តចំនួន៤</t>
  </si>
  <si>
    <t>២.គម្រោងទិញដីនិងសាងសង់មន្ទីរសេដ្ឋកិច្ចនិងហិរញ្ញវត្ថុខេត្តកណ្តាល និងរាជធានីភ្នំពេញ</t>
  </si>
  <si>
    <t>១.គម្រោងទិញដីសម្រាប់សាងសង់អគារសាខាពន្ធដារខណ្ឌពោធិ៍សែនជ័យនិងការិយាល័យនៅខណ្ឌចំនួន ៣</t>
  </si>
  <si>
    <t>៣.គម្រោងបំពាក់បរិក្ខារសាលប្រជុំនៅមន្ទីរសេដ្ឋកិច្ចនិងហិរញ្ញវត្ថុចំនួន ៩</t>
  </si>
  <si>
    <t>៤.គម្រោងទិញបរិក្ខារដើម្បីតភា្ជប់គម្រោងព័ត៌មានវិទ្យាគ្រប់គ្រងហិរញ្ញវត្ថុសាធារណៈសម្រាប់មន្ទីរសេដ្ឋកិច្ចនិងហិរញ្ញវត្ថុចំនួន ២៣ រាជធានី ខេត្ត</t>
  </si>
  <si>
    <t>៥.គម្រោងសាងសង់អគាររដ្ឋបាលនៅមន្ទីរសេដ្ឋកិច្ចនិងហិរញ្ញវត្ថុចំនួន ៣ អគារស្នាក់នៅចំនួន ១ និងសាលប្រជុំចំនួន ១</t>
  </si>
  <si>
    <t>៦.គម្រោងជួសជុលអគាររដ្ឋបាលរបស់មន្ទីរសេដ្ឋកិច្ច​និងហិរញ្ញវត្ថុចំនួន ២</t>
  </si>
  <si>
    <t>១.គម្រោងសាងសង់អគារគណៈកម្មការមូលបត្រកម្ពុជា</t>
  </si>
  <si>
    <t>២.គម្រោងសាងសង់អគារសាខាពន្ធដារខេត្តចំនួន ៧​ អគារការិយាល័យក្រុងបាវិត និងអគារសាលាជាតិ ពន្ធដារ</t>
  </si>
  <si>
    <t>៣.គម្រោងជួសជុលនិងកែលម្អសាខាពន្ធដារខេត្ត​ចំនួន១ សាខាពន្ធដារខណ្ឌចំនួន ៧ និងការិយាល័យ​ពន្ធដារចំនួន ២</t>
  </si>
  <si>
    <t>១.គម្រោងសាងសង់ឃ្លាំងរតនាគារនិងរៀបចំកែលម្អ​ដីធ្លីបរិវេណអគារនៃអគ្គនាយកដ្ឋានរតនាគារជាតិនិងរតនាគាររាជធានី ខេត្តចំនួន ១០</t>
  </si>
  <si>
    <t>១.គម្រោងសាងសង់អគារដ្ឋបាល</t>
  </si>
  <si>
    <t>១.គម្រោងកែលម្អអគារនិងបំពាក់សម្ភារៈបរិក្ខារនៅវិទ្យាស្ថានសេដ្ឋកិច្ចនិងហិរញ្ញវត្ថុ</t>
  </si>
  <si>
    <t>១.គម្រោងលើកកម្ពស់ប្រសិទ្ធភាពការងារទប់ស្កាត់និងបង្ក្រាបអំពើរត់គេចពន្ធនិងបទល្មើសឆ្លងដែនពាក់ព័ន្ធនឹងគយ</t>
  </si>
  <si>
    <t>ឯកតា៖ពាន់ដុល្លារអាមេរិក</t>
  </si>
  <si>
    <t>ឈ្មោះកម្មវិធី/ ឈ្មោះអនុកម្មវិធី 
/ឈ្មោះគម្រោង</t>
  </si>
  <si>
    <t>លេខ PIP</t>
  </si>
  <si>
    <t>ស្ថានភាពគម្រោង</t>
  </si>
  <si>
    <t>ប្រភេទគម្រោង</t>
  </si>
  <si>
    <t>ចំណាយប៉ាន់ស្មានសរុប</t>
  </si>
  <si>
    <t>ហិរញ្ញប្បទានសន្យាផ្តល់</t>
  </si>
  <si>
    <t>តម្រូវការហិរញ្ញប្បទានបំពេញបន្ថែម</t>
  </si>
  <si>
    <t>ប្រភព
ហិរញ្ញប្បទាន</t>
  </si>
  <si>
    <t>សរុបរួម 
ក្រសួង​សេដ្ឋ​កិច្ច​និង​ហិរញ្ញវត្ថុ</t>
  </si>
  <si>
    <t>កម្មវិធីទី១៖ ពង្រឹងនិងបង្កើនប្រសិទ្ធភាពនៃការគ្រប់គ្រងសេដ្ឋកិច្ច</t>
  </si>
  <si>
    <t>អនុកម្មវិធី ១.១ ៖ អគ្គនាយកដ្ឋានគោលនយោបាយសេដ្ឋកិច្ច និងហិរញ្ញវត្ថុសាធារណៈ</t>
  </si>
  <si>
    <t>១. គម្រោង................</t>
  </si>
  <si>
    <t>អនុកម្មវិធី ១.២ ៖ គណៈកម្មាធិការផលិតភាពកម្ពុជា</t>
  </si>
  <si>
    <t>អនុកម្មវិធី ១.៣ ៖ ឧត្តមក្រុមប្រឹក្សាសេដ្ឋកិច្ចកម្ពុជា</t>
  </si>
  <si>
    <t>អនុកម្មវិធី ២.១ ៖ អគ្គនាយកដ្ឋានឧស្សាហកម្មហិរញ្ញវត្ថុ</t>
  </si>
  <si>
    <t>អនុកម្មវិធី ២.២ ៖ ក្រុមប្រឹក្សាជាតិគណនេយ្យ</t>
  </si>
  <si>
    <t>អនុកម្មវិធី ២.៣ ៖ គណៈកម្មការមូលបត្រកម្ពុជា</t>
  </si>
  <si>
    <t>១. គម្រោងសាងសង់អគារគណៈកម្មការមូលបត្រកម្ពុជា</t>
  </si>
  <si>
    <t>គម្រោងស្នើសុំថ្មី</t>
  </si>
  <si>
    <t>វិនិយោគជាទុន</t>
  </si>
  <si>
    <t>ហិ.រ ក្រៅប្រទេស ADB</t>
  </si>
  <si>
    <t>កម្មវិធីទី៣៖ ពង្រឹងនិងបង្កើនស័ក្តិសិទ្ធភាពនិងប្រសិទ្ធភាព នៃការគ្រប់គ្រងការកៀរគរចំណូលថវិកាជាតិ និងទ្រព្យសម្បត្តិរដ្ឋ</t>
  </si>
  <si>
    <t>អនុកម្មវិធី ៣.១ ៖ អគ្គនាយកដ្ឋានគយ និងរដ្ឋាករកម្ពុជា</t>
  </si>
  <si>
    <t>គម្រោងកំពុងអនុវត្ត</t>
  </si>
  <si>
    <t>ហិ.រ ក្នុងប្រ/ទ</t>
  </si>
  <si>
    <t>២. គម្រោងប្រព័ន្ធបញ្ជរតែមួយជាតិ</t>
  </si>
  <si>
    <t>៣. គម្រោងលើកកម្ពស់ប្រសិទ្ធភាពការងារទប់ស្កាត់ និងបង្ក្រាបអំពើរត់គេចពន្ធ និងបទល្មើសឆ្លងដែនពាក់ព័ន្ធគយ</t>
  </si>
  <si>
    <t>អនុកម្មវិធី ៣.២ ៖ អគ្គនាយកដ្ឋានពន្ធដារ</t>
  </si>
  <si>
    <t>អនុកម្មវិធី ៣.៣ ៖ អគ្គនាយកដ្ឋានទ្រព្យសម្បត្តិរដ្ឋ និងចំណូលមិនមែនសារពើពន្ធ</t>
  </si>
  <si>
    <t>កម្មវិធីទី៤៖ ពង្រឹងនិងបង្កើនស័ក្តិសិទ្ធភាពនិងប្រសិទ្ធភាព នៃការគ្រប់គ្រងចំណាយសាធារណៈ</t>
  </si>
  <si>
    <t>អនុកម្មវិធី ៤.១ ៖ អគ្គនាយកដ្ឋានថវិកា</t>
  </si>
  <si>
    <t>អនុកម្មវិធី ៤.២ ៖ អគ្គនាយកដ្ឋានហិរញ្ញវត្ថុរដ្ឋបាលថ្នាក់ក្រោមជាតិ</t>
  </si>
  <si>
    <t>អនុកម្មវិធី ៤.៣ ៖ អគ្គនាយកដ្ឋានលទ្ធកម្មសាធារណៈ</t>
  </si>
  <si>
    <t>អនុកម្មវិធី ៤.៤ ៖ អគ្គនាយកដ្ឋានរតនាគារជាតិ</t>
  </si>
  <si>
    <t>អនុកម្មវិធី ៤.៥ ៖ អគ្គនាយកដ្ឋានសហប្រតិបត្តិការអន្តរជាតិ និងគ្រប់គ្រងបំណុល</t>
  </si>
  <si>
    <t>គម្រោងកំពុងដំណើរការ</t>
  </si>
  <si>
    <t>ហិ.រក្នុងប្រ/ទ</t>
  </si>
  <si>
    <t>កម្មវិធីទី៥៖ ពង្រឹងនិងបង្កើនស័ក្តិសិទ្ធភាពនិងប្រសិទ្ធភាព នៃការគាំទ្រទូទៅ និងការធានាគណនេយ្យភាពក្នុងការគ្រប់គ្រងហិរញ្ញវត្ថុសាធារណៈ</t>
  </si>
  <si>
    <t>អនុកម្មវិធី ៥.១ ៖ អគ្គលេខាធិការដ្ឋានគណៈកម្មាធិការដឹកនាំការងារកែទម្រង់ការគ្រប់គ្រងហិរញ្ញវត្ថុសាធារណៈ</t>
  </si>
  <si>
    <t>អនុកម្មវិធី ៥.២ ៖ អគ្គលេខាធិការដ្ឋានក្រសួងសេដ្ឋកិច្ចនិងហិរញ្ញវត្ថុ</t>
  </si>
  <si>
    <t>អនុកម្មវិធី ៥.៣ ៖មន្ទីរសេដ្ឋកិច្ចនិងហិរញ្ញវត្ថុរាជធានី ខេត្ត</t>
  </si>
  <si>
    <t>ច.ស ទី១ ៖ មសហវ ខេត្តបន្ទាយមានជ័យ</t>
  </si>
  <si>
    <t>១. គម្រោងសាងសង់សាលប្រជុំ</t>
  </si>
  <si>
    <t>ច.ស ទី២ ៖ មសហវ ខេត្តបាត់ដំបង</t>
  </si>
  <si>
    <t>២. គម្រោងបំពាក់បរិក្ខារសាលប្រជុំ</t>
  </si>
  <si>
    <t>៤. គម្រោងជួសជុលអគារចាស់ ១</t>
  </si>
  <si>
    <t>ច.ស ទី៣ ៖ មសហវ ខេត្តកំពង់ចាម</t>
  </si>
  <si>
    <t>២. គម្រោងសាងសង់អគាររដ្ឋបាល</t>
  </si>
  <si>
    <t>ច.ស ទី៤ ៖ មសហវ ខេត្តកំពង់ឆ្នាំង</t>
  </si>
  <si>
    <t>ច.ស ទី៥ ៖ មសហវ ខេត្តខេត្តកំពង់ស្ពឺ</t>
  </si>
  <si>
    <t>ច.ស ទី៦ ៖ មសហវ ខេត្តកំពង់ធំ</t>
  </si>
  <si>
    <t>២. គម្រោងជួសជុលអគាររដ្ឋបាល</t>
  </si>
  <si>
    <t>ច.ស ទី៧ ៖ មសហវ ខេត្តកំពត</t>
  </si>
  <si>
    <t>ច.ស ទី៨ ៖ មសហវ ខេត្តកណ្តាល</t>
  </si>
  <si>
    <t>ច.ស ទី៩ ៖ មសហវ ខេត្តកោះកុង</t>
  </si>
  <si>
    <t>ច.ស ទី១០ ៖ មសហវ ខេត្តក្រចេះ</t>
  </si>
  <si>
    <t>ច.ស ទី១១ ៖ មសហវ ខេត្តមណ្ឌលគិរី</t>
  </si>
  <si>
    <t>ច.ស ទី១២ ៖ មសហវ រាជធានីភ្នំពេញ</t>
  </si>
  <si>
    <t>ច.ស ទី១៣ ៖ មសហវ ខេត្តព្រះវិហារ</t>
  </si>
  <si>
    <t>ច.ស ទី១៤ ៖ មសហវ ខេត្តព្រៃវែង</t>
  </si>
  <si>
    <t>ច.ស ទី១៥ ៖ មសហវ ខេត្តពោធិ៍សាត់</t>
  </si>
  <si>
    <t>ច.ស ទី១៦ ៖ មសហវ ខេត្តរតនគិរី</t>
  </si>
  <si>
    <t>២. គម្រោងសាងសង់អគារស្នាក់នៅមន្រ្តី</t>
  </si>
  <si>
    <t>ច.ស ទី១៧ ៖ មសហវ ខេត្តសៀមរាប</t>
  </si>
  <si>
    <t>ច.ស ទី១៨ ៖ មសហវ ខេត្តព្រះសីហនុ</t>
  </si>
  <si>
    <t>ច.ស ទី១៩ ៖ មសហវ ខេត្តស្ទឹងត្រែង</t>
  </si>
  <si>
    <t>ច.ស ទី២០ ៖ មសហវ ខេត្តស្វាយរៀង</t>
  </si>
  <si>
    <t>ច.ស ទី២១ ៖ មសហវ ខេត្តតាកែវ</t>
  </si>
  <si>
    <t>ច.ស ទី២២ ៖ មសហវ ខេត្តឧត្តរមានជ័យ</t>
  </si>
  <si>
    <t>ច.ស ទី២៣ ៖ មសហវ ខេត្តកែប</t>
  </si>
  <si>
    <t>ច.ស ទី២៤ ៖ មសហវ ខេត្តប៉ៃលិន</t>
  </si>
  <si>
    <t>ច.ស ទី២៥ ៖ មសហវ ខេត្តត្បូងឃ្មុំ</t>
  </si>
  <si>
    <t>អនុកម្មវិធី ៥.៤ ៖ អគ្គនាយកដ្ឋានសវនកម្មផ្ទៃក្នុង</t>
  </si>
  <si>
    <t>អនុកម្មវិធី ៥.៥ ៖ អគ្គាធិការដ្ឋាន</t>
  </si>
  <si>
    <t>អនុកម្មវិធី ៥.៦ ៖ វិទ្យាស្ថានសេដ្ឋកិច្ចនិងហិរញ្ញវត្ថុ</t>
  </si>
  <si>
    <t>អនុកម្មវិធី ៥.៧ ៖ អគ្គនាយកដ្ឋានដោះស្រាយផលប៉ះពាល់ដោយសារគម្រោងអភិវឌ្ឍន៍</t>
  </si>
  <si>
    <t>តម្លៃ
គម្រោងស្នើសុំថ្មី</t>
  </si>
  <si>
    <t>តម្លៃគម្រោង​កំពុងដំណើរការ​</t>
  </si>
  <si>
    <t>អង្គភាពថវិកាស្នើសុំ</t>
  </si>
  <si>
    <t>សរុបរួមក្រសួងសេដ្ឋកិច្ចនិងហិរញ្ញវត្ថុ</t>
  </si>
  <si>
    <t>​I.សរុបគម្រោងកំពុងដំណើរការ</t>
  </si>
  <si>
    <t>​-សរុបគម្រោងវិនិយោគទុន</t>
  </si>
  <si>
    <t>​-សរុបគម្រោងជំនួយបច្ចេកទេស</t>
  </si>
  <si>
    <t>២. គម្រោង................</t>
  </si>
  <si>
    <t>​II.សរុបគម្រោងសម្រាប់អនុវត្ត ផយអជ (គម្រោងថ្មី)</t>
  </si>
  <si>
    <t>១. គម្រោងទិញម៉ាស៊ីនភ្លើង</t>
  </si>
  <si>
    <t>២. គម្រោងទិញកុំព្យូទ័រ និងServer</t>
  </si>
  <si>
    <t>២. គម្រោងសាងសង់អគារការិយាល័យ ឃ្លាំងដាក់ឯកសារ សម្ភារៈ និងរោងម៉ាស៊ីន</t>
  </si>
  <si>
    <t>ហិ.រ 
ក្នុងប្រទេស</t>
  </si>
  <si>
    <t xml:space="preserve">២. គម្រោងទិញដីសម្រាប់សាងសង់អគារសាខាពន្ធដារខណ្ឌពោធិ៍សែនជ័យ </t>
  </si>
  <si>
    <t>៣. គម្រោងជួសជុល និងកែលម្អសាខាពន្ធដារខេត្តចំនួន ០៧, សាខាពន្ធដារ ខណ្ឌចំនួន ៧ និងការិយាល័យពន្ធដារ ចំនួន ២</t>
  </si>
  <si>
    <t>៤. គម្រោងអភិវឌ្ឍហេដ្ឋារចនាសម្ព័ន្ធ​ប្រព័ន្ធបច្ចេកវិទ្យាព័ត៌មានដំណាក់កាល​ទី២</t>
  </si>
  <si>
    <t>១.គម្រោងជួសជុលនិងកែលម្អអគារធំ Renovation and Reinforcement of Main Building, Implemented by GDICDM</t>
  </si>
  <si>
    <t>២.គម្រោងសាងសង់ចំណតរថយន្តក្រោមដី Construction of MEF underground car packing, implemented by GDICDM</t>
  </si>
  <si>
    <t>១. គម្រោងទិញកុំព្យូទ័រនិង Server</t>
  </si>
  <si>
    <t>៣. គម្រោងទិញម៉ាស៊ីនភ្លើង</t>
  </si>
  <si>
    <t>២. គម្រោងបំពាក់បរិក្ខារបំពាក់អគារ</t>
  </si>
  <si>
    <t>៣. គម្រោងសាងសង់អគារសម្រាប់ប្រជុំ</t>
  </si>
  <si>
    <t>២. គម្រោងសាងសង់សាលប្រជុំ</t>
  </si>
  <si>
    <t>២. គម្រោងទិញម៉ាស៊ីនភ្លើង</t>
  </si>
  <si>
    <t>៣. គម្រោងទិញគ្រឿងសង្ហារឹមសម្រាប់​រៀបចំសាលប្រជុំ</t>
  </si>
  <si>
    <t>តម្លៃ
គម្រោង ស្នើសុំថ្មី</t>
  </si>
  <si>
    <t>ហិរញ្ញប្បទានបានសន្យាផ្ដល់</t>
  </si>
  <si>
    <t>8=5+6+7</t>
  </si>
  <si>
    <t>13=10+11+12</t>
  </si>
  <si>
    <t>14=5-10</t>
  </si>
  <si>
    <t>15=6-11</t>
  </si>
  <si>
    <t>16=7-12</t>
  </si>
  <si>
    <t>17=14+15+16</t>
  </si>
  <si>
    <t>រាជរដ្ឋាភិបាល</t>
  </si>
  <si>
    <t>ដៃគូអភិវឌ្ឍន៍</t>
  </si>
  <si>
    <t>៤. គម្រោងជួសជុលនិងកែលម្អអគារធំ</t>
  </si>
  <si>
    <t>៥. គម្រោងសាងសង់អគារមូលបត្រកម្ពុជា</t>
  </si>
  <si>
    <t>១. គម្រោងសាងសង់អគាររដ្ឋបាល អគ្គនាយកដ្ឋានសវនកម្មផ្ទៃក្នុង</t>
  </si>
  <si>
    <t>សរុប​៣ឆ្នាំ</t>
  </si>
  <si>
    <t>១. គម្រោងលើកកម្ពស់ហេដ្ឋារចនាសម្ព័ន្ធសាធារណៈ របស់អគ្គនាយកដ្ឋានគយ និងរដ្ឋាករកម្ពុជា</t>
  </si>
  <si>
    <t>១. គម្រោងសាងសង់អគារសាខាពន្ធដារខណ្ឌចំនួន១ ខេត្តចំនួន៦, ការិយាល័យពន្ធដារ១,សាលាជាតិពន្ធដារនិងអគារសាលប្រជុំចំនួន១</t>
  </si>
  <si>
    <t>១. គម្រោងសាង់សង់ហេដ្ឋារចនាសម្ព័ន្ធរបស់រតនាគាររាជធានី-ខេត្ត ទាំង២២​និងឃ្លាំងរក្សាទុកឯកសាររបស់អគ្គនាយកដ្ឋានរតនាគារជាតិ</t>
  </si>
  <si>
    <t>៣.គម្រោងសាងសង់អគាររដ្ឋបាលមន្ទីរសេដ្ឋកិច្ចនិងហិរញ្ញវត្ថុរាជធានី</t>
  </si>
  <si>
    <t>២.គម្រោងទិញដីសាងសង់អគាររដ្ឋបាល មន្ទីរសេដ្ឋកិច្ចនិងហិរញ្ញវត្ថុ</t>
  </si>
  <si>
    <t>៦. គម្រោងលើកកម្ពស់ប្រសិទ្ធភាពការងារទប់ស្កាត់ និងបង្ក្រាបអំពើរត់គេចពន្ធ និងបទល្មើសឆ្លងដែនពាក់ព័ន្ធគយ</t>
  </si>
  <si>
    <t>៩. គម្រោងជួសជុល និងកែលម្អសាខាពន្ធដារខេត្តចំនួន ០៧, សាខាពន្ធដារ ខណ្ឌចំនួន ៧ និងការិយាល័យពន្ធដារ ចំនួន ២</t>
  </si>
  <si>
    <t>១០. គម្រោងអភិវឌ្ឍហេដ្ឋារចនាសម្ព័ន្ធ​ប្រព័ន្ធបច្ចេកវិទ្យាព័ត៌មានដំណាក់កាល​ទី២</t>
  </si>
  <si>
    <t xml:space="preserve">៨. គម្រោងទិញដីសម្រាប់សាងសង់អគារសាខាពន្ធដារខណ្ឌពោធិ៍សែនជ័យ </t>
  </si>
  <si>
    <t>១១. គម្រោងសាង់សង់ហេដ្ឋារចនាសម្ព័ន្ធរបស់រតនាគាររាជធានី-ខេត្ត ទាំង២២​ និងឃ្លាំងរក្សាទុកឯកសាររបស់អគ្គនាយកដ្ឋានរតនាគារជាតិ</t>
  </si>
  <si>
    <t>៣.គម្រោងសាងសង់អគារចំណតរថយន្តក្រោមដី Implemented by GDICDM</t>
  </si>
  <si>
    <t>សរុប​
២០១៩-២០២១</t>
  </si>
  <si>
    <t>១. គម្រោងទិញបរិក្ខារដើម្បីត្រៀមតភ្ជាប់គម្រោង FMIS</t>
  </si>
  <si>
    <t>១. គម្រោងទិញដី និងសាងសង់អគាររដ្ឋបាល មន្ទីរ</t>
  </si>
  <si>
    <t>១.គម្រោងទិញបរិក្ខារដើម្បីត្រៀមតភ្ជាប់គម្រោង FMIS</t>
  </si>
  <si>
    <t>១.គម្រោងកែលម្អសំណង់អគារ និងបំពាក់សម្ភារៈបរិក្ខារនៅវិទ្យាស្ថាន</t>
  </si>
  <si>
    <t>កម្មវិធីទី២៖ ពង្រឹងនិងបង្កើនប្រសិទ្ធភាពនៃការគ្រប់គ្រងការត្រួតពិនិត្យ និងការអភិវឌ្ឍន៍វិស័យហិរញ្ញវត្ថុ</t>
  </si>
  <si>
    <t>ហិ/រ ក្នុងប្រ/ទ</t>
  </si>
  <si>
    <t>ហិ/រ ក្រៅប្រ/ទ</t>
  </si>
  <si>
    <t>អនុវត្តជាក់ស្តែង</t>
  </si>
  <si>
    <t>សរុបរួម</t>
  </si>
  <si>
    <t>សំណើរួម</t>
  </si>
  <si>
    <t>ថវិកាអនុម័ត</t>
  </si>
  <si>
    <t>សរុបគម្រោងរួម</t>
  </si>
  <si>
    <t>គម្រោងសម្រាប់អនុវត្ត ផ.យ.អ.ជ</t>
  </si>
  <si>
    <t>ហិរញ្ញប្បទានបានសន្យាផ្តល់</t>
  </si>
  <si>
    <t>តម្រូវការហិ/របំពេញបន្ថែម</t>
  </si>
  <si>
    <t>ចំណាយប៉ាន់ស្មានសរុបរបស់ក្រសួង</t>
  </si>
  <si>
    <t>អគ្គ.គយនិងរដ្ឋាករកម្ពុជា</t>
  </si>
  <si>
    <t>អគ្គ.ពន្ធដារ</t>
  </si>
  <si>
    <t>អគ្គ.រតនាគារជាតិ</t>
  </si>
  <si>
    <t>អគ្គ.សវនកម្មផ្ទៃក្នុង</t>
  </si>
  <si>
    <t>វិទ្យាស្ថានសេ/កនិងហិ/រ</t>
  </si>
  <si>
    <t>គ.ម.ក</t>
  </si>
  <si>
    <t>មសហវ. រាជធានី ខេត្ត</t>
  </si>
  <si>
    <t>អគ្គ​.សហ.អន្តរ.គ្រប់.បំណុល</t>
  </si>
  <si>
    <t>១.គម្រោងលើកកម្ពស់ហេដ្ឋារចនាសម្ព័ន្ធ សាធារណៈរបស់អគ្គនាយកដ្ឋានគយ    និងរដ្ឋាករកម្ពុជា</t>
  </si>
  <si>
    <t>៧. គម្រោងសាងសង់អគារសាខាពន្ធដារខណ្ឌចំនួន១ ខេត្តចំនួន៦,ការិយា​ល័យពន្ធដារ១ សាលាជាតិពន្ធដារ និងអគារសាលប្រជុំចំនួន ១</t>
  </si>
  <si>
    <t>១២. គម្រោងសាងសង់អគាររដ្ឋបាល    អគ្គនាយកដ្ឋានសវនកម្មផ្ទៃក្នុង</t>
  </si>
  <si>
    <t>១៤. គម្រោងទិញបរិក្ខារដើម្បីតភ្ជាប់
គម្រោងព័ត៌មានវិទ្យាគ្រប់គ្រងហិរញ្ញ-
វត្ថុសាធារណៈសម្រាប់មន្ទីរសេដ្ឋកិច្ច
និងហិរញ្ញវត្ថុ ចំនួន១៨រាជធានី ខេត្ត</t>
  </si>
  <si>
    <t>១៣. គម្រោងកែលម្អសំណង់អគារ និង    បំពាក់សម្ភារៈបរិក្ខារនៅវិទ្យាស្ថាន
សេដ្ឋកិច្ចនិងហិរញ្ញវត្ថុ</t>
  </si>
  <si>
    <t>ឧបសម្ព័ន្ធទី២៖  តារាងសរុបគម្រោងវិនិយោគរបស់ក្រសួងសេដ្ឋកិច្ចនិងហិរញ្ញវត្ថុ សម្រាប់ដាក់បញ្ជូលក្នុង ក.វ.ស ៣ឆ្នាំរកិល ២០១៩-២០២១  (តាមអង្គភាពថវិកា)</t>
  </si>
  <si>
    <t>ឧបសម្ព័ន្ធទី១៖  តារាងសរុបគម្រោងវិនិយោគរបស់ក្រសួងសេដ្ឋកិច្ចនិងហិរញ្ញវត្ថុ សម្រាប់ដាក់បញ្ជូលក្នុង ក.វ.ស ៣ឆ្នាំរកិល ២០១៩-២០២១  (តាមប្រភេទគម្រោង/ប្រភពហិរញ្ញប្បទាន)</t>
  </si>
  <si>
    <t>១៨. គម្រោងជួសជុលអគារ​រដ្ឋបាលរបស់មន្ទីរ​សេដ្ឋកិច្ច​និង​ហិរញ្ញវត្ថុចំនួន ២</t>
  </si>
  <si>
    <t>១៥. គម្រោងបំពាក់បរិក្ខារសាលប្រជុំនិងទិញម៉ាស៊ីនភ្លើងនៅមន្ទីរសេដ្ឋកិច្ច
និងហិរញ្ញវត្ថុចំនួន១១</t>
  </si>
  <si>
    <t>១៦. គម្រោងទិញដី​និងសាងសង់​មន្ទីរ​
សេដ្ឋកិច្ច​និង​ហិរញ្ញវត្ថុ​ខេត្តកណ្តាល និងមន្ទីរសេដ្ឋកិច្ចនិងហិរញ្ញវត្ថុរាជធានីភ្នំពេញ</t>
  </si>
  <si>
    <t>១៧. គម្រោងសាងសង់និងកែលម្អហេដ្ឋា- រចនាសម្ព័ន្ធរូបវ័ន្តរបស់មន្ទីរសេដ្ឋកិច្ចនិងហិរញ្ញវត្ថុខេត្តចំនួន ៦</t>
  </si>
  <si>
    <t>៣. គម្រោងសាងសង់អគារថ្មី ជាការិយាល័យនិងសាលប្រជុំ និងកែលម្អហេដ្ឋារចនាសម្ព័ន្ធមន្ទីរ</t>
  </si>
  <si>
    <t>៤. គម្រោងទិញសម្ភារៈនិងគ្រឿងសង្ហារឹម</t>
  </si>
  <si>
    <t>១. គម្រោងសាងសង់ហេដ្ឋារចនាសម្ព័ន្ធរបស់រតនាគារខេត្ត ចំនួន ២២​</t>
  </si>
  <si>
    <t xml:space="preserve">៦. គម្រោងសាងសង់ហេដ្ឋារចនាសម្ព័ន្ធរបស់រតនាគារខេត្ត ចំនួន ២២ </t>
  </si>
  <si>
    <t>១. គម្រោងប្រព័ន្ធបញ្ជរតែមួយជាតិ (ដំណាក់កាលទី៣)</t>
  </si>
  <si>
    <t>មន្ទីរសេដ្ឋកិច្ចនិងហិរញ្ញវត្ថុរាជធានី ខេត្ត</t>
  </si>
  <si>
    <t>អគ្គនាយកដ្ឋានគយនិងរដ្ឋាករកម្ពុជា</t>
  </si>
  <si>
    <t>អគ្គនាយកដ្ឋានពន្ធដារ</t>
  </si>
  <si>
    <t>អគ្គនាយកដ្ឋានរតនាគារជាតិ</t>
  </si>
  <si>
    <t xml:space="preserve">៤. គម្រោងសាងសង់ហេដ្ឋារចនាសម្ព័ន្ធរបស់រតនាគារខេត្ត ចំនួន ២២ </t>
  </si>
  <si>
    <t>៣. គម្រោងប្រព័ន្ធបញ្ជរតែមួយជាតិ (ដំណាក់កាលទី៣)</t>
  </si>
  <si>
    <t>ឧបសម្ព័ន្ធទី២៖  តារាងសរុបគម្រោងវិនិយោគរបស់ក្រសួងសេដ្ឋកិច្ចនិងហិរញ្ញវត្ថុ សម្រាប់ដាក់បញ្ជូលក្នុង ក.វ.ស ៣ឆ្នាំរំកិល ២០២៣-២០២៥  (តាមអង្គភាពថវិកា)</t>
  </si>
  <si>
    <t>ឧបសម្ព័ន្ធទី១៖  តារាងសរុបគម្រោងវិនិយោគរបស់ក្រសួងសេដ្ឋកិច្ចនិងហិរញ្ញវត្ថុ សម្រាប់ដាក់បញ្ជូលក្នុង ក.វ.ស ៣ឆ្នាំរំកិល ២០២៣-២០២៥ (ប្រភេទគម្រោង)</t>
  </si>
  <si>
    <t>ឧបសម្ព័ន្ធទី៣៖ តារាងចំណាត់ថ្នាក់នៃគម្រោងវិនិយោគរបស់ កសហវ. សម្រាប់ស្នើដាក់បញ្ចូលក្នុង ក.វ.ស. ៣ឆ្នាំរំកិល ២០២៣-២០២៥</t>
  </si>
  <si>
    <t>១. គម្រោងសាងសង់អគារសាខាពន្ធដារខណ្ឌចំនួន០១ និងអគារការិយាល័យពន្ធដារស្រុកស្ទឹងហាវ ០១</t>
  </si>
  <si>
    <t>២. គម្រោងសាងសង់អគារសាខាពន្ធដារខណ្ឌចំនួន០១ និងអគារការិយាល័យពន្ធដារស្រុកស្ទឹងហាវ ០១</t>
  </si>
  <si>
    <t xml:space="preserve">៣. គម្រោងជួសជុលនិងកែលម្អអគារសាខាពន្ធដារខណ្ឌចំនួន០១ ការិយាល័យពន្ធដារក្រុងចំនួន០១ និងស្រុកចំនួន ០១  
</t>
  </si>
  <si>
    <t xml:space="preserve">២. គម្រោងជួសជុលនិងកែលម្អអគារសាខាពន្ធដារខណ្ឌចំនួន០១ ការិយាល័យពន្ធដារក្រុងចំនួន០១ និងស្រុកចំនួន ០១  </t>
  </si>
  <si>
    <t>កម្មវិធីទី៣៖ ការគ្រប់គ្រងចំណូលសាធារណៈ និងទ្រព្យសម្បត្តិរដ្ឋ</t>
  </si>
  <si>
    <t>កម្មវិធីទី៤៖ ការគ្រប់គ្រងចំណាយសាធារណៈ និងប្រព័ន្ធហិរញ្ញវត្ថុសាធារណៈ</t>
  </si>
  <si>
    <t>កម្មវិធីទី៥៖ កិច្ចការរដ្ឋបាលនិងអភិវឌ្ឍស្ថាប័ន</t>
  </si>
  <si>
    <t>១. គម្រោងទិញដីសម្រាប់មន្ទីរសេដ្ឋកិច្ចខេត្តកណ្តាលនិងសាងសង់អគារមន្ទីរសេដ្ឋកិច្ចនិងហិរញ្ញវត្ថុខេត្តកណ្តាល និងអគារមន្ទីរសេដ្ឋកិច្ចនិងហិរញ្ញវត្ថុរាជធានីភ្នំពេញ</t>
  </si>
  <si>
    <t>៦. គម្រោងទិញដីសម្រាប់មន្ទីរសេដ្ឋកិច្ចខេត្តកណ្តាល និងសាងសង់អគារមន្ទីរសេដ្ឋកិច្ចនិងហិរញ្ញវត្ថុខេត្តកណ្តាល និងអគារមន្ទីរសេដ្ឋកិច្ចនិងហិរញ្ញវត្ថុរាជធានីភ្នំពេញ</t>
  </si>
  <si>
    <t>មសហវ ខេត្តបន្ទាយមានជ័យ</t>
  </si>
  <si>
    <t>មសហវ.ខេត្តបាត់ដំបង</t>
  </si>
  <si>
    <t xml:space="preserve"> - សាងសង់អគាររដ្ឋបាលថ្មីកម្ពស់១ជាន់ (E1) </t>
  </si>
  <si>
    <t>មសហវ. ខេត្តកំពង់ស្ពឺ</t>
  </si>
  <si>
    <t>មសហវ ខេត្តព្រះវិហារ</t>
  </si>
  <si>
    <t>មសហវ ខេត្តឧត្តរមានជ័យ</t>
  </si>
  <si>
    <t xml:space="preserve"> - សាងសង់អគាររដ្ឋបាល</t>
  </si>
  <si>
    <t xml:space="preserve"> - សាងសង់អគារថ្មី</t>
  </si>
  <si>
    <t xml:space="preserve"> - សាងសង់របងជុំវិញមន្ទីរ</t>
  </si>
  <si>
    <t xml:space="preserve"> - សាងសង់អគាររដ្ឋបាលថ្មី</t>
  </si>
  <si>
    <t xml:space="preserve"> - ទិញដី និងសាងសង់អគាររដ្ឋបាល មន្ទីរ</t>
  </si>
  <si>
    <t>មសហវ ខេត្តកណ្តាល</t>
  </si>
  <si>
    <t>មសហវ រាជធានីភ្នំពេញ</t>
  </si>
  <si>
    <t xml:space="preserve"> - សាងសង់អគារមន្ទីរសេដ្ឋកិច្ចនិងហិរញ្ញវត្ថុរាជធានី និងបំពាក់បរិក្ខារ</t>
  </si>
  <si>
    <t xml:space="preserve"> - សាងសង់របង </t>
  </si>
  <si>
    <t>12=9+10+11</t>
  </si>
  <si>
    <t>13=5-9</t>
  </si>
  <si>
    <t>14=6-10</t>
  </si>
  <si>
    <t>15=7-11</t>
  </si>
  <si>
    <t>16=13+14+15</t>
  </si>
  <si>
    <t>៤. គម្រោងសាងសង់អគារសាខាពន្ធដារខណ្ឌចំនួន០១ និងអគារការិយាល័យពន្ធដារ​ស្រុកស្ទឹងហាវ ០១</t>
  </si>
  <si>
    <t xml:space="preserve">៥. គម្រោងជួសជុលនិងកែលម្អអគារសាខាពន្ធដារខណ្ឌចំនួន០១ ការិយាល័យពន្ធដារ​ក្រុងចំនួន០១ និងស្រុកចំនួន ០១  
</t>
  </si>
  <si>
    <t>ចំណាត់ថ្នាក់គម្រោង
ពី ០១-០៦</t>
  </si>
  <si>
    <t>២.គម្រោងទិញដីសម្រាប់មន្ទីរសេដ្ឋកិច្ចខេត្តកណ្តាលនិងសាងសង់អគារ មន្ទីរសេដ្ឋកិច្ចនិងហិរញ្ញវត្ថុខេត្តកណ្តាល និងអគារមន្ទីរសេដ្ឋកិច្ចនិងហិរញ្ញវត្ថុ
រាជធានីភ្នំពេញ</t>
  </si>
  <si>
    <t>២.គម្រោងទិញដីសម្រាប់មន្ទីរសេដ្ឋកិច្ចខេត្តកណ្តាលនិងសាងសង់អគារមន្ទីរសេដ្ឋកិច្ចនិងហិរញ្ញវត្ថុខេត្តកណ្តាល និងអគារមន្ទីរសេដ្ឋកិច្ចនិងហិរញ្ញវត្ថុ
រាជធានីភ្នំពេញ</t>
  </si>
  <si>
    <t>២. គម្រោងសាងសង់ហេដ្ឋារចនាសម្ព័ន្ធរូបវ័ន្តរបស់មន្ទីរសេដ្ឋកិច្ចនិងហិរញ្ញវត្ថុខេត្តចំនួន៥</t>
  </si>
  <si>
    <t>១.គម្រោងសាងសង់ហេដ្ឋារចនាសម្ព័ន្ធរូបវ័ន្តរបស់មន្ទីរសេដ្ឋកិច្ចនិងហិរញ្ញវត្ថុខេត្តចំនួន៥</t>
  </si>
  <si>
    <t xml:space="preserve">១.គម្រោងសាងសង់ហេដ្ឋារចនាសម្ព័ន្ធរូបវ័ន្តរបស់មន្ទីរសេដ្ឋកិច្ចនិងហិរញ្ញវត្ថុខេត្តចំនួន៥ </t>
  </si>
  <si>
    <t>៥. គម្រោងសាងសង់ហេដ្ឋារចនាសម្ព័ន្ធរូបវ័ន្តរបស់មន្ទីរសេដ្ឋកិច្ចនិងហិរញ្ញវត្ថុខេត្តចំនួន ៥</t>
  </si>
  <si>
    <t>id</t>
  </si>
  <si>
    <t>project_name_en</t>
  </si>
  <si>
    <t>project_name_kh</t>
  </si>
  <si>
    <t>pip_no</t>
  </si>
  <si>
    <t>project_status</t>
  </si>
  <si>
    <t>project_type</t>
  </si>
  <si>
    <t>est_costing_year_0</t>
  </si>
  <si>
    <t>est_costing_year_1</t>
  </si>
  <si>
    <t>est_costing_year_2</t>
  </si>
  <si>
    <t>s_fin_year_1</t>
  </si>
  <si>
    <t>s_fin_year_0</t>
  </si>
  <si>
    <t>s_fin_year_2</t>
  </si>
  <si>
    <t>add_req_fin_year_0</t>
  </si>
  <si>
    <t>add_req_fin_year_2</t>
  </si>
  <si>
    <t>add_req_fin_year_1</t>
  </si>
  <si>
    <t>fin_resource</t>
  </si>
  <si>
    <t>sub_program_id</t>
  </si>
  <si>
    <t>structure_sub_program</t>
  </si>
  <si>
    <t>អនុកម្មវិធី ៣.១ ៖ អគ្គនាយកដ្ឋានគយនិងរដ្ឋាករកម្ពុជា</t>
  </si>
  <si>
    <t>entity_id</t>
  </si>
  <si>
    <t>program_id</t>
  </si>
  <si>
    <t>អនុកម្មវិធីទី៣.១</t>
  </si>
  <si>
    <t>អនុកម្មវិធីទី៣.២</t>
  </si>
  <si>
    <t>អនុកម្មវិធីទី៤.៤</t>
  </si>
  <si>
    <t>អនុកម្មវិធីទី៥.៣</t>
  </si>
  <si>
    <t>name_en</t>
  </si>
  <si>
    <t>name_kh</t>
  </si>
  <si>
    <t>order_level</t>
  </si>
  <si>
    <t>មិនទាន់រៀបចំ</t>
  </si>
  <si>
    <t>កំពុងរៀបចំ</t>
  </si>
  <si>
    <t>បានបញ្ចប់ហើយ</t>
  </si>
  <si>
    <t>គម្រោងជំនួយបច្ចេកទេស</t>
  </si>
  <si>
    <t>project_status_</t>
  </si>
  <si>
    <t>project_type_</t>
  </si>
  <si>
    <t>pip_inv_id</t>
  </si>
  <si>
    <t>finance_resource_id</t>
  </si>
  <si>
    <t>finance_resource</t>
  </si>
  <si>
    <t>ថវិកាជាតិ</t>
  </si>
  <si>
    <t>ជំនួយឥតសំណង</t>
  </si>
  <si>
    <t>ប្រាក់កម្ចីមិនមែនសម្បទាន</t>
  </si>
  <si>
    <t>ប្រាក់កម្ចីសម្បទាន</t>
  </si>
  <si>
    <t>បញ្ចូលគ្នារវាងថវិកាជាតិ ជំនួយឥតសំណង និងប្រាក់កម្ចី</t>
  </si>
  <si>
    <t>កំពុងស្វែងរកជំនួយ</t>
  </si>
  <si>
    <t>ហិរញ្ញប្រទានក្នុងប្រទេស</t>
  </si>
  <si>
    <t xml:space="preserve"> អគ្គនាយកដ្ឋានគយនិងរដ្ឋាករកម្ពុជា</t>
  </si>
  <si>
    <t xml:space="preserve"> អគ្គនាយកដ្ឋានពន្ធដារ</t>
  </si>
  <si>
    <t xml:space="preserve"> ការគ្រប់គ្រងចំណាយសាធារណៈ និងប្រព័ន្ធហិរញ្ញវត្ថុសាធារណៈ</t>
  </si>
  <si>
    <t xml:space="preserve"> អគ្គនាយកដ្ឋានរតនាគារជាតិ</t>
  </si>
  <si>
    <t xml:space="preserve"> កិច្ចការរដ្ឋបាលនិងអភិវឌ្ឍស្ថាប័ន</t>
  </si>
  <si>
    <t xml:space="preserve"> ការគ្រប់គ្រងចំណូលសាធារណៈនិងទ្រព្យសម្បត្តិរដ្ឋ</t>
  </si>
  <si>
    <t>មន្ទីរសេដ្ឋកិច្ច​និងហិរញ្ញវត្ថុ​ រាជធានី ខេត្ត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</si>
</sst>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_-;\-* #,##0.0_-;_-* &quot;-&quot;?_-;_-@_-"/>
    <numFmt numFmtId="165" formatCode="[$-12000425]0"/>
    <numFmt numFmtId="166" formatCode="#,##0.0"/>
    <numFmt numFmtId="167" formatCode="_-* #,##0.0_-;\-* #,##0.0_-;_-* &quot;-&quot;??_-;_-@_-"/>
    <numFmt numFmtId="168" formatCode="_(* #,##0.0_);_(* \(#,##0.0\);_(* &quot;-&quot;?_);_(@_)"/>
    <numFmt numFmtId="169" formatCode="0.0000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Khmer MEF1"/>
    </font>
    <font>
      <sz val="10"/>
      <color theme="1"/>
      <name val="Khmer MEF2"/>
    </font>
    <font>
      <b/>
      <sz val="10"/>
      <color theme="1"/>
      <name val="Khmer MEF1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Khmer MEF2"/>
    </font>
    <font>
      <sz val="7"/>
      <color theme="1"/>
      <name val="Calibri"/>
      <family val="2"/>
      <scheme val="minor"/>
    </font>
    <font>
      <sz val="10"/>
      <color theme="1"/>
      <name val="Khmer OS Muol Light"/>
    </font>
    <font>
      <sz val="11"/>
      <color theme="1"/>
      <name val="Khmer MEF2"/>
    </font>
    <font>
      <sz val="9"/>
      <color theme="1"/>
      <name val="Khmer OS Muol Light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Khmer MEF1"/>
    </font>
    <font>
      <sz val="11"/>
      <color theme="1"/>
      <name val="Khmer MEF1"/>
    </font>
    <font>
      <u/>
      <sz val="9"/>
      <color theme="1"/>
      <name val="Khmer MEF1"/>
    </font>
    <font>
      <sz val="9"/>
      <color theme="1"/>
      <name val="Khmer MEF1"/>
    </font>
    <font>
      <sz val="9"/>
      <color theme="1"/>
      <name val="Arial Narrow"/>
      <family val="2"/>
    </font>
    <font>
      <sz val="10"/>
      <name val="Khmer MEF2"/>
    </font>
    <font>
      <sz val="10"/>
      <color rgb="FFFF0000"/>
      <name val="Khmer MEF2"/>
    </font>
    <font>
      <sz val="10"/>
      <name val="Khmer MEF1"/>
    </font>
    <font>
      <sz val="10"/>
      <color rgb="FFFF0000"/>
      <name val="Khmer MEF1"/>
    </font>
    <font>
      <b/>
      <sz val="11"/>
      <color theme="1"/>
      <name val="Khmer MEF1"/>
    </font>
    <font>
      <sz val="10"/>
      <color theme="0"/>
      <name val="Khmer MEF2"/>
    </font>
    <font>
      <b/>
      <sz val="10"/>
      <color theme="0"/>
      <name val="Khmer MEF1"/>
    </font>
    <font>
      <b/>
      <sz val="12"/>
      <color theme="0"/>
      <name val="Arial Narrow"/>
      <family val="2"/>
    </font>
    <font>
      <b/>
      <sz val="11"/>
      <color theme="1"/>
      <name val="Calibri"/>
      <family val="2"/>
      <scheme val="minor"/>
    </font>
    <font>
      <sz val="10"/>
      <name val="Arial Narrow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 Narrow"/>
      <family val="2"/>
    </font>
    <font>
      <b/>
      <sz val="10"/>
      <name val="Khmer MEF1"/>
    </font>
    <font>
      <sz val="11"/>
      <name val="Khmer MEF2"/>
    </font>
    <font>
      <b/>
      <sz val="11"/>
      <name val="Khmer MEF2"/>
    </font>
    <font>
      <b/>
      <sz val="10"/>
      <name val="Arial Narrow"/>
      <family val="2"/>
    </font>
    <font>
      <u/>
      <sz val="10"/>
      <color theme="1"/>
      <name val="Khmer MEF1"/>
    </font>
    <font>
      <b/>
      <sz val="10"/>
      <name val="Khmer MEF2"/>
    </font>
    <font>
      <sz val="10"/>
      <color rgb="FF0033CC"/>
      <name val="Khmer MEF1"/>
    </font>
    <font>
      <sz val="10"/>
      <color rgb="FF0033CC"/>
      <name val="Arial Narrow"/>
      <family val="2"/>
    </font>
    <font>
      <sz val="11"/>
      <color rgb="FF3366CC"/>
      <name val="Khmer MEF1"/>
    </font>
    <font>
      <sz val="10"/>
      <color rgb="FF3366CC"/>
      <name val="Khmer MEF1"/>
    </font>
    <font>
      <sz val="9"/>
      <color rgb="FF3366CC"/>
      <name val="Khmer MEF1"/>
    </font>
    <font>
      <sz val="11"/>
      <color rgb="FF3366CC"/>
      <name val="Khmer MEF2"/>
    </font>
    <font>
      <sz val="10"/>
      <color rgb="FF3366CC"/>
      <name val="Khmer MEF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auto="1"/>
      </top>
      <bottom/>
      <diagonal/>
    </border>
    <border>
      <left/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43" fontId="28" fillId="0" borderId="0" applyFont="0" applyFill="0" applyBorder="0" applyAlignment="0" applyProtection="0"/>
  </cellStyleXfs>
  <cellXfs count="452">
    <xf numFmtId="0" fontId="0" fillId="0" borderId="0" xfId="0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5" fillId="0" borderId="0" xfId="1" applyFont="1"/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centerContinuous" vertical="top"/>
    </xf>
    <xf numFmtId="0" fontId="10" fillId="0" borderId="0" xfId="1" applyFont="1" applyAlignment="1">
      <alignment horizontal="centerContinuous" vertical="top"/>
    </xf>
    <xf numFmtId="0" fontId="5" fillId="0" borderId="0" xfId="1" applyFont="1" applyAlignment="1">
      <alignment horizontal="centerContinuous" vertical="top"/>
    </xf>
    <xf numFmtId="0" fontId="7" fillId="0" borderId="0" xfId="1" applyFont="1" applyAlignment="1">
      <alignment horizontal="centerContinuous" vertical="top"/>
    </xf>
    <xf numFmtId="0" fontId="5" fillId="0" borderId="0" xfId="1" applyFont="1" applyAlignment="1">
      <alignment vertical="top"/>
    </xf>
    <xf numFmtId="0" fontId="10" fillId="0" borderId="0" xfId="1" applyFont="1" applyAlignment="1">
      <alignment horizontal="center" vertical="center"/>
    </xf>
    <xf numFmtId="0" fontId="11" fillId="0" borderId="1" xfId="1" applyFont="1" applyBorder="1" applyAlignment="1">
      <alignment horizontal="right" vertical="top"/>
    </xf>
    <xf numFmtId="0" fontId="5" fillId="0" borderId="0" xfId="1" applyFont="1" applyAlignment="1">
      <alignment horizontal="center"/>
    </xf>
    <xf numFmtId="0" fontId="1" fillId="0" borderId="0" xfId="1" applyFont="1" applyAlignment="1">
      <alignment horizontal="right" vertical="center"/>
    </xf>
    <xf numFmtId="0" fontId="2" fillId="4" borderId="3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12" fillId="4" borderId="3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164" fontId="12" fillId="4" borderId="3" xfId="1" applyNumberFormat="1" applyFont="1" applyFill="1" applyBorder="1" applyAlignment="1">
      <alignment horizontal="center" vertical="center"/>
    </xf>
    <xf numFmtId="164" fontId="12" fillId="0" borderId="3" xfId="1" applyNumberFormat="1" applyFont="1" applyBorder="1" applyAlignment="1">
      <alignment horizontal="center" vertical="center"/>
    </xf>
    <xf numFmtId="164" fontId="12" fillId="2" borderId="3" xfId="1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centerContinuous" vertical="top"/>
    </xf>
    <xf numFmtId="0" fontId="3" fillId="3" borderId="1" xfId="1" applyFont="1" applyFill="1" applyBorder="1" applyAlignment="1">
      <alignment horizontal="left" vertical="center"/>
    </xf>
    <xf numFmtId="164" fontId="12" fillId="3" borderId="3" xfId="1" applyNumberFormat="1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right" vertical="top"/>
    </xf>
    <xf numFmtId="0" fontId="1" fillId="3" borderId="1" xfId="1" quotePrefix="1" applyFont="1" applyFill="1" applyBorder="1" applyAlignment="1">
      <alignment horizontal="left" vertical="center" indent="1"/>
    </xf>
    <xf numFmtId="0" fontId="11" fillId="3" borderId="1" xfId="1" applyFont="1" applyFill="1" applyBorder="1" applyAlignment="1">
      <alignment horizontal="right" vertical="top"/>
    </xf>
    <xf numFmtId="0" fontId="1" fillId="0" borderId="1" xfId="1" quotePrefix="1" applyFont="1" applyBorder="1" applyAlignment="1">
      <alignment horizontal="left" vertical="center" wrapText="1" indent="2"/>
    </xf>
    <xf numFmtId="0" fontId="13" fillId="0" borderId="5" xfId="1" applyFont="1" applyBorder="1" applyAlignment="1">
      <alignment horizontal="center" vertical="center"/>
    </xf>
    <xf numFmtId="0" fontId="2" fillId="5" borderId="3" xfId="1" applyFont="1" applyFill="1" applyBorder="1" applyAlignment="1">
      <alignment horizontal="left" vertical="center"/>
    </xf>
    <xf numFmtId="164" fontId="12" fillId="5" borderId="3" xfId="1" applyNumberFormat="1" applyFont="1" applyFill="1" applyBorder="1" applyAlignment="1">
      <alignment horizontal="center" vertical="center"/>
    </xf>
    <xf numFmtId="0" fontId="12" fillId="5" borderId="3" xfId="1" applyFont="1" applyFill="1" applyBorder="1" applyAlignment="1">
      <alignment horizontal="center" vertical="center"/>
    </xf>
    <xf numFmtId="0" fontId="1" fillId="0" borderId="1" xfId="1" quotePrefix="1" applyFont="1" applyBorder="1" applyAlignment="1">
      <alignment horizontal="left" vertical="center" indent="2"/>
    </xf>
    <xf numFmtId="0" fontId="2" fillId="6" borderId="3" xfId="1" applyFont="1" applyFill="1" applyBorder="1" applyAlignment="1">
      <alignment horizontal="left" vertical="center"/>
    </xf>
    <xf numFmtId="164" fontId="12" fillId="6" borderId="3" xfId="1" applyNumberFormat="1" applyFont="1" applyFill="1" applyBorder="1" applyAlignment="1">
      <alignment horizontal="center" vertical="center"/>
    </xf>
    <xf numFmtId="0" fontId="12" fillId="6" borderId="3" xfId="1" applyFont="1" applyFill="1" applyBorder="1" applyAlignment="1">
      <alignment horizontal="center" vertical="center"/>
    </xf>
    <xf numFmtId="164" fontId="5" fillId="0" borderId="0" xfId="1" applyNumberFormat="1" applyFont="1"/>
    <xf numFmtId="0" fontId="14" fillId="0" borderId="0" xfId="0" applyFont="1" applyAlignment="1">
      <alignment horizontal="left"/>
    </xf>
    <xf numFmtId="0" fontId="14" fillId="0" borderId="0" xfId="0" applyFont="1"/>
    <xf numFmtId="0" fontId="9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0" fillId="0" borderId="19" xfId="0" applyBorder="1"/>
    <xf numFmtId="0" fontId="14" fillId="0" borderId="19" xfId="0" applyFont="1" applyBorder="1" applyAlignment="1">
      <alignment horizontal="left"/>
    </xf>
    <xf numFmtId="0" fontId="14" fillId="0" borderId="19" xfId="0" applyFont="1" applyBorder="1"/>
    <xf numFmtId="0" fontId="15" fillId="0" borderId="19" xfId="0" applyFont="1" applyBorder="1" applyAlignment="1">
      <alignment horizontal="right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166" fontId="1" fillId="2" borderId="28" xfId="0" applyNumberFormat="1" applyFont="1" applyFill="1" applyBorder="1" applyAlignment="1">
      <alignment horizontal="left" vertical="center"/>
    </xf>
    <xf numFmtId="166" fontId="1" fillId="2" borderId="28" xfId="0" applyNumberFormat="1" applyFont="1" applyFill="1" applyBorder="1" applyAlignment="1">
      <alignment horizontal="right" vertical="center"/>
    </xf>
    <xf numFmtId="166" fontId="12" fillId="2" borderId="28" xfId="0" applyNumberFormat="1" applyFont="1" applyFill="1" applyBorder="1" applyAlignment="1">
      <alignment vertical="center"/>
    </xf>
    <xf numFmtId="166" fontId="1" fillId="2" borderId="29" xfId="0" applyNumberFormat="1" applyFont="1" applyFill="1" applyBorder="1" applyAlignment="1">
      <alignment vertical="center"/>
    </xf>
    <xf numFmtId="0" fontId="2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left" vertical="center"/>
    </xf>
    <xf numFmtId="166" fontId="1" fillId="0" borderId="31" xfId="0" applyNumberFormat="1" applyFont="1" applyBorder="1" applyAlignment="1">
      <alignment vertical="center"/>
    </xf>
    <xf numFmtId="166" fontId="12" fillId="0" borderId="31" xfId="0" applyNumberFormat="1" applyFont="1" applyBorder="1" applyAlignment="1">
      <alignment vertical="center"/>
    </xf>
    <xf numFmtId="166" fontId="1" fillId="0" borderId="32" xfId="0" applyNumberFormat="1" applyFont="1" applyBorder="1" applyAlignment="1">
      <alignment vertical="center"/>
    </xf>
    <xf numFmtId="0" fontId="19" fillId="7" borderId="30" xfId="0" applyFont="1" applyFill="1" applyBorder="1" applyAlignment="1">
      <alignment horizontal="left" vertical="center"/>
    </xf>
    <xf numFmtId="0" fontId="1" fillId="7" borderId="31" xfId="0" applyFont="1" applyFill="1" applyBorder="1" applyAlignment="1">
      <alignment horizontal="center" vertical="center"/>
    </xf>
    <xf numFmtId="166" fontId="1" fillId="7" borderId="31" xfId="0" applyNumberFormat="1" applyFont="1" applyFill="1" applyBorder="1" applyAlignment="1">
      <alignment horizontal="left" vertical="center"/>
    </xf>
    <xf numFmtId="166" fontId="1" fillId="7" borderId="31" xfId="0" applyNumberFormat="1" applyFont="1" applyFill="1" applyBorder="1" applyAlignment="1">
      <alignment horizontal="center" vertical="center"/>
    </xf>
    <xf numFmtId="166" fontId="11" fillId="7" borderId="31" xfId="0" applyNumberFormat="1" applyFont="1" applyFill="1" applyBorder="1" applyAlignment="1">
      <alignment vertical="center"/>
    </xf>
    <xf numFmtId="166" fontId="1" fillId="7" borderId="32" xfId="0" applyNumberFormat="1" applyFont="1" applyFill="1" applyBorder="1" applyAlignment="1">
      <alignment vertical="center"/>
    </xf>
    <xf numFmtId="0" fontId="1" fillId="0" borderId="30" xfId="0" applyFont="1" applyBorder="1" applyAlignment="1">
      <alignment horizontal="left" vertical="top" wrapText="1"/>
    </xf>
    <xf numFmtId="166" fontId="11" fillId="0" borderId="31" xfId="0" applyNumberFormat="1" applyFont="1" applyBorder="1" applyAlignment="1">
      <alignment vertical="center"/>
    </xf>
    <xf numFmtId="166" fontId="0" fillId="0" borderId="0" xfId="0" applyNumberFormat="1"/>
    <xf numFmtId="0" fontId="18" fillId="7" borderId="30" xfId="0" applyFont="1" applyFill="1" applyBorder="1" applyAlignment="1">
      <alignment horizontal="left"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20" fillId="8" borderId="30" xfId="0" applyFont="1" applyFill="1" applyBorder="1" applyAlignment="1">
      <alignment horizontal="left" vertical="center"/>
    </xf>
    <xf numFmtId="0" fontId="1" fillId="8" borderId="31" xfId="0" applyFont="1" applyFill="1" applyBorder="1" applyAlignment="1">
      <alignment horizontal="center" vertical="center"/>
    </xf>
    <xf numFmtId="166" fontId="1" fillId="8" borderId="31" xfId="0" applyNumberFormat="1" applyFont="1" applyFill="1" applyBorder="1" applyAlignment="1">
      <alignment horizontal="left" vertical="center"/>
    </xf>
    <xf numFmtId="166" fontId="1" fillId="8" borderId="31" xfId="0" applyNumberFormat="1" applyFont="1" applyFill="1" applyBorder="1" applyAlignment="1">
      <alignment horizontal="center" vertical="center"/>
    </xf>
    <xf numFmtId="166" fontId="11" fillId="8" borderId="31" xfId="0" applyNumberFormat="1" applyFont="1" applyFill="1" applyBorder="1" applyAlignment="1">
      <alignment vertical="center"/>
    </xf>
    <xf numFmtId="166" fontId="1" fillId="8" borderId="32" xfId="0" applyNumberFormat="1" applyFont="1" applyFill="1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horizontal="left" vertical="top" wrapText="1"/>
    </xf>
    <xf numFmtId="0" fontId="11" fillId="0" borderId="36" xfId="0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left" vertical="center"/>
    </xf>
    <xf numFmtId="166" fontId="1" fillId="0" borderId="36" xfId="0" applyNumberFormat="1" applyFont="1" applyBorder="1" applyAlignment="1">
      <alignment vertical="center"/>
    </xf>
    <xf numFmtId="166" fontId="11" fillId="0" borderId="36" xfId="0" applyNumberFormat="1" applyFont="1" applyBorder="1" applyAlignment="1">
      <alignment vertical="center"/>
    </xf>
    <xf numFmtId="166" fontId="1" fillId="0" borderId="37" xfId="0" applyNumberFormat="1" applyFont="1" applyBorder="1" applyAlignment="1">
      <alignment vertical="center"/>
    </xf>
    <xf numFmtId="0" fontId="19" fillId="7" borderId="38" xfId="0" applyFont="1" applyFill="1" applyBorder="1" applyAlignment="1">
      <alignment horizontal="left" vertical="center"/>
    </xf>
    <xf numFmtId="0" fontId="1" fillId="7" borderId="39" xfId="0" applyFont="1" applyFill="1" applyBorder="1" applyAlignment="1">
      <alignment horizontal="center" vertical="center"/>
    </xf>
    <xf numFmtId="166" fontId="1" fillId="7" borderId="39" xfId="0" applyNumberFormat="1" applyFont="1" applyFill="1" applyBorder="1" applyAlignment="1">
      <alignment horizontal="left" vertical="center"/>
    </xf>
    <xf numFmtId="166" fontId="1" fillId="7" borderId="39" xfId="0" applyNumberFormat="1" applyFont="1" applyFill="1" applyBorder="1" applyAlignment="1">
      <alignment horizontal="center" vertical="center"/>
    </xf>
    <xf numFmtId="166" fontId="11" fillId="7" borderId="39" xfId="0" applyNumberFormat="1" applyFont="1" applyFill="1" applyBorder="1" applyAlignment="1">
      <alignment vertical="center"/>
    </xf>
    <xf numFmtId="166" fontId="1" fillId="7" borderId="40" xfId="0" applyNumberFormat="1" applyFont="1" applyFill="1" applyBorder="1" applyAlignment="1">
      <alignment vertic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0" fontId="0" fillId="0" borderId="19" xfId="0" applyBorder="1" applyAlignment="1">
      <alignment horizontal="right"/>
    </xf>
    <xf numFmtId="0" fontId="14" fillId="0" borderId="31" xfId="0" applyFont="1" applyBorder="1" applyAlignment="1">
      <alignment vertical="center"/>
    </xf>
    <xf numFmtId="166" fontId="1" fillId="0" borderId="31" xfId="0" applyNumberFormat="1" applyFont="1" applyBorder="1" applyAlignment="1">
      <alignment horizontal="center" vertical="center" wrapText="1"/>
    </xf>
    <xf numFmtId="166" fontId="1" fillId="0" borderId="31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left" vertical="top" wrapText="1"/>
    </xf>
    <xf numFmtId="0" fontId="20" fillId="0" borderId="30" xfId="1" quotePrefix="1" applyFont="1" applyBorder="1" applyAlignment="1">
      <alignment vertical="center" wrapText="1"/>
    </xf>
    <xf numFmtId="0" fontId="20" fillId="0" borderId="35" xfId="0" applyFont="1" applyBorder="1" applyAlignment="1">
      <alignment horizontal="left" vertical="top" wrapText="1"/>
    </xf>
    <xf numFmtId="0" fontId="2" fillId="3" borderId="30" xfId="0" applyFont="1" applyFill="1" applyBorder="1" applyAlignment="1">
      <alignment horizontal="left" vertical="center" wrapText="1"/>
    </xf>
    <xf numFmtId="0" fontId="11" fillId="3" borderId="31" xfId="0" applyFont="1" applyFill="1" applyBorder="1" applyAlignment="1">
      <alignment horizontal="center" vertical="center"/>
    </xf>
    <xf numFmtId="166" fontId="1" fillId="3" borderId="31" xfId="0" applyNumberFormat="1" applyFont="1" applyFill="1" applyBorder="1" applyAlignment="1">
      <alignment horizontal="left" vertical="center"/>
    </xf>
    <xf numFmtId="166" fontId="1" fillId="3" borderId="31" xfId="0" applyNumberFormat="1" applyFont="1" applyFill="1" applyBorder="1" applyAlignment="1">
      <alignment vertical="center"/>
    </xf>
    <xf numFmtId="166" fontId="12" fillId="3" borderId="31" xfId="0" applyNumberFormat="1" applyFont="1" applyFill="1" applyBorder="1" applyAlignment="1">
      <alignment vertical="center"/>
    </xf>
    <xf numFmtId="166" fontId="1" fillId="3" borderId="32" xfId="0" applyNumberFormat="1" applyFont="1" applyFill="1" applyBorder="1" applyAlignment="1">
      <alignment vertical="center"/>
    </xf>
    <xf numFmtId="166" fontId="11" fillId="11" borderId="25" xfId="0" applyNumberFormat="1" applyFont="1" applyFill="1" applyBorder="1" applyAlignment="1">
      <alignment vertical="center"/>
    </xf>
    <xf numFmtId="166" fontId="11" fillId="11" borderId="2" xfId="0" applyNumberFormat="1" applyFont="1" applyFill="1" applyBorder="1" applyAlignment="1">
      <alignment vertical="center"/>
    </xf>
    <xf numFmtId="166" fontId="11" fillId="11" borderId="56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166" fontId="11" fillId="10" borderId="39" xfId="0" applyNumberFormat="1" applyFont="1" applyFill="1" applyBorder="1" applyAlignment="1">
      <alignment vertical="center"/>
    </xf>
    <xf numFmtId="0" fontId="1" fillId="10" borderId="39" xfId="0" applyFont="1" applyFill="1" applyBorder="1" applyAlignment="1">
      <alignment vertical="center"/>
    </xf>
    <xf numFmtId="166" fontId="11" fillId="10" borderId="40" xfId="0" applyNumberFormat="1" applyFont="1" applyFill="1" applyBorder="1" applyAlignment="1">
      <alignment vertical="center"/>
    </xf>
    <xf numFmtId="166" fontId="11" fillId="11" borderId="31" xfId="0" applyNumberFormat="1" applyFont="1" applyFill="1" applyBorder="1" applyAlignment="1">
      <alignment vertical="center"/>
    </xf>
    <xf numFmtId="0" fontId="1" fillId="11" borderId="31" xfId="0" applyFont="1" applyFill="1" applyBorder="1" applyAlignment="1">
      <alignment vertical="center"/>
    </xf>
    <xf numFmtId="166" fontId="11" fillId="11" borderId="32" xfId="0" applyNumberFormat="1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166" fontId="11" fillId="0" borderId="32" xfId="0" applyNumberFormat="1" applyFont="1" applyBorder="1" applyAlignment="1">
      <alignment vertical="center"/>
    </xf>
    <xf numFmtId="166" fontId="11" fillId="0" borderId="57" xfId="0" applyNumberFormat="1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166" fontId="11" fillId="0" borderId="58" xfId="0" applyNumberFormat="1" applyFont="1" applyBorder="1" applyAlignment="1">
      <alignment vertical="center"/>
    </xf>
    <xf numFmtId="166" fontId="11" fillId="10" borderId="54" xfId="0" applyNumberFormat="1" applyFont="1" applyFill="1" applyBorder="1" applyAlignment="1">
      <alignment vertical="center"/>
    </xf>
    <xf numFmtId="0" fontId="1" fillId="10" borderId="54" xfId="0" applyFont="1" applyFill="1" applyBorder="1" applyAlignment="1">
      <alignment vertical="center"/>
    </xf>
    <xf numFmtId="166" fontId="11" fillId="10" borderId="59" xfId="0" applyNumberFormat="1" applyFont="1" applyFill="1" applyBorder="1" applyAlignment="1">
      <alignment vertical="center"/>
    </xf>
    <xf numFmtId="166" fontId="11" fillId="11" borderId="48" xfId="0" applyNumberFormat="1" applyFont="1" applyFill="1" applyBorder="1" applyAlignment="1">
      <alignment vertical="center"/>
    </xf>
    <xf numFmtId="166" fontId="11" fillId="11" borderId="39" xfId="0" applyNumberFormat="1" applyFont="1" applyFill="1" applyBorder="1" applyAlignment="1">
      <alignment vertical="center"/>
    </xf>
    <xf numFmtId="166" fontId="11" fillId="0" borderId="39" xfId="0" applyNumberFormat="1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166" fontId="11" fillId="0" borderId="40" xfId="0" applyNumberFormat="1" applyFont="1" applyBorder="1" applyAlignment="1">
      <alignment vertical="center"/>
    </xf>
    <xf numFmtId="166" fontId="11" fillId="11" borderId="54" xfId="0" applyNumberFormat="1" applyFont="1" applyFill="1" applyBorder="1" applyAlignment="1">
      <alignment vertical="center"/>
    </xf>
    <xf numFmtId="0" fontId="1" fillId="11" borderId="54" xfId="0" applyFont="1" applyFill="1" applyBorder="1" applyAlignment="1">
      <alignment vertical="center"/>
    </xf>
    <xf numFmtId="166" fontId="11" fillId="11" borderId="59" xfId="0" applyNumberFormat="1" applyFont="1" applyFill="1" applyBorder="1" applyAlignment="1">
      <alignment vertical="center"/>
    </xf>
    <xf numFmtId="166" fontId="11" fillId="11" borderId="36" xfId="0" applyNumberFormat="1" applyFont="1" applyFill="1" applyBorder="1" applyAlignment="1">
      <alignment vertical="center"/>
    </xf>
    <xf numFmtId="0" fontId="1" fillId="11" borderId="36" xfId="0" applyFont="1" applyFill="1" applyBorder="1" applyAlignment="1">
      <alignment vertical="center"/>
    </xf>
    <xf numFmtId="166" fontId="11" fillId="11" borderId="37" xfId="0" applyNumberFormat="1" applyFont="1" applyFill="1" applyBorder="1" applyAlignment="1">
      <alignment vertical="center"/>
    </xf>
    <xf numFmtId="0" fontId="1" fillId="0" borderId="36" xfId="0" applyFont="1" applyBorder="1" applyAlignment="1">
      <alignment vertical="center"/>
    </xf>
    <xf numFmtId="166" fontId="11" fillId="0" borderId="37" xfId="0" applyNumberFormat="1" applyFont="1" applyBorder="1" applyAlignment="1">
      <alignment vertical="center"/>
    </xf>
    <xf numFmtId="0" fontId="20" fillId="0" borderId="30" xfId="0" applyFont="1" applyBorder="1" applyAlignment="1">
      <alignment horizontal="left" vertical="center" wrapText="1"/>
    </xf>
    <xf numFmtId="166" fontId="12" fillId="9" borderId="28" xfId="0" applyNumberFormat="1" applyFont="1" applyFill="1" applyBorder="1" applyAlignment="1">
      <alignment vertical="center"/>
    </xf>
    <xf numFmtId="0" fontId="3" fillId="9" borderId="28" xfId="0" applyFont="1" applyFill="1" applyBorder="1" applyAlignment="1">
      <alignment vertical="center"/>
    </xf>
    <xf numFmtId="166" fontId="12" fillId="9" borderId="29" xfId="0" applyNumberFormat="1" applyFont="1" applyFill="1" applyBorder="1" applyAlignment="1">
      <alignment vertical="center"/>
    </xf>
    <xf numFmtId="0" fontId="26" fillId="0" borderId="0" xfId="0" applyFont="1"/>
    <xf numFmtId="166" fontId="12" fillId="9" borderId="39" xfId="0" applyNumberFormat="1" applyFont="1" applyFill="1" applyBorder="1" applyAlignment="1">
      <alignment vertical="center"/>
    </xf>
    <xf numFmtId="0" fontId="3" fillId="9" borderId="39" xfId="0" applyFont="1" applyFill="1" applyBorder="1" applyAlignment="1">
      <alignment vertical="center"/>
    </xf>
    <xf numFmtId="166" fontId="12" fillId="9" borderId="40" xfId="0" applyNumberFormat="1" applyFont="1" applyFill="1" applyBorder="1" applyAlignment="1">
      <alignment vertical="center"/>
    </xf>
    <xf numFmtId="0" fontId="20" fillId="5" borderId="30" xfId="0" applyFont="1" applyFill="1" applyBorder="1" applyAlignment="1">
      <alignment horizontal="left" vertical="center"/>
    </xf>
    <xf numFmtId="0" fontId="1" fillId="5" borderId="31" xfId="0" applyFont="1" applyFill="1" applyBorder="1" applyAlignment="1">
      <alignment horizontal="center" vertical="center"/>
    </xf>
    <xf numFmtId="166" fontId="1" fillId="5" borderId="31" xfId="0" applyNumberFormat="1" applyFont="1" applyFill="1" applyBorder="1" applyAlignment="1">
      <alignment horizontal="left" vertical="center"/>
    </xf>
    <xf numFmtId="166" fontId="1" fillId="5" borderId="31" xfId="0" applyNumberFormat="1" applyFont="1" applyFill="1" applyBorder="1" applyAlignment="1">
      <alignment horizontal="center" vertical="center"/>
    </xf>
    <xf numFmtId="166" fontId="11" fillId="5" borderId="31" xfId="0" applyNumberFormat="1" applyFont="1" applyFill="1" applyBorder="1" applyAlignment="1">
      <alignment vertical="center"/>
    </xf>
    <xf numFmtId="166" fontId="1" fillId="5" borderId="32" xfId="0" applyNumberFormat="1" applyFont="1" applyFill="1" applyBorder="1" applyAlignment="1">
      <alignment vertical="center"/>
    </xf>
    <xf numFmtId="167" fontId="14" fillId="0" borderId="0" xfId="4" applyNumberFormat="1" applyFont="1"/>
    <xf numFmtId="167" fontId="14" fillId="0" borderId="0" xfId="0" applyNumberFormat="1" applyFont="1"/>
    <xf numFmtId="0" fontId="1" fillId="0" borderId="0" xfId="0" applyFont="1"/>
    <xf numFmtId="0" fontId="14" fillId="0" borderId="7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165" fontId="14" fillId="0" borderId="0" xfId="0" applyNumberFormat="1" applyFont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168" fontId="11" fillId="0" borderId="31" xfId="0" applyNumberFormat="1" applyFont="1" applyBorder="1" applyAlignment="1">
      <alignment horizontal="right" vertical="center"/>
    </xf>
    <xf numFmtId="43" fontId="0" fillId="0" borderId="0" xfId="4" applyFont="1"/>
    <xf numFmtId="0" fontId="20" fillId="0" borderId="35" xfId="0" applyFont="1" applyBorder="1" applyAlignment="1">
      <alignment horizontal="left" vertical="center" wrapText="1"/>
    </xf>
    <xf numFmtId="165" fontId="31" fillId="0" borderId="0" xfId="0" applyNumberFormat="1" applyFont="1"/>
    <xf numFmtId="0" fontId="18" fillId="5" borderId="27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/>
    </xf>
    <xf numFmtId="166" fontId="1" fillId="5" borderId="28" xfId="0" applyNumberFormat="1" applyFont="1" applyFill="1" applyBorder="1" applyAlignment="1">
      <alignment horizontal="left" vertical="center"/>
    </xf>
    <xf numFmtId="166" fontId="1" fillId="5" borderId="28" xfId="0" applyNumberFormat="1" applyFont="1" applyFill="1" applyBorder="1" applyAlignment="1">
      <alignment horizontal="right" vertical="center"/>
    </xf>
    <xf numFmtId="166" fontId="12" fillId="5" borderId="28" xfId="0" applyNumberFormat="1" applyFont="1" applyFill="1" applyBorder="1" applyAlignment="1">
      <alignment vertical="center"/>
    </xf>
    <xf numFmtId="166" fontId="1" fillId="5" borderId="29" xfId="0" applyNumberFormat="1" applyFont="1" applyFill="1" applyBorder="1" applyAlignment="1">
      <alignment vertical="center"/>
    </xf>
    <xf numFmtId="0" fontId="18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left" vertical="center" wrapText="1"/>
    </xf>
    <xf numFmtId="0" fontId="11" fillId="13" borderId="31" xfId="0" applyFont="1" applyFill="1" applyBorder="1" applyAlignment="1">
      <alignment horizontal="center" vertical="center"/>
    </xf>
    <xf numFmtId="166" fontId="1" fillId="13" borderId="31" xfId="0" applyNumberFormat="1" applyFont="1" applyFill="1" applyBorder="1" applyAlignment="1">
      <alignment horizontal="left" vertical="center"/>
    </xf>
    <xf numFmtId="166" fontId="1" fillId="13" borderId="31" xfId="0" applyNumberFormat="1" applyFont="1" applyFill="1" applyBorder="1" applyAlignment="1">
      <alignment vertical="center"/>
    </xf>
    <xf numFmtId="166" fontId="12" fillId="13" borderId="31" xfId="0" applyNumberFormat="1" applyFont="1" applyFill="1" applyBorder="1" applyAlignment="1">
      <alignment vertical="center"/>
    </xf>
    <xf numFmtId="166" fontId="1" fillId="13" borderId="32" xfId="0" applyNumberFormat="1" applyFont="1" applyFill="1" applyBorder="1" applyAlignment="1">
      <alignment vertical="center"/>
    </xf>
    <xf numFmtId="166" fontId="3" fillId="0" borderId="31" xfId="0" applyNumberFormat="1" applyFont="1" applyBorder="1" applyAlignment="1">
      <alignment horizontal="left" vertical="center"/>
    </xf>
    <xf numFmtId="0" fontId="18" fillId="13" borderId="27" xfId="0" applyFont="1" applyFill="1" applyBorder="1" applyAlignment="1">
      <alignment horizontal="center" vertical="center" wrapText="1"/>
    </xf>
    <xf numFmtId="0" fontId="1" fillId="13" borderId="28" xfId="0" applyFont="1" applyFill="1" applyBorder="1" applyAlignment="1">
      <alignment horizontal="center" vertical="center"/>
    </xf>
    <xf numFmtId="166" fontId="1" fillId="13" borderId="28" xfId="0" applyNumberFormat="1" applyFont="1" applyFill="1" applyBorder="1" applyAlignment="1">
      <alignment horizontal="left" vertical="center"/>
    </xf>
    <xf numFmtId="166" fontId="1" fillId="13" borderId="28" xfId="0" applyNumberFormat="1" applyFont="1" applyFill="1" applyBorder="1" applyAlignment="1">
      <alignment horizontal="right" vertical="center"/>
    </xf>
    <xf numFmtId="166" fontId="12" fillId="13" borderId="28" xfId="0" applyNumberFormat="1" applyFont="1" applyFill="1" applyBorder="1" applyAlignment="1">
      <alignment vertical="center"/>
    </xf>
    <xf numFmtId="166" fontId="1" fillId="13" borderId="29" xfId="0" applyNumberFormat="1" applyFont="1" applyFill="1" applyBorder="1" applyAlignment="1">
      <alignment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168" fontId="25" fillId="0" borderId="4" xfId="0" applyNumberFormat="1" applyFont="1" applyBorder="1" applyAlignment="1">
      <alignment horizontal="right" vertical="center"/>
    </xf>
    <xf numFmtId="166" fontId="25" fillId="0" borderId="46" xfId="0" applyNumberFormat="1" applyFont="1" applyBorder="1" applyAlignment="1">
      <alignment vertical="center"/>
    </xf>
    <xf numFmtId="166" fontId="25" fillId="0" borderId="63" xfId="0" applyNumberFormat="1" applyFont="1" applyBorder="1" applyAlignment="1">
      <alignment vertical="center"/>
    </xf>
    <xf numFmtId="166" fontId="25" fillId="0" borderId="64" xfId="0" applyNumberFormat="1" applyFont="1" applyBorder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6" fontId="3" fillId="0" borderId="31" xfId="0" applyNumberFormat="1" applyFont="1" applyBorder="1" applyAlignment="1">
      <alignment horizontal="center" vertical="center"/>
    </xf>
    <xf numFmtId="166" fontId="3" fillId="0" borderId="32" xfId="0" applyNumberFormat="1" applyFont="1" applyBorder="1" applyAlignment="1">
      <alignment vertical="center"/>
    </xf>
    <xf numFmtId="168" fontId="35" fillId="0" borderId="48" xfId="0" applyNumberFormat="1" applyFont="1" applyBorder="1" applyAlignment="1">
      <alignment horizontal="right" vertical="top"/>
    </xf>
    <xf numFmtId="166" fontId="35" fillId="0" borderId="49" xfId="0" applyNumberFormat="1" applyFont="1" applyBorder="1" applyAlignment="1">
      <alignment vertical="center"/>
    </xf>
    <xf numFmtId="166" fontId="35" fillId="0" borderId="31" xfId="0" applyNumberFormat="1" applyFont="1" applyBorder="1" applyAlignment="1">
      <alignment vertical="center"/>
    </xf>
    <xf numFmtId="166" fontId="35" fillId="0" borderId="50" xfId="0" applyNumberFormat="1" applyFont="1" applyBorder="1" applyAlignment="1">
      <alignment vertical="center"/>
    </xf>
    <xf numFmtId="0" fontId="18" fillId="5" borderId="2" xfId="0" applyFont="1" applyFill="1" applyBorder="1" applyAlignment="1">
      <alignment horizontal="center" vertical="center"/>
    </xf>
    <xf numFmtId="168" fontId="18" fillId="5" borderId="31" xfId="0" applyNumberFormat="1" applyFont="1" applyFill="1" applyBorder="1" applyAlignment="1">
      <alignment horizontal="right" vertical="center"/>
    </xf>
    <xf numFmtId="168" fontId="18" fillId="5" borderId="48" xfId="0" applyNumberFormat="1" applyFont="1" applyFill="1" applyBorder="1" applyAlignment="1">
      <alignment horizontal="right" vertical="center"/>
    </xf>
    <xf numFmtId="166" fontId="18" fillId="5" borderId="66" xfId="0" applyNumberFormat="1" applyFont="1" applyFill="1" applyBorder="1" applyAlignment="1">
      <alignment vertical="center"/>
    </xf>
    <xf numFmtId="166" fontId="18" fillId="5" borderId="57" xfId="0" applyNumberFormat="1" applyFont="1" applyFill="1" applyBorder="1" applyAlignment="1">
      <alignment vertical="center"/>
    </xf>
    <xf numFmtId="166" fontId="18" fillId="5" borderId="65" xfId="0" applyNumberFormat="1" applyFont="1" applyFill="1" applyBorder="1" applyAlignment="1">
      <alignment vertical="center"/>
    </xf>
    <xf numFmtId="0" fontId="18" fillId="5" borderId="48" xfId="0" applyFont="1" applyFill="1" applyBorder="1" applyAlignment="1">
      <alignment horizontal="center" vertical="center"/>
    </xf>
    <xf numFmtId="166" fontId="18" fillId="5" borderId="67" xfId="0" applyNumberFormat="1" applyFont="1" applyFill="1" applyBorder="1" applyAlignment="1">
      <alignment vertical="center"/>
    </xf>
    <xf numFmtId="166" fontId="18" fillId="5" borderId="39" xfId="0" applyNumberFormat="1" applyFont="1" applyFill="1" applyBorder="1" applyAlignment="1">
      <alignment vertical="center"/>
    </xf>
    <xf numFmtId="166" fontId="18" fillId="5" borderId="62" xfId="0" applyNumberFormat="1" applyFont="1" applyFill="1" applyBorder="1" applyAlignment="1">
      <alignment vertical="center"/>
    </xf>
    <xf numFmtId="0" fontId="18" fillId="5" borderId="51" xfId="0" applyFont="1" applyFill="1" applyBorder="1" applyAlignment="1">
      <alignment horizontal="left" vertical="center" wrapText="1"/>
    </xf>
    <xf numFmtId="0" fontId="33" fillId="5" borderId="49" xfId="0" applyFont="1" applyFill="1" applyBorder="1" applyAlignment="1">
      <alignment vertical="center"/>
    </xf>
    <xf numFmtId="165" fontId="34" fillId="5" borderId="31" xfId="0" applyNumberFormat="1" applyFont="1" applyFill="1" applyBorder="1" applyAlignment="1">
      <alignment horizontal="center" vertical="center"/>
    </xf>
    <xf numFmtId="0" fontId="33" fillId="5" borderId="50" xfId="0" applyFont="1" applyFill="1" applyBorder="1" applyAlignment="1">
      <alignment vertical="top"/>
    </xf>
    <xf numFmtId="168" fontId="18" fillId="5" borderId="48" xfId="0" applyNumberFormat="1" applyFont="1" applyFill="1" applyBorder="1" applyAlignment="1">
      <alignment horizontal="right" vertical="top"/>
    </xf>
    <xf numFmtId="166" fontId="18" fillId="5" borderId="68" xfId="0" applyNumberFormat="1" applyFont="1" applyFill="1" applyBorder="1" applyAlignment="1">
      <alignment vertical="center"/>
    </xf>
    <xf numFmtId="166" fontId="18" fillId="5" borderId="25" xfId="0" applyNumberFormat="1" applyFont="1" applyFill="1" applyBorder="1" applyAlignment="1">
      <alignment vertical="center"/>
    </xf>
    <xf numFmtId="166" fontId="18" fillId="5" borderId="69" xfId="0" applyNumberFormat="1" applyFont="1" applyFill="1" applyBorder="1" applyAlignment="1">
      <alignment vertical="center"/>
    </xf>
    <xf numFmtId="168" fontId="34" fillId="5" borderId="54" xfId="0" applyNumberFormat="1" applyFont="1" applyFill="1" applyBorder="1" applyAlignment="1">
      <alignment horizontal="right" vertical="top"/>
    </xf>
    <xf numFmtId="0" fontId="34" fillId="5" borderId="71" xfId="0" applyFont="1" applyFill="1" applyBorder="1" applyAlignment="1">
      <alignment vertical="center"/>
    </xf>
    <xf numFmtId="0" fontId="34" fillId="5" borderId="54" xfId="0" applyFont="1" applyFill="1" applyBorder="1"/>
    <xf numFmtId="0" fontId="34" fillId="5" borderId="72" xfId="0" applyFont="1" applyFill="1" applyBorder="1"/>
    <xf numFmtId="0" fontId="18" fillId="5" borderId="47" xfId="0" applyFont="1" applyFill="1" applyBorder="1" applyAlignment="1">
      <alignment horizontal="left" vertical="center"/>
    </xf>
    <xf numFmtId="0" fontId="18" fillId="5" borderId="51" xfId="0" applyFont="1" applyFill="1" applyBorder="1" applyAlignment="1">
      <alignment horizontal="left" vertical="center"/>
    </xf>
    <xf numFmtId="0" fontId="18" fillId="5" borderId="70" xfId="0" applyFont="1" applyFill="1" applyBorder="1" applyAlignment="1">
      <alignment horizontal="left" vertical="center" wrapText="1"/>
    </xf>
    <xf numFmtId="0" fontId="32" fillId="0" borderId="51" xfId="0" applyFont="1" applyBorder="1" applyAlignment="1">
      <alignment horizontal="left" vertical="center" indent="1"/>
    </xf>
    <xf numFmtId="0" fontId="14" fillId="0" borderId="0" xfId="0" applyFont="1" applyAlignment="1">
      <alignment horizontal="left" textRotation="255"/>
    </xf>
    <xf numFmtId="0" fontId="36" fillId="0" borderId="19" xfId="0" applyFont="1" applyBorder="1" applyAlignment="1">
      <alignment horizontal="right"/>
    </xf>
    <xf numFmtId="0" fontId="20" fillId="12" borderId="60" xfId="0" applyFont="1" applyFill="1" applyBorder="1" applyAlignment="1">
      <alignment horizontal="left" vertical="center" wrapText="1"/>
    </xf>
    <xf numFmtId="168" fontId="11" fillId="0" borderId="57" xfId="0" applyNumberFormat="1" applyFont="1" applyBorder="1" applyAlignment="1">
      <alignment horizontal="right" vertical="center"/>
    </xf>
    <xf numFmtId="0" fontId="37" fillId="5" borderId="54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11" fillId="12" borderId="31" xfId="0" applyFont="1" applyFill="1" applyBorder="1" applyAlignment="1">
      <alignment horizontal="center" vertical="center"/>
    </xf>
    <xf numFmtId="0" fontId="11" fillId="12" borderId="57" xfId="0" applyFont="1" applyFill="1" applyBorder="1" applyAlignment="1">
      <alignment horizontal="center" vertical="center"/>
    </xf>
    <xf numFmtId="165" fontId="3" fillId="0" borderId="31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65" fontId="3" fillId="0" borderId="57" xfId="0" applyNumberFormat="1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38" fillId="0" borderId="30" xfId="0" applyFont="1" applyBorder="1" applyAlignment="1">
      <alignment horizontal="left" vertical="top" wrapText="1"/>
    </xf>
    <xf numFmtId="0" fontId="39" fillId="0" borderId="31" xfId="0" applyFont="1" applyBorder="1" applyAlignment="1">
      <alignment horizontal="center" vertical="center"/>
    </xf>
    <xf numFmtId="166" fontId="38" fillId="0" borderId="31" xfId="0" applyNumberFormat="1" applyFont="1" applyBorder="1" applyAlignment="1">
      <alignment horizontal="left" vertical="center"/>
    </xf>
    <xf numFmtId="166" fontId="38" fillId="0" borderId="31" xfId="0" applyNumberFormat="1" applyFont="1" applyBorder="1" applyAlignment="1">
      <alignment vertical="center"/>
    </xf>
    <xf numFmtId="166" fontId="39" fillId="0" borderId="31" xfId="0" applyNumberFormat="1" applyFont="1" applyBorder="1" applyAlignment="1">
      <alignment vertical="center"/>
    </xf>
    <xf numFmtId="166" fontId="38" fillId="0" borderId="32" xfId="0" applyNumberFormat="1" applyFont="1" applyBorder="1" applyAlignment="1">
      <alignment vertical="center"/>
    </xf>
    <xf numFmtId="166" fontId="38" fillId="0" borderId="31" xfId="0" applyNumberFormat="1" applyFont="1" applyBorder="1" applyAlignment="1">
      <alignment horizontal="center" vertical="center"/>
    </xf>
    <xf numFmtId="166" fontId="38" fillId="0" borderId="31" xfId="0" applyNumberFormat="1" applyFont="1" applyBorder="1" applyAlignment="1">
      <alignment horizontal="center" vertical="center" wrapText="1"/>
    </xf>
    <xf numFmtId="0" fontId="0" fillId="0" borderId="31" xfId="0" applyBorder="1"/>
    <xf numFmtId="169" fontId="0" fillId="0" borderId="0" xfId="0" applyNumberFormat="1"/>
    <xf numFmtId="0" fontId="41" fillId="0" borderId="1" xfId="0" applyFont="1" applyBorder="1" applyAlignment="1">
      <alignment horizontal="center" vertical="center" wrapText="1"/>
    </xf>
    <xf numFmtId="165" fontId="41" fillId="0" borderId="1" xfId="0" applyNumberFormat="1" applyFont="1" applyBorder="1" applyAlignment="1">
      <alignment horizontal="center" vertical="center"/>
    </xf>
    <xf numFmtId="168" fontId="45" fillId="5" borderId="54" xfId="0" applyNumberFormat="1" applyFont="1" applyFill="1" applyBorder="1" applyAlignment="1">
      <alignment horizontal="right" vertical="center"/>
    </xf>
    <xf numFmtId="168" fontId="46" fillId="0" borderId="48" xfId="0" applyNumberFormat="1" applyFont="1" applyBorder="1" applyAlignment="1">
      <alignment horizontal="right" vertical="center"/>
    </xf>
    <xf numFmtId="168" fontId="47" fillId="0" borderId="31" xfId="0" applyNumberFormat="1" applyFont="1" applyBorder="1" applyAlignment="1">
      <alignment horizontal="right" vertical="center"/>
    </xf>
    <xf numFmtId="168" fontId="47" fillId="0" borderId="57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/>
    </xf>
    <xf numFmtId="0" fontId="0" fillId="0" borderId="0" xfId="0" applyAlignment="1">
      <alignment vertical="top" wrapText="1"/>
    </xf>
    <xf numFmtId="0" fontId="22" fillId="0" borderId="8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8" fillId="5" borderId="73" xfId="0" applyFont="1" applyFill="1" applyBorder="1" applyAlignment="1">
      <alignment horizontal="center" vertical="center" wrapText="1"/>
    </xf>
    <xf numFmtId="0" fontId="2" fillId="13" borderId="74" xfId="0" applyFont="1" applyFill="1" applyBorder="1" applyAlignment="1">
      <alignment horizontal="left" vertical="center" wrapText="1"/>
    </xf>
    <xf numFmtId="0" fontId="18" fillId="0" borderId="74" xfId="0" applyFont="1" applyBorder="1" applyAlignment="1">
      <alignment horizontal="left" vertical="center"/>
    </xf>
    <xf numFmtId="0" fontId="38" fillId="0" borderId="74" xfId="0" applyFont="1" applyBorder="1" applyAlignment="1">
      <alignment horizontal="left" vertical="top" wrapText="1"/>
    </xf>
    <xf numFmtId="0" fontId="20" fillId="0" borderId="74" xfId="0" applyFont="1" applyBorder="1" applyAlignment="1">
      <alignment horizontal="left" vertical="top" wrapText="1"/>
    </xf>
    <xf numFmtId="0" fontId="20" fillId="0" borderId="75" xfId="0" applyFont="1" applyBorder="1" applyAlignment="1">
      <alignment horizontal="left" vertical="top" wrapText="1"/>
    </xf>
    <xf numFmtId="166" fontId="12" fillId="13" borderId="49" xfId="0" applyNumberFormat="1" applyFont="1" applyFill="1" applyBorder="1" applyAlignment="1">
      <alignment vertical="center"/>
    </xf>
    <xf numFmtId="166" fontId="11" fillId="0" borderId="49" xfId="0" applyNumberFormat="1" applyFont="1" applyBorder="1" applyAlignment="1">
      <alignment vertical="center"/>
    </xf>
    <xf numFmtId="166" fontId="12" fillId="0" borderId="49" xfId="0" applyNumberFormat="1" applyFont="1" applyBorder="1" applyAlignment="1">
      <alignment vertical="center"/>
    </xf>
    <xf numFmtId="166" fontId="11" fillId="0" borderId="76" xfId="0" applyNumberFormat="1" applyFont="1" applyBorder="1" applyAlignment="1">
      <alignment vertical="center"/>
    </xf>
    <xf numFmtId="0" fontId="39" fillId="0" borderId="49" xfId="0" applyFont="1" applyBorder="1" applyAlignment="1">
      <alignment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/>
    </xf>
    <xf numFmtId="0" fontId="1" fillId="11" borderId="51" xfId="0" applyFont="1" applyFill="1" applyBorder="1" applyAlignment="1">
      <alignment horizontal="left" vertical="top" indent="1"/>
    </xf>
    <xf numFmtId="0" fontId="1" fillId="11" borderId="47" xfId="0" applyFont="1" applyFill="1" applyBorder="1" applyAlignment="1">
      <alignment horizontal="left" vertical="top" indent="1"/>
    </xf>
    <xf numFmtId="0" fontId="1" fillId="11" borderId="38" xfId="0" applyFont="1" applyFill="1" applyBorder="1" applyAlignment="1">
      <alignment horizontal="left" vertical="top" indent="1"/>
    </xf>
    <xf numFmtId="0" fontId="11" fillId="11" borderId="48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11" borderId="39" xfId="0" applyFont="1" applyFill="1" applyBorder="1" applyAlignment="1">
      <alignment horizontal="center" vertical="center"/>
    </xf>
    <xf numFmtId="166" fontId="11" fillId="11" borderId="48" xfId="0" applyNumberFormat="1" applyFont="1" applyFill="1" applyBorder="1" applyAlignment="1">
      <alignment vertical="center"/>
    </xf>
    <xf numFmtId="166" fontId="11" fillId="11" borderId="2" xfId="0" applyNumberFormat="1" applyFont="1" applyFill="1" applyBorder="1" applyAlignment="1">
      <alignment vertical="center"/>
    </xf>
    <xf numFmtId="166" fontId="11" fillId="11" borderId="39" xfId="0" applyNumberFormat="1" applyFont="1" applyFill="1" applyBorder="1" applyAlignment="1">
      <alignment vertical="center"/>
    </xf>
    <xf numFmtId="166" fontId="11" fillId="11" borderId="48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166" fontId="11" fillId="11" borderId="39" xfId="0" applyNumberFormat="1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top" wrapText="1"/>
    </xf>
    <xf numFmtId="0" fontId="20" fillId="0" borderId="47" xfId="0" applyFont="1" applyBorder="1" applyAlignment="1">
      <alignment horizontal="left" vertical="top"/>
    </xf>
    <xf numFmtId="0" fontId="11" fillId="0" borderId="4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6" fontId="11" fillId="0" borderId="31" xfId="0" applyNumberFormat="1" applyFont="1" applyBorder="1" applyAlignment="1">
      <alignment vertical="center"/>
    </xf>
    <xf numFmtId="166" fontId="11" fillId="0" borderId="48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6" fontId="11" fillId="0" borderId="39" xfId="0" applyNumberFormat="1" applyFont="1" applyBorder="1" applyAlignment="1">
      <alignment horizontal="center" vertical="center"/>
    </xf>
    <xf numFmtId="0" fontId="18" fillId="9" borderId="45" xfId="0" applyFont="1" applyFill="1" applyBorder="1" applyAlignment="1">
      <alignment horizontal="center" vertical="center" wrapText="1"/>
    </xf>
    <xf numFmtId="0" fontId="18" fillId="9" borderId="47" xfId="0" applyFont="1" applyFill="1" applyBorder="1" applyAlignment="1">
      <alignment horizontal="center" vertical="center" wrapText="1"/>
    </xf>
    <xf numFmtId="0" fontId="18" fillId="9" borderId="38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center" vertical="center"/>
    </xf>
    <xf numFmtId="166" fontId="12" fillId="9" borderId="4" xfId="0" applyNumberFormat="1" applyFont="1" applyFill="1" applyBorder="1" applyAlignment="1">
      <alignment vertical="center"/>
    </xf>
    <xf numFmtId="166" fontId="12" fillId="9" borderId="2" xfId="0" applyNumberFormat="1" applyFont="1" applyFill="1" applyBorder="1" applyAlignment="1">
      <alignment vertical="center"/>
    </xf>
    <xf numFmtId="166" fontId="12" fillId="9" borderId="39" xfId="0" applyNumberFormat="1" applyFont="1" applyFill="1" applyBorder="1" applyAlignment="1">
      <alignment vertical="center"/>
    </xf>
    <xf numFmtId="166" fontId="12" fillId="9" borderId="4" xfId="0" applyNumberFormat="1" applyFont="1" applyFill="1" applyBorder="1" applyAlignment="1">
      <alignment horizontal="center" vertical="center"/>
    </xf>
    <xf numFmtId="166" fontId="12" fillId="9" borderId="2" xfId="0" applyNumberFormat="1" applyFont="1" applyFill="1" applyBorder="1" applyAlignment="1">
      <alignment horizontal="center" vertical="center"/>
    </xf>
    <xf numFmtId="166" fontId="12" fillId="9" borderId="39" xfId="0" applyNumberFormat="1" applyFont="1" applyFill="1" applyBorder="1" applyAlignment="1">
      <alignment horizontal="center" vertical="center"/>
    </xf>
    <xf numFmtId="0" fontId="21" fillId="10" borderId="47" xfId="0" applyFont="1" applyFill="1" applyBorder="1" applyAlignment="1">
      <alignment horizontal="left" vertical="top"/>
    </xf>
    <xf numFmtId="0" fontId="21" fillId="10" borderId="38" xfId="0" applyFont="1" applyFill="1" applyBorder="1" applyAlignment="1">
      <alignment horizontal="left" vertical="top"/>
    </xf>
    <xf numFmtId="0" fontId="1" fillId="10" borderId="2" xfId="0" applyFont="1" applyFill="1" applyBorder="1" applyAlignment="1">
      <alignment horizontal="center" vertical="center"/>
    </xf>
    <xf numFmtId="0" fontId="1" fillId="10" borderId="39" xfId="0" applyFont="1" applyFill="1" applyBorder="1" applyAlignment="1">
      <alignment horizontal="center" vertical="center"/>
    </xf>
    <xf numFmtId="166" fontId="11" fillId="10" borderId="31" xfId="0" applyNumberFormat="1" applyFont="1" applyFill="1" applyBorder="1" applyAlignment="1">
      <alignment vertical="center"/>
    </xf>
    <xf numFmtId="166" fontId="11" fillId="10" borderId="48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6" fontId="11" fillId="10" borderId="3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left" vertical="top" wrapText="1"/>
    </xf>
    <xf numFmtId="0" fontId="11" fillId="0" borderId="31" xfId="0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/>
    </xf>
    <xf numFmtId="0" fontId="16" fillId="0" borderId="30" xfId="0" applyFont="1" applyBorder="1" applyAlignment="1">
      <alignment horizontal="left" vertical="top"/>
    </xf>
    <xf numFmtId="0" fontId="1" fillId="0" borderId="51" xfId="0" applyFont="1" applyBorder="1" applyAlignment="1">
      <alignment horizontal="left" vertical="top" wrapText="1"/>
    </xf>
    <xf numFmtId="0" fontId="1" fillId="0" borderId="47" xfId="0" applyFont="1" applyBorder="1" applyAlignment="1">
      <alignment horizontal="left" vertical="top" wrapText="1"/>
    </xf>
    <xf numFmtId="0" fontId="1" fillId="0" borderId="38" xfId="0" applyFont="1" applyBorder="1" applyAlignment="1">
      <alignment horizontal="left" vertical="top" wrapText="1"/>
    </xf>
    <xf numFmtId="0" fontId="11" fillId="0" borderId="39" xfId="0" applyFont="1" applyBorder="1" applyAlignment="1">
      <alignment horizontal="center" vertical="center"/>
    </xf>
    <xf numFmtId="166" fontId="11" fillId="0" borderId="48" xfId="0" applyNumberFormat="1" applyFont="1" applyBorder="1" applyAlignment="1">
      <alignment vertical="center"/>
    </xf>
    <xf numFmtId="166" fontId="11" fillId="0" borderId="2" xfId="0" applyNumberFormat="1" applyFont="1" applyBorder="1" applyAlignment="1">
      <alignment vertical="center"/>
    </xf>
    <xf numFmtId="166" fontId="11" fillId="0" borderId="39" xfId="0" applyNumberFormat="1" applyFont="1" applyBorder="1" applyAlignment="1">
      <alignment vertical="center"/>
    </xf>
    <xf numFmtId="0" fontId="1" fillId="0" borderId="51" xfId="0" applyFont="1" applyBorder="1" applyAlignment="1">
      <alignment horizontal="left" vertical="top"/>
    </xf>
    <xf numFmtId="0" fontId="1" fillId="0" borderId="47" xfId="0" applyFont="1" applyBorder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1" fillId="0" borderId="3" xfId="0" applyFont="1" applyBorder="1" applyAlignment="1">
      <alignment horizontal="center" vertical="center"/>
    </xf>
    <xf numFmtId="166" fontId="11" fillId="0" borderId="3" xfId="0" applyNumberFormat="1" applyFont="1" applyBorder="1" applyAlignment="1">
      <alignment vertical="center"/>
    </xf>
    <xf numFmtId="166" fontId="11" fillId="0" borderId="3" xfId="0" applyNumberFormat="1" applyFont="1" applyBorder="1" applyAlignment="1">
      <alignment horizontal="center" vertical="center"/>
    </xf>
    <xf numFmtId="0" fontId="21" fillId="10" borderId="53" xfId="0" applyFont="1" applyFill="1" applyBorder="1" applyAlignment="1">
      <alignment horizontal="left" vertical="top" wrapText="1"/>
    </xf>
    <xf numFmtId="0" fontId="21" fillId="10" borderId="47" xfId="0" applyFont="1" applyFill="1" applyBorder="1" applyAlignment="1">
      <alignment horizontal="left" vertical="top" wrapText="1"/>
    </xf>
    <xf numFmtId="0" fontId="21" fillId="10" borderId="38" xfId="0" applyFont="1" applyFill="1" applyBorder="1" applyAlignment="1">
      <alignment horizontal="left" vertical="top" wrapText="1"/>
    </xf>
    <xf numFmtId="0" fontId="11" fillId="10" borderId="54" xfId="0" applyFont="1" applyFill="1" applyBorder="1" applyAlignment="1">
      <alignment horizontal="center" vertical="center"/>
    </xf>
    <xf numFmtId="0" fontId="11" fillId="10" borderId="31" xfId="0" applyFont="1" applyFill="1" applyBorder="1" applyAlignment="1">
      <alignment horizontal="center" vertical="center"/>
    </xf>
    <xf numFmtId="166" fontId="11" fillId="10" borderId="54" xfId="0" applyNumberFormat="1" applyFont="1" applyFill="1" applyBorder="1" applyAlignment="1">
      <alignment vertical="center"/>
    </xf>
    <xf numFmtId="166" fontId="11" fillId="10" borderId="25" xfId="0" applyNumberFormat="1" applyFont="1" applyFill="1" applyBorder="1" applyAlignment="1">
      <alignment horizontal="center" vertical="center"/>
    </xf>
    <xf numFmtId="165" fontId="1" fillId="0" borderId="30" xfId="0" applyNumberFormat="1" applyFont="1" applyBorder="1" applyAlignment="1">
      <alignment horizontal="left" vertical="top" wrapText="1"/>
    </xf>
    <xf numFmtId="0" fontId="27" fillId="0" borderId="2" xfId="0" applyFont="1" applyBorder="1" applyAlignment="1">
      <alignment horizontal="center" vertical="center"/>
    </xf>
    <xf numFmtId="166" fontId="27" fillId="0" borderId="39" xfId="0" applyNumberFormat="1" applyFont="1" applyBorder="1" applyAlignment="1">
      <alignment vertical="center"/>
    </xf>
    <xf numFmtId="166" fontId="27" fillId="0" borderId="31" xfId="0" applyNumberFormat="1" applyFont="1" applyBorder="1" applyAlignment="1">
      <alignment vertical="center"/>
    </xf>
    <xf numFmtId="0" fontId="1" fillId="0" borderId="35" xfId="0" applyFont="1" applyBorder="1" applyAlignment="1">
      <alignment horizontal="left" vertical="top" wrapText="1"/>
    </xf>
    <xf numFmtId="0" fontId="11" fillId="0" borderId="36" xfId="0" applyFont="1" applyBorder="1" applyAlignment="1">
      <alignment horizontal="center" vertical="center"/>
    </xf>
    <xf numFmtId="166" fontId="11" fillId="0" borderId="36" xfId="0" applyNumberFormat="1" applyFont="1" applyBorder="1" applyAlignment="1">
      <alignment vertical="center"/>
    </xf>
    <xf numFmtId="166" fontId="11" fillId="0" borderId="56" xfId="0" applyNumberFormat="1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1" fillId="0" borderId="60" xfId="0" applyFont="1" applyBorder="1" applyAlignment="1">
      <alignment horizontal="left" vertical="top" wrapText="1"/>
    </xf>
    <xf numFmtId="0" fontId="11" fillId="0" borderId="57" xfId="0" applyFont="1" applyBorder="1" applyAlignment="1">
      <alignment horizontal="center" vertical="center"/>
    </xf>
    <xf numFmtId="166" fontId="11" fillId="0" borderId="57" xfId="0" applyNumberFormat="1" applyFont="1" applyBorder="1" applyAlignment="1">
      <alignment vertical="center"/>
    </xf>
    <xf numFmtId="0" fontId="1" fillId="11" borderId="53" xfId="0" applyFont="1" applyFill="1" applyBorder="1" applyAlignment="1">
      <alignment horizontal="left" vertical="top" indent="1"/>
    </xf>
    <xf numFmtId="0" fontId="1" fillId="11" borderId="55" xfId="0" applyFont="1" applyFill="1" applyBorder="1" applyAlignment="1">
      <alignment horizontal="left" vertical="top" indent="1"/>
    </xf>
    <xf numFmtId="0" fontId="11" fillId="11" borderId="25" xfId="0" applyFont="1" applyFill="1" applyBorder="1" applyAlignment="1">
      <alignment horizontal="center" vertical="center"/>
    </xf>
    <xf numFmtId="0" fontId="11" fillId="11" borderId="56" xfId="0" applyFont="1" applyFill="1" applyBorder="1" applyAlignment="1">
      <alignment horizontal="center" vertical="center"/>
    </xf>
    <xf numFmtId="166" fontId="11" fillId="11" borderId="25" xfId="0" applyNumberFormat="1" applyFont="1" applyFill="1" applyBorder="1" applyAlignment="1">
      <alignment vertical="center"/>
    </xf>
    <xf numFmtId="166" fontId="11" fillId="11" borderId="56" xfId="0" applyNumberFormat="1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40" fillId="0" borderId="21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0" fontId="43" fillId="0" borderId="15" xfId="0" applyFont="1" applyBorder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3" fillId="0" borderId="41" xfId="0" applyFont="1" applyBorder="1" applyAlignment="1">
      <alignment horizontal="center" vertical="center" wrapText="1"/>
    </xf>
    <xf numFmtId="0" fontId="43" fillId="0" borderId="4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</cellXfs>
  <cellStyles count="5">
    <cellStyle name="Comma" xfId="4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</cellStyles>
  <dxfs count="0"/>
  <tableStyles count="0" defaultTableStyle="TableStyleMedium2" defaultPivotStyle="PivotStyleMedium9"/>
  <colors>
    <mruColors>
      <color rgb="FF3366CC"/>
      <color rgb="FF66FFFF"/>
      <color rgb="FF0033CC"/>
      <color rgb="FFCCFFFF"/>
      <color rgb="FF00CC99"/>
      <color rgb="FF00FF00"/>
      <color rgb="FF00CCFF"/>
      <color rgb="FFF3F9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ស្ថានភាព ក.វ.ស របស់ កសហវ. ឆ្នាំ២០១៦</a:t>
            </a:r>
            <a:r>
              <a:rPr lang="en-US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 </a:t>
            </a: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(ឯកតា៖លានរៀល)</a:t>
            </a:r>
            <a:endParaRPr lang="en-US" sz="11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3188888888888889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'2016'!$A$4</c:f>
              <c:strCache>
                <c:ptCount val="1"/>
                <c:pt idx="0">
                  <c:v>ហិ/រ ក្នុងប្រ/ទ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'2016'!$B$3:$D$3</c:f>
              <c:strCache>
                <c:ptCount val="3"/>
                <c:pt idx="0">
                  <c:v>សំណើរួម</c:v>
                </c:pt>
                <c:pt idx="1">
                  <c:v>ថវិកាអនុម័ត</c:v>
                </c:pt>
                <c:pt idx="2">
                  <c:v>អនុវត្តជាក់ស្តែង</c:v>
                </c:pt>
              </c:strCache>
            </c:strRef>
          </c:cat>
          <c:val>
            <c:numRef>
              <c:f>'2016'!$B$4:$D$4</c:f>
              <c:numCache>
                <c:formatCode>_-* #,##0.0_-;\-* #,##0.0_-;_-* "-"??_-;_-@_-</c:formatCode>
                <c:ptCount val="3"/>
                <c:pt idx="0">
                  <c:v>44862</c:v>
                </c:pt>
                <c:pt idx="1">
                  <c:v>13624</c:v>
                </c:pt>
                <c:pt idx="2">
                  <c:v>13624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6-44ED-86FA-8CBB27B0052C}"/>
            </c:ext>
          </c:extLst>
        </c:ser>
        <c:ser>
          <c:idx val="1"/>
          <c:order val="1"/>
          <c:tx>
            <c:strRef>
              <c:f>'2016'!$A$5</c:f>
              <c:strCache>
                <c:ptCount val="1"/>
                <c:pt idx="0">
                  <c:v>ហិ/រ ក្រៅប្រ/ទ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'2016'!$B$3:$D$3</c:f>
              <c:strCache>
                <c:ptCount val="3"/>
                <c:pt idx="0">
                  <c:v>សំណើរួម</c:v>
                </c:pt>
                <c:pt idx="1">
                  <c:v>ថវិកាអនុម័ត</c:v>
                </c:pt>
                <c:pt idx="2">
                  <c:v>អនុវត្តជាក់ស្តែង</c:v>
                </c:pt>
              </c:strCache>
            </c:strRef>
          </c:cat>
          <c:val>
            <c:numRef>
              <c:f>'2016'!$B$5:$D$5</c:f>
              <c:numCache>
                <c:formatCode>_-* #,##0.0_-;\-* #,##0.0_-;_-* "-"??_-;_-@_-</c:formatCode>
                <c:ptCount val="3"/>
                <c:pt idx="0">
                  <c:v>149113.4</c:v>
                </c:pt>
                <c:pt idx="1">
                  <c:v>140446</c:v>
                </c:pt>
                <c:pt idx="2">
                  <c:v>58177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B6-44ED-86FA-8CBB27B0052C}"/>
            </c:ext>
          </c:extLst>
        </c:ser>
        <c:ser>
          <c:idx val="2"/>
          <c:order val="2"/>
          <c:tx>
            <c:strRef>
              <c:f>'2016'!$A$6</c:f>
              <c:strCache>
                <c:ptCount val="1"/>
                <c:pt idx="0">
                  <c:v>សរុបរួម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'2016'!$B$3:$D$3</c:f>
              <c:strCache>
                <c:ptCount val="3"/>
                <c:pt idx="0">
                  <c:v>សំណើរួម</c:v>
                </c:pt>
                <c:pt idx="1">
                  <c:v>ថវិកាអនុម័ត</c:v>
                </c:pt>
                <c:pt idx="2">
                  <c:v>អនុវត្តជាក់ស្តែង</c:v>
                </c:pt>
              </c:strCache>
            </c:strRef>
          </c:cat>
          <c:val>
            <c:numRef>
              <c:f>'2016'!$B$6:$D$6</c:f>
              <c:numCache>
                <c:formatCode>_-* #,##0.0_-;\-* #,##0.0_-;_-* "-"??_-;_-@_-</c:formatCode>
                <c:ptCount val="3"/>
                <c:pt idx="0">
                  <c:v>193975.4</c:v>
                </c:pt>
                <c:pt idx="1">
                  <c:v>154070</c:v>
                </c:pt>
                <c:pt idx="2">
                  <c:v>71801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B6-44ED-86FA-8CBB27B005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5892096"/>
        <c:axId val="125893632"/>
      </c:barChart>
      <c:catAx>
        <c:axId val="12589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5893632"/>
        <c:crosses val="autoZero"/>
        <c:auto val="1"/>
        <c:lblAlgn val="ctr"/>
        <c:lblOffset val="100"/>
        <c:noMultiLvlLbl val="0"/>
      </c:catAx>
      <c:valAx>
        <c:axId val="12589363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crossAx val="12589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50708661417323"/>
          <c:y val="0.85885097696121315"/>
          <c:w val="0.58985826771653538"/>
          <c:h val="0.11337124526100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ស្ថានភាព ក.វ.ស របស់ កសហវ. ឆ្នាំ២០១៧</a:t>
            </a:r>
            <a:r>
              <a:rPr lang="en-US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 </a:t>
            </a: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(ឯកតា៖លានរៀល)</a:t>
            </a:r>
            <a:endParaRPr lang="en-US" sz="11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3188888888888889"/>
          <c:y val="4.629629629629629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'2017'!$A$4</c:f>
              <c:strCache>
                <c:ptCount val="1"/>
                <c:pt idx="0">
                  <c:v>ហិ/រ ក្នុងប្រ/ទ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'2017'!$B$3:$C$3</c:f>
              <c:strCache>
                <c:ptCount val="2"/>
                <c:pt idx="0">
                  <c:v>សំណើរួម</c:v>
                </c:pt>
                <c:pt idx="1">
                  <c:v>ថវិកាអនុម័ត</c:v>
                </c:pt>
              </c:strCache>
            </c:strRef>
          </c:cat>
          <c:val>
            <c:numRef>
              <c:f>'2017'!$B$4:$C$4</c:f>
              <c:numCache>
                <c:formatCode>_-* #,##0.0_-;\-* #,##0.0_-;_-* "-"??_-;_-@_-</c:formatCode>
                <c:ptCount val="2"/>
                <c:pt idx="0">
                  <c:v>4797.6000000000004</c:v>
                </c:pt>
                <c:pt idx="1">
                  <c:v>23097.599999999999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B-4FAC-BC0F-BD76FE88F235}"/>
            </c:ext>
          </c:extLst>
        </c:ser>
        <c:ser>
          <c:idx val="1"/>
          <c:order val="1"/>
          <c:tx>
            <c:strRef>
              <c:f>'2017'!$A$5</c:f>
              <c:strCache>
                <c:ptCount val="1"/>
                <c:pt idx="0">
                  <c:v>ហិ/រ ក្រៅប្រ/ទ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'2017'!$B$3:$C$3</c:f>
              <c:strCache>
                <c:ptCount val="2"/>
                <c:pt idx="0">
                  <c:v>សំណើរួម</c:v>
                </c:pt>
                <c:pt idx="1">
                  <c:v>ថវិកាអនុម័ត</c:v>
                </c:pt>
              </c:strCache>
            </c:strRef>
          </c:cat>
          <c:val>
            <c:numRef>
              <c:f>'2017'!$B$5:$C$5</c:f>
              <c:numCache>
                <c:formatCode>_-* #,##0.0_-;\-* #,##0.0_-;_-* "-"??_-;_-@_-</c:formatCode>
                <c:ptCount val="2"/>
                <c:pt idx="0">
                  <c:v>116757.3</c:v>
                </c:pt>
                <c:pt idx="1">
                  <c:v>36398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B-4FAC-BC0F-BD76FE88F235}"/>
            </c:ext>
          </c:extLst>
        </c:ser>
        <c:ser>
          <c:idx val="2"/>
          <c:order val="2"/>
          <c:tx>
            <c:strRef>
              <c:f>'2017'!$A$6</c:f>
              <c:strCache>
                <c:ptCount val="1"/>
                <c:pt idx="0">
                  <c:v>សរុបរួម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'2017'!$B$3:$C$3</c:f>
              <c:strCache>
                <c:ptCount val="2"/>
                <c:pt idx="0">
                  <c:v>សំណើរួម</c:v>
                </c:pt>
                <c:pt idx="1">
                  <c:v>ថវិកាអនុម័ត</c:v>
                </c:pt>
              </c:strCache>
            </c:strRef>
          </c:cat>
          <c:val>
            <c:numRef>
              <c:f>'2017'!$B$6:$C$6</c:f>
              <c:numCache>
                <c:formatCode>_-* #,##0.0_-;\-* #,##0.0_-;_-* "-"??_-;_-@_-</c:formatCode>
                <c:ptCount val="2"/>
                <c:pt idx="0">
                  <c:v>121554.90000000001</c:v>
                </c:pt>
                <c:pt idx="1">
                  <c:v>59495.6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EB-4FAC-BC0F-BD76FE88F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048320"/>
        <c:axId val="127054208"/>
      </c:barChart>
      <c:catAx>
        <c:axId val="12704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054208"/>
        <c:crosses val="autoZero"/>
        <c:auto val="1"/>
        <c:lblAlgn val="ctr"/>
        <c:lblOffset val="100"/>
        <c:noMultiLvlLbl val="0"/>
      </c:catAx>
      <c:valAx>
        <c:axId val="12705420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none"/>
        <c:minorTickMark val="none"/>
        <c:tickLblPos val="nextTo"/>
        <c:crossAx val="12704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284864391951007"/>
          <c:y val="0.85885097696121315"/>
          <c:w val="0.58985826771653538"/>
          <c:h val="0.11337124526100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ស្ថានភាព ក.វ.ស របស់ កសហវ. ឆ្នាំ២០១៨-២០២០</a:t>
            </a:r>
            <a:r>
              <a:rPr lang="en-US" sz="11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 </a:t>
            </a:r>
            <a:r>
              <a:rPr lang="km-KH" sz="900" b="0" i="0" u="none" strike="noStrike" baseline="0">
                <a:effectLst/>
                <a:latin typeface="Khmer MEF1" panose="02000506000000020004" pitchFamily="2" charset="0"/>
                <a:cs typeface="Khmer MEF1" panose="02000506000000020004" pitchFamily="2" charset="0"/>
              </a:rPr>
              <a:t>(ឯកតា៖លានរៀល)</a:t>
            </a:r>
            <a:endParaRPr lang="en-US" sz="9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20366700491965417"/>
          <c:y val="1.59937962300167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002579336673825"/>
          <c:w val="0.93888888888888888"/>
          <c:h val="0.56557337151037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'2018'!$A$4</c:f>
              <c:strCache>
                <c:ptCount val="1"/>
                <c:pt idx="0">
                  <c:v>គម្រោងកំពុងដំណើរការ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'2018'!$B$3:$D$3</c:f>
              <c:strCache>
                <c:ptCount val="3"/>
                <c:pt idx="0">
                  <c:v>សរុបគម្រោងរួម</c:v>
                </c:pt>
                <c:pt idx="1">
                  <c:v>ហិរញ្ញប្បទានបានសន្យាផ្តល់</c:v>
                </c:pt>
                <c:pt idx="2">
                  <c:v>តម្រូវការហិ/របំពេញបន្ថែម</c:v>
                </c:pt>
              </c:strCache>
            </c:strRef>
          </c:cat>
          <c:val>
            <c:numRef>
              <c:f>'2018'!$B$4:$D$4</c:f>
              <c:numCache>
                <c:formatCode>_-* #,##0.0_-;\-* #,##0.0_-;_-* "-"??_-;_-@_-</c:formatCode>
                <c:ptCount val="3"/>
                <c:pt idx="0">
                  <c:v>80507</c:v>
                </c:pt>
                <c:pt idx="1">
                  <c:v>79432</c:v>
                </c:pt>
                <c:pt idx="2">
                  <c:v>1075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F-4E9A-AA44-EFA9F5F33B90}"/>
            </c:ext>
          </c:extLst>
        </c:ser>
        <c:ser>
          <c:idx val="1"/>
          <c:order val="1"/>
          <c:tx>
            <c:strRef>
              <c:f>'2018'!$A$5</c:f>
              <c:strCache>
                <c:ptCount val="1"/>
                <c:pt idx="0">
                  <c:v>គម្រោងសម្រាប់អនុវត្ត ផ.យ.អ.ជ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'2018'!$B$3:$D$3</c:f>
              <c:strCache>
                <c:ptCount val="3"/>
                <c:pt idx="0">
                  <c:v>សរុបគម្រោងរួម</c:v>
                </c:pt>
                <c:pt idx="1">
                  <c:v>ហិរញ្ញប្បទានបានសន្យាផ្តល់</c:v>
                </c:pt>
                <c:pt idx="2">
                  <c:v>តម្រូវការហិ/របំពេញបន្ថែម</c:v>
                </c:pt>
              </c:strCache>
            </c:strRef>
          </c:cat>
          <c:val>
            <c:numRef>
              <c:f>'2018'!$B$5:$D$5</c:f>
              <c:numCache>
                <c:formatCode>_-* #,##0.0_-;\-* #,##0.0_-;_-* "-"??_-;_-@_-</c:formatCode>
                <c:ptCount val="3"/>
                <c:pt idx="0">
                  <c:v>195310.4</c:v>
                </c:pt>
                <c:pt idx="1">
                  <c:v>160000</c:v>
                </c:pt>
                <c:pt idx="2">
                  <c:v>35310.400000000001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F-4E9A-AA44-EFA9F5F33B90}"/>
            </c:ext>
          </c:extLst>
        </c:ser>
        <c:ser>
          <c:idx val="2"/>
          <c:order val="2"/>
          <c:tx>
            <c:strRef>
              <c:f>'2018'!$A$6</c:f>
              <c:strCache>
                <c:ptCount val="1"/>
                <c:pt idx="0">
                  <c:v>សរុប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'2018'!$B$3:$D$3</c:f>
              <c:strCache>
                <c:ptCount val="3"/>
                <c:pt idx="0">
                  <c:v>សរុបគម្រោងរួម</c:v>
                </c:pt>
                <c:pt idx="1">
                  <c:v>ហិរញ្ញប្បទានបានសន្យាផ្តល់</c:v>
                </c:pt>
                <c:pt idx="2">
                  <c:v>តម្រូវការហិ/របំពេញបន្ថែម</c:v>
                </c:pt>
              </c:strCache>
            </c:strRef>
          </c:cat>
          <c:val>
            <c:numRef>
              <c:f>'2018'!$B$6:$D$6</c:f>
              <c:numCache>
                <c:formatCode>_-* #,##0.0_-;\-* #,##0.0_-;_-* "-"??_-;_-@_-</c:formatCode>
                <c:ptCount val="3"/>
                <c:pt idx="0">
                  <c:v>275817.40000000002</c:v>
                </c:pt>
                <c:pt idx="1">
                  <c:v>239432</c:v>
                </c:pt>
                <c:pt idx="2">
                  <c:v>36385.4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F-4E9A-AA44-EFA9F5F33B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7123456"/>
        <c:axId val="127124992"/>
      </c:barChart>
      <c:catAx>
        <c:axId val="12712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t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124992"/>
        <c:crosses val="autoZero"/>
        <c:auto val="1"/>
        <c:lblAlgn val="ctr"/>
        <c:lblOffset val="100"/>
        <c:noMultiLvlLbl val="0"/>
      </c:catAx>
      <c:valAx>
        <c:axId val="127124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??_-;_-@_-" sourceLinked="1"/>
        <c:majorTickMark val="out"/>
        <c:minorTickMark val="none"/>
        <c:tickLblPos val="nextTo"/>
        <c:crossAx val="12712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Kolab" panose="02000506000000020004" pitchFamily="2" charset="0"/>
              <a:ea typeface="+mn-ea"/>
              <a:cs typeface="Khmer Kolab" panose="02000506000000020004" pitchFamily="2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តម្លៃគម្រោងដែលបានដាក់បញ្ចូលក្នុង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២០១៩-២០២១ របស់រាជរដ្ឋាភិបាល(ក្របខណ្ឌ កសហវ.) </a:t>
            </a:r>
          </a:p>
          <a:p>
            <a:pPr>
              <a:defRPr sz="10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9.8061405822196843E-2"/>
          <c:y val="1.6032067501316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23537668047453E-2"/>
          <c:y val="0.10562460472117037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EC3-47EF-B804-DEB70B29B3BC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EC3-47EF-B804-DEB70B29B3B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EC3-47EF-B804-DEB70B29B3BC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EC3-47EF-B804-DEB70B29B3B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EC3-47EF-B804-DEB70B29B3BC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EC3-47EF-B804-DEB70B29B3BC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EC3-47EF-B804-DEB70B29B3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EC3-47EF-B804-DEB70B29B3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'2019'!$A$1:$L$2</c:f>
              <c:multiLvlStrCache>
                <c:ptCount val="12"/>
                <c:lvl>
                  <c:pt idx="0">
                    <c:v>២០១៩</c:v>
                  </c:pt>
                  <c:pt idx="1">
                    <c:v>២០២០</c:v>
                  </c:pt>
                  <c:pt idx="2">
                    <c:v>២០២១</c:v>
                  </c:pt>
                  <c:pt idx="3">
                    <c:v>សរុប</c:v>
                  </c:pt>
                  <c:pt idx="4">
                    <c:v>២០១៩</c:v>
                  </c:pt>
                  <c:pt idx="5">
                    <c:v>២០២០</c:v>
                  </c:pt>
                  <c:pt idx="6">
                    <c:v>២០២១</c:v>
                  </c:pt>
                  <c:pt idx="7">
                    <c:v>សរុប</c:v>
                  </c:pt>
                  <c:pt idx="8">
                    <c:v>២០១៩</c:v>
                  </c:pt>
                  <c:pt idx="9">
                    <c:v>២០២០</c:v>
                  </c:pt>
                  <c:pt idx="10">
                    <c:v>២០២១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'2019'!$A$3:$L$3</c:f>
              <c:numCache>
                <c:formatCode>#,##0.0</c:formatCode>
                <c:ptCount val="12"/>
                <c:pt idx="0">
                  <c:v>31758.3</c:v>
                </c:pt>
                <c:pt idx="1">
                  <c:v>9924.5</c:v>
                </c:pt>
                <c:pt idx="2">
                  <c:v>4922</c:v>
                </c:pt>
                <c:pt idx="3">
                  <c:v>46604.800000000003</c:v>
                </c:pt>
                <c:pt idx="4">
                  <c:v>11237.8</c:v>
                </c:pt>
                <c:pt idx="5">
                  <c:v>4900</c:v>
                </c:pt>
                <c:pt idx="6">
                  <c:v>1350</c:v>
                </c:pt>
                <c:pt idx="7">
                  <c:v>17487.8</c:v>
                </c:pt>
                <c:pt idx="8">
                  <c:v>20520.5</c:v>
                </c:pt>
                <c:pt idx="9">
                  <c:v>5024.5</c:v>
                </c:pt>
                <c:pt idx="10">
                  <c:v>3572</c:v>
                </c:pt>
                <c:pt idx="11">
                  <c:v>29117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C3-47EF-B804-DEB70B29B3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801408"/>
        <c:axId val="126844288"/>
      </c:barChart>
      <c:catAx>
        <c:axId val="12680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6844288"/>
        <c:crosses val="autoZero"/>
        <c:auto val="1"/>
        <c:lblAlgn val="ctr"/>
        <c:lblOffset val="100"/>
        <c:noMultiLvlLbl val="0"/>
      </c:catAx>
      <c:valAx>
        <c:axId val="1268442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80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1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ចំនួនគម្រោងដែលបានដាក់បញ្ចូលក្នុង ក.វ.ស ២០១៩-២០២១</a:t>
            </a:r>
            <a:r>
              <a:rPr lang="km-KH" sz="1100" baseline="0">
                <a:latin typeface="Khmer MEF1" panose="02000506000000020004" pitchFamily="2" charset="0"/>
                <a:cs typeface="Khmer MEF1" panose="02000506000000020004" pitchFamily="2" charset="0"/>
              </a:rPr>
              <a:t> គិតតាមអង្គភាពថវិកា</a:t>
            </a:r>
            <a:endParaRPr lang="en-US" sz="11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pct90">
              <a:fgClr>
                <a:schemeClr val="accent5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C-4490-8BC4-6519D9465E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C-4490-8BC4-6519D9465EB2}"/>
              </c:ext>
            </c:extLst>
          </c:dPt>
          <c:dPt>
            <c:idx val="2"/>
            <c:invertIfNegative val="0"/>
            <c:bubble3D val="0"/>
            <c:spPr>
              <a:pattFill prst="pct90">
                <a:fgClr>
                  <a:srgbClr val="FF0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6C-4490-8BC4-6519D9465EB2}"/>
              </c:ext>
            </c:extLst>
          </c:dPt>
          <c:dPt>
            <c:idx val="3"/>
            <c:invertIfNegative val="0"/>
            <c:bubble3D val="0"/>
            <c:spPr>
              <a:pattFill prst="pct90">
                <a:fgClr>
                  <a:schemeClr val="bg2">
                    <a:lumMod val="2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6C-4490-8BC4-6519D9465EB2}"/>
              </c:ext>
            </c:extLst>
          </c:dPt>
          <c:dPt>
            <c:idx val="4"/>
            <c:invertIfNegative val="0"/>
            <c:bubble3D val="0"/>
            <c:spPr>
              <a:pattFill prst="pct90">
                <a:fgClr>
                  <a:srgbClr val="00B0F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86C-4490-8BC4-6519D9465EB2}"/>
              </c:ext>
            </c:extLst>
          </c:dPt>
          <c:dPt>
            <c:idx val="5"/>
            <c:invertIfNegative val="0"/>
            <c:bubble3D val="0"/>
            <c:spPr>
              <a:pattFill prst="pct9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86C-4490-8BC4-6519D9465EB2}"/>
              </c:ext>
            </c:extLst>
          </c:dPt>
          <c:dPt>
            <c:idx val="6"/>
            <c:invertIfNegative val="0"/>
            <c:bubble3D val="0"/>
            <c:spPr>
              <a:pattFill prst="dkVert">
                <a:fgClr>
                  <a:srgbClr val="FFC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6C-4490-8BC4-6519D9465EB2}"/>
              </c:ext>
            </c:extLst>
          </c:dPt>
          <c:dPt>
            <c:idx val="7"/>
            <c:invertIfNegative val="0"/>
            <c:bubble3D val="0"/>
            <c:spPr>
              <a:pattFill prst="dashHorz">
                <a:fgClr>
                  <a:srgbClr val="7030A0"/>
                </a:fgClr>
                <a:bgClr>
                  <a:schemeClr val="bg1"/>
                </a:bgClr>
              </a:patt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A86C-4490-8BC4-6519D9465EB2}"/>
              </c:ext>
            </c:extLst>
          </c:dPt>
          <c:dPt>
            <c:idx val="8"/>
            <c:invertIfNegative val="0"/>
            <c:bubble3D val="0"/>
            <c:spPr>
              <a:pattFill prst="sphere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A86C-4490-8BC4-6519D9465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Khmer MEF1" panose="02000506000000020004" pitchFamily="2" charset="0"/>
                    <a:ea typeface="+mn-ea"/>
                    <a:cs typeface="Khmer MEF1" panose="02000506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'2019'!$A$17:$A$25</c:f>
              <c:strCache>
                <c:ptCount val="9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អគ្គ​.សហ.អន្តរ.គ្រប់.បំណុល</c:v>
                </c:pt>
                <c:pt idx="4">
                  <c:v>អគ្គ.សវនកម្មផ្ទៃក្នុង</c:v>
                </c:pt>
                <c:pt idx="5">
                  <c:v>វិទ្យាស្ថានសេ/កនិងហិ/រ</c:v>
                </c:pt>
                <c:pt idx="6">
                  <c:v>គ.ម.ក</c:v>
                </c:pt>
                <c:pt idx="7">
                  <c:v>មសហវ. រាជធានី ខេត្ត</c:v>
                </c:pt>
                <c:pt idx="8">
                  <c:v>សរុប</c:v>
                </c:pt>
              </c:strCache>
            </c:strRef>
          </c:cat>
          <c:val>
            <c:numRef>
              <c:f>'2019'!$B$17:$B$25</c:f>
              <c:numCache>
                <c:formatCode>[$-12000425]0</c:formatCode>
                <c:ptCount val="9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5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86C-4490-8BC4-6519D9465E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885888"/>
        <c:axId val="126896768"/>
      </c:barChart>
      <c:catAx>
        <c:axId val="1268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6896768"/>
        <c:crosses val="autoZero"/>
        <c:auto val="1"/>
        <c:lblAlgn val="ctr"/>
        <c:lblOffset val="100"/>
        <c:noMultiLvlLbl val="0"/>
      </c:catAx>
      <c:valAx>
        <c:axId val="1268967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688588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២០២០-២០២២ របស់រាជរដ្ឋាភិបាល (ក្របខណ្ឌ កសហវ.) </a:t>
            </a:r>
          </a:p>
          <a:p>
            <a:pPr>
              <a:defRPr sz="10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1410418882257342"/>
          <c:y val="1.6032067501316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823537668047453E-2"/>
          <c:y val="0.10562460472117037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159-4B5F-8CDA-B3FBDBF222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159-4B5F-8CDA-B3FBDBF2227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159-4B5F-8CDA-B3FBDBF2227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159-4B5F-8CDA-B3FBDBF2227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159-4B5F-8CDA-B3FBDBF2227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2159-4B5F-8CDA-B3FBDBF2227B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159-4B5F-8CDA-B3FBDBF2227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2159-4B5F-8CDA-B3FBDBF2227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2159-4B5F-8CDA-B3FBDBF2227B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2159-4B5F-8CDA-B3FBDBF2227B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2159-4B5F-8CDA-B3FBDBF222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'2020'!$A$1:$L$2</c:f>
              <c:multiLvlStrCache>
                <c:ptCount val="12"/>
                <c:lvl>
                  <c:pt idx="0">
                    <c:v>២០២០</c:v>
                  </c:pt>
                  <c:pt idx="1">
                    <c:v>២០២១</c:v>
                  </c:pt>
                  <c:pt idx="2">
                    <c:v>២០២២</c:v>
                  </c:pt>
                  <c:pt idx="3">
                    <c:v>សរុប</c:v>
                  </c:pt>
                  <c:pt idx="4">
                    <c:v>២០២០</c:v>
                  </c:pt>
                  <c:pt idx="5">
                    <c:v>២០២១</c:v>
                  </c:pt>
                  <c:pt idx="6">
                    <c:v>២០២២</c:v>
                  </c:pt>
                  <c:pt idx="7">
                    <c:v>សរុប</c:v>
                  </c:pt>
                  <c:pt idx="8">
                    <c:v>២០២០</c:v>
                  </c:pt>
                  <c:pt idx="9">
                    <c:v>២០២១</c:v>
                  </c:pt>
                  <c:pt idx="10">
                    <c:v>២០២២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'2020'!$A$3:$L$3</c:f>
              <c:numCache>
                <c:formatCode>#,##0.0</c:formatCode>
                <c:ptCount val="12"/>
                <c:pt idx="0">
                  <c:v>20177</c:v>
                </c:pt>
                <c:pt idx="1">
                  <c:v>6920.5</c:v>
                </c:pt>
                <c:pt idx="2">
                  <c:v>5119</c:v>
                </c:pt>
                <c:pt idx="3">
                  <c:v>32216.5</c:v>
                </c:pt>
                <c:pt idx="4">
                  <c:v>4050</c:v>
                </c:pt>
                <c:pt idx="5">
                  <c:v>0</c:v>
                </c:pt>
                <c:pt idx="6">
                  <c:v>0</c:v>
                </c:pt>
                <c:pt idx="7">
                  <c:v>4050</c:v>
                </c:pt>
                <c:pt idx="8">
                  <c:v>16127</c:v>
                </c:pt>
                <c:pt idx="9">
                  <c:v>6920.5</c:v>
                </c:pt>
                <c:pt idx="10">
                  <c:v>5119</c:v>
                </c:pt>
                <c:pt idx="11">
                  <c:v>28166.5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9-4B5F-8CDA-B3FBDBF222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947712"/>
        <c:axId val="126958976"/>
      </c:barChart>
      <c:catAx>
        <c:axId val="1269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6958976"/>
        <c:crosses val="autoZero"/>
        <c:auto val="1"/>
        <c:lblAlgn val="ctr"/>
        <c:lblOffset val="100"/>
        <c:noMultiLvlLbl val="0"/>
      </c:catAx>
      <c:valAx>
        <c:axId val="12695897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94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1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ចំនួនគម្រោងសម្រាប់ដាក់បញ្ចូលក្នុង ក.វ.ស ២០២០-២០២២</a:t>
            </a:r>
            <a:r>
              <a:rPr lang="km-KH" sz="1100" baseline="0">
                <a:latin typeface="Khmer MEF1" panose="02000506000000020004" pitchFamily="2" charset="0"/>
                <a:cs typeface="Khmer MEF1" panose="02000506000000020004" pitchFamily="2" charset="0"/>
              </a:rPr>
              <a:t> គិតតាមអង្គភាពថវិកា</a:t>
            </a:r>
            <a:endParaRPr lang="en-US" sz="11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Khmer MEF1" panose="02000506000000020004" pitchFamily="2" charset="0"/>
              <a:ea typeface="+mn-ea"/>
              <a:cs typeface="Khmer MEF1" panose="02000506000000020004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63778031143313E-2"/>
          <c:y val="0.12362745098039216"/>
          <c:w val="0.92370397359781764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pct90">
              <a:fgClr>
                <a:schemeClr val="accent5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93-4A7B-B821-B37AB27E4DD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93-4A7B-B821-B37AB27E4DDB}"/>
              </c:ext>
            </c:extLst>
          </c:dPt>
          <c:dPt>
            <c:idx val="2"/>
            <c:invertIfNegative val="0"/>
            <c:bubble3D val="0"/>
            <c:spPr>
              <a:pattFill prst="pct90">
                <a:fgClr>
                  <a:srgbClr val="FF0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93-4A7B-B821-B37AB27E4DDB}"/>
              </c:ext>
            </c:extLst>
          </c:dPt>
          <c:dPt>
            <c:idx val="3"/>
            <c:invertIfNegative val="0"/>
            <c:bubble3D val="0"/>
            <c:spPr>
              <a:pattFill prst="pct90">
                <a:fgClr>
                  <a:schemeClr val="bg2">
                    <a:lumMod val="2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93-4A7B-B821-B37AB27E4DDB}"/>
              </c:ext>
            </c:extLst>
          </c:dPt>
          <c:dPt>
            <c:idx val="4"/>
            <c:invertIfNegative val="0"/>
            <c:bubble3D val="0"/>
            <c:spPr>
              <a:pattFill prst="pct90">
                <a:fgClr>
                  <a:srgbClr val="00B0F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93-4A7B-B821-B37AB27E4DDB}"/>
              </c:ext>
            </c:extLst>
          </c:dPt>
          <c:dPt>
            <c:idx val="5"/>
            <c:invertIfNegative val="0"/>
            <c:bubble3D val="0"/>
            <c:spPr>
              <a:pattFill prst="pct90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93-4A7B-B821-B37AB27E4DDB}"/>
              </c:ext>
            </c:extLst>
          </c:dPt>
          <c:dPt>
            <c:idx val="6"/>
            <c:invertIfNegative val="0"/>
            <c:bubble3D val="0"/>
            <c:spPr>
              <a:pattFill prst="dkVert">
                <a:fgClr>
                  <a:srgbClr val="FFC000"/>
                </a:fgClr>
                <a:bgClr>
                  <a:schemeClr val="bg1"/>
                </a:bgClr>
              </a:pattFill>
              <a:ln w="57150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93-4A7B-B821-B37AB27E4DDB}"/>
              </c:ext>
            </c:extLst>
          </c:dPt>
          <c:dPt>
            <c:idx val="7"/>
            <c:invertIfNegative val="0"/>
            <c:bubble3D val="0"/>
            <c:spPr>
              <a:pattFill prst="dashHorz">
                <a:fgClr>
                  <a:srgbClr val="7030A0"/>
                </a:fgClr>
                <a:bgClr>
                  <a:schemeClr val="bg1"/>
                </a:bgClr>
              </a:patt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A93-4A7B-B821-B37AB27E4DDB}"/>
              </c:ext>
            </c:extLst>
          </c:dPt>
          <c:dPt>
            <c:idx val="8"/>
            <c:invertIfNegative val="0"/>
            <c:bubble3D val="0"/>
            <c:spPr>
              <a:pattFill prst="sphere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A93-4A7B-B821-B37AB27E4DDB}"/>
              </c:ext>
            </c:extLst>
          </c:dPt>
          <c:dLbls>
            <c:dLbl>
              <c:idx val="6"/>
              <c:layout>
                <c:manualLayout>
                  <c:x val="0"/>
                  <c:y val="3.104588029437496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Khmer MEF1" panose="02000506000000020004" pitchFamily="2" charset="0"/>
                      <a:ea typeface="+mn-ea"/>
                      <a:cs typeface="Khmer MEF1" panose="02000506000000020004" pitchFamily="2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2A93-4A7B-B821-B37AB27E4D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Khmer MEF1" panose="02000506000000020004" pitchFamily="2" charset="0"/>
                    <a:ea typeface="+mn-ea"/>
                    <a:cs typeface="Khmer MEF1" panose="02000506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'2020'!$A$17:$A$23</c:f>
              <c:strCache>
                <c:ptCount val="7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អគ្គ.សវនកម្មផ្ទៃក្នុង</c:v>
                </c:pt>
                <c:pt idx="4">
                  <c:v>វិទ្យាស្ថានសេ/កនិងហិ/រ</c:v>
                </c:pt>
                <c:pt idx="5">
                  <c:v>មសហវ. រាជធានី ខេត្ត</c:v>
                </c:pt>
                <c:pt idx="6">
                  <c:v>សរុប</c:v>
                </c:pt>
              </c:strCache>
            </c:strRef>
          </c:cat>
          <c:val>
            <c:numRef>
              <c:f>'2020'!$B$17:$B$23</c:f>
              <c:numCache>
                <c:formatCode>[$-12000425]0</c:formatCode>
                <c:ptCount val="7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A93-4A7B-B821-B37AB27E4D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614336"/>
        <c:axId val="127624320"/>
      </c:barChart>
      <c:catAx>
        <c:axId val="1276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624320"/>
        <c:crosses val="autoZero"/>
        <c:auto val="1"/>
        <c:lblAlgn val="ctr"/>
        <c:lblOffset val="100"/>
        <c:noMultiLvlLbl val="0"/>
      </c:catAx>
      <c:valAx>
        <c:axId val="127624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761433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២០២១-២០២៣ របស់រាជរដ្ឋាភិបាល (ក្របខណ្ឌ កសហវ.) </a:t>
            </a:r>
          </a:p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1410415923519499"/>
          <c:y val="2.055718330492597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4030158591983174E-2"/>
          <c:y val="0.11367684628949871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CD2-4504-BBF6-8E6F77390EA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CD2-4504-BBF6-8E6F77390EA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CD2-4504-BBF6-8E6F77390EA6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CD2-4504-BBF6-8E6F77390EA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CD2-4504-BBF6-8E6F77390EA6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CD2-4504-BBF6-8E6F77390EA6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ECD2-4504-BBF6-8E6F77390EA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ECD2-4504-BBF6-8E6F77390EA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ECD2-4504-BBF6-8E6F77390EA6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ECD2-4504-BBF6-8E6F77390EA6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ECD2-4504-BBF6-8E6F77390E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'2021'!$A$1:$L$2</c:f>
              <c:multiLvlStrCache>
                <c:ptCount val="12"/>
                <c:lvl>
                  <c:pt idx="0">
                    <c:v>២០២១</c:v>
                  </c:pt>
                  <c:pt idx="1">
                    <c:v>២០២២</c:v>
                  </c:pt>
                  <c:pt idx="2">
                    <c:v>២០២៣</c:v>
                  </c:pt>
                  <c:pt idx="3">
                    <c:v>សរុប</c:v>
                  </c:pt>
                  <c:pt idx="4">
                    <c:v>២០២១</c:v>
                  </c:pt>
                  <c:pt idx="5">
                    <c:v>២០២២</c:v>
                  </c:pt>
                  <c:pt idx="6">
                    <c:v>២០២៣</c:v>
                  </c:pt>
                  <c:pt idx="7">
                    <c:v>សរុប</c:v>
                  </c:pt>
                  <c:pt idx="8">
                    <c:v>២០២១</c:v>
                  </c:pt>
                  <c:pt idx="9">
                    <c:v>២០២២</c:v>
                  </c:pt>
                  <c:pt idx="10">
                    <c:v>២០២៣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'2021'!$A$3:$L$3</c:f>
              <c:numCache>
                <c:formatCode>#,##0.0</c:formatCode>
                <c:ptCount val="12"/>
                <c:pt idx="0">
                  <c:v>19253.3</c:v>
                </c:pt>
                <c:pt idx="1">
                  <c:v>7771.5</c:v>
                </c:pt>
                <c:pt idx="2">
                  <c:v>5495.5</c:v>
                </c:pt>
                <c:pt idx="3">
                  <c:v>32520.3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19253.3</c:v>
                </c:pt>
                <c:pt idx="9">
                  <c:v>7771.5</c:v>
                </c:pt>
                <c:pt idx="10">
                  <c:v>5495.5</c:v>
                </c:pt>
                <c:pt idx="11">
                  <c:v>32520.3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CD2-4504-BBF6-8E6F77390E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280064"/>
        <c:axId val="127430016"/>
      </c:barChart>
      <c:catAx>
        <c:axId val="1262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430016"/>
        <c:crosses val="autoZero"/>
        <c:auto val="1"/>
        <c:lblAlgn val="ctr"/>
        <c:lblOffset val="100"/>
        <c:noMultiLvlLbl val="0"/>
      </c:catAx>
      <c:valAx>
        <c:axId val="127430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2800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31750" cmpd="sng">
      <a:solidFill>
        <a:schemeClr val="accent3">
          <a:lumMod val="50000"/>
        </a:schemeClr>
      </a:solidFill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m-KH"/>
              <a:t>ចំនួនគម្រោងសម្រាប់ដាក់បញ្ចូលក្នុង ក.វ.ស ២០២១-២០២៣ គិតតាមអង្គភាពថវិកា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ln>
                <a:noFill/>
              </a:ln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663778031143313E-2"/>
          <c:y val="0.12362745098039216"/>
          <c:w val="0.92370397359781764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pct90">
              <a:fgClr>
                <a:schemeClr val="accent5">
                  <a:lumMod val="20000"/>
                  <a:lumOff val="80000"/>
                </a:schemeClr>
              </a:fgClr>
              <a:bgClr>
                <a:schemeClr val="bg1"/>
              </a:bgClr>
            </a:patt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85-40F9-9F18-B1EC0444303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85-40F9-9F18-B1EC0444303D}"/>
              </c:ext>
            </c:extLst>
          </c:dPt>
          <c:dPt>
            <c:idx val="2"/>
            <c:invertIfNegative val="0"/>
            <c:bubble3D val="0"/>
            <c:spPr>
              <a:pattFill prst="pct90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85-40F9-9F18-B1EC0444303D}"/>
              </c:ext>
            </c:extLst>
          </c:dPt>
          <c:dPt>
            <c:idx val="3"/>
            <c:invertIfNegative val="0"/>
            <c:bubble3D val="0"/>
            <c:spPr>
              <a:pattFill prst="pct90">
                <a:fgClr>
                  <a:schemeClr val="bg2">
                    <a:lumMod val="2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85-40F9-9F18-B1EC0444303D}"/>
              </c:ext>
            </c:extLst>
          </c:dPt>
          <c:dPt>
            <c:idx val="4"/>
            <c:invertIfNegative val="0"/>
            <c:bubble3D val="0"/>
            <c:spPr>
              <a:pattFill prst="ltUpDiag">
                <a:fgClr>
                  <a:schemeClr val="accent2">
                    <a:lumMod val="75000"/>
                  </a:schemeClr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85-40F9-9F18-B1EC0444303D}"/>
              </c:ext>
            </c:extLst>
          </c:dPt>
          <c:dPt>
            <c:idx val="5"/>
            <c:invertIfNegative val="0"/>
            <c:bubble3D val="0"/>
            <c:spPr>
              <a:pattFill prst="dkVert">
                <a:fgClr>
                  <a:srgbClr val="FFC00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85-40F9-9F18-B1EC0444303D}"/>
              </c:ext>
            </c:extLst>
          </c:dPt>
          <c:dPt>
            <c:idx val="6"/>
            <c:invertIfNegative val="0"/>
            <c:bubble3D val="0"/>
            <c:spPr>
              <a:pattFill prst="dashHorz">
                <a:fgClr>
                  <a:srgbClr val="7030A0"/>
                </a:fgClr>
                <a:bgClr>
                  <a:schemeClr val="bg1"/>
                </a:bgClr>
              </a:patt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85-40F9-9F18-B1EC0444303D}"/>
              </c:ext>
            </c:extLst>
          </c:dPt>
          <c:dPt>
            <c:idx val="7"/>
            <c:invertIfNegative val="0"/>
            <c:bubble3D val="0"/>
            <c:spPr>
              <a:pattFill prst="sphere">
                <a:fgClr>
                  <a:srgbClr val="92D050"/>
                </a:fgClr>
                <a:bgClr>
                  <a:schemeClr val="bg1"/>
                </a:bgClr>
              </a:patt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85-40F9-9F18-B1EC0444303D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985-40F9-9F18-B1EC0444303D}"/>
                </c:ext>
              </c:extLst>
            </c:dLbl>
            <c:dLbl>
              <c:idx val="5"/>
              <c:layout>
                <c:manualLayout>
                  <c:x val="0"/>
                  <c:y val="3.10458802943749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3985-40F9-9F18-B1EC044430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'2021'!$A$17:$A$23</c15:sqref>
                  </c15:fullRef>
                </c:ext>
              </c:extLst>
              <c:f>('2021'!$A$17:$A$20,'2021'!$A$22:$A$23)</c:f>
              <c:strCache>
                <c:ptCount val="5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អគ្គ.សវនកម្មផ្ទៃក្នុង</c:v>
                </c:pt>
                <c:pt idx="4">
                  <c:v>សរុប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'2021'!$B$17:$B$23</c15:sqref>
                  </c15:fullRef>
                </c:ext>
              </c:extLst>
              <c:f>('2021'!$B$17:$B$20,'2021'!$B$22:$B$23)</c:f>
              <c:numCache>
                <c:formatCode>[$-12000425]0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'2021'!$B$21</c15:sqref>
                  <c15:spPr xmlns:c15="http://schemas.microsoft.com/office/drawing/2012/chart">
                    <a:pattFill prst="pct90">
                      <a:fgClr>
                        <a:srgbClr val="00B0F0"/>
                      </a:fgClr>
                      <a:bgClr>
                        <a:schemeClr val="bg1"/>
                      </a:bgClr>
                    </a:pattFill>
                    <a:ln w="9525" cap="flat" cmpd="sng" algn="ctr">
                      <a:solidFill>
                        <a:schemeClr val="lt1">
                          <a:alpha val="50000"/>
                        </a:schemeClr>
                      </a:solidFill>
                      <a:round/>
                    </a:ln>
                    <a:effectLst/>
                  </c15:spPr>
                  <c15:invertIfNegative val="0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2-3985-40F9-9F18-B1EC044430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7614336"/>
        <c:axId val="127624320"/>
      </c:barChart>
      <c:catAx>
        <c:axId val="12761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ln>
                  <a:noFill/>
                </a:ln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24320"/>
        <c:crosses val="autoZero"/>
        <c:auto val="1"/>
        <c:lblAlgn val="ctr"/>
        <c:lblOffset val="100"/>
        <c:noMultiLvlLbl val="0"/>
      </c:catAx>
      <c:valAx>
        <c:axId val="1276243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761433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19050" cap="flat" cmpd="dbl" algn="ctr">
      <a:solidFill>
        <a:schemeClr val="tx1"/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10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២០២២-២០២៤ របស់រាជរដ្ឋាភិបាល (ក្របខណ្ឌ កសហវ.) </a:t>
            </a:r>
          </a:p>
          <a:p>
            <a:pPr>
              <a:defRPr sz="13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10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10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308040135167379"/>
          <c:y val="2.6507626473730108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377998625756854E-2"/>
          <c:y val="0.11887835587594765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4A1-4F71-A384-71ED4932FAC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4A1-4F71-A384-71ED4932FAC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4A1-4F71-A384-71ED4932FAC6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4A1-4F71-A384-71ED4932FAC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4A1-4F71-A384-71ED4932FAC6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24A1-4F71-A384-71ED4932FAC6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24A1-4F71-A384-71ED4932FAC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24A1-4F71-A384-71ED4932FAC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24A1-4F71-A384-71ED4932FAC6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24A1-4F71-A384-71ED4932FAC6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24A1-4F71-A384-71ED4932FA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'2022'!$A$1:$L$2</c:f>
              <c:multiLvlStrCache>
                <c:ptCount val="12"/>
                <c:lvl>
                  <c:pt idx="0">
                    <c:v>២០២២</c:v>
                  </c:pt>
                  <c:pt idx="1">
                    <c:v>២០២៣</c:v>
                  </c:pt>
                  <c:pt idx="2">
                    <c:v>២០២៤</c:v>
                  </c:pt>
                  <c:pt idx="3">
                    <c:v>សរុប</c:v>
                  </c:pt>
                  <c:pt idx="4">
                    <c:v>២០២២</c:v>
                  </c:pt>
                  <c:pt idx="5">
                    <c:v>២០២៣</c:v>
                  </c:pt>
                  <c:pt idx="6">
                    <c:v>២០២៤</c:v>
                  </c:pt>
                  <c:pt idx="7">
                    <c:v>សរុប</c:v>
                  </c:pt>
                  <c:pt idx="8">
                    <c:v>២០២២</c:v>
                  </c:pt>
                  <c:pt idx="9">
                    <c:v>២០២៣</c:v>
                  </c:pt>
                  <c:pt idx="10">
                    <c:v>២០២៤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'2022'!$A$3:$L$3</c:f>
              <c:numCache>
                <c:formatCode>#,##0.0</c:formatCode>
                <c:ptCount val="12"/>
                <c:pt idx="0">
                  <c:v>14175.5</c:v>
                </c:pt>
                <c:pt idx="1">
                  <c:v>6171.5</c:v>
                </c:pt>
                <c:pt idx="2">
                  <c:v>3920.5</c:v>
                </c:pt>
                <c:pt idx="3">
                  <c:v>24267.5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14175.5</c:v>
                </c:pt>
                <c:pt idx="9">
                  <c:v>6171.5</c:v>
                </c:pt>
                <c:pt idx="10">
                  <c:v>3920.5</c:v>
                </c:pt>
                <c:pt idx="11">
                  <c:v>24267.5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4A1-4F71-A384-71ED4932FA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280064"/>
        <c:axId val="127430016"/>
      </c:barChart>
      <c:catAx>
        <c:axId val="1262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430016"/>
        <c:crosses val="autoZero"/>
        <c:auto val="1"/>
        <c:lblAlgn val="ctr"/>
        <c:lblOffset val="100"/>
        <c:noMultiLvlLbl val="0"/>
      </c:catAx>
      <c:valAx>
        <c:axId val="127430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2800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3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3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ចំនួនគម្រោងសម្រាប់ដាក់បញ្ចូលក្នុង ក.វ.ស ២០២២-២០២៤ គិតតាមអង្គភាពថវិកា</a:t>
            </a:r>
            <a:endParaRPr lang="en-US" sz="13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960399241794025E-2"/>
          <c:y val="0.11665566934701171"/>
          <c:w val="0.89674697481099097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CCFF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threePt" dir="t"/>
            </a:scene3d>
            <a:sp3d>
              <a:bevelT w="63500"/>
              <a:bevelB/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8B0-4A16-A0E0-88DA275344D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8B0-4A16-A0E0-88DA275344D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8B0-4A16-A0E0-88DA275344D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8B0-4A16-A0E0-88DA275344D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8B0-4A16-A0E0-88DA275344DF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glow>
                  <a:schemeClr val="accent1"/>
                </a:glow>
                <a:outerShdw blurRad="50800" dir="5880000" sx="94000" sy="94000" algn="ctr" rotWithShape="0">
                  <a:srgbClr val="000000"/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6-C8B0-4A16-A0E0-88DA275344DF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8B0-4A16-A0E0-88DA275344DF}"/>
              </c:ext>
            </c:extLst>
          </c:dPt>
          <c:dPt>
            <c:idx val="7"/>
            <c:invertIfNegative val="0"/>
            <c:bubble3D val="0"/>
            <c:spPr>
              <a:solidFill>
                <a:srgbClr val="00CCFF"/>
              </a:solid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C8B0-4A16-A0E0-88DA275344D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8B0-4A16-A0E0-88DA275344DF}"/>
              </c:ext>
            </c:extLst>
          </c:dPt>
          <c:dLbls>
            <c:dLbl>
              <c:idx val="6"/>
              <c:layout>
                <c:manualLayout>
                  <c:x val="0"/>
                  <c:y val="3.10458802943749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C8B0-4A16-A0E0-88DA275344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2000" b="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'2022'!$A$17:$A$22</c:f>
              <c:strCache>
                <c:ptCount val="6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អគ្គ.សវនកម្មផ្ទៃក្នុង</c:v>
                </c:pt>
                <c:pt idx="4">
                  <c:v>មសហវ. រាជធានី ខេត្ត</c:v>
                </c:pt>
                <c:pt idx="5">
                  <c:v>សរុប</c:v>
                </c:pt>
              </c:strCache>
            </c:strRef>
          </c:cat>
          <c:val>
            <c:numRef>
              <c:f>'2022'!$B$17:$B$22</c:f>
              <c:numCache>
                <c:formatCode>[$-12000425]0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8B0-4A16-A0E0-88DA275344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32"/>
        <c:axId val="126026880"/>
        <c:axId val="127445248"/>
      </c:barChart>
      <c:catAx>
        <c:axId val="12602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sz="1600"/>
            </a:pPr>
            <a:endParaRPr lang="en-US"/>
          </a:p>
        </c:txPr>
        <c:crossAx val="127445248"/>
        <c:crosses val="autoZero"/>
        <c:auto val="1"/>
        <c:lblAlgn val="ctr"/>
        <c:lblOffset val="100"/>
        <c:noMultiLvlLbl val="0"/>
      </c:catAx>
      <c:valAx>
        <c:axId val="127445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602688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900">
                <a:latin typeface="Khmer MEF1" panose="02000506000000020004" pitchFamily="2" charset="0"/>
                <a:cs typeface="Khmer MEF1" panose="02000506000000020004" pitchFamily="2" charset="0"/>
              </a:rPr>
              <a:t>តម្លៃគម្រោងសម្រាប់ដាក់បញ្ចូលក្នុង</a:t>
            </a:r>
            <a:r>
              <a:rPr lang="km-KH" sz="900" baseline="0">
                <a:latin typeface="Khmer MEF1" panose="02000506000000020004" pitchFamily="2" charset="0"/>
                <a:cs typeface="Khmer MEF1" panose="02000506000000020004" pitchFamily="2" charset="0"/>
              </a:rPr>
              <a:t> ក.វ.ស ៣ឆ្នាំរំកិល ២០២៣-២០២៥ របស់រាជរដ្ឋាភិបាល (ក្របខណ្ឌ កសហវ.) </a:t>
            </a:r>
          </a:p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r>
              <a:rPr lang="km-KH" sz="900" b="0" baseline="0">
                <a:latin typeface="Khmer MEF1" panose="02000506000000020004" pitchFamily="2" charset="0"/>
                <a:cs typeface="Khmer MEF1" panose="02000506000000020004" pitchFamily="2" charset="0"/>
              </a:rPr>
              <a:t>ឯកតា៖ ពាន់ដុល្លារ</a:t>
            </a:r>
            <a:endParaRPr lang="en-US" sz="900" b="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layout>
        <c:manualLayout>
          <c:xMode val="edge"/>
          <c:yMode val="edge"/>
          <c:x val="0.19251872512405085"/>
          <c:y val="1.11298372708342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5141231038325781E-2"/>
          <c:y val="0.11039927965732983"/>
          <c:w val="0.89839570766428167"/>
          <c:h val="0.7333688339132509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150-4151-B035-EF112E758D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150-4151-B035-EF112E758DA3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150-4151-B035-EF112E758DA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150-4151-B035-EF112E758DA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150-4151-B035-EF112E758DA3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150-4151-B035-EF112E758DA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150-4151-B035-EF112E758DA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F150-4151-B035-EF112E758DA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F150-4151-B035-EF112E758DA3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F150-4151-B035-EF112E758DA3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F150-4151-B035-EF112E758D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'2023'!$A$1:$L$2</c:f>
              <c:multiLvlStrCache>
                <c:ptCount val="12"/>
                <c:lvl>
                  <c:pt idx="0">
                    <c:v>២០២៣</c:v>
                  </c:pt>
                  <c:pt idx="1">
                    <c:v>២០២៤</c:v>
                  </c:pt>
                  <c:pt idx="2">
                    <c:v>២០២៥</c:v>
                  </c:pt>
                  <c:pt idx="3">
                    <c:v>សរុប</c:v>
                  </c:pt>
                  <c:pt idx="4">
                    <c:v>២០២២</c:v>
                  </c:pt>
                  <c:pt idx="5">
                    <c:v>២០២៣</c:v>
                  </c:pt>
                  <c:pt idx="6">
                    <c:v>២០២៤</c:v>
                  </c:pt>
                  <c:pt idx="7">
                    <c:v>សរុប</c:v>
                  </c:pt>
                  <c:pt idx="8">
                    <c:v>២០២២</c:v>
                  </c:pt>
                  <c:pt idx="9">
                    <c:v>២០២៣</c:v>
                  </c:pt>
                  <c:pt idx="10">
                    <c:v>២០២៤</c:v>
                  </c:pt>
                  <c:pt idx="11">
                    <c:v>សរុប</c:v>
                  </c:pt>
                </c:lvl>
                <c:lvl>
                  <c:pt idx="0">
                    <c:v>ចំណាយប៉ាន់ស្មានសរុបរបស់ក្រសួង</c:v>
                  </c:pt>
                  <c:pt idx="4">
                    <c:v>ហិរញ្ញប្បទានបានសន្យាផ្ដល់</c:v>
                  </c:pt>
                  <c:pt idx="8">
                    <c:v>តម្រូវការហិរញ្ញប្បទានបំពេញបន្ថែម</c:v>
                  </c:pt>
                </c:lvl>
              </c:multiLvlStrCache>
            </c:multiLvlStrRef>
          </c:cat>
          <c:val>
            <c:numRef>
              <c:f>'2023'!$A$3:$L$3</c:f>
              <c:numCache>
                <c:formatCode>#,##0.0</c:formatCode>
                <c:ptCount val="12"/>
                <c:pt idx="0">
                  <c:v>10032.5</c:v>
                </c:pt>
                <c:pt idx="1">
                  <c:v>5312.5</c:v>
                </c:pt>
                <c:pt idx="2">
                  <c:v>2462.5</c:v>
                </c:pt>
                <c:pt idx="3">
                  <c:v>17807.5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10032.5</c:v>
                </c:pt>
                <c:pt idx="9">
                  <c:v>5312.5</c:v>
                </c:pt>
                <c:pt idx="10">
                  <c:v>2462.5</c:v>
                </c:pt>
                <c:pt idx="11">
                  <c:v>17807.5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50-4151-B035-EF112E758D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6280064"/>
        <c:axId val="127430016"/>
      </c:barChart>
      <c:catAx>
        <c:axId val="1262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Khmer MEF1" panose="02000506000000020004" pitchFamily="2" charset="0"/>
                <a:ea typeface="+mn-ea"/>
                <a:cs typeface="Khmer MEF1" panose="02000506000000020004" pitchFamily="2" charset="0"/>
              </a:defRPr>
            </a:pPr>
            <a:endParaRPr lang="en-US"/>
          </a:p>
        </c:txPr>
        <c:crossAx val="127430016"/>
        <c:crosses val="autoZero"/>
        <c:auto val="1"/>
        <c:lblAlgn val="ctr"/>
        <c:lblOffset val="100"/>
        <c:noMultiLvlLbl val="0"/>
      </c:catAx>
      <c:valAx>
        <c:axId val="1274300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crossAx val="12628006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>
              <a:defRPr sz="1300">
                <a:latin typeface="Khmer MEF1" panose="02000506000000020004" pitchFamily="2" charset="0"/>
                <a:cs typeface="Khmer MEF1" panose="02000506000000020004" pitchFamily="2" charset="0"/>
              </a:defRPr>
            </a:pPr>
            <a:r>
              <a:rPr lang="km-KH" sz="1300">
                <a:latin typeface="Khmer MEF1" panose="02000506000000020004" pitchFamily="2" charset="0"/>
                <a:cs typeface="Khmer MEF1" panose="02000506000000020004" pitchFamily="2" charset="0"/>
              </a:rPr>
              <a:t>ចំនួនគម្រោងសម្រាប់ដាក់បញ្ចូលក្នុង ក.វ.ស ២០២៣-២០២៥ គិតតាមអង្គភាពថវិកា</a:t>
            </a:r>
            <a:endParaRPr lang="en-US" sz="1300">
              <a:latin typeface="Khmer MEF1" panose="02000506000000020004" pitchFamily="2" charset="0"/>
              <a:cs typeface="Khmer MEF1" panose="02000506000000020004" pitchFamily="2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960399241794025E-2"/>
          <c:y val="0.11665566934701171"/>
          <c:w val="0.89674697481099097"/>
          <c:h val="0.6216718130821882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  <a:scene3d>
              <a:camera prst="orthographicFront"/>
              <a:lightRig rig="threePt" dir="t"/>
            </a:scene3d>
            <a:sp3d>
              <a:bevelT w="63500"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0-FF84-45AF-960D-66F75115200E}"/>
              </c:ext>
            </c:extLst>
          </c:dPt>
          <c:dPt>
            <c:idx val="1"/>
            <c:invertIfNegative val="0"/>
            <c:bubble3D val="0"/>
            <c:spPr>
              <a:solidFill>
                <a:srgbClr val="66FFFF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1-FF84-45AF-960D-66F7511520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2-FF84-45AF-960D-66F75115200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F84-45AF-960D-66F75115200E}"/>
              </c:ext>
            </c:extLst>
          </c:dPt>
          <c:dPt>
            <c:idx val="4"/>
            <c:invertIfNegative val="0"/>
            <c:bubble3D val="0"/>
            <c:spPr>
              <a:solidFill>
                <a:srgbClr val="7030A0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4-FF84-45AF-960D-66F75115200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glow>
                  <a:schemeClr val="accent1"/>
                </a:glow>
                <a:outerShdw blurRad="50800" dir="5880000" sx="94000" sy="94000" algn="ctr" rotWithShape="0">
                  <a:srgbClr val="000000"/>
                </a:outerShdw>
                <a:softEdge rad="0"/>
              </a:effectLst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6-FF84-45AF-960D-66F75115200E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FF84-45AF-960D-66F75115200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 w="63500"/>
                <a:bevelB/>
              </a:sp3d>
            </c:spPr>
            <c:extLst>
              <c:ext xmlns:c16="http://schemas.microsoft.com/office/drawing/2014/chart" uri="{C3380CC4-5D6E-409C-BE32-E72D297353CC}">
                <c16:uniqueId val="{00000009-FF84-45AF-960D-66F75115200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FF84-45AF-960D-66F75115200E}"/>
              </c:ext>
            </c:extLst>
          </c:dPt>
          <c:dLbls>
            <c:dLbl>
              <c:idx val="6"/>
              <c:layout>
                <c:manualLayout>
                  <c:x val="0"/>
                  <c:y val="3.10458802943749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72244307830769E-2"/>
                      <c:h val="8.063738356234881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F84-45AF-960D-66F7511520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 sz="1100" b="1">
                    <a:latin typeface="Khmer MEF1" panose="02000506000000020004" pitchFamily="2" charset="0"/>
                    <a:cs typeface="Khmer MEF1" panose="02000506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'2023'!$A$17:$A$21</c:f>
              <c:strCache>
                <c:ptCount val="5"/>
                <c:pt idx="0">
                  <c:v>អគ្គ.គយនិងរដ្ឋាករកម្ពុជា</c:v>
                </c:pt>
                <c:pt idx="1">
                  <c:v>អគ្គ.ពន្ធដារ</c:v>
                </c:pt>
                <c:pt idx="2">
                  <c:v>អគ្គ.រតនាគារជាតិ</c:v>
                </c:pt>
                <c:pt idx="3">
                  <c:v>មសហវ. រាជធានី ខេត្ត</c:v>
                </c:pt>
                <c:pt idx="4">
                  <c:v>សរុប</c:v>
                </c:pt>
              </c:strCache>
            </c:strRef>
          </c:cat>
          <c:val>
            <c:numRef>
              <c:f>'2023'!$B$17:$B$21</c:f>
              <c:numCache>
                <c:formatCode>[$-12000425]0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F84-45AF-960D-66F75115200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9"/>
        <c:overlap val="-32"/>
        <c:axId val="126026880"/>
        <c:axId val="127445248"/>
      </c:barChart>
      <c:catAx>
        <c:axId val="12602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800" b="1">
                <a:latin typeface="Khmer MEF1" panose="02000506000000020004" pitchFamily="2" charset="0"/>
                <a:cs typeface="Khmer MEF1" panose="02000506000000020004" pitchFamily="2" charset="0"/>
              </a:defRPr>
            </a:pPr>
            <a:endParaRPr lang="en-US"/>
          </a:p>
        </c:txPr>
        <c:crossAx val="127445248"/>
        <c:crosses val="autoZero"/>
        <c:auto val="1"/>
        <c:lblAlgn val="ctr"/>
        <c:lblOffset val="100"/>
        <c:noMultiLvlLbl val="0"/>
      </c:catAx>
      <c:valAx>
        <c:axId val="127445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-12000425]0" sourceLinked="1"/>
        <c:majorTickMark val="none"/>
        <c:minorTickMark val="none"/>
        <c:tickLblPos val="nextTo"/>
        <c:crossAx val="12602688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>
        <a:lumMod val="40000"/>
        <a:lumOff val="60000"/>
      </a:schemeClr>
    </a:solidFill>
    <a:ln w="19050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97516</xdr:rowOff>
    </xdr:from>
    <xdr:to>
      <xdr:col>1</xdr:col>
      <xdr:colOff>8069</xdr:colOff>
      <xdr:row>3</xdr:row>
      <xdr:rowOff>55365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" y="97516"/>
          <a:ext cx="2770318" cy="596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ក្រសួងសេដ្ឋកិច្ចនិងហិរញ្ញវត្ថុ</a:t>
          </a:r>
        </a:p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អគ្គនាយកដ្ឋាន/មន្ទីរសេដ្ឋកិច្ចនិងហិរញ្ញវត្ថុ​........</a:t>
          </a:r>
          <a:endParaRPr lang="en-US" sz="1000"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 editAs="absolute">
    <xdr:from>
      <xdr:col>18</xdr:col>
      <xdr:colOff>426276</xdr:colOff>
      <xdr:row>0</xdr:row>
      <xdr:rowOff>35852</xdr:rowOff>
    </xdr:from>
    <xdr:to>
      <xdr:col>21</xdr:col>
      <xdr:colOff>67574</xdr:colOff>
      <xdr:row>3</xdr:row>
      <xdr:rowOff>280267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332901" y="35852"/>
          <a:ext cx="1489148" cy="882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>
            <a:lnSpc>
              <a:spcPct val="80000"/>
            </a:lnSpc>
          </a:pPr>
          <a:r>
            <a:rPr lang="km-KH" sz="1100">
              <a:latin typeface="Khmer MEF2" pitchFamily="2" charset="0"/>
              <a:cs typeface="Khmer MEF2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950">
              <a:latin typeface="Khmer MEF1" pitchFamily="2" charset="0"/>
              <a:cs typeface="Khmer MEF1" pitchFamily="2" charset="0"/>
            </a:rPr>
            <a:t>ជាតិ</a:t>
          </a:r>
          <a:r>
            <a:rPr lang="km-KH" sz="950" baseline="0">
              <a:latin typeface="Khmer MEF1" pitchFamily="2" charset="0"/>
              <a:cs typeface="Khmer MEF1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US" sz="2000">
              <a:latin typeface="Tacteing" pitchFamily="2" charset="0"/>
              <a:cs typeface="Khmer MEF1" pitchFamily="2" charset="0"/>
            </a:rPr>
            <a:t>3</a:t>
          </a:r>
          <a:endParaRPr lang="en-US" sz="950">
            <a:latin typeface="Tacteing" pitchFamily="2" charset="0"/>
            <a:cs typeface="Khmer MEF1" pitchFamily="2" charset="0"/>
          </a:endParaRPr>
        </a:p>
      </xdr:txBody>
    </xdr:sp>
    <xdr:clientData/>
  </xdr:twoCellAnchor>
  <xdr:oneCellAnchor>
    <xdr:from>
      <xdr:col>16</xdr:col>
      <xdr:colOff>213786</xdr:colOff>
      <xdr:row>338</xdr:row>
      <xdr:rowOff>142162</xdr:rowOff>
    </xdr:from>
    <xdr:ext cx="2811354" cy="558878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3691661" y="7543087"/>
          <a:ext cx="2811354" cy="5588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ឆ្នាំ២០១...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អ្នករៀបចំតារាង</a:t>
          </a:r>
        </a:p>
      </xdr:txBody>
    </xdr:sp>
    <xdr:clientData/>
  </xdr:oneCellAnchor>
  <xdr:oneCellAnchor>
    <xdr:from>
      <xdr:col>0</xdr:col>
      <xdr:colOff>70872</xdr:colOff>
      <xdr:row>339</xdr:row>
      <xdr:rowOff>79735</xdr:rowOff>
    </xdr:from>
    <xdr:ext cx="2916168" cy="807720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70872" y="7728310"/>
          <a:ext cx="2916168" cy="807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និង​ឯកភាព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ឆ្នាំ២០១...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អគ្គនាយក /ប្រធានមន្ទីរសេដ្ឋកិច្ចនិងហិរញ្ញវត្ថុ</a:t>
          </a:r>
        </a:p>
      </xdr:txBody>
    </xdr:sp>
    <xdr:clientData/>
  </xdr:oneCellAnchor>
  <xdr:twoCellAnchor>
    <xdr:from>
      <xdr:col>5</xdr:col>
      <xdr:colOff>482746</xdr:colOff>
      <xdr:row>338</xdr:row>
      <xdr:rowOff>175583</xdr:rowOff>
    </xdr:from>
    <xdr:to>
      <xdr:col>10</xdr:col>
      <xdr:colOff>175260</xdr:colOff>
      <xdr:row>341</xdr:row>
      <xdr:rowOff>253029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102496" y="7576508"/>
          <a:ext cx="3264389" cy="953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itchFamily="2" charset="0"/>
              <a:cs typeface="Khmer MEF2" pitchFamily="2" charset="0"/>
            </a:rPr>
            <a:t>បានឃើញ និងពិនិត្យ​ត្រឹមត្រូវ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ឆ្នាំ២០១៧</a:t>
          </a:r>
        </a:p>
        <a:p>
          <a:pPr algn="ctr"/>
          <a:r>
            <a:rPr lang="km-KH" sz="1000" b="0" baseline="0">
              <a:latin typeface="Khmer MEF2" pitchFamily="2" charset="0"/>
              <a:cs typeface="Khmer MEF2" pitchFamily="2" charset="0"/>
            </a:rPr>
            <a:t>ប្រធាន....... (រដ្ឋបាល បុគ្គលិក ហិរញ្ញវត្ថុ/លេខាធិការដ្ឋាន)</a:t>
          </a:r>
          <a:endParaRPr lang="en-US" sz="1000" b="0">
            <a:latin typeface="Khmer MEF2" pitchFamily="2" charset="0"/>
            <a:cs typeface="Khmer MEF2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97516</xdr:rowOff>
    </xdr:from>
    <xdr:to>
      <xdr:col>0</xdr:col>
      <xdr:colOff>2775922</xdr:colOff>
      <xdr:row>3</xdr:row>
      <xdr:rowOff>55365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" y="97516"/>
          <a:ext cx="2770318" cy="596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ក្រសួងសេដ្ឋកិច្ចនិងហិរញ្ញវត្ថុ</a:t>
          </a:r>
        </a:p>
        <a:p>
          <a:pPr>
            <a:lnSpc>
              <a:spcPct val="80000"/>
            </a:lnSpc>
          </a:pPr>
          <a:r>
            <a:rPr lang="km-KH" sz="1000">
              <a:latin typeface="Khmer MEF2" pitchFamily="2" charset="0"/>
              <a:cs typeface="Khmer MEF2" pitchFamily="2" charset="0"/>
            </a:rPr>
            <a:t>អគ្គនាយកដ្ឋាន/មន្ទីរសេដ្ឋកិច្ចនិងហិរញ្ញវត្ថុ​........</a:t>
          </a:r>
          <a:endParaRPr lang="en-US" sz="1000"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 editAs="absolute">
    <xdr:from>
      <xdr:col>21</xdr:col>
      <xdr:colOff>168541</xdr:colOff>
      <xdr:row>0</xdr:row>
      <xdr:rowOff>35852</xdr:rowOff>
    </xdr:from>
    <xdr:to>
      <xdr:col>23</xdr:col>
      <xdr:colOff>493398</xdr:colOff>
      <xdr:row>3</xdr:row>
      <xdr:rowOff>280267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332901" y="35852"/>
          <a:ext cx="1489148" cy="8825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>
            <a:lnSpc>
              <a:spcPct val="80000"/>
            </a:lnSpc>
          </a:pPr>
          <a:r>
            <a:rPr lang="km-KH" sz="1100">
              <a:latin typeface="Khmer MEF2" pitchFamily="2" charset="0"/>
              <a:cs typeface="Khmer MEF2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950">
              <a:latin typeface="Khmer MEF1" pitchFamily="2" charset="0"/>
              <a:cs typeface="Khmer MEF1" pitchFamily="2" charset="0"/>
            </a:rPr>
            <a:t>ជាតិ</a:t>
          </a:r>
          <a:r>
            <a:rPr lang="km-KH" sz="950" baseline="0">
              <a:latin typeface="Khmer MEF1" pitchFamily="2" charset="0"/>
              <a:cs typeface="Khmer MEF1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US" sz="2000">
              <a:latin typeface="Tacteing" pitchFamily="2" charset="0"/>
              <a:cs typeface="Khmer MEF1" pitchFamily="2" charset="0"/>
            </a:rPr>
            <a:t>3</a:t>
          </a:r>
          <a:endParaRPr lang="en-US" sz="950">
            <a:latin typeface="Tacteing" pitchFamily="2" charset="0"/>
            <a:cs typeface="Khmer MEF1" pitchFamily="2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739790</xdr:colOff>
      <xdr:row>114</xdr:row>
      <xdr:rowOff>46574</xdr:rowOff>
    </xdr:from>
    <xdr:to>
      <xdr:col>13</xdr:col>
      <xdr:colOff>565150</xdr:colOff>
      <xdr:row>121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131065" y="34012724"/>
          <a:ext cx="3511535" cy="1464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itchFamily="2" charset="0"/>
              <a:cs typeface="Khmer MEF2" pitchFamily="2" charset="0"/>
            </a:rPr>
            <a:t>បានឃើញ និងពិនិត្យ​ត្រឹមត្រូវ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itchFamily="2" charset="0"/>
              <a:cs typeface="Khmer MEF2" pitchFamily="2" charset="0"/>
            </a:rPr>
            <a:t>ប្រធាននាយកដ្ឋានរដ្ឋបាលនិងហិរញ្ញវត្ថុ</a:t>
          </a:r>
          <a:endParaRPr lang="en-US" sz="1000" b="0"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14</xdr:col>
      <xdr:colOff>317501</xdr:colOff>
      <xdr:row>0</xdr:row>
      <xdr:rowOff>31750</xdr:rowOff>
    </xdr:from>
    <xdr:to>
      <xdr:col>17</xdr:col>
      <xdr:colOff>680797</xdr:colOff>
      <xdr:row>3</xdr:row>
      <xdr:rowOff>381000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185526" y="31750"/>
          <a:ext cx="2506421" cy="1292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14</xdr:col>
      <xdr:colOff>184997</xdr:colOff>
      <xdr:row>114</xdr:row>
      <xdr:rowOff>55033</xdr:rowOff>
    </xdr:from>
    <xdr:ext cx="2697480" cy="868680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1053022" y="34021183"/>
          <a:ext cx="269748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ឆ្នាំ២០១៨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4</xdr:col>
      <xdr:colOff>207433</xdr:colOff>
      <xdr:row>114</xdr:row>
      <xdr:rowOff>78969</xdr:rowOff>
    </xdr:from>
    <xdr:ext cx="2697480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3741208" y="34045119"/>
          <a:ext cx="2697480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ខែ</a:t>
          </a:r>
          <a:r>
            <a:rPr lang="en-US" sz="1000"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ឆ្នាំ២០១៨</a:t>
          </a:r>
          <a:endParaRPr lang="en-US" sz="1000"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126999</xdr:colOff>
      <xdr:row>0</xdr:row>
      <xdr:rowOff>42334</xdr:rowOff>
    </xdr:from>
    <xdr:to>
      <xdr:col>3</xdr:col>
      <xdr:colOff>550333</xdr:colOff>
      <xdr:row>4</xdr:row>
      <xdr:rowOff>137584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126999" y="42334"/>
          <a:ext cx="3309409" cy="1419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52917</xdr:colOff>
      <xdr:row>114</xdr:row>
      <xdr:rowOff>63499</xdr:rowOff>
    </xdr:from>
    <xdr:to>
      <xdr:col>3</xdr:col>
      <xdr:colOff>74083</xdr:colOff>
      <xdr:row>125</xdr:row>
      <xdr:rowOff>21146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917" y="34029649"/>
          <a:ext cx="2907241" cy="20531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0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ទេសរដ្ឋមន្រ្តី</a:t>
          </a:r>
          <a:endParaRPr lang="en-US" sz="1000" b="0" baseline="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00" b="0" baseline="0"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00" b="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412750</xdr:colOff>
      <xdr:row>134</xdr:row>
      <xdr:rowOff>74084</xdr:rowOff>
    </xdr:from>
    <xdr:to>
      <xdr:col>18</xdr:col>
      <xdr:colOff>137582</xdr:colOff>
      <xdr:row>139</xdr:row>
      <xdr:rowOff>84667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1070167" y="37496751"/>
          <a:ext cx="2868082" cy="1862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1" baseline="0">
              <a:latin typeface="Khmer MEF1" panose="02000506000000020004" pitchFamily="2" charset="0"/>
              <a:cs typeface="Khmer MEF1" panose="02000506000000020004" pitchFamily="2" charset="0"/>
            </a:rPr>
            <a:t>ប្រធានការិយាល័យផែនការថវិកា</a:t>
          </a:r>
          <a:endParaRPr lang="en-US" sz="1000" b="1">
            <a:latin typeface="Khmer MEF1" panose="02000506000000020004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8</xdr:col>
      <xdr:colOff>190500</xdr:colOff>
      <xdr:row>134</xdr:row>
      <xdr:rowOff>63501</xdr:rowOff>
    </xdr:from>
    <xdr:to>
      <xdr:col>12</xdr:col>
      <xdr:colOff>592666</xdr:colOff>
      <xdr:row>139</xdr:row>
      <xdr:rowOff>201093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916333" y="37507334"/>
          <a:ext cx="2709333" cy="1989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បានឃើញ និងពិនិត្យត្រឹមត្រូវ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1" baseline="0">
              <a:latin typeface="Khmer MEF1" panose="02000506000000020004" pitchFamily="2" charset="0"/>
              <a:cs typeface="Khmer MEF1" panose="02000506000000020004" pitchFamily="2" charset="0"/>
            </a:rPr>
            <a:t>ប្រធាននាយកដ្ឋានរដ្ឋបាលនិងហិរញ្ញវត្ថុ</a:t>
          </a:r>
          <a:endParaRPr lang="en-US" sz="1000" b="1">
            <a:latin typeface="Khmer MEF1" panose="02000506000000020004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444499</xdr:colOff>
      <xdr:row>134</xdr:row>
      <xdr:rowOff>95263</xdr:rowOff>
    </xdr:from>
    <xdr:to>
      <xdr:col>6</xdr:col>
      <xdr:colOff>381000</xdr:colOff>
      <xdr:row>138</xdr:row>
      <xdr:rowOff>264584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4148666" y="37475596"/>
          <a:ext cx="2899834" cy="16509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បានឃើញ និងពិនិត្យត្រឹមត្រូវ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 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</a:p>
      </xdr:txBody>
    </xdr:sp>
    <xdr:clientData/>
  </xdr:twoCellAnchor>
  <xdr:twoCellAnchor>
    <xdr:from>
      <xdr:col>0</xdr:col>
      <xdr:colOff>137581</xdr:colOff>
      <xdr:row>134</xdr:row>
      <xdr:rowOff>116436</xdr:rowOff>
    </xdr:from>
    <xdr:to>
      <xdr:col>1</xdr:col>
      <xdr:colOff>3428999</xdr:colOff>
      <xdr:row>139</xdr:row>
      <xdr:rowOff>317501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37581" y="37496769"/>
          <a:ext cx="3471335" cy="20531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បានឃើញ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និងឯកភាព</a:t>
          </a:r>
          <a:endParaRPr lang="km-KH" sz="1000"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000" baseline="0">
              <a:latin typeface="Khmer MEF1" panose="02000506000000020004" pitchFamily="2" charset="0"/>
              <a:cs typeface="Khmer MEF1" panose="02000506000000020004" pitchFamily="2" charset="0"/>
            </a:rPr>
            <a:t> ថ្ងៃទី         ខែ           ឆ្នាំ២០១៨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ទេសរដ្ឋមន្រ្តី</a:t>
          </a:r>
          <a:endParaRPr lang="en-US" sz="1000" b="0" baseline="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00" b="0" baseline="0"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00" b="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15</xdr:col>
      <xdr:colOff>31750</xdr:colOff>
      <xdr:row>0</xdr:row>
      <xdr:rowOff>31750</xdr:rowOff>
    </xdr:from>
    <xdr:to>
      <xdr:col>18</xdr:col>
      <xdr:colOff>109296</xdr:colOff>
      <xdr:row>3</xdr:row>
      <xdr:rowOff>4233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2680950" y="31750"/>
          <a:ext cx="2515946" cy="1172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116415</xdr:colOff>
      <xdr:row>0</xdr:row>
      <xdr:rowOff>190499</xdr:rowOff>
    </xdr:from>
    <xdr:to>
      <xdr:col>3</xdr:col>
      <xdr:colOff>539750</xdr:colOff>
      <xdr:row>4</xdr:row>
      <xdr:rowOff>42333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97390" y="190499"/>
          <a:ext cx="3299885" cy="13853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433917</xdr:colOff>
      <xdr:row>0</xdr:row>
      <xdr:rowOff>52916</xdr:rowOff>
    </xdr:from>
    <xdr:to>
      <xdr:col>28</xdr:col>
      <xdr:colOff>744297</xdr:colOff>
      <xdr:row>3</xdr:row>
      <xdr:rowOff>25399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C8D341-6376-40AC-80FB-4CA1A7899F26}"/>
            </a:ext>
          </a:extLst>
        </xdr:cNvPr>
        <xdr:cNvSpPr txBox="1"/>
      </xdr:nvSpPr>
      <xdr:spPr>
        <a:xfrm>
          <a:off x="25506892" y="52916"/>
          <a:ext cx="2193155" cy="1248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6</xdr:col>
      <xdr:colOff>84665</xdr:colOff>
      <xdr:row>0</xdr:row>
      <xdr:rowOff>126999</xdr:rowOff>
    </xdr:from>
    <xdr:to>
      <xdr:col>13</xdr:col>
      <xdr:colOff>508000</xdr:colOff>
      <xdr:row>3</xdr:row>
      <xdr:rowOff>285750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083966-F8CA-4A40-8F8E-D098C98F95B8}"/>
            </a:ext>
          </a:extLst>
        </xdr:cNvPr>
        <xdr:cNvSpPr txBox="1"/>
      </xdr:nvSpPr>
      <xdr:spPr>
        <a:xfrm>
          <a:off x="5120215" y="126999"/>
          <a:ext cx="9913410" cy="1174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22</xdr:col>
      <xdr:colOff>349250</xdr:colOff>
      <xdr:row>26</xdr:row>
      <xdr:rowOff>137584</xdr:rowOff>
    </xdr:from>
    <xdr:ext cx="3513667" cy="1185333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6CFB88D-EC56-4199-B67D-C3AA4693211D}"/>
            </a:ext>
          </a:extLst>
        </xdr:cNvPr>
        <xdr:cNvSpPr txBox="1">
          <a:spLocks noChangeArrowheads="1"/>
        </xdr:cNvSpPr>
      </xdr:nvSpPr>
      <xdr:spPr bwMode="auto">
        <a:xfrm>
          <a:off x="23558500" y="5995459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6</xdr:col>
      <xdr:colOff>3530594</xdr:colOff>
      <xdr:row>26</xdr:row>
      <xdr:rowOff>227136</xdr:rowOff>
    </xdr:from>
    <xdr:ext cx="3445939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8F0DD17-9337-403E-9D8F-0FB8193DE339}"/>
            </a:ext>
          </a:extLst>
        </xdr:cNvPr>
        <xdr:cNvSpPr txBox="1">
          <a:spLocks noChangeArrowheads="1"/>
        </xdr:cNvSpPr>
      </xdr:nvSpPr>
      <xdr:spPr bwMode="auto">
        <a:xfrm>
          <a:off x="8566144" y="6085011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137583</xdr:colOff>
      <xdr:row>26</xdr:row>
      <xdr:rowOff>222250</xdr:rowOff>
    </xdr:from>
    <xdr:to>
      <xdr:col>10</xdr:col>
      <xdr:colOff>84666</xdr:colOff>
      <xdr:row>32</xdr:row>
      <xdr:rowOff>42334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E02B4DB-2018-4E4D-B5A3-BCC457220A7C}"/>
            </a:ext>
          </a:extLst>
        </xdr:cNvPr>
        <xdr:cNvSpPr txBox="1"/>
      </xdr:nvSpPr>
      <xdr:spPr>
        <a:xfrm>
          <a:off x="137583" y="6080125"/>
          <a:ext cx="13793258" cy="1915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16</xdr:col>
      <xdr:colOff>463551</xdr:colOff>
      <xdr:row>26</xdr:row>
      <xdr:rowOff>182034</xdr:rowOff>
    </xdr:from>
    <xdr:ext cx="3437466" cy="86868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80B7F69-96DF-4040-BE3E-156856E6CE5B}"/>
            </a:ext>
          </a:extLst>
        </xdr:cNvPr>
        <xdr:cNvSpPr txBox="1">
          <a:spLocks noChangeArrowheads="1"/>
        </xdr:cNvSpPr>
      </xdr:nvSpPr>
      <xdr:spPr bwMode="auto">
        <a:xfrm>
          <a:off x="18062576" y="6039909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349250</xdr:colOff>
      <xdr:row>22</xdr:row>
      <xdr:rowOff>137584</xdr:rowOff>
    </xdr:from>
    <xdr:ext cx="3513667" cy="1185333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3B631F55-6EEF-4755-B0CA-B8553FA503FA}"/>
            </a:ext>
          </a:extLst>
        </xdr:cNvPr>
        <xdr:cNvSpPr txBox="1">
          <a:spLocks noChangeArrowheads="1"/>
        </xdr:cNvSpPr>
      </xdr:nvSpPr>
      <xdr:spPr bwMode="auto">
        <a:xfrm>
          <a:off x="28105100" y="5649384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6</xdr:col>
      <xdr:colOff>3530594</xdr:colOff>
      <xdr:row>22</xdr:row>
      <xdr:rowOff>227136</xdr:rowOff>
    </xdr:from>
    <xdr:ext cx="3445939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D7479E48-CDB6-4CCC-8F46-BBAB6F687A34}"/>
            </a:ext>
          </a:extLst>
        </xdr:cNvPr>
        <xdr:cNvSpPr txBox="1">
          <a:spLocks noChangeArrowheads="1"/>
        </xdr:cNvSpPr>
      </xdr:nvSpPr>
      <xdr:spPr bwMode="auto">
        <a:xfrm>
          <a:off x="10960094" y="5738936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137583</xdr:colOff>
      <xdr:row>22</xdr:row>
      <xdr:rowOff>222250</xdr:rowOff>
    </xdr:from>
    <xdr:to>
      <xdr:col>9</xdr:col>
      <xdr:colOff>84666</xdr:colOff>
      <xdr:row>28</xdr:row>
      <xdr:rowOff>42334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2666C4-86FC-4446-BF0C-99C229654A48}"/>
            </a:ext>
          </a:extLst>
        </xdr:cNvPr>
        <xdr:cNvSpPr txBox="1"/>
      </xdr:nvSpPr>
      <xdr:spPr>
        <a:xfrm>
          <a:off x="137583" y="5734050"/>
          <a:ext cx="16015758" cy="1915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15</xdr:col>
      <xdr:colOff>463551</xdr:colOff>
      <xdr:row>22</xdr:row>
      <xdr:rowOff>182034</xdr:rowOff>
    </xdr:from>
    <xdr:ext cx="3437466" cy="86868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AF310758-4F43-4FB4-9F6E-2F850A152F2D}"/>
            </a:ext>
          </a:extLst>
        </xdr:cNvPr>
        <xdr:cNvSpPr txBox="1">
          <a:spLocks noChangeArrowheads="1"/>
        </xdr:cNvSpPr>
      </xdr:nvSpPr>
      <xdr:spPr bwMode="auto">
        <a:xfrm>
          <a:off x="22609176" y="5693834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433917</xdr:colOff>
      <xdr:row>0</xdr:row>
      <xdr:rowOff>52916</xdr:rowOff>
    </xdr:from>
    <xdr:to>
      <xdr:col>23</xdr:col>
      <xdr:colOff>744297</xdr:colOff>
      <xdr:row>3</xdr:row>
      <xdr:rowOff>25399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A60A41-E050-4453-AF9E-72F2D2D28AA4}"/>
            </a:ext>
          </a:extLst>
        </xdr:cNvPr>
        <xdr:cNvSpPr txBox="1"/>
      </xdr:nvSpPr>
      <xdr:spPr>
        <a:xfrm>
          <a:off x="12171892" y="52916"/>
          <a:ext cx="2193155" cy="1274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5</xdr:col>
      <xdr:colOff>84665</xdr:colOff>
      <xdr:row>0</xdr:row>
      <xdr:rowOff>126999</xdr:rowOff>
    </xdr:from>
    <xdr:to>
      <xdr:col>9</xdr:col>
      <xdr:colOff>508000</xdr:colOff>
      <xdr:row>3</xdr:row>
      <xdr:rowOff>285750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BCDF76-2C69-4C3E-AF06-D911A6599F2F}"/>
            </a:ext>
          </a:extLst>
        </xdr:cNvPr>
        <xdr:cNvSpPr txBox="1"/>
      </xdr:nvSpPr>
      <xdr:spPr>
        <a:xfrm>
          <a:off x="275165" y="126999"/>
          <a:ext cx="4804835" cy="14605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18</xdr:col>
      <xdr:colOff>349250</xdr:colOff>
      <xdr:row>29</xdr:row>
      <xdr:rowOff>137584</xdr:rowOff>
    </xdr:from>
    <xdr:ext cx="3513667" cy="1185333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FC861400-B8DD-451C-A10B-13F293712F0A}"/>
            </a:ext>
          </a:extLst>
        </xdr:cNvPr>
        <xdr:cNvSpPr txBox="1">
          <a:spLocks noChangeArrowheads="1"/>
        </xdr:cNvSpPr>
      </xdr:nvSpPr>
      <xdr:spPr bwMode="auto">
        <a:xfrm>
          <a:off x="10842625" y="12008909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5</xdr:col>
      <xdr:colOff>3530594</xdr:colOff>
      <xdr:row>29</xdr:row>
      <xdr:rowOff>227136</xdr:rowOff>
    </xdr:from>
    <xdr:ext cx="3445939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82DF445A-9397-4266-9E4E-C167CD078A72}"/>
            </a:ext>
          </a:extLst>
        </xdr:cNvPr>
        <xdr:cNvSpPr txBox="1">
          <a:spLocks noChangeArrowheads="1"/>
        </xdr:cNvSpPr>
      </xdr:nvSpPr>
      <xdr:spPr bwMode="auto">
        <a:xfrm>
          <a:off x="3721094" y="12098461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137583</xdr:colOff>
      <xdr:row>29</xdr:row>
      <xdr:rowOff>222250</xdr:rowOff>
    </xdr:from>
    <xdr:to>
      <xdr:col>8</xdr:col>
      <xdr:colOff>84666</xdr:colOff>
      <xdr:row>35</xdr:row>
      <xdr:rowOff>42334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D59767E-997A-4F46-906F-4B8E862B4B24}"/>
            </a:ext>
          </a:extLst>
        </xdr:cNvPr>
        <xdr:cNvSpPr txBox="1"/>
      </xdr:nvSpPr>
      <xdr:spPr>
        <a:xfrm>
          <a:off x="137583" y="12093575"/>
          <a:ext cx="3839633" cy="1915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12</xdr:col>
      <xdr:colOff>463551</xdr:colOff>
      <xdr:row>29</xdr:row>
      <xdr:rowOff>182034</xdr:rowOff>
    </xdr:from>
    <xdr:ext cx="3437466" cy="86868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DE710462-A4A9-4416-9872-88B3452FE3BE}"/>
            </a:ext>
          </a:extLst>
        </xdr:cNvPr>
        <xdr:cNvSpPr txBox="1">
          <a:spLocks noChangeArrowheads="1"/>
        </xdr:cNvSpPr>
      </xdr:nvSpPr>
      <xdr:spPr bwMode="auto">
        <a:xfrm>
          <a:off x="7448551" y="12053359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31750</xdr:colOff>
      <xdr:row>0</xdr:row>
      <xdr:rowOff>31750</xdr:rowOff>
    </xdr:from>
    <xdr:to>
      <xdr:col>18</xdr:col>
      <xdr:colOff>109296</xdr:colOff>
      <xdr:row>3</xdr:row>
      <xdr:rowOff>4233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11804650" y="31750"/>
          <a:ext cx="2068271" cy="129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84665</xdr:colOff>
      <xdr:row>0</xdr:row>
      <xdr:rowOff>126999</xdr:rowOff>
    </xdr:from>
    <xdr:to>
      <xdr:col>3</xdr:col>
      <xdr:colOff>508000</xdr:colOff>
      <xdr:row>3</xdr:row>
      <xdr:rowOff>285750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265640" y="126999"/>
          <a:ext cx="4595285" cy="1482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12</xdr:col>
      <xdr:colOff>402167</xdr:colOff>
      <xdr:row>14</xdr:row>
      <xdr:rowOff>785813</xdr:rowOff>
    </xdr:from>
    <xdr:ext cx="3457363" cy="1238250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>
          <a:spLocks noChangeArrowheads="1"/>
        </xdr:cNvSpPr>
      </xdr:nvSpPr>
      <xdr:spPr bwMode="auto">
        <a:xfrm>
          <a:off x="10629636" y="6786563"/>
          <a:ext cx="3457363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endParaRPr lang="km-KH" sz="105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3511022</xdr:colOff>
      <xdr:row>15</xdr:row>
      <xdr:rowOff>175015</xdr:rowOff>
    </xdr:from>
    <xdr:ext cx="3632200" cy="101111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3689616" y="7128265"/>
          <a:ext cx="3632200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</a:t>
          </a:r>
          <a:r>
            <a:rPr lang="km-KH" sz="1050" baseline="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ឆ្លូវ ត្រីស័ក </a:t>
          </a: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</a:t>
          </a:r>
          <a:r>
            <a:rPr lang="en-US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 </a:t>
          </a: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  ខែ</a:t>
          </a:r>
          <a:r>
            <a:rPr lang="en-US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       </a:t>
          </a: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 ឆ្នាំ២០២២</a:t>
          </a:r>
          <a:endParaRPr lang="en-US" sz="105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154781</xdr:colOff>
      <xdr:row>15</xdr:row>
      <xdr:rowOff>251354</xdr:rowOff>
    </xdr:from>
    <xdr:to>
      <xdr:col>2</xdr:col>
      <xdr:colOff>7936</xdr:colOff>
      <xdr:row>20</xdr:row>
      <xdr:rowOff>72762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154781" y="7204604"/>
          <a:ext cx="3639343" cy="1666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5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05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05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05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ឆ្នាំ..............ស័ក ព.ស. ២៥៦៥</a:t>
          </a:r>
        </a:p>
        <a:p>
          <a:pPr algn="ctr"/>
          <a:r>
            <a:rPr lang="km-KH" sz="105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05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05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5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5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5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6</xdr:col>
      <xdr:colOff>258801</xdr:colOff>
      <xdr:row>15</xdr:row>
      <xdr:rowOff>148960</xdr:rowOff>
    </xdr:from>
    <xdr:ext cx="3593256" cy="1274234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>
          <a:spLocks noChangeArrowheads="1"/>
        </xdr:cNvSpPr>
      </xdr:nvSpPr>
      <xdr:spPr bwMode="auto">
        <a:xfrm>
          <a:off x="7140614" y="7102210"/>
          <a:ext cx="3593256" cy="1274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05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05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5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433917</xdr:colOff>
      <xdr:row>0</xdr:row>
      <xdr:rowOff>52916</xdr:rowOff>
    </xdr:from>
    <xdr:to>
      <xdr:col>17</xdr:col>
      <xdr:colOff>744297</xdr:colOff>
      <xdr:row>3</xdr:row>
      <xdr:rowOff>25399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662834" y="52916"/>
          <a:ext cx="2077796" cy="1295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84665</xdr:colOff>
      <xdr:row>0</xdr:row>
      <xdr:rowOff>126999</xdr:rowOff>
    </xdr:from>
    <xdr:to>
      <xdr:col>3</xdr:col>
      <xdr:colOff>508000</xdr:colOff>
      <xdr:row>3</xdr:row>
      <xdr:rowOff>285750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264582" y="126999"/>
          <a:ext cx="4593168" cy="14816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12</xdr:col>
      <xdr:colOff>349250</xdr:colOff>
      <xdr:row>30</xdr:row>
      <xdr:rowOff>137584</xdr:rowOff>
    </xdr:from>
    <xdr:ext cx="3513667" cy="1185333"/>
    <xdr:sp macro="" textlink="">
      <xdr:nvSpPr>
        <xdr:cNvPr id="8" name="Text Box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>
          <a:spLocks noChangeArrowheads="1"/>
        </xdr:cNvSpPr>
      </xdr:nvSpPr>
      <xdr:spPr bwMode="auto">
        <a:xfrm>
          <a:off x="10392833" y="11927417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3530594</xdr:colOff>
      <xdr:row>30</xdr:row>
      <xdr:rowOff>227136</xdr:rowOff>
    </xdr:from>
    <xdr:ext cx="3445939" cy="1011116"/>
    <xdr:sp macro="" textlink="">
      <xdr:nvSpPr>
        <xdr:cNvPr id="9" name="Text Box 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>
          <a:spLocks noChangeArrowheads="1"/>
        </xdr:cNvSpPr>
      </xdr:nvSpPr>
      <xdr:spPr bwMode="auto">
        <a:xfrm>
          <a:off x="3710511" y="12016969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137583</xdr:colOff>
      <xdr:row>30</xdr:row>
      <xdr:rowOff>222250</xdr:rowOff>
    </xdr:from>
    <xdr:to>
      <xdr:col>2</xdr:col>
      <xdr:colOff>84666</xdr:colOff>
      <xdr:row>36</xdr:row>
      <xdr:rowOff>42334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37583" y="12012083"/>
          <a:ext cx="3661833" cy="20425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6</xdr:col>
      <xdr:colOff>463551</xdr:colOff>
      <xdr:row>30</xdr:row>
      <xdr:rowOff>182034</xdr:rowOff>
    </xdr:from>
    <xdr:ext cx="3437466" cy="868680"/>
    <xdr:sp macro="" textlink="">
      <xdr:nvSpPr>
        <xdr:cNvPr id="11" name="Text Box 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>
          <a:spLocks noChangeArrowheads="1"/>
        </xdr:cNvSpPr>
      </xdr:nvSpPr>
      <xdr:spPr bwMode="auto">
        <a:xfrm>
          <a:off x="7141634" y="11971867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433917</xdr:colOff>
      <xdr:row>0</xdr:row>
      <xdr:rowOff>52916</xdr:rowOff>
    </xdr:from>
    <xdr:to>
      <xdr:col>17</xdr:col>
      <xdr:colOff>744297</xdr:colOff>
      <xdr:row>3</xdr:row>
      <xdr:rowOff>25399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FA34B9-B5D9-430D-B6A7-5E6D3655358C}"/>
            </a:ext>
          </a:extLst>
        </xdr:cNvPr>
        <xdr:cNvSpPr txBox="1"/>
      </xdr:nvSpPr>
      <xdr:spPr>
        <a:xfrm>
          <a:off x="11644842" y="52916"/>
          <a:ext cx="2072505" cy="12964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</xdr:col>
      <xdr:colOff>84665</xdr:colOff>
      <xdr:row>0</xdr:row>
      <xdr:rowOff>126999</xdr:rowOff>
    </xdr:from>
    <xdr:to>
      <xdr:col>3</xdr:col>
      <xdr:colOff>508000</xdr:colOff>
      <xdr:row>3</xdr:row>
      <xdr:rowOff>285750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E0AB97-0CB7-49F3-8C15-0C9832B199D2}"/>
            </a:ext>
          </a:extLst>
        </xdr:cNvPr>
        <xdr:cNvSpPr txBox="1"/>
      </xdr:nvSpPr>
      <xdr:spPr>
        <a:xfrm>
          <a:off x="265640" y="126999"/>
          <a:ext cx="4604810" cy="1482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5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12</xdr:col>
      <xdr:colOff>359834</xdr:colOff>
      <xdr:row>30</xdr:row>
      <xdr:rowOff>116416</xdr:rowOff>
    </xdr:from>
    <xdr:ext cx="3513667" cy="1185333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D1EA13A-F4E5-42E3-AB06-E78D2A47CE38}"/>
            </a:ext>
          </a:extLst>
        </xdr:cNvPr>
        <xdr:cNvSpPr txBox="1">
          <a:spLocks noChangeArrowheads="1"/>
        </xdr:cNvSpPr>
      </xdr:nvSpPr>
      <xdr:spPr bwMode="auto">
        <a:xfrm>
          <a:off x="10382251" y="11758083"/>
          <a:ext cx="3513667" cy="1185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3488262</xdr:colOff>
      <xdr:row>30</xdr:row>
      <xdr:rowOff>248302</xdr:rowOff>
    </xdr:from>
    <xdr:ext cx="3445939" cy="1011116"/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904455CC-E210-4F75-A37F-597F34A51393}"/>
            </a:ext>
          </a:extLst>
        </xdr:cNvPr>
        <xdr:cNvSpPr txBox="1">
          <a:spLocks noChangeArrowheads="1"/>
        </xdr:cNvSpPr>
      </xdr:nvSpPr>
      <xdr:spPr bwMode="auto">
        <a:xfrm>
          <a:off x="3668179" y="11889969"/>
          <a:ext cx="3445939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95251</xdr:colOff>
      <xdr:row>30</xdr:row>
      <xdr:rowOff>243416</xdr:rowOff>
    </xdr:from>
    <xdr:to>
      <xdr:col>2</xdr:col>
      <xdr:colOff>42334</xdr:colOff>
      <xdr:row>36</xdr:row>
      <xdr:rowOff>63499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999B210-FDD3-46AE-85D9-CF5D6001958E}"/>
            </a:ext>
          </a:extLst>
        </xdr:cNvPr>
        <xdr:cNvSpPr txBox="1"/>
      </xdr:nvSpPr>
      <xdr:spPr>
        <a:xfrm>
          <a:off x="95251" y="11885083"/>
          <a:ext cx="3661833" cy="20425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100">
            <a:solidFill>
              <a:sysClr val="windowText" lastClr="000000"/>
            </a:solidFill>
            <a:latin typeface="Khmer MEF1" panose="02000506000000020004" pitchFamily="2" charset="0"/>
            <a:cs typeface="Khmer MEF1" panose="02000506000000020004" pitchFamily="2" charset="0"/>
          </a:endParaRP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ថ្ងៃ                     ខែ           ឆ្នាំ............ស័ក ព.ស. ២៥៦៥</a:t>
          </a:r>
        </a:p>
        <a:p>
          <a:pPr algn="ctr"/>
          <a:r>
            <a:rPr lang="km-KH" sz="1100">
              <a:solidFill>
                <a:sysClr val="windowText" lastClr="000000"/>
              </a:solidFill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100" b="0" baseline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100" b="0" baseline="0">
              <a:solidFill>
                <a:sysClr val="windowText" lastClr="000000"/>
              </a:solidFill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100" b="0">
            <a:solidFill>
              <a:sysClr val="windowText" lastClr="000000"/>
            </a:solidFill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6</xdr:col>
      <xdr:colOff>421219</xdr:colOff>
      <xdr:row>30</xdr:row>
      <xdr:rowOff>203200</xdr:rowOff>
    </xdr:from>
    <xdr:ext cx="3437466" cy="868680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8203824F-08DF-4B6C-8B0D-2B0B315D2356}"/>
            </a:ext>
          </a:extLst>
        </xdr:cNvPr>
        <xdr:cNvSpPr txBox="1">
          <a:spLocks noChangeArrowheads="1"/>
        </xdr:cNvSpPr>
      </xdr:nvSpPr>
      <xdr:spPr bwMode="auto">
        <a:xfrm>
          <a:off x="7078136" y="11844867"/>
          <a:ext cx="3437466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100" baseline="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100">
            <a:solidFill>
              <a:sysClr val="windowText" lastClr="000000"/>
            </a:solidFill>
            <a:effectLst/>
            <a:latin typeface="Khmer MEF1" pitchFamily="2" charset="0"/>
            <a:ea typeface="Calibri"/>
            <a:cs typeface="Khmer MEF1" pitchFamily="2" charset="0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100">
              <a:solidFill>
                <a:sysClr val="windowText" lastClr="000000"/>
              </a:solidFill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1788584</xdr:colOff>
      <xdr:row>0</xdr:row>
      <xdr:rowOff>0</xdr:rowOff>
    </xdr:from>
    <xdr:to>
      <xdr:col>8</xdr:col>
      <xdr:colOff>349250</xdr:colOff>
      <xdr:row>2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8752417" y="0"/>
          <a:ext cx="2783416" cy="11429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ជាតិ</a:t>
          </a: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 សាសនា ព្រះមហាក្សត្រ</a:t>
          </a:r>
        </a:p>
        <a:p>
          <a:pPr algn="ctr"/>
          <a:r>
            <a:rPr lang="en-US" sz="2800">
              <a:latin typeface="Tacteing" pitchFamily="2" charset="0"/>
              <a:cs typeface="Khmer MEF1" panose="02000506000000020004" pitchFamily="2" charset="0"/>
            </a:rPr>
            <a:t>3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oneCellAnchor>
    <xdr:from>
      <xdr:col>5</xdr:col>
      <xdr:colOff>1566333</xdr:colOff>
      <xdr:row>22</xdr:row>
      <xdr:rowOff>21168</xdr:rowOff>
    </xdr:from>
    <xdr:ext cx="3143250" cy="868680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>
          <a:spLocks noChangeArrowheads="1"/>
        </xdr:cNvSpPr>
      </xdr:nvSpPr>
      <xdr:spPr bwMode="auto">
        <a:xfrm>
          <a:off x="10043583" y="7175501"/>
          <a:ext cx="3143250" cy="868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ប្រធានការិយាល័យផែនការថវិកា</a:t>
          </a:r>
        </a:p>
      </xdr:txBody>
    </xdr:sp>
    <xdr:clientData/>
  </xdr:oneCellAnchor>
  <xdr:oneCellAnchor>
    <xdr:from>
      <xdr:col>1</xdr:col>
      <xdr:colOff>3299888</xdr:colOff>
      <xdr:row>22</xdr:row>
      <xdr:rowOff>110719</xdr:rowOff>
    </xdr:from>
    <xdr:ext cx="3071278" cy="1011116"/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3479805" y="7265052"/>
          <a:ext cx="3071278" cy="1011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2" pitchFamily="2" charset="0"/>
              <a:ea typeface="Calibri"/>
              <a:cs typeface="Khmer MEF2" pitchFamily="2" charset="0"/>
            </a:rPr>
            <a:t>បានឃើញ និង​ពិនិត្យត្រឹមត្រូវ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អគ្គលេខាធិការដ្ឋាន</a:t>
          </a:r>
        </a:p>
      </xdr:txBody>
    </xdr:sp>
    <xdr:clientData/>
  </xdr:oneCellAnchor>
  <xdr:twoCellAnchor>
    <xdr:from>
      <xdr:col>0</xdr:col>
      <xdr:colOff>52915</xdr:colOff>
      <xdr:row>0</xdr:row>
      <xdr:rowOff>0</xdr:rowOff>
    </xdr:from>
    <xdr:to>
      <xdr:col>1</xdr:col>
      <xdr:colOff>2825749</xdr:colOff>
      <xdr:row>5</xdr:row>
      <xdr:rowOff>74083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915" y="0"/>
          <a:ext cx="2952751" cy="1312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 </a:t>
          </a:r>
        </a:p>
        <a:p>
          <a:pPr algn="l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 ក្រសួងសេដ្ឋកិច្ចនិងហិរញ្ញវត្ថុ</a:t>
          </a:r>
        </a:p>
        <a:p>
          <a:pPr algn="l"/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/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0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0</xdr:col>
      <xdr:colOff>137583</xdr:colOff>
      <xdr:row>22</xdr:row>
      <xdr:rowOff>192619</xdr:rowOff>
    </xdr:from>
    <xdr:to>
      <xdr:col>1</xdr:col>
      <xdr:colOff>3122083</xdr:colOff>
      <xdr:row>26</xdr:row>
      <xdr:rowOff>296334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37583" y="7346952"/>
          <a:ext cx="3164417" cy="15853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000">
              <a:latin typeface="Khmer MEF2" panose="02000506000000020004" pitchFamily="2" charset="0"/>
              <a:cs typeface="Khmer MEF2" panose="02000506000000020004" pitchFamily="2" charset="0"/>
            </a:rPr>
            <a:t>បានឃើញ</a:t>
          </a:r>
          <a:r>
            <a:rPr lang="km-KH" sz="1000" baseline="0">
              <a:latin typeface="Khmer MEF2" panose="02000506000000020004" pitchFamily="2" charset="0"/>
              <a:cs typeface="Khmer MEF2" panose="02000506000000020004" pitchFamily="2" charset="0"/>
            </a:rPr>
            <a:t> និងឯកភាព</a:t>
          </a:r>
          <a:endParaRPr lang="km-KH" sz="10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ថ្ងៃ                 ខែ           ឆ្នាំ...........ស័ក ព.ស. ២៥៦៥</a:t>
          </a:r>
        </a:p>
        <a:p>
          <a:pPr algn="ctr"/>
          <a:r>
            <a:rPr lang="km-KH" sz="1000">
              <a:latin typeface="Khmer MEF1" panose="02000506000000020004" pitchFamily="2" charset="0"/>
              <a:cs typeface="Khmer MEF1" panose="02000506000000020004" pitchFamily="2" charset="0"/>
            </a:rPr>
            <a:t>រាជធានីភ្នំពេញ ថ្ងៃទី         ខែ         ឆ្នាំ២០២២</a:t>
          </a:r>
        </a:p>
        <a:p>
          <a:pPr algn="ctr"/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ឧបនាយករដ្ឋមន្រ្តី</a:t>
          </a:r>
          <a:endParaRPr lang="en-US" sz="1000" b="0" baseline="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ctr"/>
          <a:r>
            <a:rPr lang="en-US" sz="1000" b="0" baseline="0">
              <a:latin typeface="Khmer MEF2" panose="02000506000000020004" pitchFamily="2" charset="0"/>
              <a:cs typeface="Khmer MEF2" panose="02000506000000020004" pitchFamily="2" charset="0"/>
            </a:rPr>
            <a:t> </a:t>
          </a:r>
          <a:r>
            <a:rPr lang="km-KH" sz="1000" b="0" baseline="0">
              <a:latin typeface="Khmer MEF2" panose="02000506000000020004" pitchFamily="2" charset="0"/>
              <a:cs typeface="Khmer MEF2" panose="02000506000000020004" pitchFamily="2" charset="0"/>
            </a:rPr>
            <a:t>រដ្ឋមន្រ្តីក្រសួងសេដ្ឋកិច្ចនិងហិរញ្ញវត្ថុ</a:t>
          </a:r>
          <a:endParaRPr lang="en-US" sz="1000" b="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oneCellAnchor>
    <xdr:from>
      <xdr:col>3</xdr:col>
      <xdr:colOff>628656</xdr:colOff>
      <xdr:row>22</xdr:row>
      <xdr:rowOff>65617</xdr:rowOff>
    </xdr:from>
    <xdr:ext cx="3350677" cy="1225549"/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>
          <a:spLocks noChangeArrowheads="1"/>
        </xdr:cNvSpPr>
      </xdr:nvSpPr>
      <xdr:spPr bwMode="auto">
        <a:xfrm>
          <a:off x="6766989" y="7219950"/>
          <a:ext cx="3350677" cy="1225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បានឃើញ</a:t>
          </a:r>
          <a:r>
            <a:rPr lang="km-KH" sz="1000" baseline="0">
              <a:effectLst/>
              <a:latin typeface="Khmer MEF1"/>
              <a:ea typeface="Calibri"/>
              <a:cs typeface="Khmer MEF2"/>
            </a:rPr>
            <a:t> និងពិនិត្យត្រឹមត្រូវ</a:t>
          </a:r>
          <a:endParaRPr lang="km-KH" sz="1000">
            <a:effectLst/>
            <a:latin typeface="Khmer MEF1"/>
            <a:ea typeface="Calibri"/>
            <a:cs typeface="Khmer MEF2"/>
          </a:endParaRP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ថ្ងៃ               ខែ           ឆ្នាំឆ្លូវ ត្រីស័ក ព.ស. ២៥៦៥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 pitchFamily="2" charset="0"/>
              <a:ea typeface="Calibri"/>
              <a:cs typeface="Khmer MEF1" pitchFamily="2" charset="0"/>
            </a:rPr>
            <a:t>រាជធានីភ្នំពេញ ថ្ងៃទី         ខែ         ឆ្នាំ២០២២</a:t>
          </a:r>
        </a:p>
        <a:p>
          <a:pPr algn="ctr">
            <a:lnSpc>
              <a:spcPct val="85000"/>
            </a:lnSpc>
            <a:spcAft>
              <a:spcPts val="0"/>
            </a:spcAft>
          </a:pPr>
          <a:r>
            <a:rPr lang="km-KH" sz="1000">
              <a:effectLst/>
              <a:latin typeface="Khmer MEF1"/>
              <a:ea typeface="Calibri"/>
              <a:cs typeface="Khmer MEF2"/>
            </a:rPr>
            <a:t>ប្រធាននាយកដ្ឋានរដ្ឋបាលនិងហិរញ្ញវត្ថុ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357187</xdr:rowOff>
    </xdr:from>
    <xdr:to>
      <xdr:col>13</xdr:col>
      <xdr:colOff>257175</xdr:colOff>
      <xdr:row>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0.7875</cdr:x>
      <cdr:y>0.13368</cdr:y>
    </cdr:from>
    <cdr:to>
      <cdr:x>0.99375</cdr:x>
      <cdr:y>0.33854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00450" y="366712"/>
          <a:ext cx="942975" cy="56197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1</xdr:row>
      <xdr:rowOff>219076</xdr:rowOff>
    </xdr:from>
    <xdr:to>
      <xdr:col>11</xdr:col>
      <xdr:colOff>333375</xdr:colOff>
      <xdr:row>10</xdr:row>
      <xdr:rowOff>257175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0.7875</cdr:x>
      <cdr:y>0.13368</cdr:y>
    </cdr:from>
    <cdr:to>
      <cdr:x>0.99375</cdr:x>
      <cdr:y>0.33854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00450" y="366712"/>
          <a:ext cx="942975" cy="56197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428624</xdr:colOff>
      <xdr:row>1</xdr:row>
      <xdr:rowOff>304800</xdr:rowOff>
    </xdr:from>
    <xdr:to>
      <xdr:col>17</xdr:col>
      <xdr:colOff>171449</xdr:colOff>
      <xdr:row>13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0.7875</cdr:x>
      <cdr:y>0.13368</cdr:y>
    </cdr:from>
    <cdr:to>
      <cdr:x>0.99375</cdr:x>
      <cdr:y>0.33854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600450" y="366712"/>
          <a:ext cx="942975" cy="56197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361950</xdr:colOff>
      <xdr:row>1</xdr:row>
      <xdr:rowOff>114301</xdr:rowOff>
    </xdr:from>
    <xdr:to>
      <xdr:col>25</xdr:col>
      <xdr:colOff>171449</xdr:colOff>
      <xdr:row>13</xdr:row>
      <xdr:rowOff>352425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133349</xdr:colOff>
      <xdr:row>14</xdr:row>
      <xdr:rowOff>285750</xdr:rowOff>
    </xdr:from>
    <xdr:to>
      <xdr:col>15</xdr:col>
      <xdr:colOff>495300</xdr:colOff>
      <xdr:row>25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361950</xdr:colOff>
      <xdr:row>1</xdr:row>
      <xdr:rowOff>114301</xdr:rowOff>
    </xdr:from>
    <xdr:to>
      <xdr:col>25</xdr:col>
      <xdr:colOff>171449</xdr:colOff>
      <xdr:row>13</xdr:row>
      <xdr:rowOff>352425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192880</xdr:colOff>
      <xdr:row>14</xdr:row>
      <xdr:rowOff>273844</xdr:rowOff>
    </xdr:from>
    <xdr:to>
      <xdr:col>15</xdr:col>
      <xdr:colOff>554831</xdr:colOff>
      <xdr:row>25</xdr:row>
      <xdr:rowOff>73819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492917</xdr:colOff>
      <xdr:row>1</xdr:row>
      <xdr:rowOff>114300</xdr:rowOff>
    </xdr:from>
    <xdr:to>
      <xdr:col>25</xdr:col>
      <xdr:colOff>523875</xdr:colOff>
      <xdr:row>13</xdr:row>
      <xdr:rowOff>357188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111919</xdr:colOff>
      <xdr:row>15</xdr:row>
      <xdr:rowOff>309563</xdr:rowOff>
    </xdr:from>
    <xdr:to>
      <xdr:col>14</xdr:col>
      <xdr:colOff>473870</xdr:colOff>
      <xdr:row>26</xdr:row>
      <xdr:rowOff>107157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FDF369-937F-43A2-9318-FE0E988BA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64292</xdr:colOff>
      <xdr:row>1</xdr:row>
      <xdr:rowOff>19051</xdr:rowOff>
    </xdr:from>
    <xdr:to>
      <xdr:col>26</xdr:col>
      <xdr:colOff>452437</xdr:colOff>
      <xdr:row>14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F2B4A-401D-45FB-94B9-EEA35102C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180972</xdr:colOff>
      <xdr:row>15</xdr:row>
      <xdr:rowOff>261937</xdr:rowOff>
    </xdr:from>
    <xdr:to>
      <xdr:col>14</xdr:col>
      <xdr:colOff>523874</xdr:colOff>
      <xdr:row>26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490D06-1109-47F8-B801-D26F89F7DC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100012</xdr:colOff>
      <xdr:row>0</xdr:row>
      <xdr:rowOff>352426</xdr:rowOff>
    </xdr:from>
    <xdr:to>
      <xdr:col>25</xdr:col>
      <xdr:colOff>15876</xdr:colOff>
      <xdr:row>12</xdr:row>
      <xdr:rowOff>345280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082A5-78EA-4361-B54E-9BC76CD4F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180972</xdr:colOff>
      <xdr:row>14</xdr:row>
      <xdr:rowOff>333375</xdr:rowOff>
    </xdr:from>
    <xdr:to>
      <xdr:col>14</xdr:col>
      <xdr:colOff>523874</xdr:colOff>
      <xdr:row>25</xdr:row>
      <xdr:rowOff>285750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811CB-7008-4FF5-A47B-3FCF5F782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Program.xlsx" TargetMode="External"/><Relationship Id="rId1" Type="http://schemas.openxmlformats.org/officeDocument/2006/relationships/externalLinkPath" Target="/Project/MEF-BPO/documents/Master%20Data%20Setup/Progra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SubProgram.xlsx" TargetMode="External"/><Relationship Id="rId1" Type="http://schemas.openxmlformats.org/officeDocument/2006/relationships/externalLinkPath" Target="/Project/MEF-BPO/documents/Master%20Data%20Setup/SubProg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កម្មវិធី"/>
    </sheetNames>
    <sheetDataSet>
      <sheetData sheetId="0">
        <row r="2">
          <cell r="E2" t="str">
            <v>កម្មវិធីទី១ : ការគ្រប់គ្រងវិស័យសេដ្ឋកិច្ច</v>
          </cell>
        </row>
        <row r="3">
          <cell r="E3" t="str">
            <v>កម្មវិធីទី២ : ការគ្រប់គ្រងវិស័យហិរញ្ញវត្ថុ</v>
          </cell>
        </row>
        <row r="4">
          <cell r="E4" t="str">
            <v>កម្មវិធីទី៣ : ការគ្រប់គ្រងចំណូលសាធារណៈ និងទ្រព្យសម្បត្តិរដ្ឋ</v>
          </cell>
        </row>
        <row r="5">
          <cell r="E5" t="str">
            <v>កម្មវិធីទី៤ : ការគ្រប់គ្រងចំណាយសាធារណៈ និងប្រព័ន្ធហិរញ្ញវត្ថុសាធារណៈ</v>
          </cell>
        </row>
        <row r="6">
          <cell r="E6" t="str">
            <v>កម្មវិធីទី៥ : កិច្ចការរដ្ឋបាលនិង​អភិវឌ្ឍស្ថាប័ន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អនុកម្មវិធី"/>
    </sheetNames>
    <sheetDataSet>
      <sheetData sheetId="0">
        <row r="2">
          <cell r="E2" t="str">
            <v>អនុកម្មវិធីទី១.១</v>
          </cell>
        </row>
        <row r="3">
          <cell r="E3" t="str">
            <v>អនុកម្មវិធីទី១.២</v>
          </cell>
        </row>
        <row r="4">
          <cell r="E4" t="str">
            <v>អនុកម្មវិធីទី១.៣</v>
          </cell>
        </row>
        <row r="5">
          <cell r="E5" t="str">
            <v>អនុកម្មវិធីទី១.៤</v>
          </cell>
        </row>
        <row r="6">
          <cell r="E6" t="str">
            <v>អនុកម្មវិធីទី១.៥</v>
          </cell>
        </row>
        <row r="7">
          <cell r="E7" t="str">
            <v>អនុកម្មវិធីទី២.១</v>
          </cell>
        </row>
        <row r="8">
          <cell r="E8" t="str">
            <v>អនុកម្មវិធីទី២.២</v>
          </cell>
        </row>
        <row r="9">
          <cell r="E9" t="str">
            <v>អនុកម្មវិធីទី២.៣</v>
          </cell>
        </row>
        <row r="10">
          <cell r="E10" t="str">
            <v>អនុកម្មវិធីទី២.៤</v>
          </cell>
        </row>
        <row r="11">
          <cell r="E11" t="str">
            <v>អនុកម្មវិធីទី២.៥</v>
          </cell>
        </row>
        <row r="12">
          <cell r="E12" t="str">
            <v>អនុកម្មវិធីទី២.៦</v>
          </cell>
        </row>
        <row r="13">
          <cell r="E13" t="str">
            <v>អនុកម្មវិធីទី២.៧</v>
          </cell>
        </row>
        <row r="14">
          <cell r="E14" t="str">
            <v>អនុកម្មវិធីទី៣.១</v>
          </cell>
        </row>
        <row r="15">
          <cell r="E15" t="str">
            <v>អនុកម្មវិធីទី៣.២</v>
          </cell>
        </row>
        <row r="16">
          <cell r="E16" t="str">
            <v>អនុកម្មវិធីទី៣.៣</v>
          </cell>
        </row>
        <row r="17">
          <cell r="E17" t="str">
            <v>អនុកម្មវិធីទី៣.៤</v>
          </cell>
        </row>
        <row r="18">
          <cell r="E18" t="str">
            <v>អនុកម្មវិធីទី៣.៥</v>
          </cell>
        </row>
        <row r="19">
          <cell r="E19" t="str">
            <v>អនុកម្មវិធីទី៤.១</v>
          </cell>
        </row>
        <row r="20">
          <cell r="E20" t="str">
            <v>អនុកម្មវិធីទី៤.២</v>
          </cell>
        </row>
        <row r="21">
          <cell r="E21" t="str">
            <v>អនុកម្មវិធីទី៤.៣</v>
          </cell>
        </row>
        <row r="22">
          <cell r="E22" t="str">
            <v>អនុកម្មវិធីទី៤.៤</v>
          </cell>
        </row>
        <row r="23">
          <cell r="E23" t="str">
            <v>អនុកម្មវិធីទី៤.៥</v>
          </cell>
        </row>
        <row r="24">
          <cell r="E24" t="str">
            <v>អនុកម្មវិធីទី៤.៦</v>
          </cell>
        </row>
        <row r="25">
          <cell r="E25" t="str">
            <v>អនុកម្មវិធីទី៤.៧</v>
          </cell>
        </row>
        <row r="26">
          <cell r="E26" t="str">
            <v>អនុកម្មវិធីទី៤.៨</v>
          </cell>
        </row>
        <row r="27">
          <cell r="E27" t="str">
            <v>អនុកម្មវិធីទី៤.៩</v>
          </cell>
        </row>
        <row r="28">
          <cell r="E28" t="str">
            <v>អនុកម្មវិធីទី៤.១០</v>
          </cell>
        </row>
        <row r="29">
          <cell r="E29" t="str">
            <v>អនុកម្មវិធីទី៥.១</v>
          </cell>
        </row>
        <row r="30">
          <cell r="E30" t="str">
            <v>អនុកម្មវិធីទី៥.២</v>
          </cell>
        </row>
        <row r="31">
          <cell r="E31" t="str">
            <v>អនុកម្មវិធីទី៥.៣</v>
          </cell>
        </row>
        <row r="32">
          <cell r="E32" t="str">
            <v>អនុកម្មវិធីទី៥.៤</v>
          </cell>
        </row>
        <row r="33">
          <cell r="E33" t="str">
            <v>អនុកម្មវិធីទី៥.៥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9"/>
  <sheetViews>
    <sheetView topLeftCell="A7" zoomScale="85" zoomScaleNormal="85" workbookViewId="0">
      <pane xSplit="1" ySplit="6" topLeftCell="B97" activePane="bottomRight" state="frozen"/>
      <selection activeCell="A7" sqref="A7"/>
      <selection pane="topRight" activeCell="B7" sqref="B7"/>
      <selection pane="bottomLeft" activeCell="A11" sqref="A11"/>
      <selection pane="bottomRight" activeCell="I183" sqref="I183"/>
    </sheetView>
  </sheetViews>
  <sheetFormatPr defaultColWidth="8.7265625" defaultRowHeight="25.15" customHeight="1" x14ac:dyDescent="0.6"/>
  <cols>
    <col min="1" max="1" width="41.40625" style="5" customWidth="1"/>
    <col min="2" max="2" width="10.7265625" style="1" customWidth="1"/>
    <col min="3" max="20" width="10.7265625" style="15" customWidth="1"/>
    <col min="21" max="21" width="6.26953125" style="5" customWidth="1"/>
    <col min="22" max="16384" width="8.7265625" style="5"/>
  </cols>
  <sheetData>
    <row r="1" spans="1:25" s="3" customFormat="1" ht="25.15" customHeight="1" x14ac:dyDescent="0.6">
      <c r="A1" s="2"/>
      <c r="B1" s="1"/>
      <c r="U1" s="4"/>
      <c r="V1" s="5"/>
      <c r="W1" s="5"/>
      <c r="X1" s="5"/>
      <c r="Y1" s="5"/>
    </row>
    <row r="2" spans="1:25" s="3" customFormat="1" ht="12.75" customHeight="1" x14ac:dyDescent="0.6">
      <c r="A2" s="6"/>
      <c r="B2" s="7"/>
      <c r="U2" s="4"/>
      <c r="V2" s="5"/>
      <c r="W2" s="5"/>
      <c r="X2" s="5"/>
      <c r="Y2" s="5"/>
    </row>
    <row r="3" spans="1:25" s="3" customFormat="1" ht="12.75" customHeight="1" x14ac:dyDescent="0.6">
      <c r="A3" s="6"/>
      <c r="B3" s="7"/>
      <c r="U3" s="4"/>
      <c r="V3" s="5"/>
      <c r="W3" s="5"/>
      <c r="X3" s="5"/>
      <c r="Y3" s="5"/>
    </row>
    <row r="4" spans="1:25" s="12" customFormat="1" ht="25.15" customHeight="1" x14ac:dyDescent="0.75">
      <c r="A4" s="24" t="s">
        <v>20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1:25" s="12" customFormat="1" ht="12.75" customHeight="1" x14ac:dyDescent="0.75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</row>
    <row r="6" spans="1:25" s="3" customFormat="1" ht="25.15" customHeight="1" thickBot="1" x14ac:dyDescent="0.75">
      <c r="A6" s="6"/>
      <c r="B6" s="13"/>
      <c r="K6" s="16"/>
      <c r="U6" s="16" t="s">
        <v>12</v>
      </c>
      <c r="V6" s="5"/>
      <c r="W6" s="5"/>
      <c r="X6" s="5"/>
      <c r="Y6" s="5"/>
    </row>
    <row r="7" spans="1:25" ht="25.15" customHeight="1" thickTop="1" x14ac:dyDescent="0.6">
      <c r="A7" s="289" t="s">
        <v>0</v>
      </c>
      <c r="B7" s="292" t="s">
        <v>1</v>
      </c>
      <c r="C7" s="295" t="s">
        <v>16</v>
      </c>
      <c r="D7" s="296"/>
      <c r="E7" s="296"/>
      <c r="F7" s="296"/>
      <c r="G7" s="296"/>
      <c r="H7" s="296"/>
      <c r="I7" s="296"/>
      <c r="J7" s="296"/>
      <c r="K7" s="297"/>
      <c r="L7" s="295" t="s">
        <v>18</v>
      </c>
      <c r="M7" s="296"/>
      <c r="N7" s="296"/>
      <c r="O7" s="296"/>
      <c r="P7" s="296"/>
      <c r="Q7" s="297"/>
      <c r="R7" s="295" t="s">
        <v>21</v>
      </c>
      <c r="S7" s="296"/>
      <c r="T7" s="297"/>
      <c r="U7" s="283" t="s">
        <v>11</v>
      </c>
    </row>
    <row r="8" spans="1:25" ht="25.15" customHeight="1" x14ac:dyDescent="0.6">
      <c r="A8" s="290"/>
      <c r="B8" s="293"/>
      <c r="C8" s="286" t="s">
        <v>14</v>
      </c>
      <c r="D8" s="287"/>
      <c r="E8" s="288"/>
      <c r="F8" s="286" t="s">
        <v>15</v>
      </c>
      <c r="G8" s="287"/>
      <c r="H8" s="288"/>
      <c r="I8" s="286" t="s">
        <v>17</v>
      </c>
      <c r="J8" s="287"/>
      <c r="K8" s="288"/>
      <c r="L8" s="286" t="s">
        <v>14</v>
      </c>
      <c r="M8" s="287"/>
      <c r="N8" s="288"/>
      <c r="O8" s="286" t="s">
        <v>15</v>
      </c>
      <c r="P8" s="287"/>
      <c r="Q8" s="288"/>
      <c r="R8" s="286" t="s">
        <v>14</v>
      </c>
      <c r="S8" s="287"/>
      <c r="T8" s="288"/>
      <c r="U8" s="284"/>
    </row>
    <row r="9" spans="1:25" ht="25.15" customHeight="1" thickBot="1" x14ac:dyDescent="0.75">
      <c r="A9" s="291"/>
      <c r="B9" s="294"/>
      <c r="C9" s="31" t="s">
        <v>10</v>
      </c>
      <c r="D9" s="31" t="s">
        <v>19</v>
      </c>
      <c r="E9" s="31" t="s">
        <v>13</v>
      </c>
      <c r="F9" s="31" t="s">
        <v>10</v>
      </c>
      <c r="G9" s="31" t="s">
        <v>19</v>
      </c>
      <c r="H9" s="31" t="s">
        <v>13</v>
      </c>
      <c r="I9" s="31" t="s">
        <v>10</v>
      </c>
      <c r="J9" s="31" t="s">
        <v>19</v>
      </c>
      <c r="K9" s="31" t="s">
        <v>13</v>
      </c>
      <c r="L9" s="31" t="s">
        <v>10</v>
      </c>
      <c r="M9" s="31" t="s">
        <v>19</v>
      </c>
      <c r="N9" s="31" t="s">
        <v>13</v>
      </c>
      <c r="O9" s="31" t="s">
        <v>10</v>
      </c>
      <c r="P9" s="31" t="s">
        <v>19</v>
      </c>
      <c r="Q9" s="31" t="s">
        <v>13</v>
      </c>
      <c r="R9" s="31" t="s">
        <v>10</v>
      </c>
      <c r="S9" s="31" t="s">
        <v>19</v>
      </c>
      <c r="T9" s="31" t="s">
        <v>13</v>
      </c>
      <c r="U9" s="285"/>
    </row>
    <row r="10" spans="1:25" ht="25.15" customHeight="1" thickTop="1" x14ac:dyDescent="0.6">
      <c r="A10" s="36" t="s">
        <v>61</v>
      </c>
      <c r="B10" s="37">
        <f>B11</f>
        <v>0</v>
      </c>
      <c r="C10" s="37">
        <f>D10+E10</f>
        <v>20414.8</v>
      </c>
      <c r="D10" s="37">
        <f>D11+D104</f>
        <v>1184.8</v>
      </c>
      <c r="E10" s="37">
        <f>E11+E104</f>
        <v>19230</v>
      </c>
      <c r="F10" s="37">
        <f>G10+H10</f>
        <v>14690.5</v>
      </c>
      <c r="G10" s="37">
        <f t="shared" ref="G10:H10" si="0">G11+G104</f>
        <v>5703.2999999999993</v>
      </c>
      <c r="H10" s="37">
        <f t="shared" si="0"/>
        <v>8987.2000000000007</v>
      </c>
      <c r="I10" s="37">
        <f>J10+K10</f>
        <v>0</v>
      </c>
      <c r="J10" s="37">
        <f t="shared" ref="J10:K10" si="1">J11+J104</f>
        <v>0</v>
      </c>
      <c r="K10" s="37">
        <f t="shared" si="1"/>
        <v>0</v>
      </c>
      <c r="L10" s="37">
        <f>M10+N10</f>
        <v>12000</v>
      </c>
      <c r="M10" s="37">
        <f t="shared" ref="M10:N10" si="2">M11+M104</f>
        <v>0</v>
      </c>
      <c r="N10" s="37">
        <f t="shared" si="2"/>
        <v>12000</v>
      </c>
      <c r="O10" s="37">
        <f>P10+Q10</f>
        <v>4518.5</v>
      </c>
      <c r="P10" s="37">
        <f t="shared" ref="P10:Q10" si="3">P11+P104</f>
        <v>4518.5</v>
      </c>
      <c r="Q10" s="37">
        <f t="shared" si="3"/>
        <v>0</v>
      </c>
      <c r="R10" s="37">
        <f>S10+T10</f>
        <v>0</v>
      </c>
      <c r="S10" s="37">
        <f t="shared" ref="S10:T10" si="4">S11+S104</f>
        <v>0</v>
      </c>
      <c r="T10" s="37">
        <f t="shared" si="4"/>
        <v>0</v>
      </c>
      <c r="U10" s="38"/>
      <c r="V10" s="5" t="str">
        <f>IF((B10+C10+F10+L10+O10)&lt;&gt;0,"ok","-")</f>
        <v>ok</v>
      </c>
    </row>
    <row r="11" spans="1:25" ht="25.15" customHeight="1" x14ac:dyDescent="0.6">
      <c r="A11" s="32" t="s">
        <v>22</v>
      </c>
      <c r="B11" s="33">
        <f>B12</f>
        <v>0</v>
      </c>
      <c r="C11" s="33">
        <f>D11+E11</f>
        <v>0</v>
      </c>
      <c r="D11" s="33">
        <f>D12+D58</f>
        <v>0</v>
      </c>
      <c r="E11" s="33">
        <f>E12+E58</f>
        <v>0</v>
      </c>
      <c r="F11" s="33">
        <f>G11+H11</f>
        <v>0</v>
      </c>
      <c r="G11" s="33">
        <f t="shared" ref="G11:H11" si="5">G12+G58</f>
        <v>0</v>
      </c>
      <c r="H11" s="33">
        <f t="shared" si="5"/>
        <v>0</v>
      </c>
      <c r="I11" s="33">
        <f>J11+K11</f>
        <v>0</v>
      </c>
      <c r="J11" s="33">
        <f t="shared" ref="J11:K11" si="6">J12+J58</f>
        <v>0</v>
      </c>
      <c r="K11" s="33">
        <f t="shared" si="6"/>
        <v>0</v>
      </c>
      <c r="L11" s="33">
        <f>M11+N11</f>
        <v>0</v>
      </c>
      <c r="M11" s="33">
        <f t="shared" ref="M11:N11" si="7">M12+M58</f>
        <v>0</v>
      </c>
      <c r="N11" s="33">
        <f t="shared" si="7"/>
        <v>0</v>
      </c>
      <c r="O11" s="33">
        <f>P11+Q11</f>
        <v>0</v>
      </c>
      <c r="P11" s="33">
        <f t="shared" ref="P11:Q11" si="8">P12+P58</f>
        <v>0</v>
      </c>
      <c r="Q11" s="33">
        <f t="shared" si="8"/>
        <v>0</v>
      </c>
      <c r="R11" s="33">
        <f>S11+T11</f>
        <v>0</v>
      </c>
      <c r="S11" s="33">
        <f t="shared" ref="S11:T11" si="9">S12+S58</f>
        <v>0</v>
      </c>
      <c r="T11" s="33">
        <f t="shared" si="9"/>
        <v>0</v>
      </c>
      <c r="U11" s="34"/>
      <c r="V11" s="5" t="str">
        <f>IF((B11+C11+F11+L11+O11)&lt;&gt;0,"ok","-")</f>
        <v>-</v>
      </c>
    </row>
    <row r="12" spans="1:25" ht="25.15" customHeight="1" x14ac:dyDescent="0.6">
      <c r="A12" s="17" t="s">
        <v>23</v>
      </c>
      <c r="B12" s="21">
        <f>B13</f>
        <v>0</v>
      </c>
      <c r="C12" s="21">
        <f>D12+E12</f>
        <v>0</v>
      </c>
      <c r="D12" s="21">
        <f>D13+D28+D43</f>
        <v>0</v>
      </c>
      <c r="E12" s="21">
        <f>E13+E28+E43</f>
        <v>0</v>
      </c>
      <c r="F12" s="21">
        <f>G12+H12</f>
        <v>0</v>
      </c>
      <c r="G12" s="21">
        <f>G13+G28+G43</f>
        <v>0</v>
      </c>
      <c r="H12" s="21">
        <f>H13+H28+H43</f>
        <v>0</v>
      </c>
      <c r="I12" s="21">
        <f>J12+K12</f>
        <v>0</v>
      </c>
      <c r="J12" s="21">
        <f>J13+J28+J43</f>
        <v>0</v>
      </c>
      <c r="K12" s="21">
        <f>K13+K28+K43</f>
        <v>0</v>
      </c>
      <c r="L12" s="21">
        <f>M12+N12</f>
        <v>0</v>
      </c>
      <c r="M12" s="21">
        <f>M13+M28+M43</f>
        <v>0</v>
      </c>
      <c r="N12" s="21">
        <f>N13+N28+N43</f>
        <v>0</v>
      </c>
      <c r="O12" s="21">
        <f>P12+Q12</f>
        <v>0</v>
      </c>
      <c r="P12" s="21">
        <f>P13+P28+P43</f>
        <v>0</v>
      </c>
      <c r="Q12" s="21">
        <f>Q13+Q28+Q43</f>
        <v>0</v>
      </c>
      <c r="R12" s="21">
        <f>S12+T12</f>
        <v>0</v>
      </c>
      <c r="S12" s="21">
        <f>S13+S28+S43</f>
        <v>0</v>
      </c>
      <c r="T12" s="21">
        <f>T13+T28+T43</f>
        <v>0</v>
      </c>
      <c r="U12" s="19"/>
      <c r="V12" s="5" t="str">
        <f>IF((B12+C12+F12+L12+O12)&lt;&gt;0,"ok","-")</f>
        <v>-</v>
      </c>
    </row>
    <row r="13" spans="1:25" ht="25.15" customHeight="1" x14ac:dyDescent="0.6">
      <c r="A13" s="18" t="s">
        <v>24</v>
      </c>
      <c r="B13" s="23">
        <f>B14+B21</f>
        <v>0</v>
      </c>
      <c r="C13" s="23">
        <f t="shared" ref="C13:C27" si="10">D13+E13</f>
        <v>0</v>
      </c>
      <c r="D13" s="23">
        <f>D14+D21</f>
        <v>0</v>
      </c>
      <c r="E13" s="23">
        <f>E14+E21</f>
        <v>0</v>
      </c>
      <c r="F13" s="23">
        <f t="shared" ref="F13:F27" si="11">G13+H13</f>
        <v>0</v>
      </c>
      <c r="G13" s="23">
        <f t="shared" ref="G13:H13" si="12">G14+G21</f>
        <v>0</v>
      </c>
      <c r="H13" s="23">
        <f t="shared" si="12"/>
        <v>0</v>
      </c>
      <c r="I13" s="23">
        <f t="shared" ref="I13:I27" si="13">J13+K13</f>
        <v>0</v>
      </c>
      <c r="J13" s="23">
        <f t="shared" ref="J13:K13" si="14">J14+J21</f>
        <v>0</v>
      </c>
      <c r="K13" s="23">
        <f t="shared" si="14"/>
        <v>0</v>
      </c>
      <c r="L13" s="23">
        <f t="shared" ref="L13:L27" si="15">M13+N13</f>
        <v>0</v>
      </c>
      <c r="M13" s="23">
        <f t="shared" ref="M13:N13" si="16">M14+M21</f>
        <v>0</v>
      </c>
      <c r="N13" s="23">
        <f t="shared" si="16"/>
        <v>0</v>
      </c>
      <c r="O13" s="23">
        <f t="shared" ref="O13:O27" si="17">P13+Q13</f>
        <v>0</v>
      </c>
      <c r="P13" s="23">
        <f t="shared" ref="P13:Q13" si="18">P14+P21</f>
        <v>0</v>
      </c>
      <c r="Q13" s="23">
        <f t="shared" si="18"/>
        <v>0</v>
      </c>
      <c r="R13" s="23">
        <f t="shared" ref="R13:R27" si="19">S13+T13</f>
        <v>0</v>
      </c>
      <c r="S13" s="23">
        <f t="shared" ref="S13:T13" si="20">S14+S21</f>
        <v>0</v>
      </c>
      <c r="T13" s="23">
        <f t="shared" si="20"/>
        <v>0</v>
      </c>
      <c r="U13" s="20"/>
      <c r="V13" s="5" t="str">
        <f t="shared" ref="V13:V27" si="21">IF((B13+C13+F13+L13+O13)&lt;&gt;0,"ok","-")</f>
        <v>-</v>
      </c>
    </row>
    <row r="14" spans="1:25" ht="25.15" customHeight="1" x14ac:dyDescent="0.6">
      <c r="A14" s="25" t="s">
        <v>2</v>
      </c>
      <c r="B14" s="26">
        <f>B15+B18</f>
        <v>0</v>
      </c>
      <c r="C14" s="26">
        <f t="shared" si="10"/>
        <v>0</v>
      </c>
      <c r="D14" s="26">
        <f>D15+D18</f>
        <v>0</v>
      </c>
      <c r="E14" s="26">
        <f>E15+E18</f>
        <v>0</v>
      </c>
      <c r="F14" s="26">
        <f t="shared" si="11"/>
        <v>0</v>
      </c>
      <c r="G14" s="26">
        <f t="shared" ref="G14:H14" si="22">G15+G18</f>
        <v>0</v>
      </c>
      <c r="H14" s="26">
        <f t="shared" si="22"/>
        <v>0</v>
      </c>
      <c r="I14" s="26">
        <f t="shared" si="13"/>
        <v>0</v>
      </c>
      <c r="J14" s="26">
        <f t="shared" ref="J14:K14" si="23">J15+J18</f>
        <v>0</v>
      </c>
      <c r="K14" s="26">
        <f t="shared" si="23"/>
        <v>0</v>
      </c>
      <c r="L14" s="26">
        <f t="shared" si="15"/>
        <v>0</v>
      </c>
      <c r="M14" s="26">
        <f t="shared" ref="M14:N14" si="24">M15+M18</f>
        <v>0</v>
      </c>
      <c r="N14" s="26">
        <f t="shared" si="24"/>
        <v>0</v>
      </c>
      <c r="O14" s="26">
        <f t="shared" si="17"/>
        <v>0</v>
      </c>
      <c r="P14" s="26">
        <f t="shared" ref="P14:Q14" si="25">P15+P18</f>
        <v>0</v>
      </c>
      <c r="Q14" s="26">
        <f t="shared" si="25"/>
        <v>0</v>
      </c>
      <c r="R14" s="26">
        <f t="shared" si="19"/>
        <v>0</v>
      </c>
      <c r="S14" s="26">
        <f t="shared" ref="S14:T14" si="26">S15+S18</f>
        <v>0</v>
      </c>
      <c r="T14" s="26">
        <f t="shared" si="26"/>
        <v>0</v>
      </c>
      <c r="U14" s="27"/>
      <c r="V14" s="5" t="str">
        <f t="shared" si="21"/>
        <v>-</v>
      </c>
    </row>
    <row r="15" spans="1:25" ht="25.15" customHeight="1" x14ac:dyDescent="0.6">
      <c r="A15" s="28" t="s">
        <v>3</v>
      </c>
      <c r="B15" s="26">
        <f>SUM(B16:B17)</f>
        <v>0</v>
      </c>
      <c r="C15" s="26">
        <f t="shared" si="10"/>
        <v>0</v>
      </c>
      <c r="D15" s="26">
        <f>SUM(D16:D17)</f>
        <v>0</v>
      </c>
      <c r="E15" s="26">
        <f>SUM(E16:E17)</f>
        <v>0</v>
      </c>
      <c r="F15" s="26">
        <f t="shared" si="11"/>
        <v>0</v>
      </c>
      <c r="G15" s="26">
        <f t="shared" ref="G15:H15" si="27">SUM(G16:G17)</f>
        <v>0</v>
      </c>
      <c r="H15" s="26">
        <f t="shared" si="27"/>
        <v>0</v>
      </c>
      <c r="I15" s="26">
        <f t="shared" si="13"/>
        <v>0</v>
      </c>
      <c r="J15" s="26">
        <f t="shared" ref="J15:K15" si="28">SUM(J16:J17)</f>
        <v>0</v>
      </c>
      <c r="K15" s="26">
        <f t="shared" si="28"/>
        <v>0</v>
      </c>
      <c r="L15" s="26">
        <f t="shared" si="15"/>
        <v>0</v>
      </c>
      <c r="M15" s="26">
        <f t="shared" ref="M15:N15" si="29">SUM(M16:M17)</f>
        <v>0</v>
      </c>
      <c r="N15" s="26">
        <f t="shared" si="29"/>
        <v>0</v>
      </c>
      <c r="O15" s="26">
        <f t="shared" si="17"/>
        <v>0</v>
      </c>
      <c r="P15" s="26">
        <f t="shared" ref="P15:Q15" si="30">SUM(P16:P17)</f>
        <v>0</v>
      </c>
      <c r="Q15" s="26">
        <f t="shared" si="30"/>
        <v>0</v>
      </c>
      <c r="R15" s="26">
        <f t="shared" si="19"/>
        <v>0</v>
      </c>
      <c r="S15" s="26">
        <f t="shared" ref="S15:T15" si="31">SUM(S16:S17)</f>
        <v>0</v>
      </c>
      <c r="T15" s="26">
        <f t="shared" si="31"/>
        <v>0</v>
      </c>
      <c r="U15" s="29"/>
      <c r="V15" s="5" t="str">
        <f t="shared" si="21"/>
        <v>-</v>
      </c>
    </row>
    <row r="16" spans="1:25" ht="25.15" customHeight="1" x14ac:dyDescent="0.6">
      <c r="A16" s="30" t="s">
        <v>5</v>
      </c>
      <c r="B16" s="22"/>
      <c r="C16" s="22">
        <f t="shared" si="10"/>
        <v>0</v>
      </c>
      <c r="D16" s="22"/>
      <c r="E16" s="22"/>
      <c r="F16" s="22">
        <f t="shared" si="11"/>
        <v>0</v>
      </c>
      <c r="G16" s="22"/>
      <c r="H16" s="22"/>
      <c r="I16" s="22">
        <f t="shared" si="13"/>
        <v>0</v>
      </c>
      <c r="J16" s="22"/>
      <c r="K16" s="22"/>
      <c r="L16" s="22">
        <f t="shared" si="15"/>
        <v>0</v>
      </c>
      <c r="M16" s="22"/>
      <c r="N16" s="22"/>
      <c r="O16" s="22">
        <f t="shared" si="17"/>
        <v>0</v>
      </c>
      <c r="P16" s="22"/>
      <c r="Q16" s="22"/>
      <c r="R16" s="22">
        <f t="shared" si="19"/>
        <v>0</v>
      </c>
      <c r="S16" s="22"/>
      <c r="T16" s="22"/>
      <c r="U16" s="14"/>
      <c r="V16" s="5" t="str">
        <f t="shared" si="21"/>
        <v>-</v>
      </c>
    </row>
    <row r="17" spans="1:22" ht="25.5" customHeight="1" x14ac:dyDescent="0.6">
      <c r="A17" s="30" t="s">
        <v>6</v>
      </c>
      <c r="B17" s="22"/>
      <c r="C17" s="22">
        <f t="shared" si="10"/>
        <v>0</v>
      </c>
      <c r="D17" s="22"/>
      <c r="E17" s="22"/>
      <c r="F17" s="22">
        <f t="shared" si="11"/>
        <v>0</v>
      </c>
      <c r="G17" s="22"/>
      <c r="H17" s="22"/>
      <c r="I17" s="22">
        <f t="shared" si="13"/>
        <v>0</v>
      </c>
      <c r="J17" s="22"/>
      <c r="K17" s="22"/>
      <c r="L17" s="22">
        <f t="shared" si="15"/>
        <v>0</v>
      </c>
      <c r="M17" s="22"/>
      <c r="N17" s="22"/>
      <c r="O17" s="22">
        <f t="shared" si="17"/>
        <v>0</v>
      </c>
      <c r="P17" s="22"/>
      <c r="Q17" s="22"/>
      <c r="R17" s="22">
        <f t="shared" si="19"/>
        <v>0</v>
      </c>
      <c r="S17" s="22"/>
      <c r="T17" s="22"/>
      <c r="U17" s="14"/>
      <c r="V17" s="5" t="str">
        <f t="shared" si="21"/>
        <v>-</v>
      </c>
    </row>
    <row r="18" spans="1:22" ht="25.15" customHeight="1" x14ac:dyDescent="0.6">
      <c r="A18" s="28" t="s">
        <v>4</v>
      </c>
      <c r="B18" s="26">
        <f>SUM(B19:B20)</f>
        <v>0</v>
      </c>
      <c r="C18" s="26">
        <f t="shared" si="10"/>
        <v>0</v>
      </c>
      <c r="D18" s="26">
        <f>SUM(D19:D20)</f>
        <v>0</v>
      </c>
      <c r="E18" s="26">
        <f>SUM(E19:E20)</f>
        <v>0</v>
      </c>
      <c r="F18" s="26">
        <f t="shared" si="11"/>
        <v>0</v>
      </c>
      <c r="G18" s="26">
        <f t="shared" ref="G18:H18" si="32">SUM(G19:G20)</f>
        <v>0</v>
      </c>
      <c r="H18" s="26">
        <f t="shared" si="32"/>
        <v>0</v>
      </c>
      <c r="I18" s="26">
        <f t="shared" si="13"/>
        <v>0</v>
      </c>
      <c r="J18" s="26">
        <f t="shared" ref="J18:K18" si="33">SUM(J19:J20)</f>
        <v>0</v>
      </c>
      <c r="K18" s="26">
        <f t="shared" si="33"/>
        <v>0</v>
      </c>
      <c r="L18" s="26">
        <f t="shared" si="15"/>
        <v>0</v>
      </c>
      <c r="M18" s="26">
        <f t="shared" ref="M18:N18" si="34">SUM(M19:M20)</f>
        <v>0</v>
      </c>
      <c r="N18" s="26">
        <f t="shared" si="34"/>
        <v>0</v>
      </c>
      <c r="O18" s="26">
        <f t="shared" si="17"/>
        <v>0</v>
      </c>
      <c r="P18" s="26">
        <f t="shared" ref="P18:Q18" si="35">SUM(P19:P20)</f>
        <v>0</v>
      </c>
      <c r="Q18" s="26">
        <f t="shared" si="35"/>
        <v>0</v>
      </c>
      <c r="R18" s="26">
        <f t="shared" si="19"/>
        <v>0</v>
      </c>
      <c r="S18" s="26">
        <f t="shared" ref="S18:T18" si="36">SUM(S19:S20)</f>
        <v>0</v>
      </c>
      <c r="T18" s="26">
        <f t="shared" si="36"/>
        <v>0</v>
      </c>
      <c r="U18" s="29"/>
      <c r="V18" s="5" t="str">
        <f t="shared" si="21"/>
        <v>-</v>
      </c>
    </row>
    <row r="19" spans="1:22" ht="25.15" customHeight="1" x14ac:dyDescent="0.6">
      <c r="A19" s="30" t="s">
        <v>7</v>
      </c>
      <c r="B19" s="22"/>
      <c r="C19" s="22">
        <f t="shared" si="10"/>
        <v>0</v>
      </c>
      <c r="D19" s="22"/>
      <c r="E19" s="22"/>
      <c r="F19" s="22">
        <f t="shared" si="11"/>
        <v>0</v>
      </c>
      <c r="G19" s="22"/>
      <c r="H19" s="22"/>
      <c r="I19" s="22">
        <f t="shared" si="13"/>
        <v>0</v>
      </c>
      <c r="J19" s="22"/>
      <c r="K19" s="22"/>
      <c r="L19" s="22">
        <f t="shared" si="15"/>
        <v>0</v>
      </c>
      <c r="M19" s="22"/>
      <c r="N19" s="22"/>
      <c r="O19" s="22">
        <f t="shared" si="17"/>
        <v>0</v>
      </c>
      <c r="P19" s="22"/>
      <c r="Q19" s="22"/>
      <c r="R19" s="22">
        <f t="shared" si="19"/>
        <v>0</v>
      </c>
      <c r="S19" s="22"/>
      <c r="T19" s="22"/>
      <c r="U19" s="14"/>
      <c r="V19" s="5" t="str">
        <f t="shared" si="21"/>
        <v>-</v>
      </c>
    </row>
    <row r="20" spans="1:22" ht="25.15" customHeight="1" x14ac:dyDescent="0.6">
      <c r="A20" s="30" t="s">
        <v>8</v>
      </c>
      <c r="B20" s="22"/>
      <c r="C20" s="22">
        <f t="shared" si="10"/>
        <v>0</v>
      </c>
      <c r="D20" s="22"/>
      <c r="E20" s="22"/>
      <c r="F20" s="22">
        <f t="shared" si="11"/>
        <v>0</v>
      </c>
      <c r="G20" s="22"/>
      <c r="H20" s="22"/>
      <c r="I20" s="22">
        <f t="shared" si="13"/>
        <v>0</v>
      </c>
      <c r="J20" s="22"/>
      <c r="K20" s="22"/>
      <c r="L20" s="22">
        <f t="shared" si="15"/>
        <v>0</v>
      </c>
      <c r="M20" s="22"/>
      <c r="N20" s="22"/>
      <c r="O20" s="22">
        <f t="shared" si="17"/>
        <v>0</v>
      </c>
      <c r="P20" s="22"/>
      <c r="Q20" s="22"/>
      <c r="R20" s="22">
        <f t="shared" si="19"/>
        <v>0</v>
      </c>
      <c r="S20" s="22"/>
      <c r="T20" s="22"/>
      <c r="U20" s="14"/>
      <c r="V20" s="5" t="str">
        <f t="shared" si="21"/>
        <v>-</v>
      </c>
    </row>
    <row r="21" spans="1:22" ht="25.15" customHeight="1" x14ac:dyDescent="0.6">
      <c r="A21" s="25" t="s">
        <v>9</v>
      </c>
      <c r="B21" s="26">
        <f>B22+B25</f>
        <v>0</v>
      </c>
      <c r="C21" s="26">
        <f t="shared" si="10"/>
        <v>0</v>
      </c>
      <c r="D21" s="26">
        <f>D22+D25</f>
        <v>0</v>
      </c>
      <c r="E21" s="26">
        <f>E22+E25</f>
        <v>0</v>
      </c>
      <c r="F21" s="26">
        <f t="shared" si="11"/>
        <v>0</v>
      </c>
      <c r="G21" s="26">
        <f t="shared" ref="G21:H21" si="37">G22+G25</f>
        <v>0</v>
      </c>
      <c r="H21" s="26">
        <f t="shared" si="37"/>
        <v>0</v>
      </c>
      <c r="I21" s="26">
        <f t="shared" si="13"/>
        <v>0</v>
      </c>
      <c r="J21" s="26">
        <f t="shared" ref="J21:K21" si="38">J22+J25</f>
        <v>0</v>
      </c>
      <c r="K21" s="26">
        <f t="shared" si="38"/>
        <v>0</v>
      </c>
      <c r="L21" s="26">
        <f t="shared" si="15"/>
        <v>0</v>
      </c>
      <c r="M21" s="26">
        <f t="shared" ref="M21:N21" si="39">M22+M25</f>
        <v>0</v>
      </c>
      <c r="N21" s="26">
        <f t="shared" si="39"/>
        <v>0</v>
      </c>
      <c r="O21" s="26">
        <f t="shared" si="17"/>
        <v>0</v>
      </c>
      <c r="P21" s="26">
        <f t="shared" ref="P21:Q21" si="40">P22+P25</f>
        <v>0</v>
      </c>
      <c r="Q21" s="26">
        <f t="shared" si="40"/>
        <v>0</v>
      </c>
      <c r="R21" s="26">
        <f t="shared" si="19"/>
        <v>0</v>
      </c>
      <c r="S21" s="26">
        <f t="shared" ref="S21:T21" si="41">S22+S25</f>
        <v>0</v>
      </c>
      <c r="T21" s="26">
        <f t="shared" si="41"/>
        <v>0</v>
      </c>
      <c r="U21" s="27"/>
      <c r="V21" s="5" t="str">
        <f t="shared" si="21"/>
        <v>-</v>
      </c>
    </row>
    <row r="22" spans="1:22" ht="25.15" customHeight="1" x14ac:dyDescent="0.6">
      <c r="A22" s="28" t="s">
        <v>3</v>
      </c>
      <c r="B22" s="26">
        <f>SUM(B23:B24)</f>
        <v>0</v>
      </c>
      <c r="C22" s="26">
        <f t="shared" si="10"/>
        <v>0</v>
      </c>
      <c r="D22" s="26">
        <f>SUM(D23:D24)</f>
        <v>0</v>
      </c>
      <c r="E22" s="26">
        <f>SUM(E23:E24)</f>
        <v>0</v>
      </c>
      <c r="F22" s="26">
        <f t="shared" si="11"/>
        <v>0</v>
      </c>
      <c r="G22" s="26">
        <f t="shared" ref="G22:H22" si="42">SUM(G23:G24)</f>
        <v>0</v>
      </c>
      <c r="H22" s="26">
        <f t="shared" si="42"/>
        <v>0</v>
      </c>
      <c r="I22" s="26">
        <f t="shared" si="13"/>
        <v>0</v>
      </c>
      <c r="J22" s="26">
        <f t="shared" ref="J22:K22" si="43">SUM(J23:J24)</f>
        <v>0</v>
      </c>
      <c r="K22" s="26">
        <f t="shared" si="43"/>
        <v>0</v>
      </c>
      <c r="L22" s="26">
        <f t="shared" si="15"/>
        <v>0</v>
      </c>
      <c r="M22" s="26">
        <f t="shared" ref="M22:N22" si="44">SUM(M23:M24)</f>
        <v>0</v>
      </c>
      <c r="N22" s="26">
        <f t="shared" si="44"/>
        <v>0</v>
      </c>
      <c r="O22" s="26">
        <f t="shared" si="17"/>
        <v>0</v>
      </c>
      <c r="P22" s="26">
        <f t="shared" ref="P22:Q22" si="45">SUM(P23:P24)</f>
        <v>0</v>
      </c>
      <c r="Q22" s="26">
        <f t="shared" si="45"/>
        <v>0</v>
      </c>
      <c r="R22" s="26">
        <f t="shared" si="19"/>
        <v>0</v>
      </c>
      <c r="S22" s="26">
        <f t="shared" ref="S22:T22" si="46">SUM(S23:S24)</f>
        <v>0</v>
      </c>
      <c r="T22" s="26">
        <f t="shared" si="46"/>
        <v>0</v>
      </c>
      <c r="U22" s="29"/>
      <c r="V22" s="5" t="str">
        <f t="shared" si="21"/>
        <v>-</v>
      </c>
    </row>
    <row r="23" spans="1:22" ht="25.15" customHeight="1" x14ac:dyDescent="0.6">
      <c r="A23" s="30" t="s">
        <v>5</v>
      </c>
      <c r="B23" s="22"/>
      <c r="C23" s="22">
        <f t="shared" si="10"/>
        <v>0</v>
      </c>
      <c r="D23" s="22"/>
      <c r="E23" s="22"/>
      <c r="F23" s="22">
        <f t="shared" si="11"/>
        <v>0</v>
      </c>
      <c r="G23" s="22"/>
      <c r="H23" s="22"/>
      <c r="I23" s="22">
        <f t="shared" si="13"/>
        <v>0</v>
      </c>
      <c r="J23" s="22"/>
      <c r="K23" s="22"/>
      <c r="L23" s="22">
        <f t="shared" si="15"/>
        <v>0</v>
      </c>
      <c r="M23" s="22"/>
      <c r="N23" s="22"/>
      <c r="O23" s="22">
        <f t="shared" si="17"/>
        <v>0</v>
      </c>
      <c r="P23" s="22"/>
      <c r="Q23" s="22"/>
      <c r="R23" s="22">
        <f t="shared" si="19"/>
        <v>0</v>
      </c>
      <c r="S23" s="22"/>
      <c r="T23" s="22"/>
      <c r="U23" s="14"/>
      <c r="V23" s="5" t="str">
        <f t="shared" si="21"/>
        <v>-</v>
      </c>
    </row>
    <row r="24" spans="1:22" ht="25.15" customHeight="1" x14ac:dyDescent="0.6">
      <c r="A24" s="30" t="s">
        <v>6</v>
      </c>
      <c r="B24" s="22"/>
      <c r="C24" s="22">
        <f t="shared" si="10"/>
        <v>0</v>
      </c>
      <c r="D24" s="22"/>
      <c r="E24" s="22"/>
      <c r="F24" s="22">
        <f t="shared" si="11"/>
        <v>0</v>
      </c>
      <c r="G24" s="22"/>
      <c r="H24" s="22"/>
      <c r="I24" s="22">
        <f t="shared" si="13"/>
        <v>0</v>
      </c>
      <c r="J24" s="22"/>
      <c r="K24" s="22"/>
      <c r="L24" s="22">
        <f t="shared" si="15"/>
        <v>0</v>
      </c>
      <c r="M24" s="22"/>
      <c r="N24" s="22"/>
      <c r="O24" s="22">
        <f t="shared" si="17"/>
        <v>0</v>
      </c>
      <c r="P24" s="22"/>
      <c r="Q24" s="22"/>
      <c r="R24" s="22">
        <f t="shared" si="19"/>
        <v>0</v>
      </c>
      <c r="S24" s="22"/>
      <c r="T24" s="22"/>
      <c r="U24" s="14"/>
      <c r="V24" s="5" t="str">
        <f t="shared" si="21"/>
        <v>-</v>
      </c>
    </row>
    <row r="25" spans="1:22" ht="25.15" customHeight="1" x14ac:dyDescent="0.6">
      <c r="A25" s="28" t="s">
        <v>4</v>
      </c>
      <c r="B25" s="26">
        <f>SUM(B26:B27)</f>
        <v>0</v>
      </c>
      <c r="C25" s="26">
        <f t="shared" si="10"/>
        <v>0</v>
      </c>
      <c r="D25" s="26">
        <f>SUM(D26:D27)</f>
        <v>0</v>
      </c>
      <c r="E25" s="26">
        <f>SUM(E26:E27)</f>
        <v>0</v>
      </c>
      <c r="F25" s="26">
        <f t="shared" si="11"/>
        <v>0</v>
      </c>
      <c r="G25" s="26">
        <f t="shared" ref="G25:H25" si="47">SUM(G26:G27)</f>
        <v>0</v>
      </c>
      <c r="H25" s="26">
        <f t="shared" si="47"/>
        <v>0</v>
      </c>
      <c r="I25" s="26">
        <f t="shared" si="13"/>
        <v>0</v>
      </c>
      <c r="J25" s="26">
        <f t="shared" ref="J25:K25" si="48">SUM(J26:J27)</f>
        <v>0</v>
      </c>
      <c r="K25" s="26">
        <f t="shared" si="48"/>
        <v>0</v>
      </c>
      <c r="L25" s="26">
        <f t="shared" si="15"/>
        <v>0</v>
      </c>
      <c r="M25" s="26">
        <f t="shared" ref="M25:N25" si="49">SUM(M26:M27)</f>
        <v>0</v>
      </c>
      <c r="N25" s="26">
        <f t="shared" si="49"/>
        <v>0</v>
      </c>
      <c r="O25" s="26">
        <f t="shared" si="17"/>
        <v>0</v>
      </c>
      <c r="P25" s="26">
        <f t="shared" ref="P25:Q25" si="50">SUM(P26:P27)</f>
        <v>0</v>
      </c>
      <c r="Q25" s="26">
        <f t="shared" si="50"/>
        <v>0</v>
      </c>
      <c r="R25" s="26">
        <f t="shared" si="19"/>
        <v>0</v>
      </c>
      <c r="S25" s="26">
        <f t="shared" ref="S25:T25" si="51">SUM(S26:S27)</f>
        <v>0</v>
      </c>
      <c r="T25" s="26">
        <f t="shared" si="51"/>
        <v>0</v>
      </c>
      <c r="U25" s="29"/>
      <c r="V25" s="5" t="str">
        <f t="shared" si="21"/>
        <v>-</v>
      </c>
    </row>
    <row r="26" spans="1:22" ht="25.15" customHeight="1" x14ac:dyDescent="0.6">
      <c r="A26" s="30" t="s">
        <v>7</v>
      </c>
      <c r="B26" s="22"/>
      <c r="C26" s="22">
        <f t="shared" si="10"/>
        <v>0</v>
      </c>
      <c r="D26" s="22"/>
      <c r="E26" s="22"/>
      <c r="F26" s="22">
        <f t="shared" si="11"/>
        <v>0</v>
      </c>
      <c r="G26" s="22"/>
      <c r="H26" s="22"/>
      <c r="I26" s="22">
        <f t="shared" si="13"/>
        <v>0</v>
      </c>
      <c r="J26" s="22"/>
      <c r="K26" s="22"/>
      <c r="L26" s="22">
        <f t="shared" si="15"/>
        <v>0</v>
      </c>
      <c r="M26" s="22"/>
      <c r="N26" s="22"/>
      <c r="O26" s="22">
        <f t="shared" si="17"/>
        <v>0</v>
      </c>
      <c r="P26" s="22"/>
      <c r="Q26" s="22"/>
      <c r="R26" s="22">
        <f t="shared" si="19"/>
        <v>0</v>
      </c>
      <c r="S26" s="22"/>
      <c r="T26" s="22"/>
      <c r="U26" s="14"/>
      <c r="V26" s="5" t="str">
        <f t="shared" si="21"/>
        <v>-</v>
      </c>
    </row>
    <row r="27" spans="1:22" ht="25.15" customHeight="1" x14ac:dyDescent="0.6">
      <c r="A27" s="30" t="s">
        <v>8</v>
      </c>
      <c r="B27" s="22"/>
      <c r="C27" s="22">
        <f t="shared" si="10"/>
        <v>0</v>
      </c>
      <c r="D27" s="22"/>
      <c r="E27" s="22"/>
      <c r="F27" s="22">
        <f t="shared" si="11"/>
        <v>0</v>
      </c>
      <c r="G27" s="22"/>
      <c r="H27" s="22"/>
      <c r="I27" s="22">
        <f t="shared" si="13"/>
        <v>0</v>
      </c>
      <c r="J27" s="22"/>
      <c r="K27" s="22"/>
      <c r="L27" s="22">
        <f t="shared" si="15"/>
        <v>0</v>
      </c>
      <c r="M27" s="22"/>
      <c r="N27" s="22"/>
      <c r="O27" s="22">
        <f t="shared" si="17"/>
        <v>0</v>
      </c>
      <c r="P27" s="22"/>
      <c r="Q27" s="22"/>
      <c r="R27" s="22">
        <f t="shared" si="19"/>
        <v>0</v>
      </c>
      <c r="S27" s="22"/>
      <c r="T27" s="22"/>
      <c r="U27" s="14"/>
      <c r="V27" s="5" t="str">
        <f t="shared" si="21"/>
        <v>-</v>
      </c>
    </row>
    <row r="28" spans="1:22" ht="25.15" customHeight="1" x14ac:dyDescent="0.6">
      <c r="A28" s="18" t="s">
        <v>25</v>
      </c>
      <c r="B28" s="23">
        <f>B29+B36</f>
        <v>0</v>
      </c>
      <c r="C28" s="23">
        <f t="shared" ref="C28:C42" si="52">D28+E28</f>
        <v>0</v>
      </c>
      <c r="D28" s="23">
        <f>D29+D36</f>
        <v>0</v>
      </c>
      <c r="E28" s="23">
        <f>E29+E36</f>
        <v>0</v>
      </c>
      <c r="F28" s="23">
        <f t="shared" ref="F28:F42" si="53">G28+H28</f>
        <v>0</v>
      </c>
      <c r="G28" s="23">
        <f t="shared" ref="G28:H28" si="54">G29+G36</f>
        <v>0</v>
      </c>
      <c r="H28" s="23">
        <f t="shared" si="54"/>
        <v>0</v>
      </c>
      <c r="I28" s="23">
        <f t="shared" ref="I28:I42" si="55">J28+K28</f>
        <v>0</v>
      </c>
      <c r="J28" s="23">
        <f t="shared" ref="J28:K28" si="56">J29+J36</f>
        <v>0</v>
      </c>
      <c r="K28" s="23">
        <f t="shared" si="56"/>
        <v>0</v>
      </c>
      <c r="L28" s="23">
        <f t="shared" ref="L28:L42" si="57">M28+N28</f>
        <v>0</v>
      </c>
      <c r="M28" s="23">
        <f t="shared" ref="M28:N28" si="58">M29+M36</f>
        <v>0</v>
      </c>
      <c r="N28" s="23">
        <f t="shared" si="58"/>
        <v>0</v>
      </c>
      <c r="O28" s="23">
        <f t="shared" ref="O28:O42" si="59">P28+Q28</f>
        <v>0</v>
      </c>
      <c r="P28" s="23">
        <f t="shared" ref="P28:Q28" si="60">P29+P36</f>
        <v>0</v>
      </c>
      <c r="Q28" s="23">
        <f t="shared" si="60"/>
        <v>0</v>
      </c>
      <c r="R28" s="23">
        <f t="shared" ref="R28:R42" si="61">S28+T28</f>
        <v>0</v>
      </c>
      <c r="S28" s="23">
        <f t="shared" ref="S28:T28" si="62">S29+S36</f>
        <v>0</v>
      </c>
      <c r="T28" s="23">
        <f t="shared" si="62"/>
        <v>0</v>
      </c>
      <c r="U28" s="20"/>
      <c r="V28" s="5" t="str">
        <f t="shared" ref="V28:V42" si="63">IF((B28+C28+F28+L28+O28)&lt;&gt;0,"ok","-")</f>
        <v>-</v>
      </c>
    </row>
    <row r="29" spans="1:22" ht="25.15" customHeight="1" x14ac:dyDescent="0.6">
      <c r="A29" s="25" t="s">
        <v>2</v>
      </c>
      <c r="B29" s="26">
        <f>B30+B33</f>
        <v>0</v>
      </c>
      <c r="C29" s="26">
        <f t="shared" si="52"/>
        <v>0</v>
      </c>
      <c r="D29" s="26">
        <f>D30+D33</f>
        <v>0</v>
      </c>
      <c r="E29" s="26">
        <f>E30+E33</f>
        <v>0</v>
      </c>
      <c r="F29" s="26">
        <f t="shared" si="53"/>
        <v>0</v>
      </c>
      <c r="G29" s="26">
        <f t="shared" ref="G29:H29" si="64">G30+G33</f>
        <v>0</v>
      </c>
      <c r="H29" s="26">
        <f t="shared" si="64"/>
        <v>0</v>
      </c>
      <c r="I29" s="26">
        <f t="shared" si="55"/>
        <v>0</v>
      </c>
      <c r="J29" s="26">
        <f t="shared" ref="J29:K29" si="65">J30+J33</f>
        <v>0</v>
      </c>
      <c r="K29" s="26">
        <f t="shared" si="65"/>
        <v>0</v>
      </c>
      <c r="L29" s="26">
        <f t="shared" si="57"/>
        <v>0</v>
      </c>
      <c r="M29" s="26">
        <f t="shared" ref="M29:N29" si="66">M30+M33</f>
        <v>0</v>
      </c>
      <c r="N29" s="26">
        <f t="shared" si="66"/>
        <v>0</v>
      </c>
      <c r="O29" s="26">
        <f t="shared" si="59"/>
        <v>0</v>
      </c>
      <c r="P29" s="26">
        <f t="shared" ref="P29:Q29" si="67">P30+P33</f>
        <v>0</v>
      </c>
      <c r="Q29" s="26">
        <f t="shared" si="67"/>
        <v>0</v>
      </c>
      <c r="R29" s="26">
        <f t="shared" si="61"/>
        <v>0</v>
      </c>
      <c r="S29" s="26">
        <f t="shared" ref="S29:T29" si="68">S30+S33</f>
        <v>0</v>
      </c>
      <c r="T29" s="26">
        <f t="shared" si="68"/>
        <v>0</v>
      </c>
      <c r="U29" s="27"/>
      <c r="V29" s="5" t="str">
        <f t="shared" si="63"/>
        <v>-</v>
      </c>
    </row>
    <row r="30" spans="1:22" ht="25.15" customHeight="1" x14ac:dyDescent="0.6">
      <c r="A30" s="28" t="s">
        <v>3</v>
      </c>
      <c r="B30" s="26">
        <f>SUM(B31:B32)</f>
        <v>0</v>
      </c>
      <c r="C30" s="26">
        <f t="shared" si="52"/>
        <v>0</v>
      </c>
      <c r="D30" s="26">
        <f>SUM(D31:D32)</f>
        <v>0</v>
      </c>
      <c r="E30" s="26">
        <f>SUM(E31:E32)</f>
        <v>0</v>
      </c>
      <c r="F30" s="26">
        <f t="shared" si="53"/>
        <v>0</v>
      </c>
      <c r="G30" s="26">
        <f t="shared" ref="G30:H30" si="69">SUM(G31:G32)</f>
        <v>0</v>
      </c>
      <c r="H30" s="26">
        <f t="shared" si="69"/>
        <v>0</v>
      </c>
      <c r="I30" s="26">
        <f t="shared" si="55"/>
        <v>0</v>
      </c>
      <c r="J30" s="26">
        <f t="shared" ref="J30:K30" si="70">SUM(J31:J32)</f>
        <v>0</v>
      </c>
      <c r="K30" s="26">
        <f t="shared" si="70"/>
        <v>0</v>
      </c>
      <c r="L30" s="26">
        <f t="shared" si="57"/>
        <v>0</v>
      </c>
      <c r="M30" s="26">
        <f t="shared" ref="M30:N30" si="71">SUM(M31:M32)</f>
        <v>0</v>
      </c>
      <c r="N30" s="26">
        <f t="shared" si="71"/>
        <v>0</v>
      </c>
      <c r="O30" s="26">
        <f t="shared" si="59"/>
        <v>0</v>
      </c>
      <c r="P30" s="26">
        <f t="shared" ref="P30:Q30" si="72">SUM(P31:P32)</f>
        <v>0</v>
      </c>
      <c r="Q30" s="26">
        <f t="shared" si="72"/>
        <v>0</v>
      </c>
      <c r="R30" s="26">
        <f t="shared" si="61"/>
        <v>0</v>
      </c>
      <c r="S30" s="26">
        <f t="shared" ref="S30:T30" si="73">SUM(S31:S32)</f>
        <v>0</v>
      </c>
      <c r="T30" s="26">
        <f t="shared" si="73"/>
        <v>0</v>
      </c>
      <c r="U30" s="29"/>
      <c r="V30" s="5" t="str">
        <f t="shared" si="63"/>
        <v>-</v>
      </c>
    </row>
    <row r="31" spans="1:22" ht="25.15" customHeight="1" x14ac:dyDescent="0.6">
      <c r="A31" s="30" t="s">
        <v>5</v>
      </c>
      <c r="B31" s="22"/>
      <c r="C31" s="22">
        <f t="shared" si="52"/>
        <v>0</v>
      </c>
      <c r="D31" s="22"/>
      <c r="E31" s="22"/>
      <c r="F31" s="22">
        <f t="shared" si="53"/>
        <v>0</v>
      </c>
      <c r="G31" s="22"/>
      <c r="H31" s="22"/>
      <c r="I31" s="22">
        <f t="shared" si="55"/>
        <v>0</v>
      </c>
      <c r="J31" s="22"/>
      <c r="K31" s="22"/>
      <c r="L31" s="22">
        <f t="shared" si="57"/>
        <v>0</v>
      </c>
      <c r="M31" s="22"/>
      <c r="N31" s="22"/>
      <c r="O31" s="22">
        <f t="shared" si="59"/>
        <v>0</v>
      </c>
      <c r="P31" s="22"/>
      <c r="Q31" s="22"/>
      <c r="R31" s="22">
        <f t="shared" si="61"/>
        <v>0</v>
      </c>
      <c r="S31" s="22"/>
      <c r="T31" s="22"/>
      <c r="U31" s="14"/>
      <c r="V31" s="5" t="str">
        <f t="shared" si="63"/>
        <v>-</v>
      </c>
    </row>
    <row r="32" spans="1:22" ht="25.5" customHeight="1" x14ac:dyDescent="0.6">
      <c r="A32" s="30" t="s">
        <v>6</v>
      </c>
      <c r="B32" s="22"/>
      <c r="C32" s="22">
        <f t="shared" si="52"/>
        <v>0</v>
      </c>
      <c r="D32" s="22"/>
      <c r="E32" s="22"/>
      <c r="F32" s="22">
        <f t="shared" si="53"/>
        <v>0</v>
      </c>
      <c r="G32" s="22"/>
      <c r="H32" s="22"/>
      <c r="I32" s="22">
        <f t="shared" si="55"/>
        <v>0</v>
      </c>
      <c r="J32" s="22"/>
      <c r="K32" s="22"/>
      <c r="L32" s="22">
        <f t="shared" si="57"/>
        <v>0</v>
      </c>
      <c r="M32" s="22"/>
      <c r="N32" s="22"/>
      <c r="O32" s="22">
        <f t="shared" si="59"/>
        <v>0</v>
      </c>
      <c r="P32" s="22"/>
      <c r="Q32" s="22"/>
      <c r="R32" s="22">
        <f t="shared" si="61"/>
        <v>0</v>
      </c>
      <c r="S32" s="22"/>
      <c r="T32" s="22"/>
      <c r="U32" s="14"/>
      <c r="V32" s="5" t="str">
        <f t="shared" si="63"/>
        <v>-</v>
      </c>
    </row>
    <row r="33" spans="1:22" ht="25.15" customHeight="1" x14ac:dyDescent="0.6">
      <c r="A33" s="28" t="s">
        <v>4</v>
      </c>
      <c r="B33" s="26">
        <f>SUM(B34:B35)</f>
        <v>0</v>
      </c>
      <c r="C33" s="26">
        <f t="shared" si="52"/>
        <v>0</v>
      </c>
      <c r="D33" s="26">
        <f>SUM(D34:D35)</f>
        <v>0</v>
      </c>
      <c r="E33" s="26">
        <f>SUM(E34:E35)</f>
        <v>0</v>
      </c>
      <c r="F33" s="26">
        <f t="shared" si="53"/>
        <v>0</v>
      </c>
      <c r="G33" s="26">
        <f t="shared" ref="G33:H33" si="74">SUM(G34:G35)</f>
        <v>0</v>
      </c>
      <c r="H33" s="26">
        <f t="shared" si="74"/>
        <v>0</v>
      </c>
      <c r="I33" s="26">
        <f t="shared" si="55"/>
        <v>0</v>
      </c>
      <c r="J33" s="26">
        <f t="shared" ref="J33:K33" si="75">SUM(J34:J35)</f>
        <v>0</v>
      </c>
      <c r="K33" s="26">
        <f t="shared" si="75"/>
        <v>0</v>
      </c>
      <c r="L33" s="26">
        <f t="shared" si="57"/>
        <v>0</v>
      </c>
      <c r="M33" s="26">
        <f t="shared" ref="M33:N33" si="76">SUM(M34:M35)</f>
        <v>0</v>
      </c>
      <c r="N33" s="26">
        <f t="shared" si="76"/>
        <v>0</v>
      </c>
      <c r="O33" s="26">
        <f t="shared" si="59"/>
        <v>0</v>
      </c>
      <c r="P33" s="26">
        <f t="shared" ref="P33:Q33" si="77">SUM(P34:P35)</f>
        <v>0</v>
      </c>
      <c r="Q33" s="26">
        <f t="shared" si="77"/>
        <v>0</v>
      </c>
      <c r="R33" s="26">
        <f t="shared" si="61"/>
        <v>0</v>
      </c>
      <c r="S33" s="26">
        <f t="shared" ref="S33:T33" si="78">SUM(S34:S35)</f>
        <v>0</v>
      </c>
      <c r="T33" s="26">
        <f t="shared" si="78"/>
        <v>0</v>
      </c>
      <c r="U33" s="29"/>
      <c r="V33" s="5" t="str">
        <f t="shared" si="63"/>
        <v>-</v>
      </c>
    </row>
    <row r="34" spans="1:22" ht="25.15" customHeight="1" x14ac:dyDescent="0.6">
      <c r="A34" s="30" t="s">
        <v>7</v>
      </c>
      <c r="B34" s="22"/>
      <c r="C34" s="22">
        <f t="shared" si="52"/>
        <v>0</v>
      </c>
      <c r="D34" s="22"/>
      <c r="E34" s="22"/>
      <c r="F34" s="22">
        <f t="shared" si="53"/>
        <v>0</v>
      </c>
      <c r="G34" s="22"/>
      <c r="H34" s="22"/>
      <c r="I34" s="22">
        <f t="shared" si="55"/>
        <v>0</v>
      </c>
      <c r="J34" s="22"/>
      <c r="K34" s="22"/>
      <c r="L34" s="22">
        <f t="shared" si="57"/>
        <v>0</v>
      </c>
      <c r="M34" s="22"/>
      <c r="N34" s="22"/>
      <c r="O34" s="22">
        <f t="shared" si="59"/>
        <v>0</v>
      </c>
      <c r="P34" s="22"/>
      <c r="Q34" s="22"/>
      <c r="R34" s="22">
        <f t="shared" si="61"/>
        <v>0</v>
      </c>
      <c r="S34" s="22"/>
      <c r="T34" s="22"/>
      <c r="U34" s="14"/>
      <c r="V34" s="5" t="str">
        <f t="shared" si="63"/>
        <v>-</v>
      </c>
    </row>
    <row r="35" spans="1:22" ht="25.15" customHeight="1" x14ac:dyDescent="0.6">
      <c r="A35" s="30" t="s">
        <v>8</v>
      </c>
      <c r="B35" s="22"/>
      <c r="C35" s="22">
        <f t="shared" si="52"/>
        <v>0</v>
      </c>
      <c r="D35" s="22"/>
      <c r="E35" s="22"/>
      <c r="F35" s="22">
        <f t="shared" si="53"/>
        <v>0</v>
      </c>
      <c r="G35" s="22"/>
      <c r="H35" s="22"/>
      <c r="I35" s="22">
        <f t="shared" si="55"/>
        <v>0</v>
      </c>
      <c r="J35" s="22"/>
      <c r="K35" s="22"/>
      <c r="L35" s="22">
        <f t="shared" si="57"/>
        <v>0</v>
      </c>
      <c r="M35" s="22"/>
      <c r="N35" s="22"/>
      <c r="O35" s="22">
        <f t="shared" si="59"/>
        <v>0</v>
      </c>
      <c r="P35" s="22"/>
      <c r="Q35" s="22"/>
      <c r="R35" s="22">
        <f t="shared" si="61"/>
        <v>0</v>
      </c>
      <c r="S35" s="22"/>
      <c r="T35" s="22"/>
      <c r="U35" s="14"/>
      <c r="V35" s="5" t="str">
        <f t="shared" si="63"/>
        <v>-</v>
      </c>
    </row>
    <row r="36" spans="1:22" ht="25.15" customHeight="1" x14ac:dyDescent="0.6">
      <c r="A36" s="25" t="s">
        <v>9</v>
      </c>
      <c r="B36" s="26">
        <f>B37+B40</f>
        <v>0</v>
      </c>
      <c r="C36" s="26">
        <f t="shared" si="52"/>
        <v>0</v>
      </c>
      <c r="D36" s="26">
        <f>D37+D40</f>
        <v>0</v>
      </c>
      <c r="E36" s="26">
        <f>E37+E40</f>
        <v>0</v>
      </c>
      <c r="F36" s="26">
        <f t="shared" si="53"/>
        <v>0</v>
      </c>
      <c r="G36" s="26">
        <f t="shared" ref="G36:H36" si="79">G37+G40</f>
        <v>0</v>
      </c>
      <c r="H36" s="26">
        <f t="shared" si="79"/>
        <v>0</v>
      </c>
      <c r="I36" s="26">
        <f t="shared" si="55"/>
        <v>0</v>
      </c>
      <c r="J36" s="26">
        <f t="shared" ref="J36:K36" si="80">J37+J40</f>
        <v>0</v>
      </c>
      <c r="K36" s="26">
        <f t="shared" si="80"/>
        <v>0</v>
      </c>
      <c r="L36" s="26">
        <f t="shared" si="57"/>
        <v>0</v>
      </c>
      <c r="M36" s="26">
        <f t="shared" ref="M36:N36" si="81">M37+M40</f>
        <v>0</v>
      </c>
      <c r="N36" s="26">
        <f t="shared" si="81"/>
        <v>0</v>
      </c>
      <c r="O36" s="26">
        <f t="shared" si="59"/>
        <v>0</v>
      </c>
      <c r="P36" s="26">
        <f t="shared" ref="P36:Q36" si="82">P37+P40</f>
        <v>0</v>
      </c>
      <c r="Q36" s="26">
        <f t="shared" si="82"/>
        <v>0</v>
      </c>
      <c r="R36" s="26">
        <f t="shared" si="61"/>
        <v>0</v>
      </c>
      <c r="S36" s="26">
        <f t="shared" ref="S36:T36" si="83">S37+S40</f>
        <v>0</v>
      </c>
      <c r="T36" s="26">
        <f t="shared" si="83"/>
        <v>0</v>
      </c>
      <c r="U36" s="27"/>
      <c r="V36" s="5" t="str">
        <f t="shared" si="63"/>
        <v>-</v>
      </c>
    </row>
    <row r="37" spans="1:22" ht="25.15" customHeight="1" x14ac:dyDescent="0.6">
      <c r="A37" s="28" t="s">
        <v>3</v>
      </c>
      <c r="B37" s="26">
        <f>SUM(B38:B39)</f>
        <v>0</v>
      </c>
      <c r="C37" s="26">
        <f t="shared" si="52"/>
        <v>0</v>
      </c>
      <c r="D37" s="26">
        <f>SUM(D38:D39)</f>
        <v>0</v>
      </c>
      <c r="E37" s="26">
        <f>SUM(E38:E39)</f>
        <v>0</v>
      </c>
      <c r="F37" s="26">
        <f t="shared" si="53"/>
        <v>0</v>
      </c>
      <c r="G37" s="26">
        <f t="shared" ref="G37:H37" si="84">SUM(G38:G39)</f>
        <v>0</v>
      </c>
      <c r="H37" s="26">
        <f t="shared" si="84"/>
        <v>0</v>
      </c>
      <c r="I37" s="26">
        <f t="shared" si="55"/>
        <v>0</v>
      </c>
      <c r="J37" s="26">
        <f t="shared" ref="J37:K37" si="85">SUM(J38:J39)</f>
        <v>0</v>
      </c>
      <c r="K37" s="26">
        <f t="shared" si="85"/>
        <v>0</v>
      </c>
      <c r="L37" s="26">
        <f t="shared" si="57"/>
        <v>0</v>
      </c>
      <c r="M37" s="26">
        <f t="shared" ref="M37:N37" si="86">SUM(M38:M39)</f>
        <v>0</v>
      </c>
      <c r="N37" s="26">
        <f t="shared" si="86"/>
        <v>0</v>
      </c>
      <c r="O37" s="26">
        <f t="shared" si="59"/>
        <v>0</v>
      </c>
      <c r="P37" s="26">
        <f t="shared" ref="P37:Q37" si="87">SUM(P38:P39)</f>
        <v>0</v>
      </c>
      <c r="Q37" s="26">
        <f t="shared" si="87"/>
        <v>0</v>
      </c>
      <c r="R37" s="26">
        <f t="shared" si="61"/>
        <v>0</v>
      </c>
      <c r="S37" s="26">
        <f t="shared" ref="S37:T37" si="88">SUM(S38:S39)</f>
        <v>0</v>
      </c>
      <c r="T37" s="26">
        <f t="shared" si="88"/>
        <v>0</v>
      </c>
      <c r="U37" s="29"/>
      <c r="V37" s="5" t="str">
        <f t="shared" si="63"/>
        <v>-</v>
      </c>
    </row>
    <row r="38" spans="1:22" ht="25.15" customHeight="1" x14ac:dyDescent="0.6">
      <c r="A38" s="30" t="s">
        <v>5</v>
      </c>
      <c r="B38" s="22"/>
      <c r="C38" s="22">
        <f t="shared" si="52"/>
        <v>0</v>
      </c>
      <c r="D38" s="22"/>
      <c r="E38" s="22"/>
      <c r="F38" s="22">
        <f t="shared" si="53"/>
        <v>0</v>
      </c>
      <c r="G38" s="22"/>
      <c r="H38" s="22"/>
      <c r="I38" s="22">
        <f t="shared" si="55"/>
        <v>0</v>
      </c>
      <c r="J38" s="22"/>
      <c r="K38" s="22"/>
      <c r="L38" s="22">
        <f t="shared" si="57"/>
        <v>0</v>
      </c>
      <c r="M38" s="22"/>
      <c r="N38" s="22"/>
      <c r="O38" s="22">
        <f t="shared" si="59"/>
        <v>0</v>
      </c>
      <c r="P38" s="22"/>
      <c r="Q38" s="22"/>
      <c r="R38" s="22">
        <f t="shared" si="61"/>
        <v>0</v>
      </c>
      <c r="S38" s="22"/>
      <c r="T38" s="22"/>
      <c r="U38" s="14"/>
      <c r="V38" s="5" t="str">
        <f t="shared" si="63"/>
        <v>-</v>
      </c>
    </row>
    <row r="39" spans="1:22" ht="25.15" customHeight="1" x14ac:dyDescent="0.6">
      <c r="A39" s="30" t="s">
        <v>6</v>
      </c>
      <c r="B39" s="22"/>
      <c r="C39" s="22">
        <f t="shared" si="52"/>
        <v>0</v>
      </c>
      <c r="D39" s="22"/>
      <c r="E39" s="22"/>
      <c r="F39" s="22">
        <f t="shared" si="53"/>
        <v>0</v>
      </c>
      <c r="G39" s="22"/>
      <c r="H39" s="22"/>
      <c r="I39" s="22">
        <f t="shared" si="55"/>
        <v>0</v>
      </c>
      <c r="J39" s="22"/>
      <c r="K39" s="22"/>
      <c r="L39" s="22">
        <f t="shared" si="57"/>
        <v>0</v>
      </c>
      <c r="M39" s="22"/>
      <c r="N39" s="22"/>
      <c r="O39" s="22">
        <f t="shared" si="59"/>
        <v>0</v>
      </c>
      <c r="P39" s="22"/>
      <c r="Q39" s="22"/>
      <c r="R39" s="22">
        <f t="shared" si="61"/>
        <v>0</v>
      </c>
      <c r="S39" s="22"/>
      <c r="T39" s="22"/>
      <c r="U39" s="14"/>
      <c r="V39" s="5" t="str">
        <f t="shared" si="63"/>
        <v>-</v>
      </c>
    </row>
    <row r="40" spans="1:22" ht="25.15" customHeight="1" x14ac:dyDescent="0.6">
      <c r="A40" s="28" t="s">
        <v>4</v>
      </c>
      <c r="B40" s="26">
        <f>SUM(B41:B42)</f>
        <v>0</v>
      </c>
      <c r="C40" s="26">
        <f t="shared" si="52"/>
        <v>0</v>
      </c>
      <c r="D40" s="26">
        <f>SUM(D41:D42)</f>
        <v>0</v>
      </c>
      <c r="E40" s="26">
        <f>SUM(E41:E42)</f>
        <v>0</v>
      </c>
      <c r="F40" s="26">
        <f t="shared" si="53"/>
        <v>0</v>
      </c>
      <c r="G40" s="26">
        <f t="shared" ref="G40:H40" si="89">SUM(G41:G42)</f>
        <v>0</v>
      </c>
      <c r="H40" s="26">
        <f t="shared" si="89"/>
        <v>0</v>
      </c>
      <c r="I40" s="26">
        <f t="shared" si="55"/>
        <v>0</v>
      </c>
      <c r="J40" s="26">
        <f t="shared" ref="J40:K40" si="90">SUM(J41:J42)</f>
        <v>0</v>
      </c>
      <c r="K40" s="26">
        <f t="shared" si="90"/>
        <v>0</v>
      </c>
      <c r="L40" s="26">
        <f t="shared" si="57"/>
        <v>0</v>
      </c>
      <c r="M40" s="26">
        <f t="shared" ref="M40:N40" si="91">SUM(M41:M42)</f>
        <v>0</v>
      </c>
      <c r="N40" s="26">
        <f t="shared" si="91"/>
        <v>0</v>
      </c>
      <c r="O40" s="26">
        <f t="shared" si="59"/>
        <v>0</v>
      </c>
      <c r="P40" s="26">
        <f t="shared" ref="P40:Q40" si="92">SUM(P41:P42)</f>
        <v>0</v>
      </c>
      <c r="Q40" s="26">
        <f t="shared" si="92"/>
        <v>0</v>
      </c>
      <c r="R40" s="26">
        <f t="shared" si="61"/>
        <v>0</v>
      </c>
      <c r="S40" s="26">
        <f t="shared" ref="S40:T40" si="93">SUM(S41:S42)</f>
        <v>0</v>
      </c>
      <c r="T40" s="26">
        <f t="shared" si="93"/>
        <v>0</v>
      </c>
      <c r="U40" s="29"/>
      <c r="V40" s="5" t="str">
        <f t="shared" si="63"/>
        <v>-</v>
      </c>
    </row>
    <row r="41" spans="1:22" ht="25.15" customHeight="1" x14ac:dyDescent="0.6">
      <c r="A41" s="30" t="s">
        <v>7</v>
      </c>
      <c r="B41" s="22"/>
      <c r="C41" s="22">
        <f t="shared" si="52"/>
        <v>0</v>
      </c>
      <c r="D41" s="22"/>
      <c r="E41" s="22"/>
      <c r="F41" s="22">
        <f t="shared" si="53"/>
        <v>0</v>
      </c>
      <c r="G41" s="22"/>
      <c r="H41" s="22"/>
      <c r="I41" s="22">
        <f t="shared" si="55"/>
        <v>0</v>
      </c>
      <c r="J41" s="22"/>
      <c r="K41" s="22"/>
      <c r="L41" s="22">
        <f t="shared" si="57"/>
        <v>0</v>
      </c>
      <c r="M41" s="22"/>
      <c r="N41" s="22"/>
      <c r="O41" s="22">
        <f t="shared" si="59"/>
        <v>0</v>
      </c>
      <c r="P41" s="22"/>
      <c r="Q41" s="22"/>
      <c r="R41" s="22">
        <f t="shared" si="61"/>
        <v>0</v>
      </c>
      <c r="S41" s="22"/>
      <c r="T41" s="22"/>
      <c r="U41" s="14"/>
      <c r="V41" s="5" t="str">
        <f t="shared" si="63"/>
        <v>-</v>
      </c>
    </row>
    <row r="42" spans="1:22" ht="25.15" customHeight="1" x14ac:dyDescent="0.6">
      <c r="A42" s="30" t="s">
        <v>8</v>
      </c>
      <c r="B42" s="22"/>
      <c r="C42" s="22">
        <f t="shared" si="52"/>
        <v>0</v>
      </c>
      <c r="D42" s="22"/>
      <c r="E42" s="22"/>
      <c r="F42" s="22">
        <f t="shared" si="53"/>
        <v>0</v>
      </c>
      <c r="G42" s="22"/>
      <c r="H42" s="22"/>
      <c r="I42" s="22">
        <f t="shared" si="55"/>
        <v>0</v>
      </c>
      <c r="J42" s="22"/>
      <c r="K42" s="22"/>
      <c r="L42" s="22">
        <f t="shared" si="57"/>
        <v>0</v>
      </c>
      <c r="M42" s="22"/>
      <c r="N42" s="22"/>
      <c r="O42" s="22">
        <f t="shared" si="59"/>
        <v>0</v>
      </c>
      <c r="P42" s="22"/>
      <c r="Q42" s="22"/>
      <c r="R42" s="22">
        <f t="shared" si="61"/>
        <v>0</v>
      </c>
      <c r="S42" s="22"/>
      <c r="T42" s="22"/>
      <c r="U42" s="14"/>
      <c r="V42" s="5" t="str">
        <f t="shared" si="63"/>
        <v>-</v>
      </c>
    </row>
    <row r="43" spans="1:22" ht="25.15" customHeight="1" x14ac:dyDescent="0.6">
      <c r="A43" s="18" t="s">
        <v>26</v>
      </c>
      <c r="B43" s="23">
        <f>B44+B51</f>
        <v>0</v>
      </c>
      <c r="C43" s="23">
        <f t="shared" ref="C43:C57" si="94">D43+E43</f>
        <v>0</v>
      </c>
      <c r="D43" s="23">
        <f>D44+D51</f>
        <v>0</v>
      </c>
      <c r="E43" s="23">
        <f>E44+E51</f>
        <v>0</v>
      </c>
      <c r="F43" s="23">
        <f t="shared" ref="F43:F57" si="95">G43+H43</f>
        <v>0</v>
      </c>
      <c r="G43" s="23">
        <f t="shared" ref="G43:H43" si="96">G44+G51</f>
        <v>0</v>
      </c>
      <c r="H43" s="23">
        <f t="shared" si="96"/>
        <v>0</v>
      </c>
      <c r="I43" s="23">
        <f t="shared" ref="I43:I57" si="97">J43+K43</f>
        <v>0</v>
      </c>
      <c r="J43" s="23">
        <f t="shared" ref="J43:K43" si="98">J44+J51</f>
        <v>0</v>
      </c>
      <c r="K43" s="23">
        <f t="shared" si="98"/>
        <v>0</v>
      </c>
      <c r="L43" s="23">
        <f t="shared" ref="L43:L57" si="99">M43+N43</f>
        <v>0</v>
      </c>
      <c r="M43" s="23">
        <f t="shared" ref="M43:N43" si="100">M44+M51</f>
        <v>0</v>
      </c>
      <c r="N43" s="23">
        <f t="shared" si="100"/>
        <v>0</v>
      </c>
      <c r="O43" s="23">
        <f t="shared" ref="O43:O57" si="101">P43+Q43</f>
        <v>0</v>
      </c>
      <c r="P43" s="23">
        <f t="shared" ref="P43:Q43" si="102">P44+P51</f>
        <v>0</v>
      </c>
      <c r="Q43" s="23">
        <f t="shared" si="102"/>
        <v>0</v>
      </c>
      <c r="R43" s="23">
        <f t="shared" ref="R43:R57" si="103">S43+T43</f>
        <v>0</v>
      </c>
      <c r="S43" s="23">
        <f t="shared" ref="S43:T43" si="104">S44+S51</f>
        <v>0</v>
      </c>
      <c r="T43" s="23">
        <f t="shared" si="104"/>
        <v>0</v>
      </c>
      <c r="U43" s="20"/>
      <c r="V43" s="5" t="str">
        <f t="shared" ref="V43:V57" si="105">IF((B43+C43+F43+L43+O43)&lt;&gt;0,"ok","-")</f>
        <v>-</v>
      </c>
    </row>
    <row r="44" spans="1:22" ht="25.15" customHeight="1" x14ac:dyDescent="0.6">
      <c r="A44" s="25" t="s">
        <v>2</v>
      </c>
      <c r="B44" s="26">
        <f>B45+B48</f>
        <v>0</v>
      </c>
      <c r="C44" s="26">
        <f t="shared" si="94"/>
        <v>0</v>
      </c>
      <c r="D44" s="26">
        <f>D45+D48</f>
        <v>0</v>
      </c>
      <c r="E44" s="26">
        <f>E45+E48</f>
        <v>0</v>
      </c>
      <c r="F44" s="26">
        <f t="shared" si="95"/>
        <v>0</v>
      </c>
      <c r="G44" s="26">
        <f t="shared" ref="G44:H44" si="106">G45+G48</f>
        <v>0</v>
      </c>
      <c r="H44" s="26">
        <f t="shared" si="106"/>
        <v>0</v>
      </c>
      <c r="I44" s="26">
        <f t="shared" si="97"/>
        <v>0</v>
      </c>
      <c r="J44" s="26">
        <f t="shared" ref="J44:K44" si="107">J45+J48</f>
        <v>0</v>
      </c>
      <c r="K44" s="26">
        <f t="shared" si="107"/>
        <v>0</v>
      </c>
      <c r="L44" s="26">
        <f t="shared" si="99"/>
        <v>0</v>
      </c>
      <c r="M44" s="26">
        <f t="shared" ref="M44:N44" si="108">M45+M48</f>
        <v>0</v>
      </c>
      <c r="N44" s="26">
        <f t="shared" si="108"/>
        <v>0</v>
      </c>
      <c r="O44" s="26">
        <f t="shared" si="101"/>
        <v>0</v>
      </c>
      <c r="P44" s="26">
        <f t="shared" ref="P44:Q44" si="109">P45+P48</f>
        <v>0</v>
      </c>
      <c r="Q44" s="26">
        <f t="shared" si="109"/>
        <v>0</v>
      </c>
      <c r="R44" s="26">
        <f t="shared" si="103"/>
        <v>0</v>
      </c>
      <c r="S44" s="26">
        <f t="shared" ref="S44:T44" si="110">S45+S48</f>
        <v>0</v>
      </c>
      <c r="T44" s="26">
        <f t="shared" si="110"/>
        <v>0</v>
      </c>
      <c r="U44" s="27"/>
      <c r="V44" s="5" t="str">
        <f t="shared" si="105"/>
        <v>-</v>
      </c>
    </row>
    <row r="45" spans="1:22" ht="25.15" customHeight="1" x14ac:dyDescent="0.6">
      <c r="A45" s="28" t="s">
        <v>3</v>
      </c>
      <c r="B45" s="26">
        <f>SUM(B46:B47)</f>
        <v>0</v>
      </c>
      <c r="C45" s="26">
        <f t="shared" si="94"/>
        <v>0</v>
      </c>
      <c r="D45" s="26">
        <f>SUM(D46:D47)</f>
        <v>0</v>
      </c>
      <c r="E45" s="26">
        <f>SUM(E46:E47)</f>
        <v>0</v>
      </c>
      <c r="F45" s="26">
        <f t="shared" si="95"/>
        <v>0</v>
      </c>
      <c r="G45" s="26">
        <f t="shared" ref="G45:H45" si="111">SUM(G46:G47)</f>
        <v>0</v>
      </c>
      <c r="H45" s="26">
        <f t="shared" si="111"/>
        <v>0</v>
      </c>
      <c r="I45" s="26">
        <f t="shared" si="97"/>
        <v>0</v>
      </c>
      <c r="J45" s="26">
        <f t="shared" ref="J45:K45" si="112">SUM(J46:J47)</f>
        <v>0</v>
      </c>
      <c r="K45" s="26">
        <f t="shared" si="112"/>
        <v>0</v>
      </c>
      <c r="L45" s="26">
        <f t="shared" si="99"/>
        <v>0</v>
      </c>
      <c r="M45" s="26">
        <f t="shared" ref="M45:N45" si="113">SUM(M46:M47)</f>
        <v>0</v>
      </c>
      <c r="N45" s="26">
        <f t="shared" si="113"/>
        <v>0</v>
      </c>
      <c r="O45" s="26">
        <f t="shared" si="101"/>
        <v>0</v>
      </c>
      <c r="P45" s="26">
        <f t="shared" ref="P45:Q45" si="114">SUM(P46:P47)</f>
        <v>0</v>
      </c>
      <c r="Q45" s="26">
        <f t="shared" si="114"/>
        <v>0</v>
      </c>
      <c r="R45" s="26">
        <f t="shared" si="103"/>
        <v>0</v>
      </c>
      <c r="S45" s="26">
        <f t="shared" ref="S45:T45" si="115">SUM(S46:S47)</f>
        <v>0</v>
      </c>
      <c r="T45" s="26">
        <f t="shared" si="115"/>
        <v>0</v>
      </c>
      <c r="U45" s="29"/>
      <c r="V45" s="5" t="str">
        <f t="shared" si="105"/>
        <v>-</v>
      </c>
    </row>
    <row r="46" spans="1:22" ht="25.15" customHeight="1" x14ac:dyDescent="0.6">
      <c r="A46" s="30" t="s">
        <v>5</v>
      </c>
      <c r="B46" s="22"/>
      <c r="C46" s="22">
        <f t="shared" si="94"/>
        <v>0</v>
      </c>
      <c r="D46" s="22"/>
      <c r="E46" s="22"/>
      <c r="F46" s="22">
        <f t="shared" si="95"/>
        <v>0</v>
      </c>
      <c r="G46" s="22"/>
      <c r="H46" s="22"/>
      <c r="I46" s="22">
        <f t="shared" si="97"/>
        <v>0</v>
      </c>
      <c r="J46" s="22"/>
      <c r="K46" s="22"/>
      <c r="L46" s="22">
        <f t="shared" si="99"/>
        <v>0</v>
      </c>
      <c r="M46" s="22"/>
      <c r="N46" s="22"/>
      <c r="O46" s="22">
        <f t="shared" si="101"/>
        <v>0</v>
      </c>
      <c r="P46" s="22"/>
      <c r="Q46" s="22"/>
      <c r="R46" s="22">
        <f t="shared" si="103"/>
        <v>0</v>
      </c>
      <c r="S46" s="22"/>
      <c r="T46" s="22"/>
      <c r="U46" s="14"/>
      <c r="V46" s="5" t="str">
        <f t="shared" si="105"/>
        <v>-</v>
      </c>
    </row>
    <row r="47" spans="1:22" ht="25.5" customHeight="1" x14ac:dyDescent="0.6">
      <c r="A47" s="30" t="s">
        <v>6</v>
      </c>
      <c r="B47" s="22"/>
      <c r="C47" s="22">
        <f t="shared" si="94"/>
        <v>0</v>
      </c>
      <c r="D47" s="22"/>
      <c r="E47" s="22"/>
      <c r="F47" s="22">
        <f t="shared" si="95"/>
        <v>0</v>
      </c>
      <c r="G47" s="22"/>
      <c r="H47" s="22"/>
      <c r="I47" s="22">
        <f t="shared" si="97"/>
        <v>0</v>
      </c>
      <c r="J47" s="22"/>
      <c r="K47" s="22"/>
      <c r="L47" s="22">
        <f t="shared" si="99"/>
        <v>0</v>
      </c>
      <c r="M47" s="22"/>
      <c r="N47" s="22"/>
      <c r="O47" s="22">
        <f t="shared" si="101"/>
        <v>0</v>
      </c>
      <c r="P47" s="22"/>
      <c r="Q47" s="22"/>
      <c r="R47" s="22">
        <f t="shared" si="103"/>
        <v>0</v>
      </c>
      <c r="S47" s="22"/>
      <c r="T47" s="22"/>
      <c r="U47" s="14"/>
      <c r="V47" s="5" t="str">
        <f t="shared" si="105"/>
        <v>-</v>
      </c>
    </row>
    <row r="48" spans="1:22" ht="25.15" customHeight="1" x14ac:dyDescent="0.6">
      <c r="A48" s="28" t="s">
        <v>4</v>
      </c>
      <c r="B48" s="26">
        <f>SUM(B49:B50)</f>
        <v>0</v>
      </c>
      <c r="C48" s="26">
        <f t="shared" si="94"/>
        <v>0</v>
      </c>
      <c r="D48" s="26">
        <f>SUM(D49:D50)</f>
        <v>0</v>
      </c>
      <c r="E48" s="26">
        <f>SUM(E49:E50)</f>
        <v>0</v>
      </c>
      <c r="F48" s="26">
        <f t="shared" si="95"/>
        <v>0</v>
      </c>
      <c r="G48" s="26">
        <f t="shared" ref="G48:H48" si="116">SUM(G49:G50)</f>
        <v>0</v>
      </c>
      <c r="H48" s="26">
        <f t="shared" si="116"/>
        <v>0</v>
      </c>
      <c r="I48" s="26">
        <f t="shared" si="97"/>
        <v>0</v>
      </c>
      <c r="J48" s="26">
        <f t="shared" ref="J48:K48" si="117">SUM(J49:J50)</f>
        <v>0</v>
      </c>
      <c r="K48" s="26">
        <f t="shared" si="117"/>
        <v>0</v>
      </c>
      <c r="L48" s="26">
        <f t="shared" si="99"/>
        <v>0</v>
      </c>
      <c r="M48" s="26">
        <f t="shared" ref="M48:N48" si="118">SUM(M49:M50)</f>
        <v>0</v>
      </c>
      <c r="N48" s="26">
        <f t="shared" si="118"/>
        <v>0</v>
      </c>
      <c r="O48" s="26">
        <f t="shared" si="101"/>
        <v>0</v>
      </c>
      <c r="P48" s="26">
        <f t="shared" ref="P48:Q48" si="119">SUM(P49:P50)</f>
        <v>0</v>
      </c>
      <c r="Q48" s="26">
        <f t="shared" si="119"/>
        <v>0</v>
      </c>
      <c r="R48" s="26">
        <f t="shared" si="103"/>
        <v>0</v>
      </c>
      <c r="S48" s="26">
        <f t="shared" ref="S48:T48" si="120">SUM(S49:S50)</f>
        <v>0</v>
      </c>
      <c r="T48" s="26">
        <f t="shared" si="120"/>
        <v>0</v>
      </c>
      <c r="U48" s="29"/>
      <c r="V48" s="5" t="str">
        <f t="shared" si="105"/>
        <v>-</v>
      </c>
    </row>
    <row r="49" spans="1:22" ht="25.15" customHeight="1" x14ac:dyDescent="0.6">
      <c r="A49" s="30" t="s">
        <v>7</v>
      </c>
      <c r="B49" s="22"/>
      <c r="C49" s="22">
        <f t="shared" si="94"/>
        <v>0</v>
      </c>
      <c r="D49" s="22"/>
      <c r="E49" s="22"/>
      <c r="F49" s="22">
        <f t="shared" si="95"/>
        <v>0</v>
      </c>
      <c r="G49" s="22"/>
      <c r="H49" s="22"/>
      <c r="I49" s="22">
        <f t="shared" si="97"/>
        <v>0</v>
      </c>
      <c r="J49" s="22"/>
      <c r="K49" s="22"/>
      <c r="L49" s="22">
        <f t="shared" si="99"/>
        <v>0</v>
      </c>
      <c r="M49" s="22"/>
      <c r="N49" s="22"/>
      <c r="O49" s="22">
        <f t="shared" si="101"/>
        <v>0</v>
      </c>
      <c r="P49" s="22"/>
      <c r="Q49" s="22"/>
      <c r="R49" s="22">
        <f t="shared" si="103"/>
        <v>0</v>
      </c>
      <c r="S49" s="22"/>
      <c r="T49" s="22"/>
      <c r="U49" s="14"/>
      <c r="V49" s="5" t="str">
        <f t="shared" si="105"/>
        <v>-</v>
      </c>
    </row>
    <row r="50" spans="1:22" ht="25.15" customHeight="1" x14ac:dyDescent="0.6">
      <c r="A50" s="30" t="s">
        <v>8</v>
      </c>
      <c r="B50" s="22"/>
      <c r="C50" s="22">
        <f t="shared" si="94"/>
        <v>0</v>
      </c>
      <c r="D50" s="22"/>
      <c r="E50" s="22"/>
      <c r="F50" s="22">
        <f t="shared" si="95"/>
        <v>0</v>
      </c>
      <c r="G50" s="22"/>
      <c r="H50" s="22"/>
      <c r="I50" s="22">
        <f t="shared" si="97"/>
        <v>0</v>
      </c>
      <c r="J50" s="22"/>
      <c r="K50" s="22"/>
      <c r="L50" s="22">
        <f t="shared" si="99"/>
        <v>0</v>
      </c>
      <c r="M50" s="22"/>
      <c r="N50" s="22"/>
      <c r="O50" s="22">
        <f t="shared" si="101"/>
        <v>0</v>
      </c>
      <c r="P50" s="22"/>
      <c r="Q50" s="22"/>
      <c r="R50" s="22">
        <f t="shared" si="103"/>
        <v>0</v>
      </c>
      <c r="S50" s="22"/>
      <c r="T50" s="22"/>
      <c r="U50" s="14"/>
      <c r="V50" s="5" t="str">
        <f t="shared" si="105"/>
        <v>-</v>
      </c>
    </row>
    <row r="51" spans="1:22" ht="25.15" customHeight="1" x14ac:dyDescent="0.6">
      <c r="A51" s="25" t="s">
        <v>9</v>
      </c>
      <c r="B51" s="26">
        <f>B52+B55</f>
        <v>0</v>
      </c>
      <c r="C51" s="26">
        <f t="shared" si="94"/>
        <v>0</v>
      </c>
      <c r="D51" s="26">
        <f>D52+D55</f>
        <v>0</v>
      </c>
      <c r="E51" s="26">
        <f>E52+E55</f>
        <v>0</v>
      </c>
      <c r="F51" s="26">
        <f t="shared" si="95"/>
        <v>0</v>
      </c>
      <c r="G51" s="26">
        <f t="shared" ref="G51:H51" si="121">G52+G55</f>
        <v>0</v>
      </c>
      <c r="H51" s="26">
        <f t="shared" si="121"/>
        <v>0</v>
      </c>
      <c r="I51" s="26">
        <f t="shared" si="97"/>
        <v>0</v>
      </c>
      <c r="J51" s="26">
        <f t="shared" ref="J51:K51" si="122">J52+J55</f>
        <v>0</v>
      </c>
      <c r="K51" s="26">
        <f t="shared" si="122"/>
        <v>0</v>
      </c>
      <c r="L51" s="26">
        <f t="shared" si="99"/>
        <v>0</v>
      </c>
      <c r="M51" s="26">
        <f t="shared" ref="M51:N51" si="123">M52+M55</f>
        <v>0</v>
      </c>
      <c r="N51" s="26">
        <f t="shared" si="123"/>
        <v>0</v>
      </c>
      <c r="O51" s="26">
        <f t="shared" si="101"/>
        <v>0</v>
      </c>
      <c r="P51" s="26">
        <f t="shared" ref="P51:Q51" si="124">P52+P55</f>
        <v>0</v>
      </c>
      <c r="Q51" s="26">
        <f t="shared" si="124"/>
        <v>0</v>
      </c>
      <c r="R51" s="26">
        <f t="shared" si="103"/>
        <v>0</v>
      </c>
      <c r="S51" s="26">
        <f t="shared" ref="S51:T51" si="125">S52+S55</f>
        <v>0</v>
      </c>
      <c r="T51" s="26">
        <f t="shared" si="125"/>
        <v>0</v>
      </c>
      <c r="U51" s="27"/>
      <c r="V51" s="5" t="str">
        <f t="shared" si="105"/>
        <v>-</v>
      </c>
    </row>
    <row r="52" spans="1:22" ht="25.15" customHeight="1" x14ac:dyDescent="0.6">
      <c r="A52" s="28" t="s">
        <v>3</v>
      </c>
      <c r="B52" s="26">
        <f>SUM(B53:B54)</f>
        <v>0</v>
      </c>
      <c r="C52" s="26">
        <f t="shared" si="94"/>
        <v>0</v>
      </c>
      <c r="D52" s="26">
        <f>SUM(D53:D54)</f>
        <v>0</v>
      </c>
      <c r="E52" s="26">
        <f>SUM(E53:E54)</f>
        <v>0</v>
      </c>
      <c r="F52" s="26">
        <f t="shared" si="95"/>
        <v>0</v>
      </c>
      <c r="G52" s="26">
        <f t="shared" ref="G52:H52" si="126">SUM(G53:G54)</f>
        <v>0</v>
      </c>
      <c r="H52" s="26">
        <f t="shared" si="126"/>
        <v>0</v>
      </c>
      <c r="I52" s="26">
        <f t="shared" si="97"/>
        <v>0</v>
      </c>
      <c r="J52" s="26">
        <f t="shared" ref="J52:K52" si="127">SUM(J53:J54)</f>
        <v>0</v>
      </c>
      <c r="K52" s="26">
        <f t="shared" si="127"/>
        <v>0</v>
      </c>
      <c r="L52" s="26">
        <f t="shared" si="99"/>
        <v>0</v>
      </c>
      <c r="M52" s="26">
        <f t="shared" ref="M52:N52" si="128">SUM(M53:M54)</f>
        <v>0</v>
      </c>
      <c r="N52" s="26">
        <f t="shared" si="128"/>
        <v>0</v>
      </c>
      <c r="O52" s="26">
        <f t="shared" si="101"/>
        <v>0</v>
      </c>
      <c r="P52" s="26">
        <f t="shared" ref="P52:Q52" si="129">SUM(P53:P54)</f>
        <v>0</v>
      </c>
      <c r="Q52" s="26">
        <f t="shared" si="129"/>
        <v>0</v>
      </c>
      <c r="R52" s="26">
        <f t="shared" si="103"/>
        <v>0</v>
      </c>
      <c r="S52" s="26">
        <f t="shared" ref="S52:T52" si="130">SUM(S53:S54)</f>
        <v>0</v>
      </c>
      <c r="T52" s="26">
        <f t="shared" si="130"/>
        <v>0</v>
      </c>
      <c r="U52" s="29"/>
      <c r="V52" s="5" t="str">
        <f t="shared" si="105"/>
        <v>-</v>
      </c>
    </row>
    <row r="53" spans="1:22" ht="25.15" customHeight="1" x14ac:dyDescent="0.6">
      <c r="A53" s="30" t="s">
        <v>5</v>
      </c>
      <c r="B53" s="22"/>
      <c r="C53" s="22">
        <f t="shared" si="94"/>
        <v>0</v>
      </c>
      <c r="D53" s="22"/>
      <c r="E53" s="22"/>
      <c r="F53" s="22">
        <f t="shared" si="95"/>
        <v>0</v>
      </c>
      <c r="G53" s="22"/>
      <c r="H53" s="22"/>
      <c r="I53" s="22">
        <f t="shared" si="97"/>
        <v>0</v>
      </c>
      <c r="J53" s="22"/>
      <c r="K53" s="22"/>
      <c r="L53" s="22">
        <f t="shared" si="99"/>
        <v>0</v>
      </c>
      <c r="M53" s="22"/>
      <c r="N53" s="22"/>
      <c r="O53" s="22">
        <f t="shared" si="101"/>
        <v>0</v>
      </c>
      <c r="P53" s="22"/>
      <c r="Q53" s="22"/>
      <c r="R53" s="22">
        <f t="shared" si="103"/>
        <v>0</v>
      </c>
      <c r="S53" s="22"/>
      <c r="T53" s="22"/>
      <c r="U53" s="14"/>
      <c r="V53" s="5" t="str">
        <f t="shared" si="105"/>
        <v>-</v>
      </c>
    </row>
    <row r="54" spans="1:22" ht="25.15" customHeight="1" x14ac:dyDescent="0.6">
      <c r="A54" s="30" t="s">
        <v>6</v>
      </c>
      <c r="B54" s="22"/>
      <c r="C54" s="22">
        <f t="shared" si="94"/>
        <v>0</v>
      </c>
      <c r="D54" s="22"/>
      <c r="E54" s="22"/>
      <c r="F54" s="22">
        <f t="shared" si="95"/>
        <v>0</v>
      </c>
      <c r="G54" s="22"/>
      <c r="H54" s="22"/>
      <c r="I54" s="22">
        <f t="shared" si="97"/>
        <v>0</v>
      </c>
      <c r="J54" s="22"/>
      <c r="K54" s="22"/>
      <c r="L54" s="22">
        <f t="shared" si="99"/>
        <v>0</v>
      </c>
      <c r="M54" s="22"/>
      <c r="N54" s="22"/>
      <c r="O54" s="22">
        <f t="shared" si="101"/>
        <v>0</v>
      </c>
      <c r="P54" s="22"/>
      <c r="Q54" s="22"/>
      <c r="R54" s="22">
        <f t="shared" si="103"/>
        <v>0</v>
      </c>
      <c r="S54" s="22"/>
      <c r="T54" s="22"/>
      <c r="U54" s="14"/>
      <c r="V54" s="5" t="str">
        <f t="shared" si="105"/>
        <v>-</v>
      </c>
    </row>
    <row r="55" spans="1:22" ht="25.15" customHeight="1" x14ac:dyDescent="0.6">
      <c r="A55" s="28" t="s">
        <v>4</v>
      </c>
      <c r="B55" s="26">
        <f>SUM(B56:B57)</f>
        <v>0</v>
      </c>
      <c r="C55" s="26">
        <f t="shared" si="94"/>
        <v>0</v>
      </c>
      <c r="D55" s="26">
        <f>SUM(D56:D57)</f>
        <v>0</v>
      </c>
      <c r="E55" s="26">
        <f>SUM(E56:E57)</f>
        <v>0</v>
      </c>
      <c r="F55" s="26">
        <f t="shared" si="95"/>
        <v>0</v>
      </c>
      <c r="G55" s="26">
        <f t="shared" ref="G55:H55" si="131">SUM(G56:G57)</f>
        <v>0</v>
      </c>
      <c r="H55" s="26">
        <f t="shared" si="131"/>
        <v>0</v>
      </c>
      <c r="I55" s="26">
        <f t="shared" si="97"/>
        <v>0</v>
      </c>
      <c r="J55" s="26">
        <f t="shared" ref="J55:K55" si="132">SUM(J56:J57)</f>
        <v>0</v>
      </c>
      <c r="K55" s="26">
        <f t="shared" si="132"/>
        <v>0</v>
      </c>
      <c r="L55" s="26">
        <f t="shared" si="99"/>
        <v>0</v>
      </c>
      <c r="M55" s="26">
        <f t="shared" ref="M55:N55" si="133">SUM(M56:M57)</f>
        <v>0</v>
      </c>
      <c r="N55" s="26">
        <f t="shared" si="133"/>
        <v>0</v>
      </c>
      <c r="O55" s="26">
        <f t="shared" si="101"/>
        <v>0</v>
      </c>
      <c r="P55" s="26">
        <f t="shared" ref="P55:Q55" si="134">SUM(P56:P57)</f>
        <v>0</v>
      </c>
      <c r="Q55" s="26">
        <f t="shared" si="134"/>
        <v>0</v>
      </c>
      <c r="R55" s="26">
        <f t="shared" si="103"/>
        <v>0</v>
      </c>
      <c r="S55" s="26">
        <f t="shared" ref="S55:T55" si="135">SUM(S56:S57)</f>
        <v>0</v>
      </c>
      <c r="T55" s="26">
        <f t="shared" si="135"/>
        <v>0</v>
      </c>
      <c r="U55" s="29"/>
      <c r="V55" s="5" t="str">
        <f t="shared" si="105"/>
        <v>-</v>
      </c>
    </row>
    <row r="56" spans="1:22" ht="25.15" customHeight="1" x14ac:dyDescent="0.6">
      <c r="A56" s="30" t="s">
        <v>7</v>
      </c>
      <c r="B56" s="22"/>
      <c r="C56" s="22">
        <f t="shared" si="94"/>
        <v>0</v>
      </c>
      <c r="D56" s="22"/>
      <c r="E56" s="22"/>
      <c r="F56" s="22">
        <f t="shared" si="95"/>
        <v>0</v>
      </c>
      <c r="G56" s="22"/>
      <c r="H56" s="22"/>
      <c r="I56" s="22">
        <f t="shared" si="97"/>
        <v>0</v>
      </c>
      <c r="J56" s="22"/>
      <c r="K56" s="22"/>
      <c r="L56" s="22">
        <f t="shared" si="99"/>
        <v>0</v>
      </c>
      <c r="M56" s="22"/>
      <c r="N56" s="22"/>
      <c r="O56" s="22">
        <f t="shared" si="101"/>
        <v>0</v>
      </c>
      <c r="P56" s="22"/>
      <c r="Q56" s="22"/>
      <c r="R56" s="22">
        <f t="shared" si="103"/>
        <v>0</v>
      </c>
      <c r="S56" s="22"/>
      <c r="T56" s="22"/>
      <c r="U56" s="14"/>
      <c r="V56" s="5" t="str">
        <f t="shared" si="105"/>
        <v>-</v>
      </c>
    </row>
    <row r="57" spans="1:22" ht="25.15" customHeight="1" x14ac:dyDescent="0.6">
      <c r="A57" s="30" t="s">
        <v>8</v>
      </c>
      <c r="B57" s="22"/>
      <c r="C57" s="22">
        <f t="shared" si="94"/>
        <v>0</v>
      </c>
      <c r="D57" s="22"/>
      <c r="E57" s="22"/>
      <c r="F57" s="22">
        <f t="shared" si="95"/>
        <v>0</v>
      </c>
      <c r="G57" s="22"/>
      <c r="H57" s="22"/>
      <c r="I57" s="22">
        <f t="shared" si="97"/>
        <v>0</v>
      </c>
      <c r="J57" s="22"/>
      <c r="K57" s="22"/>
      <c r="L57" s="22">
        <f t="shared" si="99"/>
        <v>0</v>
      </c>
      <c r="M57" s="22"/>
      <c r="N57" s="22"/>
      <c r="O57" s="22">
        <f t="shared" si="101"/>
        <v>0</v>
      </c>
      <c r="P57" s="22"/>
      <c r="Q57" s="22"/>
      <c r="R57" s="22">
        <f t="shared" si="103"/>
        <v>0</v>
      </c>
      <c r="S57" s="22"/>
      <c r="T57" s="22"/>
      <c r="U57" s="14"/>
      <c r="V57" s="5" t="str">
        <f t="shared" si="105"/>
        <v>-</v>
      </c>
    </row>
    <row r="58" spans="1:22" ht="25.15" customHeight="1" x14ac:dyDescent="0.6">
      <c r="A58" s="17" t="s">
        <v>27</v>
      </c>
      <c r="B58" s="21">
        <f>B59</f>
        <v>0</v>
      </c>
      <c r="C58" s="21">
        <f>D58+E58</f>
        <v>0</v>
      </c>
      <c r="D58" s="21">
        <f>D59+D74+D89</f>
        <v>0</v>
      </c>
      <c r="E58" s="21">
        <f>E59+E74+E89</f>
        <v>0</v>
      </c>
      <c r="F58" s="21">
        <f>G58+H58</f>
        <v>0</v>
      </c>
      <c r="G58" s="21">
        <f>G59+G74+G89</f>
        <v>0</v>
      </c>
      <c r="H58" s="21">
        <f>H59+H74+H89</f>
        <v>0</v>
      </c>
      <c r="I58" s="21">
        <f>J58+K58</f>
        <v>0</v>
      </c>
      <c r="J58" s="21">
        <f>J59+J74+J89</f>
        <v>0</v>
      </c>
      <c r="K58" s="21">
        <f>K59+K74+K89</f>
        <v>0</v>
      </c>
      <c r="L58" s="21">
        <f>M58+N58</f>
        <v>0</v>
      </c>
      <c r="M58" s="21">
        <f>M59+M74+M89</f>
        <v>0</v>
      </c>
      <c r="N58" s="21">
        <f>N59+N74+N89</f>
        <v>0</v>
      </c>
      <c r="O58" s="21">
        <f>P58+Q58</f>
        <v>0</v>
      </c>
      <c r="P58" s="21">
        <f>P59+P74+P89</f>
        <v>0</v>
      </c>
      <c r="Q58" s="21">
        <f>Q59+Q74+Q89</f>
        <v>0</v>
      </c>
      <c r="R58" s="21">
        <f>S58+T58</f>
        <v>0</v>
      </c>
      <c r="S58" s="21">
        <f>S59+S74+S89</f>
        <v>0</v>
      </c>
      <c r="T58" s="21">
        <f>T59+T74+T89</f>
        <v>0</v>
      </c>
      <c r="U58" s="19"/>
      <c r="V58" s="5" t="str">
        <f>IF((B58+C58+F58+L58+O58)&lt;&gt;0,"ok","-")</f>
        <v>-</v>
      </c>
    </row>
    <row r="59" spans="1:22" ht="25.15" customHeight="1" x14ac:dyDescent="0.6">
      <c r="A59" s="18" t="s">
        <v>28</v>
      </c>
      <c r="B59" s="23">
        <f>B60+B67</f>
        <v>0</v>
      </c>
      <c r="C59" s="23">
        <f t="shared" ref="C59:C103" si="136">D59+E59</f>
        <v>0</v>
      </c>
      <c r="D59" s="23">
        <f>D60+D67</f>
        <v>0</v>
      </c>
      <c r="E59" s="23">
        <f>E60+E67</f>
        <v>0</v>
      </c>
      <c r="F59" s="23">
        <f t="shared" ref="F59:F103" si="137">G59+H59</f>
        <v>0</v>
      </c>
      <c r="G59" s="23">
        <f t="shared" ref="G59:H59" si="138">G60+G67</f>
        <v>0</v>
      </c>
      <c r="H59" s="23">
        <f t="shared" si="138"/>
        <v>0</v>
      </c>
      <c r="I59" s="23">
        <f t="shared" ref="I59:I103" si="139">J59+K59</f>
        <v>0</v>
      </c>
      <c r="J59" s="23">
        <f t="shared" ref="J59:K59" si="140">J60+J67</f>
        <v>0</v>
      </c>
      <c r="K59" s="23">
        <f t="shared" si="140"/>
        <v>0</v>
      </c>
      <c r="L59" s="23">
        <f t="shared" ref="L59:L103" si="141">M59+N59</f>
        <v>0</v>
      </c>
      <c r="M59" s="23">
        <f t="shared" ref="M59:N59" si="142">M60+M67</f>
        <v>0</v>
      </c>
      <c r="N59" s="23">
        <f t="shared" si="142"/>
        <v>0</v>
      </c>
      <c r="O59" s="23">
        <f t="shared" ref="O59:O103" si="143">P59+Q59</f>
        <v>0</v>
      </c>
      <c r="P59" s="23">
        <f t="shared" ref="P59:Q59" si="144">P60+P67</f>
        <v>0</v>
      </c>
      <c r="Q59" s="23">
        <f t="shared" si="144"/>
        <v>0</v>
      </c>
      <c r="R59" s="23">
        <f t="shared" ref="R59:R103" si="145">S59+T59</f>
        <v>0</v>
      </c>
      <c r="S59" s="23">
        <f t="shared" ref="S59:T59" si="146">S60+S67</f>
        <v>0</v>
      </c>
      <c r="T59" s="23">
        <f t="shared" si="146"/>
        <v>0</v>
      </c>
      <c r="U59" s="20"/>
      <c r="V59" s="5" t="str">
        <f t="shared" ref="V59:V103" si="147">IF((B59+C59+F59+L59+O59)&lt;&gt;0,"ok","-")</f>
        <v>-</v>
      </c>
    </row>
    <row r="60" spans="1:22" ht="25.15" customHeight="1" x14ac:dyDescent="0.6">
      <c r="A60" s="25" t="s">
        <v>2</v>
      </c>
      <c r="B60" s="26">
        <f>B61+B64</f>
        <v>0</v>
      </c>
      <c r="C60" s="26">
        <f t="shared" si="136"/>
        <v>0</v>
      </c>
      <c r="D60" s="26">
        <f>D61+D64</f>
        <v>0</v>
      </c>
      <c r="E60" s="26">
        <f>E61+E64</f>
        <v>0</v>
      </c>
      <c r="F60" s="26">
        <f t="shared" si="137"/>
        <v>0</v>
      </c>
      <c r="G60" s="26">
        <f t="shared" ref="G60:H60" si="148">G61+G64</f>
        <v>0</v>
      </c>
      <c r="H60" s="26">
        <f t="shared" si="148"/>
        <v>0</v>
      </c>
      <c r="I60" s="26">
        <f t="shared" si="139"/>
        <v>0</v>
      </c>
      <c r="J60" s="26">
        <f t="shared" ref="J60:K60" si="149">J61+J64</f>
        <v>0</v>
      </c>
      <c r="K60" s="26">
        <f t="shared" si="149"/>
        <v>0</v>
      </c>
      <c r="L60" s="26">
        <f t="shared" si="141"/>
        <v>0</v>
      </c>
      <c r="M60" s="26">
        <f t="shared" ref="M60:N60" si="150">M61+M64</f>
        <v>0</v>
      </c>
      <c r="N60" s="26">
        <f t="shared" si="150"/>
        <v>0</v>
      </c>
      <c r="O60" s="26">
        <f t="shared" si="143"/>
        <v>0</v>
      </c>
      <c r="P60" s="26">
        <f t="shared" ref="P60:Q60" si="151">P61+P64</f>
        <v>0</v>
      </c>
      <c r="Q60" s="26">
        <f t="shared" si="151"/>
        <v>0</v>
      </c>
      <c r="R60" s="26">
        <f t="shared" si="145"/>
        <v>0</v>
      </c>
      <c r="S60" s="26">
        <f t="shared" ref="S60:T60" si="152">S61+S64</f>
        <v>0</v>
      </c>
      <c r="T60" s="26">
        <f t="shared" si="152"/>
        <v>0</v>
      </c>
      <c r="U60" s="27"/>
      <c r="V60" s="5" t="str">
        <f t="shared" si="147"/>
        <v>-</v>
      </c>
    </row>
    <row r="61" spans="1:22" ht="25.15" customHeight="1" x14ac:dyDescent="0.6">
      <c r="A61" s="28" t="s">
        <v>3</v>
      </c>
      <c r="B61" s="26">
        <f>SUM(B62:B63)</f>
        <v>0</v>
      </c>
      <c r="C61" s="26">
        <f t="shared" si="136"/>
        <v>0</v>
      </c>
      <c r="D61" s="26">
        <f>SUM(D62:D63)</f>
        <v>0</v>
      </c>
      <c r="E61" s="26">
        <f>SUM(E62:E63)</f>
        <v>0</v>
      </c>
      <c r="F61" s="26">
        <f t="shared" si="137"/>
        <v>0</v>
      </c>
      <c r="G61" s="26">
        <f t="shared" ref="G61:H61" si="153">SUM(G62:G63)</f>
        <v>0</v>
      </c>
      <c r="H61" s="26">
        <f t="shared" si="153"/>
        <v>0</v>
      </c>
      <c r="I61" s="26">
        <f t="shared" si="139"/>
        <v>0</v>
      </c>
      <c r="J61" s="26">
        <f t="shared" ref="J61:K61" si="154">SUM(J62:J63)</f>
        <v>0</v>
      </c>
      <c r="K61" s="26">
        <f t="shared" si="154"/>
        <v>0</v>
      </c>
      <c r="L61" s="26">
        <f t="shared" si="141"/>
        <v>0</v>
      </c>
      <c r="M61" s="26">
        <f t="shared" ref="M61:N61" si="155">SUM(M62:M63)</f>
        <v>0</v>
      </c>
      <c r="N61" s="26">
        <f t="shared" si="155"/>
        <v>0</v>
      </c>
      <c r="O61" s="26">
        <f t="shared" si="143"/>
        <v>0</v>
      </c>
      <c r="P61" s="26">
        <f t="shared" ref="P61:Q61" si="156">SUM(P62:P63)</f>
        <v>0</v>
      </c>
      <c r="Q61" s="26">
        <f t="shared" si="156"/>
        <v>0</v>
      </c>
      <c r="R61" s="26">
        <f t="shared" si="145"/>
        <v>0</v>
      </c>
      <c r="S61" s="26">
        <f t="shared" ref="S61:T61" si="157">SUM(S62:S63)</f>
        <v>0</v>
      </c>
      <c r="T61" s="26">
        <f t="shared" si="157"/>
        <v>0</v>
      </c>
      <c r="U61" s="29"/>
      <c r="V61" s="5" t="str">
        <f t="shared" si="147"/>
        <v>-</v>
      </c>
    </row>
    <row r="62" spans="1:22" ht="25.15" customHeight="1" x14ac:dyDescent="0.6">
      <c r="A62" s="30" t="s">
        <v>5</v>
      </c>
      <c r="B62" s="22"/>
      <c r="C62" s="22">
        <f t="shared" si="136"/>
        <v>0</v>
      </c>
      <c r="D62" s="22"/>
      <c r="E62" s="22"/>
      <c r="F62" s="22">
        <f t="shared" si="137"/>
        <v>0</v>
      </c>
      <c r="G62" s="22"/>
      <c r="H62" s="22"/>
      <c r="I62" s="22">
        <f t="shared" si="139"/>
        <v>0</v>
      </c>
      <c r="J62" s="22"/>
      <c r="K62" s="22"/>
      <c r="L62" s="22">
        <f t="shared" si="141"/>
        <v>0</v>
      </c>
      <c r="M62" s="22"/>
      <c r="N62" s="22"/>
      <c r="O62" s="22">
        <f t="shared" si="143"/>
        <v>0</v>
      </c>
      <c r="P62" s="22"/>
      <c r="Q62" s="22"/>
      <c r="R62" s="22">
        <f t="shared" si="145"/>
        <v>0</v>
      </c>
      <c r="S62" s="22"/>
      <c r="T62" s="22"/>
      <c r="U62" s="14"/>
      <c r="V62" s="5" t="str">
        <f t="shared" si="147"/>
        <v>-</v>
      </c>
    </row>
    <row r="63" spans="1:22" ht="25.5" customHeight="1" x14ac:dyDescent="0.6">
      <c r="A63" s="30" t="s">
        <v>6</v>
      </c>
      <c r="B63" s="22"/>
      <c r="C63" s="22">
        <f t="shared" si="136"/>
        <v>0</v>
      </c>
      <c r="D63" s="22"/>
      <c r="E63" s="22"/>
      <c r="F63" s="22">
        <f t="shared" si="137"/>
        <v>0</v>
      </c>
      <c r="G63" s="22"/>
      <c r="H63" s="22"/>
      <c r="I63" s="22">
        <f t="shared" si="139"/>
        <v>0</v>
      </c>
      <c r="J63" s="22"/>
      <c r="K63" s="22"/>
      <c r="L63" s="22">
        <f t="shared" si="141"/>
        <v>0</v>
      </c>
      <c r="M63" s="22"/>
      <c r="N63" s="22"/>
      <c r="O63" s="22">
        <f t="shared" si="143"/>
        <v>0</v>
      </c>
      <c r="P63" s="22"/>
      <c r="Q63" s="22"/>
      <c r="R63" s="22">
        <f t="shared" si="145"/>
        <v>0</v>
      </c>
      <c r="S63" s="22"/>
      <c r="T63" s="22"/>
      <c r="U63" s="14"/>
      <c r="V63" s="5" t="str">
        <f t="shared" si="147"/>
        <v>-</v>
      </c>
    </row>
    <row r="64" spans="1:22" ht="25.15" customHeight="1" x14ac:dyDescent="0.6">
      <c r="A64" s="28" t="s">
        <v>4</v>
      </c>
      <c r="B64" s="26">
        <f>SUM(B65:B66)</f>
        <v>0</v>
      </c>
      <c r="C64" s="26">
        <f t="shared" si="136"/>
        <v>0</v>
      </c>
      <c r="D64" s="26">
        <f>SUM(D65:D66)</f>
        <v>0</v>
      </c>
      <c r="E64" s="26">
        <f>SUM(E65:E66)</f>
        <v>0</v>
      </c>
      <c r="F64" s="26">
        <f t="shared" si="137"/>
        <v>0</v>
      </c>
      <c r="G64" s="26">
        <f t="shared" ref="G64:H64" si="158">SUM(G65:G66)</f>
        <v>0</v>
      </c>
      <c r="H64" s="26">
        <f t="shared" si="158"/>
        <v>0</v>
      </c>
      <c r="I64" s="26">
        <f t="shared" si="139"/>
        <v>0</v>
      </c>
      <c r="J64" s="26">
        <f t="shared" ref="J64:K64" si="159">SUM(J65:J66)</f>
        <v>0</v>
      </c>
      <c r="K64" s="26">
        <f t="shared" si="159"/>
        <v>0</v>
      </c>
      <c r="L64" s="26">
        <f t="shared" si="141"/>
        <v>0</v>
      </c>
      <c r="M64" s="26">
        <f t="shared" ref="M64:N64" si="160">SUM(M65:M66)</f>
        <v>0</v>
      </c>
      <c r="N64" s="26">
        <f t="shared" si="160"/>
        <v>0</v>
      </c>
      <c r="O64" s="26">
        <f t="shared" si="143"/>
        <v>0</v>
      </c>
      <c r="P64" s="26">
        <f t="shared" ref="P64:Q64" si="161">SUM(P65:P66)</f>
        <v>0</v>
      </c>
      <c r="Q64" s="26">
        <f t="shared" si="161"/>
        <v>0</v>
      </c>
      <c r="R64" s="26">
        <f t="shared" si="145"/>
        <v>0</v>
      </c>
      <c r="S64" s="26">
        <f t="shared" ref="S64:T64" si="162">SUM(S65:S66)</f>
        <v>0</v>
      </c>
      <c r="T64" s="26">
        <f t="shared" si="162"/>
        <v>0</v>
      </c>
      <c r="U64" s="29"/>
      <c r="V64" s="5" t="str">
        <f t="shared" si="147"/>
        <v>-</v>
      </c>
    </row>
    <row r="65" spans="1:22" ht="25.15" customHeight="1" x14ac:dyDescent="0.6">
      <c r="A65" s="30" t="s">
        <v>7</v>
      </c>
      <c r="B65" s="22"/>
      <c r="C65" s="22">
        <f t="shared" si="136"/>
        <v>0</v>
      </c>
      <c r="D65" s="22"/>
      <c r="E65" s="22"/>
      <c r="F65" s="22">
        <f t="shared" si="137"/>
        <v>0</v>
      </c>
      <c r="G65" s="22"/>
      <c r="H65" s="22"/>
      <c r="I65" s="22">
        <f t="shared" si="139"/>
        <v>0</v>
      </c>
      <c r="J65" s="22"/>
      <c r="K65" s="22"/>
      <c r="L65" s="22">
        <f t="shared" si="141"/>
        <v>0</v>
      </c>
      <c r="M65" s="22"/>
      <c r="N65" s="22"/>
      <c r="O65" s="22">
        <f t="shared" si="143"/>
        <v>0</v>
      </c>
      <c r="P65" s="22"/>
      <c r="Q65" s="22"/>
      <c r="R65" s="22">
        <f t="shared" si="145"/>
        <v>0</v>
      </c>
      <c r="S65" s="22"/>
      <c r="T65" s="22"/>
      <c r="U65" s="14"/>
      <c r="V65" s="5" t="str">
        <f t="shared" si="147"/>
        <v>-</v>
      </c>
    </row>
    <row r="66" spans="1:22" ht="25.15" customHeight="1" x14ac:dyDescent="0.6">
      <c r="A66" s="30" t="s">
        <v>8</v>
      </c>
      <c r="B66" s="22"/>
      <c r="C66" s="22">
        <f t="shared" si="136"/>
        <v>0</v>
      </c>
      <c r="D66" s="22"/>
      <c r="E66" s="22"/>
      <c r="F66" s="22">
        <f t="shared" si="137"/>
        <v>0</v>
      </c>
      <c r="G66" s="22"/>
      <c r="H66" s="22"/>
      <c r="I66" s="22">
        <f t="shared" si="139"/>
        <v>0</v>
      </c>
      <c r="J66" s="22"/>
      <c r="K66" s="22"/>
      <c r="L66" s="22">
        <f t="shared" si="141"/>
        <v>0</v>
      </c>
      <c r="M66" s="22"/>
      <c r="N66" s="22"/>
      <c r="O66" s="22">
        <f t="shared" si="143"/>
        <v>0</v>
      </c>
      <c r="P66" s="22"/>
      <c r="Q66" s="22"/>
      <c r="R66" s="22">
        <f t="shared" si="145"/>
        <v>0</v>
      </c>
      <c r="S66" s="22"/>
      <c r="T66" s="22"/>
      <c r="U66" s="14"/>
      <c r="V66" s="5" t="str">
        <f t="shared" si="147"/>
        <v>-</v>
      </c>
    </row>
    <row r="67" spans="1:22" ht="25.15" customHeight="1" x14ac:dyDescent="0.6">
      <c r="A67" s="25" t="s">
        <v>9</v>
      </c>
      <c r="B67" s="26">
        <f>B68+B71</f>
        <v>0</v>
      </c>
      <c r="C67" s="26">
        <f t="shared" si="136"/>
        <v>0</v>
      </c>
      <c r="D67" s="26">
        <f>D68+D71</f>
        <v>0</v>
      </c>
      <c r="E67" s="26">
        <f>E68+E71</f>
        <v>0</v>
      </c>
      <c r="F67" s="26">
        <f t="shared" si="137"/>
        <v>0</v>
      </c>
      <c r="G67" s="26">
        <f t="shared" ref="G67:H67" si="163">G68+G71</f>
        <v>0</v>
      </c>
      <c r="H67" s="26">
        <f t="shared" si="163"/>
        <v>0</v>
      </c>
      <c r="I67" s="26">
        <f t="shared" si="139"/>
        <v>0</v>
      </c>
      <c r="J67" s="26">
        <f t="shared" ref="J67:K67" si="164">J68+J71</f>
        <v>0</v>
      </c>
      <c r="K67" s="26">
        <f t="shared" si="164"/>
        <v>0</v>
      </c>
      <c r="L67" s="26">
        <f t="shared" si="141"/>
        <v>0</v>
      </c>
      <c r="M67" s="26">
        <f t="shared" ref="M67:N67" si="165">M68+M71</f>
        <v>0</v>
      </c>
      <c r="N67" s="26">
        <f t="shared" si="165"/>
        <v>0</v>
      </c>
      <c r="O67" s="26">
        <f t="shared" si="143"/>
        <v>0</v>
      </c>
      <c r="P67" s="26">
        <f t="shared" ref="P67:Q67" si="166">P68+P71</f>
        <v>0</v>
      </c>
      <c r="Q67" s="26">
        <f t="shared" si="166"/>
        <v>0</v>
      </c>
      <c r="R67" s="26">
        <f t="shared" si="145"/>
        <v>0</v>
      </c>
      <c r="S67" s="26">
        <f t="shared" ref="S67:T67" si="167">S68+S71</f>
        <v>0</v>
      </c>
      <c r="T67" s="26">
        <f t="shared" si="167"/>
        <v>0</v>
      </c>
      <c r="U67" s="27"/>
      <c r="V67" s="5" t="str">
        <f t="shared" si="147"/>
        <v>-</v>
      </c>
    </row>
    <row r="68" spans="1:22" ht="25.15" customHeight="1" x14ac:dyDescent="0.6">
      <c r="A68" s="28" t="s">
        <v>3</v>
      </c>
      <c r="B68" s="26">
        <f>SUM(B69:B70)</f>
        <v>0</v>
      </c>
      <c r="C68" s="26">
        <f t="shared" si="136"/>
        <v>0</v>
      </c>
      <c r="D68" s="26">
        <f>SUM(D69:D70)</f>
        <v>0</v>
      </c>
      <c r="E68" s="26">
        <f>SUM(E69:E70)</f>
        <v>0</v>
      </c>
      <c r="F68" s="26">
        <f t="shared" si="137"/>
        <v>0</v>
      </c>
      <c r="G68" s="26">
        <f t="shared" ref="G68:H68" si="168">SUM(G69:G70)</f>
        <v>0</v>
      </c>
      <c r="H68" s="26">
        <f t="shared" si="168"/>
        <v>0</v>
      </c>
      <c r="I68" s="26">
        <f t="shared" si="139"/>
        <v>0</v>
      </c>
      <c r="J68" s="26">
        <f t="shared" ref="J68:K68" si="169">SUM(J69:J70)</f>
        <v>0</v>
      </c>
      <c r="K68" s="26">
        <f t="shared" si="169"/>
        <v>0</v>
      </c>
      <c r="L68" s="26">
        <f t="shared" si="141"/>
        <v>0</v>
      </c>
      <c r="M68" s="26">
        <f t="shared" ref="M68:N68" si="170">SUM(M69:M70)</f>
        <v>0</v>
      </c>
      <c r="N68" s="26">
        <f t="shared" si="170"/>
        <v>0</v>
      </c>
      <c r="O68" s="26">
        <f t="shared" si="143"/>
        <v>0</v>
      </c>
      <c r="P68" s="26">
        <f t="shared" ref="P68:Q68" si="171">SUM(P69:P70)</f>
        <v>0</v>
      </c>
      <c r="Q68" s="26">
        <f t="shared" si="171"/>
        <v>0</v>
      </c>
      <c r="R68" s="26">
        <f t="shared" si="145"/>
        <v>0</v>
      </c>
      <c r="S68" s="26">
        <f t="shared" ref="S68:T68" si="172">SUM(S69:S70)</f>
        <v>0</v>
      </c>
      <c r="T68" s="26">
        <f t="shared" si="172"/>
        <v>0</v>
      </c>
      <c r="U68" s="29"/>
      <c r="V68" s="5" t="str">
        <f t="shared" si="147"/>
        <v>-</v>
      </c>
    </row>
    <row r="69" spans="1:22" ht="25.15" customHeight="1" x14ac:dyDescent="0.6">
      <c r="A69" s="30" t="s">
        <v>5</v>
      </c>
      <c r="B69" s="22"/>
      <c r="C69" s="22">
        <f t="shared" si="136"/>
        <v>0</v>
      </c>
      <c r="D69" s="22"/>
      <c r="E69" s="22"/>
      <c r="F69" s="22">
        <f t="shared" si="137"/>
        <v>0</v>
      </c>
      <c r="G69" s="22"/>
      <c r="H69" s="22"/>
      <c r="I69" s="22">
        <f t="shared" si="139"/>
        <v>0</v>
      </c>
      <c r="J69" s="22"/>
      <c r="K69" s="22"/>
      <c r="L69" s="22">
        <f t="shared" si="141"/>
        <v>0</v>
      </c>
      <c r="M69" s="22"/>
      <c r="N69" s="22"/>
      <c r="O69" s="22">
        <f t="shared" si="143"/>
        <v>0</v>
      </c>
      <c r="P69" s="22"/>
      <c r="Q69" s="22"/>
      <c r="R69" s="22">
        <f t="shared" si="145"/>
        <v>0</v>
      </c>
      <c r="S69" s="22"/>
      <c r="T69" s="22"/>
      <c r="U69" s="14"/>
      <c r="V69" s="5" t="str">
        <f t="shared" si="147"/>
        <v>-</v>
      </c>
    </row>
    <row r="70" spans="1:22" ht="25.15" customHeight="1" x14ac:dyDescent="0.6">
      <c r="A70" s="30" t="s">
        <v>6</v>
      </c>
      <c r="B70" s="22"/>
      <c r="C70" s="22">
        <f t="shared" si="136"/>
        <v>0</v>
      </c>
      <c r="D70" s="22"/>
      <c r="E70" s="22"/>
      <c r="F70" s="22">
        <f t="shared" si="137"/>
        <v>0</v>
      </c>
      <c r="G70" s="22"/>
      <c r="H70" s="22"/>
      <c r="I70" s="22">
        <f t="shared" si="139"/>
        <v>0</v>
      </c>
      <c r="J70" s="22"/>
      <c r="K70" s="22"/>
      <c r="L70" s="22">
        <f t="shared" si="141"/>
        <v>0</v>
      </c>
      <c r="M70" s="22"/>
      <c r="N70" s="22"/>
      <c r="O70" s="22">
        <f t="shared" si="143"/>
        <v>0</v>
      </c>
      <c r="P70" s="22"/>
      <c r="Q70" s="22"/>
      <c r="R70" s="22">
        <f t="shared" si="145"/>
        <v>0</v>
      </c>
      <c r="S70" s="22"/>
      <c r="T70" s="22"/>
      <c r="U70" s="14"/>
      <c r="V70" s="5" t="str">
        <f t="shared" si="147"/>
        <v>-</v>
      </c>
    </row>
    <row r="71" spans="1:22" ht="25.15" customHeight="1" x14ac:dyDescent="0.6">
      <c r="A71" s="28" t="s">
        <v>4</v>
      </c>
      <c r="B71" s="26">
        <f>SUM(B72:B73)</f>
        <v>0</v>
      </c>
      <c r="C71" s="26">
        <f t="shared" si="136"/>
        <v>0</v>
      </c>
      <c r="D71" s="26">
        <f>SUM(D72:D73)</f>
        <v>0</v>
      </c>
      <c r="E71" s="26">
        <f>SUM(E72:E73)</f>
        <v>0</v>
      </c>
      <c r="F71" s="26">
        <f t="shared" si="137"/>
        <v>0</v>
      </c>
      <c r="G71" s="26">
        <f t="shared" ref="G71:H71" si="173">SUM(G72:G73)</f>
        <v>0</v>
      </c>
      <c r="H71" s="26">
        <f t="shared" si="173"/>
        <v>0</v>
      </c>
      <c r="I71" s="26">
        <f t="shared" si="139"/>
        <v>0</v>
      </c>
      <c r="J71" s="26">
        <f t="shared" ref="J71:K71" si="174">SUM(J72:J73)</f>
        <v>0</v>
      </c>
      <c r="K71" s="26">
        <f t="shared" si="174"/>
        <v>0</v>
      </c>
      <c r="L71" s="26">
        <f t="shared" si="141"/>
        <v>0</v>
      </c>
      <c r="M71" s="26">
        <f t="shared" ref="M71:N71" si="175">SUM(M72:M73)</f>
        <v>0</v>
      </c>
      <c r="N71" s="26">
        <f t="shared" si="175"/>
        <v>0</v>
      </c>
      <c r="O71" s="26">
        <f t="shared" si="143"/>
        <v>0</v>
      </c>
      <c r="P71" s="26">
        <f t="shared" ref="P71:Q71" si="176">SUM(P72:P73)</f>
        <v>0</v>
      </c>
      <c r="Q71" s="26">
        <f t="shared" si="176"/>
        <v>0</v>
      </c>
      <c r="R71" s="26">
        <f t="shared" si="145"/>
        <v>0</v>
      </c>
      <c r="S71" s="26">
        <f t="shared" ref="S71:T71" si="177">SUM(S72:S73)</f>
        <v>0</v>
      </c>
      <c r="T71" s="26">
        <f t="shared" si="177"/>
        <v>0</v>
      </c>
      <c r="U71" s="29"/>
      <c r="V71" s="5" t="str">
        <f t="shared" si="147"/>
        <v>-</v>
      </c>
    </row>
    <row r="72" spans="1:22" ht="25.15" customHeight="1" x14ac:dyDescent="0.6">
      <c r="A72" s="30" t="s">
        <v>7</v>
      </c>
      <c r="B72" s="22"/>
      <c r="C72" s="22">
        <f t="shared" si="136"/>
        <v>0</v>
      </c>
      <c r="D72" s="22"/>
      <c r="E72" s="22"/>
      <c r="F72" s="22">
        <f t="shared" si="137"/>
        <v>0</v>
      </c>
      <c r="G72" s="22"/>
      <c r="H72" s="22"/>
      <c r="I72" s="22">
        <f t="shared" si="139"/>
        <v>0</v>
      </c>
      <c r="J72" s="22"/>
      <c r="K72" s="22"/>
      <c r="L72" s="22">
        <f t="shared" si="141"/>
        <v>0</v>
      </c>
      <c r="M72" s="22"/>
      <c r="N72" s="22"/>
      <c r="O72" s="22">
        <f t="shared" si="143"/>
        <v>0</v>
      </c>
      <c r="P72" s="22"/>
      <c r="Q72" s="22"/>
      <c r="R72" s="22">
        <f t="shared" si="145"/>
        <v>0</v>
      </c>
      <c r="S72" s="22"/>
      <c r="T72" s="22"/>
      <c r="U72" s="14"/>
      <c r="V72" s="5" t="str">
        <f t="shared" si="147"/>
        <v>-</v>
      </c>
    </row>
    <row r="73" spans="1:22" ht="25.15" customHeight="1" x14ac:dyDescent="0.6">
      <c r="A73" s="30" t="s">
        <v>8</v>
      </c>
      <c r="B73" s="22"/>
      <c r="C73" s="22">
        <f t="shared" si="136"/>
        <v>0</v>
      </c>
      <c r="D73" s="22"/>
      <c r="E73" s="22"/>
      <c r="F73" s="22">
        <f t="shared" si="137"/>
        <v>0</v>
      </c>
      <c r="G73" s="22"/>
      <c r="H73" s="22"/>
      <c r="I73" s="22">
        <f t="shared" si="139"/>
        <v>0</v>
      </c>
      <c r="J73" s="22"/>
      <c r="K73" s="22"/>
      <c r="L73" s="22">
        <f t="shared" si="141"/>
        <v>0</v>
      </c>
      <c r="M73" s="22"/>
      <c r="N73" s="22"/>
      <c r="O73" s="22">
        <f t="shared" si="143"/>
        <v>0</v>
      </c>
      <c r="P73" s="22"/>
      <c r="Q73" s="22"/>
      <c r="R73" s="22">
        <f t="shared" si="145"/>
        <v>0</v>
      </c>
      <c r="S73" s="22"/>
      <c r="T73" s="22"/>
      <c r="U73" s="14"/>
      <c r="V73" s="5" t="str">
        <f t="shared" si="147"/>
        <v>-</v>
      </c>
    </row>
    <row r="74" spans="1:22" ht="25.15" customHeight="1" x14ac:dyDescent="0.6">
      <c r="A74" s="18" t="s">
        <v>29</v>
      </c>
      <c r="B74" s="23">
        <f>B75+B82</f>
        <v>0</v>
      </c>
      <c r="C74" s="23">
        <f t="shared" si="136"/>
        <v>0</v>
      </c>
      <c r="D74" s="23">
        <f>D75+D82</f>
        <v>0</v>
      </c>
      <c r="E74" s="23">
        <f>E75+E82</f>
        <v>0</v>
      </c>
      <c r="F74" s="23">
        <f t="shared" si="137"/>
        <v>0</v>
      </c>
      <c r="G74" s="23">
        <f t="shared" ref="G74:H74" si="178">G75+G82</f>
        <v>0</v>
      </c>
      <c r="H74" s="23">
        <f t="shared" si="178"/>
        <v>0</v>
      </c>
      <c r="I74" s="23">
        <f t="shared" si="139"/>
        <v>0</v>
      </c>
      <c r="J74" s="23">
        <f t="shared" ref="J74:K74" si="179">J75+J82</f>
        <v>0</v>
      </c>
      <c r="K74" s="23">
        <f t="shared" si="179"/>
        <v>0</v>
      </c>
      <c r="L74" s="23">
        <f t="shared" si="141"/>
        <v>0</v>
      </c>
      <c r="M74" s="23">
        <f t="shared" ref="M74:N74" si="180">M75+M82</f>
        <v>0</v>
      </c>
      <c r="N74" s="23">
        <f t="shared" si="180"/>
        <v>0</v>
      </c>
      <c r="O74" s="23">
        <f t="shared" si="143"/>
        <v>0</v>
      </c>
      <c r="P74" s="23">
        <f t="shared" ref="P74:Q74" si="181">P75+P82</f>
        <v>0</v>
      </c>
      <c r="Q74" s="23">
        <f t="shared" si="181"/>
        <v>0</v>
      </c>
      <c r="R74" s="23">
        <f t="shared" si="145"/>
        <v>0</v>
      </c>
      <c r="S74" s="23">
        <f t="shared" ref="S74:T74" si="182">S75+S82</f>
        <v>0</v>
      </c>
      <c r="T74" s="23">
        <f t="shared" si="182"/>
        <v>0</v>
      </c>
      <c r="U74" s="20"/>
      <c r="V74" s="5" t="str">
        <f t="shared" si="147"/>
        <v>-</v>
      </c>
    </row>
    <row r="75" spans="1:22" ht="25.15" customHeight="1" x14ac:dyDescent="0.6">
      <c r="A75" s="25" t="s">
        <v>2</v>
      </c>
      <c r="B75" s="26">
        <f>B76+B79</f>
        <v>0</v>
      </c>
      <c r="C75" s="26">
        <f t="shared" si="136"/>
        <v>0</v>
      </c>
      <c r="D75" s="26">
        <f>D76+D79</f>
        <v>0</v>
      </c>
      <c r="E75" s="26">
        <f>E76+E79</f>
        <v>0</v>
      </c>
      <c r="F75" s="26">
        <f t="shared" si="137"/>
        <v>0</v>
      </c>
      <c r="G75" s="26">
        <f t="shared" ref="G75:H75" si="183">G76+G79</f>
        <v>0</v>
      </c>
      <c r="H75" s="26">
        <f t="shared" si="183"/>
        <v>0</v>
      </c>
      <c r="I75" s="26">
        <f t="shared" si="139"/>
        <v>0</v>
      </c>
      <c r="J75" s="26">
        <f t="shared" ref="J75:K75" si="184">J76+J79</f>
        <v>0</v>
      </c>
      <c r="K75" s="26">
        <f t="shared" si="184"/>
        <v>0</v>
      </c>
      <c r="L75" s="26">
        <f t="shared" si="141"/>
        <v>0</v>
      </c>
      <c r="M75" s="26">
        <f t="shared" ref="M75:N75" si="185">M76+M79</f>
        <v>0</v>
      </c>
      <c r="N75" s="26">
        <f t="shared" si="185"/>
        <v>0</v>
      </c>
      <c r="O75" s="26">
        <f t="shared" si="143"/>
        <v>0</v>
      </c>
      <c r="P75" s="26">
        <f t="shared" ref="P75:Q75" si="186">P76+P79</f>
        <v>0</v>
      </c>
      <c r="Q75" s="26">
        <f t="shared" si="186"/>
        <v>0</v>
      </c>
      <c r="R75" s="26">
        <f t="shared" si="145"/>
        <v>0</v>
      </c>
      <c r="S75" s="26">
        <f t="shared" ref="S75:T75" si="187">S76+S79</f>
        <v>0</v>
      </c>
      <c r="T75" s="26">
        <f t="shared" si="187"/>
        <v>0</v>
      </c>
      <c r="U75" s="27"/>
      <c r="V75" s="5" t="str">
        <f t="shared" si="147"/>
        <v>-</v>
      </c>
    </row>
    <row r="76" spans="1:22" ht="25.15" customHeight="1" x14ac:dyDescent="0.6">
      <c r="A76" s="28" t="s">
        <v>3</v>
      </c>
      <c r="B76" s="26">
        <f>SUM(B77:B78)</f>
        <v>0</v>
      </c>
      <c r="C76" s="26">
        <f t="shared" si="136"/>
        <v>0</v>
      </c>
      <c r="D76" s="26">
        <f>SUM(D77:D78)</f>
        <v>0</v>
      </c>
      <c r="E76" s="26">
        <f>SUM(E77:E78)</f>
        <v>0</v>
      </c>
      <c r="F76" s="26">
        <f t="shared" si="137"/>
        <v>0</v>
      </c>
      <c r="G76" s="26">
        <f t="shared" ref="G76:H76" si="188">SUM(G77:G78)</f>
        <v>0</v>
      </c>
      <c r="H76" s="26">
        <f t="shared" si="188"/>
        <v>0</v>
      </c>
      <c r="I76" s="26">
        <f t="shared" si="139"/>
        <v>0</v>
      </c>
      <c r="J76" s="26">
        <f t="shared" ref="J76:K76" si="189">SUM(J77:J78)</f>
        <v>0</v>
      </c>
      <c r="K76" s="26">
        <f t="shared" si="189"/>
        <v>0</v>
      </c>
      <c r="L76" s="26">
        <f t="shared" si="141"/>
        <v>0</v>
      </c>
      <c r="M76" s="26">
        <f t="shared" ref="M76:N76" si="190">SUM(M77:M78)</f>
        <v>0</v>
      </c>
      <c r="N76" s="26">
        <f t="shared" si="190"/>
        <v>0</v>
      </c>
      <c r="O76" s="26">
        <f t="shared" si="143"/>
        <v>0</v>
      </c>
      <c r="P76" s="26">
        <f t="shared" ref="P76:Q76" si="191">SUM(P77:P78)</f>
        <v>0</v>
      </c>
      <c r="Q76" s="26">
        <f t="shared" si="191"/>
        <v>0</v>
      </c>
      <c r="R76" s="26">
        <f t="shared" si="145"/>
        <v>0</v>
      </c>
      <c r="S76" s="26">
        <f t="shared" ref="S76:T76" si="192">SUM(S77:S78)</f>
        <v>0</v>
      </c>
      <c r="T76" s="26">
        <f t="shared" si="192"/>
        <v>0</v>
      </c>
      <c r="U76" s="29"/>
      <c r="V76" s="5" t="str">
        <f t="shared" si="147"/>
        <v>-</v>
      </c>
    </row>
    <row r="77" spans="1:22" ht="25.15" customHeight="1" x14ac:dyDescent="0.6">
      <c r="A77" s="30" t="s">
        <v>5</v>
      </c>
      <c r="B77" s="22"/>
      <c r="C77" s="22">
        <f t="shared" si="136"/>
        <v>0</v>
      </c>
      <c r="D77" s="22"/>
      <c r="E77" s="22"/>
      <c r="F77" s="22">
        <f t="shared" si="137"/>
        <v>0</v>
      </c>
      <c r="G77" s="22"/>
      <c r="H77" s="22"/>
      <c r="I77" s="22">
        <f t="shared" si="139"/>
        <v>0</v>
      </c>
      <c r="J77" s="22"/>
      <c r="K77" s="22"/>
      <c r="L77" s="22">
        <f t="shared" si="141"/>
        <v>0</v>
      </c>
      <c r="M77" s="22"/>
      <c r="N77" s="22"/>
      <c r="O77" s="22">
        <f t="shared" si="143"/>
        <v>0</v>
      </c>
      <c r="P77" s="22"/>
      <c r="Q77" s="22"/>
      <c r="R77" s="22">
        <f t="shared" si="145"/>
        <v>0</v>
      </c>
      <c r="S77" s="22"/>
      <c r="T77" s="22"/>
      <c r="U77" s="14"/>
      <c r="V77" s="5" t="str">
        <f t="shared" si="147"/>
        <v>-</v>
      </c>
    </row>
    <row r="78" spans="1:22" ht="25.5" customHeight="1" x14ac:dyDescent="0.6">
      <c r="A78" s="30" t="s">
        <v>6</v>
      </c>
      <c r="B78" s="22"/>
      <c r="C78" s="22">
        <f t="shared" si="136"/>
        <v>0</v>
      </c>
      <c r="D78" s="22"/>
      <c r="E78" s="22"/>
      <c r="F78" s="22">
        <f t="shared" si="137"/>
        <v>0</v>
      </c>
      <c r="G78" s="22"/>
      <c r="H78" s="22"/>
      <c r="I78" s="22">
        <f t="shared" si="139"/>
        <v>0</v>
      </c>
      <c r="J78" s="22"/>
      <c r="K78" s="22"/>
      <c r="L78" s="22">
        <f t="shared" si="141"/>
        <v>0</v>
      </c>
      <c r="M78" s="22"/>
      <c r="N78" s="22"/>
      <c r="O78" s="22">
        <f t="shared" si="143"/>
        <v>0</v>
      </c>
      <c r="P78" s="22"/>
      <c r="Q78" s="22"/>
      <c r="R78" s="22">
        <f t="shared" si="145"/>
        <v>0</v>
      </c>
      <c r="S78" s="22"/>
      <c r="T78" s="22"/>
      <c r="U78" s="14"/>
      <c r="V78" s="5" t="str">
        <f t="shared" si="147"/>
        <v>-</v>
      </c>
    </row>
    <row r="79" spans="1:22" ht="25.15" customHeight="1" x14ac:dyDescent="0.6">
      <c r="A79" s="28" t="s">
        <v>4</v>
      </c>
      <c r="B79" s="26">
        <f>SUM(B80:B81)</f>
        <v>0</v>
      </c>
      <c r="C79" s="26">
        <f t="shared" si="136"/>
        <v>0</v>
      </c>
      <c r="D79" s="26">
        <f>SUM(D80:D81)</f>
        <v>0</v>
      </c>
      <c r="E79" s="26">
        <f>SUM(E80:E81)</f>
        <v>0</v>
      </c>
      <c r="F79" s="26">
        <f t="shared" si="137"/>
        <v>0</v>
      </c>
      <c r="G79" s="26">
        <f t="shared" ref="G79:H79" si="193">SUM(G80:G81)</f>
        <v>0</v>
      </c>
      <c r="H79" s="26">
        <f t="shared" si="193"/>
        <v>0</v>
      </c>
      <c r="I79" s="26">
        <f t="shared" si="139"/>
        <v>0</v>
      </c>
      <c r="J79" s="26">
        <f t="shared" ref="J79:K79" si="194">SUM(J80:J81)</f>
        <v>0</v>
      </c>
      <c r="K79" s="26">
        <f t="shared" si="194"/>
        <v>0</v>
      </c>
      <c r="L79" s="26">
        <f t="shared" si="141"/>
        <v>0</v>
      </c>
      <c r="M79" s="26">
        <f t="shared" ref="M79:N79" si="195">SUM(M80:M81)</f>
        <v>0</v>
      </c>
      <c r="N79" s="26">
        <f t="shared" si="195"/>
        <v>0</v>
      </c>
      <c r="O79" s="26">
        <f t="shared" si="143"/>
        <v>0</v>
      </c>
      <c r="P79" s="26">
        <f t="shared" ref="P79:Q79" si="196">SUM(P80:P81)</f>
        <v>0</v>
      </c>
      <c r="Q79" s="26">
        <f t="shared" si="196"/>
        <v>0</v>
      </c>
      <c r="R79" s="26">
        <f t="shared" si="145"/>
        <v>0</v>
      </c>
      <c r="S79" s="26">
        <f t="shared" ref="S79:T79" si="197">SUM(S80:S81)</f>
        <v>0</v>
      </c>
      <c r="T79" s="26">
        <f t="shared" si="197"/>
        <v>0</v>
      </c>
      <c r="U79" s="29"/>
      <c r="V79" s="5" t="str">
        <f t="shared" si="147"/>
        <v>-</v>
      </c>
    </row>
    <row r="80" spans="1:22" ht="25.15" customHeight="1" x14ac:dyDescent="0.6">
      <c r="A80" s="30" t="s">
        <v>7</v>
      </c>
      <c r="B80" s="22"/>
      <c r="C80" s="22">
        <f t="shared" si="136"/>
        <v>0</v>
      </c>
      <c r="D80" s="22"/>
      <c r="E80" s="22"/>
      <c r="F80" s="22">
        <f t="shared" si="137"/>
        <v>0</v>
      </c>
      <c r="G80" s="22"/>
      <c r="H80" s="22"/>
      <c r="I80" s="22">
        <f t="shared" si="139"/>
        <v>0</v>
      </c>
      <c r="J80" s="22"/>
      <c r="K80" s="22"/>
      <c r="L80" s="22">
        <f t="shared" si="141"/>
        <v>0</v>
      </c>
      <c r="M80" s="22"/>
      <c r="N80" s="22"/>
      <c r="O80" s="22">
        <f t="shared" si="143"/>
        <v>0</v>
      </c>
      <c r="P80" s="22"/>
      <c r="Q80" s="22"/>
      <c r="R80" s="22">
        <f t="shared" si="145"/>
        <v>0</v>
      </c>
      <c r="S80" s="22"/>
      <c r="T80" s="22"/>
      <c r="U80" s="14"/>
      <c r="V80" s="5" t="str">
        <f t="shared" si="147"/>
        <v>-</v>
      </c>
    </row>
    <row r="81" spans="1:22" ht="25.15" customHeight="1" x14ac:dyDescent="0.6">
      <c r="A81" s="30" t="s">
        <v>8</v>
      </c>
      <c r="B81" s="22"/>
      <c r="C81" s="22">
        <f t="shared" si="136"/>
        <v>0</v>
      </c>
      <c r="D81" s="22"/>
      <c r="E81" s="22"/>
      <c r="F81" s="22">
        <f t="shared" si="137"/>
        <v>0</v>
      </c>
      <c r="G81" s="22"/>
      <c r="H81" s="22"/>
      <c r="I81" s="22">
        <f t="shared" si="139"/>
        <v>0</v>
      </c>
      <c r="J81" s="22"/>
      <c r="K81" s="22"/>
      <c r="L81" s="22">
        <f t="shared" si="141"/>
        <v>0</v>
      </c>
      <c r="M81" s="22"/>
      <c r="N81" s="22"/>
      <c r="O81" s="22">
        <f t="shared" si="143"/>
        <v>0</v>
      </c>
      <c r="P81" s="22"/>
      <c r="Q81" s="22"/>
      <c r="R81" s="22">
        <f t="shared" si="145"/>
        <v>0</v>
      </c>
      <c r="S81" s="22"/>
      <c r="T81" s="22"/>
      <c r="U81" s="14"/>
      <c r="V81" s="5" t="str">
        <f t="shared" si="147"/>
        <v>-</v>
      </c>
    </row>
    <row r="82" spans="1:22" ht="25.15" customHeight="1" x14ac:dyDescent="0.6">
      <c r="A82" s="25" t="s">
        <v>9</v>
      </c>
      <c r="B82" s="26">
        <f>B83+B86</f>
        <v>0</v>
      </c>
      <c r="C82" s="26">
        <f t="shared" si="136"/>
        <v>0</v>
      </c>
      <c r="D82" s="26">
        <f>D83+D86</f>
        <v>0</v>
      </c>
      <c r="E82" s="26">
        <f>E83+E86</f>
        <v>0</v>
      </c>
      <c r="F82" s="26">
        <f t="shared" si="137"/>
        <v>0</v>
      </c>
      <c r="G82" s="26">
        <f t="shared" ref="G82:H82" si="198">G83+G86</f>
        <v>0</v>
      </c>
      <c r="H82" s="26">
        <f t="shared" si="198"/>
        <v>0</v>
      </c>
      <c r="I82" s="26">
        <f t="shared" si="139"/>
        <v>0</v>
      </c>
      <c r="J82" s="26">
        <f t="shared" ref="J82:K82" si="199">J83+J86</f>
        <v>0</v>
      </c>
      <c r="K82" s="26">
        <f t="shared" si="199"/>
        <v>0</v>
      </c>
      <c r="L82" s="26">
        <f t="shared" si="141"/>
        <v>0</v>
      </c>
      <c r="M82" s="26">
        <f t="shared" ref="M82:N82" si="200">M83+M86</f>
        <v>0</v>
      </c>
      <c r="N82" s="26">
        <f t="shared" si="200"/>
        <v>0</v>
      </c>
      <c r="O82" s="26">
        <f t="shared" si="143"/>
        <v>0</v>
      </c>
      <c r="P82" s="26">
        <f t="shared" ref="P82:Q82" si="201">P83+P86</f>
        <v>0</v>
      </c>
      <c r="Q82" s="26">
        <f t="shared" si="201"/>
        <v>0</v>
      </c>
      <c r="R82" s="26">
        <f t="shared" si="145"/>
        <v>0</v>
      </c>
      <c r="S82" s="26">
        <f t="shared" ref="S82:T82" si="202">S83+S86</f>
        <v>0</v>
      </c>
      <c r="T82" s="26">
        <f t="shared" si="202"/>
        <v>0</v>
      </c>
      <c r="U82" s="27"/>
      <c r="V82" s="5" t="str">
        <f t="shared" si="147"/>
        <v>-</v>
      </c>
    </row>
    <row r="83" spans="1:22" ht="25.15" customHeight="1" x14ac:dyDescent="0.6">
      <c r="A83" s="28" t="s">
        <v>3</v>
      </c>
      <c r="B83" s="26">
        <f>SUM(B84:B85)</f>
        <v>0</v>
      </c>
      <c r="C83" s="26">
        <f t="shared" si="136"/>
        <v>0</v>
      </c>
      <c r="D83" s="26">
        <f>SUM(D84:D85)</f>
        <v>0</v>
      </c>
      <c r="E83" s="26">
        <f>SUM(E84:E85)</f>
        <v>0</v>
      </c>
      <c r="F83" s="26">
        <f t="shared" si="137"/>
        <v>0</v>
      </c>
      <c r="G83" s="26">
        <f t="shared" ref="G83:H83" si="203">SUM(G84:G85)</f>
        <v>0</v>
      </c>
      <c r="H83" s="26">
        <f t="shared" si="203"/>
        <v>0</v>
      </c>
      <c r="I83" s="26">
        <f t="shared" si="139"/>
        <v>0</v>
      </c>
      <c r="J83" s="26">
        <f t="shared" ref="J83:K83" si="204">SUM(J84:J85)</f>
        <v>0</v>
      </c>
      <c r="K83" s="26">
        <f t="shared" si="204"/>
        <v>0</v>
      </c>
      <c r="L83" s="26">
        <f t="shared" si="141"/>
        <v>0</v>
      </c>
      <c r="M83" s="26">
        <f t="shared" ref="M83:N83" si="205">SUM(M84:M85)</f>
        <v>0</v>
      </c>
      <c r="N83" s="26">
        <f t="shared" si="205"/>
        <v>0</v>
      </c>
      <c r="O83" s="26">
        <f t="shared" si="143"/>
        <v>0</v>
      </c>
      <c r="P83" s="26">
        <f t="shared" ref="P83:Q83" si="206">SUM(P84:P85)</f>
        <v>0</v>
      </c>
      <c r="Q83" s="26">
        <f t="shared" si="206"/>
        <v>0</v>
      </c>
      <c r="R83" s="26">
        <f t="shared" si="145"/>
        <v>0</v>
      </c>
      <c r="S83" s="26">
        <f t="shared" ref="S83:T83" si="207">SUM(S84:S85)</f>
        <v>0</v>
      </c>
      <c r="T83" s="26">
        <f t="shared" si="207"/>
        <v>0</v>
      </c>
      <c r="U83" s="29"/>
      <c r="V83" s="5" t="str">
        <f t="shared" si="147"/>
        <v>-</v>
      </c>
    </row>
    <row r="84" spans="1:22" ht="25.15" customHeight="1" x14ac:dyDescent="0.6">
      <c r="A84" s="30" t="s">
        <v>5</v>
      </c>
      <c r="B84" s="22"/>
      <c r="C84" s="22">
        <f t="shared" si="136"/>
        <v>0</v>
      </c>
      <c r="D84" s="22"/>
      <c r="E84" s="22"/>
      <c r="F84" s="22">
        <f t="shared" si="137"/>
        <v>0</v>
      </c>
      <c r="G84" s="22"/>
      <c r="H84" s="22"/>
      <c r="I84" s="22">
        <f t="shared" si="139"/>
        <v>0</v>
      </c>
      <c r="J84" s="22"/>
      <c r="K84" s="22"/>
      <c r="L84" s="22">
        <f t="shared" si="141"/>
        <v>0</v>
      </c>
      <c r="M84" s="22"/>
      <c r="N84" s="22"/>
      <c r="O84" s="22">
        <f t="shared" si="143"/>
        <v>0</v>
      </c>
      <c r="P84" s="22"/>
      <c r="Q84" s="22"/>
      <c r="R84" s="22">
        <f t="shared" si="145"/>
        <v>0</v>
      </c>
      <c r="S84" s="22"/>
      <c r="T84" s="22"/>
      <c r="U84" s="14"/>
      <c r="V84" s="5" t="str">
        <f t="shared" si="147"/>
        <v>-</v>
      </c>
    </row>
    <row r="85" spans="1:22" ht="25.15" customHeight="1" x14ac:dyDescent="0.6">
      <c r="A85" s="30" t="s">
        <v>6</v>
      </c>
      <c r="B85" s="22"/>
      <c r="C85" s="22">
        <f t="shared" si="136"/>
        <v>0</v>
      </c>
      <c r="D85" s="22"/>
      <c r="E85" s="22"/>
      <c r="F85" s="22">
        <f t="shared" si="137"/>
        <v>0</v>
      </c>
      <c r="G85" s="22"/>
      <c r="H85" s="22"/>
      <c r="I85" s="22">
        <f t="shared" si="139"/>
        <v>0</v>
      </c>
      <c r="J85" s="22"/>
      <c r="K85" s="22"/>
      <c r="L85" s="22">
        <f t="shared" si="141"/>
        <v>0</v>
      </c>
      <c r="M85" s="22"/>
      <c r="N85" s="22"/>
      <c r="O85" s="22">
        <f t="shared" si="143"/>
        <v>0</v>
      </c>
      <c r="P85" s="22"/>
      <c r="Q85" s="22"/>
      <c r="R85" s="22">
        <f t="shared" si="145"/>
        <v>0</v>
      </c>
      <c r="S85" s="22"/>
      <c r="T85" s="22"/>
      <c r="U85" s="14"/>
      <c r="V85" s="5" t="str">
        <f t="shared" si="147"/>
        <v>-</v>
      </c>
    </row>
    <row r="86" spans="1:22" ht="25.15" customHeight="1" x14ac:dyDescent="0.6">
      <c r="A86" s="28" t="s">
        <v>4</v>
      </c>
      <c r="B86" s="26">
        <f>SUM(B87:B88)</f>
        <v>0</v>
      </c>
      <c r="C86" s="26">
        <f t="shared" si="136"/>
        <v>0</v>
      </c>
      <c r="D86" s="26">
        <f>SUM(D87:D88)</f>
        <v>0</v>
      </c>
      <c r="E86" s="26">
        <f>SUM(E87:E88)</f>
        <v>0</v>
      </c>
      <c r="F86" s="26">
        <f t="shared" si="137"/>
        <v>0</v>
      </c>
      <c r="G86" s="26">
        <f t="shared" ref="G86:H86" si="208">SUM(G87:G88)</f>
        <v>0</v>
      </c>
      <c r="H86" s="26">
        <f t="shared" si="208"/>
        <v>0</v>
      </c>
      <c r="I86" s="26">
        <f t="shared" si="139"/>
        <v>0</v>
      </c>
      <c r="J86" s="26">
        <f t="shared" ref="J86:K86" si="209">SUM(J87:J88)</f>
        <v>0</v>
      </c>
      <c r="K86" s="26">
        <f t="shared" si="209"/>
        <v>0</v>
      </c>
      <c r="L86" s="26">
        <f t="shared" si="141"/>
        <v>0</v>
      </c>
      <c r="M86" s="26">
        <f t="shared" ref="M86:N86" si="210">SUM(M87:M88)</f>
        <v>0</v>
      </c>
      <c r="N86" s="26">
        <f t="shared" si="210"/>
        <v>0</v>
      </c>
      <c r="O86" s="26">
        <f t="shared" si="143"/>
        <v>0</v>
      </c>
      <c r="P86" s="26">
        <f t="shared" ref="P86:Q86" si="211">SUM(P87:P88)</f>
        <v>0</v>
      </c>
      <c r="Q86" s="26">
        <f t="shared" si="211"/>
        <v>0</v>
      </c>
      <c r="R86" s="26">
        <f t="shared" si="145"/>
        <v>0</v>
      </c>
      <c r="S86" s="26">
        <f t="shared" ref="S86:T86" si="212">SUM(S87:S88)</f>
        <v>0</v>
      </c>
      <c r="T86" s="26">
        <f t="shared" si="212"/>
        <v>0</v>
      </c>
      <c r="U86" s="29"/>
      <c r="V86" s="5" t="str">
        <f t="shared" si="147"/>
        <v>-</v>
      </c>
    </row>
    <row r="87" spans="1:22" ht="25.15" customHeight="1" x14ac:dyDescent="0.6">
      <c r="A87" s="30" t="s">
        <v>7</v>
      </c>
      <c r="B87" s="22"/>
      <c r="C87" s="22">
        <f t="shared" si="136"/>
        <v>0</v>
      </c>
      <c r="D87" s="22"/>
      <c r="E87" s="22"/>
      <c r="F87" s="22">
        <f t="shared" si="137"/>
        <v>0</v>
      </c>
      <c r="G87" s="22"/>
      <c r="H87" s="22"/>
      <c r="I87" s="22">
        <f t="shared" si="139"/>
        <v>0</v>
      </c>
      <c r="J87" s="22"/>
      <c r="K87" s="22"/>
      <c r="L87" s="22">
        <f t="shared" si="141"/>
        <v>0</v>
      </c>
      <c r="M87" s="22"/>
      <c r="N87" s="22"/>
      <c r="O87" s="22">
        <f t="shared" si="143"/>
        <v>0</v>
      </c>
      <c r="P87" s="22"/>
      <c r="Q87" s="22"/>
      <c r="R87" s="22">
        <f t="shared" si="145"/>
        <v>0</v>
      </c>
      <c r="S87" s="22"/>
      <c r="T87" s="22"/>
      <c r="U87" s="14"/>
      <c r="V87" s="5" t="str">
        <f t="shared" si="147"/>
        <v>-</v>
      </c>
    </row>
    <row r="88" spans="1:22" ht="25.15" customHeight="1" x14ac:dyDescent="0.6">
      <c r="A88" s="30" t="s">
        <v>8</v>
      </c>
      <c r="B88" s="22"/>
      <c r="C88" s="22">
        <f t="shared" si="136"/>
        <v>0</v>
      </c>
      <c r="D88" s="22"/>
      <c r="E88" s="22"/>
      <c r="F88" s="22">
        <f t="shared" si="137"/>
        <v>0</v>
      </c>
      <c r="G88" s="22"/>
      <c r="H88" s="22"/>
      <c r="I88" s="22">
        <f t="shared" si="139"/>
        <v>0</v>
      </c>
      <c r="J88" s="22"/>
      <c r="K88" s="22"/>
      <c r="L88" s="22">
        <f t="shared" si="141"/>
        <v>0</v>
      </c>
      <c r="M88" s="22"/>
      <c r="N88" s="22"/>
      <c r="O88" s="22">
        <f t="shared" si="143"/>
        <v>0</v>
      </c>
      <c r="P88" s="22"/>
      <c r="Q88" s="22"/>
      <c r="R88" s="22">
        <f t="shared" si="145"/>
        <v>0</v>
      </c>
      <c r="S88" s="22"/>
      <c r="T88" s="22"/>
      <c r="U88" s="14"/>
      <c r="V88" s="5" t="str">
        <f t="shared" si="147"/>
        <v>-</v>
      </c>
    </row>
    <row r="89" spans="1:22" ht="25.15" customHeight="1" x14ac:dyDescent="0.6">
      <c r="A89" s="18" t="s">
        <v>30</v>
      </c>
      <c r="B89" s="23">
        <f>B90+B97</f>
        <v>0</v>
      </c>
      <c r="C89" s="23">
        <f t="shared" si="136"/>
        <v>0</v>
      </c>
      <c r="D89" s="23">
        <f>D90+D97</f>
        <v>0</v>
      </c>
      <c r="E89" s="23">
        <f>E90+E97</f>
        <v>0</v>
      </c>
      <c r="F89" s="23">
        <f t="shared" si="137"/>
        <v>0</v>
      </c>
      <c r="G89" s="23">
        <f t="shared" ref="G89:H89" si="213">G90+G97</f>
        <v>0</v>
      </c>
      <c r="H89" s="23">
        <f t="shared" si="213"/>
        <v>0</v>
      </c>
      <c r="I89" s="23">
        <f t="shared" si="139"/>
        <v>0</v>
      </c>
      <c r="J89" s="23">
        <f t="shared" ref="J89:K89" si="214">J90+J97</f>
        <v>0</v>
      </c>
      <c r="K89" s="23">
        <f t="shared" si="214"/>
        <v>0</v>
      </c>
      <c r="L89" s="23">
        <f t="shared" si="141"/>
        <v>0</v>
      </c>
      <c r="M89" s="23">
        <f t="shared" ref="M89:N89" si="215">M90+M97</f>
        <v>0</v>
      </c>
      <c r="N89" s="23">
        <f t="shared" si="215"/>
        <v>0</v>
      </c>
      <c r="O89" s="23">
        <f t="shared" si="143"/>
        <v>0</v>
      </c>
      <c r="P89" s="23">
        <f t="shared" ref="P89:Q89" si="216">P90+P97</f>
        <v>0</v>
      </c>
      <c r="Q89" s="23">
        <f t="shared" si="216"/>
        <v>0</v>
      </c>
      <c r="R89" s="23">
        <f t="shared" si="145"/>
        <v>0</v>
      </c>
      <c r="S89" s="23">
        <f t="shared" ref="S89:T89" si="217">S90+S97</f>
        <v>0</v>
      </c>
      <c r="T89" s="23">
        <f t="shared" si="217"/>
        <v>0</v>
      </c>
      <c r="U89" s="20"/>
      <c r="V89" s="5" t="str">
        <f t="shared" si="147"/>
        <v>-</v>
      </c>
    </row>
    <row r="90" spans="1:22" ht="25.15" customHeight="1" x14ac:dyDescent="0.6">
      <c r="A90" s="25" t="s">
        <v>2</v>
      </c>
      <c r="B90" s="26">
        <f>B91+B94</f>
        <v>0</v>
      </c>
      <c r="C90" s="26">
        <f t="shared" si="136"/>
        <v>0</v>
      </c>
      <c r="D90" s="26">
        <f>D91+D94</f>
        <v>0</v>
      </c>
      <c r="E90" s="26">
        <f>E91+E94</f>
        <v>0</v>
      </c>
      <c r="F90" s="26">
        <f t="shared" si="137"/>
        <v>0</v>
      </c>
      <c r="G90" s="26">
        <f t="shared" ref="G90:H90" si="218">G91+G94</f>
        <v>0</v>
      </c>
      <c r="H90" s="26">
        <f t="shared" si="218"/>
        <v>0</v>
      </c>
      <c r="I90" s="26">
        <f t="shared" si="139"/>
        <v>0</v>
      </c>
      <c r="J90" s="26">
        <f t="shared" ref="J90:K90" si="219">J91+J94</f>
        <v>0</v>
      </c>
      <c r="K90" s="26">
        <f t="shared" si="219"/>
        <v>0</v>
      </c>
      <c r="L90" s="26">
        <f t="shared" si="141"/>
        <v>0</v>
      </c>
      <c r="M90" s="26">
        <f t="shared" ref="M90:N90" si="220">M91+M94</f>
        <v>0</v>
      </c>
      <c r="N90" s="26">
        <f t="shared" si="220"/>
        <v>0</v>
      </c>
      <c r="O90" s="26">
        <f t="shared" si="143"/>
        <v>0</v>
      </c>
      <c r="P90" s="26">
        <f t="shared" ref="P90:Q90" si="221">P91+P94</f>
        <v>0</v>
      </c>
      <c r="Q90" s="26">
        <f t="shared" si="221"/>
        <v>0</v>
      </c>
      <c r="R90" s="26">
        <f t="shared" si="145"/>
        <v>0</v>
      </c>
      <c r="S90" s="26">
        <f t="shared" ref="S90:T90" si="222">S91+S94</f>
        <v>0</v>
      </c>
      <c r="T90" s="26">
        <f t="shared" si="222"/>
        <v>0</v>
      </c>
      <c r="U90" s="27"/>
      <c r="V90" s="5" t="str">
        <f t="shared" si="147"/>
        <v>-</v>
      </c>
    </row>
    <row r="91" spans="1:22" ht="25.15" customHeight="1" x14ac:dyDescent="0.6">
      <c r="A91" s="28" t="s">
        <v>3</v>
      </c>
      <c r="B91" s="26">
        <f>SUM(B92:B93)</f>
        <v>0</v>
      </c>
      <c r="C91" s="26">
        <f t="shared" si="136"/>
        <v>0</v>
      </c>
      <c r="D91" s="26">
        <f>SUM(D92:D93)</f>
        <v>0</v>
      </c>
      <c r="E91" s="26">
        <f>SUM(E92:E93)</f>
        <v>0</v>
      </c>
      <c r="F91" s="26">
        <f t="shared" si="137"/>
        <v>0</v>
      </c>
      <c r="G91" s="26">
        <f t="shared" ref="G91:H91" si="223">SUM(G92:G93)</f>
        <v>0</v>
      </c>
      <c r="H91" s="26">
        <f t="shared" si="223"/>
        <v>0</v>
      </c>
      <c r="I91" s="26">
        <f t="shared" si="139"/>
        <v>0</v>
      </c>
      <c r="J91" s="26">
        <f t="shared" ref="J91:K91" si="224">SUM(J92:J93)</f>
        <v>0</v>
      </c>
      <c r="K91" s="26">
        <f t="shared" si="224"/>
        <v>0</v>
      </c>
      <c r="L91" s="26">
        <f t="shared" si="141"/>
        <v>0</v>
      </c>
      <c r="M91" s="26">
        <f t="shared" ref="M91:N91" si="225">SUM(M92:M93)</f>
        <v>0</v>
      </c>
      <c r="N91" s="26">
        <f t="shared" si="225"/>
        <v>0</v>
      </c>
      <c r="O91" s="26">
        <f t="shared" si="143"/>
        <v>0</v>
      </c>
      <c r="P91" s="26">
        <f t="shared" ref="P91:Q91" si="226">SUM(P92:P93)</f>
        <v>0</v>
      </c>
      <c r="Q91" s="26">
        <f t="shared" si="226"/>
        <v>0</v>
      </c>
      <c r="R91" s="26">
        <f t="shared" si="145"/>
        <v>0</v>
      </c>
      <c r="S91" s="26">
        <f t="shared" ref="S91:T91" si="227">SUM(S92:S93)</f>
        <v>0</v>
      </c>
      <c r="T91" s="26">
        <f t="shared" si="227"/>
        <v>0</v>
      </c>
      <c r="U91" s="29"/>
      <c r="V91" s="5" t="str">
        <f t="shared" si="147"/>
        <v>-</v>
      </c>
    </row>
    <row r="92" spans="1:22" ht="25.15" customHeight="1" x14ac:dyDescent="0.6">
      <c r="A92" s="30" t="s">
        <v>5</v>
      </c>
      <c r="B92" s="22"/>
      <c r="C92" s="22">
        <f t="shared" si="136"/>
        <v>0</v>
      </c>
      <c r="D92" s="22"/>
      <c r="E92" s="22"/>
      <c r="F92" s="22">
        <f t="shared" si="137"/>
        <v>0</v>
      </c>
      <c r="G92" s="22"/>
      <c r="H92" s="22"/>
      <c r="I92" s="22">
        <f t="shared" si="139"/>
        <v>0</v>
      </c>
      <c r="J92" s="22"/>
      <c r="K92" s="22"/>
      <c r="L92" s="22">
        <f t="shared" si="141"/>
        <v>0</v>
      </c>
      <c r="M92" s="22"/>
      <c r="N92" s="22"/>
      <c r="O92" s="22">
        <f t="shared" si="143"/>
        <v>0</v>
      </c>
      <c r="P92" s="22"/>
      <c r="Q92" s="22"/>
      <c r="R92" s="22">
        <f t="shared" si="145"/>
        <v>0</v>
      </c>
      <c r="S92" s="22"/>
      <c r="T92" s="22"/>
      <c r="U92" s="14"/>
      <c r="V92" s="5" t="str">
        <f t="shared" si="147"/>
        <v>-</v>
      </c>
    </row>
    <row r="93" spans="1:22" ht="25.5" customHeight="1" x14ac:dyDescent="0.6">
      <c r="A93" s="30" t="s">
        <v>6</v>
      </c>
      <c r="B93" s="22"/>
      <c r="C93" s="22">
        <f t="shared" si="136"/>
        <v>0</v>
      </c>
      <c r="D93" s="22"/>
      <c r="E93" s="22"/>
      <c r="F93" s="22">
        <f t="shared" si="137"/>
        <v>0</v>
      </c>
      <c r="G93" s="22"/>
      <c r="H93" s="22"/>
      <c r="I93" s="22">
        <f t="shared" si="139"/>
        <v>0</v>
      </c>
      <c r="J93" s="22"/>
      <c r="K93" s="22"/>
      <c r="L93" s="22">
        <f t="shared" si="141"/>
        <v>0</v>
      </c>
      <c r="M93" s="22"/>
      <c r="N93" s="22"/>
      <c r="O93" s="22">
        <f t="shared" si="143"/>
        <v>0</v>
      </c>
      <c r="P93" s="22"/>
      <c r="Q93" s="22"/>
      <c r="R93" s="22">
        <f t="shared" si="145"/>
        <v>0</v>
      </c>
      <c r="S93" s="22"/>
      <c r="T93" s="22"/>
      <c r="U93" s="14"/>
      <c r="V93" s="5" t="str">
        <f t="shared" si="147"/>
        <v>-</v>
      </c>
    </row>
    <row r="94" spans="1:22" ht="25.15" customHeight="1" x14ac:dyDescent="0.6">
      <c r="A94" s="28" t="s">
        <v>4</v>
      </c>
      <c r="B94" s="26">
        <f>SUM(B95:B96)</f>
        <v>0</v>
      </c>
      <c r="C94" s="26">
        <f t="shared" si="136"/>
        <v>0</v>
      </c>
      <c r="D94" s="26">
        <f>SUM(D95:D96)</f>
        <v>0</v>
      </c>
      <c r="E94" s="26">
        <f>SUM(E95:E96)</f>
        <v>0</v>
      </c>
      <c r="F94" s="26">
        <f t="shared" si="137"/>
        <v>0</v>
      </c>
      <c r="G94" s="26">
        <f t="shared" ref="G94:H94" si="228">SUM(G95:G96)</f>
        <v>0</v>
      </c>
      <c r="H94" s="26">
        <f t="shared" si="228"/>
        <v>0</v>
      </c>
      <c r="I94" s="26">
        <f t="shared" si="139"/>
        <v>0</v>
      </c>
      <c r="J94" s="26">
        <f t="shared" ref="J94:K94" si="229">SUM(J95:J96)</f>
        <v>0</v>
      </c>
      <c r="K94" s="26">
        <f t="shared" si="229"/>
        <v>0</v>
      </c>
      <c r="L94" s="26">
        <f t="shared" si="141"/>
        <v>0</v>
      </c>
      <c r="M94" s="26">
        <f t="shared" ref="M94:N94" si="230">SUM(M95:M96)</f>
        <v>0</v>
      </c>
      <c r="N94" s="26">
        <f t="shared" si="230"/>
        <v>0</v>
      </c>
      <c r="O94" s="26">
        <f t="shared" si="143"/>
        <v>0</v>
      </c>
      <c r="P94" s="26">
        <f t="shared" ref="P94:Q94" si="231">SUM(P95:P96)</f>
        <v>0</v>
      </c>
      <c r="Q94" s="26">
        <f t="shared" si="231"/>
        <v>0</v>
      </c>
      <c r="R94" s="26">
        <f t="shared" si="145"/>
        <v>0</v>
      </c>
      <c r="S94" s="26">
        <f t="shared" ref="S94:T94" si="232">SUM(S95:S96)</f>
        <v>0</v>
      </c>
      <c r="T94" s="26">
        <f t="shared" si="232"/>
        <v>0</v>
      </c>
      <c r="U94" s="29"/>
      <c r="V94" s="5" t="str">
        <f t="shared" si="147"/>
        <v>-</v>
      </c>
    </row>
    <row r="95" spans="1:22" ht="25.15" customHeight="1" x14ac:dyDescent="0.6">
      <c r="A95" s="30" t="s">
        <v>7</v>
      </c>
      <c r="B95" s="22"/>
      <c r="C95" s="22">
        <f t="shared" si="136"/>
        <v>0</v>
      </c>
      <c r="D95" s="22"/>
      <c r="E95" s="22"/>
      <c r="F95" s="22">
        <f t="shared" si="137"/>
        <v>0</v>
      </c>
      <c r="G95" s="22"/>
      <c r="H95" s="22"/>
      <c r="I95" s="22">
        <f t="shared" si="139"/>
        <v>0</v>
      </c>
      <c r="J95" s="22"/>
      <c r="K95" s="22"/>
      <c r="L95" s="22">
        <f t="shared" si="141"/>
        <v>0</v>
      </c>
      <c r="M95" s="22"/>
      <c r="N95" s="22"/>
      <c r="O95" s="22">
        <f t="shared" si="143"/>
        <v>0</v>
      </c>
      <c r="P95" s="22"/>
      <c r="Q95" s="22"/>
      <c r="R95" s="22">
        <f t="shared" si="145"/>
        <v>0</v>
      </c>
      <c r="S95" s="22"/>
      <c r="T95" s="22"/>
      <c r="U95" s="14"/>
      <c r="V95" s="5" t="str">
        <f t="shared" si="147"/>
        <v>-</v>
      </c>
    </row>
    <row r="96" spans="1:22" ht="25.15" customHeight="1" x14ac:dyDescent="0.6">
      <c r="A96" s="30" t="s">
        <v>8</v>
      </c>
      <c r="B96" s="22"/>
      <c r="C96" s="22">
        <f t="shared" si="136"/>
        <v>0</v>
      </c>
      <c r="D96" s="22"/>
      <c r="E96" s="22"/>
      <c r="F96" s="22">
        <f t="shared" si="137"/>
        <v>0</v>
      </c>
      <c r="G96" s="22"/>
      <c r="H96" s="22"/>
      <c r="I96" s="22">
        <f t="shared" si="139"/>
        <v>0</v>
      </c>
      <c r="J96" s="22"/>
      <c r="K96" s="22"/>
      <c r="L96" s="22">
        <f t="shared" si="141"/>
        <v>0</v>
      </c>
      <c r="M96" s="22"/>
      <c r="N96" s="22"/>
      <c r="O96" s="22">
        <f t="shared" si="143"/>
        <v>0</v>
      </c>
      <c r="P96" s="22"/>
      <c r="Q96" s="22"/>
      <c r="R96" s="22">
        <f t="shared" si="145"/>
        <v>0</v>
      </c>
      <c r="S96" s="22"/>
      <c r="T96" s="22"/>
      <c r="U96" s="14"/>
      <c r="V96" s="5" t="str">
        <f t="shared" si="147"/>
        <v>-</v>
      </c>
    </row>
    <row r="97" spans="1:22" ht="25.15" customHeight="1" x14ac:dyDescent="0.6">
      <c r="A97" s="25" t="s">
        <v>9</v>
      </c>
      <c r="B97" s="26">
        <f>B98+B101</f>
        <v>0</v>
      </c>
      <c r="C97" s="26">
        <f t="shared" si="136"/>
        <v>0</v>
      </c>
      <c r="D97" s="26">
        <f>D98+D101</f>
        <v>0</v>
      </c>
      <c r="E97" s="26">
        <f>E98+E101</f>
        <v>0</v>
      </c>
      <c r="F97" s="26">
        <f t="shared" si="137"/>
        <v>0</v>
      </c>
      <c r="G97" s="26">
        <f t="shared" ref="G97:H97" si="233">G98+G101</f>
        <v>0</v>
      </c>
      <c r="H97" s="26">
        <f t="shared" si="233"/>
        <v>0</v>
      </c>
      <c r="I97" s="26">
        <f t="shared" si="139"/>
        <v>0</v>
      </c>
      <c r="J97" s="26">
        <f t="shared" ref="J97:K97" si="234">J98+J101</f>
        <v>0</v>
      </c>
      <c r="K97" s="26">
        <f t="shared" si="234"/>
        <v>0</v>
      </c>
      <c r="L97" s="26">
        <f t="shared" si="141"/>
        <v>0</v>
      </c>
      <c r="M97" s="26">
        <f t="shared" ref="M97:N97" si="235">M98+M101</f>
        <v>0</v>
      </c>
      <c r="N97" s="26">
        <f t="shared" si="235"/>
        <v>0</v>
      </c>
      <c r="O97" s="26">
        <f t="shared" si="143"/>
        <v>0</v>
      </c>
      <c r="P97" s="26">
        <f t="shared" ref="P97:Q97" si="236">P98+P101</f>
        <v>0</v>
      </c>
      <c r="Q97" s="26">
        <f t="shared" si="236"/>
        <v>0</v>
      </c>
      <c r="R97" s="26">
        <f t="shared" si="145"/>
        <v>0</v>
      </c>
      <c r="S97" s="26">
        <f t="shared" ref="S97:T97" si="237">S98+S101</f>
        <v>0</v>
      </c>
      <c r="T97" s="26">
        <f t="shared" si="237"/>
        <v>0</v>
      </c>
      <c r="U97" s="27"/>
      <c r="V97" s="5" t="str">
        <f t="shared" si="147"/>
        <v>-</v>
      </c>
    </row>
    <row r="98" spans="1:22" ht="25.15" customHeight="1" x14ac:dyDescent="0.6">
      <c r="A98" s="28" t="s">
        <v>3</v>
      </c>
      <c r="B98" s="26">
        <f>SUM(B99:B100)</f>
        <v>0</v>
      </c>
      <c r="C98" s="26">
        <f t="shared" si="136"/>
        <v>0</v>
      </c>
      <c r="D98" s="26">
        <f>SUM(D99:D100)</f>
        <v>0</v>
      </c>
      <c r="E98" s="26">
        <f>SUM(E99:E100)</f>
        <v>0</v>
      </c>
      <c r="F98" s="26">
        <f t="shared" si="137"/>
        <v>0</v>
      </c>
      <c r="G98" s="26">
        <f t="shared" ref="G98:H98" si="238">SUM(G99:G100)</f>
        <v>0</v>
      </c>
      <c r="H98" s="26">
        <f t="shared" si="238"/>
        <v>0</v>
      </c>
      <c r="I98" s="26">
        <f t="shared" si="139"/>
        <v>0</v>
      </c>
      <c r="J98" s="26">
        <f t="shared" ref="J98:K98" si="239">SUM(J99:J100)</f>
        <v>0</v>
      </c>
      <c r="K98" s="26">
        <f t="shared" si="239"/>
        <v>0</v>
      </c>
      <c r="L98" s="26">
        <f t="shared" si="141"/>
        <v>0</v>
      </c>
      <c r="M98" s="26">
        <f t="shared" ref="M98:N98" si="240">SUM(M99:M100)</f>
        <v>0</v>
      </c>
      <c r="N98" s="26">
        <f t="shared" si="240"/>
        <v>0</v>
      </c>
      <c r="O98" s="26">
        <f t="shared" si="143"/>
        <v>0</v>
      </c>
      <c r="P98" s="26">
        <f t="shared" ref="P98:Q98" si="241">SUM(P99:P100)</f>
        <v>0</v>
      </c>
      <c r="Q98" s="26">
        <f t="shared" si="241"/>
        <v>0</v>
      </c>
      <c r="R98" s="26">
        <f t="shared" si="145"/>
        <v>0</v>
      </c>
      <c r="S98" s="26">
        <f t="shared" ref="S98:T98" si="242">SUM(S99:S100)</f>
        <v>0</v>
      </c>
      <c r="T98" s="26">
        <f t="shared" si="242"/>
        <v>0</v>
      </c>
      <c r="U98" s="29"/>
      <c r="V98" s="5" t="str">
        <f t="shared" si="147"/>
        <v>-</v>
      </c>
    </row>
    <row r="99" spans="1:22" ht="25.15" customHeight="1" x14ac:dyDescent="0.6">
      <c r="A99" s="30" t="s">
        <v>5</v>
      </c>
      <c r="B99" s="22"/>
      <c r="C99" s="22">
        <f t="shared" si="136"/>
        <v>0</v>
      </c>
      <c r="D99" s="22"/>
      <c r="E99" s="22"/>
      <c r="F99" s="22">
        <f t="shared" si="137"/>
        <v>0</v>
      </c>
      <c r="G99" s="22"/>
      <c r="H99" s="22"/>
      <c r="I99" s="22">
        <f t="shared" si="139"/>
        <v>0</v>
      </c>
      <c r="J99" s="22"/>
      <c r="K99" s="22"/>
      <c r="L99" s="22">
        <f t="shared" si="141"/>
        <v>0</v>
      </c>
      <c r="M99" s="22"/>
      <c r="N99" s="22"/>
      <c r="O99" s="22">
        <f t="shared" si="143"/>
        <v>0</v>
      </c>
      <c r="P99" s="22"/>
      <c r="Q99" s="22"/>
      <c r="R99" s="22">
        <f t="shared" si="145"/>
        <v>0</v>
      </c>
      <c r="S99" s="22"/>
      <c r="T99" s="22"/>
      <c r="U99" s="14"/>
      <c r="V99" s="5" t="str">
        <f t="shared" si="147"/>
        <v>-</v>
      </c>
    </row>
    <row r="100" spans="1:22" ht="25.15" customHeight="1" x14ac:dyDescent="0.6">
      <c r="A100" s="30" t="s">
        <v>6</v>
      </c>
      <c r="B100" s="22"/>
      <c r="C100" s="22">
        <f t="shared" si="136"/>
        <v>0</v>
      </c>
      <c r="D100" s="22"/>
      <c r="E100" s="22"/>
      <c r="F100" s="22">
        <f t="shared" si="137"/>
        <v>0</v>
      </c>
      <c r="G100" s="22"/>
      <c r="H100" s="22"/>
      <c r="I100" s="22">
        <f t="shared" si="139"/>
        <v>0</v>
      </c>
      <c r="J100" s="22"/>
      <c r="K100" s="22"/>
      <c r="L100" s="22">
        <f t="shared" si="141"/>
        <v>0</v>
      </c>
      <c r="M100" s="22"/>
      <c r="N100" s="22"/>
      <c r="O100" s="22">
        <f t="shared" si="143"/>
        <v>0</v>
      </c>
      <c r="P100" s="22"/>
      <c r="Q100" s="22"/>
      <c r="R100" s="22">
        <f t="shared" si="145"/>
        <v>0</v>
      </c>
      <c r="S100" s="22"/>
      <c r="T100" s="22"/>
      <c r="U100" s="14"/>
      <c r="V100" s="5" t="str">
        <f t="shared" si="147"/>
        <v>-</v>
      </c>
    </row>
    <row r="101" spans="1:22" ht="25.15" customHeight="1" x14ac:dyDescent="0.6">
      <c r="A101" s="28" t="s">
        <v>4</v>
      </c>
      <c r="B101" s="26">
        <f>SUM(B102:B103)</f>
        <v>0</v>
      </c>
      <c r="C101" s="26">
        <f t="shared" si="136"/>
        <v>0</v>
      </c>
      <c r="D101" s="26">
        <f>SUM(D102:D103)</f>
        <v>0</v>
      </c>
      <c r="E101" s="26">
        <f>SUM(E102:E103)</f>
        <v>0</v>
      </c>
      <c r="F101" s="26">
        <f t="shared" si="137"/>
        <v>0</v>
      </c>
      <c r="G101" s="26">
        <f t="shared" ref="G101:H101" si="243">SUM(G102:G103)</f>
        <v>0</v>
      </c>
      <c r="H101" s="26">
        <f t="shared" si="243"/>
        <v>0</v>
      </c>
      <c r="I101" s="26">
        <f t="shared" si="139"/>
        <v>0</v>
      </c>
      <c r="J101" s="26">
        <f t="shared" ref="J101:K101" si="244">SUM(J102:J103)</f>
        <v>0</v>
      </c>
      <c r="K101" s="26">
        <f t="shared" si="244"/>
        <v>0</v>
      </c>
      <c r="L101" s="26">
        <f t="shared" si="141"/>
        <v>0</v>
      </c>
      <c r="M101" s="26">
        <f t="shared" ref="M101:N101" si="245">SUM(M102:M103)</f>
        <v>0</v>
      </c>
      <c r="N101" s="26">
        <f t="shared" si="245"/>
        <v>0</v>
      </c>
      <c r="O101" s="26">
        <f t="shared" si="143"/>
        <v>0</v>
      </c>
      <c r="P101" s="26">
        <f t="shared" ref="P101:Q101" si="246">SUM(P102:P103)</f>
        <v>0</v>
      </c>
      <c r="Q101" s="26">
        <f t="shared" si="246"/>
        <v>0</v>
      </c>
      <c r="R101" s="26">
        <f t="shared" si="145"/>
        <v>0</v>
      </c>
      <c r="S101" s="26">
        <f t="shared" ref="S101:T101" si="247">SUM(S102:S103)</f>
        <v>0</v>
      </c>
      <c r="T101" s="26">
        <f t="shared" si="247"/>
        <v>0</v>
      </c>
      <c r="U101" s="29"/>
      <c r="V101" s="5" t="str">
        <f t="shared" si="147"/>
        <v>-</v>
      </c>
    </row>
    <row r="102" spans="1:22" ht="25.15" customHeight="1" x14ac:dyDescent="0.6">
      <c r="A102" s="30" t="s">
        <v>7</v>
      </c>
      <c r="B102" s="22"/>
      <c r="C102" s="22">
        <f t="shared" si="136"/>
        <v>0</v>
      </c>
      <c r="D102" s="22"/>
      <c r="E102" s="22"/>
      <c r="F102" s="22">
        <f t="shared" si="137"/>
        <v>0</v>
      </c>
      <c r="G102" s="22"/>
      <c r="H102" s="22"/>
      <c r="I102" s="22">
        <f t="shared" si="139"/>
        <v>0</v>
      </c>
      <c r="J102" s="22"/>
      <c r="K102" s="22"/>
      <c r="L102" s="22">
        <f t="shared" si="141"/>
        <v>0</v>
      </c>
      <c r="M102" s="22"/>
      <c r="N102" s="22"/>
      <c r="O102" s="22">
        <f t="shared" si="143"/>
        <v>0</v>
      </c>
      <c r="P102" s="22"/>
      <c r="Q102" s="22"/>
      <c r="R102" s="22">
        <f t="shared" si="145"/>
        <v>0</v>
      </c>
      <c r="S102" s="22"/>
      <c r="T102" s="22"/>
      <c r="U102" s="14"/>
      <c r="V102" s="5" t="str">
        <f t="shared" si="147"/>
        <v>-</v>
      </c>
    </row>
    <row r="103" spans="1:22" ht="25.15" customHeight="1" x14ac:dyDescent="0.6">
      <c r="A103" s="30" t="s">
        <v>8</v>
      </c>
      <c r="B103" s="22"/>
      <c r="C103" s="22">
        <f t="shared" si="136"/>
        <v>0</v>
      </c>
      <c r="D103" s="22"/>
      <c r="E103" s="22"/>
      <c r="F103" s="22">
        <f t="shared" si="137"/>
        <v>0</v>
      </c>
      <c r="G103" s="22"/>
      <c r="H103" s="22"/>
      <c r="I103" s="22">
        <f t="shared" si="139"/>
        <v>0</v>
      </c>
      <c r="J103" s="22"/>
      <c r="K103" s="22"/>
      <c r="L103" s="22">
        <f t="shared" si="141"/>
        <v>0</v>
      </c>
      <c r="M103" s="22"/>
      <c r="N103" s="22"/>
      <c r="O103" s="22">
        <f t="shared" si="143"/>
        <v>0</v>
      </c>
      <c r="P103" s="22"/>
      <c r="Q103" s="22"/>
      <c r="R103" s="22">
        <f t="shared" si="145"/>
        <v>0</v>
      </c>
      <c r="S103" s="22"/>
      <c r="T103" s="22"/>
      <c r="U103" s="14"/>
      <c r="V103" s="5" t="str">
        <f t="shared" si="147"/>
        <v>-</v>
      </c>
    </row>
    <row r="104" spans="1:22" ht="25.15" customHeight="1" x14ac:dyDescent="0.6">
      <c r="A104" s="32" t="s">
        <v>49</v>
      </c>
      <c r="B104" s="33">
        <f>B105</f>
        <v>9000</v>
      </c>
      <c r="C104" s="33">
        <f>D104+E104</f>
        <v>20414.8</v>
      </c>
      <c r="D104" s="33">
        <f>D105+D151+D233</f>
        <v>1184.8</v>
      </c>
      <c r="E104" s="33">
        <f>E105+E151+E233</f>
        <v>19230</v>
      </c>
      <c r="F104" s="33">
        <f>G104+H104</f>
        <v>14690.5</v>
      </c>
      <c r="G104" s="33">
        <f t="shared" ref="G104:H104" si="248">G105+G151+G233</f>
        <v>5703.2999999999993</v>
      </c>
      <c r="H104" s="33">
        <f t="shared" si="248"/>
        <v>8987.2000000000007</v>
      </c>
      <c r="I104" s="33">
        <f>J104+K104</f>
        <v>0</v>
      </c>
      <c r="J104" s="33">
        <f t="shared" ref="J104:K104" si="249">J105+J151+J233</f>
        <v>0</v>
      </c>
      <c r="K104" s="33">
        <f t="shared" si="249"/>
        <v>0</v>
      </c>
      <c r="L104" s="33">
        <f>M104+N104</f>
        <v>12000</v>
      </c>
      <c r="M104" s="33">
        <f t="shared" ref="M104:N104" si="250">M105+M151+M233</f>
        <v>0</v>
      </c>
      <c r="N104" s="33">
        <f t="shared" si="250"/>
        <v>12000</v>
      </c>
      <c r="O104" s="33">
        <f>P104+Q104</f>
        <v>4518.5</v>
      </c>
      <c r="P104" s="33">
        <f t="shared" ref="P104:Q104" si="251">P105+P151+P233</f>
        <v>4518.5</v>
      </c>
      <c r="Q104" s="33">
        <f t="shared" si="251"/>
        <v>0</v>
      </c>
      <c r="R104" s="33">
        <f>S104+T104</f>
        <v>0</v>
      </c>
      <c r="S104" s="33">
        <f t="shared" ref="S104:T104" si="252">S105+S151+S233</f>
        <v>0</v>
      </c>
      <c r="T104" s="33">
        <f t="shared" si="252"/>
        <v>0</v>
      </c>
      <c r="U104" s="34"/>
      <c r="V104" s="5" t="str">
        <f>IF((B104+C104+F104+L104+O104)&lt;&gt;0,"ok","-")</f>
        <v>ok</v>
      </c>
    </row>
    <row r="105" spans="1:22" ht="25.15" customHeight="1" x14ac:dyDescent="0.6">
      <c r="A105" s="17" t="s">
        <v>31</v>
      </c>
      <c r="B105" s="21">
        <f>B106</f>
        <v>9000</v>
      </c>
      <c r="C105" s="21">
        <f>D105+E105</f>
        <v>8444.4</v>
      </c>
      <c r="D105" s="21">
        <f>D106+D121+D136</f>
        <v>444.4</v>
      </c>
      <c r="E105" s="21">
        <f>E106+E121+E136</f>
        <v>8000</v>
      </c>
      <c r="F105" s="21">
        <f>G105+H105</f>
        <v>4962.8999999999996</v>
      </c>
      <c r="G105" s="21">
        <f>G106+G121+G136</f>
        <v>4962.8999999999996</v>
      </c>
      <c r="H105" s="21">
        <f>H106+H121+H136</f>
        <v>0</v>
      </c>
      <c r="I105" s="21">
        <f>J105+K105</f>
        <v>0</v>
      </c>
      <c r="J105" s="21">
        <f>J106+J121+J136</f>
        <v>0</v>
      </c>
      <c r="K105" s="21">
        <f>K106+K121+K136</f>
        <v>0</v>
      </c>
      <c r="L105" s="21">
        <f>M105+N105</f>
        <v>12000</v>
      </c>
      <c r="M105" s="21">
        <f>M106+M121+M136</f>
        <v>0</v>
      </c>
      <c r="N105" s="21">
        <f>N106+N121+N136</f>
        <v>12000</v>
      </c>
      <c r="O105" s="21">
        <f>P105+Q105</f>
        <v>4518.5</v>
      </c>
      <c r="P105" s="21">
        <f>P106+P121+P136</f>
        <v>4518.5</v>
      </c>
      <c r="Q105" s="21">
        <f>Q106+Q121+Q136</f>
        <v>0</v>
      </c>
      <c r="R105" s="21">
        <f>S105+T105</f>
        <v>0</v>
      </c>
      <c r="S105" s="21">
        <f>S106+S121+S136</f>
        <v>0</v>
      </c>
      <c r="T105" s="21">
        <f>T106+T121+T136</f>
        <v>0</v>
      </c>
      <c r="U105" s="19"/>
      <c r="V105" s="5" t="str">
        <f>IF((B105+C105+F105+L105+O105)&lt;&gt;0,"ok","-")</f>
        <v>ok</v>
      </c>
    </row>
    <row r="106" spans="1:22" ht="25.15" customHeight="1" x14ac:dyDescent="0.6">
      <c r="A106" s="18" t="s">
        <v>32</v>
      </c>
      <c r="B106" s="23">
        <f>B107+B114</f>
        <v>9000</v>
      </c>
      <c r="C106" s="23">
        <f t="shared" ref="C106:C150" si="253">D106+E106</f>
        <v>8000</v>
      </c>
      <c r="D106" s="23">
        <f>D107+D114</f>
        <v>0</v>
      </c>
      <c r="E106" s="23">
        <f>E107+E114</f>
        <v>8000</v>
      </c>
      <c r="F106" s="23">
        <f t="shared" ref="F106:F150" si="254">G106+H106</f>
        <v>4518.5</v>
      </c>
      <c r="G106" s="23">
        <f t="shared" ref="G106:H106" si="255">G107+G114</f>
        <v>4518.5</v>
      </c>
      <c r="H106" s="23">
        <f t="shared" si="255"/>
        <v>0</v>
      </c>
      <c r="I106" s="23">
        <f t="shared" ref="I106:I150" si="256">J106+K106</f>
        <v>0</v>
      </c>
      <c r="J106" s="23">
        <f t="shared" ref="J106:K106" si="257">J107+J114</f>
        <v>0</v>
      </c>
      <c r="K106" s="23">
        <f t="shared" si="257"/>
        <v>0</v>
      </c>
      <c r="L106" s="23">
        <f t="shared" ref="L106:L150" si="258">M106+N106</f>
        <v>12000</v>
      </c>
      <c r="M106" s="23">
        <f t="shared" ref="M106:N106" si="259">M107+M114</f>
        <v>0</v>
      </c>
      <c r="N106" s="23">
        <f t="shared" si="259"/>
        <v>12000</v>
      </c>
      <c r="O106" s="23">
        <f t="shared" ref="O106:O150" si="260">P106+Q106</f>
        <v>4518.5</v>
      </c>
      <c r="P106" s="23">
        <f t="shared" ref="P106:Q106" si="261">P107+P114</f>
        <v>4518.5</v>
      </c>
      <c r="Q106" s="23">
        <f t="shared" si="261"/>
        <v>0</v>
      </c>
      <c r="R106" s="23">
        <f t="shared" ref="R106:R150" si="262">S106+T106</f>
        <v>0</v>
      </c>
      <c r="S106" s="23">
        <f t="shared" ref="S106:T106" si="263">S107+S114</f>
        <v>0</v>
      </c>
      <c r="T106" s="23">
        <f t="shared" si="263"/>
        <v>0</v>
      </c>
      <c r="U106" s="20"/>
      <c r="V106" s="5" t="str">
        <f t="shared" ref="V106:V150" si="264">IF((B106+C106+F106+L106+O106)&lt;&gt;0,"ok","-")</f>
        <v>ok</v>
      </c>
    </row>
    <row r="107" spans="1:22" ht="25.15" customHeight="1" x14ac:dyDescent="0.6">
      <c r="A107" s="25" t="s">
        <v>2</v>
      </c>
      <c r="B107" s="26">
        <f>B108+B111</f>
        <v>9000</v>
      </c>
      <c r="C107" s="26">
        <f t="shared" si="253"/>
        <v>8000</v>
      </c>
      <c r="D107" s="26">
        <f>D108+D111</f>
        <v>0</v>
      </c>
      <c r="E107" s="26">
        <f>E108+E111</f>
        <v>8000</v>
      </c>
      <c r="F107" s="26">
        <f t="shared" si="254"/>
        <v>4518.5</v>
      </c>
      <c r="G107" s="26">
        <f t="shared" ref="G107:H107" si="265">G108+G111</f>
        <v>4518.5</v>
      </c>
      <c r="H107" s="26">
        <f t="shared" si="265"/>
        <v>0</v>
      </c>
      <c r="I107" s="26">
        <f t="shared" si="256"/>
        <v>0</v>
      </c>
      <c r="J107" s="26">
        <f t="shared" ref="J107:K107" si="266">J108+J111</f>
        <v>0</v>
      </c>
      <c r="K107" s="26">
        <f t="shared" si="266"/>
        <v>0</v>
      </c>
      <c r="L107" s="26">
        <f t="shared" si="258"/>
        <v>12000</v>
      </c>
      <c r="M107" s="26">
        <f t="shared" ref="M107:N107" si="267">M108+M111</f>
        <v>0</v>
      </c>
      <c r="N107" s="26">
        <f t="shared" si="267"/>
        <v>12000</v>
      </c>
      <c r="O107" s="26">
        <f t="shared" si="260"/>
        <v>4518.5</v>
      </c>
      <c r="P107" s="26">
        <f t="shared" ref="P107:Q107" si="268">P108+P111</f>
        <v>4518.5</v>
      </c>
      <c r="Q107" s="26">
        <f t="shared" si="268"/>
        <v>0</v>
      </c>
      <c r="R107" s="26">
        <f t="shared" si="262"/>
        <v>0</v>
      </c>
      <c r="S107" s="26">
        <f t="shared" ref="S107:T107" si="269">S108+S111</f>
        <v>0</v>
      </c>
      <c r="T107" s="26">
        <f t="shared" si="269"/>
        <v>0</v>
      </c>
      <c r="U107" s="27"/>
      <c r="V107" s="5" t="str">
        <f t="shared" si="264"/>
        <v>ok</v>
      </c>
    </row>
    <row r="108" spans="1:22" ht="25.15" customHeight="1" x14ac:dyDescent="0.6">
      <c r="A108" s="28" t="s">
        <v>3</v>
      </c>
      <c r="B108" s="26">
        <f>SUM(B109:B110)</f>
        <v>9000</v>
      </c>
      <c r="C108" s="26">
        <f t="shared" si="253"/>
        <v>8000</v>
      </c>
      <c r="D108" s="26">
        <f>SUM(D109:D110)</f>
        <v>0</v>
      </c>
      <c r="E108" s="26">
        <f>SUM(E109:E110)</f>
        <v>8000</v>
      </c>
      <c r="F108" s="26">
        <f t="shared" si="254"/>
        <v>4518.5</v>
      </c>
      <c r="G108" s="26">
        <f t="shared" ref="G108:H108" si="270">SUM(G109:G110)</f>
        <v>4518.5</v>
      </c>
      <c r="H108" s="26">
        <f t="shared" si="270"/>
        <v>0</v>
      </c>
      <c r="I108" s="26">
        <f t="shared" si="256"/>
        <v>0</v>
      </c>
      <c r="J108" s="26">
        <f t="shared" ref="J108:K108" si="271">SUM(J109:J110)</f>
        <v>0</v>
      </c>
      <c r="K108" s="26">
        <f t="shared" si="271"/>
        <v>0</v>
      </c>
      <c r="L108" s="26">
        <f t="shared" si="258"/>
        <v>12000</v>
      </c>
      <c r="M108" s="26">
        <f t="shared" ref="M108:N108" si="272">SUM(M109:M110)</f>
        <v>0</v>
      </c>
      <c r="N108" s="26">
        <f t="shared" si="272"/>
        <v>12000</v>
      </c>
      <c r="O108" s="26">
        <f t="shared" si="260"/>
        <v>4518.5</v>
      </c>
      <c r="P108" s="26">
        <f t="shared" ref="P108:Q108" si="273">SUM(P109:P110)</f>
        <v>4518.5</v>
      </c>
      <c r="Q108" s="26">
        <f t="shared" si="273"/>
        <v>0</v>
      </c>
      <c r="R108" s="26">
        <f t="shared" si="262"/>
        <v>0</v>
      </c>
      <c r="S108" s="26">
        <f t="shared" ref="S108:T108" si="274">SUM(S109:S110)</f>
        <v>0</v>
      </c>
      <c r="T108" s="26">
        <f t="shared" si="274"/>
        <v>0</v>
      </c>
      <c r="U108" s="29"/>
      <c r="V108" s="5" t="str">
        <f t="shared" si="264"/>
        <v>ok</v>
      </c>
    </row>
    <row r="109" spans="1:22" ht="50.5" x14ac:dyDescent="0.6">
      <c r="A109" s="30" t="s">
        <v>50</v>
      </c>
      <c r="B109" s="22">
        <v>9000</v>
      </c>
      <c r="C109" s="22">
        <f t="shared" si="253"/>
        <v>8000</v>
      </c>
      <c r="D109" s="22"/>
      <c r="E109" s="22">
        <v>8000</v>
      </c>
      <c r="F109" s="22">
        <f t="shared" si="254"/>
        <v>4518.5</v>
      </c>
      <c r="G109" s="22">
        <v>4518.5</v>
      </c>
      <c r="H109" s="22"/>
      <c r="I109" s="22">
        <f t="shared" si="256"/>
        <v>0</v>
      </c>
      <c r="J109" s="22"/>
      <c r="K109" s="22"/>
      <c r="L109" s="22">
        <f t="shared" si="258"/>
        <v>12000</v>
      </c>
      <c r="M109" s="22"/>
      <c r="N109" s="22">
        <v>12000</v>
      </c>
      <c r="O109" s="22">
        <f t="shared" si="260"/>
        <v>4518.5</v>
      </c>
      <c r="P109" s="22">
        <v>4518.5</v>
      </c>
      <c r="Q109" s="22"/>
      <c r="R109" s="22">
        <f t="shared" si="262"/>
        <v>0</v>
      </c>
      <c r="S109" s="22"/>
      <c r="T109" s="22"/>
      <c r="U109" s="14"/>
      <c r="V109" s="5" t="str">
        <f t="shared" si="264"/>
        <v>ok</v>
      </c>
    </row>
    <row r="110" spans="1:22" ht="25.5" customHeight="1" x14ac:dyDescent="0.6">
      <c r="A110" s="30" t="s">
        <v>6</v>
      </c>
      <c r="B110" s="22"/>
      <c r="C110" s="22">
        <f t="shared" si="253"/>
        <v>0</v>
      </c>
      <c r="D110" s="22"/>
      <c r="E110" s="22"/>
      <c r="F110" s="22">
        <f t="shared" si="254"/>
        <v>0</v>
      </c>
      <c r="G110" s="22"/>
      <c r="H110" s="22"/>
      <c r="I110" s="22">
        <f t="shared" si="256"/>
        <v>0</v>
      </c>
      <c r="J110" s="22"/>
      <c r="K110" s="22"/>
      <c r="L110" s="22">
        <f t="shared" si="258"/>
        <v>0</v>
      </c>
      <c r="M110" s="22"/>
      <c r="N110" s="22"/>
      <c r="O110" s="22">
        <f t="shared" si="260"/>
        <v>0</v>
      </c>
      <c r="P110" s="22"/>
      <c r="Q110" s="22"/>
      <c r="R110" s="22">
        <f t="shared" si="262"/>
        <v>0</v>
      </c>
      <c r="S110" s="22"/>
      <c r="T110" s="22"/>
      <c r="U110" s="14"/>
      <c r="V110" s="5" t="str">
        <f t="shared" si="264"/>
        <v>-</v>
      </c>
    </row>
    <row r="111" spans="1:22" ht="25.15" customHeight="1" x14ac:dyDescent="0.6">
      <c r="A111" s="28" t="s">
        <v>4</v>
      </c>
      <c r="B111" s="26">
        <f>SUM(B112:B113)</f>
        <v>0</v>
      </c>
      <c r="C111" s="26">
        <f t="shared" si="253"/>
        <v>0</v>
      </c>
      <c r="D111" s="26">
        <f>SUM(D112:D113)</f>
        <v>0</v>
      </c>
      <c r="E111" s="26">
        <f>SUM(E112:E113)</f>
        <v>0</v>
      </c>
      <c r="F111" s="26">
        <f t="shared" si="254"/>
        <v>0</v>
      </c>
      <c r="G111" s="26">
        <f t="shared" ref="G111:H111" si="275">SUM(G112:G113)</f>
        <v>0</v>
      </c>
      <c r="H111" s="26">
        <f t="shared" si="275"/>
        <v>0</v>
      </c>
      <c r="I111" s="26">
        <f t="shared" si="256"/>
        <v>0</v>
      </c>
      <c r="J111" s="26">
        <f t="shared" ref="J111:K111" si="276">SUM(J112:J113)</f>
        <v>0</v>
      </c>
      <c r="K111" s="26">
        <f t="shared" si="276"/>
        <v>0</v>
      </c>
      <c r="L111" s="26">
        <f t="shared" si="258"/>
        <v>0</v>
      </c>
      <c r="M111" s="26">
        <f t="shared" ref="M111:N111" si="277">SUM(M112:M113)</f>
        <v>0</v>
      </c>
      <c r="N111" s="26">
        <f t="shared" si="277"/>
        <v>0</v>
      </c>
      <c r="O111" s="26">
        <f t="shared" si="260"/>
        <v>0</v>
      </c>
      <c r="P111" s="26">
        <f t="shared" ref="P111:Q111" si="278">SUM(P112:P113)</f>
        <v>0</v>
      </c>
      <c r="Q111" s="26">
        <f t="shared" si="278"/>
        <v>0</v>
      </c>
      <c r="R111" s="26">
        <f t="shared" si="262"/>
        <v>0</v>
      </c>
      <c r="S111" s="26">
        <f t="shared" ref="S111:T111" si="279">SUM(S112:S113)</f>
        <v>0</v>
      </c>
      <c r="T111" s="26">
        <f t="shared" si="279"/>
        <v>0</v>
      </c>
      <c r="U111" s="29"/>
      <c r="V111" s="5" t="str">
        <f t="shared" si="264"/>
        <v>-</v>
      </c>
    </row>
    <row r="112" spans="1:22" ht="25.15" customHeight="1" x14ac:dyDescent="0.6">
      <c r="A112" s="30" t="s">
        <v>7</v>
      </c>
      <c r="B112" s="22"/>
      <c r="C112" s="22">
        <f t="shared" si="253"/>
        <v>0</v>
      </c>
      <c r="D112" s="22"/>
      <c r="E112" s="22"/>
      <c r="F112" s="22">
        <f t="shared" si="254"/>
        <v>0</v>
      </c>
      <c r="G112" s="22"/>
      <c r="H112" s="22"/>
      <c r="I112" s="22">
        <f t="shared" si="256"/>
        <v>0</v>
      </c>
      <c r="J112" s="22"/>
      <c r="K112" s="22"/>
      <c r="L112" s="22">
        <f t="shared" si="258"/>
        <v>0</v>
      </c>
      <c r="M112" s="22"/>
      <c r="N112" s="22"/>
      <c r="O112" s="22">
        <f t="shared" si="260"/>
        <v>0</v>
      </c>
      <c r="P112" s="22"/>
      <c r="Q112" s="22"/>
      <c r="R112" s="22">
        <f t="shared" si="262"/>
        <v>0</v>
      </c>
      <c r="S112" s="22"/>
      <c r="T112" s="22"/>
      <c r="U112" s="14"/>
      <c r="V112" s="5" t="str">
        <f t="shared" si="264"/>
        <v>-</v>
      </c>
    </row>
    <row r="113" spans="1:22" ht="25.15" customHeight="1" x14ac:dyDescent="0.6">
      <c r="A113" s="30" t="s">
        <v>8</v>
      </c>
      <c r="B113" s="22"/>
      <c r="C113" s="22">
        <f t="shared" si="253"/>
        <v>0</v>
      </c>
      <c r="D113" s="22"/>
      <c r="E113" s="22"/>
      <c r="F113" s="22">
        <f t="shared" si="254"/>
        <v>0</v>
      </c>
      <c r="G113" s="22"/>
      <c r="H113" s="22"/>
      <c r="I113" s="22">
        <f t="shared" si="256"/>
        <v>0</v>
      </c>
      <c r="J113" s="22"/>
      <c r="K113" s="22"/>
      <c r="L113" s="22">
        <f t="shared" si="258"/>
        <v>0</v>
      </c>
      <c r="M113" s="22"/>
      <c r="N113" s="22"/>
      <c r="O113" s="22">
        <f t="shared" si="260"/>
        <v>0</v>
      </c>
      <c r="P113" s="22"/>
      <c r="Q113" s="22"/>
      <c r="R113" s="22">
        <f t="shared" si="262"/>
        <v>0</v>
      </c>
      <c r="S113" s="22"/>
      <c r="T113" s="22"/>
      <c r="U113" s="14"/>
      <c r="V113" s="5" t="str">
        <f t="shared" si="264"/>
        <v>-</v>
      </c>
    </row>
    <row r="114" spans="1:22" ht="25.15" customHeight="1" x14ac:dyDescent="0.6">
      <c r="A114" s="25" t="s">
        <v>9</v>
      </c>
      <c r="B114" s="26">
        <f>B115+B118</f>
        <v>0</v>
      </c>
      <c r="C114" s="26">
        <f t="shared" si="253"/>
        <v>0</v>
      </c>
      <c r="D114" s="26">
        <f>D115+D118</f>
        <v>0</v>
      </c>
      <c r="E114" s="26">
        <f>E115+E118</f>
        <v>0</v>
      </c>
      <c r="F114" s="26">
        <f t="shared" si="254"/>
        <v>0</v>
      </c>
      <c r="G114" s="26">
        <f t="shared" ref="G114:H114" si="280">G115+G118</f>
        <v>0</v>
      </c>
      <c r="H114" s="26">
        <f t="shared" si="280"/>
        <v>0</v>
      </c>
      <c r="I114" s="26">
        <f t="shared" si="256"/>
        <v>0</v>
      </c>
      <c r="J114" s="26">
        <f t="shared" ref="J114:K114" si="281">J115+J118</f>
        <v>0</v>
      </c>
      <c r="K114" s="26">
        <f t="shared" si="281"/>
        <v>0</v>
      </c>
      <c r="L114" s="26">
        <f t="shared" si="258"/>
        <v>0</v>
      </c>
      <c r="M114" s="26">
        <f t="shared" ref="M114:N114" si="282">M115+M118</f>
        <v>0</v>
      </c>
      <c r="N114" s="26">
        <f t="shared" si="282"/>
        <v>0</v>
      </c>
      <c r="O114" s="26">
        <f t="shared" si="260"/>
        <v>0</v>
      </c>
      <c r="P114" s="26">
        <f t="shared" ref="P114:Q114" si="283">P115+P118</f>
        <v>0</v>
      </c>
      <c r="Q114" s="26">
        <f t="shared" si="283"/>
        <v>0</v>
      </c>
      <c r="R114" s="26">
        <f t="shared" si="262"/>
        <v>0</v>
      </c>
      <c r="S114" s="26">
        <f t="shared" ref="S114:T114" si="284">S115+S118</f>
        <v>0</v>
      </c>
      <c r="T114" s="26">
        <f t="shared" si="284"/>
        <v>0</v>
      </c>
      <c r="U114" s="27"/>
      <c r="V114" s="5" t="str">
        <f t="shared" si="264"/>
        <v>-</v>
      </c>
    </row>
    <row r="115" spans="1:22" ht="25.15" customHeight="1" x14ac:dyDescent="0.6">
      <c r="A115" s="28" t="s">
        <v>3</v>
      </c>
      <c r="B115" s="26">
        <f>SUM(B116:B117)</f>
        <v>0</v>
      </c>
      <c r="C115" s="26">
        <f t="shared" si="253"/>
        <v>0</v>
      </c>
      <c r="D115" s="26">
        <f>SUM(D116:D117)</f>
        <v>0</v>
      </c>
      <c r="E115" s="26">
        <f>SUM(E116:E117)</f>
        <v>0</v>
      </c>
      <c r="F115" s="26">
        <f t="shared" si="254"/>
        <v>0</v>
      </c>
      <c r="G115" s="26">
        <f t="shared" ref="G115:H115" si="285">SUM(G116:G117)</f>
        <v>0</v>
      </c>
      <c r="H115" s="26">
        <f t="shared" si="285"/>
        <v>0</v>
      </c>
      <c r="I115" s="26">
        <f t="shared" si="256"/>
        <v>0</v>
      </c>
      <c r="J115" s="26">
        <f t="shared" ref="J115:K115" si="286">SUM(J116:J117)</f>
        <v>0</v>
      </c>
      <c r="K115" s="26">
        <f t="shared" si="286"/>
        <v>0</v>
      </c>
      <c r="L115" s="26">
        <f t="shared" si="258"/>
        <v>0</v>
      </c>
      <c r="M115" s="26">
        <f t="shared" ref="M115:N115" si="287">SUM(M116:M117)</f>
        <v>0</v>
      </c>
      <c r="N115" s="26">
        <f t="shared" si="287"/>
        <v>0</v>
      </c>
      <c r="O115" s="26">
        <f t="shared" si="260"/>
        <v>0</v>
      </c>
      <c r="P115" s="26">
        <f t="shared" ref="P115:Q115" si="288">SUM(P116:P117)</f>
        <v>0</v>
      </c>
      <c r="Q115" s="26">
        <f t="shared" si="288"/>
        <v>0</v>
      </c>
      <c r="R115" s="26">
        <f t="shared" si="262"/>
        <v>0</v>
      </c>
      <c r="S115" s="26">
        <f t="shared" ref="S115:T115" si="289">SUM(S116:S117)</f>
        <v>0</v>
      </c>
      <c r="T115" s="26">
        <f t="shared" si="289"/>
        <v>0</v>
      </c>
      <c r="U115" s="29"/>
      <c r="V115" s="5" t="str">
        <f t="shared" si="264"/>
        <v>-</v>
      </c>
    </row>
    <row r="116" spans="1:22" ht="25.15" customHeight="1" x14ac:dyDescent="0.6">
      <c r="A116" s="30" t="s">
        <v>5</v>
      </c>
      <c r="B116" s="22"/>
      <c r="C116" s="22">
        <f t="shared" si="253"/>
        <v>0</v>
      </c>
      <c r="D116" s="22"/>
      <c r="E116" s="22"/>
      <c r="F116" s="22">
        <f t="shared" si="254"/>
        <v>0</v>
      </c>
      <c r="G116" s="22"/>
      <c r="H116" s="22"/>
      <c r="I116" s="22">
        <f t="shared" si="256"/>
        <v>0</v>
      </c>
      <c r="J116" s="22"/>
      <c r="K116" s="22"/>
      <c r="L116" s="22">
        <f t="shared" si="258"/>
        <v>0</v>
      </c>
      <c r="M116" s="22"/>
      <c r="N116" s="22"/>
      <c r="O116" s="22">
        <f t="shared" si="260"/>
        <v>0</v>
      </c>
      <c r="P116" s="22"/>
      <c r="Q116" s="22"/>
      <c r="R116" s="22">
        <f t="shared" si="262"/>
        <v>0</v>
      </c>
      <c r="S116" s="22"/>
      <c r="T116" s="22"/>
      <c r="U116" s="14"/>
      <c r="V116" s="5" t="str">
        <f t="shared" si="264"/>
        <v>-</v>
      </c>
    </row>
    <row r="117" spans="1:22" ht="25.15" customHeight="1" x14ac:dyDescent="0.6">
      <c r="A117" s="30" t="s">
        <v>6</v>
      </c>
      <c r="B117" s="22"/>
      <c r="C117" s="22">
        <f t="shared" si="253"/>
        <v>0</v>
      </c>
      <c r="D117" s="22"/>
      <c r="E117" s="22"/>
      <c r="F117" s="22">
        <f t="shared" si="254"/>
        <v>0</v>
      </c>
      <c r="G117" s="22"/>
      <c r="H117" s="22"/>
      <c r="I117" s="22">
        <f t="shared" si="256"/>
        <v>0</v>
      </c>
      <c r="J117" s="22"/>
      <c r="K117" s="22"/>
      <c r="L117" s="22">
        <f t="shared" si="258"/>
        <v>0</v>
      </c>
      <c r="M117" s="22"/>
      <c r="N117" s="22"/>
      <c r="O117" s="22">
        <f t="shared" si="260"/>
        <v>0</v>
      </c>
      <c r="P117" s="22"/>
      <c r="Q117" s="22"/>
      <c r="R117" s="22">
        <f t="shared" si="262"/>
        <v>0</v>
      </c>
      <c r="S117" s="22"/>
      <c r="T117" s="22"/>
      <c r="U117" s="14"/>
      <c r="V117" s="5" t="str">
        <f t="shared" si="264"/>
        <v>-</v>
      </c>
    </row>
    <row r="118" spans="1:22" ht="25.15" customHeight="1" x14ac:dyDescent="0.6">
      <c r="A118" s="28" t="s">
        <v>4</v>
      </c>
      <c r="B118" s="26">
        <f>SUM(B119:B120)</f>
        <v>0</v>
      </c>
      <c r="C118" s="26">
        <f t="shared" si="253"/>
        <v>0</v>
      </c>
      <c r="D118" s="26">
        <f>SUM(D119:D120)</f>
        <v>0</v>
      </c>
      <c r="E118" s="26">
        <f>SUM(E119:E120)</f>
        <v>0</v>
      </c>
      <c r="F118" s="26">
        <f t="shared" si="254"/>
        <v>0</v>
      </c>
      <c r="G118" s="26">
        <f t="shared" ref="G118:H118" si="290">SUM(G119:G120)</f>
        <v>0</v>
      </c>
      <c r="H118" s="26">
        <f t="shared" si="290"/>
        <v>0</v>
      </c>
      <c r="I118" s="26">
        <f t="shared" si="256"/>
        <v>0</v>
      </c>
      <c r="J118" s="26">
        <f t="shared" ref="J118:K118" si="291">SUM(J119:J120)</f>
        <v>0</v>
      </c>
      <c r="K118" s="26">
        <f t="shared" si="291"/>
        <v>0</v>
      </c>
      <c r="L118" s="26">
        <f t="shared" si="258"/>
        <v>0</v>
      </c>
      <c r="M118" s="26">
        <f t="shared" ref="M118:N118" si="292">SUM(M119:M120)</f>
        <v>0</v>
      </c>
      <c r="N118" s="26">
        <f t="shared" si="292"/>
        <v>0</v>
      </c>
      <c r="O118" s="26">
        <f t="shared" si="260"/>
        <v>0</v>
      </c>
      <c r="P118" s="26">
        <f t="shared" ref="P118:Q118" si="293">SUM(P119:P120)</f>
        <v>0</v>
      </c>
      <c r="Q118" s="26">
        <f t="shared" si="293"/>
        <v>0</v>
      </c>
      <c r="R118" s="26">
        <f t="shared" si="262"/>
        <v>0</v>
      </c>
      <c r="S118" s="26">
        <f t="shared" ref="S118:T118" si="294">SUM(S119:S120)</f>
        <v>0</v>
      </c>
      <c r="T118" s="26">
        <f t="shared" si="294"/>
        <v>0</v>
      </c>
      <c r="U118" s="29"/>
      <c r="V118" s="5" t="str">
        <f t="shared" si="264"/>
        <v>-</v>
      </c>
    </row>
    <row r="119" spans="1:22" ht="25.15" customHeight="1" x14ac:dyDescent="0.6">
      <c r="A119" s="30" t="s">
        <v>7</v>
      </c>
      <c r="B119" s="22"/>
      <c r="C119" s="22">
        <f t="shared" si="253"/>
        <v>0</v>
      </c>
      <c r="D119" s="22"/>
      <c r="E119" s="22"/>
      <c r="F119" s="22">
        <f t="shared" si="254"/>
        <v>0</v>
      </c>
      <c r="G119" s="22"/>
      <c r="H119" s="22"/>
      <c r="I119" s="22">
        <f t="shared" si="256"/>
        <v>0</v>
      </c>
      <c r="J119" s="22"/>
      <c r="K119" s="22"/>
      <c r="L119" s="22">
        <f t="shared" si="258"/>
        <v>0</v>
      </c>
      <c r="M119" s="22"/>
      <c r="N119" s="22"/>
      <c r="O119" s="22">
        <f t="shared" si="260"/>
        <v>0</v>
      </c>
      <c r="P119" s="22"/>
      <c r="Q119" s="22"/>
      <c r="R119" s="22">
        <f t="shared" si="262"/>
        <v>0</v>
      </c>
      <c r="S119" s="22"/>
      <c r="T119" s="22"/>
      <c r="U119" s="14"/>
      <c r="V119" s="5" t="str">
        <f t="shared" si="264"/>
        <v>-</v>
      </c>
    </row>
    <row r="120" spans="1:22" ht="25.15" customHeight="1" x14ac:dyDescent="0.6">
      <c r="A120" s="30" t="s">
        <v>8</v>
      </c>
      <c r="B120" s="22"/>
      <c r="C120" s="22">
        <f t="shared" si="253"/>
        <v>0</v>
      </c>
      <c r="D120" s="22"/>
      <c r="E120" s="22"/>
      <c r="F120" s="22">
        <f t="shared" si="254"/>
        <v>0</v>
      </c>
      <c r="G120" s="22"/>
      <c r="H120" s="22"/>
      <c r="I120" s="22">
        <f t="shared" si="256"/>
        <v>0</v>
      </c>
      <c r="J120" s="22"/>
      <c r="K120" s="22"/>
      <c r="L120" s="22">
        <f t="shared" si="258"/>
        <v>0</v>
      </c>
      <c r="M120" s="22"/>
      <c r="N120" s="22"/>
      <c r="O120" s="22">
        <f t="shared" si="260"/>
        <v>0</v>
      </c>
      <c r="P120" s="22"/>
      <c r="Q120" s="22"/>
      <c r="R120" s="22">
        <f t="shared" si="262"/>
        <v>0</v>
      </c>
      <c r="S120" s="22"/>
      <c r="T120" s="22"/>
      <c r="U120" s="14"/>
      <c r="V120" s="5" t="str">
        <f t="shared" si="264"/>
        <v>-</v>
      </c>
    </row>
    <row r="121" spans="1:22" ht="25.15" customHeight="1" x14ac:dyDescent="0.6">
      <c r="A121" s="18" t="s">
        <v>33</v>
      </c>
      <c r="B121" s="23">
        <f>B122+B129</f>
        <v>444.4</v>
      </c>
      <c r="C121" s="23">
        <f t="shared" si="253"/>
        <v>444.4</v>
      </c>
      <c r="D121" s="23">
        <f>D122+D129</f>
        <v>444.4</v>
      </c>
      <c r="E121" s="23">
        <f>E122+E129</f>
        <v>0</v>
      </c>
      <c r="F121" s="23">
        <f t="shared" si="254"/>
        <v>444.4</v>
      </c>
      <c r="G121" s="23">
        <f t="shared" ref="G121:H121" si="295">G122+G129</f>
        <v>444.4</v>
      </c>
      <c r="H121" s="23">
        <f t="shared" si="295"/>
        <v>0</v>
      </c>
      <c r="I121" s="23">
        <f t="shared" si="256"/>
        <v>0</v>
      </c>
      <c r="J121" s="23">
        <f t="shared" ref="J121:K121" si="296">J122+J129</f>
        <v>0</v>
      </c>
      <c r="K121" s="23">
        <f t="shared" si="296"/>
        <v>0</v>
      </c>
      <c r="L121" s="23">
        <f t="shared" si="258"/>
        <v>0</v>
      </c>
      <c r="M121" s="23">
        <f t="shared" ref="M121:N121" si="297">M122+M129</f>
        <v>0</v>
      </c>
      <c r="N121" s="23">
        <f t="shared" si="297"/>
        <v>0</v>
      </c>
      <c r="O121" s="23">
        <f t="shared" si="260"/>
        <v>0</v>
      </c>
      <c r="P121" s="23">
        <f t="shared" ref="P121:Q121" si="298">P122+P129</f>
        <v>0</v>
      </c>
      <c r="Q121" s="23">
        <f t="shared" si="298"/>
        <v>0</v>
      </c>
      <c r="R121" s="23">
        <f t="shared" si="262"/>
        <v>0</v>
      </c>
      <c r="S121" s="23">
        <f t="shared" ref="S121:T121" si="299">S122+S129</f>
        <v>0</v>
      </c>
      <c r="T121" s="23">
        <f t="shared" si="299"/>
        <v>0</v>
      </c>
      <c r="U121" s="20"/>
      <c r="V121" s="5" t="str">
        <f t="shared" si="264"/>
        <v>ok</v>
      </c>
    </row>
    <row r="122" spans="1:22" ht="25.15" customHeight="1" x14ac:dyDescent="0.6">
      <c r="A122" s="25" t="s">
        <v>2</v>
      </c>
      <c r="B122" s="26">
        <f>B123+B126</f>
        <v>444.4</v>
      </c>
      <c r="C122" s="26">
        <f t="shared" si="253"/>
        <v>444.4</v>
      </c>
      <c r="D122" s="26">
        <f>D123+D126</f>
        <v>444.4</v>
      </c>
      <c r="E122" s="26">
        <f>E123+E126</f>
        <v>0</v>
      </c>
      <c r="F122" s="26">
        <f t="shared" si="254"/>
        <v>444.4</v>
      </c>
      <c r="G122" s="26">
        <f t="shared" ref="G122:H122" si="300">G123+G126</f>
        <v>444.4</v>
      </c>
      <c r="H122" s="26">
        <f t="shared" si="300"/>
        <v>0</v>
      </c>
      <c r="I122" s="26">
        <f t="shared" si="256"/>
        <v>0</v>
      </c>
      <c r="J122" s="26">
        <f t="shared" ref="J122:K122" si="301">J123+J126</f>
        <v>0</v>
      </c>
      <c r="K122" s="26">
        <f t="shared" si="301"/>
        <v>0</v>
      </c>
      <c r="L122" s="26">
        <f t="shared" si="258"/>
        <v>0</v>
      </c>
      <c r="M122" s="26">
        <f t="shared" ref="M122:N122" si="302">M123+M126</f>
        <v>0</v>
      </c>
      <c r="N122" s="26">
        <f t="shared" si="302"/>
        <v>0</v>
      </c>
      <c r="O122" s="26">
        <f t="shared" si="260"/>
        <v>0</v>
      </c>
      <c r="P122" s="26">
        <f t="shared" ref="P122:Q122" si="303">P123+P126</f>
        <v>0</v>
      </c>
      <c r="Q122" s="26">
        <f t="shared" si="303"/>
        <v>0</v>
      </c>
      <c r="R122" s="26">
        <f t="shared" si="262"/>
        <v>0</v>
      </c>
      <c r="S122" s="26">
        <f t="shared" ref="S122:T122" si="304">S123+S126</f>
        <v>0</v>
      </c>
      <c r="T122" s="26">
        <f t="shared" si="304"/>
        <v>0</v>
      </c>
      <c r="U122" s="27"/>
      <c r="V122" s="5" t="str">
        <f t="shared" si="264"/>
        <v>ok</v>
      </c>
    </row>
    <row r="123" spans="1:22" ht="25.15" customHeight="1" x14ac:dyDescent="0.6">
      <c r="A123" s="28" t="s">
        <v>3</v>
      </c>
      <c r="B123" s="26">
        <f>SUM(B124:B125)</f>
        <v>444.4</v>
      </c>
      <c r="C123" s="26">
        <f t="shared" si="253"/>
        <v>444.4</v>
      </c>
      <c r="D123" s="26">
        <f>SUM(D124:D125)</f>
        <v>444.4</v>
      </c>
      <c r="E123" s="26">
        <f>SUM(E124:E125)</f>
        <v>0</v>
      </c>
      <c r="F123" s="26">
        <f t="shared" si="254"/>
        <v>444.4</v>
      </c>
      <c r="G123" s="26">
        <f t="shared" ref="G123:H123" si="305">SUM(G124:G125)</f>
        <v>444.4</v>
      </c>
      <c r="H123" s="26">
        <f t="shared" si="305"/>
        <v>0</v>
      </c>
      <c r="I123" s="26">
        <f t="shared" si="256"/>
        <v>0</v>
      </c>
      <c r="J123" s="26">
        <f t="shared" ref="J123:K123" si="306">SUM(J124:J125)</f>
        <v>0</v>
      </c>
      <c r="K123" s="26">
        <f t="shared" si="306"/>
        <v>0</v>
      </c>
      <c r="L123" s="26">
        <f t="shared" si="258"/>
        <v>0</v>
      </c>
      <c r="M123" s="26">
        <f t="shared" ref="M123:N123" si="307">SUM(M124:M125)</f>
        <v>0</v>
      </c>
      <c r="N123" s="26">
        <f t="shared" si="307"/>
        <v>0</v>
      </c>
      <c r="O123" s="26">
        <f t="shared" si="260"/>
        <v>0</v>
      </c>
      <c r="P123" s="26">
        <f t="shared" ref="P123:Q123" si="308">SUM(P124:P125)</f>
        <v>0</v>
      </c>
      <c r="Q123" s="26">
        <f t="shared" si="308"/>
        <v>0</v>
      </c>
      <c r="R123" s="26">
        <f t="shared" si="262"/>
        <v>0</v>
      </c>
      <c r="S123" s="26">
        <f t="shared" ref="S123:T123" si="309">SUM(S124:S125)</f>
        <v>0</v>
      </c>
      <c r="T123" s="26">
        <f t="shared" si="309"/>
        <v>0</v>
      </c>
      <c r="U123" s="29"/>
      <c r="V123" s="5" t="str">
        <f t="shared" si="264"/>
        <v>ok</v>
      </c>
    </row>
    <row r="124" spans="1:22" ht="50.5" x14ac:dyDescent="0.6">
      <c r="A124" s="30" t="s">
        <v>60</v>
      </c>
      <c r="B124" s="22">
        <v>444.4</v>
      </c>
      <c r="C124" s="22">
        <f t="shared" si="253"/>
        <v>444.4</v>
      </c>
      <c r="D124" s="22">
        <v>444.4</v>
      </c>
      <c r="E124" s="22"/>
      <c r="F124" s="22">
        <f t="shared" si="254"/>
        <v>444.4</v>
      </c>
      <c r="G124" s="22">
        <v>444.4</v>
      </c>
      <c r="H124" s="22"/>
      <c r="I124" s="22">
        <f t="shared" si="256"/>
        <v>0</v>
      </c>
      <c r="J124" s="22"/>
      <c r="K124" s="22"/>
      <c r="L124" s="22">
        <f t="shared" si="258"/>
        <v>0</v>
      </c>
      <c r="M124" s="22"/>
      <c r="N124" s="22"/>
      <c r="O124" s="22">
        <f t="shared" si="260"/>
        <v>0</v>
      </c>
      <c r="P124" s="22"/>
      <c r="Q124" s="22"/>
      <c r="R124" s="22">
        <f t="shared" si="262"/>
        <v>0</v>
      </c>
      <c r="S124" s="22"/>
      <c r="T124" s="22"/>
      <c r="U124" s="14"/>
      <c r="V124" s="5" t="str">
        <f t="shared" si="264"/>
        <v>ok</v>
      </c>
    </row>
    <row r="125" spans="1:22" ht="25.5" customHeight="1" x14ac:dyDescent="0.6">
      <c r="A125" s="30" t="s">
        <v>6</v>
      </c>
      <c r="B125" s="22"/>
      <c r="C125" s="22">
        <f t="shared" si="253"/>
        <v>0</v>
      </c>
      <c r="D125" s="22"/>
      <c r="E125" s="22"/>
      <c r="F125" s="22">
        <f t="shared" si="254"/>
        <v>0</v>
      </c>
      <c r="G125" s="22"/>
      <c r="H125" s="22"/>
      <c r="I125" s="22">
        <f t="shared" si="256"/>
        <v>0</v>
      </c>
      <c r="J125" s="22"/>
      <c r="K125" s="22"/>
      <c r="L125" s="22">
        <f t="shared" si="258"/>
        <v>0</v>
      </c>
      <c r="M125" s="22"/>
      <c r="N125" s="22"/>
      <c r="O125" s="22">
        <f t="shared" si="260"/>
        <v>0</v>
      </c>
      <c r="P125" s="22"/>
      <c r="Q125" s="22"/>
      <c r="R125" s="22">
        <f t="shared" si="262"/>
        <v>0</v>
      </c>
      <c r="S125" s="22"/>
      <c r="T125" s="22"/>
      <c r="U125" s="14"/>
      <c r="V125" s="5" t="str">
        <f t="shared" si="264"/>
        <v>-</v>
      </c>
    </row>
    <row r="126" spans="1:22" ht="25.15" customHeight="1" x14ac:dyDescent="0.6">
      <c r="A126" s="28" t="s">
        <v>4</v>
      </c>
      <c r="B126" s="26">
        <f>SUM(B127:B128)</f>
        <v>0</v>
      </c>
      <c r="C126" s="26">
        <f t="shared" si="253"/>
        <v>0</v>
      </c>
      <c r="D126" s="26">
        <f>SUM(D127:D128)</f>
        <v>0</v>
      </c>
      <c r="E126" s="26">
        <f>SUM(E127:E128)</f>
        <v>0</v>
      </c>
      <c r="F126" s="26">
        <f t="shared" si="254"/>
        <v>0</v>
      </c>
      <c r="G126" s="26">
        <f t="shared" ref="G126:H126" si="310">SUM(G127:G128)</f>
        <v>0</v>
      </c>
      <c r="H126" s="26">
        <f t="shared" si="310"/>
        <v>0</v>
      </c>
      <c r="I126" s="26">
        <f t="shared" si="256"/>
        <v>0</v>
      </c>
      <c r="J126" s="26">
        <f t="shared" ref="J126:K126" si="311">SUM(J127:J128)</f>
        <v>0</v>
      </c>
      <c r="K126" s="26">
        <f t="shared" si="311"/>
        <v>0</v>
      </c>
      <c r="L126" s="26">
        <f t="shared" si="258"/>
        <v>0</v>
      </c>
      <c r="M126" s="26">
        <f t="shared" ref="M126:N126" si="312">SUM(M127:M128)</f>
        <v>0</v>
      </c>
      <c r="N126" s="26">
        <f t="shared" si="312"/>
        <v>0</v>
      </c>
      <c r="O126" s="26">
        <f t="shared" si="260"/>
        <v>0</v>
      </c>
      <c r="P126" s="26">
        <f t="shared" ref="P126:Q126" si="313">SUM(P127:P128)</f>
        <v>0</v>
      </c>
      <c r="Q126" s="26">
        <f t="shared" si="313"/>
        <v>0</v>
      </c>
      <c r="R126" s="26">
        <f t="shared" si="262"/>
        <v>0</v>
      </c>
      <c r="S126" s="26">
        <f t="shared" ref="S126:T126" si="314">SUM(S127:S128)</f>
        <v>0</v>
      </c>
      <c r="T126" s="26">
        <f t="shared" si="314"/>
        <v>0</v>
      </c>
      <c r="U126" s="29"/>
      <c r="V126" s="5" t="str">
        <f t="shared" si="264"/>
        <v>-</v>
      </c>
    </row>
    <row r="127" spans="1:22" ht="25.15" customHeight="1" x14ac:dyDescent="0.6">
      <c r="A127" s="30" t="s">
        <v>7</v>
      </c>
      <c r="B127" s="22"/>
      <c r="C127" s="22">
        <f t="shared" si="253"/>
        <v>0</v>
      </c>
      <c r="D127" s="22"/>
      <c r="E127" s="22"/>
      <c r="F127" s="22">
        <f t="shared" si="254"/>
        <v>0</v>
      </c>
      <c r="G127" s="22"/>
      <c r="H127" s="22"/>
      <c r="I127" s="22">
        <f t="shared" si="256"/>
        <v>0</v>
      </c>
      <c r="J127" s="22"/>
      <c r="K127" s="22"/>
      <c r="L127" s="22">
        <f t="shared" si="258"/>
        <v>0</v>
      </c>
      <c r="M127" s="22"/>
      <c r="N127" s="22"/>
      <c r="O127" s="22">
        <f t="shared" si="260"/>
        <v>0</v>
      </c>
      <c r="P127" s="22"/>
      <c r="Q127" s="22"/>
      <c r="R127" s="22">
        <f t="shared" si="262"/>
        <v>0</v>
      </c>
      <c r="S127" s="22"/>
      <c r="T127" s="22"/>
      <c r="U127" s="14"/>
      <c r="V127" s="5" t="str">
        <f t="shared" si="264"/>
        <v>-</v>
      </c>
    </row>
    <row r="128" spans="1:22" ht="25.15" customHeight="1" x14ac:dyDescent="0.6">
      <c r="A128" s="30" t="s">
        <v>8</v>
      </c>
      <c r="B128" s="22"/>
      <c r="C128" s="22">
        <f t="shared" si="253"/>
        <v>0</v>
      </c>
      <c r="D128" s="22"/>
      <c r="E128" s="22"/>
      <c r="F128" s="22">
        <f t="shared" si="254"/>
        <v>0</v>
      </c>
      <c r="G128" s="22"/>
      <c r="H128" s="22"/>
      <c r="I128" s="22">
        <f t="shared" si="256"/>
        <v>0</v>
      </c>
      <c r="J128" s="22"/>
      <c r="K128" s="22"/>
      <c r="L128" s="22">
        <f t="shared" si="258"/>
        <v>0</v>
      </c>
      <c r="M128" s="22"/>
      <c r="N128" s="22"/>
      <c r="O128" s="22">
        <f t="shared" si="260"/>
        <v>0</v>
      </c>
      <c r="P128" s="22"/>
      <c r="Q128" s="22"/>
      <c r="R128" s="22">
        <f t="shared" si="262"/>
        <v>0</v>
      </c>
      <c r="S128" s="22"/>
      <c r="T128" s="22"/>
      <c r="U128" s="14"/>
      <c r="V128" s="5" t="str">
        <f t="shared" si="264"/>
        <v>-</v>
      </c>
    </row>
    <row r="129" spans="1:22" ht="25.15" customHeight="1" x14ac:dyDescent="0.6">
      <c r="A129" s="25" t="s">
        <v>9</v>
      </c>
      <c r="B129" s="26">
        <f>B130+B133</f>
        <v>0</v>
      </c>
      <c r="C129" s="26">
        <f t="shared" si="253"/>
        <v>0</v>
      </c>
      <c r="D129" s="26">
        <f>D130+D133</f>
        <v>0</v>
      </c>
      <c r="E129" s="26">
        <f>E130+E133</f>
        <v>0</v>
      </c>
      <c r="F129" s="26">
        <f t="shared" si="254"/>
        <v>0</v>
      </c>
      <c r="G129" s="26">
        <f t="shared" ref="G129:H129" si="315">G130+G133</f>
        <v>0</v>
      </c>
      <c r="H129" s="26">
        <f t="shared" si="315"/>
        <v>0</v>
      </c>
      <c r="I129" s="26">
        <f t="shared" si="256"/>
        <v>0</v>
      </c>
      <c r="J129" s="26">
        <f t="shared" ref="J129:K129" si="316">J130+J133</f>
        <v>0</v>
      </c>
      <c r="K129" s="26">
        <f t="shared" si="316"/>
        <v>0</v>
      </c>
      <c r="L129" s="26">
        <f t="shared" si="258"/>
        <v>0</v>
      </c>
      <c r="M129" s="26">
        <f t="shared" ref="M129:N129" si="317">M130+M133</f>
        <v>0</v>
      </c>
      <c r="N129" s="26">
        <f t="shared" si="317"/>
        <v>0</v>
      </c>
      <c r="O129" s="26">
        <f t="shared" si="260"/>
        <v>0</v>
      </c>
      <c r="P129" s="26">
        <f t="shared" ref="P129:Q129" si="318">P130+P133</f>
        <v>0</v>
      </c>
      <c r="Q129" s="26">
        <f t="shared" si="318"/>
        <v>0</v>
      </c>
      <c r="R129" s="26">
        <f t="shared" si="262"/>
        <v>0</v>
      </c>
      <c r="S129" s="26">
        <f t="shared" ref="S129:T129" si="319">S130+S133</f>
        <v>0</v>
      </c>
      <c r="T129" s="26">
        <f t="shared" si="319"/>
        <v>0</v>
      </c>
      <c r="U129" s="27"/>
      <c r="V129" s="5" t="str">
        <f t="shared" si="264"/>
        <v>-</v>
      </c>
    </row>
    <row r="130" spans="1:22" ht="25.15" customHeight="1" x14ac:dyDescent="0.6">
      <c r="A130" s="28" t="s">
        <v>3</v>
      </c>
      <c r="B130" s="26">
        <f>SUM(B131:B132)</f>
        <v>0</v>
      </c>
      <c r="C130" s="26">
        <f t="shared" si="253"/>
        <v>0</v>
      </c>
      <c r="D130" s="26">
        <f>SUM(D131:D132)</f>
        <v>0</v>
      </c>
      <c r="E130" s="26">
        <f>SUM(E131:E132)</f>
        <v>0</v>
      </c>
      <c r="F130" s="26">
        <f t="shared" si="254"/>
        <v>0</v>
      </c>
      <c r="G130" s="26">
        <f t="shared" ref="G130:H130" si="320">SUM(G131:G132)</f>
        <v>0</v>
      </c>
      <c r="H130" s="26">
        <f t="shared" si="320"/>
        <v>0</v>
      </c>
      <c r="I130" s="26">
        <f t="shared" si="256"/>
        <v>0</v>
      </c>
      <c r="J130" s="26">
        <f t="shared" ref="J130:K130" si="321">SUM(J131:J132)</f>
        <v>0</v>
      </c>
      <c r="K130" s="26">
        <f t="shared" si="321"/>
        <v>0</v>
      </c>
      <c r="L130" s="26">
        <f t="shared" si="258"/>
        <v>0</v>
      </c>
      <c r="M130" s="26">
        <f t="shared" ref="M130:N130" si="322">SUM(M131:M132)</f>
        <v>0</v>
      </c>
      <c r="N130" s="26">
        <f t="shared" si="322"/>
        <v>0</v>
      </c>
      <c r="O130" s="26">
        <f t="shared" si="260"/>
        <v>0</v>
      </c>
      <c r="P130" s="26">
        <f t="shared" ref="P130:Q130" si="323">SUM(P131:P132)</f>
        <v>0</v>
      </c>
      <c r="Q130" s="26">
        <f t="shared" si="323"/>
        <v>0</v>
      </c>
      <c r="R130" s="26">
        <f t="shared" si="262"/>
        <v>0</v>
      </c>
      <c r="S130" s="26">
        <f t="shared" ref="S130:T130" si="324">SUM(S131:S132)</f>
        <v>0</v>
      </c>
      <c r="T130" s="26">
        <f t="shared" si="324"/>
        <v>0</v>
      </c>
      <c r="U130" s="29"/>
      <c r="V130" s="5" t="str">
        <f t="shared" si="264"/>
        <v>-</v>
      </c>
    </row>
    <row r="131" spans="1:22" ht="25.15" customHeight="1" x14ac:dyDescent="0.6">
      <c r="A131" s="30" t="s">
        <v>5</v>
      </c>
      <c r="B131" s="22"/>
      <c r="C131" s="22">
        <f t="shared" si="253"/>
        <v>0</v>
      </c>
      <c r="D131" s="22"/>
      <c r="E131" s="22"/>
      <c r="F131" s="22">
        <f t="shared" si="254"/>
        <v>0</v>
      </c>
      <c r="G131" s="22"/>
      <c r="H131" s="22"/>
      <c r="I131" s="22">
        <f t="shared" si="256"/>
        <v>0</v>
      </c>
      <c r="J131" s="22"/>
      <c r="K131" s="22"/>
      <c r="L131" s="22">
        <f t="shared" si="258"/>
        <v>0</v>
      </c>
      <c r="M131" s="22"/>
      <c r="N131" s="22"/>
      <c r="O131" s="22">
        <f t="shared" si="260"/>
        <v>0</v>
      </c>
      <c r="P131" s="22"/>
      <c r="Q131" s="22"/>
      <c r="R131" s="22">
        <f t="shared" si="262"/>
        <v>0</v>
      </c>
      <c r="S131" s="22"/>
      <c r="T131" s="22"/>
      <c r="U131" s="14"/>
      <c r="V131" s="5" t="str">
        <f t="shared" si="264"/>
        <v>-</v>
      </c>
    </row>
    <row r="132" spans="1:22" ht="25.15" customHeight="1" x14ac:dyDescent="0.6">
      <c r="A132" s="30" t="s">
        <v>6</v>
      </c>
      <c r="B132" s="22"/>
      <c r="C132" s="22">
        <f t="shared" si="253"/>
        <v>0</v>
      </c>
      <c r="D132" s="22"/>
      <c r="E132" s="22"/>
      <c r="F132" s="22">
        <f t="shared" si="254"/>
        <v>0</v>
      </c>
      <c r="G132" s="22"/>
      <c r="H132" s="22"/>
      <c r="I132" s="22">
        <f t="shared" si="256"/>
        <v>0</v>
      </c>
      <c r="J132" s="22"/>
      <c r="K132" s="22"/>
      <c r="L132" s="22">
        <f t="shared" si="258"/>
        <v>0</v>
      </c>
      <c r="M132" s="22"/>
      <c r="N132" s="22"/>
      <c r="O132" s="22">
        <f t="shared" si="260"/>
        <v>0</v>
      </c>
      <c r="P132" s="22"/>
      <c r="Q132" s="22"/>
      <c r="R132" s="22">
        <f t="shared" si="262"/>
        <v>0</v>
      </c>
      <c r="S132" s="22"/>
      <c r="T132" s="22"/>
      <c r="U132" s="14"/>
      <c r="V132" s="5" t="str">
        <f t="shared" si="264"/>
        <v>-</v>
      </c>
    </row>
    <row r="133" spans="1:22" ht="25.15" customHeight="1" x14ac:dyDescent="0.6">
      <c r="A133" s="28" t="s">
        <v>4</v>
      </c>
      <c r="B133" s="26">
        <f>SUM(B134:B135)</f>
        <v>0</v>
      </c>
      <c r="C133" s="26">
        <f t="shared" si="253"/>
        <v>0</v>
      </c>
      <c r="D133" s="26">
        <f>SUM(D134:D135)</f>
        <v>0</v>
      </c>
      <c r="E133" s="26">
        <f>SUM(E134:E135)</f>
        <v>0</v>
      </c>
      <c r="F133" s="26">
        <f t="shared" si="254"/>
        <v>0</v>
      </c>
      <c r="G133" s="26">
        <f t="shared" ref="G133:H133" si="325">SUM(G134:G135)</f>
        <v>0</v>
      </c>
      <c r="H133" s="26">
        <f t="shared" si="325"/>
        <v>0</v>
      </c>
      <c r="I133" s="26">
        <f t="shared" si="256"/>
        <v>0</v>
      </c>
      <c r="J133" s="26">
        <f t="shared" ref="J133:K133" si="326">SUM(J134:J135)</f>
        <v>0</v>
      </c>
      <c r="K133" s="26">
        <f t="shared" si="326"/>
        <v>0</v>
      </c>
      <c r="L133" s="26">
        <f t="shared" si="258"/>
        <v>0</v>
      </c>
      <c r="M133" s="26">
        <f t="shared" ref="M133:N133" si="327">SUM(M134:M135)</f>
        <v>0</v>
      </c>
      <c r="N133" s="26">
        <f t="shared" si="327"/>
        <v>0</v>
      </c>
      <c r="O133" s="26">
        <f t="shared" si="260"/>
        <v>0</v>
      </c>
      <c r="P133" s="26">
        <f t="shared" ref="P133:Q133" si="328">SUM(P134:P135)</f>
        <v>0</v>
      </c>
      <c r="Q133" s="26">
        <f t="shared" si="328"/>
        <v>0</v>
      </c>
      <c r="R133" s="26">
        <f t="shared" si="262"/>
        <v>0</v>
      </c>
      <c r="S133" s="26">
        <f t="shared" ref="S133:T133" si="329">SUM(S134:S135)</f>
        <v>0</v>
      </c>
      <c r="T133" s="26">
        <f t="shared" si="329"/>
        <v>0</v>
      </c>
      <c r="U133" s="29"/>
      <c r="V133" s="5" t="str">
        <f t="shared" si="264"/>
        <v>-</v>
      </c>
    </row>
    <row r="134" spans="1:22" ht="25.15" customHeight="1" x14ac:dyDescent="0.6">
      <c r="A134" s="30" t="s">
        <v>7</v>
      </c>
      <c r="B134" s="22"/>
      <c r="C134" s="22">
        <f t="shared" si="253"/>
        <v>0</v>
      </c>
      <c r="D134" s="22"/>
      <c r="E134" s="22"/>
      <c r="F134" s="22">
        <f t="shared" si="254"/>
        <v>0</v>
      </c>
      <c r="G134" s="22"/>
      <c r="H134" s="22"/>
      <c r="I134" s="22">
        <f t="shared" si="256"/>
        <v>0</v>
      </c>
      <c r="J134" s="22"/>
      <c r="K134" s="22"/>
      <c r="L134" s="22">
        <f t="shared" si="258"/>
        <v>0</v>
      </c>
      <c r="M134" s="22"/>
      <c r="N134" s="22"/>
      <c r="O134" s="22">
        <f t="shared" si="260"/>
        <v>0</v>
      </c>
      <c r="P134" s="22"/>
      <c r="Q134" s="22"/>
      <c r="R134" s="22">
        <f t="shared" si="262"/>
        <v>0</v>
      </c>
      <c r="S134" s="22"/>
      <c r="T134" s="22"/>
      <c r="U134" s="14"/>
      <c r="V134" s="5" t="str">
        <f t="shared" si="264"/>
        <v>-</v>
      </c>
    </row>
    <row r="135" spans="1:22" ht="25.15" customHeight="1" x14ac:dyDescent="0.6">
      <c r="A135" s="30" t="s">
        <v>8</v>
      </c>
      <c r="B135" s="22"/>
      <c r="C135" s="22">
        <f t="shared" si="253"/>
        <v>0</v>
      </c>
      <c r="D135" s="22"/>
      <c r="E135" s="22"/>
      <c r="F135" s="22">
        <f t="shared" si="254"/>
        <v>0</v>
      </c>
      <c r="G135" s="22"/>
      <c r="H135" s="22"/>
      <c r="I135" s="22">
        <f t="shared" si="256"/>
        <v>0</v>
      </c>
      <c r="J135" s="22"/>
      <c r="K135" s="22"/>
      <c r="L135" s="22">
        <f t="shared" si="258"/>
        <v>0</v>
      </c>
      <c r="M135" s="22"/>
      <c r="N135" s="22"/>
      <c r="O135" s="22">
        <f t="shared" si="260"/>
        <v>0</v>
      </c>
      <c r="P135" s="22"/>
      <c r="Q135" s="22"/>
      <c r="R135" s="22">
        <f t="shared" si="262"/>
        <v>0</v>
      </c>
      <c r="S135" s="22"/>
      <c r="T135" s="22"/>
      <c r="U135" s="14"/>
      <c r="V135" s="5" t="str">
        <f t="shared" si="264"/>
        <v>-</v>
      </c>
    </row>
    <row r="136" spans="1:22" ht="25.15" customHeight="1" x14ac:dyDescent="0.6">
      <c r="A136" s="18" t="s">
        <v>34</v>
      </c>
      <c r="B136" s="23">
        <f>B137+B144</f>
        <v>0</v>
      </c>
      <c r="C136" s="23">
        <f t="shared" si="253"/>
        <v>0</v>
      </c>
      <c r="D136" s="23">
        <f>D137+D144</f>
        <v>0</v>
      </c>
      <c r="E136" s="23">
        <f>E137+E144</f>
        <v>0</v>
      </c>
      <c r="F136" s="23">
        <f t="shared" si="254"/>
        <v>0</v>
      </c>
      <c r="G136" s="23">
        <f t="shared" ref="G136:H136" si="330">G137+G144</f>
        <v>0</v>
      </c>
      <c r="H136" s="23">
        <f t="shared" si="330"/>
        <v>0</v>
      </c>
      <c r="I136" s="23">
        <f t="shared" si="256"/>
        <v>0</v>
      </c>
      <c r="J136" s="23">
        <f t="shared" ref="J136:K136" si="331">J137+J144</f>
        <v>0</v>
      </c>
      <c r="K136" s="23">
        <f t="shared" si="331"/>
        <v>0</v>
      </c>
      <c r="L136" s="23">
        <f t="shared" si="258"/>
        <v>0</v>
      </c>
      <c r="M136" s="23">
        <f t="shared" ref="M136:N136" si="332">M137+M144</f>
        <v>0</v>
      </c>
      <c r="N136" s="23">
        <f t="shared" si="332"/>
        <v>0</v>
      </c>
      <c r="O136" s="23">
        <f t="shared" si="260"/>
        <v>0</v>
      </c>
      <c r="P136" s="23">
        <f t="shared" ref="P136:Q136" si="333">P137+P144</f>
        <v>0</v>
      </c>
      <c r="Q136" s="23">
        <f t="shared" si="333"/>
        <v>0</v>
      </c>
      <c r="R136" s="23">
        <f t="shared" si="262"/>
        <v>0</v>
      </c>
      <c r="S136" s="23">
        <f t="shared" ref="S136:T136" si="334">S137+S144</f>
        <v>0</v>
      </c>
      <c r="T136" s="23">
        <f t="shared" si="334"/>
        <v>0</v>
      </c>
      <c r="U136" s="20"/>
      <c r="V136" s="5" t="str">
        <f t="shared" si="264"/>
        <v>-</v>
      </c>
    </row>
    <row r="137" spans="1:22" ht="25.15" customHeight="1" x14ac:dyDescent="0.6">
      <c r="A137" s="25" t="s">
        <v>2</v>
      </c>
      <c r="B137" s="26">
        <f>B138+B141</f>
        <v>0</v>
      </c>
      <c r="C137" s="26">
        <f t="shared" si="253"/>
        <v>0</v>
      </c>
      <c r="D137" s="26">
        <f>D138+D141</f>
        <v>0</v>
      </c>
      <c r="E137" s="26">
        <f>E138+E141</f>
        <v>0</v>
      </c>
      <c r="F137" s="26">
        <f t="shared" si="254"/>
        <v>0</v>
      </c>
      <c r="G137" s="26">
        <f t="shared" ref="G137:H137" si="335">G138+G141</f>
        <v>0</v>
      </c>
      <c r="H137" s="26">
        <f t="shared" si="335"/>
        <v>0</v>
      </c>
      <c r="I137" s="26">
        <f t="shared" si="256"/>
        <v>0</v>
      </c>
      <c r="J137" s="26">
        <f t="shared" ref="J137:K137" si="336">J138+J141</f>
        <v>0</v>
      </c>
      <c r="K137" s="26">
        <f t="shared" si="336"/>
        <v>0</v>
      </c>
      <c r="L137" s="26">
        <f t="shared" si="258"/>
        <v>0</v>
      </c>
      <c r="M137" s="26">
        <f t="shared" ref="M137:N137" si="337">M138+M141</f>
        <v>0</v>
      </c>
      <c r="N137" s="26">
        <f t="shared" si="337"/>
        <v>0</v>
      </c>
      <c r="O137" s="26">
        <f t="shared" si="260"/>
        <v>0</v>
      </c>
      <c r="P137" s="26">
        <f t="shared" ref="P137:Q137" si="338">P138+P141</f>
        <v>0</v>
      </c>
      <c r="Q137" s="26">
        <f t="shared" si="338"/>
        <v>0</v>
      </c>
      <c r="R137" s="26">
        <f t="shared" si="262"/>
        <v>0</v>
      </c>
      <c r="S137" s="26">
        <f t="shared" ref="S137:T137" si="339">S138+S141</f>
        <v>0</v>
      </c>
      <c r="T137" s="26">
        <f t="shared" si="339"/>
        <v>0</v>
      </c>
      <c r="U137" s="27"/>
      <c r="V137" s="5" t="str">
        <f t="shared" si="264"/>
        <v>-</v>
      </c>
    </row>
    <row r="138" spans="1:22" ht="25.15" customHeight="1" x14ac:dyDescent="0.6">
      <c r="A138" s="28" t="s">
        <v>3</v>
      </c>
      <c r="B138" s="26">
        <f>SUM(B139:B140)</f>
        <v>0</v>
      </c>
      <c r="C138" s="26">
        <f t="shared" si="253"/>
        <v>0</v>
      </c>
      <c r="D138" s="26">
        <f>SUM(D139:D140)</f>
        <v>0</v>
      </c>
      <c r="E138" s="26">
        <f>SUM(E139:E140)</f>
        <v>0</v>
      </c>
      <c r="F138" s="26">
        <f t="shared" si="254"/>
        <v>0</v>
      </c>
      <c r="G138" s="26">
        <f t="shared" ref="G138:H138" si="340">SUM(G139:G140)</f>
        <v>0</v>
      </c>
      <c r="H138" s="26">
        <f t="shared" si="340"/>
        <v>0</v>
      </c>
      <c r="I138" s="26">
        <f t="shared" si="256"/>
        <v>0</v>
      </c>
      <c r="J138" s="26">
        <f t="shared" ref="J138:K138" si="341">SUM(J139:J140)</f>
        <v>0</v>
      </c>
      <c r="K138" s="26">
        <f t="shared" si="341"/>
        <v>0</v>
      </c>
      <c r="L138" s="26">
        <f t="shared" si="258"/>
        <v>0</v>
      </c>
      <c r="M138" s="26">
        <f t="shared" ref="M138:N138" si="342">SUM(M139:M140)</f>
        <v>0</v>
      </c>
      <c r="N138" s="26">
        <f t="shared" si="342"/>
        <v>0</v>
      </c>
      <c r="O138" s="26">
        <f t="shared" si="260"/>
        <v>0</v>
      </c>
      <c r="P138" s="26">
        <f t="shared" ref="P138:Q138" si="343">SUM(P139:P140)</f>
        <v>0</v>
      </c>
      <c r="Q138" s="26">
        <f t="shared" si="343"/>
        <v>0</v>
      </c>
      <c r="R138" s="26">
        <f t="shared" si="262"/>
        <v>0</v>
      </c>
      <c r="S138" s="26">
        <f t="shared" ref="S138:T138" si="344">SUM(S139:S140)</f>
        <v>0</v>
      </c>
      <c r="T138" s="26">
        <f t="shared" si="344"/>
        <v>0</v>
      </c>
      <c r="U138" s="29"/>
      <c r="V138" s="5" t="str">
        <f t="shared" si="264"/>
        <v>-</v>
      </c>
    </row>
    <row r="139" spans="1:22" ht="25.15" customHeight="1" x14ac:dyDescent="0.6">
      <c r="A139" s="30" t="s">
        <v>5</v>
      </c>
      <c r="B139" s="22"/>
      <c r="C139" s="22">
        <f t="shared" si="253"/>
        <v>0</v>
      </c>
      <c r="D139" s="22"/>
      <c r="E139" s="22"/>
      <c r="F139" s="22">
        <f t="shared" si="254"/>
        <v>0</v>
      </c>
      <c r="G139" s="22"/>
      <c r="H139" s="22"/>
      <c r="I139" s="22">
        <f t="shared" si="256"/>
        <v>0</v>
      </c>
      <c r="J139" s="22"/>
      <c r="K139" s="22"/>
      <c r="L139" s="22">
        <f t="shared" si="258"/>
        <v>0</v>
      </c>
      <c r="M139" s="22"/>
      <c r="N139" s="22"/>
      <c r="O139" s="22">
        <f t="shared" si="260"/>
        <v>0</v>
      </c>
      <c r="P139" s="22"/>
      <c r="Q139" s="22"/>
      <c r="R139" s="22">
        <f t="shared" si="262"/>
        <v>0</v>
      </c>
      <c r="S139" s="22"/>
      <c r="T139" s="22"/>
      <c r="U139" s="14"/>
      <c r="V139" s="5" t="str">
        <f t="shared" si="264"/>
        <v>-</v>
      </c>
    </row>
    <row r="140" spans="1:22" ht="25.5" customHeight="1" x14ac:dyDescent="0.6">
      <c r="A140" s="30" t="s">
        <v>6</v>
      </c>
      <c r="B140" s="22"/>
      <c r="C140" s="22">
        <f t="shared" si="253"/>
        <v>0</v>
      </c>
      <c r="D140" s="22"/>
      <c r="E140" s="22"/>
      <c r="F140" s="22">
        <f t="shared" si="254"/>
        <v>0</v>
      </c>
      <c r="G140" s="22"/>
      <c r="H140" s="22"/>
      <c r="I140" s="22">
        <f t="shared" si="256"/>
        <v>0</v>
      </c>
      <c r="J140" s="22"/>
      <c r="K140" s="22"/>
      <c r="L140" s="22">
        <f t="shared" si="258"/>
        <v>0</v>
      </c>
      <c r="M140" s="22"/>
      <c r="N140" s="22"/>
      <c r="O140" s="22">
        <f t="shared" si="260"/>
        <v>0</v>
      </c>
      <c r="P140" s="22"/>
      <c r="Q140" s="22"/>
      <c r="R140" s="22">
        <f t="shared" si="262"/>
        <v>0</v>
      </c>
      <c r="S140" s="22"/>
      <c r="T140" s="22"/>
      <c r="U140" s="14"/>
      <c r="V140" s="5" t="str">
        <f t="shared" si="264"/>
        <v>-</v>
      </c>
    </row>
    <row r="141" spans="1:22" ht="25.15" customHeight="1" x14ac:dyDescent="0.6">
      <c r="A141" s="28" t="s">
        <v>4</v>
      </c>
      <c r="B141" s="26">
        <f>SUM(B142:B143)</f>
        <v>0</v>
      </c>
      <c r="C141" s="26">
        <f t="shared" si="253"/>
        <v>0</v>
      </c>
      <c r="D141" s="26">
        <f>SUM(D142:D143)</f>
        <v>0</v>
      </c>
      <c r="E141" s="26">
        <f>SUM(E142:E143)</f>
        <v>0</v>
      </c>
      <c r="F141" s="26">
        <f t="shared" si="254"/>
        <v>0</v>
      </c>
      <c r="G141" s="26">
        <f t="shared" ref="G141:H141" si="345">SUM(G142:G143)</f>
        <v>0</v>
      </c>
      <c r="H141" s="26">
        <f t="shared" si="345"/>
        <v>0</v>
      </c>
      <c r="I141" s="26">
        <f t="shared" si="256"/>
        <v>0</v>
      </c>
      <c r="J141" s="26">
        <f t="shared" ref="J141:K141" si="346">SUM(J142:J143)</f>
        <v>0</v>
      </c>
      <c r="K141" s="26">
        <f t="shared" si="346"/>
        <v>0</v>
      </c>
      <c r="L141" s="26">
        <f t="shared" si="258"/>
        <v>0</v>
      </c>
      <c r="M141" s="26">
        <f t="shared" ref="M141:N141" si="347">SUM(M142:M143)</f>
        <v>0</v>
      </c>
      <c r="N141" s="26">
        <f t="shared" si="347"/>
        <v>0</v>
      </c>
      <c r="O141" s="26">
        <f t="shared" si="260"/>
        <v>0</v>
      </c>
      <c r="P141" s="26">
        <f t="shared" ref="P141:Q141" si="348">SUM(P142:P143)</f>
        <v>0</v>
      </c>
      <c r="Q141" s="26">
        <f t="shared" si="348"/>
        <v>0</v>
      </c>
      <c r="R141" s="26">
        <f t="shared" si="262"/>
        <v>0</v>
      </c>
      <c r="S141" s="26">
        <f t="shared" ref="S141:T141" si="349">SUM(S142:S143)</f>
        <v>0</v>
      </c>
      <c r="T141" s="26">
        <f t="shared" si="349"/>
        <v>0</v>
      </c>
      <c r="U141" s="29"/>
      <c r="V141" s="5" t="str">
        <f t="shared" si="264"/>
        <v>-</v>
      </c>
    </row>
    <row r="142" spans="1:22" ht="25.15" customHeight="1" x14ac:dyDescent="0.6">
      <c r="A142" s="30" t="s">
        <v>7</v>
      </c>
      <c r="B142" s="22"/>
      <c r="C142" s="22">
        <f t="shared" si="253"/>
        <v>0</v>
      </c>
      <c r="D142" s="22"/>
      <c r="E142" s="22"/>
      <c r="F142" s="22">
        <f t="shared" si="254"/>
        <v>0</v>
      </c>
      <c r="G142" s="22"/>
      <c r="H142" s="22"/>
      <c r="I142" s="22">
        <f t="shared" si="256"/>
        <v>0</v>
      </c>
      <c r="J142" s="22"/>
      <c r="K142" s="22"/>
      <c r="L142" s="22">
        <f t="shared" si="258"/>
        <v>0</v>
      </c>
      <c r="M142" s="22"/>
      <c r="N142" s="22"/>
      <c r="O142" s="22">
        <f t="shared" si="260"/>
        <v>0</v>
      </c>
      <c r="P142" s="22"/>
      <c r="Q142" s="22"/>
      <c r="R142" s="22">
        <f t="shared" si="262"/>
        <v>0</v>
      </c>
      <c r="S142" s="22"/>
      <c r="T142" s="22"/>
      <c r="U142" s="14"/>
      <c r="V142" s="5" t="str">
        <f t="shared" si="264"/>
        <v>-</v>
      </c>
    </row>
    <row r="143" spans="1:22" ht="25.15" customHeight="1" x14ac:dyDescent="0.6">
      <c r="A143" s="30" t="s">
        <v>8</v>
      </c>
      <c r="B143" s="22"/>
      <c r="C143" s="22">
        <f t="shared" si="253"/>
        <v>0</v>
      </c>
      <c r="D143" s="22"/>
      <c r="E143" s="22"/>
      <c r="F143" s="22">
        <f t="shared" si="254"/>
        <v>0</v>
      </c>
      <c r="G143" s="22"/>
      <c r="H143" s="22"/>
      <c r="I143" s="22">
        <f t="shared" si="256"/>
        <v>0</v>
      </c>
      <c r="J143" s="22"/>
      <c r="K143" s="22"/>
      <c r="L143" s="22">
        <f t="shared" si="258"/>
        <v>0</v>
      </c>
      <c r="M143" s="22"/>
      <c r="N143" s="22"/>
      <c r="O143" s="22">
        <f t="shared" si="260"/>
        <v>0</v>
      </c>
      <c r="P143" s="22"/>
      <c r="Q143" s="22"/>
      <c r="R143" s="22">
        <f t="shared" si="262"/>
        <v>0</v>
      </c>
      <c r="S143" s="22"/>
      <c r="T143" s="22"/>
      <c r="U143" s="14"/>
      <c r="V143" s="5" t="str">
        <f t="shared" si="264"/>
        <v>-</v>
      </c>
    </row>
    <row r="144" spans="1:22" ht="25.15" customHeight="1" x14ac:dyDescent="0.6">
      <c r="A144" s="25" t="s">
        <v>9</v>
      </c>
      <c r="B144" s="26">
        <f>B145+B148</f>
        <v>0</v>
      </c>
      <c r="C144" s="26">
        <f t="shared" si="253"/>
        <v>0</v>
      </c>
      <c r="D144" s="26">
        <f>D145+D148</f>
        <v>0</v>
      </c>
      <c r="E144" s="26">
        <f>E145+E148</f>
        <v>0</v>
      </c>
      <c r="F144" s="26">
        <f t="shared" si="254"/>
        <v>0</v>
      </c>
      <c r="G144" s="26">
        <f t="shared" ref="G144:H144" si="350">G145+G148</f>
        <v>0</v>
      </c>
      <c r="H144" s="26">
        <f t="shared" si="350"/>
        <v>0</v>
      </c>
      <c r="I144" s="26">
        <f t="shared" si="256"/>
        <v>0</v>
      </c>
      <c r="J144" s="26">
        <f t="shared" ref="J144:K144" si="351">J145+J148</f>
        <v>0</v>
      </c>
      <c r="K144" s="26">
        <f t="shared" si="351"/>
        <v>0</v>
      </c>
      <c r="L144" s="26">
        <f t="shared" si="258"/>
        <v>0</v>
      </c>
      <c r="M144" s="26">
        <f t="shared" ref="M144:N144" si="352">M145+M148</f>
        <v>0</v>
      </c>
      <c r="N144" s="26">
        <f t="shared" si="352"/>
        <v>0</v>
      </c>
      <c r="O144" s="26">
        <f t="shared" si="260"/>
        <v>0</v>
      </c>
      <c r="P144" s="26">
        <f t="shared" ref="P144:Q144" si="353">P145+P148</f>
        <v>0</v>
      </c>
      <c r="Q144" s="26">
        <f t="shared" si="353"/>
        <v>0</v>
      </c>
      <c r="R144" s="26">
        <f t="shared" si="262"/>
        <v>0</v>
      </c>
      <c r="S144" s="26">
        <f t="shared" ref="S144:T144" si="354">S145+S148</f>
        <v>0</v>
      </c>
      <c r="T144" s="26">
        <f t="shared" si="354"/>
        <v>0</v>
      </c>
      <c r="U144" s="27"/>
      <c r="V144" s="5" t="str">
        <f t="shared" si="264"/>
        <v>-</v>
      </c>
    </row>
    <row r="145" spans="1:22" ht="25.15" customHeight="1" x14ac:dyDescent="0.6">
      <c r="A145" s="28" t="s">
        <v>3</v>
      </c>
      <c r="B145" s="26">
        <f>SUM(B146:B147)</f>
        <v>0</v>
      </c>
      <c r="C145" s="26">
        <f t="shared" si="253"/>
        <v>0</v>
      </c>
      <c r="D145" s="26">
        <f>SUM(D146:D147)</f>
        <v>0</v>
      </c>
      <c r="E145" s="26">
        <f>SUM(E146:E147)</f>
        <v>0</v>
      </c>
      <c r="F145" s="26">
        <f t="shared" si="254"/>
        <v>0</v>
      </c>
      <c r="G145" s="26">
        <f t="shared" ref="G145:H145" si="355">SUM(G146:G147)</f>
        <v>0</v>
      </c>
      <c r="H145" s="26">
        <f t="shared" si="355"/>
        <v>0</v>
      </c>
      <c r="I145" s="26">
        <f t="shared" si="256"/>
        <v>0</v>
      </c>
      <c r="J145" s="26">
        <f t="shared" ref="J145:K145" si="356">SUM(J146:J147)</f>
        <v>0</v>
      </c>
      <c r="K145" s="26">
        <f t="shared" si="356"/>
        <v>0</v>
      </c>
      <c r="L145" s="26">
        <f t="shared" si="258"/>
        <v>0</v>
      </c>
      <c r="M145" s="26">
        <f t="shared" ref="M145:N145" si="357">SUM(M146:M147)</f>
        <v>0</v>
      </c>
      <c r="N145" s="26">
        <f t="shared" si="357"/>
        <v>0</v>
      </c>
      <c r="O145" s="26">
        <f t="shared" si="260"/>
        <v>0</v>
      </c>
      <c r="P145" s="26">
        <f t="shared" ref="P145:Q145" si="358">SUM(P146:P147)</f>
        <v>0</v>
      </c>
      <c r="Q145" s="26">
        <f t="shared" si="358"/>
        <v>0</v>
      </c>
      <c r="R145" s="26">
        <f t="shared" si="262"/>
        <v>0</v>
      </c>
      <c r="S145" s="26">
        <f t="shared" ref="S145:T145" si="359">SUM(S146:S147)</f>
        <v>0</v>
      </c>
      <c r="T145" s="26">
        <f t="shared" si="359"/>
        <v>0</v>
      </c>
      <c r="U145" s="29"/>
      <c r="V145" s="5" t="str">
        <f t="shared" si="264"/>
        <v>-</v>
      </c>
    </row>
    <row r="146" spans="1:22" ht="25.15" customHeight="1" x14ac:dyDescent="0.6">
      <c r="A146" s="30" t="s">
        <v>5</v>
      </c>
      <c r="B146" s="22"/>
      <c r="C146" s="22">
        <f t="shared" si="253"/>
        <v>0</v>
      </c>
      <c r="D146" s="22"/>
      <c r="E146" s="22"/>
      <c r="F146" s="22">
        <f t="shared" si="254"/>
        <v>0</v>
      </c>
      <c r="G146" s="22"/>
      <c r="H146" s="22"/>
      <c r="I146" s="22">
        <f t="shared" si="256"/>
        <v>0</v>
      </c>
      <c r="J146" s="22"/>
      <c r="K146" s="22"/>
      <c r="L146" s="22">
        <f t="shared" si="258"/>
        <v>0</v>
      </c>
      <c r="M146" s="22"/>
      <c r="N146" s="22"/>
      <c r="O146" s="22">
        <f t="shared" si="260"/>
        <v>0</v>
      </c>
      <c r="P146" s="22"/>
      <c r="Q146" s="22"/>
      <c r="R146" s="22">
        <f t="shared" si="262"/>
        <v>0</v>
      </c>
      <c r="S146" s="22"/>
      <c r="T146" s="22"/>
      <c r="U146" s="14"/>
      <c r="V146" s="5" t="str">
        <f t="shared" si="264"/>
        <v>-</v>
      </c>
    </row>
    <row r="147" spans="1:22" ht="25.15" customHeight="1" x14ac:dyDescent="0.6">
      <c r="A147" s="30" t="s">
        <v>6</v>
      </c>
      <c r="B147" s="22"/>
      <c r="C147" s="22">
        <f t="shared" si="253"/>
        <v>0</v>
      </c>
      <c r="D147" s="22"/>
      <c r="E147" s="22"/>
      <c r="F147" s="22">
        <f t="shared" si="254"/>
        <v>0</v>
      </c>
      <c r="G147" s="22"/>
      <c r="H147" s="22"/>
      <c r="I147" s="22">
        <f t="shared" si="256"/>
        <v>0</v>
      </c>
      <c r="J147" s="22"/>
      <c r="K147" s="22"/>
      <c r="L147" s="22">
        <f t="shared" si="258"/>
        <v>0</v>
      </c>
      <c r="M147" s="22"/>
      <c r="N147" s="22"/>
      <c r="O147" s="22">
        <f t="shared" si="260"/>
        <v>0</v>
      </c>
      <c r="P147" s="22"/>
      <c r="Q147" s="22"/>
      <c r="R147" s="22">
        <f t="shared" si="262"/>
        <v>0</v>
      </c>
      <c r="S147" s="22"/>
      <c r="T147" s="22"/>
      <c r="U147" s="14"/>
      <c r="V147" s="5" t="str">
        <f t="shared" si="264"/>
        <v>-</v>
      </c>
    </row>
    <row r="148" spans="1:22" ht="25.15" customHeight="1" x14ac:dyDescent="0.6">
      <c r="A148" s="28" t="s">
        <v>4</v>
      </c>
      <c r="B148" s="26">
        <f>SUM(B149:B150)</f>
        <v>0</v>
      </c>
      <c r="C148" s="26">
        <f t="shared" si="253"/>
        <v>0</v>
      </c>
      <c r="D148" s="26">
        <f>SUM(D149:D150)</f>
        <v>0</v>
      </c>
      <c r="E148" s="26">
        <f>SUM(E149:E150)</f>
        <v>0</v>
      </c>
      <c r="F148" s="26">
        <f t="shared" si="254"/>
        <v>0</v>
      </c>
      <c r="G148" s="26">
        <f t="shared" ref="G148:H148" si="360">SUM(G149:G150)</f>
        <v>0</v>
      </c>
      <c r="H148" s="26">
        <f t="shared" si="360"/>
        <v>0</v>
      </c>
      <c r="I148" s="26">
        <f t="shared" si="256"/>
        <v>0</v>
      </c>
      <c r="J148" s="26">
        <f t="shared" ref="J148:K148" si="361">SUM(J149:J150)</f>
        <v>0</v>
      </c>
      <c r="K148" s="26">
        <f t="shared" si="361"/>
        <v>0</v>
      </c>
      <c r="L148" s="26">
        <f t="shared" si="258"/>
        <v>0</v>
      </c>
      <c r="M148" s="26">
        <f t="shared" ref="M148:N148" si="362">SUM(M149:M150)</f>
        <v>0</v>
      </c>
      <c r="N148" s="26">
        <f t="shared" si="362"/>
        <v>0</v>
      </c>
      <c r="O148" s="26">
        <f t="shared" si="260"/>
        <v>0</v>
      </c>
      <c r="P148" s="26">
        <f t="shared" ref="P148:Q148" si="363">SUM(P149:P150)</f>
        <v>0</v>
      </c>
      <c r="Q148" s="26">
        <f t="shared" si="363"/>
        <v>0</v>
      </c>
      <c r="R148" s="26">
        <f t="shared" si="262"/>
        <v>0</v>
      </c>
      <c r="S148" s="26">
        <f t="shared" ref="S148:T148" si="364">SUM(S149:S150)</f>
        <v>0</v>
      </c>
      <c r="T148" s="26">
        <f t="shared" si="364"/>
        <v>0</v>
      </c>
      <c r="U148" s="29"/>
      <c r="V148" s="5" t="str">
        <f t="shared" si="264"/>
        <v>-</v>
      </c>
    </row>
    <row r="149" spans="1:22" ht="25.15" customHeight="1" x14ac:dyDescent="0.6">
      <c r="A149" s="30" t="s">
        <v>7</v>
      </c>
      <c r="B149" s="22"/>
      <c r="C149" s="22">
        <f t="shared" si="253"/>
        <v>0</v>
      </c>
      <c r="D149" s="22"/>
      <c r="E149" s="22"/>
      <c r="F149" s="22">
        <f t="shared" si="254"/>
        <v>0</v>
      </c>
      <c r="G149" s="22"/>
      <c r="H149" s="22"/>
      <c r="I149" s="22">
        <f t="shared" si="256"/>
        <v>0</v>
      </c>
      <c r="J149" s="22"/>
      <c r="K149" s="22"/>
      <c r="L149" s="22">
        <f t="shared" si="258"/>
        <v>0</v>
      </c>
      <c r="M149" s="22"/>
      <c r="N149" s="22"/>
      <c r="O149" s="22">
        <f t="shared" si="260"/>
        <v>0</v>
      </c>
      <c r="P149" s="22"/>
      <c r="Q149" s="22"/>
      <c r="R149" s="22">
        <f t="shared" si="262"/>
        <v>0</v>
      </c>
      <c r="S149" s="22"/>
      <c r="T149" s="22"/>
      <c r="U149" s="14"/>
      <c r="V149" s="5" t="str">
        <f t="shared" si="264"/>
        <v>-</v>
      </c>
    </row>
    <row r="150" spans="1:22" ht="25.15" customHeight="1" x14ac:dyDescent="0.6">
      <c r="A150" s="30" t="s">
        <v>8</v>
      </c>
      <c r="B150" s="22"/>
      <c r="C150" s="22">
        <f t="shared" si="253"/>
        <v>0</v>
      </c>
      <c r="D150" s="22"/>
      <c r="E150" s="22"/>
      <c r="F150" s="22">
        <f t="shared" si="254"/>
        <v>0</v>
      </c>
      <c r="G150" s="22"/>
      <c r="H150" s="22"/>
      <c r="I150" s="22">
        <f t="shared" si="256"/>
        <v>0</v>
      </c>
      <c r="J150" s="22"/>
      <c r="K150" s="22"/>
      <c r="L150" s="22">
        <f t="shared" si="258"/>
        <v>0</v>
      </c>
      <c r="M150" s="22"/>
      <c r="N150" s="22"/>
      <c r="O150" s="22">
        <f t="shared" si="260"/>
        <v>0</v>
      </c>
      <c r="P150" s="22"/>
      <c r="Q150" s="22"/>
      <c r="R150" s="22">
        <f t="shared" si="262"/>
        <v>0</v>
      </c>
      <c r="S150" s="22"/>
      <c r="T150" s="22"/>
      <c r="U150" s="14"/>
      <c r="V150" s="5" t="str">
        <f t="shared" si="264"/>
        <v>-</v>
      </c>
    </row>
    <row r="151" spans="1:22" ht="25.15" customHeight="1" x14ac:dyDescent="0.6">
      <c r="A151" s="17" t="s">
        <v>35</v>
      </c>
      <c r="B151" s="21">
        <f>B152</f>
        <v>0</v>
      </c>
      <c r="C151" s="21">
        <f>D151+E151</f>
        <v>5740.4</v>
      </c>
      <c r="D151" s="21">
        <f>D152+D167+D182+D197+D218</f>
        <v>740.4</v>
      </c>
      <c r="E151" s="21">
        <f>E152+E167+E182+E197+E218</f>
        <v>5000</v>
      </c>
      <c r="F151" s="21">
        <f>G151+H151</f>
        <v>5740.4</v>
      </c>
      <c r="G151" s="21">
        <f t="shared" ref="G151:H151" si="365">G152+G167+G182+G197+G218</f>
        <v>740.4</v>
      </c>
      <c r="H151" s="21">
        <f t="shared" si="365"/>
        <v>5000</v>
      </c>
      <c r="I151" s="21">
        <f>J151+K151</f>
        <v>0</v>
      </c>
      <c r="J151" s="21">
        <f t="shared" ref="J151:K151" si="366">J152+J167+J182+J197+J218</f>
        <v>0</v>
      </c>
      <c r="K151" s="21">
        <f t="shared" si="366"/>
        <v>0</v>
      </c>
      <c r="L151" s="21">
        <f>M151+N151</f>
        <v>0</v>
      </c>
      <c r="M151" s="21">
        <f t="shared" ref="M151:N151" si="367">M152+M167+M182+M197+M218</f>
        <v>0</v>
      </c>
      <c r="N151" s="21">
        <f t="shared" si="367"/>
        <v>0</v>
      </c>
      <c r="O151" s="21">
        <f>P151+Q151</f>
        <v>0</v>
      </c>
      <c r="P151" s="21">
        <f t="shared" ref="P151:Q151" si="368">P152+P167+P182+P197+P218</f>
        <v>0</v>
      </c>
      <c r="Q151" s="21">
        <f t="shared" si="368"/>
        <v>0</v>
      </c>
      <c r="R151" s="21">
        <f>S151+T151</f>
        <v>0</v>
      </c>
      <c r="S151" s="21">
        <f t="shared" ref="S151" si="369">S152+S167+S182+S197+S218</f>
        <v>0</v>
      </c>
      <c r="T151" s="21">
        <f>T152+T167+T182+T197+T218</f>
        <v>0</v>
      </c>
      <c r="U151" s="19"/>
      <c r="V151" s="5" t="str">
        <f>IF((B151+C151+F151+L151+O151)&lt;&gt;0,"ok","-")</f>
        <v>ok</v>
      </c>
    </row>
    <row r="152" spans="1:22" ht="25.15" customHeight="1" x14ac:dyDescent="0.6">
      <c r="A152" s="18" t="s">
        <v>36</v>
      </c>
      <c r="B152" s="23">
        <f>B153+B160</f>
        <v>0</v>
      </c>
      <c r="C152" s="23">
        <f t="shared" ref="C152:C196" si="370">D152+E152</f>
        <v>0</v>
      </c>
      <c r="D152" s="23">
        <f>D153+D160</f>
        <v>0</v>
      </c>
      <c r="E152" s="23">
        <f>E153+E160</f>
        <v>0</v>
      </c>
      <c r="F152" s="23">
        <f t="shared" ref="F152:F196" si="371">G152+H152</f>
        <v>0</v>
      </c>
      <c r="G152" s="23">
        <f t="shared" ref="G152:H152" si="372">G153+G160</f>
        <v>0</v>
      </c>
      <c r="H152" s="23">
        <f t="shared" si="372"/>
        <v>0</v>
      </c>
      <c r="I152" s="23">
        <f t="shared" ref="I152:I196" si="373">J152+K152</f>
        <v>0</v>
      </c>
      <c r="J152" s="23">
        <f t="shared" ref="J152:K152" si="374">J153+J160</f>
        <v>0</v>
      </c>
      <c r="K152" s="23">
        <f t="shared" si="374"/>
        <v>0</v>
      </c>
      <c r="L152" s="23">
        <f t="shared" ref="L152:L196" si="375">M152+N152</f>
        <v>0</v>
      </c>
      <c r="M152" s="23">
        <f t="shared" ref="M152:N152" si="376">M153+M160</f>
        <v>0</v>
      </c>
      <c r="N152" s="23">
        <f t="shared" si="376"/>
        <v>0</v>
      </c>
      <c r="O152" s="23">
        <f t="shared" ref="O152:O196" si="377">P152+Q152</f>
        <v>0</v>
      </c>
      <c r="P152" s="23">
        <f t="shared" ref="P152:Q152" si="378">P153+P160</f>
        <v>0</v>
      </c>
      <c r="Q152" s="23">
        <f t="shared" si="378"/>
        <v>0</v>
      </c>
      <c r="R152" s="23">
        <f t="shared" ref="R152:R196" si="379">S152+T152</f>
        <v>0</v>
      </c>
      <c r="S152" s="23">
        <f t="shared" ref="S152:T152" si="380">S153+S160</f>
        <v>0</v>
      </c>
      <c r="T152" s="23">
        <f t="shared" si="380"/>
        <v>0</v>
      </c>
      <c r="U152" s="20"/>
      <c r="V152" s="5" t="str">
        <f t="shared" ref="V152:V196" si="381">IF((B152+C152+F152+L152+O152)&lt;&gt;0,"ok","-")</f>
        <v>-</v>
      </c>
    </row>
    <row r="153" spans="1:22" ht="25.15" customHeight="1" x14ac:dyDescent="0.6">
      <c r="A153" s="25" t="s">
        <v>2</v>
      </c>
      <c r="B153" s="26">
        <f>B154+B157</f>
        <v>0</v>
      </c>
      <c r="C153" s="26">
        <f t="shared" si="370"/>
        <v>0</v>
      </c>
      <c r="D153" s="26">
        <f>D154+D157</f>
        <v>0</v>
      </c>
      <c r="E153" s="26">
        <f>E154+E157</f>
        <v>0</v>
      </c>
      <c r="F153" s="26">
        <f t="shared" si="371"/>
        <v>0</v>
      </c>
      <c r="G153" s="26">
        <f t="shared" ref="G153:H153" si="382">G154+G157</f>
        <v>0</v>
      </c>
      <c r="H153" s="26">
        <f t="shared" si="382"/>
        <v>0</v>
      </c>
      <c r="I153" s="26">
        <f t="shared" si="373"/>
        <v>0</v>
      </c>
      <c r="J153" s="26">
        <f t="shared" ref="J153:K153" si="383">J154+J157</f>
        <v>0</v>
      </c>
      <c r="K153" s="26">
        <f t="shared" si="383"/>
        <v>0</v>
      </c>
      <c r="L153" s="26">
        <f t="shared" si="375"/>
        <v>0</v>
      </c>
      <c r="M153" s="26">
        <f t="shared" ref="M153:N153" si="384">M154+M157</f>
        <v>0</v>
      </c>
      <c r="N153" s="26">
        <f t="shared" si="384"/>
        <v>0</v>
      </c>
      <c r="O153" s="26">
        <f t="shared" si="377"/>
        <v>0</v>
      </c>
      <c r="P153" s="26">
        <f t="shared" ref="P153:Q153" si="385">P154+P157</f>
        <v>0</v>
      </c>
      <c r="Q153" s="26">
        <f t="shared" si="385"/>
        <v>0</v>
      </c>
      <c r="R153" s="26">
        <f t="shared" si="379"/>
        <v>0</v>
      </c>
      <c r="S153" s="26">
        <f t="shared" ref="S153:T153" si="386">S154+S157</f>
        <v>0</v>
      </c>
      <c r="T153" s="26">
        <f t="shared" si="386"/>
        <v>0</v>
      </c>
      <c r="U153" s="27"/>
      <c r="V153" s="5" t="str">
        <f t="shared" si="381"/>
        <v>-</v>
      </c>
    </row>
    <row r="154" spans="1:22" ht="25.15" customHeight="1" x14ac:dyDescent="0.6">
      <c r="A154" s="28" t="s">
        <v>3</v>
      </c>
      <c r="B154" s="26">
        <f>SUM(B155:B156)</f>
        <v>0</v>
      </c>
      <c r="C154" s="26">
        <f t="shared" si="370"/>
        <v>0</v>
      </c>
      <c r="D154" s="26">
        <f>SUM(D155:D156)</f>
        <v>0</v>
      </c>
      <c r="E154" s="26">
        <f>SUM(E155:E156)</f>
        <v>0</v>
      </c>
      <c r="F154" s="26">
        <f t="shared" si="371"/>
        <v>0</v>
      </c>
      <c r="G154" s="26">
        <f t="shared" ref="G154:H154" si="387">SUM(G155:G156)</f>
        <v>0</v>
      </c>
      <c r="H154" s="26">
        <f t="shared" si="387"/>
        <v>0</v>
      </c>
      <c r="I154" s="26">
        <f t="shared" si="373"/>
        <v>0</v>
      </c>
      <c r="J154" s="26">
        <f t="shared" ref="J154:K154" si="388">SUM(J155:J156)</f>
        <v>0</v>
      </c>
      <c r="K154" s="26">
        <f t="shared" si="388"/>
        <v>0</v>
      </c>
      <c r="L154" s="26">
        <f t="shared" si="375"/>
        <v>0</v>
      </c>
      <c r="M154" s="26">
        <f t="shared" ref="M154:N154" si="389">SUM(M155:M156)</f>
        <v>0</v>
      </c>
      <c r="N154" s="26">
        <f t="shared" si="389"/>
        <v>0</v>
      </c>
      <c r="O154" s="26">
        <f t="shared" si="377"/>
        <v>0</v>
      </c>
      <c r="P154" s="26">
        <f t="shared" ref="P154:Q154" si="390">SUM(P155:P156)</f>
        <v>0</v>
      </c>
      <c r="Q154" s="26">
        <f t="shared" si="390"/>
        <v>0</v>
      </c>
      <c r="R154" s="26">
        <f t="shared" si="379"/>
        <v>0</v>
      </c>
      <c r="S154" s="26">
        <f t="shared" ref="S154:T154" si="391">SUM(S155:S156)</f>
        <v>0</v>
      </c>
      <c r="T154" s="26">
        <f t="shared" si="391"/>
        <v>0</v>
      </c>
      <c r="U154" s="29"/>
      <c r="V154" s="5" t="str">
        <f t="shared" si="381"/>
        <v>-</v>
      </c>
    </row>
    <row r="155" spans="1:22" ht="25.15" customHeight="1" x14ac:dyDescent="0.6">
      <c r="A155" s="30" t="s">
        <v>5</v>
      </c>
      <c r="B155" s="22"/>
      <c r="C155" s="22">
        <f t="shared" si="370"/>
        <v>0</v>
      </c>
      <c r="D155" s="22"/>
      <c r="E155" s="22"/>
      <c r="F155" s="22">
        <f t="shared" si="371"/>
        <v>0</v>
      </c>
      <c r="G155" s="22"/>
      <c r="H155" s="22"/>
      <c r="I155" s="22">
        <f t="shared" si="373"/>
        <v>0</v>
      </c>
      <c r="J155" s="22"/>
      <c r="K155" s="22"/>
      <c r="L155" s="22">
        <f t="shared" si="375"/>
        <v>0</v>
      </c>
      <c r="M155" s="22"/>
      <c r="N155" s="22"/>
      <c r="O155" s="22">
        <f t="shared" si="377"/>
        <v>0</v>
      </c>
      <c r="P155" s="22"/>
      <c r="Q155" s="22"/>
      <c r="R155" s="22">
        <f t="shared" si="379"/>
        <v>0</v>
      </c>
      <c r="S155" s="22"/>
      <c r="T155" s="22"/>
      <c r="U155" s="14"/>
      <c r="V155" s="5" t="str">
        <f t="shared" si="381"/>
        <v>-</v>
      </c>
    </row>
    <row r="156" spans="1:22" ht="25.5" customHeight="1" x14ac:dyDescent="0.6">
      <c r="A156" s="30" t="s">
        <v>6</v>
      </c>
      <c r="B156" s="22"/>
      <c r="C156" s="22">
        <f t="shared" si="370"/>
        <v>0</v>
      </c>
      <c r="D156" s="22"/>
      <c r="E156" s="22"/>
      <c r="F156" s="22">
        <f t="shared" si="371"/>
        <v>0</v>
      </c>
      <c r="G156" s="22"/>
      <c r="H156" s="22"/>
      <c r="I156" s="22">
        <f t="shared" si="373"/>
        <v>0</v>
      </c>
      <c r="J156" s="22"/>
      <c r="K156" s="22"/>
      <c r="L156" s="22">
        <f t="shared" si="375"/>
        <v>0</v>
      </c>
      <c r="M156" s="22"/>
      <c r="N156" s="22"/>
      <c r="O156" s="22">
        <f t="shared" si="377"/>
        <v>0</v>
      </c>
      <c r="P156" s="22"/>
      <c r="Q156" s="22"/>
      <c r="R156" s="22">
        <f t="shared" si="379"/>
        <v>0</v>
      </c>
      <c r="S156" s="22"/>
      <c r="T156" s="22"/>
      <c r="U156" s="14"/>
      <c r="V156" s="5" t="str">
        <f t="shared" si="381"/>
        <v>-</v>
      </c>
    </row>
    <row r="157" spans="1:22" ht="25.15" customHeight="1" x14ac:dyDescent="0.6">
      <c r="A157" s="28" t="s">
        <v>4</v>
      </c>
      <c r="B157" s="26">
        <f>SUM(B158:B159)</f>
        <v>0</v>
      </c>
      <c r="C157" s="26">
        <f t="shared" si="370"/>
        <v>0</v>
      </c>
      <c r="D157" s="26">
        <f>SUM(D158:D159)</f>
        <v>0</v>
      </c>
      <c r="E157" s="26">
        <f>SUM(E158:E159)</f>
        <v>0</v>
      </c>
      <c r="F157" s="26">
        <f t="shared" si="371"/>
        <v>0</v>
      </c>
      <c r="G157" s="26">
        <f t="shared" ref="G157:H157" si="392">SUM(G158:G159)</f>
        <v>0</v>
      </c>
      <c r="H157" s="26">
        <f t="shared" si="392"/>
        <v>0</v>
      </c>
      <c r="I157" s="26">
        <f t="shared" si="373"/>
        <v>0</v>
      </c>
      <c r="J157" s="26">
        <f t="shared" ref="J157:K157" si="393">SUM(J158:J159)</f>
        <v>0</v>
      </c>
      <c r="K157" s="26">
        <f t="shared" si="393"/>
        <v>0</v>
      </c>
      <c r="L157" s="26">
        <f t="shared" si="375"/>
        <v>0</v>
      </c>
      <c r="M157" s="26">
        <f t="shared" ref="M157:N157" si="394">SUM(M158:M159)</f>
        <v>0</v>
      </c>
      <c r="N157" s="26">
        <f t="shared" si="394"/>
        <v>0</v>
      </c>
      <c r="O157" s="26">
        <f t="shared" si="377"/>
        <v>0</v>
      </c>
      <c r="P157" s="26">
        <f t="shared" ref="P157:Q157" si="395">SUM(P158:P159)</f>
        <v>0</v>
      </c>
      <c r="Q157" s="26">
        <f t="shared" si="395"/>
        <v>0</v>
      </c>
      <c r="R157" s="26">
        <f t="shared" si="379"/>
        <v>0</v>
      </c>
      <c r="S157" s="26">
        <f t="shared" ref="S157:T157" si="396">SUM(S158:S159)</f>
        <v>0</v>
      </c>
      <c r="T157" s="26">
        <f t="shared" si="396"/>
        <v>0</v>
      </c>
      <c r="U157" s="29"/>
      <c r="V157" s="5" t="str">
        <f t="shared" si="381"/>
        <v>-</v>
      </c>
    </row>
    <row r="158" spans="1:22" ht="25.15" customHeight="1" x14ac:dyDescent="0.6">
      <c r="A158" s="30" t="s">
        <v>7</v>
      </c>
      <c r="B158" s="22"/>
      <c r="C158" s="22">
        <f t="shared" si="370"/>
        <v>0</v>
      </c>
      <c r="D158" s="22"/>
      <c r="E158" s="22"/>
      <c r="F158" s="22">
        <f t="shared" si="371"/>
        <v>0</v>
      </c>
      <c r="G158" s="22"/>
      <c r="H158" s="22"/>
      <c r="I158" s="22">
        <f t="shared" si="373"/>
        <v>0</v>
      </c>
      <c r="J158" s="22"/>
      <c r="K158" s="22"/>
      <c r="L158" s="22">
        <f t="shared" si="375"/>
        <v>0</v>
      </c>
      <c r="M158" s="22"/>
      <c r="N158" s="22"/>
      <c r="O158" s="22">
        <f t="shared" si="377"/>
        <v>0</v>
      </c>
      <c r="P158" s="22"/>
      <c r="Q158" s="22"/>
      <c r="R158" s="22">
        <f t="shared" si="379"/>
        <v>0</v>
      </c>
      <c r="S158" s="22"/>
      <c r="T158" s="22"/>
      <c r="U158" s="14"/>
      <c r="V158" s="5" t="str">
        <f t="shared" si="381"/>
        <v>-</v>
      </c>
    </row>
    <row r="159" spans="1:22" ht="25.15" customHeight="1" x14ac:dyDescent="0.6">
      <c r="A159" s="30" t="s">
        <v>8</v>
      </c>
      <c r="B159" s="22"/>
      <c r="C159" s="22">
        <f t="shared" si="370"/>
        <v>0</v>
      </c>
      <c r="D159" s="22"/>
      <c r="E159" s="22"/>
      <c r="F159" s="22">
        <f t="shared" si="371"/>
        <v>0</v>
      </c>
      <c r="G159" s="22"/>
      <c r="H159" s="22"/>
      <c r="I159" s="22">
        <f t="shared" si="373"/>
        <v>0</v>
      </c>
      <c r="J159" s="22"/>
      <c r="K159" s="22"/>
      <c r="L159" s="22">
        <f t="shared" si="375"/>
        <v>0</v>
      </c>
      <c r="M159" s="22"/>
      <c r="N159" s="22"/>
      <c r="O159" s="22">
        <f t="shared" si="377"/>
        <v>0</v>
      </c>
      <c r="P159" s="22"/>
      <c r="Q159" s="22"/>
      <c r="R159" s="22">
        <f t="shared" si="379"/>
        <v>0</v>
      </c>
      <c r="S159" s="22"/>
      <c r="T159" s="22"/>
      <c r="U159" s="14"/>
      <c r="V159" s="5" t="str">
        <f t="shared" si="381"/>
        <v>-</v>
      </c>
    </row>
    <row r="160" spans="1:22" ht="25.15" customHeight="1" x14ac:dyDescent="0.6">
      <c r="A160" s="25" t="s">
        <v>9</v>
      </c>
      <c r="B160" s="26">
        <f>B161+B164</f>
        <v>0</v>
      </c>
      <c r="C160" s="26">
        <f t="shared" si="370"/>
        <v>0</v>
      </c>
      <c r="D160" s="26">
        <f>D161+D164</f>
        <v>0</v>
      </c>
      <c r="E160" s="26">
        <f>E161+E164</f>
        <v>0</v>
      </c>
      <c r="F160" s="26">
        <f t="shared" si="371"/>
        <v>0</v>
      </c>
      <c r="G160" s="26">
        <f t="shared" ref="G160:H160" si="397">G161+G164</f>
        <v>0</v>
      </c>
      <c r="H160" s="26">
        <f t="shared" si="397"/>
        <v>0</v>
      </c>
      <c r="I160" s="26">
        <f t="shared" si="373"/>
        <v>0</v>
      </c>
      <c r="J160" s="26">
        <f t="shared" ref="J160:K160" si="398">J161+J164</f>
        <v>0</v>
      </c>
      <c r="K160" s="26">
        <f t="shared" si="398"/>
        <v>0</v>
      </c>
      <c r="L160" s="26">
        <f t="shared" si="375"/>
        <v>0</v>
      </c>
      <c r="M160" s="26">
        <f t="shared" ref="M160:N160" si="399">M161+M164</f>
        <v>0</v>
      </c>
      <c r="N160" s="26">
        <f t="shared" si="399"/>
        <v>0</v>
      </c>
      <c r="O160" s="26">
        <f t="shared" si="377"/>
        <v>0</v>
      </c>
      <c r="P160" s="26">
        <f t="shared" ref="P160:Q160" si="400">P161+P164</f>
        <v>0</v>
      </c>
      <c r="Q160" s="26">
        <f t="shared" si="400"/>
        <v>0</v>
      </c>
      <c r="R160" s="26">
        <f t="shared" si="379"/>
        <v>0</v>
      </c>
      <c r="S160" s="26">
        <f t="shared" ref="S160:T160" si="401">S161+S164</f>
        <v>0</v>
      </c>
      <c r="T160" s="26">
        <f t="shared" si="401"/>
        <v>0</v>
      </c>
      <c r="U160" s="27"/>
      <c r="V160" s="5" t="str">
        <f t="shared" si="381"/>
        <v>-</v>
      </c>
    </row>
    <row r="161" spans="1:22" ht="25.15" customHeight="1" x14ac:dyDescent="0.6">
      <c r="A161" s="28" t="s">
        <v>3</v>
      </c>
      <c r="B161" s="26">
        <f>SUM(B162:B163)</f>
        <v>0</v>
      </c>
      <c r="C161" s="26">
        <f t="shared" si="370"/>
        <v>0</v>
      </c>
      <c r="D161" s="26">
        <f>SUM(D162:D163)</f>
        <v>0</v>
      </c>
      <c r="E161" s="26">
        <f>SUM(E162:E163)</f>
        <v>0</v>
      </c>
      <c r="F161" s="26">
        <f t="shared" si="371"/>
        <v>0</v>
      </c>
      <c r="G161" s="26">
        <f t="shared" ref="G161:H161" si="402">SUM(G162:G163)</f>
        <v>0</v>
      </c>
      <c r="H161" s="26">
        <f t="shared" si="402"/>
        <v>0</v>
      </c>
      <c r="I161" s="26">
        <f t="shared" si="373"/>
        <v>0</v>
      </c>
      <c r="J161" s="26">
        <f t="shared" ref="J161:K161" si="403">SUM(J162:J163)</f>
        <v>0</v>
      </c>
      <c r="K161" s="26">
        <f t="shared" si="403"/>
        <v>0</v>
      </c>
      <c r="L161" s="26">
        <f t="shared" si="375"/>
        <v>0</v>
      </c>
      <c r="M161" s="26">
        <f t="shared" ref="M161:N161" si="404">SUM(M162:M163)</f>
        <v>0</v>
      </c>
      <c r="N161" s="26">
        <f t="shared" si="404"/>
        <v>0</v>
      </c>
      <c r="O161" s="26">
        <f t="shared" si="377"/>
        <v>0</v>
      </c>
      <c r="P161" s="26">
        <f t="shared" ref="P161:Q161" si="405">SUM(P162:P163)</f>
        <v>0</v>
      </c>
      <c r="Q161" s="26">
        <f t="shared" si="405"/>
        <v>0</v>
      </c>
      <c r="R161" s="26">
        <f t="shared" si="379"/>
        <v>0</v>
      </c>
      <c r="S161" s="26">
        <f t="shared" ref="S161:T161" si="406">SUM(S162:S163)</f>
        <v>0</v>
      </c>
      <c r="T161" s="26">
        <f t="shared" si="406"/>
        <v>0</v>
      </c>
      <c r="U161" s="29"/>
      <c r="V161" s="5" t="str">
        <f t="shared" si="381"/>
        <v>-</v>
      </c>
    </row>
    <row r="162" spans="1:22" ht="25.15" customHeight="1" x14ac:dyDescent="0.6">
      <c r="A162" s="30" t="s">
        <v>5</v>
      </c>
      <c r="B162" s="22"/>
      <c r="C162" s="22">
        <f t="shared" si="370"/>
        <v>0</v>
      </c>
      <c r="D162" s="22"/>
      <c r="E162" s="22"/>
      <c r="F162" s="22">
        <f t="shared" si="371"/>
        <v>0</v>
      </c>
      <c r="G162" s="22"/>
      <c r="H162" s="22"/>
      <c r="I162" s="22">
        <f t="shared" si="373"/>
        <v>0</v>
      </c>
      <c r="J162" s="22"/>
      <c r="K162" s="22"/>
      <c r="L162" s="22">
        <f t="shared" si="375"/>
        <v>0</v>
      </c>
      <c r="M162" s="22"/>
      <c r="N162" s="22"/>
      <c r="O162" s="22">
        <f t="shared" si="377"/>
        <v>0</v>
      </c>
      <c r="P162" s="22"/>
      <c r="Q162" s="22"/>
      <c r="R162" s="22">
        <f t="shared" si="379"/>
        <v>0</v>
      </c>
      <c r="S162" s="22"/>
      <c r="T162" s="22"/>
      <c r="U162" s="14"/>
      <c r="V162" s="5" t="str">
        <f t="shared" si="381"/>
        <v>-</v>
      </c>
    </row>
    <row r="163" spans="1:22" ht="25.15" customHeight="1" x14ac:dyDescent="0.6">
      <c r="A163" s="30" t="s">
        <v>6</v>
      </c>
      <c r="B163" s="22"/>
      <c r="C163" s="22">
        <f t="shared" si="370"/>
        <v>0</v>
      </c>
      <c r="D163" s="22"/>
      <c r="E163" s="22"/>
      <c r="F163" s="22">
        <f t="shared" si="371"/>
        <v>0</v>
      </c>
      <c r="G163" s="22"/>
      <c r="H163" s="22"/>
      <c r="I163" s="22">
        <f t="shared" si="373"/>
        <v>0</v>
      </c>
      <c r="J163" s="22"/>
      <c r="K163" s="22"/>
      <c r="L163" s="22">
        <f t="shared" si="375"/>
        <v>0</v>
      </c>
      <c r="M163" s="22"/>
      <c r="N163" s="22"/>
      <c r="O163" s="22">
        <f t="shared" si="377"/>
        <v>0</v>
      </c>
      <c r="P163" s="22"/>
      <c r="Q163" s="22"/>
      <c r="R163" s="22">
        <f t="shared" si="379"/>
        <v>0</v>
      </c>
      <c r="S163" s="22"/>
      <c r="T163" s="22"/>
      <c r="U163" s="14"/>
      <c r="V163" s="5" t="str">
        <f t="shared" si="381"/>
        <v>-</v>
      </c>
    </row>
    <row r="164" spans="1:22" ht="25.15" customHeight="1" x14ac:dyDescent="0.6">
      <c r="A164" s="28" t="s">
        <v>4</v>
      </c>
      <c r="B164" s="26">
        <f>SUM(B165:B166)</f>
        <v>0</v>
      </c>
      <c r="C164" s="26">
        <f t="shared" si="370"/>
        <v>0</v>
      </c>
      <c r="D164" s="26">
        <f>SUM(D165:D166)</f>
        <v>0</v>
      </c>
      <c r="E164" s="26">
        <f>SUM(E165:E166)</f>
        <v>0</v>
      </c>
      <c r="F164" s="26">
        <f t="shared" si="371"/>
        <v>0</v>
      </c>
      <c r="G164" s="26">
        <f t="shared" ref="G164:H164" si="407">SUM(G165:G166)</f>
        <v>0</v>
      </c>
      <c r="H164" s="26">
        <f t="shared" si="407"/>
        <v>0</v>
      </c>
      <c r="I164" s="26">
        <f t="shared" si="373"/>
        <v>0</v>
      </c>
      <c r="J164" s="26">
        <f t="shared" ref="J164:K164" si="408">SUM(J165:J166)</f>
        <v>0</v>
      </c>
      <c r="K164" s="26">
        <f t="shared" si="408"/>
        <v>0</v>
      </c>
      <c r="L164" s="26">
        <f t="shared" si="375"/>
        <v>0</v>
      </c>
      <c r="M164" s="26">
        <f t="shared" ref="M164:N164" si="409">SUM(M165:M166)</f>
        <v>0</v>
      </c>
      <c r="N164" s="26">
        <f t="shared" si="409"/>
        <v>0</v>
      </c>
      <c r="O164" s="26">
        <f t="shared" si="377"/>
        <v>0</v>
      </c>
      <c r="P164" s="26">
        <f t="shared" ref="P164:Q164" si="410">SUM(P165:P166)</f>
        <v>0</v>
      </c>
      <c r="Q164" s="26">
        <f t="shared" si="410"/>
        <v>0</v>
      </c>
      <c r="R164" s="26">
        <f t="shared" si="379"/>
        <v>0</v>
      </c>
      <c r="S164" s="26">
        <f t="shared" ref="S164:T164" si="411">SUM(S165:S166)</f>
        <v>0</v>
      </c>
      <c r="T164" s="26">
        <f t="shared" si="411"/>
        <v>0</v>
      </c>
      <c r="U164" s="29"/>
      <c r="V164" s="5" t="str">
        <f t="shared" si="381"/>
        <v>-</v>
      </c>
    </row>
    <row r="165" spans="1:22" ht="25.15" customHeight="1" x14ac:dyDescent="0.6">
      <c r="A165" s="30" t="s">
        <v>7</v>
      </c>
      <c r="B165" s="22"/>
      <c r="C165" s="22">
        <f t="shared" si="370"/>
        <v>0</v>
      </c>
      <c r="D165" s="22"/>
      <c r="E165" s="22"/>
      <c r="F165" s="22">
        <f t="shared" si="371"/>
        <v>0</v>
      </c>
      <c r="G165" s="22"/>
      <c r="H165" s="22"/>
      <c r="I165" s="22">
        <f t="shared" si="373"/>
        <v>0</v>
      </c>
      <c r="J165" s="22"/>
      <c r="K165" s="22"/>
      <c r="L165" s="22">
        <f t="shared" si="375"/>
        <v>0</v>
      </c>
      <c r="M165" s="22"/>
      <c r="N165" s="22"/>
      <c r="O165" s="22">
        <f t="shared" si="377"/>
        <v>0</v>
      </c>
      <c r="P165" s="22"/>
      <c r="Q165" s="22"/>
      <c r="R165" s="22">
        <f t="shared" si="379"/>
        <v>0</v>
      </c>
      <c r="S165" s="22"/>
      <c r="T165" s="22"/>
      <c r="U165" s="14"/>
      <c r="V165" s="5" t="str">
        <f t="shared" si="381"/>
        <v>-</v>
      </c>
    </row>
    <row r="166" spans="1:22" ht="25.15" customHeight="1" x14ac:dyDescent="0.6">
      <c r="A166" s="30" t="s">
        <v>8</v>
      </c>
      <c r="B166" s="22"/>
      <c r="C166" s="22">
        <f t="shared" si="370"/>
        <v>0</v>
      </c>
      <c r="D166" s="22"/>
      <c r="E166" s="22"/>
      <c r="F166" s="22">
        <f t="shared" si="371"/>
        <v>0</v>
      </c>
      <c r="G166" s="22"/>
      <c r="H166" s="22"/>
      <c r="I166" s="22">
        <f t="shared" si="373"/>
        <v>0</v>
      </c>
      <c r="J166" s="22"/>
      <c r="K166" s="22"/>
      <c r="L166" s="22">
        <f t="shared" si="375"/>
        <v>0</v>
      </c>
      <c r="M166" s="22"/>
      <c r="N166" s="22"/>
      <c r="O166" s="22">
        <f t="shared" si="377"/>
        <v>0</v>
      </c>
      <c r="P166" s="22"/>
      <c r="Q166" s="22"/>
      <c r="R166" s="22">
        <f t="shared" si="379"/>
        <v>0</v>
      </c>
      <c r="S166" s="22"/>
      <c r="T166" s="22"/>
      <c r="U166" s="14"/>
      <c r="V166" s="5" t="str">
        <f t="shared" si="381"/>
        <v>-</v>
      </c>
    </row>
    <row r="167" spans="1:22" ht="25.15" customHeight="1" x14ac:dyDescent="0.6">
      <c r="A167" s="18" t="s">
        <v>37</v>
      </c>
      <c r="B167" s="23">
        <f>B168+B175</f>
        <v>35000</v>
      </c>
      <c r="C167" s="23">
        <f t="shared" si="370"/>
        <v>5000</v>
      </c>
      <c r="D167" s="23">
        <f>D168+D175</f>
        <v>0</v>
      </c>
      <c r="E167" s="23">
        <f>E168+E175</f>
        <v>5000</v>
      </c>
      <c r="F167" s="23">
        <f t="shared" si="371"/>
        <v>5000</v>
      </c>
      <c r="G167" s="23">
        <f t="shared" ref="G167:H167" si="412">G168+G175</f>
        <v>0</v>
      </c>
      <c r="H167" s="23">
        <f t="shared" si="412"/>
        <v>5000</v>
      </c>
      <c r="I167" s="23">
        <f t="shared" si="373"/>
        <v>0</v>
      </c>
      <c r="J167" s="23">
        <f t="shared" ref="J167:K167" si="413">J168+J175</f>
        <v>0</v>
      </c>
      <c r="K167" s="23">
        <f t="shared" si="413"/>
        <v>0</v>
      </c>
      <c r="L167" s="23">
        <f t="shared" si="375"/>
        <v>0</v>
      </c>
      <c r="M167" s="23">
        <f t="shared" ref="M167:N167" si="414">M168+M175</f>
        <v>0</v>
      </c>
      <c r="N167" s="23">
        <f t="shared" si="414"/>
        <v>0</v>
      </c>
      <c r="O167" s="23">
        <f t="shared" si="377"/>
        <v>0</v>
      </c>
      <c r="P167" s="23">
        <f t="shared" ref="P167:Q167" si="415">P168+P175</f>
        <v>0</v>
      </c>
      <c r="Q167" s="23">
        <f t="shared" si="415"/>
        <v>0</v>
      </c>
      <c r="R167" s="23">
        <f t="shared" si="379"/>
        <v>0</v>
      </c>
      <c r="S167" s="23">
        <f t="shared" ref="S167:T167" si="416">S168+S175</f>
        <v>0</v>
      </c>
      <c r="T167" s="23">
        <f t="shared" si="416"/>
        <v>0</v>
      </c>
      <c r="U167" s="20"/>
      <c r="V167" s="5" t="str">
        <f t="shared" si="381"/>
        <v>ok</v>
      </c>
    </row>
    <row r="168" spans="1:22" ht="25.15" customHeight="1" x14ac:dyDescent="0.6">
      <c r="A168" s="25" t="s">
        <v>2</v>
      </c>
      <c r="B168" s="26">
        <f>B169+B172</f>
        <v>35000</v>
      </c>
      <c r="C168" s="26">
        <f t="shared" si="370"/>
        <v>5000</v>
      </c>
      <c r="D168" s="26">
        <f>D169+D172</f>
        <v>0</v>
      </c>
      <c r="E168" s="26">
        <f>E169+E172</f>
        <v>5000</v>
      </c>
      <c r="F168" s="26">
        <f t="shared" si="371"/>
        <v>5000</v>
      </c>
      <c r="G168" s="26">
        <f t="shared" ref="G168:H168" si="417">G169+G172</f>
        <v>0</v>
      </c>
      <c r="H168" s="26">
        <f t="shared" si="417"/>
        <v>5000</v>
      </c>
      <c r="I168" s="26">
        <f t="shared" si="373"/>
        <v>0</v>
      </c>
      <c r="J168" s="26">
        <f t="shared" ref="J168:K168" si="418">J169+J172</f>
        <v>0</v>
      </c>
      <c r="K168" s="26">
        <f t="shared" si="418"/>
        <v>0</v>
      </c>
      <c r="L168" s="26">
        <f t="shared" si="375"/>
        <v>0</v>
      </c>
      <c r="M168" s="26">
        <f t="shared" ref="M168:N168" si="419">M169+M172</f>
        <v>0</v>
      </c>
      <c r="N168" s="26">
        <f t="shared" si="419"/>
        <v>0</v>
      </c>
      <c r="O168" s="26">
        <f t="shared" si="377"/>
        <v>0</v>
      </c>
      <c r="P168" s="26">
        <f t="shared" ref="P168:Q168" si="420">P169+P172</f>
        <v>0</v>
      </c>
      <c r="Q168" s="26">
        <f t="shared" si="420"/>
        <v>0</v>
      </c>
      <c r="R168" s="26">
        <f t="shared" si="379"/>
        <v>0</v>
      </c>
      <c r="S168" s="26">
        <f t="shared" ref="S168:T168" si="421">S169+S172</f>
        <v>0</v>
      </c>
      <c r="T168" s="26">
        <f t="shared" si="421"/>
        <v>0</v>
      </c>
      <c r="U168" s="27"/>
      <c r="V168" s="5" t="str">
        <f t="shared" si="381"/>
        <v>ok</v>
      </c>
    </row>
    <row r="169" spans="1:22" ht="25.15" customHeight="1" x14ac:dyDescent="0.6">
      <c r="A169" s="28" t="s">
        <v>3</v>
      </c>
      <c r="B169" s="26">
        <f>SUM(B170:B171)</f>
        <v>35000</v>
      </c>
      <c r="C169" s="26">
        <f t="shared" si="370"/>
        <v>5000</v>
      </c>
      <c r="D169" s="26">
        <f>SUM(D170:D171)</f>
        <v>0</v>
      </c>
      <c r="E169" s="26">
        <f>SUM(E170:E171)</f>
        <v>5000</v>
      </c>
      <c r="F169" s="26">
        <f t="shared" si="371"/>
        <v>5000</v>
      </c>
      <c r="G169" s="26">
        <f t="shared" ref="G169:H169" si="422">SUM(G170:G171)</f>
        <v>0</v>
      </c>
      <c r="H169" s="26">
        <f t="shared" si="422"/>
        <v>5000</v>
      </c>
      <c r="I169" s="26">
        <f t="shared" si="373"/>
        <v>0</v>
      </c>
      <c r="J169" s="26">
        <f t="shared" ref="J169:K169" si="423">SUM(J170:J171)</f>
        <v>0</v>
      </c>
      <c r="K169" s="26">
        <f t="shared" si="423"/>
        <v>0</v>
      </c>
      <c r="L169" s="26">
        <f t="shared" si="375"/>
        <v>0</v>
      </c>
      <c r="M169" s="26">
        <f t="shared" ref="M169:N169" si="424">SUM(M170:M171)</f>
        <v>0</v>
      </c>
      <c r="N169" s="26">
        <f t="shared" si="424"/>
        <v>0</v>
      </c>
      <c r="O169" s="26">
        <f t="shared" si="377"/>
        <v>0</v>
      </c>
      <c r="P169" s="26">
        <f t="shared" ref="P169:Q169" si="425">SUM(P170:P171)</f>
        <v>0</v>
      </c>
      <c r="Q169" s="26">
        <f t="shared" si="425"/>
        <v>0</v>
      </c>
      <c r="R169" s="26">
        <f t="shared" si="379"/>
        <v>0</v>
      </c>
      <c r="S169" s="26">
        <f t="shared" ref="S169:T169" si="426">SUM(S170:S171)</f>
        <v>0</v>
      </c>
      <c r="T169" s="26">
        <f t="shared" si="426"/>
        <v>0</v>
      </c>
      <c r="U169" s="29"/>
      <c r="V169" s="5" t="str">
        <f t="shared" si="381"/>
        <v>ok</v>
      </c>
    </row>
    <row r="170" spans="1:22" ht="50.5" x14ac:dyDescent="0.6">
      <c r="A170" s="30" t="s">
        <v>51</v>
      </c>
      <c r="B170" s="22">
        <v>35000</v>
      </c>
      <c r="C170" s="22">
        <f t="shared" si="370"/>
        <v>5000</v>
      </c>
      <c r="D170" s="22"/>
      <c r="E170" s="22">
        <v>5000</v>
      </c>
      <c r="F170" s="22">
        <f t="shared" si="371"/>
        <v>5000</v>
      </c>
      <c r="G170" s="22"/>
      <c r="H170" s="22">
        <v>5000</v>
      </c>
      <c r="I170" s="22">
        <f t="shared" si="373"/>
        <v>0</v>
      </c>
      <c r="J170" s="22"/>
      <c r="K170" s="22"/>
      <c r="L170" s="22">
        <f t="shared" si="375"/>
        <v>0</v>
      </c>
      <c r="M170" s="22"/>
      <c r="N170" s="22"/>
      <c r="O170" s="22">
        <f t="shared" si="377"/>
        <v>0</v>
      </c>
      <c r="P170" s="22"/>
      <c r="Q170" s="22"/>
      <c r="R170" s="22">
        <f t="shared" si="379"/>
        <v>0</v>
      </c>
      <c r="S170" s="22"/>
      <c r="T170" s="22"/>
      <c r="U170" s="14"/>
      <c r="V170" s="5" t="str">
        <f t="shared" si="381"/>
        <v>ok</v>
      </c>
    </row>
    <row r="171" spans="1:22" ht="25.5" customHeight="1" x14ac:dyDescent="0.6">
      <c r="A171" s="30" t="s">
        <v>6</v>
      </c>
      <c r="B171" s="22"/>
      <c r="C171" s="22">
        <f t="shared" si="370"/>
        <v>0</v>
      </c>
      <c r="D171" s="22"/>
      <c r="E171" s="22"/>
      <c r="F171" s="22">
        <f t="shared" si="371"/>
        <v>0</v>
      </c>
      <c r="G171" s="22"/>
      <c r="H171" s="22"/>
      <c r="I171" s="22">
        <f t="shared" si="373"/>
        <v>0</v>
      </c>
      <c r="J171" s="22"/>
      <c r="K171" s="22"/>
      <c r="L171" s="22">
        <f t="shared" si="375"/>
        <v>0</v>
      </c>
      <c r="M171" s="22"/>
      <c r="N171" s="22"/>
      <c r="O171" s="22">
        <f t="shared" si="377"/>
        <v>0</v>
      </c>
      <c r="P171" s="22"/>
      <c r="Q171" s="22"/>
      <c r="R171" s="22">
        <f t="shared" si="379"/>
        <v>0</v>
      </c>
      <c r="S171" s="22"/>
      <c r="T171" s="22"/>
      <c r="U171" s="14"/>
      <c r="V171" s="5" t="str">
        <f t="shared" si="381"/>
        <v>-</v>
      </c>
    </row>
    <row r="172" spans="1:22" ht="25.15" customHeight="1" x14ac:dyDescent="0.6">
      <c r="A172" s="28" t="s">
        <v>4</v>
      </c>
      <c r="B172" s="26">
        <f>SUM(B173:B174)</f>
        <v>0</v>
      </c>
      <c r="C172" s="26">
        <f t="shared" si="370"/>
        <v>0</v>
      </c>
      <c r="D172" s="26">
        <f>SUM(D173:D174)</f>
        <v>0</v>
      </c>
      <c r="E172" s="26">
        <f>SUM(E173:E174)</f>
        <v>0</v>
      </c>
      <c r="F172" s="26">
        <f t="shared" si="371"/>
        <v>0</v>
      </c>
      <c r="G172" s="26">
        <f t="shared" ref="G172:H172" si="427">SUM(G173:G174)</f>
        <v>0</v>
      </c>
      <c r="H172" s="26">
        <f t="shared" si="427"/>
        <v>0</v>
      </c>
      <c r="I172" s="26">
        <f t="shared" si="373"/>
        <v>0</v>
      </c>
      <c r="J172" s="26">
        <f t="shared" ref="J172:K172" si="428">SUM(J173:J174)</f>
        <v>0</v>
      </c>
      <c r="K172" s="26">
        <f t="shared" si="428"/>
        <v>0</v>
      </c>
      <c r="L172" s="26">
        <f t="shared" si="375"/>
        <v>0</v>
      </c>
      <c r="M172" s="26">
        <f t="shared" ref="M172:N172" si="429">SUM(M173:M174)</f>
        <v>0</v>
      </c>
      <c r="N172" s="26">
        <f t="shared" si="429"/>
        <v>0</v>
      </c>
      <c r="O172" s="26">
        <f t="shared" si="377"/>
        <v>0</v>
      </c>
      <c r="P172" s="26">
        <f t="shared" ref="P172:Q172" si="430">SUM(P173:P174)</f>
        <v>0</v>
      </c>
      <c r="Q172" s="26">
        <f t="shared" si="430"/>
        <v>0</v>
      </c>
      <c r="R172" s="26">
        <f t="shared" si="379"/>
        <v>0</v>
      </c>
      <c r="S172" s="26">
        <f t="shared" ref="S172:T172" si="431">SUM(S173:S174)</f>
        <v>0</v>
      </c>
      <c r="T172" s="26">
        <f t="shared" si="431"/>
        <v>0</v>
      </c>
      <c r="U172" s="29"/>
      <c r="V172" s="5" t="str">
        <f t="shared" si="381"/>
        <v>-</v>
      </c>
    </row>
    <row r="173" spans="1:22" ht="25.15" customHeight="1" x14ac:dyDescent="0.6">
      <c r="A173" s="30" t="s">
        <v>7</v>
      </c>
      <c r="B173" s="22"/>
      <c r="C173" s="22">
        <f t="shared" si="370"/>
        <v>0</v>
      </c>
      <c r="D173" s="22"/>
      <c r="E173" s="22"/>
      <c r="F173" s="22">
        <f t="shared" si="371"/>
        <v>0</v>
      </c>
      <c r="G173" s="22"/>
      <c r="H173" s="22"/>
      <c r="I173" s="22">
        <f t="shared" si="373"/>
        <v>0</v>
      </c>
      <c r="J173" s="22"/>
      <c r="K173" s="22"/>
      <c r="L173" s="22">
        <f t="shared" si="375"/>
        <v>0</v>
      </c>
      <c r="M173" s="22"/>
      <c r="N173" s="22"/>
      <c r="O173" s="22">
        <f t="shared" si="377"/>
        <v>0</v>
      </c>
      <c r="P173" s="22"/>
      <c r="Q173" s="22"/>
      <c r="R173" s="22">
        <f t="shared" si="379"/>
        <v>0</v>
      </c>
      <c r="S173" s="22"/>
      <c r="T173" s="22"/>
      <c r="U173" s="14"/>
      <c r="V173" s="5" t="str">
        <f t="shared" si="381"/>
        <v>-</v>
      </c>
    </row>
    <row r="174" spans="1:22" ht="25.15" customHeight="1" x14ac:dyDescent="0.6">
      <c r="A174" s="30" t="s">
        <v>8</v>
      </c>
      <c r="B174" s="22"/>
      <c r="C174" s="22">
        <f t="shared" si="370"/>
        <v>0</v>
      </c>
      <c r="D174" s="22"/>
      <c r="E174" s="22"/>
      <c r="F174" s="22">
        <f t="shared" si="371"/>
        <v>0</v>
      </c>
      <c r="G174" s="22"/>
      <c r="H174" s="22"/>
      <c r="I174" s="22">
        <f t="shared" si="373"/>
        <v>0</v>
      </c>
      <c r="J174" s="22"/>
      <c r="K174" s="22"/>
      <c r="L174" s="22">
        <f t="shared" si="375"/>
        <v>0</v>
      </c>
      <c r="M174" s="22"/>
      <c r="N174" s="22"/>
      <c r="O174" s="22">
        <f t="shared" si="377"/>
        <v>0</v>
      </c>
      <c r="P174" s="22"/>
      <c r="Q174" s="22"/>
      <c r="R174" s="22">
        <f t="shared" si="379"/>
        <v>0</v>
      </c>
      <c r="S174" s="22"/>
      <c r="T174" s="22"/>
      <c r="U174" s="14"/>
      <c r="V174" s="5" t="str">
        <f t="shared" si="381"/>
        <v>-</v>
      </c>
    </row>
    <row r="175" spans="1:22" ht="25.15" customHeight="1" x14ac:dyDescent="0.6">
      <c r="A175" s="25" t="s">
        <v>9</v>
      </c>
      <c r="B175" s="26">
        <f>B176+B179</f>
        <v>0</v>
      </c>
      <c r="C175" s="26">
        <f t="shared" si="370"/>
        <v>0</v>
      </c>
      <c r="D175" s="26">
        <f>D176+D179</f>
        <v>0</v>
      </c>
      <c r="E175" s="26">
        <f>E176+E179</f>
        <v>0</v>
      </c>
      <c r="F175" s="26">
        <f t="shared" si="371"/>
        <v>0</v>
      </c>
      <c r="G175" s="26">
        <f t="shared" ref="G175:H175" si="432">G176+G179</f>
        <v>0</v>
      </c>
      <c r="H175" s="26">
        <f t="shared" si="432"/>
        <v>0</v>
      </c>
      <c r="I175" s="26">
        <f t="shared" si="373"/>
        <v>0</v>
      </c>
      <c r="J175" s="26">
        <f t="shared" ref="J175:K175" si="433">J176+J179</f>
        <v>0</v>
      </c>
      <c r="K175" s="26">
        <f t="shared" si="433"/>
        <v>0</v>
      </c>
      <c r="L175" s="26">
        <f t="shared" si="375"/>
        <v>0</v>
      </c>
      <c r="M175" s="26">
        <f t="shared" ref="M175:N175" si="434">M176+M179</f>
        <v>0</v>
      </c>
      <c r="N175" s="26">
        <f t="shared" si="434"/>
        <v>0</v>
      </c>
      <c r="O175" s="26">
        <f t="shared" si="377"/>
        <v>0</v>
      </c>
      <c r="P175" s="26">
        <f t="shared" ref="P175:Q175" si="435">P176+P179</f>
        <v>0</v>
      </c>
      <c r="Q175" s="26">
        <f t="shared" si="435"/>
        <v>0</v>
      </c>
      <c r="R175" s="26">
        <f t="shared" si="379"/>
        <v>0</v>
      </c>
      <c r="S175" s="26">
        <f t="shared" ref="S175:T175" si="436">S176+S179</f>
        <v>0</v>
      </c>
      <c r="T175" s="26">
        <f t="shared" si="436"/>
        <v>0</v>
      </c>
      <c r="U175" s="27"/>
      <c r="V175" s="5" t="str">
        <f t="shared" si="381"/>
        <v>-</v>
      </c>
    </row>
    <row r="176" spans="1:22" ht="25.15" customHeight="1" x14ac:dyDescent="0.6">
      <c r="A176" s="28" t="s">
        <v>3</v>
      </c>
      <c r="B176" s="26">
        <f>SUM(B177:B178)</f>
        <v>0</v>
      </c>
      <c r="C176" s="26">
        <f t="shared" si="370"/>
        <v>0</v>
      </c>
      <c r="D176" s="26">
        <f>SUM(D177:D178)</f>
        <v>0</v>
      </c>
      <c r="E176" s="26">
        <f>SUM(E177:E178)</f>
        <v>0</v>
      </c>
      <c r="F176" s="26">
        <f t="shared" si="371"/>
        <v>0</v>
      </c>
      <c r="G176" s="26">
        <f t="shared" ref="G176:H176" si="437">SUM(G177:G178)</f>
        <v>0</v>
      </c>
      <c r="H176" s="26">
        <f t="shared" si="437"/>
        <v>0</v>
      </c>
      <c r="I176" s="26">
        <f t="shared" si="373"/>
        <v>0</v>
      </c>
      <c r="J176" s="26">
        <f t="shared" ref="J176:K176" si="438">SUM(J177:J178)</f>
        <v>0</v>
      </c>
      <c r="K176" s="26">
        <f t="shared" si="438"/>
        <v>0</v>
      </c>
      <c r="L176" s="26">
        <f t="shared" si="375"/>
        <v>0</v>
      </c>
      <c r="M176" s="26">
        <f t="shared" ref="M176:N176" si="439">SUM(M177:M178)</f>
        <v>0</v>
      </c>
      <c r="N176" s="26">
        <f t="shared" si="439"/>
        <v>0</v>
      </c>
      <c r="O176" s="26">
        <f t="shared" si="377"/>
        <v>0</v>
      </c>
      <c r="P176" s="26">
        <f t="shared" ref="P176:Q176" si="440">SUM(P177:P178)</f>
        <v>0</v>
      </c>
      <c r="Q176" s="26">
        <f t="shared" si="440"/>
        <v>0</v>
      </c>
      <c r="R176" s="26">
        <f t="shared" si="379"/>
        <v>0</v>
      </c>
      <c r="S176" s="26">
        <f t="shared" ref="S176:T176" si="441">SUM(S177:S178)</f>
        <v>0</v>
      </c>
      <c r="T176" s="26">
        <f t="shared" si="441"/>
        <v>0</v>
      </c>
      <c r="U176" s="29"/>
      <c r="V176" s="5" t="str">
        <f t="shared" si="381"/>
        <v>-</v>
      </c>
    </row>
    <row r="177" spans="1:22" ht="25.15" customHeight="1" x14ac:dyDescent="0.6">
      <c r="A177" s="30" t="s">
        <v>5</v>
      </c>
      <c r="B177" s="22"/>
      <c r="C177" s="22">
        <f t="shared" si="370"/>
        <v>0</v>
      </c>
      <c r="D177" s="22"/>
      <c r="E177" s="22"/>
      <c r="F177" s="22">
        <f t="shared" si="371"/>
        <v>0</v>
      </c>
      <c r="G177" s="22"/>
      <c r="H177" s="22"/>
      <c r="I177" s="22">
        <f t="shared" si="373"/>
        <v>0</v>
      </c>
      <c r="J177" s="22"/>
      <c r="K177" s="22"/>
      <c r="L177" s="22">
        <f t="shared" si="375"/>
        <v>0</v>
      </c>
      <c r="M177" s="22"/>
      <c r="N177" s="22"/>
      <c r="O177" s="22">
        <f t="shared" si="377"/>
        <v>0</v>
      </c>
      <c r="P177" s="22"/>
      <c r="Q177" s="22"/>
      <c r="R177" s="22">
        <f t="shared" si="379"/>
        <v>0</v>
      </c>
      <c r="S177" s="22"/>
      <c r="T177" s="22"/>
      <c r="U177" s="14"/>
      <c r="V177" s="5" t="str">
        <f t="shared" si="381"/>
        <v>-</v>
      </c>
    </row>
    <row r="178" spans="1:22" ht="25.15" customHeight="1" x14ac:dyDescent="0.6">
      <c r="A178" s="30" t="s">
        <v>6</v>
      </c>
      <c r="B178" s="22"/>
      <c r="C178" s="22">
        <f t="shared" si="370"/>
        <v>0</v>
      </c>
      <c r="D178" s="22"/>
      <c r="E178" s="22"/>
      <c r="F178" s="22">
        <f t="shared" si="371"/>
        <v>0</v>
      </c>
      <c r="G178" s="22"/>
      <c r="H178" s="22"/>
      <c r="I178" s="22">
        <f t="shared" si="373"/>
        <v>0</v>
      </c>
      <c r="J178" s="22"/>
      <c r="K178" s="22"/>
      <c r="L178" s="22">
        <f t="shared" si="375"/>
        <v>0</v>
      </c>
      <c r="M178" s="22"/>
      <c r="N178" s="22"/>
      <c r="O178" s="22">
        <f t="shared" si="377"/>
        <v>0</v>
      </c>
      <c r="P178" s="22"/>
      <c r="Q178" s="22"/>
      <c r="R178" s="22">
        <f t="shared" si="379"/>
        <v>0</v>
      </c>
      <c r="S178" s="22"/>
      <c r="T178" s="22"/>
      <c r="U178" s="14"/>
      <c r="V178" s="5" t="str">
        <f t="shared" si="381"/>
        <v>-</v>
      </c>
    </row>
    <row r="179" spans="1:22" ht="25.15" customHeight="1" x14ac:dyDescent="0.6">
      <c r="A179" s="28" t="s">
        <v>4</v>
      </c>
      <c r="B179" s="26">
        <f>SUM(B180:B181)</f>
        <v>0</v>
      </c>
      <c r="C179" s="26">
        <f t="shared" si="370"/>
        <v>0</v>
      </c>
      <c r="D179" s="26">
        <f>SUM(D180:D181)</f>
        <v>0</v>
      </c>
      <c r="E179" s="26">
        <f>SUM(E180:E181)</f>
        <v>0</v>
      </c>
      <c r="F179" s="26">
        <f t="shared" si="371"/>
        <v>0</v>
      </c>
      <c r="G179" s="26">
        <f t="shared" ref="G179:H179" si="442">SUM(G180:G181)</f>
        <v>0</v>
      </c>
      <c r="H179" s="26">
        <f t="shared" si="442"/>
        <v>0</v>
      </c>
      <c r="I179" s="26">
        <f t="shared" si="373"/>
        <v>0</v>
      </c>
      <c r="J179" s="26">
        <f t="shared" ref="J179:K179" si="443">SUM(J180:J181)</f>
        <v>0</v>
      </c>
      <c r="K179" s="26">
        <f t="shared" si="443"/>
        <v>0</v>
      </c>
      <c r="L179" s="26">
        <f t="shared" si="375"/>
        <v>0</v>
      </c>
      <c r="M179" s="26">
        <f t="shared" ref="M179:N179" si="444">SUM(M180:M181)</f>
        <v>0</v>
      </c>
      <c r="N179" s="26">
        <f t="shared" si="444"/>
        <v>0</v>
      </c>
      <c r="O179" s="26">
        <f t="shared" si="377"/>
        <v>0</v>
      </c>
      <c r="P179" s="26">
        <f t="shared" ref="P179:Q179" si="445">SUM(P180:P181)</f>
        <v>0</v>
      </c>
      <c r="Q179" s="26">
        <f t="shared" si="445"/>
        <v>0</v>
      </c>
      <c r="R179" s="26">
        <f t="shared" si="379"/>
        <v>0</v>
      </c>
      <c r="S179" s="26">
        <f t="shared" ref="S179:T179" si="446">SUM(S180:S181)</f>
        <v>0</v>
      </c>
      <c r="T179" s="26">
        <f t="shared" si="446"/>
        <v>0</v>
      </c>
      <c r="U179" s="29"/>
      <c r="V179" s="5" t="str">
        <f t="shared" si="381"/>
        <v>-</v>
      </c>
    </row>
    <row r="180" spans="1:22" ht="25.15" customHeight="1" x14ac:dyDescent="0.6">
      <c r="A180" s="30" t="s">
        <v>7</v>
      </c>
      <c r="B180" s="22"/>
      <c r="C180" s="22">
        <f t="shared" si="370"/>
        <v>0</v>
      </c>
      <c r="D180" s="22"/>
      <c r="E180" s="22"/>
      <c r="F180" s="22">
        <f t="shared" si="371"/>
        <v>0</v>
      </c>
      <c r="G180" s="22"/>
      <c r="H180" s="22"/>
      <c r="I180" s="22">
        <f t="shared" si="373"/>
        <v>0</v>
      </c>
      <c r="J180" s="22"/>
      <c r="K180" s="22"/>
      <c r="L180" s="22">
        <f t="shared" si="375"/>
        <v>0</v>
      </c>
      <c r="M180" s="22"/>
      <c r="N180" s="22"/>
      <c r="O180" s="22">
        <f t="shared" si="377"/>
        <v>0</v>
      </c>
      <c r="P180" s="22"/>
      <c r="Q180" s="22"/>
      <c r="R180" s="22">
        <f t="shared" si="379"/>
        <v>0</v>
      </c>
      <c r="S180" s="22"/>
      <c r="T180" s="22"/>
      <c r="U180" s="14"/>
      <c r="V180" s="5" t="str">
        <f t="shared" si="381"/>
        <v>-</v>
      </c>
    </row>
    <row r="181" spans="1:22" ht="25.15" customHeight="1" x14ac:dyDescent="0.6">
      <c r="A181" s="30" t="s">
        <v>8</v>
      </c>
      <c r="B181" s="22"/>
      <c r="C181" s="22">
        <f t="shared" si="370"/>
        <v>0</v>
      </c>
      <c r="D181" s="22"/>
      <c r="E181" s="22"/>
      <c r="F181" s="22">
        <f t="shared" si="371"/>
        <v>0</v>
      </c>
      <c r="G181" s="22"/>
      <c r="H181" s="22"/>
      <c r="I181" s="22">
        <f t="shared" si="373"/>
        <v>0</v>
      </c>
      <c r="J181" s="22"/>
      <c r="K181" s="22"/>
      <c r="L181" s="22">
        <f t="shared" si="375"/>
        <v>0</v>
      </c>
      <c r="M181" s="22"/>
      <c r="N181" s="22"/>
      <c r="O181" s="22">
        <f t="shared" si="377"/>
        <v>0</v>
      </c>
      <c r="P181" s="22"/>
      <c r="Q181" s="22"/>
      <c r="R181" s="22">
        <f t="shared" si="379"/>
        <v>0</v>
      </c>
      <c r="S181" s="22"/>
      <c r="T181" s="22"/>
      <c r="U181" s="14"/>
      <c r="V181" s="5" t="str">
        <f t="shared" si="381"/>
        <v>-</v>
      </c>
    </row>
    <row r="182" spans="1:22" ht="25.15" customHeight="1" x14ac:dyDescent="0.6">
      <c r="A182" s="18" t="s">
        <v>38</v>
      </c>
      <c r="B182" s="23">
        <f>B183+B190</f>
        <v>0</v>
      </c>
      <c r="C182" s="23">
        <f t="shared" si="370"/>
        <v>0</v>
      </c>
      <c r="D182" s="23">
        <f>D183+D190</f>
        <v>0</v>
      </c>
      <c r="E182" s="23">
        <f>E183+E190</f>
        <v>0</v>
      </c>
      <c r="F182" s="23">
        <f t="shared" si="371"/>
        <v>0</v>
      </c>
      <c r="G182" s="23">
        <f t="shared" ref="G182:H182" si="447">G183+G190</f>
        <v>0</v>
      </c>
      <c r="H182" s="23">
        <f t="shared" si="447"/>
        <v>0</v>
      </c>
      <c r="I182" s="23">
        <f t="shared" si="373"/>
        <v>0</v>
      </c>
      <c r="J182" s="23">
        <f t="shared" ref="J182:K182" si="448">J183+J190</f>
        <v>0</v>
      </c>
      <c r="K182" s="23">
        <f t="shared" si="448"/>
        <v>0</v>
      </c>
      <c r="L182" s="23">
        <f t="shared" si="375"/>
        <v>0</v>
      </c>
      <c r="M182" s="23">
        <f t="shared" ref="M182:N182" si="449">M183+M190</f>
        <v>0</v>
      </c>
      <c r="N182" s="23">
        <f t="shared" si="449"/>
        <v>0</v>
      </c>
      <c r="O182" s="23">
        <f t="shared" si="377"/>
        <v>0</v>
      </c>
      <c r="P182" s="23">
        <f t="shared" ref="P182:Q182" si="450">P183+P190</f>
        <v>0</v>
      </c>
      <c r="Q182" s="23">
        <f t="shared" si="450"/>
        <v>0</v>
      </c>
      <c r="R182" s="23">
        <f t="shared" si="379"/>
        <v>0</v>
      </c>
      <c r="S182" s="23">
        <f t="shared" ref="S182:T182" si="451">S183+S190</f>
        <v>0</v>
      </c>
      <c r="T182" s="23">
        <f t="shared" si="451"/>
        <v>0</v>
      </c>
      <c r="U182" s="20"/>
      <c r="V182" s="5" t="str">
        <f t="shared" si="381"/>
        <v>-</v>
      </c>
    </row>
    <row r="183" spans="1:22" ht="25.15" customHeight="1" x14ac:dyDescent="0.6">
      <c r="A183" s="25" t="s">
        <v>2</v>
      </c>
      <c r="B183" s="26">
        <f>B184+B187</f>
        <v>0</v>
      </c>
      <c r="C183" s="26">
        <f t="shared" si="370"/>
        <v>0</v>
      </c>
      <c r="D183" s="26">
        <f>D184+D187</f>
        <v>0</v>
      </c>
      <c r="E183" s="26">
        <f>E184+E187</f>
        <v>0</v>
      </c>
      <c r="F183" s="26">
        <f t="shared" si="371"/>
        <v>0</v>
      </c>
      <c r="G183" s="26">
        <f t="shared" ref="G183:H183" si="452">G184+G187</f>
        <v>0</v>
      </c>
      <c r="H183" s="26">
        <f t="shared" si="452"/>
        <v>0</v>
      </c>
      <c r="I183" s="26">
        <f t="shared" si="373"/>
        <v>0</v>
      </c>
      <c r="J183" s="26">
        <f t="shared" ref="J183:K183" si="453">J184+J187</f>
        <v>0</v>
      </c>
      <c r="K183" s="26">
        <f t="shared" si="453"/>
        <v>0</v>
      </c>
      <c r="L183" s="26">
        <f t="shared" si="375"/>
        <v>0</v>
      </c>
      <c r="M183" s="26">
        <f t="shared" ref="M183:N183" si="454">M184+M187</f>
        <v>0</v>
      </c>
      <c r="N183" s="26">
        <f t="shared" si="454"/>
        <v>0</v>
      </c>
      <c r="O183" s="26">
        <f t="shared" si="377"/>
        <v>0</v>
      </c>
      <c r="P183" s="26">
        <f t="shared" ref="P183:Q183" si="455">P184+P187</f>
        <v>0</v>
      </c>
      <c r="Q183" s="26">
        <f t="shared" si="455"/>
        <v>0</v>
      </c>
      <c r="R183" s="26">
        <f t="shared" si="379"/>
        <v>0</v>
      </c>
      <c r="S183" s="26">
        <f t="shared" ref="S183:T183" si="456">S184+S187</f>
        <v>0</v>
      </c>
      <c r="T183" s="26">
        <f t="shared" si="456"/>
        <v>0</v>
      </c>
      <c r="U183" s="27"/>
      <c r="V183" s="5" t="str">
        <f t="shared" si="381"/>
        <v>-</v>
      </c>
    </row>
    <row r="184" spans="1:22" ht="25.15" customHeight="1" x14ac:dyDescent="0.6">
      <c r="A184" s="28" t="s">
        <v>3</v>
      </c>
      <c r="B184" s="26">
        <f>SUM(B185:B186)</f>
        <v>0</v>
      </c>
      <c r="C184" s="26">
        <f t="shared" si="370"/>
        <v>0</v>
      </c>
      <c r="D184" s="26">
        <f>SUM(D185:D186)</f>
        <v>0</v>
      </c>
      <c r="E184" s="26">
        <f>SUM(E185:E186)</f>
        <v>0</v>
      </c>
      <c r="F184" s="26">
        <f t="shared" si="371"/>
        <v>0</v>
      </c>
      <c r="G184" s="26">
        <f t="shared" ref="G184:H184" si="457">SUM(G185:G186)</f>
        <v>0</v>
      </c>
      <c r="H184" s="26">
        <f t="shared" si="457"/>
        <v>0</v>
      </c>
      <c r="I184" s="26">
        <f t="shared" si="373"/>
        <v>0</v>
      </c>
      <c r="J184" s="26">
        <f t="shared" ref="J184:K184" si="458">SUM(J185:J186)</f>
        <v>0</v>
      </c>
      <c r="K184" s="26">
        <f t="shared" si="458"/>
        <v>0</v>
      </c>
      <c r="L184" s="26">
        <f t="shared" si="375"/>
        <v>0</v>
      </c>
      <c r="M184" s="26">
        <f t="shared" ref="M184:N184" si="459">SUM(M185:M186)</f>
        <v>0</v>
      </c>
      <c r="N184" s="26">
        <f t="shared" si="459"/>
        <v>0</v>
      </c>
      <c r="O184" s="26">
        <f t="shared" si="377"/>
        <v>0</v>
      </c>
      <c r="P184" s="26">
        <f t="shared" ref="P184:Q184" si="460">SUM(P185:P186)</f>
        <v>0</v>
      </c>
      <c r="Q184" s="26">
        <f t="shared" si="460"/>
        <v>0</v>
      </c>
      <c r="R184" s="26">
        <f t="shared" si="379"/>
        <v>0</v>
      </c>
      <c r="S184" s="26">
        <f t="shared" ref="S184:T184" si="461">SUM(S185:S186)</f>
        <v>0</v>
      </c>
      <c r="T184" s="26">
        <f t="shared" si="461"/>
        <v>0</v>
      </c>
      <c r="U184" s="29"/>
      <c r="V184" s="5" t="str">
        <f t="shared" si="381"/>
        <v>-</v>
      </c>
    </row>
    <row r="185" spans="1:22" ht="25.15" customHeight="1" x14ac:dyDescent="0.6">
      <c r="A185" s="30" t="s">
        <v>5</v>
      </c>
      <c r="B185" s="22"/>
      <c r="C185" s="22">
        <f t="shared" si="370"/>
        <v>0</v>
      </c>
      <c r="D185" s="22"/>
      <c r="E185" s="22"/>
      <c r="F185" s="22">
        <f t="shared" si="371"/>
        <v>0</v>
      </c>
      <c r="G185" s="22"/>
      <c r="H185" s="22"/>
      <c r="I185" s="22">
        <f t="shared" si="373"/>
        <v>0</v>
      </c>
      <c r="J185" s="22"/>
      <c r="K185" s="22"/>
      <c r="L185" s="22">
        <f t="shared" si="375"/>
        <v>0</v>
      </c>
      <c r="M185" s="22"/>
      <c r="N185" s="22"/>
      <c r="O185" s="22">
        <f t="shared" si="377"/>
        <v>0</v>
      </c>
      <c r="P185" s="22"/>
      <c r="Q185" s="22"/>
      <c r="R185" s="22">
        <f t="shared" si="379"/>
        <v>0</v>
      </c>
      <c r="S185" s="22"/>
      <c r="T185" s="22"/>
      <c r="U185" s="14"/>
      <c r="V185" s="5" t="str">
        <f t="shared" si="381"/>
        <v>-</v>
      </c>
    </row>
    <row r="186" spans="1:22" ht="25.5" customHeight="1" x14ac:dyDescent="0.6">
      <c r="A186" s="30" t="s">
        <v>6</v>
      </c>
      <c r="B186" s="22"/>
      <c r="C186" s="22">
        <f t="shared" si="370"/>
        <v>0</v>
      </c>
      <c r="D186" s="22"/>
      <c r="E186" s="22"/>
      <c r="F186" s="22">
        <f t="shared" si="371"/>
        <v>0</v>
      </c>
      <c r="G186" s="22"/>
      <c r="H186" s="22"/>
      <c r="I186" s="22">
        <f t="shared" si="373"/>
        <v>0</v>
      </c>
      <c r="J186" s="22"/>
      <c r="K186" s="22"/>
      <c r="L186" s="22">
        <f t="shared" si="375"/>
        <v>0</v>
      </c>
      <c r="M186" s="22"/>
      <c r="N186" s="22"/>
      <c r="O186" s="22">
        <f t="shared" si="377"/>
        <v>0</v>
      </c>
      <c r="P186" s="22"/>
      <c r="Q186" s="22"/>
      <c r="R186" s="22">
        <f t="shared" si="379"/>
        <v>0</v>
      </c>
      <c r="S186" s="22"/>
      <c r="T186" s="22"/>
      <c r="U186" s="14"/>
      <c r="V186" s="5" t="str">
        <f t="shared" si="381"/>
        <v>-</v>
      </c>
    </row>
    <row r="187" spans="1:22" ht="25.15" customHeight="1" x14ac:dyDescent="0.6">
      <c r="A187" s="28" t="s">
        <v>4</v>
      </c>
      <c r="B187" s="26">
        <f>SUM(B188:B189)</f>
        <v>0</v>
      </c>
      <c r="C187" s="26">
        <f t="shared" si="370"/>
        <v>0</v>
      </c>
      <c r="D187" s="26">
        <f>SUM(D188:D189)</f>
        <v>0</v>
      </c>
      <c r="E187" s="26">
        <f>SUM(E188:E189)</f>
        <v>0</v>
      </c>
      <c r="F187" s="26">
        <f t="shared" si="371"/>
        <v>0</v>
      </c>
      <c r="G187" s="26">
        <f t="shared" ref="G187:H187" si="462">SUM(G188:G189)</f>
        <v>0</v>
      </c>
      <c r="H187" s="26">
        <f t="shared" si="462"/>
        <v>0</v>
      </c>
      <c r="I187" s="26">
        <f t="shared" si="373"/>
        <v>0</v>
      </c>
      <c r="J187" s="26">
        <f t="shared" ref="J187:K187" si="463">SUM(J188:J189)</f>
        <v>0</v>
      </c>
      <c r="K187" s="26">
        <f t="shared" si="463"/>
        <v>0</v>
      </c>
      <c r="L187" s="26">
        <f t="shared" si="375"/>
        <v>0</v>
      </c>
      <c r="M187" s="26">
        <f t="shared" ref="M187:N187" si="464">SUM(M188:M189)</f>
        <v>0</v>
      </c>
      <c r="N187" s="26">
        <f t="shared" si="464"/>
        <v>0</v>
      </c>
      <c r="O187" s="26">
        <f t="shared" si="377"/>
        <v>0</v>
      </c>
      <c r="P187" s="26">
        <f t="shared" ref="P187:Q187" si="465">SUM(P188:P189)</f>
        <v>0</v>
      </c>
      <c r="Q187" s="26">
        <f t="shared" si="465"/>
        <v>0</v>
      </c>
      <c r="R187" s="26">
        <f t="shared" si="379"/>
        <v>0</v>
      </c>
      <c r="S187" s="26">
        <f t="shared" ref="S187:T187" si="466">SUM(S188:S189)</f>
        <v>0</v>
      </c>
      <c r="T187" s="26">
        <f t="shared" si="466"/>
        <v>0</v>
      </c>
      <c r="U187" s="29"/>
      <c r="V187" s="5" t="str">
        <f t="shared" si="381"/>
        <v>-</v>
      </c>
    </row>
    <row r="188" spans="1:22" ht="25.15" customHeight="1" x14ac:dyDescent="0.6">
      <c r="A188" s="30" t="s">
        <v>7</v>
      </c>
      <c r="B188" s="22"/>
      <c r="C188" s="22">
        <f t="shared" si="370"/>
        <v>0</v>
      </c>
      <c r="D188" s="22"/>
      <c r="E188" s="22"/>
      <c r="F188" s="22">
        <f t="shared" si="371"/>
        <v>0</v>
      </c>
      <c r="G188" s="22"/>
      <c r="H188" s="22"/>
      <c r="I188" s="22">
        <f t="shared" si="373"/>
        <v>0</v>
      </c>
      <c r="J188" s="22"/>
      <c r="K188" s="22"/>
      <c r="L188" s="22">
        <f t="shared" si="375"/>
        <v>0</v>
      </c>
      <c r="M188" s="22"/>
      <c r="N188" s="22"/>
      <c r="O188" s="22">
        <f t="shared" si="377"/>
        <v>0</v>
      </c>
      <c r="P188" s="22"/>
      <c r="Q188" s="22"/>
      <c r="R188" s="22">
        <f t="shared" si="379"/>
        <v>0</v>
      </c>
      <c r="S188" s="22"/>
      <c r="T188" s="22"/>
      <c r="U188" s="14"/>
      <c r="V188" s="5" t="str">
        <f t="shared" si="381"/>
        <v>-</v>
      </c>
    </row>
    <row r="189" spans="1:22" ht="25.15" customHeight="1" x14ac:dyDescent="0.6">
      <c r="A189" s="30" t="s">
        <v>8</v>
      </c>
      <c r="B189" s="22"/>
      <c r="C189" s="22">
        <f t="shared" si="370"/>
        <v>0</v>
      </c>
      <c r="D189" s="22"/>
      <c r="E189" s="22"/>
      <c r="F189" s="22">
        <f t="shared" si="371"/>
        <v>0</v>
      </c>
      <c r="G189" s="22"/>
      <c r="H189" s="22"/>
      <c r="I189" s="22">
        <f t="shared" si="373"/>
        <v>0</v>
      </c>
      <c r="J189" s="22"/>
      <c r="K189" s="22"/>
      <c r="L189" s="22">
        <f t="shared" si="375"/>
        <v>0</v>
      </c>
      <c r="M189" s="22"/>
      <c r="N189" s="22"/>
      <c r="O189" s="22">
        <f t="shared" si="377"/>
        <v>0</v>
      </c>
      <c r="P189" s="22"/>
      <c r="Q189" s="22"/>
      <c r="R189" s="22">
        <f t="shared" si="379"/>
        <v>0</v>
      </c>
      <c r="S189" s="22"/>
      <c r="T189" s="22"/>
      <c r="U189" s="14"/>
      <c r="V189" s="5" t="str">
        <f t="shared" si="381"/>
        <v>-</v>
      </c>
    </row>
    <row r="190" spans="1:22" ht="25.15" customHeight="1" x14ac:dyDescent="0.6">
      <c r="A190" s="25" t="s">
        <v>9</v>
      </c>
      <c r="B190" s="26">
        <f>B191+B194</f>
        <v>0</v>
      </c>
      <c r="C190" s="26">
        <f t="shared" si="370"/>
        <v>0</v>
      </c>
      <c r="D190" s="26">
        <f>D191+D194</f>
        <v>0</v>
      </c>
      <c r="E190" s="26">
        <f>E191+E194</f>
        <v>0</v>
      </c>
      <c r="F190" s="26">
        <f t="shared" si="371"/>
        <v>0</v>
      </c>
      <c r="G190" s="26">
        <f t="shared" ref="G190:H190" si="467">G191+G194</f>
        <v>0</v>
      </c>
      <c r="H190" s="26">
        <f t="shared" si="467"/>
        <v>0</v>
      </c>
      <c r="I190" s="26">
        <f t="shared" si="373"/>
        <v>0</v>
      </c>
      <c r="J190" s="26">
        <f t="shared" ref="J190:K190" si="468">J191+J194</f>
        <v>0</v>
      </c>
      <c r="K190" s="26">
        <f t="shared" si="468"/>
        <v>0</v>
      </c>
      <c r="L190" s="26">
        <f t="shared" si="375"/>
        <v>0</v>
      </c>
      <c r="M190" s="26">
        <f t="shared" ref="M190:N190" si="469">M191+M194</f>
        <v>0</v>
      </c>
      <c r="N190" s="26">
        <f t="shared" si="469"/>
        <v>0</v>
      </c>
      <c r="O190" s="26">
        <f t="shared" si="377"/>
        <v>0</v>
      </c>
      <c r="P190" s="26">
        <f t="shared" ref="P190:Q190" si="470">P191+P194</f>
        <v>0</v>
      </c>
      <c r="Q190" s="26">
        <f t="shared" si="470"/>
        <v>0</v>
      </c>
      <c r="R190" s="26">
        <f t="shared" si="379"/>
        <v>0</v>
      </c>
      <c r="S190" s="26">
        <f t="shared" ref="S190:T190" si="471">S191+S194</f>
        <v>0</v>
      </c>
      <c r="T190" s="26">
        <f t="shared" si="471"/>
        <v>0</v>
      </c>
      <c r="U190" s="27"/>
      <c r="V190" s="5" t="str">
        <f t="shared" si="381"/>
        <v>-</v>
      </c>
    </row>
    <row r="191" spans="1:22" ht="25.15" customHeight="1" x14ac:dyDescent="0.6">
      <c r="A191" s="28" t="s">
        <v>3</v>
      </c>
      <c r="B191" s="26">
        <f>SUM(B192:B193)</f>
        <v>0</v>
      </c>
      <c r="C191" s="26">
        <f t="shared" si="370"/>
        <v>0</v>
      </c>
      <c r="D191" s="26">
        <f>SUM(D192:D193)</f>
        <v>0</v>
      </c>
      <c r="E191" s="26">
        <f>SUM(E192:E193)</f>
        <v>0</v>
      </c>
      <c r="F191" s="26">
        <f t="shared" si="371"/>
        <v>0</v>
      </c>
      <c r="G191" s="26">
        <f t="shared" ref="G191:H191" si="472">SUM(G192:G193)</f>
        <v>0</v>
      </c>
      <c r="H191" s="26">
        <f t="shared" si="472"/>
        <v>0</v>
      </c>
      <c r="I191" s="26">
        <f t="shared" si="373"/>
        <v>0</v>
      </c>
      <c r="J191" s="26">
        <f t="shared" ref="J191:K191" si="473">SUM(J192:J193)</f>
        <v>0</v>
      </c>
      <c r="K191" s="26">
        <f t="shared" si="473"/>
        <v>0</v>
      </c>
      <c r="L191" s="26">
        <f t="shared" si="375"/>
        <v>0</v>
      </c>
      <c r="M191" s="26">
        <f t="shared" ref="M191:N191" si="474">SUM(M192:M193)</f>
        <v>0</v>
      </c>
      <c r="N191" s="26">
        <f t="shared" si="474"/>
        <v>0</v>
      </c>
      <c r="O191" s="26">
        <f t="shared" si="377"/>
        <v>0</v>
      </c>
      <c r="P191" s="26">
        <f t="shared" ref="P191:Q191" si="475">SUM(P192:P193)</f>
        <v>0</v>
      </c>
      <c r="Q191" s="26">
        <f t="shared" si="475"/>
        <v>0</v>
      </c>
      <c r="R191" s="26">
        <f t="shared" si="379"/>
        <v>0</v>
      </c>
      <c r="S191" s="26">
        <f t="shared" ref="S191:T191" si="476">SUM(S192:S193)</f>
        <v>0</v>
      </c>
      <c r="T191" s="26">
        <f t="shared" si="476"/>
        <v>0</v>
      </c>
      <c r="U191" s="29"/>
      <c r="V191" s="5" t="str">
        <f t="shared" si="381"/>
        <v>-</v>
      </c>
    </row>
    <row r="192" spans="1:22" ht="25.15" customHeight="1" x14ac:dyDescent="0.6">
      <c r="A192" s="30" t="s">
        <v>5</v>
      </c>
      <c r="B192" s="22"/>
      <c r="C192" s="22">
        <f t="shared" si="370"/>
        <v>0</v>
      </c>
      <c r="D192" s="22"/>
      <c r="E192" s="22"/>
      <c r="F192" s="22">
        <f t="shared" si="371"/>
        <v>0</v>
      </c>
      <c r="G192" s="22"/>
      <c r="H192" s="22"/>
      <c r="I192" s="22">
        <f t="shared" si="373"/>
        <v>0</v>
      </c>
      <c r="J192" s="22"/>
      <c r="K192" s="22"/>
      <c r="L192" s="22">
        <f t="shared" si="375"/>
        <v>0</v>
      </c>
      <c r="M192" s="22"/>
      <c r="N192" s="22"/>
      <c r="O192" s="22">
        <f t="shared" si="377"/>
        <v>0</v>
      </c>
      <c r="P192" s="22"/>
      <c r="Q192" s="22"/>
      <c r="R192" s="22">
        <f t="shared" si="379"/>
        <v>0</v>
      </c>
      <c r="S192" s="22"/>
      <c r="T192" s="22"/>
      <c r="U192" s="14"/>
      <c r="V192" s="5" t="str">
        <f t="shared" si="381"/>
        <v>-</v>
      </c>
    </row>
    <row r="193" spans="1:22" ht="25.15" customHeight="1" x14ac:dyDescent="0.6">
      <c r="A193" s="30" t="s">
        <v>6</v>
      </c>
      <c r="B193" s="22"/>
      <c r="C193" s="22">
        <f t="shared" si="370"/>
        <v>0</v>
      </c>
      <c r="D193" s="22"/>
      <c r="E193" s="22"/>
      <c r="F193" s="22">
        <f t="shared" si="371"/>
        <v>0</v>
      </c>
      <c r="G193" s="22"/>
      <c r="H193" s="22"/>
      <c r="I193" s="22">
        <f t="shared" si="373"/>
        <v>0</v>
      </c>
      <c r="J193" s="22"/>
      <c r="K193" s="22"/>
      <c r="L193" s="22">
        <f t="shared" si="375"/>
        <v>0</v>
      </c>
      <c r="M193" s="22"/>
      <c r="N193" s="22"/>
      <c r="O193" s="22">
        <f t="shared" si="377"/>
        <v>0</v>
      </c>
      <c r="P193" s="22"/>
      <c r="Q193" s="22"/>
      <c r="R193" s="22">
        <f t="shared" si="379"/>
        <v>0</v>
      </c>
      <c r="S193" s="22"/>
      <c r="T193" s="22"/>
      <c r="U193" s="14"/>
      <c r="V193" s="5" t="str">
        <f t="shared" si="381"/>
        <v>-</v>
      </c>
    </row>
    <row r="194" spans="1:22" ht="25.15" customHeight="1" x14ac:dyDescent="0.6">
      <c r="A194" s="28" t="s">
        <v>4</v>
      </c>
      <c r="B194" s="26">
        <f>SUM(B195:B196)</f>
        <v>0</v>
      </c>
      <c r="C194" s="26">
        <f t="shared" si="370"/>
        <v>0</v>
      </c>
      <c r="D194" s="26">
        <f>SUM(D195:D196)</f>
        <v>0</v>
      </c>
      <c r="E194" s="26">
        <f>SUM(E195:E196)</f>
        <v>0</v>
      </c>
      <c r="F194" s="26">
        <f t="shared" si="371"/>
        <v>0</v>
      </c>
      <c r="G194" s="26">
        <f t="shared" ref="G194:H194" si="477">SUM(G195:G196)</f>
        <v>0</v>
      </c>
      <c r="H194" s="26">
        <f t="shared" si="477"/>
        <v>0</v>
      </c>
      <c r="I194" s="26">
        <f t="shared" si="373"/>
        <v>0</v>
      </c>
      <c r="J194" s="26">
        <f t="shared" ref="J194:K194" si="478">SUM(J195:J196)</f>
        <v>0</v>
      </c>
      <c r="K194" s="26">
        <f t="shared" si="478"/>
        <v>0</v>
      </c>
      <c r="L194" s="26">
        <f t="shared" si="375"/>
        <v>0</v>
      </c>
      <c r="M194" s="26">
        <f t="shared" ref="M194:N194" si="479">SUM(M195:M196)</f>
        <v>0</v>
      </c>
      <c r="N194" s="26">
        <f t="shared" si="479"/>
        <v>0</v>
      </c>
      <c r="O194" s="26">
        <f t="shared" si="377"/>
        <v>0</v>
      </c>
      <c r="P194" s="26">
        <f t="shared" ref="P194:Q194" si="480">SUM(P195:P196)</f>
        <v>0</v>
      </c>
      <c r="Q194" s="26">
        <f t="shared" si="480"/>
        <v>0</v>
      </c>
      <c r="R194" s="26">
        <f t="shared" si="379"/>
        <v>0</v>
      </c>
      <c r="S194" s="26">
        <f t="shared" ref="S194:T194" si="481">SUM(S195:S196)</f>
        <v>0</v>
      </c>
      <c r="T194" s="26">
        <f t="shared" si="481"/>
        <v>0</v>
      </c>
      <c r="U194" s="29"/>
      <c r="V194" s="5" t="str">
        <f t="shared" si="381"/>
        <v>-</v>
      </c>
    </row>
    <row r="195" spans="1:22" ht="25.15" customHeight="1" x14ac:dyDescent="0.6">
      <c r="A195" s="30" t="s">
        <v>7</v>
      </c>
      <c r="B195" s="22"/>
      <c r="C195" s="22">
        <f t="shared" si="370"/>
        <v>0</v>
      </c>
      <c r="D195" s="22"/>
      <c r="E195" s="22"/>
      <c r="F195" s="22">
        <f t="shared" si="371"/>
        <v>0</v>
      </c>
      <c r="G195" s="22"/>
      <c r="H195" s="22"/>
      <c r="I195" s="22">
        <f t="shared" si="373"/>
        <v>0</v>
      </c>
      <c r="J195" s="22"/>
      <c r="K195" s="22"/>
      <c r="L195" s="22">
        <f t="shared" si="375"/>
        <v>0</v>
      </c>
      <c r="M195" s="22"/>
      <c r="N195" s="22"/>
      <c r="O195" s="22">
        <f t="shared" si="377"/>
        <v>0</v>
      </c>
      <c r="P195" s="22"/>
      <c r="Q195" s="22"/>
      <c r="R195" s="22">
        <f t="shared" si="379"/>
        <v>0</v>
      </c>
      <c r="S195" s="22"/>
      <c r="T195" s="22"/>
      <c r="U195" s="14"/>
      <c r="V195" s="5" t="str">
        <f t="shared" si="381"/>
        <v>-</v>
      </c>
    </row>
    <row r="196" spans="1:22" ht="25.15" customHeight="1" x14ac:dyDescent="0.6">
      <c r="A196" s="30" t="s">
        <v>8</v>
      </c>
      <c r="B196" s="22"/>
      <c r="C196" s="22">
        <f t="shared" si="370"/>
        <v>0</v>
      </c>
      <c r="D196" s="22"/>
      <c r="E196" s="22"/>
      <c r="F196" s="22">
        <f t="shared" si="371"/>
        <v>0</v>
      </c>
      <c r="G196" s="22"/>
      <c r="H196" s="22"/>
      <c r="I196" s="22">
        <f t="shared" si="373"/>
        <v>0</v>
      </c>
      <c r="J196" s="22"/>
      <c r="K196" s="22"/>
      <c r="L196" s="22">
        <f t="shared" si="375"/>
        <v>0</v>
      </c>
      <c r="M196" s="22"/>
      <c r="N196" s="22"/>
      <c r="O196" s="22">
        <f t="shared" si="377"/>
        <v>0</v>
      </c>
      <c r="P196" s="22"/>
      <c r="Q196" s="22"/>
      <c r="R196" s="22">
        <f t="shared" si="379"/>
        <v>0</v>
      </c>
      <c r="S196" s="22"/>
      <c r="T196" s="22"/>
      <c r="U196" s="14"/>
      <c r="V196" s="5" t="str">
        <f t="shared" si="381"/>
        <v>-</v>
      </c>
    </row>
    <row r="197" spans="1:22" ht="25.15" customHeight="1" x14ac:dyDescent="0.6">
      <c r="A197" s="18" t="s">
        <v>39</v>
      </c>
      <c r="B197" s="23">
        <f>B198+B211</f>
        <v>0</v>
      </c>
      <c r="C197" s="23">
        <f t="shared" ref="C197:C232" si="482">D197+E197</f>
        <v>740.4</v>
      </c>
      <c r="D197" s="23">
        <f>D198+D211</f>
        <v>740.4</v>
      </c>
      <c r="E197" s="23">
        <f>E198+E211</f>
        <v>0</v>
      </c>
      <c r="F197" s="23">
        <f t="shared" ref="F197:F232" si="483">G197+H197</f>
        <v>740.4</v>
      </c>
      <c r="G197" s="23">
        <f t="shared" ref="G197:H197" si="484">G198+G211</f>
        <v>740.4</v>
      </c>
      <c r="H197" s="23">
        <f t="shared" si="484"/>
        <v>0</v>
      </c>
      <c r="I197" s="23">
        <f t="shared" ref="I197:I232" si="485">J197+K197</f>
        <v>0</v>
      </c>
      <c r="J197" s="23">
        <f t="shared" ref="J197:K197" si="486">J198+J211</f>
        <v>0</v>
      </c>
      <c r="K197" s="23">
        <f t="shared" si="486"/>
        <v>0</v>
      </c>
      <c r="L197" s="23">
        <f t="shared" ref="L197:L232" si="487">M197+N197</f>
        <v>0</v>
      </c>
      <c r="M197" s="23">
        <f t="shared" ref="M197:N197" si="488">M198+M211</f>
        <v>0</v>
      </c>
      <c r="N197" s="23">
        <f t="shared" si="488"/>
        <v>0</v>
      </c>
      <c r="O197" s="23">
        <f t="shared" ref="O197:O232" si="489">P197+Q197</f>
        <v>0</v>
      </c>
      <c r="P197" s="23">
        <f t="shared" ref="P197:Q197" si="490">P198+P211</f>
        <v>0</v>
      </c>
      <c r="Q197" s="23">
        <f t="shared" si="490"/>
        <v>0</v>
      </c>
      <c r="R197" s="23">
        <f t="shared" ref="R197:R232" si="491">S197+T197</f>
        <v>0</v>
      </c>
      <c r="S197" s="23">
        <f t="shared" ref="S197:T197" si="492">S198+S211</f>
        <v>0</v>
      </c>
      <c r="T197" s="23">
        <f t="shared" si="492"/>
        <v>0</v>
      </c>
      <c r="U197" s="20"/>
      <c r="V197" s="5" t="str">
        <f t="shared" ref="V197:V232" si="493">IF((B197+C197+F197+L197+O197)&lt;&gt;0,"ok","-")</f>
        <v>ok</v>
      </c>
    </row>
    <row r="198" spans="1:22" ht="25.15" customHeight="1" x14ac:dyDescent="0.6">
      <c r="A198" s="25" t="s">
        <v>2</v>
      </c>
      <c r="B198" s="26">
        <f>B199+B208</f>
        <v>0</v>
      </c>
      <c r="C198" s="26">
        <f t="shared" si="482"/>
        <v>740.4</v>
      </c>
      <c r="D198" s="26">
        <f>D199+D208</f>
        <v>740.4</v>
      </c>
      <c r="E198" s="26">
        <f>E199+E208</f>
        <v>0</v>
      </c>
      <c r="F198" s="26">
        <f t="shared" si="483"/>
        <v>740.4</v>
      </c>
      <c r="G198" s="26">
        <f t="shared" ref="G198:H198" si="494">G199+G208</f>
        <v>740.4</v>
      </c>
      <c r="H198" s="26">
        <f t="shared" si="494"/>
        <v>0</v>
      </c>
      <c r="I198" s="26">
        <f t="shared" si="485"/>
        <v>0</v>
      </c>
      <c r="J198" s="26">
        <f t="shared" ref="J198:K198" si="495">J199+J208</f>
        <v>0</v>
      </c>
      <c r="K198" s="26">
        <f t="shared" si="495"/>
        <v>0</v>
      </c>
      <c r="L198" s="26">
        <f t="shared" si="487"/>
        <v>0</v>
      </c>
      <c r="M198" s="26">
        <f t="shared" ref="M198:N198" si="496">M199+M208</f>
        <v>0</v>
      </c>
      <c r="N198" s="26">
        <f t="shared" si="496"/>
        <v>0</v>
      </c>
      <c r="O198" s="26">
        <f t="shared" si="489"/>
        <v>0</v>
      </c>
      <c r="P198" s="26">
        <f t="shared" ref="P198:Q198" si="497">P199+P208</f>
        <v>0</v>
      </c>
      <c r="Q198" s="26">
        <f t="shared" si="497"/>
        <v>0</v>
      </c>
      <c r="R198" s="26">
        <f t="shared" si="491"/>
        <v>0</v>
      </c>
      <c r="S198" s="26">
        <f t="shared" ref="S198:T198" si="498">S199+S208</f>
        <v>0</v>
      </c>
      <c r="T198" s="26">
        <f t="shared" si="498"/>
        <v>0</v>
      </c>
      <c r="U198" s="27"/>
      <c r="V198" s="5" t="str">
        <f t="shared" si="493"/>
        <v>ok</v>
      </c>
    </row>
    <row r="199" spans="1:22" ht="25.15" customHeight="1" x14ac:dyDescent="0.6">
      <c r="A199" s="28" t="s">
        <v>3</v>
      </c>
      <c r="B199" s="26">
        <f>SUM(B200:B207)</f>
        <v>0</v>
      </c>
      <c r="C199" s="26">
        <f t="shared" si="482"/>
        <v>740.4</v>
      </c>
      <c r="D199" s="26">
        <f>D200+D207</f>
        <v>740.4</v>
      </c>
      <c r="E199" s="26">
        <f>E200+E207</f>
        <v>0</v>
      </c>
      <c r="F199" s="26">
        <f t="shared" si="483"/>
        <v>740.4</v>
      </c>
      <c r="G199" s="26">
        <f>G200+G207</f>
        <v>740.4</v>
      </c>
      <c r="H199" s="26">
        <f>H200+H207</f>
        <v>0</v>
      </c>
      <c r="I199" s="26">
        <f t="shared" si="485"/>
        <v>0</v>
      </c>
      <c r="J199" s="26">
        <f t="shared" ref="J199:K199" si="499">J200+J207</f>
        <v>0</v>
      </c>
      <c r="K199" s="26">
        <f t="shared" si="499"/>
        <v>0</v>
      </c>
      <c r="L199" s="26">
        <f t="shared" si="487"/>
        <v>0</v>
      </c>
      <c r="M199" s="26">
        <f t="shared" ref="M199:N199" si="500">M200+M207</f>
        <v>0</v>
      </c>
      <c r="N199" s="26">
        <f t="shared" si="500"/>
        <v>0</v>
      </c>
      <c r="O199" s="26">
        <f t="shared" si="489"/>
        <v>0</v>
      </c>
      <c r="P199" s="26">
        <f t="shared" ref="P199:Q199" si="501">P200+P207</f>
        <v>0</v>
      </c>
      <c r="Q199" s="26">
        <f t="shared" si="501"/>
        <v>0</v>
      </c>
      <c r="R199" s="26">
        <f t="shared" si="491"/>
        <v>0</v>
      </c>
      <c r="S199" s="26">
        <f>S200+S207</f>
        <v>0</v>
      </c>
      <c r="T199" s="26">
        <f t="shared" ref="T199" si="502">T200+T207</f>
        <v>0</v>
      </c>
      <c r="U199" s="29"/>
      <c r="V199" s="5" t="str">
        <f t="shared" si="493"/>
        <v>ok</v>
      </c>
    </row>
    <row r="200" spans="1:22" ht="50.5" x14ac:dyDescent="0.6">
      <c r="A200" s="30" t="s">
        <v>52</v>
      </c>
      <c r="B200" s="22"/>
      <c r="C200" s="22">
        <f t="shared" si="482"/>
        <v>740.4</v>
      </c>
      <c r="D200" s="22">
        <f>SUM(D201:D206)</f>
        <v>740.4</v>
      </c>
      <c r="E200" s="22">
        <f>SUM(E201:E206)</f>
        <v>0</v>
      </c>
      <c r="F200" s="22">
        <f t="shared" si="483"/>
        <v>740.4</v>
      </c>
      <c r="G200" s="22">
        <f t="shared" ref="G200:H200" si="503">SUM(G201:G206)</f>
        <v>740.4</v>
      </c>
      <c r="H200" s="22">
        <f t="shared" si="503"/>
        <v>0</v>
      </c>
      <c r="I200" s="22">
        <f t="shared" si="485"/>
        <v>0</v>
      </c>
      <c r="J200" s="22">
        <f t="shared" ref="J200:K200" si="504">SUM(J201:J206)</f>
        <v>0</v>
      </c>
      <c r="K200" s="22">
        <f t="shared" si="504"/>
        <v>0</v>
      </c>
      <c r="L200" s="22">
        <f t="shared" si="487"/>
        <v>0</v>
      </c>
      <c r="M200" s="22">
        <f t="shared" ref="M200:N200" si="505">SUM(M201:M206)</f>
        <v>0</v>
      </c>
      <c r="N200" s="22">
        <f t="shared" si="505"/>
        <v>0</v>
      </c>
      <c r="O200" s="22">
        <f t="shared" si="489"/>
        <v>0</v>
      </c>
      <c r="P200" s="22">
        <f t="shared" ref="P200:Q200" si="506">SUM(P201:P206)</f>
        <v>0</v>
      </c>
      <c r="Q200" s="22">
        <f t="shared" si="506"/>
        <v>0</v>
      </c>
      <c r="R200" s="22">
        <f t="shared" si="491"/>
        <v>0</v>
      </c>
      <c r="S200" s="22">
        <f t="shared" ref="S200:T200" si="507">SUM(S201:S206)</f>
        <v>0</v>
      </c>
      <c r="T200" s="22">
        <f t="shared" si="507"/>
        <v>0</v>
      </c>
      <c r="U200" s="14"/>
      <c r="V200" s="5" t="str">
        <f t="shared" si="493"/>
        <v>ok</v>
      </c>
    </row>
    <row r="201" spans="1:22" ht="25.25" x14ac:dyDescent="0.6">
      <c r="A201" s="30" t="s">
        <v>53</v>
      </c>
      <c r="B201" s="22"/>
      <c r="C201" s="22"/>
      <c r="D201" s="22">
        <v>123.4</v>
      </c>
      <c r="E201" s="22"/>
      <c r="F201" s="22"/>
      <c r="G201" s="22">
        <v>123.4</v>
      </c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14"/>
    </row>
    <row r="202" spans="1:22" ht="25.25" x14ac:dyDescent="0.6">
      <c r="A202" s="30" t="s">
        <v>54</v>
      </c>
      <c r="B202" s="22"/>
      <c r="C202" s="22"/>
      <c r="D202" s="22">
        <v>123.4</v>
      </c>
      <c r="E202" s="22"/>
      <c r="F202" s="22"/>
      <c r="G202" s="22">
        <v>123.4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14"/>
    </row>
    <row r="203" spans="1:22" ht="25.25" x14ac:dyDescent="0.6">
      <c r="A203" s="30" t="s">
        <v>55</v>
      </c>
      <c r="B203" s="22"/>
      <c r="C203" s="22"/>
      <c r="D203" s="22">
        <v>123.4</v>
      </c>
      <c r="E203" s="22"/>
      <c r="F203" s="22"/>
      <c r="G203" s="22">
        <v>123.4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14"/>
    </row>
    <row r="204" spans="1:22" ht="25.25" x14ac:dyDescent="0.6">
      <c r="A204" s="30" t="s">
        <v>56</v>
      </c>
      <c r="B204" s="22"/>
      <c r="C204" s="22"/>
      <c r="D204" s="22">
        <v>123.4</v>
      </c>
      <c r="E204" s="22"/>
      <c r="F204" s="22"/>
      <c r="G204" s="22">
        <v>123.4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14"/>
    </row>
    <row r="205" spans="1:22" ht="25.25" x14ac:dyDescent="0.6">
      <c r="A205" s="30" t="s">
        <v>57</v>
      </c>
      <c r="B205" s="22"/>
      <c r="C205" s="22"/>
      <c r="D205" s="22">
        <v>123.4</v>
      </c>
      <c r="E205" s="22"/>
      <c r="F205" s="22"/>
      <c r="G205" s="22">
        <v>123.4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14"/>
    </row>
    <row r="206" spans="1:22" ht="25.25" x14ac:dyDescent="0.6">
      <c r="A206" s="30" t="s">
        <v>58</v>
      </c>
      <c r="B206" s="22"/>
      <c r="C206" s="22"/>
      <c r="D206" s="22">
        <v>123.4</v>
      </c>
      <c r="E206" s="22"/>
      <c r="F206" s="22"/>
      <c r="G206" s="22">
        <v>123.4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14"/>
    </row>
    <row r="207" spans="1:22" ht="25.5" customHeight="1" x14ac:dyDescent="0.6">
      <c r="A207" s="30" t="s">
        <v>6</v>
      </c>
      <c r="B207" s="22"/>
      <c r="C207" s="22">
        <f t="shared" si="482"/>
        <v>0</v>
      </c>
      <c r="D207" s="22"/>
      <c r="E207" s="22"/>
      <c r="F207" s="22">
        <f t="shared" si="483"/>
        <v>0</v>
      </c>
      <c r="G207" s="22"/>
      <c r="H207" s="22"/>
      <c r="I207" s="22">
        <f t="shared" si="485"/>
        <v>0</v>
      </c>
      <c r="J207" s="22"/>
      <c r="K207" s="22"/>
      <c r="L207" s="22">
        <f t="shared" si="487"/>
        <v>0</v>
      </c>
      <c r="M207" s="22"/>
      <c r="N207" s="22"/>
      <c r="O207" s="22">
        <f t="shared" si="489"/>
        <v>0</v>
      </c>
      <c r="P207" s="22"/>
      <c r="Q207" s="22"/>
      <c r="R207" s="22">
        <f t="shared" si="491"/>
        <v>0</v>
      </c>
      <c r="S207" s="22"/>
      <c r="T207" s="22"/>
      <c r="U207" s="14"/>
      <c r="V207" s="5" t="str">
        <f t="shared" si="493"/>
        <v>-</v>
      </c>
    </row>
    <row r="208" spans="1:22" ht="25.15" customHeight="1" x14ac:dyDescent="0.6">
      <c r="A208" s="28" t="s">
        <v>4</v>
      </c>
      <c r="B208" s="26">
        <f>SUM(B209:B210)</f>
        <v>0</v>
      </c>
      <c r="C208" s="26">
        <f t="shared" si="482"/>
        <v>0</v>
      </c>
      <c r="D208" s="26">
        <f>SUM(D209:D210)</f>
        <v>0</v>
      </c>
      <c r="E208" s="26">
        <f>SUM(E209:E210)</f>
        <v>0</v>
      </c>
      <c r="F208" s="26">
        <f t="shared" si="483"/>
        <v>0</v>
      </c>
      <c r="G208" s="26">
        <f t="shared" ref="G208:H208" si="508">SUM(G209:G210)</f>
        <v>0</v>
      </c>
      <c r="H208" s="26">
        <f t="shared" si="508"/>
        <v>0</v>
      </c>
      <c r="I208" s="26">
        <f t="shared" si="485"/>
        <v>0</v>
      </c>
      <c r="J208" s="26">
        <f t="shared" ref="J208:K208" si="509">SUM(J209:J210)</f>
        <v>0</v>
      </c>
      <c r="K208" s="26">
        <f t="shared" si="509"/>
        <v>0</v>
      </c>
      <c r="L208" s="26">
        <f t="shared" si="487"/>
        <v>0</v>
      </c>
      <c r="M208" s="26">
        <f t="shared" ref="M208:N208" si="510">SUM(M209:M210)</f>
        <v>0</v>
      </c>
      <c r="N208" s="26">
        <f t="shared" si="510"/>
        <v>0</v>
      </c>
      <c r="O208" s="26">
        <f t="shared" si="489"/>
        <v>0</v>
      </c>
      <c r="P208" s="26">
        <f t="shared" ref="P208:Q208" si="511">SUM(P209:P210)</f>
        <v>0</v>
      </c>
      <c r="Q208" s="26">
        <f t="shared" si="511"/>
        <v>0</v>
      </c>
      <c r="R208" s="26">
        <f t="shared" si="491"/>
        <v>0</v>
      </c>
      <c r="S208" s="26">
        <f t="shared" ref="S208:T208" si="512">SUM(S209:S210)</f>
        <v>0</v>
      </c>
      <c r="T208" s="26">
        <f t="shared" si="512"/>
        <v>0</v>
      </c>
      <c r="U208" s="29"/>
      <c r="V208" s="5" t="str">
        <f t="shared" si="493"/>
        <v>-</v>
      </c>
    </row>
    <row r="209" spans="1:22" ht="25.15" customHeight="1" x14ac:dyDescent="0.6">
      <c r="A209" s="30" t="s">
        <v>7</v>
      </c>
      <c r="B209" s="22"/>
      <c r="C209" s="22">
        <f t="shared" si="482"/>
        <v>0</v>
      </c>
      <c r="D209" s="22"/>
      <c r="E209" s="22"/>
      <c r="F209" s="22">
        <f t="shared" si="483"/>
        <v>0</v>
      </c>
      <c r="G209" s="22"/>
      <c r="H209" s="22"/>
      <c r="I209" s="22">
        <f t="shared" si="485"/>
        <v>0</v>
      </c>
      <c r="J209" s="22"/>
      <c r="K209" s="22"/>
      <c r="L209" s="22">
        <f t="shared" si="487"/>
        <v>0</v>
      </c>
      <c r="M209" s="22"/>
      <c r="N209" s="22"/>
      <c r="O209" s="22">
        <f t="shared" si="489"/>
        <v>0</v>
      </c>
      <c r="P209" s="22"/>
      <c r="Q209" s="22"/>
      <c r="R209" s="22">
        <f t="shared" si="491"/>
        <v>0</v>
      </c>
      <c r="S209" s="22"/>
      <c r="T209" s="22"/>
      <c r="U209" s="14"/>
      <c r="V209" s="5" t="str">
        <f t="shared" si="493"/>
        <v>-</v>
      </c>
    </row>
    <row r="210" spans="1:22" ht="25.15" customHeight="1" x14ac:dyDescent="0.6">
      <c r="A210" s="30" t="s">
        <v>8</v>
      </c>
      <c r="B210" s="22"/>
      <c r="C210" s="22">
        <f t="shared" si="482"/>
        <v>0</v>
      </c>
      <c r="D210" s="22"/>
      <c r="E210" s="22"/>
      <c r="F210" s="22">
        <f t="shared" si="483"/>
        <v>0</v>
      </c>
      <c r="G210" s="22"/>
      <c r="H210" s="22"/>
      <c r="I210" s="22">
        <f t="shared" si="485"/>
        <v>0</v>
      </c>
      <c r="J210" s="22"/>
      <c r="K210" s="22"/>
      <c r="L210" s="22">
        <f t="shared" si="487"/>
        <v>0</v>
      </c>
      <c r="M210" s="22"/>
      <c r="N210" s="22"/>
      <c r="O210" s="22">
        <f t="shared" si="489"/>
        <v>0</v>
      </c>
      <c r="P210" s="22"/>
      <c r="Q210" s="22"/>
      <c r="R210" s="22">
        <f t="shared" si="491"/>
        <v>0</v>
      </c>
      <c r="S210" s="22"/>
      <c r="T210" s="22"/>
      <c r="U210" s="14"/>
      <c r="V210" s="5" t="str">
        <f t="shared" si="493"/>
        <v>-</v>
      </c>
    </row>
    <row r="211" spans="1:22" ht="25.15" customHeight="1" x14ac:dyDescent="0.6">
      <c r="A211" s="25" t="s">
        <v>9</v>
      </c>
      <c r="B211" s="26">
        <f>B212+B215</f>
        <v>0</v>
      </c>
      <c r="C211" s="26">
        <f t="shared" si="482"/>
        <v>0</v>
      </c>
      <c r="D211" s="26">
        <f>D212+D215</f>
        <v>0</v>
      </c>
      <c r="E211" s="26">
        <f>E212+E215</f>
        <v>0</v>
      </c>
      <c r="F211" s="26">
        <f t="shared" si="483"/>
        <v>0</v>
      </c>
      <c r="G211" s="26">
        <f t="shared" ref="G211:H211" si="513">G212+G215</f>
        <v>0</v>
      </c>
      <c r="H211" s="26">
        <f t="shared" si="513"/>
        <v>0</v>
      </c>
      <c r="I211" s="26">
        <f t="shared" si="485"/>
        <v>0</v>
      </c>
      <c r="J211" s="26">
        <f t="shared" ref="J211:K211" si="514">J212+J215</f>
        <v>0</v>
      </c>
      <c r="K211" s="26">
        <f t="shared" si="514"/>
        <v>0</v>
      </c>
      <c r="L211" s="26">
        <f t="shared" si="487"/>
        <v>0</v>
      </c>
      <c r="M211" s="26">
        <f t="shared" ref="M211:N211" si="515">M212+M215</f>
        <v>0</v>
      </c>
      <c r="N211" s="26">
        <f t="shared" si="515"/>
        <v>0</v>
      </c>
      <c r="O211" s="26">
        <f t="shared" si="489"/>
        <v>0</v>
      </c>
      <c r="P211" s="26">
        <f t="shared" ref="P211:Q211" si="516">P212+P215</f>
        <v>0</v>
      </c>
      <c r="Q211" s="26">
        <f t="shared" si="516"/>
        <v>0</v>
      </c>
      <c r="R211" s="26">
        <f t="shared" si="491"/>
        <v>0</v>
      </c>
      <c r="S211" s="26">
        <f t="shared" ref="S211:T211" si="517">S212+S215</f>
        <v>0</v>
      </c>
      <c r="T211" s="26">
        <f t="shared" si="517"/>
        <v>0</v>
      </c>
      <c r="U211" s="27"/>
      <c r="V211" s="5" t="str">
        <f t="shared" si="493"/>
        <v>-</v>
      </c>
    </row>
    <row r="212" spans="1:22" ht="25.15" customHeight="1" x14ac:dyDescent="0.6">
      <c r="A212" s="28" t="s">
        <v>3</v>
      </c>
      <c r="B212" s="26">
        <f>SUM(B213:B214)</f>
        <v>0</v>
      </c>
      <c r="C212" s="26">
        <f t="shared" si="482"/>
        <v>0</v>
      </c>
      <c r="D212" s="26">
        <f>SUM(D213:D214)</f>
        <v>0</v>
      </c>
      <c r="E212" s="26">
        <f>SUM(E213:E214)</f>
        <v>0</v>
      </c>
      <c r="F212" s="26">
        <f t="shared" si="483"/>
        <v>0</v>
      </c>
      <c r="G212" s="26">
        <f t="shared" ref="G212:H212" si="518">SUM(G213:G214)</f>
        <v>0</v>
      </c>
      <c r="H212" s="26">
        <f t="shared" si="518"/>
        <v>0</v>
      </c>
      <c r="I212" s="26">
        <f t="shared" si="485"/>
        <v>0</v>
      </c>
      <c r="J212" s="26">
        <f t="shared" ref="J212:K212" si="519">SUM(J213:J214)</f>
        <v>0</v>
      </c>
      <c r="K212" s="26">
        <f t="shared" si="519"/>
        <v>0</v>
      </c>
      <c r="L212" s="26">
        <f t="shared" si="487"/>
        <v>0</v>
      </c>
      <c r="M212" s="26">
        <f t="shared" ref="M212:N212" si="520">SUM(M213:M214)</f>
        <v>0</v>
      </c>
      <c r="N212" s="26">
        <f t="shared" si="520"/>
        <v>0</v>
      </c>
      <c r="O212" s="26">
        <f t="shared" si="489"/>
        <v>0</v>
      </c>
      <c r="P212" s="26">
        <f t="shared" ref="P212:Q212" si="521">SUM(P213:P214)</f>
        <v>0</v>
      </c>
      <c r="Q212" s="26">
        <f t="shared" si="521"/>
        <v>0</v>
      </c>
      <c r="R212" s="26">
        <f t="shared" si="491"/>
        <v>0</v>
      </c>
      <c r="S212" s="26">
        <f t="shared" ref="S212:T212" si="522">SUM(S213:S214)</f>
        <v>0</v>
      </c>
      <c r="T212" s="26">
        <f t="shared" si="522"/>
        <v>0</v>
      </c>
      <c r="U212" s="29"/>
      <c r="V212" s="5" t="str">
        <f t="shared" si="493"/>
        <v>-</v>
      </c>
    </row>
    <row r="213" spans="1:22" ht="25.15" customHeight="1" x14ac:dyDescent="0.6">
      <c r="A213" s="30" t="s">
        <v>5</v>
      </c>
      <c r="B213" s="22"/>
      <c r="C213" s="22">
        <f t="shared" si="482"/>
        <v>0</v>
      </c>
      <c r="D213" s="22"/>
      <c r="E213" s="22"/>
      <c r="F213" s="22">
        <f t="shared" si="483"/>
        <v>0</v>
      </c>
      <c r="G213" s="22"/>
      <c r="H213" s="22"/>
      <c r="I213" s="22">
        <f t="shared" si="485"/>
        <v>0</v>
      </c>
      <c r="J213" s="22"/>
      <c r="K213" s="22"/>
      <c r="L213" s="22">
        <f t="shared" si="487"/>
        <v>0</v>
      </c>
      <c r="M213" s="22"/>
      <c r="N213" s="22"/>
      <c r="O213" s="22">
        <f t="shared" si="489"/>
        <v>0</v>
      </c>
      <c r="P213" s="22"/>
      <c r="Q213" s="22"/>
      <c r="R213" s="22">
        <f t="shared" si="491"/>
        <v>0</v>
      </c>
      <c r="S213" s="22"/>
      <c r="T213" s="22"/>
      <c r="U213" s="14"/>
      <c r="V213" s="5" t="str">
        <f t="shared" si="493"/>
        <v>-</v>
      </c>
    </row>
    <row r="214" spans="1:22" ht="25.15" customHeight="1" x14ac:dyDescent="0.6">
      <c r="A214" s="30" t="s">
        <v>6</v>
      </c>
      <c r="B214" s="22"/>
      <c r="C214" s="22">
        <f t="shared" si="482"/>
        <v>0</v>
      </c>
      <c r="D214" s="22"/>
      <c r="E214" s="22"/>
      <c r="F214" s="22">
        <f t="shared" si="483"/>
        <v>0</v>
      </c>
      <c r="G214" s="22"/>
      <c r="H214" s="22"/>
      <c r="I214" s="22">
        <f t="shared" si="485"/>
        <v>0</v>
      </c>
      <c r="J214" s="22"/>
      <c r="K214" s="22"/>
      <c r="L214" s="22">
        <f t="shared" si="487"/>
        <v>0</v>
      </c>
      <c r="M214" s="22"/>
      <c r="N214" s="22"/>
      <c r="O214" s="22">
        <f t="shared" si="489"/>
        <v>0</v>
      </c>
      <c r="P214" s="22"/>
      <c r="Q214" s="22"/>
      <c r="R214" s="22">
        <f t="shared" si="491"/>
        <v>0</v>
      </c>
      <c r="S214" s="22"/>
      <c r="T214" s="22"/>
      <c r="U214" s="14"/>
      <c r="V214" s="5" t="str">
        <f t="shared" si="493"/>
        <v>-</v>
      </c>
    </row>
    <row r="215" spans="1:22" ht="25.15" customHeight="1" x14ac:dyDescent="0.6">
      <c r="A215" s="28" t="s">
        <v>4</v>
      </c>
      <c r="B215" s="26">
        <f>SUM(B216:B217)</f>
        <v>0</v>
      </c>
      <c r="C215" s="26">
        <f t="shared" si="482"/>
        <v>0</v>
      </c>
      <c r="D215" s="26">
        <f>SUM(D216:D217)</f>
        <v>0</v>
      </c>
      <c r="E215" s="26">
        <f>SUM(E216:E217)</f>
        <v>0</v>
      </c>
      <c r="F215" s="26">
        <f t="shared" si="483"/>
        <v>0</v>
      </c>
      <c r="G215" s="26">
        <f t="shared" ref="G215:H215" si="523">SUM(G216:G217)</f>
        <v>0</v>
      </c>
      <c r="H215" s="26">
        <f t="shared" si="523"/>
        <v>0</v>
      </c>
      <c r="I215" s="26">
        <f t="shared" si="485"/>
        <v>0</v>
      </c>
      <c r="J215" s="26">
        <f t="shared" ref="J215:K215" si="524">SUM(J216:J217)</f>
        <v>0</v>
      </c>
      <c r="K215" s="26">
        <f t="shared" si="524"/>
        <v>0</v>
      </c>
      <c r="L215" s="26">
        <f t="shared" si="487"/>
        <v>0</v>
      </c>
      <c r="M215" s="26">
        <f t="shared" ref="M215:N215" si="525">SUM(M216:M217)</f>
        <v>0</v>
      </c>
      <c r="N215" s="26">
        <f t="shared" si="525"/>
        <v>0</v>
      </c>
      <c r="O215" s="26">
        <f t="shared" si="489"/>
        <v>0</v>
      </c>
      <c r="P215" s="26">
        <f t="shared" ref="P215:Q215" si="526">SUM(P216:P217)</f>
        <v>0</v>
      </c>
      <c r="Q215" s="26">
        <f t="shared" si="526"/>
        <v>0</v>
      </c>
      <c r="R215" s="26">
        <f t="shared" si="491"/>
        <v>0</v>
      </c>
      <c r="S215" s="26">
        <f t="shared" ref="S215:T215" si="527">SUM(S216:S217)</f>
        <v>0</v>
      </c>
      <c r="T215" s="26">
        <f t="shared" si="527"/>
        <v>0</v>
      </c>
      <c r="U215" s="29"/>
      <c r="V215" s="5" t="str">
        <f t="shared" si="493"/>
        <v>-</v>
      </c>
    </row>
    <row r="216" spans="1:22" ht="25.15" customHeight="1" x14ac:dyDescent="0.6">
      <c r="A216" s="30" t="s">
        <v>7</v>
      </c>
      <c r="B216" s="22"/>
      <c r="C216" s="22">
        <f t="shared" si="482"/>
        <v>0</v>
      </c>
      <c r="D216" s="22"/>
      <c r="E216" s="22"/>
      <c r="F216" s="22">
        <f t="shared" si="483"/>
        <v>0</v>
      </c>
      <c r="G216" s="22"/>
      <c r="H216" s="22"/>
      <c r="I216" s="22">
        <f t="shared" si="485"/>
        <v>0</v>
      </c>
      <c r="J216" s="22"/>
      <c r="K216" s="22"/>
      <c r="L216" s="22">
        <f t="shared" si="487"/>
        <v>0</v>
      </c>
      <c r="M216" s="22"/>
      <c r="N216" s="22"/>
      <c r="O216" s="22">
        <f t="shared" si="489"/>
        <v>0</v>
      </c>
      <c r="P216" s="22"/>
      <c r="Q216" s="22"/>
      <c r="R216" s="22">
        <f t="shared" si="491"/>
        <v>0</v>
      </c>
      <c r="S216" s="22"/>
      <c r="T216" s="22"/>
      <c r="U216" s="14"/>
      <c r="V216" s="5" t="str">
        <f t="shared" si="493"/>
        <v>-</v>
      </c>
    </row>
    <row r="217" spans="1:22" ht="25.15" customHeight="1" x14ac:dyDescent="0.6">
      <c r="A217" s="30" t="s">
        <v>8</v>
      </c>
      <c r="B217" s="22"/>
      <c r="C217" s="22">
        <f t="shared" si="482"/>
        <v>0</v>
      </c>
      <c r="D217" s="22"/>
      <c r="E217" s="22"/>
      <c r="F217" s="22">
        <f t="shared" si="483"/>
        <v>0</v>
      </c>
      <c r="G217" s="22"/>
      <c r="H217" s="22"/>
      <c r="I217" s="22">
        <f t="shared" si="485"/>
        <v>0</v>
      </c>
      <c r="J217" s="22"/>
      <c r="K217" s="22"/>
      <c r="L217" s="22">
        <f t="shared" si="487"/>
        <v>0</v>
      </c>
      <c r="M217" s="22"/>
      <c r="N217" s="22"/>
      <c r="O217" s="22">
        <f t="shared" si="489"/>
        <v>0</v>
      </c>
      <c r="P217" s="22"/>
      <c r="Q217" s="22"/>
      <c r="R217" s="22">
        <f t="shared" si="491"/>
        <v>0</v>
      </c>
      <c r="S217" s="22"/>
      <c r="T217" s="22"/>
      <c r="U217" s="14"/>
      <c r="V217" s="5" t="str">
        <f t="shared" si="493"/>
        <v>-</v>
      </c>
    </row>
    <row r="218" spans="1:22" ht="25.15" customHeight="1" x14ac:dyDescent="0.6">
      <c r="A218" s="18" t="s">
        <v>40</v>
      </c>
      <c r="B218" s="23">
        <f>B219+B226</f>
        <v>0</v>
      </c>
      <c r="C218" s="23">
        <f t="shared" si="482"/>
        <v>0</v>
      </c>
      <c r="D218" s="23">
        <f>D219+D226</f>
        <v>0</v>
      </c>
      <c r="E218" s="23">
        <f>E219+E226</f>
        <v>0</v>
      </c>
      <c r="F218" s="23">
        <f t="shared" si="483"/>
        <v>0</v>
      </c>
      <c r="G218" s="23">
        <f t="shared" ref="G218:H218" si="528">G219+G226</f>
        <v>0</v>
      </c>
      <c r="H218" s="23">
        <f t="shared" si="528"/>
        <v>0</v>
      </c>
      <c r="I218" s="23">
        <f t="shared" si="485"/>
        <v>0</v>
      </c>
      <c r="J218" s="23">
        <f t="shared" ref="J218:K218" si="529">J219+J226</f>
        <v>0</v>
      </c>
      <c r="K218" s="23">
        <f t="shared" si="529"/>
        <v>0</v>
      </c>
      <c r="L218" s="23">
        <f t="shared" si="487"/>
        <v>0</v>
      </c>
      <c r="M218" s="23">
        <f t="shared" ref="M218:N218" si="530">M219+M226</f>
        <v>0</v>
      </c>
      <c r="N218" s="23">
        <f t="shared" si="530"/>
        <v>0</v>
      </c>
      <c r="O218" s="23">
        <f t="shared" si="489"/>
        <v>0</v>
      </c>
      <c r="P218" s="23">
        <f t="shared" ref="P218:Q218" si="531">P219+P226</f>
        <v>0</v>
      </c>
      <c r="Q218" s="23">
        <f t="shared" si="531"/>
        <v>0</v>
      </c>
      <c r="R218" s="23">
        <f t="shared" si="491"/>
        <v>0</v>
      </c>
      <c r="S218" s="23">
        <f t="shared" ref="S218:T218" si="532">S219+S226</f>
        <v>0</v>
      </c>
      <c r="T218" s="23">
        <f t="shared" si="532"/>
        <v>0</v>
      </c>
      <c r="U218" s="20"/>
      <c r="V218" s="5" t="str">
        <f t="shared" si="493"/>
        <v>-</v>
      </c>
    </row>
    <row r="219" spans="1:22" ht="25.15" customHeight="1" x14ac:dyDescent="0.6">
      <c r="A219" s="25" t="s">
        <v>2</v>
      </c>
      <c r="B219" s="26">
        <f>B220+B223</f>
        <v>0</v>
      </c>
      <c r="C219" s="26">
        <f t="shared" si="482"/>
        <v>0</v>
      </c>
      <c r="D219" s="26">
        <f>D220+D223</f>
        <v>0</v>
      </c>
      <c r="E219" s="26">
        <f>E220+E223</f>
        <v>0</v>
      </c>
      <c r="F219" s="26">
        <f t="shared" si="483"/>
        <v>0</v>
      </c>
      <c r="G219" s="26">
        <f t="shared" ref="G219:H219" si="533">G220+G223</f>
        <v>0</v>
      </c>
      <c r="H219" s="26">
        <f t="shared" si="533"/>
        <v>0</v>
      </c>
      <c r="I219" s="26">
        <f t="shared" si="485"/>
        <v>0</v>
      </c>
      <c r="J219" s="26">
        <f t="shared" ref="J219:K219" si="534">J220+J223</f>
        <v>0</v>
      </c>
      <c r="K219" s="26">
        <f t="shared" si="534"/>
        <v>0</v>
      </c>
      <c r="L219" s="26">
        <f t="shared" si="487"/>
        <v>0</v>
      </c>
      <c r="M219" s="26">
        <f t="shared" ref="M219:N219" si="535">M220+M223</f>
        <v>0</v>
      </c>
      <c r="N219" s="26">
        <f t="shared" si="535"/>
        <v>0</v>
      </c>
      <c r="O219" s="26">
        <f t="shared" si="489"/>
        <v>0</v>
      </c>
      <c r="P219" s="26">
        <f t="shared" ref="P219:Q219" si="536">P220+P223</f>
        <v>0</v>
      </c>
      <c r="Q219" s="26">
        <f t="shared" si="536"/>
        <v>0</v>
      </c>
      <c r="R219" s="26">
        <f t="shared" si="491"/>
        <v>0</v>
      </c>
      <c r="S219" s="26">
        <f t="shared" ref="S219:T219" si="537">S220+S223</f>
        <v>0</v>
      </c>
      <c r="T219" s="26">
        <f t="shared" si="537"/>
        <v>0</v>
      </c>
      <c r="U219" s="27"/>
      <c r="V219" s="5" t="str">
        <f t="shared" si="493"/>
        <v>-</v>
      </c>
    </row>
    <row r="220" spans="1:22" ht="25.15" customHeight="1" x14ac:dyDescent="0.6">
      <c r="A220" s="28" t="s">
        <v>3</v>
      </c>
      <c r="B220" s="26">
        <f>SUM(B221:B222)</f>
        <v>0</v>
      </c>
      <c r="C220" s="26">
        <f t="shared" si="482"/>
        <v>0</v>
      </c>
      <c r="D220" s="26">
        <f>SUM(D221:D222)</f>
        <v>0</v>
      </c>
      <c r="E220" s="26">
        <f>SUM(E221:E222)</f>
        <v>0</v>
      </c>
      <c r="F220" s="26">
        <f t="shared" si="483"/>
        <v>0</v>
      </c>
      <c r="G220" s="26">
        <f t="shared" ref="G220:H220" si="538">SUM(G221:G222)</f>
        <v>0</v>
      </c>
      <c r="H220" s="26">
        <f t="shared" si="538"/>
        <v>0</v>
      </c>
      <c r="I220" s="26">
        <f t="shared" si="485"/>
        <v>0</v>
      </c>
      <c r="J220" s="26">
        <f t="shared" ref="J220:K220" si="539">SUM(J221:J222)</f>
        <v>0</v>
      </c>
      <c r="K220" s="26">
        <f t="shared" si="539"/>
        <v>0</v>
      </c>
      <c r="L220" s="26">
        <f t="shared" si="487"/>
        <v>0</v>
      </c>
      <c r="M220" s="26">
        <f t="shared" ref="M220:N220" si="540">SUM(M221:M222)</f>
        <v>0</v>
      </c>
      <c r="N220" s="26">
        <f t="shared" si="540"/>
        <v>0</v>
      </c>
      <c r="O220" s="26">
        <f t="shared" si="489"/>
        <v>0</v>
      </c>
      <c r="P220" s="26">
        <f t="shared" ref="P220:Q220" si="541">SUM(P221:P222)</f>
        <v>0</v>
      </c>
      <c r="Q220" s="26">
        <f t="shared" si="541"/>
        <v>0</v>
      </c>
      <c r="R220" s="26">
        <f t="shared" si="491"/>
        <v>0</v>
      </c>
      <c r="S220" s="26">
        <f t="shared" ref="S220:T220" si="542">SUM(S221:S222)</f>
        <v>0</v>
      </c>
      <c r="T220" s="26">
        <f t="shared" si="542"/>
        <v>0</v>
      </c>
      <c r="U220" s="29"/>
      <c r="V220" s="5" t="str">
        <f t="shared" si="493"/>
        <v>-</v>
      </c>
    </row>
    <row r="221" spans="1:22" ht="25.15" customHeight="1" x14ac:dyDescent="0.6">
      <c r="A221" s="30" t="s">
        <v>5</v>
      </c>
      <c r="B221" s="22"/>
      <c r="C221" s="22">
        <f t="shared" si="482"/>
        <v>0</v>
      </c>
      <c r="D221" s="22"/>
      <c r="E221" s="22"/>
      <c r="F221" s="22">
        <f t="shared" si="483"/>
        <v>0</v>
      </c>
      <c r="G221" s="22"/>
      <c r="H221" s="22"/>
      <c r="I221" s="22">
        <f t="shared" si="485"/>
        <v>0</v>
      </c>
      <c r="J221" s="22"/>
      <c r="K221" s="22"/>
      <c r="L221" s="22">
        <f t="shared" si="487"/>
        <v>0</v>
      </c>
      <c r="M221" s="22"/>
      <c r="N221" s="22"/>
      <c r="O221" s="22">
        <f t="shared" si="489"/>
        <v>0</v>
      </c>
      <c r="P221" s="22"/>
      <c r="Q221" s="22"/>
      <c r="R221" s="22">
        <f t="shared" si="491"/>
        <v>0</v>
      </c>
      <c r="S221" s="22"/>
      <c r="T221" s="22"/>
      <c r="U221" s="14"/>
      <c r="V221" s="5" t="str">
        <f t="shared" si="493"/>
        <v>-</v>
      </c>
    </row>
    <row r="222" spans="1:22" ht="25.5" customHeight="1" x14ac:dyDescent="0.6">
      <c r="A222" s="30" t="s">
        <v>6</v>
      </c>
      <c r="B222" s="22"/>
      <c r="C222" s="22">
        <f t="shared" si="482"/>
        <v>0</v>
      </c>
      <c r="D222" s="22"/>
      <c r="E222" s="22"/>
      <c r="F222" s="22">
        <f t="shared" si="483"/>
        <v>0</v>
      </c>
      <c r="G222" s="22"/>
      <c r="H222" s="22"/>
      <c r="I222" s="22">
        <f t="shared" si="485"/>
        <v>0</v>
      </c>
      <c r="J222" s="22"/>
      <c r="K222" s="22"/>
      <c r="L222" s="22">
        <f t="shared" si="487"/>
        <v>0</v>
      </c>
      <c r="M222" s="22"/>
      <c r="N222" s="22"/>
      <c r="O222" s="22">
        <f t="shared" si="489"/>
        <v>0</v>
      </c>
      <c r="P222" s="22"/>
      <c r="Q222" s="22"/>
      <c r="R222" s="22">
        <f t="shared" si="491"/>
        <v>0</v>
      </c>
      <c r="S222" s="22"/>
      <c r="T222" s="22"/>
      <c r="U222" s="14"/>
      <c r="V222" s="5" t="str">
        <f t="shared" si="493"/>
        <v>-</v>
      </c>
    </row>
    <row r="223" spans="1:22" ht="25.15" customHeight="1" x14ac:dyDescent="0.6">
      <c r="A223" s="28" t="s">
        <v>4</v>
      </c>
      <c r="B223" s="26">
        <f>SUM(B224:B225)</f>
        <v>0</v>
      </c>
      <c r="C223" s="26">
        <f t="shared" si="482"/>
        <v>0</v>
      </c>
      <c r="D223" s="26">
        <f>SUM(D224:D225)</f>
        <v>0</v>
      </c>
      <c r="E223" s="26">
        <f>SUM(E224:E225)</f>
        <v>0</v>
      </c>
      <c r="F223" s="26">
        <f t="shared" si="483"/>
        <v>0</v>
      </c>
      <c r="G223" s="26">
        <f t="shared" ref="G223:H223" si="543">SUM(G224:G225)</f>
        <v>0</v>
      </c>
      <c r="H223" s="26">
        <f t="shared" si="543"/>
        <v>0</v>
      </c>
      <c r="I223" s="26">
        <f t="shared" si="485"/>
        <v>0</v>
      </c>
      <c r="J223" s="26">
        <f t="shared" ref="J223:K223" si="544">SUM(J224:J225)</f>
        <v>0</v>
      </c>
      <c r="K223" s="26">
        <f t="shared" si="544"/>
        <v>0</v>
      </c>
      <c r="L223" s="26">
        <f t="shared" si="487"/>
        <v>0</v>
      </c>
      <c r="M223" s="26">
        <f t="shared" ref="M223:N223" si="545">SUM(M224:M225)</f>
        <v>0</v>
      </c>
      <c r="N223" s="26">
        <f t="shared" si="545"/>
        <v>0</v>
      </c>
      <c r="O223" s="26">
        <f t="shared" si="489"/>
        <v>0</v>
      </c>
      <c r="P223" s="26">
        <f t="shared" ref="P223:Q223" si="546">SUM(P224:P225)</f>
        <v>0</v>
      </c>
      <c r="Q223" s="26">
        <f t="shared" si="546"/>
        <v>0</v>
      </c>
      <c r="R223" s="26">
        <f t="shared" si="491"/>
        <v>0</v>
      </c>
      <c r="S223" s="26">
        <f t="shared" ref="S223:T223" si="547">SUM(S224:S225)</f>
        <v>0</v>
      </c>
      <c r="T223" s="26">
        <f t="shared" si="547"/>
        <v>0</v>
      </c>
      <c r="U223" s="29"/>
      <c r="V223" s="5" t="str">
        <f t="shared" si="493"/>
        <v>-</v>
      </c>
    </row>
    <row r="224" spans="1:22" ht="25.15" customHeight="1" x14ac:dyDescent="0.6">
      <c r="A224" s="30" t="s">
        <v>7</v>
      </c>
      <c r="B224" s="22"/>
      <c r="C224" s="22">
        <f t="shared" si="482"/>
        <v>0</v>
      </c>
      <c r="D224" s="22"/>
      <c r="E224" s="22"/>
      <c r="F224" s="22">
        <f t="shared" si="483"/>
        <v>0</v>
      </c>
      <c r="G224" s="22"/>
      <c r="H224" s="22"/>
      <c r="I224" s="22">
        <f t="shared" si="485"/>
        <v>0</v>
      </c>
      <c r="J224" s="22"/>
      <c r="K224" s="22"/>
      <c r="L224" s="22">
        <f t="shared" si="487"/>
        <v>0</v>
      </c>
      <c r="M224" s="22"/>
      <c r="N224" s="22"/>
      <c r="O224" s="22">
        <f t="shared" si="489"/>
        <v>0</v>
      </c>
      <c r="P224" s="22"/>
      <c r="Q224" s="22"/>
      <c r="R224" s="22">
        <f t="shared" si="491"/>
        <v>0</v>
      </c>
      <c r="S224" s="22"/>
      <c r="T224" s="22"/>
      <c r="U224" s="14"/>
      <c r="V224" s="5" t="str">
        <f t="shared" si="493"/>
        <v>-</v>
      </c>
    </row>
    <row r="225" spans="1:22" ht="25.15" customHeight="1" x14ac:dyDescent="0.6">
      <c r="A225" s="30" t="s">
        <v>8</v>
      </c>
      <c r="B225" s="22"/>
      <c r="C225" s="22">
        <f t="shared" si="482"/>
        <v>0</v>
      </c>
      <c r="D225" s="22"/>
      <c r="E225" s="22"/>
      <c r="F225" s="22">
        <f t="shared" si="483"/>
        <v>0</v>
      </c>
      <c r="G225" s="22"/>
      <c r="H225" s="22"/>
      <c r="I225" s="22">
        <f t="shared" si="485"/>
        <v>0</v>
      </c>
      <c r="J225" s="22"/>
      <c r="K225" s="22"/>
      <c r="L225" s="22">
        <f t="shared" si="487"/>
        <v>0</v>
      </c>
      <c r="M225" s="22"/>
      <c r="N225" s="22"/>
      <c r="O225" s="22">
        <f t="shared" si="489"/>
        <v>0</v>
      </c>
      <c r="P225" s="22"/>
      <c r="Q225" s="22"/>
      <c r="R225" s="22">
        <f t="shared" si="491"/>
        <v>0</v>
      </c>
      <c r="S225" s="22"/>
      <c r="T225" s="22"/>
      <c r="U225" s="14"/>
      <c r="V225" s="5" t="str">
        <f t="shared" si="493"/>
        <v>-</v>
      </c>
    </row>
    <row r="226" spans="1:22" ht="25.15" customHeight="1" x14ac:dyDescent="0.6">
      <c r="A226" s="25" t="s">
        <v>9</v>
      </c>
      <c r="B226" s="26">
        <f>B227+B230</f>
        <v>0</v>
      </c>
      <c r="C226" s="26">
        <f t="shared" si="482"/>
        <v>0</v>
      </c>
      <c r="D226" s="26">
        <f>D227+D230</f>
        <v>0</v>
      </c>
      <c r="E226" s="26">
        <f>E227+E230</f>
        <v>0</v>
      </c>
      <c r="F226" s="26">
        <f t="shared" si="483"/>
        <v>0</v>
      </c>
      <c r="G226" s="26">
        <f t="shared" ref="G226:H226" si="548">G227+G230</f>
        <v>0</v>
      </c>
      <c r="H226" s="26">
        <f t="shared" si="548"/>
        <v>0</v>
      </c>
      <c r="I226" s="26">
        <f t="shared" si="485"/>
        <v>0</v>
      </c>
      <c r="J226" s="26">
        <f t="shared" ref="J226:K226" si="549">J227+J230</f>
        <v>0</v>
      </c>
      <c r="K226" s="26">
        <f t="shared" si="549"/>
        <v>0</v>
      </c>
      <c r="L226" s="26">
        <f t="shared" si="487"/>
        <v>0</v>
      </c>
      <c r="M226" s="26">
        <f t="shared" ref="M226:N226" si="550">M227+M230</f>
        <v>0</v>
      </c>
      <c r="N226" s="26">
        <f t="shared" si="550"/>
        <v>0</v>
      </c>
      <c r="O226" s="26">
        <f t="shared" si="489"/>
        <v>0</v>
      </c>
      <c r="P226" s="26">
        <f t="shared" ref="P226:Q226" si="551">P227+P230</f>
        <v>0</v>
      </c>
      <c r="Q226" s="26">
        <f t="shared" si="551"/>
        <v>0</v>
      </c>
      <c r="R226" s="26">
        <f t="shared" si="491"/>
        <v>0</v>
      </c>
      <c r="S226" s="26">
        <f t="shared" ref="S226:T226" si="552">S227+S230</f>
        <v>0</v>
      </c>
      <c r="T226" s="26">
        <f t="shared" si="552"/>
        <v>0</v>
      </c>
      <c r="U226" s="27"/>
      <c r="V226" s="5" t="str">
        <f t="shared" si="493"/>
        <v>-</v>
      </c>
    </row>
    <row r="227" spans="1:22" ht="25.15" customHeight="1" x14ac:dyDescent="0.6">
      <c r="A227" s="28" t="s">
        <v>3</v>
      </c>
      <c r="B227" s="26">
        <f>SUM(B228:B229)</f>
        <v>0</v>
      </c>
      <c r="C227" s="26">
        <f t="shared" si="482"/>
        <v>0</v>
      </c>
      <c r="D227" s="26">
        <f>SUM(D228:D229)</f>
        <v>0</v>
      </c>
      <c r="E227" s="26">
        <f>SUM(E228:E229)</f>
        <v>0</v>
      </c>
      <c r="F227" s="26">
        <f t="shared" si="483"/>
        <v>0</v>
      </c>
      <c r="G227" s="26">
        <f t="shared" ref="G227:H227" si="553">SUM(G228:G229)</f>
        <v>0</v>
      </c>
      <c r="H227" s="26">
        <f t="shared" si="553"/>
        <v>0</v>
      </c>
      <c r="I227" s="26">
        <f t="shared" si="485"/>
        <v>0</v>
      </c>
      <c r="J227" s="26">
        <f t="shared" ref="J227:K227" si="554">SUM(J228:J229)</f>
        <v>0</v>
      </c>
      <c r="K227" s="26">
        <f t="shared" si="554"/>
        <v>0</v>
      </c>
      <c r="L227" s="26">
        <f t="shared" si="487"/>
        <v>0</v>
      </c>
      <c r="M227" s="26">
        <f t="shared" ref="M227:N227" si="555">SUM(M228:M229)</f>
        <v>0</v>
      </c>
      <c r="N227" s="26">
        <f t="shared" si="555"/>
        <v>0</v>
      </c>
      <c r="O227" s="26">
        <f t="shared" si="489"/>
        <v>0</v>
      </c>
      <c r="P227" s="26">
        <f t="shared" ref="P227:Q227" si="556">SUM(P228:P229)</f>
        <v>0</v>
      </c>
      <c r="Q227" s="26">
        <f t="shared" si="556"/>
        <v>0</v>
      </c>
      <c r="R227" s="26">
        <f t="shared" si="491"/>
        <v>0</v>
      </c>
      <c r="S227" s="26">
        <f t="shared" ref="S227:T227" si="557">SUM(S228:S229)</f>
        <v>0</v>
      </c>
      <c r="T227" s="26">
        <f t="shared" si="557"/>
        <v>0</v>
      </c>
      <c r="U227" s="29"/>
      <c r="V227" s="5" t="str">
        <f t="shared" si="493"/>
        <v>-</v>
      </c>
    </row>
    <row r="228" spans="1:22" ht="25.15" customHeight="1" x14ac:dyDescent="0.6">
      <c r="A228" s="30" t="s">
        <v>5</v>
      </c>
      <c r="B228" s="22"/>
      <c r="C228" s="22">
        <f t="shared" si="482"/>
        <v>0</v>
      </c>
      <c r="D228" s="22"/>
      <c r="E228" s="22"/>
      <c r="F228" s="22">
        <f t="shared" si="483"/>
        <v>0</v>
      </c>
      <c r="G228" s="22"/>
      <c r="H228" s="22"/>
      <c r="I228" s="22">
        <f t="shared" si="485"/>
        <v>0</v>
      </c>
      <c r="J228" s="22"/>
      <c r="K228" s="22"/>
      <c r="L228" s="22">
        <f t="shared" si="487"/>
        <v>0</v>
      </c>
      <c r="M228" s="22"/>
      <c r="N228" s="22"/>
      <c r="O228" s="22">
        <f t="shared" si="489"/>
        <v>0</v>
      </c>
      <c r="P228" s="22"/>
      <c r="Q228" s="22"/>
      <c r="R228" s="22">
        <f t="shared" si="491"/>
        <v>0</v>
      </c>
      <c r="S228" s="22"/>
      <c r="T228" s="22"/>
      <c r="U228" s="14"/>
      <c r="V228" s="5" t="str">
        <f t="shared" si="493"/>
        <v>-</v>
      </c>
    </row>
    <row r="229" spans="1:22" ht="25.15" customHeight="1" x14ac:dyDescent="0.6">
      <c r="A229" s="30" t="s">
        <v>6</v>
      </c>
      <c r="B229" s="22"/>
      <c r="C229" s="22">
        <f t="shared" si="482"/>
        <v>0</v>
      </c>
      <c r="D229" s="22"/>
      <c r="E229" s="22"/>
      <c r="F229" s="22">
        <f t="shared" si="483"/>
        <v>0</v>
      </c>
      <c r="G229" s="22"/>
      <c r="H229" s="22"/>
      <c r="I229" s="22">
        <f t="shared" si="485"/>
        <v>0</v>
      </c>
      <c r="J229" s="22"/>
      <c r="K229" s="22"/>
      <c r="L229" s="22">
        <f t="shared" si="487"/>
        <v>0</v>
      </c>
      <c r="M229" s="22"/>
      <c r="N229" s="22"/>
      <c r="O229" s="22">
        <f t="shared" si="489"/>
        <v>0</v>
      </c>
      <c r="P229" s="22"/>
      <c r="Q229" s="22"/>
      <c r="R229" s="22">
        <f t="shared" si="491"/>
        <v>0</v>
      </c>
      <c r="S229" s="22"/>
      <c r="T229" s="22"/>
      <c r="U229" s="14"/>
      <c r="V229" s="5" t="str">
        <f t="shared" si="493"/>
        <v>-</v>
      </c>
    </row>
    <row r="230" spans="1:22" ht="25.15" customHeight="1" x14ac:dyDescent="0.6">
      <c r="A230" s="28" t="s">
        <v>4</v>
      </c>
      <c r="B230" s="26">
        <f>SUM(B231:B232)</f>
        <v>0</v>
      </c>
      <c r="C230" s="26">
        <f t="shared" si="482"/>
        <v>0</v>
      </c>
      <c r="D230" s="26">
        <f>SUM(D231:D232)</f>
        <v>0</v>
      </c>
      <c r="E230" s="26">
        <f>SUM(E231:E232)</f>
        <v>0</v>
      </c>
      <c r="F230" s="26">
        <f t="shared" si="483"/>
        <v>0</v>
      </c>
      <c r="G230" s="26">
        <f t="shared" ref="G230:H230" si="558">SUM(G231:G232)</f>
        <v>0</v>
      </c>
      <c r="H230" s="26">
        <f t="shared" si="558"/>
        <v>0</v>
      </c>
      <c r="I230" s="26">
        <f t="shared" si="485"/>
        <v>0</v>
      </c>
      <c r="J230" s="26">
        <f t="shared" ref="J230:K230" si="559">SUM(J231:J232)</f>
        <v>0</v>
      </c>
      <c r="K230" s="26">
        <f t="shared" si="559"/>
        <v>0</v>
      </c>
      <c r="L230" s="26">
        <f t="shared" si="487"/>
        <v>0</v>
      </c>
      <c r="M230" s="26">
        <f t="shared" ref="M230:N230" si="560">SUM(M231:M232)</f>
        <v>0</v>
      </c>
      <c r="N230" s="26">
        <f t="shared" si="560"/>
        <v>0</v>
      </c>
      <c r="O230" s="26">
        <f t="shared" si="489"/>
        <v>0</v>
      </c>
      <c r="P230" s="26">
        <f t="shared" ref="P230:Q230" si="561">SUM(P231:P232)</f>
        <v>0</v>
      </c>
      <c r="Q230" s="26">
        <f t="shared" si="561"/>
        <v>0</v>
      </c>
      <c r="R230" s="26">
        <f t="shared" si="491"/>
        <v>0</v>
      </c>
      <c r="S230" s="26">
        <f t="shared" ref="S230:T230" si="562">SUM(S231:S232)</f>
        <v>0</v>
      </c>
      <c r="T230" s="26">
        <f t="shared" si="562"/>
        <v>0</v>
      </c>
      <c r="U230" s="29"/>
      <c r="V230" s="5" t="str">
        <f t="shared" si="493"/>
        <v>-</v>
      </c>
    </row>
    <row r="231" spans="1:22" ht="25.15" customHeight="1" x14ac:dyDescent="0.6">
      <c r="A231" s="30" t="s">
        <v>7</v>
      </c>
      <c r="B231" s="22"/>
      <c r="C231" s="22">
        <f t="shared" si="482"/>
        <v>0</v>
      </c>
      <c r="D231" s="22"/>
      <c r="E231" s="22"/>
      <c r="F231" s="22">
        <f t="shared" si="483"/>
        <v>0</v>
      </c>
      <c r="G231" s="22"/>
      <c r="H231" s="22"/>
      <c r="I231" s="22">
        <f t="shared" si="485"/>
        <v>0</v>
      </c>
      <c r="J231" s="22"/>
      <c r="K231" s="22"/>
      <c r="L231" s="22">
        <f t="shared" si="487"/>
        <v>0</v>
      </c>
      <c r="M231" s="22"/>
      <c r="N231" s="22"/>
      <c r="O231" s="22">
        <f t="shared" si="489"/>
        <v>0</v>
      </c>
      <c r="P231" s="22"/>
      <c r="Q231" s="22"/>
      <c r="R231" s="22">
        <f t="shared" si="491"/>
        <v>0</v>
      </c>
      <c r="S231" s="22"/>
      <c r="T231" s="22"/>
      <c r="U231" s="14"/>
      <c r="V231" s="5" t="str">
        <f t="shared" si="493"/>
        <v>-</v>
      </c>
    </row>
    <row r="232" spans="1:22" ht="25.15" customHeight="1" x14ac:dyDescent="0.6">
      <c r="A232" s="30" t="s">
        <v>8</v>
      </c>
      <c r="B232" s="22"/>
      <c r="C232" s="22">
        <f t="shared" si="482"/>
        <v>0</v>
      </c>
      <c r="D232" s="22"/>
      <c r="E232" s="22"/>
      <c r="F232" s="22">
        <f t="shared" si="483"/>
        <v>0</v>
      </c>
      <c r="G232" s="22"/>
      <c r="H232" s="22"/>
      <c r="I232" s="22">
        <f t="shared" si="485"/>
        <v>0</v>
      </c>
      <c r="J232" s="22"/>
      <c r="K232" s="22"/>
      <c r="L232" s="22">
        <f t="shared" si="487"/>
        <v>0</v>
      </c>
      <c r="M232" s="22"/>
      <c r="N232" s="22"/>
      <c r="O232" s="22">
        <f t="shared" si="489"/>
        <v>0</v>
      </c>
      <c r="P232" s="22"/>
      <c r="Q232" s="22"/>
      <c r="R232" s="22">
        <f t="shared" si="491"/>
        <v>0</v>
      </c>
      <c r="S232" s="22"/>
      <c r="T232" s="22"/>
      <c r="U232" s="14"/>
      <c r="V232" s="5" t="str">
        <f t="shared" si="493"/>
        <v>-</v>
      </c>
    </row>
    <row r="233" spans="1:22" ht="25.15" customHeight="1" x14ac:dyDescent="0.6">
      <c r="A233" s="17" t="s">
        <v>41</v>
      </c>
      <c r="B233" s="21">
        <f>B234</f>
        <v>0</v>
      </c>
      <c r="C233" s="21">
        <f>D233+E233</f>
        <v>6230</v>
      </c>
      <c r="D233" s="21">
        <f>D234+D249+D264+D279+D294+D309+D324</f>
        <v>0</v>
      </c>
      <c r="E233" s="21">
        <f>E234+E249+E264+E279+E294+E309+E324</f>
        <v>6230</v>
      </c>
      <c r="F233" s="21">
        <f>G233+H233</f>
        <v>3987.2</v>
      </c>
      <c r="G233" s="21">
        <f t="shared" ref="G233:H233" si="563">G234+G249+G264+G279+G294+G309+G324</f>
        <v>0</v>
      </c>
      <c r="H233" s="21">
        <f t="shared" si="563"/>
        <v>3987.2</v>
      </c>
      <c r="I233" s="21">
        <f>J233+K233</f>
        <v>0</v>
      </c>
      <c r="J233" s="21">
        <f t="shared" ref="J233:K233" si="564">J234+J249+J264+J279+J294+J309+J324</f>
        <v>0</v>
      </c>
      <c r="K233" s="21">
        <f t="shared" si="564"/>
        <v>0</v>
      </c>
      <c r="L233" s="21">
        <f>M233+N233</f>
        <v>0</v>
      </c>
      <c r="M233" s="21">
        <f t="shared" ref="M233:N233" si="565">M234+M249+M264+M279+M294+M309+M324</f>
        <v>0</v>
      </c>
      <c r="N233" s="21">
        <f t="shared" si="565"/>
        <v>0</v>
      </c>
      <c r="O233" s="21">
        <f>P233+Q233</f>
        <v>0</v>
      </c>
      <c r="P233" s="21">
        <f t="shared" ref="P233:Q233" si="566">P234+P249+P264+P279+P294+P309+P324</f>
        <v>0</v>
      </c>
      <c r="Q233" s="21">
        <f t="shared" si="566"/>
        <v>0</v>
      </c>
      <c r="R233" s="21">
        <f>S233+T233</f>
        <v>0</v>
      </c>
      <c r="S233" s="21">
        <f t="shared" ref="S233:T233" si="567">S234+S249+S264+S279+S294+S309+S324</f>
        <v>0</v>
      </c>
      <c r="T233" s="21">
        <f t="shared" si="567"/>
        <v>0</v>
      </c>
      <c r="U233" s="19"/>
      <c r="V233" s="5" t="str">
        <f>IF((B233+C233+F233+L233+O233)&lt;&gt;0,"ok","-")</f>
        <v>ok</v>
      </c>
    </row>
    <row r="234" spans="1:22" ht="25.15" customHeight="1" x14ac:dyDescent="0.6">
      <c r="A234" s="18" t="s">
        <v>42</v>
      </c>
      <c r="B234" s="23">
        <f>B235+B242</f>
        <v>0</v>
      </c>
      <c r="C234" s="23">
        <f t="shared" ref="C234:C297" si="568">D234+E234</f>
        <v>6230</v>
      </c>
      <c r="D234" s="23">
        <f>D235+D242</f>
        <v>0</v>
      </c>
      <c r="E234" s="23">
        <f>E235+E242</f>
        <v>6230</v>
      </c>
      <c r="F234" s="23">
        <f t="shared" ref="F234:F297" si="569">G234+H234</f>
        <v>3987.2</v>
      </c>
      <c r="G234" s="23">
        <f t="shared" ref="G234:H234" si="570">G235+G242</f>
        <v>0</v>
      </c>
      <c r="H234" s="23">
        <f t="shared" si="570"/>
        <v>3987.2</v>
      </c>
      <c r="I234" s="23">
        <f t="shared" ref="I234:I297" si="571">J234+K234</f>
        <v>0</v>
      </c>
      <c r="J234" s="23">
        <f t="shared" ref="J234:K234" si="572">J235+J242</f>
        <v>0</v>
      </c>
      <c r="K234" s="23">
        <f t="shared" si="572"/>
        <v>0</v>
      </c>
      <c r="L234" s="23">
        <f t="shared" ref="L234:L297" si="573">M234+N234</f>
        <v>0</v>
      </c>
      <c r="M234" s="23">
        <f t="shared" ref="M234:N234" si="574">M235+M242</f>
        <v>0</v>
      </c>
      <c r="N234" s="23">
        <f t="shared" si="574"/>
        <v>0</v>
      </c>
      <c r="O234" s="23">
        <f t="shared" ref="O234:O297" si="575">P234+Q234</f>
        <v>0</v>
      </c>
      <c r="P234" s="23">
        <f t="shared" ref="P234:Q234" si="576">P235+P242</f>
        <v>0</v>
      </c>
      <c r="Q234" s="23">
        <f t="shared" si="576"/>
        <v>0</v>
      </c>
      <c r="R234" s="23">
        <f t="shared" ref="R234:R297" si="577">S234+T234</f>
        <v>0</v>
      </c>
      <c r="S234" s="23">
        <f t="shared" ref="S234:T234" si="578">S235+S242</f>
        <v>0</v>
      </c>
      <c r="T234" s="23">
        <f t="shared" si="578"/>
        <v>0</v>
      </c>
      <c r="U234" s="20"/>
      <c r="V234" s="5" t="str">
        <f t="shared" ref="V234:V297" si="579">IF((B234+C234+F234+L234+O234)&lt;&gt;0,"ok","-")</f>
        <v>ok</v>
      </c>
    </row>
    <row r="235" spans="1:22" ht="25.15" customHeight="1" x14ac:dyDescent="0.6">
      <c r="A235" s="25" t="s">
        <v>2</v>
      </c>
      <c r="B235" s="26">
        <f>B236+B239</f>
        <v>0</v>
      </c>
      <c r="C235" s="26">
        <f t="shared" si="568"/>
        <v>6230</v>
      </c>
      <c r="D235" s="26">
        <f>D236+D239</f>
        <v>0</v>
      </c>
      <c r="E235" s="26">
        <f>E236+E239</f>
        <v>6230</v>
      </c>
      <c r="F235" s="26">
        <f t="shared" si="569"/>
        <v>3987.2</v>
      </c>
      <c r="G235" s="26">
        <f t="shared" ref="G235:H235" si="580">G236+G239</f>
        <v>0</v>
      </c>
      <c r="H235" s="26">
        <f t="shared" si="580"/>
        <v>3987.2</v>
      </c>
      <c r="I235" s="26">
        <f t="shared" si="571"/>
        <v>0</v>
      </c>
      <c r="J235" s="26">
        <f t="shared" ref="J235:K235" si="581">J236+J239</f>
        <v>0</v>
      </c>
      <c r="K235" s="26">
        <f t="shared" si="581"/>
        <v>0</v>
      </c>
      <c r="L235" s="26">
        <f t="shared" si="573"/>
        <v>0</v>
      </c>
      <c r="M235" s="26">
        <f t="shared" ref="M235:N235" si="582">M236+M239</f>
        <v>0</v>
      </c>
      <c r="N235" s="26">
        <f t="shared" si="582"/>
        <v>0</v>
      </c>
      <c r="O235" s="26">
        <f t="shared" si="575"/>
        <v>0</v>
      </c>
      <c r="P235" s="26">
        <f t="shared" ref="P235:Q235" si="583">P236+P239</f>
        <v>0</v>
      </c>
      <c r="Q235" s="26">
        <f t="shared" si="583"/>
        <v>0</v>
      </c>
      <c r="R235" s="26">
        <f t="shared" si="577"/>
        <v>0</v>
      </c>
      <c r="S235" s="26">
        <f t="shared" ref="S235:T235" si="584">S236+S239</f>
        <v>0</v>
      </c>
      <c r="T235" s="26">
        <f t="shared" si="584"/>
        <v>0</v>
      </c>
      <c r="U235" s="27"/>
      <c r="V235" s="5" t="str">
        <f t="shared" si="579"/>
        <v>ok</v>
      </c>
    </row>
    <row r="236" spans="1:22" ht="25.15" customHeight="1" x14ac:dyDescent="0.6">
      <c r="A236" s="28" t="s">
        <v>3</v>
      </c>
      <c r="B236" s="26">
        <f>SUM(B237:B238)</f>
        <v>0</v>
      </c>
      <c r="C236" s="26">
        <f t="shared" si="568"/>
        <v>6230</v>
      </c>
      <c r="D236" s="26">
        <f>SUM(D237:D238)</f>
        <v>0</v>
      </c>
      <c r="E236" s="26">
        <f>SUM(E237:E238)</f>
        <v>6230</v>
      </c>
      <c r="F236" s="26">
        <f t="shared" si="569"/>
        <v>3987.2</v>
      </c>
      <c r="G236" s="26">
        <f t="shared" ref="G236:H236" si="585">SUM(G237:G238)</f>
        <v>0</v>
      </c>
      <c r="H236" s="26">
        <f t="shared" si="585"/>
        <v>3987.2</v>
      </c>
      <c r="I236" s="26">
        <f t="shared" si="571"/>
        <v>0</v>
      </c>
      <c r="J236" s="26">
        <f t="shared" ref="J236:K236" si="586">SUM(J237:J238)</f>
        <v>0</v>
      </c>
      <c r="K236" s="26">
        <f t="shared" si="586"/>
        <v>0</v>
      </c>
      <c r="L236" s="26">
        <f t="shared" si="573"/>
        <v>0</v>
      </c>
      <c r="M236" s="26">
        <f t="shared" ref="M236:N236" si="587">SUM(M237:M238)</f>
        <v>0</v>
      </c>
      <c r="N236" s="26">
        <f t="shared" si="587"/>
        <v>0</v>
      </c>
      <c r="O236" s="26">
        <f t="shared" si="575"/>
        <v>0</v>
      </c>
      <c r="P236" s="26">
        <f t="shared" ref="P236:Q236" si="588">SUM(P237:P238)</f>
        <v>0</v>
      </c>
      <c r="Q236" s="26">
        <f t="shared" si="588"/>
        <v>0</v>
      </c>
      <c r="R236" s="26">
        <f t="shared" si="577"/>
        <v>0</v>
      </c>
      <c r="S236" s="26">
        <f t="shared" ref="S236:T236" si="589">SUM(S237:S238)</f>
        <v>0</v>
      </c>
      <c r="T236" s="26">
        <f t="shared" si="589"/>
        <v>0</v>
      </c>
      <c r="U236" s="29"/>
      <c r="V236" s="5" t="str">
        <f t="shared" si="579"/>
        <v>ok</v>
      </c>
    </row>
    <row r="237" spans="1:22" ht="25.25" x14ac:dyDescent="0.6">
      <c r="A237" s="30" t="s">
        <v>59</v>
      </c>
      <c r="B237" s="22"/>
      <c r="C237" s="22">
        <f t="shared" si="568"/>
        <v>6230</v>
      </c>
      <c r="D237" s="22"/>
      <c r="E237" s="22">
        <v>6230</v>
      </c>
      <c r="F237" s="22">
        <f t="shared" si="569"/>
        <v>3987.2</v>
      </c>
      <c r="G237" s="22"/>
      <c r="H237" s="22">
        <v>3987.2</v>
      </c>
      <c r="I237" s="22">
        <f t="shared" si="571"/>
        <v>0</v>
      </c>
      <c r="J237" s="22"/>
      <c r="K237" s="22"/>
      <c r="L237" s="22">
        <f t="shared" si="573"/>
        <v>0</v>
      </c>
      <c r="M237" s="22"/>
      <c r="N237" s="22"/>
      <c r="O237" s="22">
        <f t="shared" si="575"/>
        <v>0</v>
      </c>
      <c r="P237" s="22"/>
      <c r="Q237" s="22"/>
      <c r="R237" s="22">
        <f t="shared" si="577"/>
        <v>0</v>
      </c>
      <c r="S237" s="22"/>
      <c r="T237" s="22"/>
      <c r="U237" s="14"/>
      <c r="V237" s="5" t="str">
        <f t="shared" si="579"/>
        <v>ok</v>
      </c>
    </row>
    <row r="238" spans="1:22" ht="25.5" customHeight="1" x14ac:dyDescent="0.6">
      <c r="A238" s="30" t="s">
        <v>6</v>
      </c>
      <c r="B238" s="22"/>
      <c r="C238" s="22">
        <f t="shared" si="568"/>
        <v>0</v>
      </c>
      <c r="D238" s="22"/>
      <c r="E238" s="22"/>
      <c r="F238" s="22">
        <f t="shared" si="569"/>
        <v>0</v>
      </c>
      <c r="G238" s="22"/>
      <c r="H238" s="22"/>
      <c r="I238" s="22">
        <f t="shared" si="571"/>
        <v>0</v>
      </c>
      <c r="J238" s="22"/>
      <c r="K238" s="22"/>
      <c r="L238" s="22">
        <f t="shared" si="573"/>
        <v>0</v>
      </c>
      <c r="M238" s="22"/>
      <c r="N238" s="22"/>
      <c r="O238" s="22">
        <f t="shared" si="575"/>
        <v>0</v>
      </c>
      <c r="P238" s="22"/>
      <c r="Q238" s="22"/>
      <c r="R238" s="22">
        <f t="shared" si="577"/>
        <v>0</v>
      </c>
      <c r="S238" s="22"/>
      <c r="T238" s="22"/>
      <c r="U238" s="14"/>
      <c r="V238" s="5" t="str">
        <f t="shared" si="579"/>
        <v>-</v>
      </c>
    </row>
    <row r="239" spans="1:22" ht="25.15" customHeight="1" x14ac:dyDescent="0.6">
      <c r="A239" s="28" t="s">
        <v>4</v>
      </c>
      <c r="B239" s="26">
        <f>SUM(B240:B241)</f>
        <v>0</v>
      </c>
      <c r="C239" s="26">
        <f t="shared" si="568"/>
        <v>0</v>
      </c>
      <c r="D239" s="26">
        <f>SUM(D240:D241)</f>
        <v>0</v>
      </c>
      <c r="E239" s="26">
        <f>SUM(E240:E241)</f>
        <v>0</v>
      </c>
      <c r="F239" s="26">
        <f t="shared" si="569"/>
        <v>0</v>
      </c>
      <c r="G239" s="26">
        <f t="shared" ref="G239:H239" si="590">SUM(G240:G241)</f>
        <v>0</v>
      </c>
      <c r="H239" s="26">
        <f t="shared" si="590"/>
        <v>0</v>
      </c>
      <c r="I239" s="26">
        <f t="shared" si="571"/>
        <v>0</v>
      </c>
      <c r="J239" s="26">
        <f t="shared" ref="J239:K239" si="591">SUM(J240:J241)</f>
        <v>0</v>
      </c>
      <c r="K239" s="26">
        <f t="shared" si="591"/>
        <v>0</v>
      </c>
      <c r="L239" s="26">
        <f t="shared" si="573"/>
        <v>0</v>
      </c>
      <c r="M239" s="26">
        <f t="shared" ref="M239:N239" si="592">SUM(M240:M241)</f>
        <v>0</v>
      </c>
      <c r="N239" s="26">
        <f t="shared" si="592"/>
        <v>0</v>
      </c>
      <c r="O239" s="26">
        <f t="shared" si="575"/>
        <v>0</v>
      </c>
      <c r="P239" s="26">
        <f t="shared" ref="P239:Q239" si="593">SUM(P240:P241)</f>
        <v>0</v>
      </c>
      <c r="Q239" s="26">
        <f t="shared" si="593"/>
        <v>0</v>
      </c>
      <c r="R239" s="26">
        <f t="shared" si="577"/>
        <v>0</v>
      </c>
      <c r="S239" s="26">
        <f t="shared" ref="S239:T239" si="594">SUM(S240:S241)</f>
        <v>0</v>
      </c>
      <c r="T239" s="26">
        <f t="shared" si="594"/>
        <v>0</v>
      </c>
      <c r="U239" s="29"/>
      <c r="V239" s="5" t="str">
        <f t="shared" si="579"/>
        <v>-</v>
      </c>
    </row>
    <row r="240" spans="1:22" ht="25.15" customHeight="1" x14ac:dyDescent="0.6">
      <c r="A240" s="30" t="s">
        <v>7</v>
      </c>
      <c r="B240" s="22"/>
      <c r="C240" s="22">
        <f t="shared" si="568"/>
        <v>0</v>
      </c>
      <c r="D240" s="22"/>
      <c r="E240" s="22"/>
      <c r="F240" s="22">
        <f t="shared" si="569"/>
        <v>0</v>
      </c>
      <c r="G240" s="22"/>
      <c r="H240" s="22"/>
      <c r="I240" s="22">
        <f t="shared" si="571"/>
        <v>0</v>
      </c>
      <c r="J240" s="22"/>
      <c r="K240" s="22"/>
      <c r="L240" s="22">
        <f t="shared" si="573"/>
        <v>0</v>
      </c>
      <c r="M240" s="22"/>
      <c r="N240" s="22"/>
      <c r="O240" s="22">
        <f t="shared" si="575"/>
        <v>0</v>
      </c>
      <c r="P240" s="22"/>
      <c r="Q240" s="22"/>
      <c r="R240" s="22">
        <f t="shared" si="577"/>
        <v>0</v>
      </c>
      <c r="S240" s="22"/>
      <c r="T240" s="22"/>
      <c r="U240" s="14"/>
      <c r="V240" s="5" t="str">
        <f t="shared" si="579"/>
        <v>-</v>
      </c>
    </row>
    <row r="241" spans="1:22" ht="25.15" customHeight="1" x14ac:dyDescent="0.6">
      <c r="A241" s="30" t="s">
        <v>8</v>
      </c>
      <c r="B241" s="22"/>
      <c r="C241" s="22">
        <f t="shared" si="568"/>
        <v>0</v>
      </c>
      <c r="D241" s="22"/>
      <c r="E241" s="22"/>
      <c r="F241" s="22">
        <f t="shared" si="569"/>
        <v>0</v>
      </c>
      <c r="G241" s="22"/>
      <c r="H241" s="22"/>
      <c r="I241" s="22">
        <f t="shared" si="571"/>
        <v>0</v>
      </c>
      <c r="J241" s="22"/>
      <c r="K241" s="22"/>
      <c r="L241" s="22">
        <f t="shared" si="573"/>
        <v>0</v>
      </c>
      <c r="M241" s="22"/>
      <c r="N241" s="22"/>
      <c r="O241" s="22">
        <f t="shared" si="575"/>
        <v>0</v>
      </c>
      <c r="P241" s="22"/>
      <c r="Q241" s="22"/>
      <c r="R241" s="22">
        <f t="shared" si="577"/>
        <v>0</v>
      </c>
      <c r="S241" s="22"/>
      <c r="T241" s="22"/>
      <c r="U241" s="14"/>
      <c r="V241" s="5" t="str">
        <f t="shared" si="579"/>
        <v>-</v>
      </c>
    </row>
    <row r="242" spans="1:22" ht="25.15" customHeight="1" x14ac:dyDescent="0.6">
      <c r="A242" s="25" t="s">
        <v>9</v>
      </c>
      <c r="B242" s="26">
        <f>B243+B246</f>
        <v>0</v>
      </c>
      <c r="C242" s="26">
        <f t="shared" si="568"/>
        <v>0</v>
      </c>
      <c r="D242" s="26">
        <f>D243+D246</f>
        <v>0</v>
      </c>
      <c r="E242" s="26">
        <f>E243+E246</f>
        <v>0</v>
      </c>
      <c r="F242" s="26">
        <f t="shared" si="569"/>
        <v>0</v>
      </c>
      <c r="G242" s="26">
        <f t="shared" ref="G242:H242" si="595">G243+G246</f>
        <v>0</v>
      </c>
      <c r="H242" s="26">
        <f t="shared" si="595"/>
        <v>0</v>
      </c>
      <c r="I242" s="26">
        <f t="shared" si="571"/>
        <v>0</v>
      </c>
      <c r="J242" s="26">
        <f t="shared" ref="J242:K242" si="596">J243+J246</f>
        <v>0</v>
      </c>
      <c r="K242" s="26">
        <f t="shared" si="596"/>
        <v>0</v>
      </c>
      <c r="L242" s="26">
        <f t="shared" si="573"/>
        <v>0</v>
      </c>
      <c r="M242" s="26">
        <f t="shared" ref="M242:N242" si="597">M243+M246</f>
        <v>0</v>
      </c>
      <c r="N242" s="26">
        <f t="shared" si="597"/>
        <v>0</v>
      </c>
      <c r="O242" s="26">
        <f t="shared" si="575"/>
        <v>0</v>
      </c>
      <c r="P242" s="26">
        <f t="shared" ref="P242:Q242" si="598">P243+P246</f>
        <v>0</v>
      </c>
      <c r="Q242" s="26">
        <f t="shared" si="598"/>
        <v>0</v>
      </c>
      <c r="R242" s="26">
        <f t="shared" si="577"/>
        <v>0</v>
      </c>
      <c r="S242" s="26">
        <f t="shared" ref="S242:T242" si="599">S243+S246</f>
        <v>0</v>
      </c>
      <c r="T242" s="26">
        <f t="shared" si="599"/>
        <v>0</v>
      </c>
      <c r="U242" s="27"/>
      <c r="V242" s="5" t="str">
        <f t="shared" si="579"/>
        <v>-</v>
      </c>
    </row>
    <row r="243" spans="1:22" ht="25.15" customHeight="1" x14ac:dyDescent="0.6">
      <c r="A243" s="28" t="s">
        <v>3</v>
      </c>
      <c r="B243" s="26">
        <f>SUM(B244:B245)</f>
        <v>0</v>
      </c>
      <c r="C243" s="26">
        <f t="shared" si="568"/>
        <v>0</v>
      </c>
      <c r="D243" s="26">
        <f>SUM(D244:D245)</f>
        <v>0</v>
      </c>
      <c r="E243" s="26">
        <f>SUM(E244:E245)</f>
        <v>0</v>
      </c>
      <c r="F243" s="26">
        <f t="shared" si="569"/>
        <v>0</v>
      </c>
      <c r="G243" s="26">
        <f t="shared" ref="G243:H243" si="600">SUM(G244:G245)</f>
        <v>0</v>
      </c>
      <c r="H243" s="26">
        <f t="shared" si="600"/>
        <v>0</v>
      </c>
      <c r="I243" s="26">
        <f t="shared" si="571"/>
        <v>0</v>
      </c>
      <c r="J243" s="26">
        <f t="shared" ref="J243:K243" si="601">SUM(J244:J245)</f>
        <v>0</v>
      </c>
      <c r="K243" s="26">
        <f t="shared" si="601"/>
        <v>0</v>
      </c>
      <c r="L243" s="26">
        <f t="shared" si="573"/>
        <v>0</v>
      </c>
      <c r="M243" s="26">
        <f t="shared" ref="M243:N243" si="602">SUM(M244:M245)</f>
        <v>0</v>
      </c>
      <c r="N243" s="26">
        <f t="shared" si="602"/>
        <v>0</v>
      </c>
      <c r="O243" s="26">
        <f t="shared" si="575"/>
        <v>0</v>
      </c>
      <c r="P243" s="26">
        <f t="shared" ref="P243:Q243" si="603">SUM(P244:P245)</f>
        <v>0</v>
      </c>
      <c r="Q243" s="26">
        <f t="shared" si="603"/>
        <v>0</v>
      </c>
      <c r="R243" s="26">
        <f t="shared" si="577"/>
        <v>0</v>
      </c>
      <c r="S243" s="26">
        <f t="shared" ref="S243:T243" si="604">SUM(S244:S245)</f>
        <v>0</v>
      </c>
      <c r="T243" s="26">
        <f t="shared" si="604"/>
        <v>0</v>
      </c>
      <c r="U243" s="29"/>
      <c r="V243" s="5" t="str">
        <f t="shared" si="579"/>
        <v>-</v>
      </c>
    </row>
    <row r="244" spans="1:22" ht="25.15" customHeight="1" x14ac:dyDescent="0.6">
      <c r="A244" s="30" t="s">
        <v>5</v>
      </c>
      <c r="B244" s="22"/>
      <c r="C244" s="22">
        <f t="shared" si="568"/>
        <v>0</v>
      </c>
      <c r="D244" s="22"/>
      <c r="E244" s="22"/>
      <c r="F244" s="22">
        <f t="shared" si="569"/>
        <v>0</v>
      </c>
      <c r="G244" s="22"/>
      <c r="H244" s="22"/>
      <c r="I244" s="22">
        <f t="shared" si="571"/>
        <v>0</v>
      </c>
      <c r="J244" s="22"/>
      <c r="K244" s="22"/>
      <c r="L244" s="22">
        <f t="shared" si="573"/>
        <v>0</v>
      </c>
      <c r="M244" s="22"/>
      <c r="N244" s="22"/>
      <c r="O244" s="22">
        <f t="shared" si="575"/>
        <v>0</v>
      </c>
      <c r="P244" s="22"/>
      <c r="Q244" s="22"/>
      <c r="R244" s="22">
        <f t="shared" si="577"/>
        <v>0</v>
      </c>
      <c r="S244" s="22"/>
      <c r="T244" s="22"/>
      <c r="U244" s="14"/>
      <c r="V244" s="5" t="str">
        <f t="shared" si="579"/>
        <v>-</v>
      </c>
    </row>
    <row r="245" spans="1:22" ht="25.15" customHeight="1" x14ac:dyDescent="0.6">
      <c r="A245" s="30" t="s">
        <v>6</v>
      </c>
      <c r="B245" s="22"/>
      <c r="C245" s="22">
        <f t="shared" si="568"/>
        <v>0</v>
      </c>
      <c r="D245" s="22"/>
      <c r="E245" s="22"/>
      <c r="F245" s="22">
        <f t="shared" si="569"/>
        <v>0</v>
      </c>
      <c r="G245" s="22"/>
      <c r="H245" s="22"/>
      <c r="I245" s="22">
        <f t="shared" si="571"/>
        <v>0</v>
      </c>
      <c r="J245" s="22"/>
      <c r="K245" s="22"/>
      <c r="L245" s="22">
        <f t="shared" si="573"/>
        <v>0</v>
      </c>
      <c r="M245" s="22"/>
      <c r="N245" s="22"/>
      <c r="O245" s="22">
        <f t="shared" si="575"/>
        <v>0</v>
      </c>
      <c r="P245" s="22"/>
      <c r="Q245" s="22"/>
      <c r="R245" s="22">
        <f t="shared" si="577"/>
        <v>0</v>
      </c>
      <c r="S245" s="22"/>
      <c r="T245" s="22"/>
      <c r="U245" s="14"/>
      <c r="V245" s="5" t="str">
        <f t="shared" si="579"/>
        <v>-</v>
      </c>
    </row>
    <row r="246" spans="1:22" ht="25.15" customHeight="1" x14ac:dyDescent="0.6">
      <c r="A246" s="28" t="s">
        <v>4</v>
      </c>
      <c r="B246" s="26">
        <f>SUM(B247:B248)</f>
        <v>0</v>
      </c>
      <c r="C246" s="26">
        <f t="shared" si="568"/>
        <v>0</v>
      </c>
      <c r="D246" s="26">
        <f>SUM(D247:D248)</f>
        <v>0</v>
      </c>
      <c r="E246" s="26">
        <f>SUM(E247:E248)</f>
        <v>0</v>
      </c>
      <c r="F246" s="26">
        <f t="shared" si="569"/>
        <v>0</v>
      </c>
      <c r="G246" s="26">
        <f t="shared" ref="G246:H246" si="605">SUM(G247:G248)</f>
        <v>0</v>
      </c>
      <c r="H246" s="26">
        <f t="shared" si="605"/>
        <v>0</v>
      </c>
      <c r="I246" s="26">
        <f t="shared" si="571"/>
        <v>0</v>
      </c>
      <c r="J246" s="26">
        <f t="shared" ref="J246:K246" si="606">SUM(J247:J248)</f>
        <v>0</v>
      </c>
      <c r="K246" s="26">
        <f t="shared" si="606"/>
        <v>0</v>
      </c>
      <c r="L246" s="26">
        <f t="shared" si="573"/>
        <v>0</v>
      </c>
      <c r="M246" s="26">
        <f t="shared" ref="M246:N246" si="607">SUM(M247:M248)</f>
        <v>0</v>
      </c>
      <c r="N246" s="26">
        <f t="shared" si="607"/>
        <v>0</v>
      </c>
      <c r="O246" s="26">
        <f t="shared" si="575"/>
        <v>0</v>
      </c>
      <c r="P246" s="26">
        <f t="shared" ref="P246:Q246" si="608">SUM(P247:P248)</f>
        <v>0</v>
      </c>
      <c r="Q246" s="26">
        <f t="shared" si="608"/>
        <v>0</v>
      </c>
      <c r="R246" s="26">
        <f t="shared" si="577"/>
        <v>0</v>
      </c>
      <c r="S246" s="26">
        <f t="shared" ref="S246:T246" si="609">SUM(S247:S248)</f>
        <v>0</v>
      </c>
      <c r="T246" s="26">
        <f t="shared" si="609"/>
        <v>0</v>
      </c>
      <c r="U246" s="29"/>
      <c r="V246" s="5" t="str">
        <f t="shared" si="579"/>
        <v>-</v>
      </c>
    </row>
    <row r="247" spans="1:22" ht="25.15" customHeight="1" x14ac:dyDescent="0.6">
      <c r="A247" s="30" t="s">
        <v>7</v>
      </c>
      <c r="B247" s="22"/>
      <c r="C247" s="22">
        <f t="shared" si="568"/>
        <v>0</v>
      </c>
      <c r="D247" s="22"/>
      <c r="E247" s="22"/>
      <c r="F247" s="22">
        <f t="shared" si="569"/>
        <v>0</v>
      </c>
      <c r="G247" s="22"/>
      <c r="H247" s="22"/>
      <c r="I247" s="22">
        <f t="shared" si="571"/>
        <v>0</v>
      </c>
      <c r="J247" s="22"/>
      <c r="K247" s="22"/>
      <c r="L247" s="22">
        <f t="shared" si="573"/>
        <v>0</v>
      </c>
      <c r="M247" s="22"/>
      <c r="N247" s="22"/>
      <c r="O247" s="22">
        <f t="shared" si="575"/>
        <v>0</v>
      </c>
      <c r="P247" s="22"/>
      <c r="Q247" s="22"/>
      <c r="R247" s="22">
        <f t="shared" si="577"/>
        <v>0</v>
      </c>
      <c r="S247" s="22"/>
      <c r="T247" s="22"/>
      <c r="U247" s="14"/>
      <c r="V247" s="5" t="str">
        <f t="shared" si="579"/>
        <v>-</v>
      </c>
    </row>
    <row r="248" spans="1:22" ht="25.15" customHeight="1" x14ac:dyDescent="0.6">
      <c r="A248" s="30" t="s">
        <v>8</v>
      </c>
      <c r="B248" s="22"/>
      <c r="C248" s="22">
        <f t="shared" si="568"/>
        <v>0</v>
      </c>
      <c r="D248" s="22"/>
      <c r="E248" s="22"/>
      <c r="F248" s="22">
        <f t="shared" si="569"/>
        <v>0</v>
      </c>
      <c r="G248" s="22"/>
      <c r="H248" s="22"/>
      <c r="I248" s="22">
        <f t="shared" si="571"/>
        <v>0</v>
      </c>
      <c r="J248" s="22"/>
      <c r="K248" s="22"/>
      <c r="L248" s="22">
        <f t="shared" si="573"/>
        <v>0</v>
      </c>
      <c r="M248" s="22"/>
      <c r="N248" s="22"/>
      <c r="O248" s="22">
        <f t="shared" si="575"/>
        <v>0</v>
      </c>
      <c r="P248" s="22"/>
      <c r="Q248" s="22"/>
      <c r="R248" s="22">
        <f t="shared" si="577"/>
        <v>0</v>
      </c>
      <c r="S248" s="22"/>
      <c r="T248" s="22"/>
      <c r="U248" s="14"/>
      <c r="V248" s="5" t="str">
        <f t="shared" si="579"/>
        <v>-</v>
      </c>
    </row>
    <row r="249" spans="1:22" ht="25.15" customHeight="1" x14ac:dyDescent="0.6">
      <c r="A249" s="18" t="s">
        <v>43</v>
      </c>
      <c r="B249" s="23">
        <f>B250+B257</f>
        <v>0</v>
      </c>
      <c r="C249" s="23">
        <f t="shared" si="568"/>
        <v>0</v>
      </c>
      <c r="D249" s="23">
        <f>D250+D257</f>
        <v>0</v>
      </c>
      <c r="E249" s="23">
        <f>E250+E257</f>
        <v>0</v>
      </c>
      <c r="F249" s="23">
        <f t="shared" si="569"/>
        <v>0</v>
      </c>
      <c r="G249" s="23">
        <f t="shared" ref="G249:H249" si="610">G250+G257</f>
        <v>0</v>
      </c>
      <c r="H249" s="23">
        <f t="shared" si="610"/>
        <v>0</v>
      </c>
      <c r="I249" s="23">
        <f t="shared" si="571"/>
        <v>0</v>
      </c>
      <c r="J249" s="23">
        <f t="shared" ref="J249:K249" si="611">J250+J257</f>
        <v>0</v>
      </c>
      <c r="K249" s="23">
        <f t="shared" si="611"/>
        <v>0</v>
      </c>
      <c r="L249" s="23">
        <f t="shared" si="573"/>
        <v>0</v>
      </c>
      <c r="M249" s="23">
        <f t="shared" ref="M249:N249" si="612">M250+M257</f>
        <v>0</v>
      </c>
      <c r="N249" s="23">
        <f t="shared" si="612"/>
        <v>0</v>
      </c>
      <c r="O249" s="23">
        <f t="shared" si="575"/>
        <v>0</v>
      </c>
      <c r="P249" s="23">
        <f t="shared" ref="P249:Q249" si="613">P250+P257</f>
        <v>0</v>
      </c>
      <c r="Q249" s="23">
        <f t="shared" si="613"/>
        <v>0</v>
      </c>
      <c r="R249" s="23">
        <f t="shared" si="577"/>
        <v>0</v>
      </c>
      <c r="S249" s="23">
        <f t="shared" ref="S249:T249" si="614">S250+S257</f>
        <v>0</v>
      </c>
      <c r="T249" s="23">
        <f t="shared" si="614"/>
        <v>0</v>
      </c>
      <c r="U249" s="20"/>
      <c r="V249" s="5" t="str">
        <f t="shared" si="579"/>
        <v>-</v>
      </c>
    </row>
    <row r="250" spans="1:22" ht="25.15" customHeight="1" x14ac:dyDescent="0.6">
      <c r="A250" s="25" t="s">
        <v>2</v>
      </c>
      <c r="B250" s="26">
        <f>B251+B254</f>
        <v>0</v>
      </c>
      <c r="C250" s="26">
        <f t="shared" si="568"/>
        <v>0</v>
      </c>
      <c r="D250" s="26">
        <f>D251+D254</f>
        <v>0</v>
      </c>
      <c r="E250" s="26">
        <f>E251+E254</f>
        <v>0</v>
      </c>
      <c r="F250" s="26">
        <f t="shared" si="569"/>
        <v>0</v>
      </c>
      <c r="G250" s="26">
        <f t="shared" ref="G250:H250" si="615">G251+G254</f>
        <v>0</v>
      </c>
      <c r="H250" s="26">
        <f t="shared" si="615"/>
        <v>0</v>
      </c>
      <c r="I250" s="26">
        <f t="shared" si="571"/>
        <v>0</v>
      </c>
      <c r="J250" s="26">
        <f t="shared" ref="J250:K250" si="616">J251+J254</f>
        <v>0</v>
      </c>
      <c r="K250" s="26">
        <f t="shared" si="616"/>
        <v>0</v>
      </c>
      <c r="L250" s="26">
        <f t="shared" si="573"/>
        <v>0</v>
      </c>
      <c r="M250" s="26">
        <f t="shared" ref="M250:N250" si="617">M251+M254</f>
        <v>0</v>
      </c>
      <c r="N250" s="26">
        <f t="shared" si="617"/>
        <v>0</v>
      </c>
      <c r="O250" s="26">
        <f t="shared" si="575"/>
        <v>0</v>
      </c>
      <c r="P250" s="26">
        <f t="shared" ref="P250:Q250" si="618">P251+P254</f>
        <v>0</v>
      </c>
      <c r="Q250" s="26">
        <f t="shared" si="618"/>
        <v>0</v>
      </c>
      <c r="R250" s="26">
        <f t="shared" si="577"/>
        <v>0</v>
      </c>
      <c r="S250" s="26">
        <f t="shared" ref="S250:T250" si="619">S251+S254</f>
        <v>0</v>
      </c>
      <c r="T250" s="26">
        <f t="shared" si="619"/>
        <v>0</v>
      </c>
      <c r="U250" s="27"/>
      <c r="V250" s="5" t="str">
        <f t="shared" si="579"/>
        <v>-</v>
      </c>
    </row>
    <row r="251" spans="1:22" ht="25.15" customHeight="1" x14ac:dyDescent="0.6">
      <c r="A251" s="28" t="s">
        <v>3</v>
      </c>
      <c r="B251" s="26">
        <f>SUM(B252:B253)</f>
        <v>0</v>
      </c>
      <c r="C251" s="26">
        <f t="shared" si="568"/>
        <v>0</v>
      </c>
      <c r="D251" s="26">
        <f>SUM(D252:D253)</f>
        <v>0</v>
      </c>
      <c r="E251" s="26">
        <f>SUM(E252:E253)</f>
        <v>0</v>
      </c>
      <c r="F251" s="26">
        <f t="shared" si="569"/>
        <v>0</v>
      </c>
      <c r="G251" s="26">
        <f t="shared" ref="G251:H251" si="620">SUM(G252:G253)</f>
        <v>0</v>
      </c>
      <c r="H251" s="26">
        <f t="shared" si="620"/>
        <v>0</v>
      </c>
      <c r="I251" s="26">
        <f t="shared" si="571"/>
        <v>0</v>
      </c>
      <c r="J251" s="26">
        <f t="shared" ref="J251:K251" si="621">SUM(J252:J253)</f>
        <v>0</v>
      </c>
      <c r="K251" s="26">
        <f t="shared" si="621"/>
        <v>0</v>
      </c>
      <c r="L251" s="26">
        <f t="shared" si="573"/>
        <v>0</v>
      </c>
      <c r="M251" s="26">
        <f t="shared" ref="M251:N251" si="622">SUM(M252:M253)</f>
        <v>0</v>
      </c>
      <c r="N251" s="26">
        <f t="shared" si="622"/>
        <v>0</v>
      </c>
      <c r="O251" s="26">
        <f t="shared" si="575"/>
        <v>0</v>
      </c>
      <c r="P251" s="26">
        <f t="shared" ref="P251:Q251" si="623">SUM(P252:P253)</f>
        <v>0</v>
      </c>
      <c r="Q251" s="26">
        <f t="shared" si="623"/>
        <v>0</v>
      </c>
      <c r="R251" s="26">
        <f t="shared" si="577"/>
        <v>0</v>
      </c>
      <c r="S251" s="26">
        <f t="shared" ref="S251:T251" si="624">SUM(S252:S253)</f>
        <v>0</v>
      </c>
      <c r="T251" s="26">
        <f t="shared" si="624"/>
        <v>0</v>
      </c>
      <c r="U251" s="29"/>
      <c r="V251" s="5" t="str">
        <f t="shared" si="579"/>
        <v>-</v>
      </c>
    </row>
    <row r="252" spans="1:22" ht="25.15" customHeight="1" x14ac:dyDescent="0.6">
      <c r="A252" s="30" t="s">
        <v>5</v>
      </c>
      <c r="B252" s="22"/>
      <c r="C252" s="22">
        <f t="shared" si="568"/>
        <v>0</v>
      </c>
      <c r="D252" s="22"/>
      <c r="E252" s="22"/>
      <c r="F252" s="22">
        <f t="shared" si="569"/>
        <v>0</v>
      </c>
      <c r="G252" s="22"/>
      <c r="H252" s="22"/>
      <c r="I252" s="22">
        <f t="shared" si="571"/>
        <v>0</v>
      </c>
      <c r="J252" s="22"/>
      <c r="K252" s="22"/>
      <c r="L252" s="22">
        <f t="shared" si="573"/>
        <v>0</v>
      </c>
      <c r="M252" s="22"/>
      <c r="N252" s="22"/>
      <c r="O252" s="22">
        <f t="shared" si="575"/>
        <v>0</v>
      </c>
      <c r="P252" s="22"/>
      <c r="Q252" s="22"/>
      <c r="R252" s="22">
        <f t="shared" si="577"/>
        <v>0</v>
      </c>
      <c r="S252" s="22"/>
      <c r="T252" s="22"/>
      <c r="U252" s="14"/>
      <c r="V252" s="5" t="str">
        <f t="shared" si="579"/>
        <v>-</v>
      </c>
    </row>
    <row r="253" spans="1:22" ht="25.5" customHeight="1" x14ac:dyDescent="0.6">
      <c r="A253" s="30" t="s">
        <v>6</v>
      </c>
      <c r="B253" s="22"/>
      <c r="C253" s="22">
        <f t="shared" si="568"/>
        <v>0</v>
      </c>
      <c r="D253" s="22"/>
      <c r="E253" s="22"/>
      <c r="F253" s="22">
        <f t="shared" si="569"/>
        <v>0</v>
      </c>
      <c r="G253" s="22"/>
      <c r="H253" s="22"/>
      <c r="I253" s="22">
        <f t="shared" si="571"/>
        <v>0</v>
      </c>
      <c r="J253" s="22"/>
      <c r="K253" s="22"/>
      <c r="L253" s="22">
        <f t="shared" si="573"/>
        <v>0</v>
      </c>
      <c r="M253" s="22"/>
      <c r="N253" s="22"/>
      <c r="O253" s="22">
        <f t="shared" si="575"/>
        <v>0</v>
      </c>
      <c r="P253" s="22"/>
      <c r="Q253" s="22"/>
      <c r="R253" s="22">
        <f t="shared" si="577"/>
        <v>0</v>
      </c>
      <c r="S253" s="22"/>
      <c r="T253" s="22"/>
      <c r="U253" s="14"/>
      <c r="V253" s="5" t="str">
        <f t="shared" si="579"/>
        <v>-</v>
      </c>
    </row>
    <row r="254" spans="1:22" ht="25.15" customHeight="1" x14ac:dyDescent="0.6">
      <c r="A254" s="28" t="s">
        <v>4</v>
      </c>
      <c r="B254" s="26">
        <f>SUM(B255:B256)</f>
        <v>0</v>
      </c>
      <c r="C254" s="26">
        <f t="shared" si="568"/>
        <v>0</v>
      </c>
      <c r="D254" s="26">
        <f>SUM(D255:D256)</f>
        <v>0</v>
      </c>
      <c r="E254" s="26">
        <f>SUM(E255:E256)</f>
        <v>0</v>
      </c>
      <c r="F254" s="26">
        <f t="shared" si="569"/>
        <v>0</v>
      </c>
      <c r="G254" s="26">
        <f t="shared" ref="G254:H254" si="625">SUM(G255:G256)</f>
        <v>0</v>
      </c>
      <c r="H254" s="26">
        <f t="shared" si="625"/>
        <v>0</v>
      </c>
      <c r="I254" s="26">
        <f t="shared" si="571"/>
        <v>0</v>
      </c>
      <c r="J254" s="26">
        <f t="shared" ref="J254:K254" si="626">SUM(J255:J256)</f>
        <v>0</v>
      </c>
      <c r="K254" s="26">
        <f t="shared" si="626"/>
        <v>0</v>
      </c>
      <c r="L254" s="26">
        <f t="shared" si="573"/>
        <v>0</v>
      </c>
      <c r="M254" s="26">
        <f t="shared" ref="M254:N254" si="627">SUM(M255:M256)</f>
        <v>0</v>
      </c>
      <c r="N254" s="26">
        <f t="shared" si="627"/>
        <v>0</v>
      </c>
      <c r="O254" s="26">
        <f t="shared" si="575"/>
        <v>0</v>
      </c>
      <c r="P254" s="26">
        <f t="shared" ref="P254:Q254" si="628">SUM(P255:P256)</f>
        <v>0</v>
      </c>
      <c r="Q254" s="26">
        <f t="shared" si="628"/>
        <v>0</v>
      </c>
      <c r="R254" s="26">
        <f t="shared" si="577"/>
        <v>0</v>
      </c>
      <c r="S254" s="26">
        <f t="shared" ref="S254:T254" si="629">SUM(S255:S256)</f>
        <v>0</v>
      </c>
      <c r="T254" s="26">
        <f t="shared" si="629"/>
        <v>0</v>
      </c>
      <c r="U254" s="29"/>
      <c r="V254" s="5" t="str">
        <f t="shared" si="579"/>
        <v>-</v>
      </c>
    </row>
    <row r="255" spans="1:22" ht="25.15" customHeight="1" x14ac:dyDescent="0.6">
      <c r="A255" s="30" t="s">
        <v>7</v>
      </c>
      <c r="B255" s="22"/>
      <c r="C255" s="22">
        <f t="shared" si="568"/>
        <v>0</v>
      </c>
      <c r="D255" s="22"/>
      <c r="E255" s="22"/>
      <c r="F255" s="22">
        <f t="shared" si="569"/>
        <v>0</v>
      </c>
      <c r="G255" s="22"/>
      <c r="H255" s="22"/>
      <c r="I255" s="22">
        <f t="shared" si="571"/>
        <v>0</v>
      </c>
      <c r="J255" s="22"/>
      <c r="K255" s="22"/>
      <c r="L255" s="22">
        <f t="shared" si="573"/>
        <v>0</v>
      </c>
      <c r="M255" s="22"/>
      <c r="N255" s="22"/>
      <c r="O255" s="22">
        <f t="shared" si="575"/>
        <v>0</v>
      </c>
      <c r="P255" s="22"/>
      <c r="Q255" s="22"/>
      <c r="R255" s="22">
        <f t="shared" si="577"/>
        <v>0</v>
      </c>
      <c r="S255" s="22"/>
      <c r="T255" s="22"/>
      <c r="U255" s="14"/>
      <c r="V255" s="5" t="str">
        <f t="shared" si="579"/>
        <v>-</v>
      </c>
    </row>
    <row r="256" spans="1:22" ht="25.15" customHeight="1" x14ac:dyDescent="0.6">
      <c r="A256" s="30" t="s">
        <v>8</v>
      </c>
      <c r="B256" s="22"/>
      <c r="C256" s="22">
        <f t="shared" si="568"/>
        <v>0</v>
      </c>
      <c r="D256" s="22"/>
      <c r="E256" s="22"/>
      <c r="F256" s="22">
        <f t="shared" si="569"/>
        <v>0</v>
      </c>
      <c r="G256" s="22"/>
      <c r="H256" s="22"/>
      <c r="I256" s="22">
        <f t="shared" si="571"/>
        <v>0</v>
      </c>
      <c r="J256" s="22"/>
      <c r="K256" s="22"/>
      <c r="L256" s="22">
        <f t="shared" si="573"/>
        <v>0</v>
      </c>
      <c r="M256" s="22"/>
      <c r="N256" s="22"/>
      <c r="O256" s="22">
        <f t="shared" si="575"/>
        <v>0</v>
      </c>
      <c r="P256" s="22"/>
      <c r="Q256" s="22"/>
      <c r="R256" s="22">
        <f t="shared" si="577"/>
        <v>0</v>
      </c>
      <c r="S256" s="22"/>
      <c r="T256" s="22"/>
      <c r="U256" s="14"/>
      <c r="V256" s="5" t="str">
        <f t="shared" si="579"/>
        <v>-</v>
      </c>
    </row>
    <row r="257" spans="1:22" ht="25.15" customHeight="1" x14ac:dyDescent="0.6">
      <c r="A257" s="25" t="s">
        <v>9</v>
      </c>
      <c r="B257" s="26">
        <f>B258+B261</f>
        <v>0</v>
      </c>
      <c r="C257" s="26">
        <f t="shared" si="568"/>
        <v>0</v>
      </c>
      <c r="D257" s="26">
        <f>D258+D261</f>
        <v>0</v>
      </c>
      <c r="E257" s="26">
        <f>E258+E261</f>
        <v>0</v>
      </c>
      <c r="F257" s="26">
        <f t="shared" si="569"/>
        <v>0</v>
      </c>
      <c r="G257" s="26">
        <f t="shared" ref="G257:H257" si="630">G258+G261</f>
        <v>0</v>
      </c>
      <c r="H257" s="26">
        <f t="shared" si="630"/>
        <v>0</v>
      </c>
      <c r="I257" s="26">
        <f t="shared" si="571"/>
        <v>0</v>
      </c>
      <c r="J257" s="26">
        <f t="shared" ref="J257:K257" si="631">J258+J261</f>
        <v>0</v>
      </c>
      <c r="K257" s="26">
        <f t="shared" si="631"/>
        <v>0</v>
      </c>
      <c r="L257" s="26">
        <f t="shared" si="573"/>
        <v>0</v>
      </c>
      <c r="M257" s="26">
        <f t="shared" ref="M257:N257" si="632">M258+M261</f>
        <v>0</v>
      </c>
      <c r="N257" s="26">
        <f t="shared" si="632"/>
        <v>0</v>
      </c>
      <c r="O257" s="26">
        <f t="shared" si="575"/>
        <v>0</v>
      </c>
      <c r="P257" s="26">
        <f t="shared" ref="P257:Q257" si="633">P258+P261</f>
        <v>0</v>
      </c>
      <c r="Q257" s="26">
        <f t="shared" si="633"/>
        <v>0</v>
      </c>
      <c r="R257" s="26">
        <f t="shared" si="577"/>
        <v>0</v>
      </c>
      <c r="S257" s="26">
        <f t="shared" ref="S257:T257" si="634">S258+S261</f>
        <v>0</v>
      </c>
      <c r="T257" s="26">
        <f t="shared" si="634"/>
        <v>0</v>
      </c>
      <c r="U257" s="27"/>
      <c r="V257" s="5" t="str">
        <f t="shared" si="579"/>
        <v>-</v>
      </c>
    </row>
    <row r="258" spans="1:22" ht="25.15" customHeight="1" x14ac:dyDescent="0.6">
      <c r="A258" s="28" t="s">
        <v>3</v>
      </c>
      <c r="B258" s="26">
        <f>SUM(B259:B260)</f>
        <v>0</v>
      </c>
      <c r="C258" s="26">
        <f t="shared" si="568"/>
        <v>0</v>
      </c>
      <c r="D258" s="26">
        <f>SUM(D259:D260)</f>
        <v>0</v>
      </c>
      <c r="E258" s="26">
        <f>SUM(E259:E260)</f>
        <v>0</v>
      </c>
      <c r="F258" s="26">
        <f t="shared" si="569"/>
        <v>0</v>
      </c>
      <c r="G258" s="26">
        <f t="shared" ref="G258:H258" si="635">SUM(G259:G260)</f>
        <v>0</v>
      </c>
      <c r="H258" s="26">
        <f t="shared" si="635"/>
        <v>0</v>
      </c>
      <c r="I258" s="26">
        <f t="shared" si="571"/>
        <v>0</v>
      </c>
      <c r="J258" s="26">
        <f t="shared" ref="J258:K258" si="636">SUM(J259:J260)</f>
        <v>0</v>
      </c>
      <c r="K258" s="26">
        <f t="shared" si="636"/>
        <v>0</v>
      </c>
      <c r="L258" s="26">
        <f t="shared" si="573"/>
        <v>0</v>
      </c>
      <c r="M258" s="26">
        <f t="shared" ref="M258:N258" si="637">SUM(M259:M260)</f>
        <v>0</v>
      </c>
      <c r="N258" s="26">
        <f t="shared" si="637"/>
        <v>0</v>
      </c>
      <c r="O258" s="26">
        <f t="shared" si="575"/>
        <v>0</v>
      </c>
      <c r="P258" s="26">
        <f t="shared" ref="P258:Q258" si="638">SUM(P259:P260)</f>
        <v>0</v>
      </c>
      <c r="Q258" s="26">
        <f t="shared" si="638"/>
        <v>0</v>
      </c>
      <c r="R258" s="26">
        <f t="shared" si="577"/>
        <v>0</v>
      </c>
      <c r="S258" s="26">
        <f t="shared" ref="S258:T258" si="639">SUM(S259:S260)</f>
        <v>0</v>
      </c>
      <c r="T258" s="26">
        <f t="shared" si="639"/>
        <v>0</v>
      </c>
      <c r="U258" s="29"/>
      <c r="V258" s="5" t="str">
        <f t="shared" si="579"/>
        <v>-</v>
      </c>
    </row>
    <row r="259" spans="1:22" ht="25.15" customHeight="1" x14ac:dyDescent="0.6">
      <c r="A259" s="30" t="s">
        <v>5</v>
      </c>
      <c r="B259" s="22"/>
      <c r="C259" s="22">
        <f t="shared" si="568"/>
        <v>0</v>
      </c>
      <c r="D259" s="22"/>
      <c r="E259" s="22"/>
      <c r="F259" s="22">
        <f t="shared" si="569"/>
        <v>0</v>
      </c>
      <c r="G259" s="22"/>
      <c r="H259" s="22"/>
      <c r="I259" s="22">
        <f t="shared" si="571"/>
        <v>0</v>
      </c>
      <c r="J259" s="22"/>
      <c r="K259" s="22"/>
      <c r="L259" s="22">
        <f t="shared" si="573"/>
        <v>0</v>
      </c>
      <c r="M259" s="22"/>
      <c r="N259" s="22"/>
      <c r="O259" s="22">
        <f t="shared" si="575"/>
        <v>0</v>
      </c>
      <c r="P259" s="22"/>
      <c r="Q259" s="22"/>
      <c r="R259" s="22">
        <f t="shared" si="577"/>
        <v>0</v>
      </c>
      <c r="S259" s="22"/>
      <c r="T259" s="22"/>
      <c r="U259" s="14"/>
      <c r="V259" s="5" t="str">
        <f t="shared" si="579"/>
        <v>-</v>
      </c>
    </row>
    <row r="260" spans="1:22" ht="25.15" customHeight="1" x14ac:dyDescent="0.6">
      <c r="A260" s="30" t="s">
        <v>6</v>
      </c>
      <c r="B260" s="22"/>
      <c r="C260" s="22">
        <f t="shared" si="568"/>
        <v>0</v>
      </c>
      <c r="D260" s="22"/>
      <c r="E260" s="22"/>
      <c r="F260" s="22">
        <f t="shared" si="569"/>
        <v>0</v>
      </c>
      <c r="G260" s="22"/>
      <c r="H260" s="22"/>
      <c r="I260" s="22">
        <f t="shared" si="571"/>
        <v>0</v>
      </c>
      <c r="J260" s="22"/>
      <c r="K260" s="22"/>
      <c r="L260" s="22">
        <f t="shared" si="573"/>
        <v>0</v>
      </c>
      <c r="M260" s="22"/>
      <c r="N260" s="22"/>
      <c r="O260" s="22">
        <f t="shared" si="575"/>
        <v>0</v>
      </c>
      <c r="P260" s="22"/>
      <c r="Q260" s="22"/>
      <c r="R260" s="22">
        <f t="shared" si="577"/>
        <v>0</v>
      </c>
      <c r="S260" s="22"/>
      <c r="T260" s="22"/>
      <c r="U260" s="14"/>
      <c r="V260" s="5" t="str">
        <f t="shared" si="579"/>
        <v>-</v>
      </c>
    </row>
    <row r="261" spans="1:22" ht="25.15" customHeight="1" x14ac:dyDescent="0.6">
      <c r="A261" s="28" t="s">
        <v>4</v>
      </c>
      <c r="B261" s="26">
        <f>SUM(B262:B263)</f>
        <v>0</v>
      </c>
      <c r="C261" s="26">
        <f t="shared" si="568"/>
        <v>0</v>
      </c>
      <c r="D261" s="26">
        <f>SUM(D262:D263)</f>
        <v>0</v>
      </c>
      <c r="E261" s="26">
        <f>SUM(E262:E263)</f>
        <v>0</v>
      </c>
      <c r="F261" s="26">
        <f t="shared" si="569"/>
        <v>0</v>
      </c>
      <c r="G261" s="26">
        <f t="shared" ref="G261:H261" si="640">SUM(G262:G263)</f>
        <v>0</v>
      </c>
      <c r="H261" s="26">
        <f t="shared" si="640"/>
        <v>0</v>
      </c>
      <c r="I261" s="26">
        <f t="shared" si="571"/>
        <v>0</v>
      </c>
      <c r="J261" s="26">
        <f t="shared" ref="J261:K261" si="641">SUM(J262:J263)</f>
        <v>0</v>
      </c>
      <c r="K261" s="26">
        <f t="shared" si="641"/>
        <v>0</v>
      </c>
      <c r="L261" s="26">
        <f t="shared" si="573"/>
        <v>0</v>
      </c>
      <c r="M261" s="26">
        <f t="shared" ref="M261:N261" si="642">SUM(M262:M263)</f>
        <v>0</v>
      </c>
      <c r="N261" s="26">
        <f t="shared" si="642"/>
        <v>0</v>
      </c>
      <c r="O261" s="26">
        <f t="shared" si="575"/>
        <v>0</v>
      </c>
      <c r="P261" s="26">
        <f t="shared" ref="P261:Q261" si="643">SUM(P262:P263)</f>
        <v>0</v>
      </c>
      <c r="Q261" s="26">
        <f t="shared" si="643"/>
        <v>0</v>
      </c>
      <c r="R261" s="26">
        <f t="shared" si="577"/>
        <v>0</v>
      </c>
      <c r="S261" s="26">
        <f t="shared" ref="S261:T261" si="644">SUM(S262:S263)</f>
        <v>0</v>
      </c>
      <c r="T261" s="26">
        <f t="shared" si="644"/>
        <v>0</v>
      </c>
      <c r="U261" s="29"/>
      <c r="V261" s="5" t="str">
        <f t="shared" si="579"/>
        <v>-</v>
      </c>
    </row>
    <row r="262" spans="1:22" ht="25.15" customHeight="1" x14ac:dyDescent="0.6">
      <c r="A262" s="30" t="s">
        <v>7</v>
      </c>
      <c r="B262" s="22"/>
      <c r="C262" s="22">
        <f t="shared" si="568"/>
        <v>0</v>
      </c>
      <c r="D262" s="22"/>
      <c r="E262" s="22"/>
      <c r="F262" s="22">
        <f t="shared" si="569"/>
        <v>0</v>
      </c>
      <c r="G262" s="22"/>
      <c r="H262" s="22"/>
      <c r="I262" s="22">
        <f t="shared" si="571"/>
        <v>0</v>
      </c>
      <c r="J262" s="22"/>
      <c r="K262" s="22"/>
      <c r="L262" s="22">
        <f t="shared" si="573"/>
        <v>0</v>
      </c>
      <c r="M262" s="22"/>
      <c r="N262" s="22"/>
      <c r="O262" s="22">
        <f t="shared" si="575"/>
        <v>0</v>
      </c>
      <c r="P262" s="22"/>
      <c r="Q262" s="22"/>
      <c r="R262" s="22">
        <f t="shared" si="577"/>
        <v>0</v>
      </c>
      <c r="S262" s="22"/>
      <c r="T262" s="22"/>
      <c r="U262" s="14"/>
      <c r="V262" s="5" t="str">
        <f t="shared" si="579"/>
        <v>-</v>
      </c>
    </row>
    <row r="263" spans="1:22" ht="25.15" customHeight="1" x14ac:dyDescent="0.6">
      <c r="A263" s="30" t="s">
        <v>8</v>
      </c>
      <c r="B263" s="22"/>
      <c r="C263" s="22">
        <f t="shared" si="568"/>
        <v>0</v>
      </c>
      <c r="D263" s="22"/>
      <c r="E263" s="22"/>
      <c r="F263" s="22">
        <f t="shared" si="569"/>
        <v>0</v>
      </c>
      <c r="G263" s="22"/>
      <c r="H263" s="22"/>
      <c r="I263" s="22">
        <f t="shared" si="571"/>
        <v>0</v>
      </c>
      <c r="J263" s="22"/>
      <c r="K263" s="22"/>
      <c r="L263" s="22">
        <f t="shared" si="573"/>
        <v>0</v>
      </c>
      <c r="M263" s="22"/>
      <c r="N263" s="22"/>
      <c r="O263" s="22">
        <f t="shared" si="575"/>
        <v>0</v>
      </c>
      <c r="P263" s="22"/>
      <c r="Q263" s="22"/>
      <c r="R263" s="22">
        <f t="shared" si="577"/>
        <v>0</v>
      </c>
      <c r="S263" s="22"/>
      <c r="T263" s="22"/>
      <c r="U263" s="14"/>
      <c r="V263" s="5" t="str">
        <f t="shared" si="579"/>
        <v>-</v>
      </c>
    </row>
    <row r="264" spans="1:22" ht="25.15" customHeight="1" x14ac:dyDescent="0.6">
      <c r="A264" s="18" t="s">
        <v>44</v>
      </c>
      <c r="B264" s="23">
        <f>B265+B272</f>
        <v>0</v>
      </c>
      <c r="C264" s="23">
        <f t="shared" si="568"/>
        <v>0</v>
      </c>
      <c r="D264" s="23">
        <f>D265+D272</f>
        <v>0</v>
      </c>
      <c r="E264" s="23">
        <f>E265+E272</f>
        <v>0</v>
      </c>
      <c r="F264" s="23">
        <f t="shared" si="569"/>
        <v>0</v>
      </c>
      <c r="G264" s="23">
        <f t="shared" ref="G264:H264" si="645">G265+G272</f>
        <v>0</v>
      </c>
      <c r="H264" s="23">
        <f t="shared" si="645"/>
        <v>0</v>
      </c>
      <c r="I264" s="23">
        <f t="shared" si="571"/>
        <v>0</v>
      </c>
      <c r="J264" s="23">
        <f t="shared" ref="J264:K264" si="646">J265+J272</f>
        <v>0</v>
      </c>
      <c r="K264" s="23">
        <f t="shared" si="646"/>
        <v>0</v>
      </c>
      <c r="L264" s="23">
        <f t="shared" si="573"/>
        <v>0</v>
      </c>
      <c r="M264" s="23">
        <f t="shared" ref="M264:N264" si="647">M265+M272</f>
        <v>0</v>
      </c>
      <c r="N264" s="23">
        <f t="shared" si="647"/>
        <v>0</v>
      </c>
      <c r="O264" s="23">
        <f t="shared" si="575"/>
        <v>0</v>
      </c>
      <c r="P264" s="23">
        <f t="shared" ref="P264:Q264" si="648">P265+P272</f>
        <v>0</v>
      </c>
      <c r="Q264" s="23">
        <f t="shared" si="648"/>
        <v>0</v>
      </c>
      <c r="R264" s="23">
        <f t="shared" si="577"/>
        <v>0</v>
      </c>
      <c r="S264" s="23">
        <f t="shared" ref="S264:T264" si="649">S265+S272</f>
        <v>0</v>
      </c>
      <c r="T264" s="23">
        <f t="shared" si="649"/>
        <v>0</v>
      </c>
      <c r="U264" s="20"/>
      <c r="V264" s="5" t="str">
        <f t="shared" si="579"/>
        <v>-</v>
      </c>
    </row>
    <row r="265" spans="1:22" ht="25.15" customHeight="1" x14ac:dyDescent="0.6">
      <c r="A265" s="25" t="s">
        <v>2</v>
      </c>
      <c r="B265" s="26">
        <f>B266+B269</f>
        <v>0</v>
      </c>
      <c r="C265" s="26">
        <f t="shared" si="568"/>
        <v>0</v>
      </c>
      <c r="D265" s="26">
        <f>D266+D269</f>
        <v>0</v>
      </c>
      <c r="E265" s="26">
        <f>E266+E269</f>
        <v>0</v>
      </c>
      <c r="F265" s="26">
        <f t="shared" si="569"/>
        <v>0</v>
      </c>
      <c r="G265" s="26">
        <f t="shared" ref="G265:H265" si="650">G266+G269</f>
        <v>0</v>
      </c>
      <c r="H265" s="26">
        <f t="shared" si="650"/>
        <v>0</v>
      </c>
      <c r="I265" s="26">
        <f t="shared" si="571"/>
        <v>0</v>
      </c>
      <c r="J265" s="26">
        <f t="shared" ref="J265:K265" si="651">J266+J269</f>
        <v>0</v>
      </c>
      <c r="K265" s="26">
        <f t="shared" si="651"/>
        <v>0</v>
      </c>
      <c r="L265" s="26">
        <f t="shared" si="573"/>
        <v>0</v>
      </c>
      <c r="M265" s="26">
        <f t="shared" ref="M265:N265" si="652">M266+M269</f>
        <v>0</v>
      </c>
      <c r="N265" s="26">
        <f t="shared" si="652"/>
        <v>0</v>
      </c>
      <c r="O265" s="26">
        <f t="shared" si="575"/>
        <v>0</v>
      </c>
      <c r="P265" s="26">
        <f t="shared" ref="P265:Q265" si="653">P266+P269</f>
        <v>0</v>
      </c>
      <c r="Q265" s="26">
        <f t="shared" si="653"/>
        <v>0</v>
      </c>
      <c r="R265" s="26">
        <f t="shared" si="577"/>
        <v>0</v>
      </c>
      <c r="S265" s="26">
        <f t="shared" ref="S265:T265" si="654">S266+S269</f>
        <v>0</v>
      </c>
      <c r="T265" s="26">
        <f t="shared" si="654"/>
        <v>0</v>
      </c>
      <c r="U265" s="27"/>
      <c r="V265" s="5" t="str">
        <f t="shared" si="579"/>
        <v>-</v>
      </c>
    </row>
    <row r="266" spans="1:22" ht="25.15" customHeight="1" x14ac:dyDescent="0.6">
      <c r="A266" s="28" t="s">
        <v>3</v>
      </c>
      <c r="B266" s="26">
        <f>SUM(B267:B268)</f>
        <v>0</v>
      </c>
      <c r="C266" s="26">
        <f t="shared" si="568"/>
        <v>0</v>
      </c>
      <c r="D266" s="26">
        <f>SUM(D267:D268)</f>
        <v>0</v>
      </c>
      <c r="E266" s="26">
        <f>SUM(E267:E268)</f>
        <v>0</v>
      </c>
      <c r="F266" s="26">
        <f t="shared" si="569"/>
        <v>0</v>
      </c>
      <c r="G266" s="26">
        <f t="shared" ref="G266:H266" si="655">SUM(G267:G268)</f>
        <v>0</v>
      </c>
      <c r="H266" s="26">
        <f t="shared" si="655"/>
        <v>0</v>
      </c>
      <c r="I266" s="26">
        <f t="shared" si="571"/>
        <v>0</v>
      </c>
      <c r="J266" s="26">
        <f t="shared" ref="J266:K266" si="656">SUM(J267:J268)</f>
        <v>0</v>
      </c>
      <c r="K266" s="26">
        <f t="shared" si="656"/>
        <v>0</v>
      </c>
      <c r="L266" s="26">
        <f t="shared" si="573"/>
        <v>0</v>
      </c>
      <c r="M266" s="26">
        <f t="shared" ref="M266:N266" si="657">SUM(M267:M268)</f>
        <v>0</v>
      </c>
      <c r="N266" s="26">
        <f t="shared" si="657"/>
        <v>0</v>
      </c>
      <c r="O266" s="26">
        <f t="shared" si="575"/>
        <v>0</v>
      </c>
      <c r="P266" s="26">
        <f t="shared" ref="P266:Q266" si="658">SUM(P267:P268)</f>
        <v>0</v>
      </c>
      <c r="Q266" s="26">
        <f t="shared" si="658"/>
        <v>0</v>
      </c>
      <c r="R266" s="26">
        <f t="shared" si="577"/>
        <v>0</v>
      </c>
      <c r="S266" s="26">
        <f t="shared" ref="S266:T266" si="659">SUM(S267:S268)</f>
        <v>0</v>
      </c>
      <c r="T266" s="26">
        <f t="shared" si="659"/>
        <v>0</v>
      </c>
      <c r="U266" s="29"/>
      <c r="V266" s="5" t="str">
        <f t="shared" si="579"/>
        <v>-</v>
      </c>
    </row>
    <row r="267" spans="1:22" ht="25.15" customHeight="1" x14ac:dyDescent="0.6">
      <c r="A267" s="30" t="s">
        <v>5</v>
      </c>
      <c r="B267" s="22"/>
      <c r="C267" s="22">
        <f t="shared" si="568"/>
        <v>0</v>
      </c>
      <c r="D267" s="22"/>
      <c r="E267" s="22"/>
      <c r="F267" s="22">
        <f t="shared" si="569"/>
        <v>0</v>
      </c>
      <c r="G267" s="22"/>
      <c r="H267" s="22"/>
      <c r="I267" s="22">
        <f t="shared" si="571"/>
        <v>0</v>
      </c>
      <c r="J267" s="22"/>
      <c r="K267" s="22"/>
      <c r="L267" s="22">
        <f t="shared" si="573"/>
        <v>0</v>
      </c>
      <c r="M267" s="22"/>
      <c r="N267" s="22"/>
      <c r="O267" s="22">
        <f t="shared" si="575"/>
        <v>0</v>
      </c>
      <c r="P267" s="22"/>
      <c r="Q267" s="22"/>
      <c r="R267" s="22">
        <f t="shared" si="577"/>
        <v>0</v>
      </c>
      <c r="S267" s="22"/>
      <c r="T267" s="22"/>
      <c r="U267" s="14"/>
      <c r="V267" s="5" t="str">
        <f t="shared" si="579"/>
        <v>-</v>
      </c>
    </row>
    <row r="268" spans="1:22" ht="25.5" customHeight="1" x14ac:dyDescent="0.6">
      <c r="A268" s="30" t="s">
        <v>6</v>
      </c>
      <c r="B268" s="22"/>
      <c r="C268" s="22">
        <f t="shared" si="568"/>
        <v>0</v>
      </c>
      <c r="D268" s="22"/>
      <c r="E268" s="22"/>
      <c r="F268" s="22">
        <f t="shared" si="569"/>
        <v>0</v>
      </c>
      <c r="G268" s="22"/>
      <c r="H268" s="22"/>
      <c r="I268" s="22">
        <f t="shared" si="571"/>
        <v>0</v>
      </c>
      <c r="J268" s="22"/>
      <c r="K268" s="22"/>
      <c r="L268" s="22">
        <f t="shared" si="573"/>
        <v>0</v>
      </c>
      <c r="M268" s="22"/>
      <c r="N268" s="22"/>
      <c r="O268" s="22">
        <f t="shared" si="575"/>
        <v>0</v>
      </c>
      <c r="P268" s="22"/>
      <c r="Q268" s="22"/>
      <c r="R268" s="22">
        <f t="shared" si="577"/>
        <v>0</v>
      </c>
      <c r="S268" s="22"/>
      <c r="T268" s="22"/>
      <c r="U268" s="14"/>
      <c r="V268" s="5" t="str">
        <f t="shared" si="579"/>
        <v>-</v>
      </c>
    </row>
    <row r="269" spans="1:22" ht="25.15" customHeight="1" x14ac:dyDescent="0.6">
      <c r="A269" s="28" t="s">
        <v>4</v>
      </c>
      <c r="B269" s="26">
        <f>SUM(B270:B271)</f>
        <v>0</v>
      </c>
      <c r="C269" s="26">
        <f t="shared" si="568"/>
        <v>0</v>
      </c>
      <c r="D269" s="26">
        <f>SUM(D270:D271)</f>
        <v>0</v>
      </c>
      <c r="E269" s="26">
        <f>SUM(E270:E271)</f>
        <v>0</v>
      </c>
      <c r="F269" s="26">
        <f t="shared" si="569"/>
        <v>0</v>
      </c>
      <c r="G269" s="26">
        <f t="shared" ref="G269:H269" si="660">SUM(G270:G271)</f>
        <v>0</v>
      </c>
      <c r="H269" s="26">
        <f t="shared" si="660"/>
        <v>0</v>
      </c>
      <c r="I269" s="26">
        <f t="shared" si="571"/>
        <v>0</v>
      </c>
      <c r="J269" s="26">
        <f t="shared" ref="J269:K269" si="661">SUM(J270:J271)</f>
        <v>0</v>
      </c>
      <c r="K269" s="26">
        <f t="shared" si="661"/>
        <v>0</v>
      </c>
      <c r="L269" s="26">
        <f t="shared" si="573"/>
        <v>0</v>
      </c>
      <c r="M269" s="26">
        <f t="shared" ref="M269:N269" si="662">SUM(M270:M271)</f>
        <v>0</v>
      </c>
      <c r="N269" s="26">
        <f t="shared" si="662"/>
        <v>0</v>
      </c>
      <c r="O269" s="26">
        <f t="shared" si="575"/>
        <v>0</v>
      </c>
      <c r="P269" s="26">
        <f t="shared" ref="P269:Q269" si="663">SUM(P270:P271)</f>
        <v>0</v>
      </c>
      <c r="Q269" s="26">
        <f t="shared" si="663"/>
        <v>0</v>
      </c>
      <c r="R269" s="26">
        <f t="shared" si="577"/>
        <v>0</v>
      </c>
      <c r="S269" s="26">
        <f t="shared" ref="S269:T269" si="664">SUM(S270:S271)</f>
        <v>0</v>
      </c>
      <c r="T269" s="26">
        <f t="shared" si="664"/>
        <v>0</v>
      </c>
      <c r="U269" s="29"/>
      <c r="V269" s="5" t="str">
        <f t="shared" si="579"/>
        <v>-</v>
      </c>
    </row>
    <row r="270" spans="1:22" ht="25.15" customHeight="1" x14ac:dyDescent="0.6">
      <c r="A270" s="30" t="s">
        <v>7</v>
      </c>
      <c r="B270" s="22"/>
      <c r="C270" s="22">
        <f t="shared" si="568"/>
        <v>0</v>
      </c>
      <c r="D270" s="22"/>
      <c r="E270" s="22"/>
      <c r="F270" s="22">
        <f t="shared" si="569"/>
        <v>0</v>
      </c>
      <c r="G270" s="22"/>
      <c r="H270" s="22"/>
      <c r="I270" s="22">
        <f t="shared" si="571"/>
        <v>0</v>
      </c>
      <c r="J270" s="22"/>
      <c r="K270" s="22"/>
      <c r="L270" s="22">
        <f t="shared" si="573"/>
        <v>0</v>
      </c>
      <c r="M270" s="22"/>
      <c r="N270" s="22"/>
      <c r="O270" s="22">
        <f t="shared" si="575"/>
        <v>0</v>
      </c>
      <c r="P270" s="22"/>
      <c r="Q270" s="22"/>
      <c r="R270" s="22">
        <f t="shared" si="577"/>
        <v>0</v>
      </c>
      <c r="S270" s="22"/>
      <c r="T270" s="22"/>
      <c r="U270" s="14"/>
      <c r="V270" s="5" t="str">
        <f t="shared" si="579"/>
        <v>-</v>
      </c>
    </row>
    <row r="271" spans="1:22" ht="25.15" customHeight="1" x14ac:dyDescent="0.6">
      <c r="A271" s="30" t="s">
        <v>8</v>
      </c>
      <c r="B271" s="22"/>
      <c r="C271" s="22">
        <f t="shared" si="568"/>
        <v>0</v>
      </c>
      <c r="D271" s="22"/>
      <c r="E271" s="22"/>
      <c r="F271" s="22">
        <f t="shared" si="569"/>
        <v>0</v>
      </c>
      <c r="G271" s="22"/>
      <c r="H271" s="22"/>
      <c r="I271" s="22">
        <f t="shared" si="571"/>
        <v>0</v>
      </c>
      <c r="J271" s="22"/>
      <c r="K271" s="22"/>
      <c r="L271" s="22">
        <f t="shared" si="573"/>
        <v>0</v>
      </c>
      <c r="M271" s="22"/>
      <c r="N271" s="22"/>
      <c r="O271" s="22">
        <f t="shared" si="575"/>
        <v>0</v>
      </c>
      <c r="P271" s="22"/>
      <c r="Q271" s="22"/>
      <c r="R271" s="22">
        <f t="shared" si="577"/>
        <v>0</v>
      </c>
      <c r="S271" s="22"/>
      <c r="T271" s="22"/>
      <c r="U271" s="14"/>
      <c r="V271" s="5" t="str">
        <f t="shared" si="579"/>
        <v>-</v>
      </c>
    </row>
    <row r="272" spans="1:22" ht="25.15" customHeight="1" x14ac:dyDescent="0.6">
      <c r="A272" s="25" t="s">
        <v>9</v>
      </c>
      <c r="B272" s="26">
        <f>B273+B276</f>
        <v>0</v>
      </c>
      <c r="C272" s="26">
        <f t="shared" si="568"/>
        <v>0</v>
      </c>
      <c r="D272" s="26">
        <f>D273+D276</f>
        <v>0</v>
      </c>
      <c r="E272" s="26">
        <f>E273+E276</f>
        <v>0</v>
      </c>
      <c r="F272" s="26">
        <f t="shared" si="569"/>
        <v>0</v>
      </c>
      <c r="G272" s="26">
        <f t="shared" ref="G272:H272" si="665">G273+G276</f>
        <v>0</v>
      </c>
      <c r="H272" s="26">
        <f t="shared" si="665"/>
        <v>0</v>
      </c>
      <c r="I272" s="26">
        <f t="shared" si="571"/>
        <v>0</v>
      </c>
      <c r="J272" s="26">
        <f t="shared" ref="J272:K272" si="666">J273+J276</f>
        <v>0</v>
      </c>
      <c r="K272" s="26">
        <f t="shared" si="666"/>
        <v>0</v>
      </c>
      <c r="L272" s="26">
        <f t="shared" si="573"/>
        <v>0</v>
      </c>
      <c r="M272" s="26">
        <f t="shared" ref="M272:N272" si="667">M273+M276</f>
        <v>0</v>
      </c>
      <c r="N272" s="26">
        <f t="shared" si="667"/>
        <v>0</v>
      </c>
      <c r="O272" s="26">
        <f t="shared" si="575"/>
        <v>0</v>
      </c>
      <c r="P272" s="26">
        <f t="shared" ref="P272:Q272" si="668">P273+P276</f>
        <v>0</v>
      </c>
      <c r="Q272" s="26">
        <f t="shared" si="668"/>
        <v>0</v>
      </c>
      <c r="R272" s="26">
        <f t="shared" si="577"/>
        <v>0</v>
      </c>
      <c r="S272" s="26">
        <f t="shared" ref="S272:T272" si="669">S273+S276</f>
        <v>0</v>
      </c>
      <c r="T272" s="26">
        <f t="shared" si="669"/>
        <v>0</v>
      </c>
      <c r="U272" s="27"/>
      <c r="V272" s="5" t="str">
        <f t="shared" si="579"/>
        <v>-</v>
      </c>
    </row>
    <row r="273" spans="1:22" ht="25.15" customHeight="1" x14ac:dyDescent="0.6">
      <c r="A273" s="28" t="s">
        <v>3</v>
      </c>
      <c r="B273" s="26">
        <f>SUM(B274:B275)</f>
        <v>0</v>
      </c>
      <c r="C273" s="26">
        <f t="shared" si="568"/>
        <v>0</v>
      </c>
      <c r="D273" s="26">
        <f>SUM(D274:D275)</f>
        <v>0</v>
      </c>
      <c r="E273" s="26">
        <f>SUM(E274:E275)</f>
        <v>0</v>
      </c>
      <c r="F273" s="26">
        <f t="shared" si="569"/>
        <v>0</v>
      </c>
      <c r="G273" s="26">
        <f t="shared" ref="G273:H273" si="670">SUM(G274:G275)</f>
        <v>0</v>
      </c>
      <c r="H273" s="26">
        <f t="shared" si="670"/>
        <v>0</v>
      </c>
      <c r="I273" s="26">
        <f t="shared" si="571"/>
        <v>0</v>
      </c>
      <c r="J273" s="26">
        <f t="shared" ref="J273:K273" si="671">SUM(J274:J275)</f>
        <v>0</v>
      </c>
      <c r="K273" s="26">
        <f t="shared" si="671"/>
        <v>0</v>
      </c>
      <c r="L273" s="26">
        <f t="shared" si="573"/>
        <v>0</v>
      </c>
      <c r="M273" s="26">
        <f t="shared" ref="M273:N273" si="672">SUM(M274:M275)</f>
        <v>0</v>
      </c>
      <c r="N273" s="26">
        <f t="shared" si="672"/>
        <v>0</v>
      </c>
      <c r="O273" s="26">
        <f t="shared" si="575"/>
        <v>0</v>
      </c>
      <c r="P273" s="26">
        <f t="shared" ref="P273:Q273" si="673">SUM(P274:P275)</f>
        <v>0</v>
      </c>
      <c r="Q273" s="26">
        <f t="shared" si="673"/>
        <v>0</v>
      </c>
      <c r="R273" s="26">
        <f t="shared" si="577"/>
        <v>0</v>
      </c>
      <c r="S273" s="26">
        <f t="shared" ref="S273:T273" si="674">SUM(S274:S275)</f>
        <v>0</v>
      </c>
      <c r="T273" s="26">
        <f t="shared" si="674"/>
        <v>0</v>
      </c>
      <c r="U273" s="29"/>
      <c r="V273" s="5" t="str">
        <f t="shared" si="579"/>
        <v>-</v>
      </c>
    </row>
    <row r="274" spans="1:22" ht="25.15" customHeight="1" x14ac:dyDescent="0.6">
      <c r="A274" s="30" t="s">
        <v>5</v>
      </c>
      <c r="B274" s="22"/>
      <c r="C274" s="22">
        <f t="shared" si="568"/>
        <v>0</v>
      </c>
      <c r="D274" s="22"/>
      <c r="E274" s="22"/>
      <c r="F274" s="22">
        <f t="shared" si="569"/>
        <v>0</v>
      </c>
      <c r="G274" s="22"/>
      <c r="H274" s="22"/>
      <c r="I274" s="22">
        <f t="shared" si="571"/>
        <v>0</v>
      </c>
      <c r="J274" s="22"/>
      <c r="K274" s="22"/>
      <c r="L274" s="22">
        <f t="shared" si="573"/>
        <v>0</v>
      </c>
      <c r="M274" s="22"/>
      <c r="N274" s="22"/>
      <c r="O274" s="22">
        <f t="shared" si="575"/>
        <v>0</v>
      </c>
      <c r="P274" s="22"/>
      <c r="Q274" s="22"/>
      <c r="R274" s="22">
        <f t="shared" si="577"/>
        <v>0</v>
      </c>
      <c r="S274" s="22"/>
      <c r="T274" s="22"/>
      <c r="U274" s="14"/>
      <c r="V274" s="5" t="str">
        <f t="shared" si="579"/>
        <v>-</v>
      </c>
    </row>
    <row r="275" spans="1:22" ht="25.15" customHeight="1" x14ac:dyDescent="0.6">
      <c r="A275" s="30" t="s">
        <v>6</v>
      </c>
      <c r="B275" s="22"/>
      <c r="C275" s="22">
        <f t="shared" si="568"/>
        <v>0</v>
      </c>
      <c r="D275" s="22"/>
      <c r="E275" s="22"/>
      <c r="F275" s="22">
        <f t="shared" si="569"/>
        <v>0</v>
      </c>
      <c r="G275" s="22"/>
      <c r="H275" s="22"/>
      <c r="I275" s="22">
        <f t="shared" si="571"/>
        <v>0</v>
      </c>
      <c r="J275" s="22"/>
      <c r="K275" s="22"/>
      <c r="L275" s="22">
        <f t="shared" si="573"/>
        <v>0</v>
      </c>
      <c r="M275" s="22"/>
      <c r="N275" s="22"/>
      <c r="O275" s="22">
        <f t="shared" si="575"/>
        <v>0</v>
      </c>
      <c r="P275" s="22"/>
      <c r="Q275" s="22"/>
      <c r="R275" s="22">
        <f t="shared" si="577"/>
        <v>0</v>
      </c>
      <c r="S275" s="22"/>
      <c r="T275" s="22"/>
      <c r="U275" s="14"/>
      <c r="V275" s="5" t="str">
        <f t="shared" si="579"/>
        <v>-</v>
      </c>
    </row>
    <row r="276" spans="1:22" ht="25.15" customHeight="1" x14ac:dyDescent="0.6">
      <c r="A276" s="28" t="s">
        <v>4</v>
      </c>
      <c r="B276" s="26">
        <f>SUM(B277:B278)</f>
        <v>0</v>
      </c>
      <c r="C276" s="26">
        <f t="shared" si="568"/>
        <v>0</v>
      </c>
      <c r="D276" s="26">
        <f>SUM(D277:D278)</f>
        <v>0</v>
      </c>
      <c r="E276" s="26">
        <f>SUM(E277:E278)</f>
        <v>0</v>
      </c>
      <c r="F276" s="26">
        <f t="shared" si="569"/>
        <v>0</v>
      </c>
      <c r="G276" s="26">
        <f t="shared" ref="G276:H276" si="675">SUM(G277:G278)</f>
        <v>0</v>
      </c>
      <c r="H276" s="26">
        <f t="shared" si="675"/>
        <v>0</v>
      </c>
      <c r="I276" s="26">
        <f t="shared" si="571"/>
        <v>0</v>
      </c>
      <c r="J276" s="26">
        <f t="shared" ref="J276:K276" si="676">SUM(J277:J278)</f>
        <v>0</v>
      </c>
      <c r="K276" s="26">
        <f t="shared" si="676"/>
        <v>0</v>
      </c>
      <c r="L276" s="26">
        <f t="shared" si="573"/>
        <v>0</v>
      </c>
      <c r="M276" s="26">
        <f t="shared" ref="M276:N276" si="677">SUM(M277:M278)</f>
        <v>0</v>
      </c>
      <c r="N276" s="26">
        <f t="shared" si="677"/>
        <v>0</v>
      </c>
      <c r="O276" s="26">
        <f t="shared" si="575"/>
        <v>0</v>
      </c>
      <c r="P276" s="26">
        <f t="shared" ref="P276:Q276" si="678">SUM(P277:P278)</f>
        <v>0</v>
      </c>
      <c r="Q276" s="26">
        <f t="shared" si="678"/>
        <v>0</v>
      </c>
      <c r="R276" s="26">
        <f t="shared" si="577"/>
        <v>0</v>
      </c>
      <c r="S276" s="26">
        <f t="shared" ref="S276:T276" si="679">SUM(S277:S278)</f>
        <v>0</v>
      </c>
      <c r="T276" s="26">
        <f t="shared" si="679"/>
        <v>0</v>
      </c>
      <c r="U276" s="29"/>
      <c r="V276" s="5" t="str">
        <f t="shared" si="579"/>
        <v>-</v>
      </c>
    </row>
    <row r="277" spans="1:22" ht="25.15" customHeight="1" x14ac:dyDescent="0.6">
      <c r="A277" s="30" t="s">
        <v>7</v>
      </c>
      <c r="B277" s="22"/>
      <c r="C277" s="22">
        <f t="shared" si="568"/>
        <v>0</v>
      </c>
      <c r="D277" s="22"/>
      <c r="E277" s="22"/>
      <c r="F277" s="22">
        <f t="shared" si="569"/>
        <v>0</v>
      </c>
      <c r="G277" s="22"/>
      <c r="H277" s="22"/>
      <c r="I277" s="22">
        <f t="shared" si="571"/>
        <v>0</v>
      </c>
      <c r="J277" s="22"/>
      <c r="K277" s="22"/>
      <c r="L277" s="22">
        <f t="shared" si="573"/>
        <v>0</v>
      </c>
      <c r="M277" s="22"/>
      <c r="N277" s="22"/>
      <c r="O277" s="22">
        <f t="shared" si="575"/>
        <v>0</v>
      </c>
      <c r="P277" s="22"/>
      <c r="Q277" s="22"/>
      <c r="R277" s="22">
        <f t="shared" si="577"/>
        <v>0</v>
      </c>
      <c r="S277" s="22"/>
      <c r="T277" s="22"/>
      <c r="U277" s="14"/>
      <c r="V277" s="5" t="str">
        <f t="shared" si="579"/>
        <v>-</v>
      </c>
    </row>
    <row r="278" spans="1:22" ht="25.15" customHeight="1" x14ac:dyDescent="0.6">
      <c r="A278" s="30" t="s">
        <v>8</v>
      </c>
      <c r="B278" s="22"/>
      <c r="C278" s="22">
        <f t="shared" si="568"/>
        <v>0</v>
      </c>
      <c r="D278" s="22"/>
      <c r="E278" s="22"/>
      <c r="F278" s="22">
        <f t="shared" si="569"/>
        <v>0</v>
      </c>
      <c r="G278" s="22"/>
      <c r="H278" s="22"/>
      <c r="I278" s="22">
        <f t="shared" si="571"/>
        <v>0</v>
      </c>
      <c r="J278" s="22"/>
      <c r="K278" s="22"/>
      <c r="L278" s="22">
        <f t="shared" si="573"/>
        <v>0</v>
      </c>
      <c r="M278" s="22"/>
      <c r="N278" s="22"/>
      <c r="O278" s="22">
        <f t="shared" si="575"/>
        <v>0</v>
      </c>
      <c r="P278" s="22"/>
      <c r="Q278" s="22"/>
      <c r="R278" s="22">
        <f t="shared" si="577"/>
        <v>0</v>
      </c>
      <c r="S278" s="22"/>
      <c r="T278" s="22"/>
      <c r="U278" s="14"/>
      <c r="V278" s="5" t="str">
        <f t="shared" si="579"/>
        <v>-</v>
      </c>
    </row>
    <row r="279" spans="1:22" ht="25.15" customHeight="1" x14ac:dyDescent="0.6">
      <c r="A279" s="18" t="s">
        <v>45</v>
      </c>
      <c r="B279" s="23">
        <f>B280+B287</f>
        <v>0</v>
      </c>
      <c r="C279" s="23">
        <f t="shared" si="568"/>
        <v>0</v>
      </c>
      <c r="D279" s="23">
        <f>D280+D287</f>
        <v>0</v>
      </c>
      <c r="E279" s="23">
        <f>E280+E287</f>
        <v>0</v>
      </c>
      <c r="F279" s="23">
        <f t="shared" si="569"/>
        <v>0</v>
      </c>
      <c r="G279" s="23">
        <f t="shared" ref="G279:H279" si="680">G280+G287</f>
        <v>0</v>
      </c>
      <c r="H279" s="23">
        <f t="shared" si="680"/>
        <v>0</v>
      </c>
      <c r="I279" s="23">
        <f t="shared" si="571"/>
        <v>0</v>
      </c>
      <c r="J279" s="23">
        <f t="shared" ref="J279:K279" si="681">J280+J287</f>
        <v>0</v>
      </c>
      <c r="K279" s="23">
        <f t="shared" si="681"/>
        <v>0</v>
      </c>
      <c r="L279" s="23">
        <f t="shared" si="573"/>
        <v>0</v>
      </c>
      <c r="M279" s="23">
        <f t="shared" ref="M279:N279" si="682">M280+M287</f>
        <v>0</v>
      </c>
      <c r="N279" s="23">
        <f t="shared" si="682"/>
        <v>0</v>
      </c>
      <c r="O279" s="23">
        <f t="shared" si="575"/>
        <v>0</v>
      </c>
      <c r="P279" s="23">
        <f t="shared" ref="P279:Q279" si="683">P280+P287</f>
        <v>0</v>
      </c>
      <c r="Q279" s="23">
        <f t="shared" si="683"/>
        <v>0</v>
      </c>
      <c r="R279" s="23">
        <f t="shared" si="577"/>
        <v>0</v>
      </c>
      <c r="S279" s="23">
        <f t="shared" ref="S279:T279" si="684">S280+S287</f>
        <v>0</v>
      </c>
      <c r="T279" s="23">
        <f t="shared" si="684"/>
        <v>0</v>
      </c>
      <c r="U279" s="20"/>
      <c r="V279" s="5" t="str">
        <f t="shared" si="579"/>
        <v>-</v>
      </c>
    </row>
    <row r="280" spans="1:22" ht="25.15" customHeight="1" x14ac:dyDescent="0.6">
      <c r="A280" s="25" t="s">
        <v>2</v>
      </c>
      <c r="B280" s="26">
        <f>B281+B284</f>
        <v>0</v>
      </c>
      <c r="C280" s="26">
        <f t="shared" si="568"/>
        <v>0</v>
      </c>
      <c r="D280" s="26">
        <f>D281+D284</f>
        <v>0</v>
      </c>
      <c r="E280" s="26">
        <f>E281+E284</f>
        <v>0</v>
      </c>
      <c r="F280" s="26">
        <f t="shared" si="569"/>
        <v>0</v>
      </c>
      <c r="G280" s="26">
        <f t="shared" ref="G280:H280" si="685">G281+G284</f>
        <v>0</v>
      </c>
      <c r="H280" s="26">
        <f t="shared" si="685"/>
        <v>0</v>
      </c>
      <c r="I280" s="26">
        <f t="shared" si="571"/>
        <v>0</v>
      </c>
      <c r="J280" s="26">
        <f t="shared" ref="J280:K280" si="686">J281+J284</f>
        <v>0</v>
      </c>
      <c r="K280" s="26">
        <f t="shared" si="686"/>
        <v>0</v>
      </c>
      <c r="L280" s="26">
        <f t="shared" si="573"/>
        <v>0</v>
      </c>
      <c r="M280" s="26">
        <f t="shared" ref="M280:N280" si="687">M281+M284</f>
        <v>0</v>
      </c>
      <c r="N280" s="26">
        <f t="shared" si="687"/>
        <v>0</v>
      </c>
      <c r="O280" s="26">
        <f t="shared" si="575"/>
        <v>0</v>
      </c>
      <c r="P280" s="26">
        <f t="shared" ref="P280:Q280" si="688">P281+P284</f>
        <v>0</v>
      </c>
      <c r="Q280" s="26">
        <f t="shared" si="688"/>
        <v>0</v>
      </c>
      <c r="R280" s="26">
        <f t="shared" si="577"/>
        <v>0</v>
      </c>
      <c r="S280" s="26">
        <f t="shared" ref="S280:T280" si="689">S281+S284</f>
        <v>0</v>
      </c>
      <c r="T280" s="26">
        <f t="shared" si="689"/>
        <v>0</v>
      </c>
      <c r="U280" s="27"/>
      <c r="V280" s="5" t="str">
        <f t="shared" si="579"/>
        <v>-</v>
      </c>
    </row>
    <row r="281" spans="1:22" ht="25.15" customHeight="1" x14ac:dyDescent="0.6">
      <c r="A281" s="28" t="s">
        <v>3</v>
      </c>
      <c r="B281" s="26">
        <f>SUM(B282:B283)</f>
        <v>0</v>
      </c>
      <c r="C281" s="26">
        <f t="shared" si="568"/>
        <v>0</v>
      </c>
      <c r="D281" s="26">
        <f>SUM(D282:D283)</f>
        <v>0</v>
      </c>
      <c r="E281" s="26">
        <f>SUM(E282:E283)</f>
        <v>0</v>
      </c>
      <c r="F281" s="26">
        <f t="shared" si="569"/>
        <v>0</v>
      </c>
      <c r="G281" s="26">
        <f t="shared" ref="G281:H281" si="690">SUM(G282:G283)</f>
        <v>0</v>
      </c>
      <c r="H281" s="26">
        <f t="shared" si="690"/>
        <v>0</v>
      </c>
      <c r="I281" s="26">
        <f t="shared" si="571"/>
        <v>0</v>
      </c>
      <c r="J281" s="26">
        <f t="shared" ref="J281:K281" si="691">SUM(J282:J283)</f>
        <v>0</v>
      </c>
      <c r="K281" s="26">
        <f t="shared" si="691"/>
        <v>0</v>
      </c>
      <c r="L281" s="26">
        <f t="shared" si="573"/>
        <v>0</v>
      </c>
      <c r="M281" s="26">
        <f t="shared" ref="M281:N281" si="692">SUM(M282:M283)</f>
        <v>0</v>
      </c>
      <c r="N281" s="26">
        <f t="shared" si="692"/>
        <v>0</v>
      </c>
      <c r="O281" s="26">
        <f t="shared" si="575"/>
        <v>0</v>
      </c>
      <c r="P281" s="26">
        <f t="shared" ref="P281:Q281" si="693">SUM(P282:P283)</f>
        <v>0</v>
      </c>
      <c r="Q281" s="26">
        <f t="shared" si="693"/>
        <v>0</v>
      </c>
      <c r="R281" s="26">
        <f t="shared" si="577"/>
        <v>0</v>
      </c>
      <c r="S281" s="26">
        <f t="shared" ref="S281:T281" si="694">SUM(S282:S283)</f>
        <v>0</v>
      </c>
      <c r="T281" s="26">
        <f t="shared" si="694"/>
        <v>0</v>
      </c>
      <c r="U281" s="29"/>
      <c r="V281" s="5" t="str">
        <f t="shared" si="579"/>
        <v>-</v>
      </c>
    </row>
    <row r="282" spans="1:22" ht="25.15" customHeight="1" x14ac:dyDescent="0.6">
      <c r="A282" s="30" t="s">
        <v>5</v>
      </c>
      <c r="B282" s="22"/>
      <c r="C282" s="22">
        <f t="shared" si="568"/>
        <v>0</v>
      </c>
      <c r="D282" s="22"/>
      <c r="E282" s="22"/>
      <c r="F282" s="22">
        <f t="shared" si="569"/>
        <v>0</v>
      </c>
      <c r="G282" s="22"/>
      <c r="H282" s="22"/>
      <c r="I282" s="22">
        <f t="shared" si="571"/>
        <v>0</v>
      </c>
      <c r="J282" s="22"/>
      <c r="K282" s="22"/>
      <c r="L282" s="22">
        <f t="shared" si="573"/>
        <v>0</v>
      </c>
      <c r="M282" s="22"/>
      <c r="N282" s="22"/>
      <c r="O282" s="22">
        <f t="shared" si="575"/>
        <v>0</v>
      </c>
      <c r="P282" s="22"/>
      <c r="Q282" s="22"/>
      <c r="R282" s="22">
        <f t="shared" si="577"/>
        <v>0</v>
      </c>
      <c r="S282" s="22"/>
      <c r="T282" s="22"/>
      <c r="U282" s="14"/>
      <c r="V282" s="5" t="str">
        <f t="shared" si="579"/>
        <v>-</v>
      </c>
    </row>
    <row r="283" spans="1:22" ht="25.5" customHeight="1" x14ac:dyDescent="0.6">
      <c r="A283" s="30" t="s">
        <v>6</v>
      </c>
      <c r="B283" s="22"/>
      <c r="C283" s="22">
        <f t="shared" si="568"/>
        <v>0</v>
      </c>
      <c r="D283" s="22"/>
      <c r="E283" s="22"/>
      <c r="F283" s="22">
        <f t="shared" si="569"/>
        <v>0</v>
      </c>
      <c r="G283" s="22"/>
      <c r="H283" s="22"/>
      <c r="I283" s="22">
        <f t="shared" si="571"/>
        <v>0</v>
      </c>
      <c r="J283" s="22"/>
      <c r="K283" s="22"/>
      <c r="L283" s="22">
        <f t="shared" si="573"/>
        <v>0</v>
      </c>
      <c r="M283" s="22"/>
      <c r="N283" s="22"/>
      <c r="O283" s="22">
        <f t="shared" si="575"/>
        <v>0</v>
      </c>
      <c r="P283" s="22"/>
      <c r="Q283" s="22"/>
      <c r="R283" s="22">
        <f t="shared" si="577"/>
        <v>0</v>
      </c>
      <c r="S283" s="22"/>
      <c r="T283" s="22"/>
      <c r="U283" s="14"/>
      <c r="V283" s="5" t="str">
        <f t="shared" si="579"/>
        <v>-</v>
      </c>
    </row>
    <row r="284" spans="1:22" ht="25.15" customHeight="1" x14ac:dyDescent="0.6">
      <c r="A284" s="28" t="s">
        <v>4</v>
      </c>
      <c r="B284" s="26">
        <f>SUM(B285:B286)</f>
        <v>0</v>
      </c>
      <c r="C284" s="26">
        <f t="shared" si="568"/>
        <v>0</v>
      </c>
      <c r="D284" s="26">
        <f>SUM(D285:D286)</f>
        <v>0</v>
      </c>
      <c r="E284" s="26">
        <f>SUM(E285:E286)</f>
        <v>0</v>
      </c>
      <c r="F284" s="26">
        <f t="shared" si="569"/>
        <v>0</v>
      </c>
      <c r="G284" s="26">
        <f t="shared" ref="G284:H284" si="695">SUM(G285:G286)</f>
        <v>0</v>
      </c>
      <c r="H284" s="26">
        <f t="shared" si="695"/>
        <v>0</v>
      </c>
      <c r="I284" s="26">
        <f t="shared" si="571"/>
        <v>0</v>
      </c>
      <c r="J284" s="26">
        <f t="shared" ref="J284:K284" si="696">SUM(J285:J286)</f>
        <v>0</v>
      </c>
      <c r="K284" s="26">
        <f t="shared" si="696"/>
        <v>0</v>
      </c>
      <c r="L284" s="26">
        <f t="shared" si="573"/>
        <v>0</v>
      </c>
      <c r="M284" s="26">
        <f t="shared" ref="M284:N284" si="697">SUM(M285:M286)</f>
        <v>0</v>
      </c>
      <c r="N284" s="26">
        <f t="shared" si="697"/>
        <v>0</v>
      </c>
      <c r="O284" s="26">
        <f t="shared" si="575"/>
        <v>0</v>
      </c>
      <c r="P284" s="26">
        <f t="shared" ref="P284:Q284" si="698">SUM(P285:P286)</f>
        <v>0</v>
      </c>
      <c r="Q284" s="26">
        <f t="shared" si="698"/>
        <v>0</v>
      </c>
      <c r="R284" s="26">
        <f t="shared" si="577"/>
        <v>0</v>
      </c>
      <c r="S284" s="26">
        <f t="shared" ref="S284:T284" si="699">SUM(S285:S286)</f>
        <v>0</v>
      </c>
      <c r="T284" s="26">
        <f t="shared" si="699"/>
        <v>0</v>
      </c>
      <c r="U284" s="29"/>
      <c r="V284" s="5" t="str">
        <f t="shared" si="579"/>
        <v>-</v>
      </c>
    </row>
    <row r="285" spans="1:22" ht="25.15" customHeight="1" x14ac:dyDescent="0.6">
      <c r="A285" s="30" t="s">
        <v>7</v>
      </c>
      <c r="B285" s="22"/>
      <c r="C285" s="22">
        <f t="shared" si="568"/>
        <v>0</v>
      </c>
      <c r="D285" s="22"/>
      <c r="E285" s="22"/>
      <c r="F285" s="22">
        <f t="shared" si="569"/>
        <v>0</v>
      </c>
      <c r="G285" s="22"/>
      <c r="H285" s="22"/>
      <c r="I285" s="22">
        <f t="shared" si="571"/>
        <v>0</v>
      </c>
      <c r="J285" s="22"/>
      <c r="K285" s="22"/>
      <c r="L285" s="22">
        <f t="shared" si="573"/>
        <v>0</v>
      </c>
      <c r="M285" s="22"/>
      <c r="N285" s="22"/>
      <c r="O285" s="22">
        <f t="shared" si="575"/>
        <v>0</v>
      </c>
      <c r="P285" s="22"/>
      <c r="Q285" s="22"/>
      <c r="R285" s="22">
        <f t="shared" si="577"/>
        <v>0</v>
      </c>
      <c r="S285" s="22"/>
      <c r="T285" s="22"/>
      <c r="U285" s="14"/>
      <c r="V285" s="5" t="str">
        <f t="shared" si="579"/>
        <v>-</v>
      </c>
    </row>
    <row r="286" spans="1:22" ht="25.15" customHeight="1" x14ac:dyDescent="0.6">
      <c r="A286" s="30" t="s">
        <v>8</v>
      </c>
      <c r="B286" s="22"/>
      <c r="C286" s="22">
        <f t="shared" si="568"/>
        <v>0</v>
      </c>
      <c r="D286" s="22"/>
      <c r="E286" s="22"/>
      <c r="F286" s="22">
        <f t="shared" si="569"/>
        <v>0</v>
      </c>
      <c r="G286" s="22"/>
      <c r="H286" s="22"/>
      <c r="I286" s="22">
        <f t="shared" si="571"/>
        <v>0</v>
      </c>
      <c r="J286" s="22"/>
      <c r="K286" s="22"/>
      <c r="L286" s="22">
        <f t="shared" si="573"/>
        <v>0</v>
      </c>
      <c r="M286" s="22"/>
      <c r="N286" s="22"/>
      <c r="O286" s="22">
        <f t="shared" si="575"/>
        <v>0</v>
      </c>
      <c r="P286" s="22"/>
      <c r="Q286" s="22"/>
      <c r="R286" s="22">
        <f t="shared" si="577"/>
        <v>0</v>
      </c>
      <c r="S286" s="22"/>
      <c r="T286" s="22"/>
      <c r="U286" s="14"/>
      <c r="V286" s="5" t="str">
        <f t="shared" si="579"/>
        <v>-</v>
      </c>
    </row>
    <row r="287" spans="1:22" ht="25.15" customHeight="1" x14ac:dyDescent="0.6">
      <c r="A287" s="25" t="s">
        <v>9</v>
      </c>
      <c r="B287" s="26">
        <f>B288+B291</f>
        <v>0</v>
      </c>
      <c r="C287" s="26">
        <f t="shared" si="568"/>
        <v>0</v>
      </c>
      <c r="D287" s="26">
        <f>D288+D291</f>
        <v>0</v>
      </c>
      <c r="E287" s="26">
        <f>E288+E291</f>
        <v>0</v>
      </c>
      <c r="F287" s="26">
        <f t="shared" si="569"/>
        <v>0</v>
      </c>
      <c r="G287" s="26">
        <f t="shared" ref="G287:H287" si="700">G288+G291</f>
        <v>0</v>
      </c>
      <c r="H287" s="26">
        <f t="shared" si="700"/>
        <v>0</v>
      </c>
      <c r="I287" s="26">
        <f t="shared" si="571"/>
        <v>0</v>
      </c>
      <c r="J287" s="26">
        <f t="shared" ref="J287:K287" si="701">J288+J291</f>
        <v>0</v>
      </c>
      <c r="K287" s="26">
        <f t="shared" si="701"/>
        <v>0</v>
      </c>
      <c r="L287" s="26">
        <f t="shared" si="573"/>
        <v>0</v>
      </c>
      <c r="M287" s="26">
        <f t="shared" ref="M287:N287" si="702">M288+M291</f>
        <v>0</v>
      </c>
      <c r="N287" s="26">
        <f t="shared" si="702"/>
        <v>0</v>
      </c>
      <c r="O287" s="26">
        <f t="shared" si="575"/>
        <v>0</v>
      </c>
      <c r="P287" s="26">
        <f t="shared" ref="P287:Q287" si="703">P288+P291</f>
        <v>0</v>
      </c>
      <c r="Q287" s="26">
        <f t="shared" si="703"/>
        <v>0</v>
      </c>
      <c r="R287" s="26">
        <f t="shared" si="577"/>
        <v>0</v>
      </c>
      <c r="S287" s="26">
        <f t="shared" ref="S287:T287" si="704">S288+S291</f>
        <v>0</v>
      </c>
      <c r="T287" s="26">
        <f t="shared" si="704"/>
        <v>0</v>
      </c>
      <c r="U287" s="27"/>
      <c r="V287" s="5" t="str">
        <f t="shared" si="579"/>
        <v>-</v>
      </c>
    </row>
    <row r="288" spans="1:22" ht="25.15" customHeight="1" x14ac:dyDescent="0.6">
      <c r="A288" s="28" t="s">
        <v>3</v>
      </c>
      <c r="B288" s="26">
        <f>SUM(B289:B290)</f>
        <v>0</v>
      </c>
      <c r="C288" s="26">
        <f t="shared" si="568"/>
        <v>0</v>
      </c>
      <c r="D288" s="26">
        <f>SUM(D289:D290)</f>
        <v>0</v>
      </c>
      <c r="E288" s="26">
        <f>SUM(E289:E290)</f>
        <v>0</v>
      </c>
      <c r="F288" s="26">
        <f t="shared" si="569"/>
        <v>0</v>
      </c>
      <c r="G288" s="26">
        <f t="shared" ref="G288:H288" si="705">SUM(G289:G290)</f>
        <v>0</v>
      </c>
      <c r="H288" s="26">
        <f t="shared" si="705"/>
        <v>0</v>
      </c>
      <c r="I288" s="26">
        <f t="shared" si="571"/>
        <v>0</v>
      </c>
      <c r="J288" s="26">
        <f t="shared" ref="J288:K288" si="706">SUM(J289:J290)</f>
        <v>0</v>
      </c>
      <c r="K288" s="26">
        <f t="shared" si="706"/>
        <v>0</v>
      </c>
      <c r="L288" s="26">
        <f t="shared" si="573"/>
        <v>0</v>
      </c>
      <c r="M288" s="26">
        <f t="shared" ref="M288:N288" si="707">SUM(M289:M290)</f>
        <v>0</v>
      </c>
      <c r="N288" s="26">
        <f t="shared" si="707"/>
        <v>0</v>
      </c>
      <c r="O288" s="26">
        <f t="shared" si="575"/>
        <v>0</v>
      </c>
      <c r="P288" s="26">
        <f t="shared" ref="P288:Q288" si="708">SUM(P289:P290)</f>
        <v>0</v>
      </c>
      <c r="Q288" s="26">
        <f t="shared" si="708"/>
        <v>0</v>
      </c>
      <c r="R288" s="26">
        <f t="shared" si="577"/>
        <v>0</v>
      </c>
      <c r="S288" s="26">
        <f t="shared" ref="S288:T288" si="709">SUM(S289:S290)</f>
        <v>0</v>
      </c>
      <c r="T288" s="26">
        <f t="shared" si="709"/>
        <v>0</v>
      </c>
      <c r="U288" s="29"/>
      <c r="V288" s="5" t="str">
        <f t="shared" si="579"/>
        <v>-</v>
      </c>
    </row>
    <row r="289" spans="1:22" ht="25.15" customHeight="1" x14ac:dyDescent="0.6">
      <c r="A289" s="30" t="s">
        <v>5</v>
      </c>
      <c r="B289" s="22"/>
      <c r="C289" s="22">
        <f t="shared" si="568"/>
        <v>0</v>
      </c>
      <c r="D289" s="22"/>
      <c r="E289" s="22"/>
      <c r="F289" s="22">
        <f t="shared" si="569"/>
        <v>0</v>
      </c>
      <c r="G289" s="22"/>
      <c r="H289" s="22"/>
      <c r="I289" s="22">
        <f t="shared" si="571"/>
        <v>0</v>
      </c>
      <c r="J289" s="22"/>
      <c r="K289" s="22"/>
      <c r="L289" s="22">
        <f t="shared" si="573"/>
        <v>0</v>
      </c>
      <c r="M289" s="22"/>
      <c r="N289" s="22"/>
      <c r="O289" s="22">
        <f t="shared" si="575"/>
        <v>0</v>
      </c>
      <c r="P289" s="22"/>
      <c r="Q289" s="22"/>
      <c r="R289" s="22">
        <f t="shared" si="577"/>
        <v>0</v>
      </c>
      <c r="S289" s="22"/>
      <c r="T289" s="22"/>
      <c r="U289" s="14"/>
      <c r="V289" s="5" t="str">
        <f t="shared" si="579"/>
        <v>-</v>
      </c>
    </row>
    <row r="290" spans="1:22" ht="25.15" customHeight="1" x14ac:dyDescent="0.6">
      <c r="A290" s="30" t="s">
        <v>6</v>
      </c>
      <c r="B290" s="22"/>
      <c r="C290" s="22">
        <f t="shared" si="568"/>
        <v>0</v>
      </c>
      <c r="D290" s="22"/>
      <c r="E290" s="22"/>
      <c r="F290" s="22">
        <f t="shared" si="569"/>
        <v>0</v>
      </c>
      <c r="G290" s="22"/>
      <c r="H290" s="22"/>
      <c r="I290" s="22">
        <f t="shared" si="571"/>
        <v>0</v>
      </c>
      <c r="J290" s="22"/>
      <c r="K290" s="22"/>
      <c r="L290" s="22">
        <f t="shared" si="573"/>
        <v>0</v>
      </c>
      <c r="M290" s="22"/>
      <c r="N290" s="22"/>
      <c r="O290" s="22">
        <f t="shared" si="575"/>
        <v>0</v>
      </c>
      <c r="P290" s="22"/>
      <c r="Q290" s="22"/>
      <c r="R290" s="22">
        <f t="shared" si="577"/>
        <v>0</v>
      </c>
      <c r="S290" s="22"/>
      <c r="T290" s="22"/>
      <c r="U290" s="14"/>
      <c r="V290" s="5" t="str">
        <f t="shared" si="579"/>
        <v>-</v>
      </c>
    </row>
    <row r="291" spans="1:22" ht="25.15" customHeight="1" x14ac:dyDescent="0.6">
      <c r="A291" s="28" t="s">
        <v>4</v>
      </c>
      <c r="B291" s="26">
        <f>SUM(B292:B293)</f>
        <v>0</v>
      </c>
      <c r="C291" s="26">
        <f t="shared" si="568"/>
        <v>0</v>
      </c>
      <c r="D291" s="26">
        <f>SUM(D292:D293)</f>
        <v>0</v>
      </c>
      <c r="E291" s="26">
        <f>SUM(E292:E293)</f>
        <v>0</v>
      </c>
      <c r="F291" s="26">
        <f t="shared" si="569"/>
        <v>0</v>
      </c>
      <c r="G291" s="26">
        <f t="shared" ref="G291:H291" si="710">SUM(G292:G293)</f>
        <v>0</v>
      </c>
      <c r="H291" s="26">
        <f t="shared" si="710"/>
        <v>0</v>
      </c>
      <c r="I291" s="26">
        <f t="shared" si="571"/>
        <v>0</v>
      </c>
      <c r="J291" s="26">
        <f t="shared" ref="J291:K291" si="711">SUM(J292:J293)</f>
        <v>0</v>
      </c>
      <c r="K291" s="26">
        <f t="shared" si="711"/>
        <v>0</v>
      </c>
      <c r="L291" s="26">
        <f t="shared" si="573"/>
        <v>0</v>
      </c>
      <c r="M291" s="26">
        <f t="shared" ref="M291:N291" si="712">SUM(M292:M293)</f>
        <v>0</v>
      </c>
      <c r="N291" s="26">
        <f t="shared" si="712"/>
        <v>0</v>
      </c>
      <c r="O291" s="26">
        <f t="shared" si="575"/>
        <v>0</v>
      </c>
      <c r="P291" s="26">
        <f t="shared" ref="P291:Q291" si="713">SUM(P292:P293)</f>
        <v>0</v>
      </c>
      <c r="Q291" s="26">
        <f t="shared" si="713"/>
        <v>0</v>
      </c>
      <c r="R291" s="26">
        <f t="shared" si="577"/>
        <v>0</v>
      </c>
      <c r="S291" s="26">
        <f t="shared" ref="S291:T291" si="714">SUM(S292:S293)</f>
        <v>0</v>
      </c>
      <c r="T291" s="26">
        <f t="shared" si="714"/>
        <v>0</v>
      </c>
      <c r="U291" s="29"/>
      <c r="V291" s="5" t="str">
        <f t="shared" si="579"/>
        <v>-</v>
      </c>
    </row>
    <row r="292" spans="1:22" ht="25.15" customHeight="1" x14ac:dyDescent="0.6">
      <c r="A292" s="30" t="s">
        <v>7</v>
      </c>
      <c r="B292" s="22"/>
      <c r="C292" s="22">
        <f t="shared" si="568"/>
        <v>0</v>
      </c>
      <c r="D292" s="22"/>
      <c r="E292" s="22"/>
      <c r="F292" s="22">
        <f t="shared" si="569"/>
        <v>0</v>
      </c>
      <c r="G292" s="22"/>
      <c r="H292" s="22"/>
      <c r="I292" s="22">
        <f t="shared" si="571"/>
        <v>0</v>
      </c>
      <c r="J292" s="22"/>
      <c r="K292" s="22"/>
      <c r="L292" s="22">
        <f t="shared" si="573"/>
        <v>0</v>
      </c>
      <c r="M292" s="22"/>
      <c r="N292" s="22"/>
      <c r="O292" s="22">
        <f t="shared" si="575"/>
        <v>0</v>
      </c>
      <c r="P292" s="22"/>
      <c r="Q292" s="22"/>
      <c r="R292" s="22">
        <f t="shared" si="577"/>
        <v>0</v>
      </c>
      <c r="S292" s="22"/>
      <c r="T292" s="22"/>
      <c r="U292" s="14"/>
      <c r="V292" s="5" t="str">
        <f t="shared" si="579"/>
        <v>-</v>
      </c>
    </row>
    <row r="293" spans="1:22" ht="25.15" customHeight="1" x14ac:dyDescent="0.6">
      <c r="A293" s="30" t="s">
        <v>8</v>
      </c>
      <c r="B293" s="22"/>
      <c r="C293" s="22">
        <f t="shared" si="568"/>
        <v>0</v>
      </c>
      <c r="D293" s="22"/>
      <c r="E293" s="22"/>
      <c r="F293" s="22">
        <f t="shared" si="569"/>
        <v>0</v>
      </c>
      <c r="G293" s="22"/>
      <c r="H293" s="22"/>
      <c r="I293" s="22">
        <f t="shared" si="571"/>
        <v>0</v>
      </c>
      <c r="J293" s="22"/>
      <c r="K293" s="22"/>
      <c r="L293" s="22">
        <f t="shared" si="573"/>
        <v>0</v>
      </c>
      <c r="M293" s="22"/>
      <c r="N293" s="22"/>
      <c r="O293" s="22">
        <f t="shared" si="575"/>
        <v>0</v>
      </c>
      <c r="P293" s="22"/>
      <c r="Q293" s="22"/>
      <c r="R293" s="22">
        <f t="shared" si="577"/>
        <v>0</v>
      </c>
      <c r="S293" s="22"/>
      <c r="T293" s="22"/>
      <c r="U293" s="14"/>
      <c r="V293" s="5" t="str">
        <f t="shared" si="579"/>
        <v>-</v>
      </c>
    </row>
    <row r="294" spans="1:22" ht="25.15" customHeight="1" x14ac:dyDescent="0.6">
      <c r="A294" s="18" t="s">
        <v>46</v>
      </c>
      <c r="B294" s="23">
        <f>B295+B302</f>
        <v>0</v>
      </c>
      <c r="C294" s="23">
        <f t="shared" si="568"/>
        <v>0</v>
      </c>
      <c r="D294" s="23">
        <f>D295+D302</f>
        <v>0</v>
      </c>
      <c r="E294" s="23">
        <f>E295+E302</f>
        <v>0</v>
      </c>
      <c r="F294" s="23">
        <f t="shared" si="569"/>
        <v>0</v>
      </c>
      <c r="G294" s="23">
        <f t="shared" ref="G294:H294" si="715">G295+G302</f>
        <v>0</v>
      </c>
      <c r="H294" s="23">
        <f t="shared" si="715"/>
        <v>0</v>
      </c>
      <c r="I294" s="23">
        <f t="shared" si="571"/>
        <v>0</v>
      </c>
      <c r="J294" s="23">
        <f t="shared" ref="J294:K294" si="716">J295+J302</f>
        <v>0</v>
      </c>
      <c r="K294" s="23">
        <f t="shared" si="716"/>
        <v>0</v>
      </c>
      <c r="L294" s="23">
        <f t="shared" si="573"/>
        <v>0</v>
      </c>
      <c r="M294" s="23">
        <f t="shared" ref="M294:N294" si="717">M295+M302</f>
        <v>0</v>
      </c>
      <c r="N294" s="23">
        <f t="shared" si="717"/>
        <v>0</v>
      </c>
      <c r="O294" s="23">
        <f t="shared" si="575"/>
        <v>0</v>
      </c>
      <c r="P294" s="23">
        <f t="shared" ref="P294:Q294" si="718">P295+P302</f>
        <v>0</v>
      </c>
      <c r="Q294" s="23">
        <f t="shared" si="718"/>
        <v>0</v>
      </c>
      <c r="R294" s="23">
        <f t="shared" si="577"/>
        <v>0</v>
      </c>
      <c r="S294" s="23">
        <f t="shared" ref="S294:T294" si="719">S295+S302</f>
        <v>0</v>
      </c>
      <c r="T294" s="23">
        <f t="shared" si="719"/>
        <v>0</v>
      </c>
      <c r="U294" s="20"/>
      <c r="V294" s="5" t="str">
        <f t="shared" si="579"/>
        <v>-</v>
      </c>
    </row>
    <row r="295" spans="1:22" ht="25.15" customHeight="1" x14ac:dyDescent="0.6">
      <c r="A295" s="25" t="s">
        <v>2</v>
      </c>
      <c r="B295" s="26">
        <f>B296+B299</f>
        <v>0</v>
      </c>
      <c r="C295" s="26">
        <f t="shared" si="568"/>
        <v>0</v>
      </c>
      <c r="D295" s="26">
        <f>D296+D299</f>
        <v>0</v>
      </c>
      <c r="E295" s="26">
        <f>E296+E299</f>
        <v>0</v>
      </c>
      <c r="F295" s="26">
        <f t="shared" si="569"/>
        <v>0</v>
      </c>
      <c r="G295" s="26">
        <f t="shared" ref="G295:H295" si="720">G296+G299</f>
        <v>0</v>
      </c>
      <c r="H295" s="26">
        <f t="shared" si="720"/>
        <v>0</v>
      </c>
      <c r="I295" s="26">
        <f t="shared" si="571"/>
        <v>0</v>
      </c>
      <c r="J295" s="26">
        <f t="shared" ref="J295:K295" si="721">J296+J299</f>
        <v>0</v>
      </c>
      <c r="K295" s="26">
        <f t="shared" si="721"/>
        <v>0</v>
      </c>
      <c r="L295" s="26">
        <f t="shared" si="573"/>
        <v>0</v>
      </c>
      <c r="M295" s="26">
        <f t="shared" ref="M295:N295" si="722">M296+M299</f>
        <v>0</v>
      </c>
      <c r="N295" s="26">
        <f t="shared" si="722"/>
        <v>0</v>
      </c>
      <c r="O295" s="26">
        <f t="shared" si="575"/>
        <v>0</v>
      </c>
      <c r="P295" s="26">
        <f t="shared" ref="P295:Q295" si="723">P296+P299</f>
        <v>0</v>
      </c>
      <c r="Q295" s="26">
        <f t="shared" si="723"/>
        <v>0</v>
      </c>
      <c r="R295" s="26">
        <f t="shared" si="577"/>
        <v>0</v>
      </c>
      <c r="S295" s="26">
        <f t="shared" ref="S295:T295" si="724">S296+S299</f>
        <v>0</v>
      </c>
      <c r="T295" s="26">
        <f t="shared" si="724"/>
        <v>0</v>
      </c>
      <c r="U295" s="27"/>
      <c r="V295" s="5" t="str">
        <f t="shared" si="579"/>
        <v>-</v>
      </c>
    </row>
    <row r="296" spans="1:22" ht="25.15" customHeight="1" x14ac:dyDescent="0.6">
      <c r="A296" s="28" t="s">
        <v>3</v>
      </c>
      <c r="B296" s="26">
        <f>SUM(B297:B298)</f>
        <v>0</v>
      </c>
      <c r="C296" s="26">
        <f t="shared" si="568"/>
        <v>0</v>
      </c>
      <c r="D296" s="26">
        <f>SUM(D297:D298)</f>
        <v>0</v>
      </c>
      <c r="E296" s="26">
        <f>SUM(E297:E298)</f>
        <v>0</v>
      </c>
      <c r="F296" s="26">
        <f t="shared" si="569"/>
        <v>0</v>
      </c>
      <c r="G296" s="26">
        <f t="shared" ref="G296:H296" si="725">SUM(G297:G298)</f>
        <v>0</v>
      </c>
      <c r="H296" s="26">
        <f t="shared" si="725"/>
        <v>0</v>
      </c>
      <c r="I296" s="26">
        <f t="shared" si="571"/>
        <v>0</v>
      </c>
      <c r="J296" s="26">
        <f t="shared" ref="J296:K296" si="726">SUM(J297:J298)</f>
        <v>0</v>
      </c>
      <c r="K296" s="26">
        <f t="shared" si="726"/>
        <v>0</v>
      </c>
      <c r="L296" s="26">
        <f t="shared" si="573"/>
        <v>0</v>
      </c>
      <c r="M296" s="26">
        <f t="shared" ref="M296:N296" si="727">SUM(M297:M298)</f>
        <v>0</v>
      </c>
      <c r="N296" s="26">
        <f t="shared" si="727"/>
        <v>0</v>
      </c>
      <c r="O296" s="26">
        <f t="shared" si="575"/>
        <v>0</v>
      </c>
      <c r="P296" s="26">
        <f t="shared" ref="P296:Q296" si="728">SUM(P297:P298)</f>
        <v>0</v>
      </c>
      <c r="Q296" s="26">
        <f t="shared" si="728"/>
        <v>0</v>
      </c>
      <c r="R296" s="26">
        <f t="shared" si="577"/>
        <v>0</v>
      </c>
      <c r="S296" s="26">
        <f t="shared" ref="S296:T296" si="729">SUM(S297:S298)</f>
        <v>0</v>
      </c>
      <c r="T296" s="26">
        <f t="shared" si="729"/>
        <v>0</v>
      </c>
      <c r="U296" s="29"/>
      <c r="V296" s="5" t="str">
        <f t="shared" si="579"/>
        <v>-</v>
      </c>
    </row>
    <row r="297" spans="1:22" ht="25.15" customHeight="1" x14ac:dyDescent="0.6">
      <c r="A297" s="30" t="s">
        <v>5</v>
      </c>
      <c r="B297" s="22"/>
      <c r="C297" s="22">
        <f t="shared" si="568"/>
        <v>0</v>
      </c>
      <c r="D297" s="22"/>
      <c r="E297" s="22"/>
      <c r="F297" s="22">
        <f t="shared" si="569"/>
        <v>0</v>
      </c>
      <c r="G297" s="22"/>
      <c r="H297" s="22"/>
      <c r="I297" s="22">
        <f t="shared" si="571"/>
        <v>0</v>
      </c>
      <c r="J297" s="22"/>
      <c r="K297" s="22"/>
      <c r="L297" s="22">
        <f t="shared" si="573"/>
        <v>0</v>
      </c>
      <c r="M297" s="22"/>
      <c r="N297" s="22"/>
      <c r="O297" s="22">
        <f t="shared" si="575"/>
        <v>0</v>
      </c>
      <c r="P297" s="22"/>
      <c r="Q297" s="22"/>
      <c r="R297" s="22">
        <f t="shared" si="577"/>
        <v>0</v>
      </c>
      <c r="S297" s="22"/>
      <c r="T297" s="22"/>
      <c r="U297" s="14"/>
      <c r="V297" s="5" t="str">
        <f t="shared" si="579"/>
        <v>-</v>
      </c>
    </row>
    <row r="298" spans="1:22" ht="25.5" customHeight="1" x14ac:dyDescent="0.6">
      <c r="A298" s="30" t="s">
        <v>6</v>
      </c>
      <c r="B298" s="22"/>
      <c r="C298" s="22">
        <f t="shared" ref="C298:C327" si="730">D298+E298</f>
        <v>0</v>
      </c>
      <c r="D298" s="22"/>
      <c r="E298" s="22"/>
      <c r="F298" s="22">
        <f t="shared" ref="F298:F327" si="731">G298+H298</f>
        <v>0</v>
      </c>
      <c r="G298" s="22"/>
      <c r="H298" s="22"/>
      <c r="I298" s="22">
        <f t="shared" ref="I298:I327" si="732">J298+K298</f>
        <v>0</v>
      </c>
      <c r="J298" s="22"/>
      <c r="K298" s="22"/>
      <c r="L298" s="22">
        <f t="shared" ref="L298:L327" si="733">M298+N298</f>
        <v>0</v>
      </c>
      <c r="M298" s="22"/>
      <c r="N298" s="22"/>
      <c r="O298" s="22">
        <f t="shared" ref="O298:O327" si="734">P298+Q298</f>
        <v>0</v>
      </c>
      <c r="P298" s="22"/>
      <c r="Q298" s="22"/>
      <c r="R298" s="22">
        <f t="shared" ref="R298:R327" si="735">S298+T298</f>
        <v>0</v>
      </c>
      <c r="S298" s="22"/>
      <c r="T298" s="22"/>
      <c r="U298" s="14"/>
      <c r="V298" s="5" t="str">
        <f t="shared" ref="V298:V327" si="736">IF((B298+C298+F298+L298+O298)&lt;&gt;0,"ok","-")</f>
        <v>-</v>
      </c>
    </row>
    <row r="299" spans="1:22" ht="25.15" customHeight="1" x14ac:dyDescent="0.6">
      <c r="A299" s="28" t="s">
        <v>4</v>
      </c>
      <c r="B299" s="26">
        <f>SUM(B300:B301)</f>
        <v>0</v>
      </c>
      <c r="C299" s="26">
        <f t="shared" si="730"/>
        <v>0</v>
      </c>
      <c r="D299" s="26">
        <f>SUM(D300:D301)</f>
        <v>0</v>
      </c>
      <c r="E299" s="26">
        <f>SUM(E300:E301)</f>
        <v>0</v>
      </c>
      <c r="F299" s="26">
        <f t="shared" si="731"/>
        <v>0</v>
      </c>
      <c r="G299" s="26">
        <f t="shared" ref="G299:H299" si="737">SUM(G300:G301)</f>
        <v>0</v>
      </c>
      <c r="H299" s="26">
        <f t="shared" si="737"/>
        <v>0</v>
      </c>
      <c r="I299" s="26">
        <f t="shared" si="732"/>
        <v>0</v>
      </c>
      <c r="J299" s="26">
        <f t="shared" ref="J299:K299" si="738">SUM(J300:J301)</f>
        <v>0</v>
      </c>
      <c r="K299" s="26">
        <f t="shared" si="738"/>
        <v>0</v>
      </c>
      <c r="L299" s="26">
        <f t="shared" si="733"/>
        <v>0</v>
      </c>
      <c r="M299" s="26">
        <f t="shared" ref="M299:N299" si="739">SUM(M300:M301)</f>
        <v>0</v>
      </c>
      <c r="N299" s="26">
        <f t="shared" si="739"/>
        <v>0</v>
      </c>
      <c r="O299" s="26">
        <f t="shared" si="734"/>
        <v>0</v>
      </c>
      <c r="P299" s="26">
        <f t="shared" ref="P299:Q299" si="740">SUM(P300:P301)</f>
        <v>0</v>
      </c>
      <c r="Q299" s="26">
        <f t="shared" si="740"/>
        <v>0</v>
      </c>
      <c r="R299" s="26">
        <f t="shared" si="735"/>
        <v>0</v>
      </c>
      <c r="S299" s="26">
        <f t="shared" ref="S299:T299" si="741">SUM(S300:S301)</f>
        <v>0</v>
      </c>
      <c r="T299" s="26">
        <f t="shared" si="741"/>
        <v>0</v>
      </c>
      <c r="U299" s="29"/>
      <c r="V299" s="5" t="str">
        <f t="shared" si="736"/>
        <v>-</v>
      </c>
    </row>
    <row r="300" spans="1:22" ht="25.15" customHeight="1" x14ac:dyDescent="0.6">
      <c r="A300" s="30" t="s">
        <v>7</v>
      </c>
      <c r="B300" s="22"/>
      <c r="C300" s="22">
        <f t="shared" si="730"/>
        <v>0</v>
      </c>
      <c r="D300" s="22"/>
      <c r="E300" s="22"/>
      <c r="F300" s="22">
        <f t="shared" si="731"/>
        <v>0</v>
      </c>
      <c r="G300" s="22"/>
      <c r="H300" s="22"/>
      <c r="I300" s="22">
        <f t="shared" si="732"/>
        <v>0</v>
      </c>
      <c r="J300" s="22"/>
      <c r="K300" s="22"/>
      <c r="L300" s="22">
        <f t="shared" si="733"/>
        <v>0</v>
      </c>
      <c r="M300" s="22"/>
      <c r="N300" s="22"/>
      <c r="O300" s="22">
        <f t="shared" si="734"/>
        <v>0</v>
      </c>
      <c r="P300" s="22"/>
      <c r="Q300" s="22"/>
      <c r="R300" s="22">
        <f t="shared" si="735"/>
        <v>0</v>
      </c>
      <c r="S300" s="22"/>
      <c r="T300" s="22"/>
      <c r="U300" s="14"/>
      <c r="V300" s="5" t="str">
        <f t="shared" si="736"/>
        <v>-</v>
      </c>
    </row>
    <row r="301" spans="1:22" ht="25.15" customHeight="1" x14ac:dyDescent="0.6">
      <c r="A301" s="30" t="s">
        <v>8</v>
      </c>
      <c r="B301" s="22"/>
      <c r="C301" s="22">
        <f t="shared" si="730"/>
        <v>0</v>
      </c>
      <c r="D301" s="22"/>
      <c r="E301" s="22"/>
      <c r="F301" s="22">
        <f t="shared" si="731"/>
        <v>0</v>
      </c>
      <c r="G301" s="22"/>
      <c r="H301" s="22"/>
      <c r="I301" s="22">
        <f t="shared" si="732"/>
        <v>0</v>
      </c>
      <c r="J301" s="22"/>
      <c r="K301" s="22"/>
      <c r="L301" s="22">
        <f t="shared" si="733"/>
        <v>0</v>
      </c>
      <c r="M301" s="22"/>
      <c r="N301" s="22"/>
      <c r="O301" s="22">
        <f t="shared" si="734"/>
        <v>0</v>
      </c>
      <c r="P301" s="22"/>
      <c r="Q301" s="22"/>
      <c r="R301" s="22">
        <f t="shared" si="735"/>
        <v>0</v>
      </c>
      <c r="S301" s="22"/>
      <c r="T301" s="22"/>
      <c r="U301" s="14"/>
      <c r="V301" s="5" t="str">
        <f t="shared" si="736"/>
        <v>-</v>
      </c>
    </row>
    <row r="302" spans="1:22" ht="25.15" customHeight="1" x14ac:dyDescent="0.6">
      <c r="A302" s="25" t="s">
        <v>9</v>
      </c>
      <c r="B302" s="26">
        <f>B303+B306</f>
        <v>0</v>
      </c>
      <c r="C302" s="26">
        <f t="shared" si="730"/>
        <v>0</v>
      </c>
      <c r="D302" s="26">
        <f>D303+D306</f>
        <v>0</v>
      </c>
      <c r="E302" s="26">
        <f>E303+E306</f>
        <v>0</v>
      </c>
      <c r="F302" s="26">
        <f t="shared" si="731"/>
        <v>0</v>
      </c>
      <c r="G302" s="26">
        <f t="shared" ref="G302:H302" si="742">G303+G306</f>
        <v>0</v>
      </c>
      <c r="H302" s="26">
        <f t="shared" si="742"/>
        <v>0</v>
      </c>
      <c r="I302" s="26">
        <f t="shared" si="732"/>
        <v>0</v>
      </c>
      <c r="J302" s="26">
        <f t="shared" ref="J302:K302" si="743">J303+J306</f>
        <v>0</v>
      </c>
      <c r="K302" s="26">
        <f t="shared" si="743"/>
        <v>0</v>
      </c>
      <c r="L302" s="26">
        <f t="shared" si="733"/>
        <v>0</v>
      </c>
      <c r="M302" s="26">
        <f t="shared" ref="M302:N302" si="744">M303+M306</f>
        <v>0</v>
      </c>
      <c r="N302" s="26">
        <f t="shared" si="744"/>
        <v>0</v>
      </c>
      <c r="O302" s="26">
        <f t="shared" si="734"/>
        <v>0</v>
      </c>
      <c r="P302" s="26">
        <f t="shared" ref="P302:Q302" si="745">P303+P306</f>
        <v>0</v>
      </c>
      <c r="Q302" s="26">
        <f t="shared" si="745"/>
        <v>0</v>
      </c>
      <c r="R302" s="26">
        <f t="shared" si="735"/>
        <v>0</v>
      </c>
      <c r="S302" s="26">
        <f t="shared" ref="S302:T302" si="746">S303+S306</f>
        <v>0</v>
      </c>
      <c r="T302" s="26">
        <f t="shared" si="746"/>
        <v>0</v>
      </c>
      <c r="U302" s="27"/>
      <c r="V302" s="5" t="str">
        <f t="shared" si="736"/>
        <v>-</v>
      </c>
    </row>
    <row r="303" spans="1:22" ht="25.15" customHeight="1" x14ac:dyDescent="0.6">
      <c r="A303" s="28" t="s">
        <v>3</v>
      </c>
      <c r="B303" s="26">
        <f>SUM(B304:B305)</f>
        <v>0</v>
      </c>
      <c r="C303" s="26">
        <f t="shared" si="730"/>
        <v>0</v>
      </c>
      <c r="D303" s="26">
        <f>SUM(D304:D305)</f>
        <v>0</v>
      </c>
      <c r="E303" s="26">
        <f>SUM(E304:E305)</f>
        <v>0</v>
      </c>
      <c r="F303" s="26">
        <f t="shared" si="731"/>
        <v>0</v>
      </c>
      <c r="G303" s="26">
        <f t="shared" ref="G303:H303" si="747">SUM(G304:G305)</f>
        <v>0</v>
      </c>
      <c r="H303" s="26">
        <f t="shared" si="747"/>
        <v>0</v>
      </c>
      <c r="I303" s="26">
        <f t="shared" si="732"/>
        <v>0</v>
      </c>
      <c r="J303" s="26">
        <f t="shared" ref="J303:K303" si="748">SUM(J304:J305)</f>
        <v>0</v>
      </c>
      <c r="K303" s="26">
        <f t="shared" si="748"/>
        <v>0</v>
      </c>
      <c r="L303" s="26">
        <f t="shared" si="733"/>
        <v>0</v>
      </c>
      <c r="M303" s="26">
        <f t="shared" ref="M303:N303" si="749">SUM(M304:M305)</f>
        <v>0</v>
      </c>
      <c r="N303" s="26">
        <f t="shared" si="749"/>
        <v>0</v>
      </c>
      <c r="O303" s="26">
        <f t="shared" si="734"/>
        <v>0</v>
      </c>
      <c r="P303" s="26">
        <f t="shared" ref="P303:Q303" si="750">SUM(P304:P305)</f>
        <v>0</v>
      </c>
      <c r="Q303" s="26">
        <f t="shared" si="750"/>
        <v>0</v>
      </c>
      <c r="R303" s="26">
        <f t="shared" si="735"/>
        <v>0</v>
      </c>
      <c r="S303" s="26">
        <f t="shared" ref="S303:T303" si="751">SUM(S304:S305)</f>
        <v>0</v>
      </c>
      <c r="T303" s="26">
        <f t="shared" si="751"/>
        <v>0</v>
      </c>
      <c r="U303" s="29"/>
      <c r="V303" s="5" t="str">
        <f t="shared" si="736"/>
        <v>-</v>
      </c>
    </row>
    <row r="304" spans="1:22" ht="25.15" customHeight="1" x14ac:dyDescent="0.6">
      <c r="A304" s="30" t="s">
        <v>5</v>
      </c>
      <c r="B304" s="22"/>
      <c r="C304" s="22">
        <f t="shared" si="730"/>
        <v>0</v>
      </c>
      <c r="D304" s="22"/>
      <c r="E304" s="22"/>
      <c r="F304" s="22">
        <f t="shared" si="731"/>
        <v>0</v>
      </c>
      <c r="G304" s="22"/>
      <c r="H304" s="22"/>
      <c r="I304" s="22">
        <f t="shared" si="732"/>
        <v>0</v>
      </c>
      <c r="J304" s="22"/>
      <c r="K304" s="22"/>
      <c r="L304" s="22">
        <f t="shared" si="733"/>
        <v>0</v>
      </c>
      <c r="M304" s="22"/>
      <c r="N304" s="22"/>
      <c r="O304" s="22">
        <f t="shared" si="734"/>
        <v>0</v>
      </c>
      <c r="P304" s="22"/>
      <c r="Q304" s="22"/>
      <c r="R304" s="22">
        <f t="shared" si="735"/>
        <v>0</v>
      </c>
      <c r="S304" s="22"/>
      <c r="T304" s="22"/>
      <c r="U304" s="14"/>
      <c r="V304" s="5" t="str">
        <f t="shared" si="736"/>
        <v>-</v>
      </c>
    </row>
    <row r="305" spans="1:22" ht="25.15" customHeight="1" x14ac:dyDescent="0.6">
      <c r="A305" s="30" t="s">
        <v>6</v>
      </c>
      <c r="B305" s="22"/>
      <c r="C305" s="22">
        <f t="shared" si="730"/>
        <v>0</v>
      </c>
      <c r="D305" s="22"/>
      <c r="E305" s="22"/>
      <c r="F305" s="22">
        <f t="shared" si="731"/>
        <v>0</v>
      </c>
      <c r="G305" s="22"/>
      <c r="H305" s="22"/>
      <c r="I305" s="22">
        <f t="shared" si="732"/>
        <v>0</v>
      </c>
      <c r="J305" s="22"/>
      <c r="K305" s="22"/>
      <c r="L305" s="22">
        <f t="shared" si="733"/>
        <v>0</v>
      </c>
      <c r="M305" s="22"/>
      <c r="N305" s="22"/>
      <c r="O305" s="22">
        <f t="shared" si="734"/>
        <v>0</v>
      </c>
      <c r="P305" s="22"/>
      <c r="Q305" s="22"/>
      <c r="R305" s="22">
        <f t="shared" si="735"/>
        <v>0</v>
      </c>
      <c r="S305" s="22"/>
      <c r="T305" s="22"/>
      <c r="U305" s="14"/>
      <c r="V305" s="5" t="str">
        <f t="shared" si="736"/>
        <v>-</v>
      </c>
    </row>
    <row r="306" spans="1:22" ht="25.15" customHeight="1" x14ac:dyDescent="0.6">
      <c r="A306" s="28" t="s">
        <v>4</v>
      </c>
      <c r="B306" s="26">
        <f>SUM(B307:B308)</f>
        <v>0</v>
      </c>
      <c r="C306" s="26">
        <f t="shared" si="730"/>
        <v>0</v>
      </c>
      <c r="D306" s="26">
        <f>SUM(D307:D308)</f>
        <v>0</v>
      </c>
      <c r="E306" s="26">
        <f>SUM(E307:E308)</f>
        <v>0</v>
      </c>
      <c r="F306" s="26">
        <f t="shared" si="731"/>
        <v>0</v>
      </c>
      <c r="G306" s="26">
        <f t="shared" ref="G306:H306" si="752">SUM(G307:G308)</f>
        <v>0</v>
      </c>
      <c r="H306" s="26">
        <f t="shared" si="752"/>
        <v>0</v>
      </c>
      <c r="I306" s="26">
        <f t="shared" si="732"/>
        <v>0</v>
      </c>
      <c r="J306" s="26">
        <f t="shared" ref="J306:K306" si="753">SUM(J307:J308)</f>
        <v>0</v>
      </c>
      <c r="K306" s="26">
        <f t="shared" si="753"/>
        <v>0</v>
      </c>
      <c r="L306" s="26">
        <f t="shared" si="733"/>
        <v>0</v>
      </c>
      <c r="M306" s="26">
        <f t="shared" ref="M306:N306" si="754">SUM(M307:M308)</f>
        <v>0</v>
      </c>
      <c r="N306" s="26">
        <f t="shared" si="754"/>
        <v>0</v>
      </c>
      <c r="O306" s="26">
        <f t="shared" si="734"/>
        <v>0</v>
      </c>
      <c r="P306" s="26">
        <f t="shared" ref="P306:Q306" si="755">SUM(P307:P308)</f>
        <v>0</v>
      </c>
      <c r="Q306" s="26">
        <f t="shared" si="755"/>
        <v>0</v>
      </c>
      <c r="R306" s="26">
        <f t="shared" si="735"/>
        <v>0</v>
      </c>
      <c r="S306" s="26">
        <f t="shared" ref="S306:T306" si="756">SUM(S307:S308)</f>
        <v>0</v>
      </c>
      <c r="T306" s="26">
        <f t="shared" si="756"/>
        <v>0</v>
      </c>
      <c r="U306" s="29"/>
      <c r="V306" s="5" t="str">
        <f t="shared" si="736"/>
        <v>-</v>
      </c>
    </row>
    <row r="307" spans="1:22" ht="25.15" customHeight="1" x14ac:dyDescent="0.6">
      <c r="A307" s="30" t="s">
        <v>7</v>
      </c>
      <c r="B307" s="22"/>
      <c r="C307" s="22">
        <f t="shared" si="730"/>
        <v>0</v>
      </c>
      <c r="D307" s="22"/>
      <c r="E307" s="22"/>
      <c r="F307" s="22">
        <f t="shared" si="731"/>
        <v>0</v>
      </c>
      <c r="G307" s="22"/>
      <c r="H307" s="22"/>
      <c r="I307" s="22">
        <f t="shared" si="732"/>
        <v>0</v>
      </c>
      <c r="J307" s="22"/>
      <c r="K307" s="22"/>
      <c r="L307" s="22">
        <f t="shared" si="733"/>
        <v>0</v>
      </c>
      <c r="M307" s="22"/>
      <c r="N307" s="22"/>
      <c r="O307" s="22">
        <f t="shared" si="734"/>
        <v>0</v>
      </c>
      <c r="P307" s="22"/>
      <c r="Q307" s="22"/>
      <c r="R307" s="22">
        <f t="shared" si="735"/>
        <v>0</v>
      </c>
      <c r="S307" s="22"/>
      <c r="T307" s="22"/>
      <c r="U307" s="14"/>
      <c r="V307" s="5" t="str">
        <f t="shared" si="736"/>
        <v>-</v>
      </c>
    </row>
    <row r="308" spans="1:22" ht="25.15" customHeight="1" x14ac:dyDescent="0.6">
      <c r="A308" s="30" t="s">
        <v>8</v>
      </c>
      <c r="B308" s="22"/>
      <c r="C308" s="22">
        <f t="shared" si="730"/>
        <v>0</v>
      </c>
      <c r="D308" s="22"/>
      <c r="E308" s="22"/>
      <c r="F308" s="22">
        <f t="shared" si="731"/>
        <v>0</v>
      </c>
      <c r="G308" s="22"/>
      <c r="H308" s="22"/>
      <c r="I308" s="22">
        <f t="shared" si="732"/>
        <v>0</v>
      </c>
      <c r="J308" s="22"/>
      <c r="K308" s="22"/>
      <c r="L308" s="22">
        <f t="shared" si="733"/>
        <v>0</v>
      </c>
      <c r="M308" s="22"/>
      <c r="N308" s="22"/>
      <c r="O308" s="22">
        <f t="shared" si="734"/>
        <v>0</v>
      </c>
      <c r="P308" s="22"/>
      <c r="Q308" s="22"/>
      <c r="R308" s="22">
        <f t="shared" si="735"/>
        <v>0</v>
      </c>
      <c r="S308" s="22"/>
      <c r="T308" s="22"/>
      <c r="U308" s="14"/>
      <c r="V308" s="5" t="str">
        <f t="shared" si="736"/>
        <v>-</v>
      </c>
    </row>
    <row r="309" spans="1:22" ht="25.15" customHeight="1" x14ac:dyDescent="0.6">
      <c r="A309" s="18" t="s">
        <v>47</v>
      </c>
      <c r="B309" s="23">
        <f>B310+B317</f>
        <v>0</v>
      </c>
      <c r="C309" s="23">
        <f t="shared" si="730"/>
        <v>0</v>
      </c>
      <c r="D309" s="23">
        <f>D310+D317</f>
        <v>0</v>
      </c>
      <c r="E309" s="23">
        <f>E310+E317</f>
        <v>0</v>
      </c>
      <c r="F309" s="23">
        <f t="shared" si="731"/>
        <v>0</v>
      </c>
      <c r="G309" s="23">
        <f t="shared" ref="G309:H309" si="757">G310+G317</f>
        <v>0</v>
      </c>
      <c r="H309" s="23">
        <f t="shared" si="757"/>
        <v>0</v>
      </c>
      <c r="I309" s="23">
        <f t="shared" si="732"/>
        <v>0</v>
      </c>
      <c r="J309" s="23">
        <f t="shared" ref="J309:K309" si="758">J310+J317</f>
        <v>0</v>
      </c>
      <c r="K309" s="23">
        <f t="shared" si="758"/>
        <v>0</v>
      </c>
      <c r="L309" s="23">
        <f t="shared" si="733"/>
        <v>0</v>
      </c>
      <c r="M309" s="23">
        <f t="shared" ref="M309:N309" si="759">M310+M317</f>
        <v>0</v>
      </c>
      <c r="N309" s="23">
        <f t="shared" si="759"/>
        <v>0</v>
      </c>
      <c r="O309" s="23">
        <f t="shared" si="734"/>
        <v>0</v>
      </c>
      <c r="P309" s="23">
        <f t="shared" ref="P309:Q309" si="760">P310+P317</f>
        <v>0</v>
      </c>
      <c r="Q309" s="23">
        <f t="shared" si="760"/>
        <v>0</v>
      </c>
      <c r="R309" s="23">
        <f t="shared" si="735"/>
        <v>0</v>
      </c>
      <c r="S309" s="23">
        <f t="shared" ref="S309:T309" si="761">S310+S317</f>
        <v>0</v>
      </c>
      <c r="T309" s="23">
        <f t="shared" si="761"/>
        <v>0</v>
      </c>
      <c r="U309" s="20"/>
      <c r="V309" s="5" t="str">
        <f t="shared" si="736"/>
        <v>-</v>
      </c>
    </row>
    <row r="310" spans="1:22" ht="25.15" customHeight="1" x14ac:dyDescent="0.6">
      <c r="A310" s="25" t="s">
        <v>2</v>
      </c>
      <c r="B310" s="26">
        <f>B311+B314</f>
        <v>0</v>
      </c>
      <c r="C310" s="26">
        <f t="shared" si="730"/>
        <v>0</v>
      </c>
      <c r="D310" s="26">
        <f>D311+D314</f>
        <v>0</v>
      </c>
      <c r="E310" s="26">
        <f>E311+E314</f>
        <v>0</v>
      </c>
      <c r="F310" s="26">
        <f t="shared" si="731"/>
        <v>0</v>
      </c>
      <c r="G310" s="26">
        <f t="shared" ref="G310:H310" si="762">G311+G314</f>
        <v>0</v>
      </c>
      <c r="H310" s="26">
        <f t="shared" si="762"/>
        <v>0</v>
      </c>
      <c r="I310" s="26">
        <f t="shared" si="732"/>
        <v>0</v>
      </c>
      <c r="J310" s="26">
        <f t="shared" ref="J310:K310" si="763">J311+J314</f>
        <v>0</v>
      </c>
      <c r="K310" s="26">
        <f t="shared" si="763"/>
        <v>0</v>
      </c>
      <c r="L310" s="26">
        <f t="shared" si="733"/>
        <v>0</v>
      </c>
      <c r="M310" s="26">
        <f t="shared" ref="M310:N310" si="764">M311+M314</f>
        <v>0</v>
      </c>
      <c r="N310" s="26">
        <f t="shared" si="764"/>
        <v>0</v>
      </c>
      <c r="O310" s="26">
        <f t="shared" si="734"/>
        <v>0</v>
      </c>
      <c r="P310" s="26">
        <f t="shared" ref="P310:Q310" si="765">P311+P314</f>
        <v>0</v>
      </c>
      <c r="Q310" s="26">
        <f t="shared" si="765"/>
        <v>0</v>
      </c>
      <c r="R310" s="26">
        <f t="shared" si="735"/>
        <v>0</v>
      </c>
      <c r="S310" s="26">
        <f t="shared" ref="S310:T310" si="766">S311+S314</f>
        <v>0</v>
      </c>
      <c r="T310" s="26">
        <f t="shared" si="766"/>
        <v>0</v>
      </c>
      <c r="U310" s="27"/>
      <c r="V310" s="5" t="str">
        <f t="shared" si="736"/>
        <v>-</v>
      </c>
    </row>
    <row r="311" spans="1:22" ht="25.15" customHeight="1" x14ac:dyDescent="0.6">
      <c r="A311" s="28" t="s">
        <v>3</v>
      </c>
      <c r="B311" s="26">
        <f>SUM(B312:B313)</f>
        <v>0</v>
      </c>
      <c r="C311" s="26">
        <f t="shared" si="730"/>
        <v>0</v>
      </c>
      <c r="D311" s="26">
        <f>SUM(D312:D313)</f>
        <v>0</v>
      </c>
      <c r="E311" s="26">
        <f>SUM(E312:E313)</f>
        <v>0</v>
      </c>
      <c r="F311" s="26">
        <f t="shared" si="731"/>
        <v>0</v>
      </c>
      <c r="G311" s="26">
        <f t="shared" ref="G311:H311" si="767">SUM(G312:G313)</f>
        <v>0</v>
      </c>
      <c r="H311" s="26">
        <f t="shared" si="767"/>
        <v>0</v>
      </c>
      <c r="I311" s="26">
        <f t="shared" si="732"/>
        <v>0</v>
      </c>
      <c r="J311" s="26">
        <f t="shared" ref="J311:K311" si="768">SUM(J312:J313)</f>
        <v>0</v>
      </c>
      <c r="K311" s="26">
        <f t="shared" si="768"/>
        <v>0</v>
      </c>
      <c r="L311" s="26">
        <f t="shared" si="733"/>
        <v>0</v>
      </c>
      <c r="M311" s="26">
        <f t="shared" ref="M311:N311" si="769">SUM(M312:M313)</f>
        <v>0</v>
      </c>
      <c r="N311" s="26">
        <f t="shared" si="769"/>
        <v>0</v>
      </c>
      <c r="O311" s="26">
        <f t="shared" si="734"/>
        <v>0</v>
      </c>
      <c r="P311" s="26">
        <f t="shared" ref="P311:Q311" si="770">SUM(P312:P313)</f>
        <v>0</v>
      </c>
      <c r="Q311" s="26">
        <f t="shared" si="770"/>
        <v>0</v>
      </c>
      <c r="R311" s="26">
        <f t="shared" si="735"/>
        <v>0</v>
      </c>
      <c r="S311" s="26">
        <f t="shared" ref="S311:T311" si="771">SUM(S312:S313)</f>
        <v>0</v>
      </c>
      <c r="T311" s="26">
        <f t="shared" si="771"/>
        <v>0</v>
      </c>
      <c r="U311" s="29"/>
      <c r="V311" s="5" t="str">
        <f t="shared" si="736"/>
        <v>-</v>
      </c>
    </row>
    <row r="312" spans="1:22" ht="25.15" customHeight="1" x14ac:dyDescent="0.6">
      <c r="A312" s="30" t="s">
        <v>5</v>
      </c>
      <c r="B312" s="22"/>
      <c r="C312" s="22">
        <f t="shared" si="730"/>
        <v>0</v>
      </c>
      <c r="D312" s="22"/>
      <c r="E312" s="22"/>
      <c r="F312" s="22">
        <f t="shared" si="731"/>
        <v>0</v>
      </c>
      <c r="G312" s="22"/>
      <c r="H312" s="22"/>
      <c r="I312" s="22">
        <f t="shared" si="732"/>
        <v>0</v>
      </c>
      <c r="J312" s="22"/>
      <c r="K312" s="22"/>
      <c r="L312" s="22">
        <f t="shared" si="733"/>
        <v>0</v>
      </c>
      <c r="M312" s="22"/>
      <c r="N312" s="22"/>
      <c r="O312" s="22">
        <f t="shared" si="734"/>
        <v>0</v>
      </c>
      <c r="P312" s="22"/>
      <c r="Q312" s="22"/>
      <c r="R312" s="22">
        <f t="shared" si="735"/>
        <v>0</v>
      </c>
      <c r="S312" s="22"/>
      <c r="T312" s="22"/>
      <c r="U312" s="14"/>
      <c r="V312" s="5" t="str">
        <f t="shared" si="736"/>
        <v>-</v>
      </c>
    </row>
    <row r="313" spans="1:22" ht="25.5" customHeight="1" x14ac:dyDescent="0.6">
      <c r="A313" s="30" t="s">
        <v>6</v>
      </c>
      <c r="B313" s="22"/>
      <c r="C313" s="22">
        <f t="shared" si="730"/>
        <v>0</v>
      </c>
      <c r="D313" s="22"/>
      <c r="E313" s="22"/>
      <c r="F313" s="22">
        <f t="shared" si="731"/>
        <v>0</v>
      </c>
      <c r="G313" s="22"/>
      <c r="H313" s="22"/>
      <c r="I313" s="22">
        <f t="shared" si="732"/>
        <v>0</v>
      </c>
      <c r="J313" s="22"/>
      <c r="K313" s="22"/>
      <c r="L313" s="22">
        <f t="shared" si="733"/>
        <v>0</v>
      </c>
      <c r="M313" s="22"/>
      <c r="N313" s="22"/>
      <c r="O313" s="22">
        <f t="shared" si="734"/>
        <v>0</v>
      </c>
      <c r="P313" s="22"/>
      <c r="Q313" s="22"/>
      <c r="R313" s="22">
        <f t="shared" si="735"/>
        <v>0</v>
      </c>
      <c r="S313" s="22"/>
      <c r="T313" s="22"/>
      <c r="U313" s="14"/>
      <c r="V313" s="5" t="str">
        <f t="shared" si="736"/>
        <v>-</v>
      </c>
    </row>
    <row r="314" spans="1:22" ht="25.15" customHeight="1" x14ac:dyDescent="0.6">
      <c r="A314" s="28" t="s">
        <v>4</v>
      </c>
      <c r="B314" s="26">
        <f>SUM(B315:B316)</f>
        <v>0</v>
      </c>
      <c r="C314" s="26">
        <f t="shared" si="730"/>
        <v>0</v>
      </c>
      <c r="D314" s="26">
        <f>SUM(D315:D316)</f>
        <v>0</v>
      </c>
      <c r="E314" s="26">
        <f>SUM(E315:E316)</f>
        <v>0</v>
      </c>
      <c r="F314" s="26">
        <f t="shared" si="731"/>
        <v>0</v>
      </c>
      <c r="G314" s="26">
        <f t="shared" ref="G314:H314" si="772">SUM(G315:G316)</f>
        <v>0</v>
      </c>
      <c r="H314" s="26">
        <f t="shared" si="772"/>
        <v>0</v>
      </c>
      <c r="I314" s="26">
        <f t="shared" si="732"/>
        <v>0</v>
      </c>
      <c r="J314" s="26">
        <f t="shared" ref="J314:K314" si="773">SUM(J315:J316)</f>
        <v>0</v>
      </c>
      <c r="K314" s="26">
        <f t="shared" si="773"/>
        <v>0</v>
      </c>
      <c r="L314" s="26">
        <f t="shared" si="733"/>
        <v>0</v>
      </c>
      <c r="M314" s="26">
        <f t="shared" ref="M314:N314" si="774">SUM(M315:M316)</f>
        <v>0</v>
      </c>
      <c r="N314" s="26">
        <f t="shared" si="774"/>
        <v>0</v>
      </c>
      <c r="O314" s="26">
        <f t="shared" si="734"/>
        <v>0</v>
      </c>
      <c r="P314" s="26">
        <f t="shared" ref="P314:Q314" si="775">SUM(P315:P316)</f>
        <v>0</v>
      </c>
      <c r="Q314" s="26">
        <f t="shared" si="775"/>
        <v>0</v>
      </c>
      <c r="R314" s="26">
        <f t="shared" si="735"/>
        <v>0</v>
      </c>
      <c r="S314" s="26">
        <f t="shared" ref="S314:T314" si="776">SUM(S315:S316)</f>
        <v>0</v>
      </c>
      <c r="T314" s="26">
        <f t="shared" si="776"/>
        <v>0</v>
      </c>
      <c r="U314" s="29"/>
      <c r="V314" s="5" t="str">
        <f t="shared" si="736"/>
        <v>-</v>
      </c>
    </row>
    <row r="315" spans="1:22" ht="25.15" customHeight="1" x14ac:dyDescent="0.6">
      <c r="A315" s="30" t="s">
        <v>7</v>
      </c>
      <c r="B315" s="22"/>
      <c r="C315" s="22">
        <f t="shared" si="730"/>
        <v>0</v>
      </c>
      <c r="D315" s="22"/>
      <c r="E315" s="22"/>
      <c r="F315" s="22">
        <f t="shared" si="731"/>
        <v>0</v>
      </c>
      <c r="G315" s="22"/>
      <c r="H315" s="22"/>
      <c r="I315" s="22">
        <f t="shared" si="732"/>
        <v>0</v>
      </c>
      <c r="J315" s="22"/>
      <c r="K315" s="22"/>
      <c r="L315" s="22">
        <f t="shared" si="733"/>
        <v>0</v>
      </c>
      <c r="M315" s="22"/>
      <c r="N315" s="22"/>
      <c r="O315" s="22">
        <f t="shared" si="734"/>
        <v>0</v>
      </c>
      <c r="P315" s="22"/>
      <c r="Q315" s="22"/>
      <c r="R315" s="22">
        <f t="shared" si="735"/>
        <v>0</v>
      </c>
      <c r="S315" s="22"/>
      <c r="T315" s="22"/>
      <c r="U315" s="14"/>
      <c r="V315" s="5" t="str">
        <f t="shared" si="736"/>
        <v>-</v>
      </c>
    </row>
    <row r="316" spans="1:22" ht="25.15" customHeight="1" x14ac:dyDescent="0.6">
      <c r="A316" s="30" t="s">
        <v>8</v>
      </c>
      <c r="B316" s="22"/>
      <c r="C316" s="22">
        <f t="shared" si="730"/>
        <v>0</v>
      </c>
      <c r="D316" s="22"/>
      <c r="E316" s="22"/>
      <c r="F316" s="22">
        <f t="shared" si="731"/>
        <v>0</v>
      </c>
      <c r="G316" s="22"/>
      <c r="H316" s="22"/>
      <c r="I316" s="22">
        <f t="shared" si="732"/>
        <v>0</v>
      </c>
      <c r="J316" s="22"/>
      <c r="K316" s="22"/>
      <c r="L316" s="22">
        <f t="shared" si="733"/>
        <v>0</v>
      </c>
      <c r="M316" s="22"/>
      <c r="N316" s="22"/>
      <c r="O316" s="22">
        <f t="shared" si="734"/>
        <v>0</v>
      </c>
      <c r="P316" s="22"/>
      <c r="Q316" s="22"/>
      <c r="R316" s="22">
        <f t="shared" si="735"/>
        <v>0</v>
      </c>
      <c r="S316" s="22"/>
      <c r="T316" s="22"/>
      <c r="U316" s="14"/>
      <c r="V316" s="5" t="str">
        <f t="shared" si="736"/>
        <v>-</v>
      </c>
    </row>
    <row r="317" spans="1:22" ht="25.15" customHeight="1" x14ac:dyDescent="0.6">
      <c r="A317" s="25" t="s">
        <v>9</v>
      </c>
      <c r="B317" s="26">
        <f>B318+B321</f>
        <v>0</v>
      </c>
      <c r="C317" s="26">
        <f t="shared" si="730"/>
        <v>0</v>
      </c>
      <c r="D317" s="26">
        <f>D318+D321</f>
        <v>0</v>
      </c>
      <c r="E317" s="26">
        <f>E318+E321</f>
        <v>0</v>
      </c>
      <c r="F317" s="26">
        <f t="shared" si="731"/>
        <v>0</v>
      </c>
      <c r="G317" s="26">
        <f t="shared" ref="G317:H317" si="777">G318+G321</f>
        <v>0</v>
      </c>
      <c r="H317" s="26">
        <f t="shared" si="777"/>
        <v>0</v>
      </c>
      <c r="I317" s="26">
        <f t="shared" si="732"/>
        <v>0</v>
      </c>
      <c r="J317" s="26">
        <f t="shared" ref="J317:K317" si="778">J318+J321</f>
        <v>0</v>
      </c>
      <c r="K317" s="26">
        <f t="shared" si="778"/>
        <v>0</v>
      </c>
      <c r="L317" s="26">
        <f t="shared" si="733"/>
        <v>0</v>
      </c>
      <c r="M317" s="26">
        <f t="shared" ref="M317:N317" si="779">M318+M321</f>
        <v>0</v>
      </c>
      <c r="N317" s="26">
        <f t="shared" si="779"/>
        <v>0</v>
      </c>
      <c r="O317" s="26">
        <f t="shared" si="734"/>
        <v>0</v>
      </c>
      <c r="P317" s="26">
        <f t="shared" ref="P317:Q317" si="780">P318+P321</f>
        <v>0</v>
      </c>
      <c r="Q317" s="26">
        <f t="shared" si="780"/>
        <v>0</v>
      </c>
      <c r="R317" s="26">
        <f t="shared" si="735"/>
        <v>0</v>
      </c>
      <c r="S317" s="26">
        <f t="shared" ref="S317:T317" si="781">S318+S321</f>
        <v>0</v>
      </c>
      <c r="T317" s="26">
        <f t="shared" si="781"/>
        <v>0</v>
      </c>
      <c r="U317" s="27"/>
      <c r="V317" s="5" t="str">
        <f t="shared" si="736"/>
        <v>-</v>
      </c>
    </row>
    <row r="318" spans="1:22" ht="25.15" customHeight="1" x14ac:dyDescent="0.6">
      <c r="A318" s="28" t="s">
        <v>3</v>
      </c>
      <c r="B318" s="26">
        <f>SUM(B319:B320)</f>
        <v>0</v>
      </c>
      <c r="C318" s="26">
        <f t="shared" si="730"/>
        <v>0</v>
      </c>
      <c r="D318" s="26">
        <f>SUM(D319:D320)</f>
        <v>0</v>
      </c>
      <c r="E318" s="26">
        <f>SUM(E319:E320)</f>
        <v>0</v>
      </c>
      <c r="F318" s="26">
        <f t="shared" si="731"/>
        <v>0</v>
      </c>
      <c r="G318" s="26">
        <f t="shared" ref="G318:H318" si="782">SUM(G319:G320)</f>
        <v>0</v>
      </c>
      <c r="H318" s="26">
        <f t="shared" si="782"/>
        <v>0</v>
      </c>
      <c r="I318" s="26">
        <f t="shared" si="732"/>
        <v>0</v>
      </c>
      <c r="J318" s="26">
        <f t="shared" ref="J318:K318" si="783">SUM(J319:J320)</f>
        <v>0</v>
      </c>
      <c r="K318" s="26">
        <f t="shared" si="783"/>
        <v>0</v>
      </c>
      <c r="L318" s="26">
        <f t="shared" si="733"/>
        <v>0</v>
      </c>
      <c r="M318" s="26">
        <f t="shared" ref="M318:N318" si="784">SUM(M319:M320)</f>
        <v>0</v>
      </c>
      <c r="N318" s="26">
        <f t="shared" si="784"/>
        <v>0</v>
      </c>
      <c r="O318" s="26">
        <f t="shared" si="734"/>
        <v>0</v>
      </c>
      <c r="P318" s="26">
        <f t="shared" ref="P318:Q318" si="785">SUM(P319:P320)</f>
        <v>0</v>
      </c>
      <c r="Q318" s="26">
        <f t="shared" si="785"/>
        <v>0</v>
      </c>
      <c r="R318" s="26">
        <f t="shared" si="735"/>
        <v>0</v>
      </c>
      <c r="S318" s="26">
        <f t="shared" ref="S318:T318" si="786">SUM(S319:S320)</f>
        <v>0</v>
      </c>
      <c r="T318" s="26">
        <f t="shared" si="786"/>
        <v>0</v>
      </c>
      <c r="U318" s="29"/>
      <c r="V318" s="5" t="str">
        <f t="shared" si="736"/>
        <v>-</v>
      </c>
    </row>
    <row r="319" spans="1:22" ht="25.15" customHeight="1" x14ac:dyDescent="0.6">
      <c r="A319" s="30" t="s">
        <v>5</v>
      </c>
      <c r="B319" s="22"/>
      <c r="C319" s="22">
        <f t="shared" si="730"/>
        <v>0</v>
      </c>
      <c r="D319" s="22"/>
      <c r="E319" s="22"/>
      <c r="F319" s="22">
        <f t="shared" si="731"/>
        <v>0</v>
      </c>
      <c r="G319" s="22"/>
      <c r="H319" s="22"/>
      <c r="I319" s="22">
        <f t="shared" si="732"/>
        <v>0</v>
      </c>
      <c r="J319" s="22"/>
      <c r="K319" s="22"/>
      <c r="L319" s="22">
        <f t="shared" si="733"/>
        <v>0</v>
      </c>
      <c r="M319" s="22"/>
      <c r="N319" s="22"/>
      <c r="O319" s="22">
        <f t="shared" si="734"/>
        <v>0</v>
      </c>
      <c r="P319" s="22"/>
      <c r="Q319" s="22"/>
      <c r="R319" s="22">
        <f t="shared" si="735"/>
        <v>0</v>
      </c>
      <c r="S319" s="22"/>
      <c r="T319" s="22"/>
      <c r="U319" s="14"/>
      <c r="V319" s="5" t="str">
        <f t="shared" si="736"/>
        <v>-</v>
      </c>
    </row>
    <row r="320" spans="1:22" ht="25.15" customHeight="1" x14ac:dyDescent="0.6">
      <c r="A320" s="30" t="s">
        <v>6</v>
      </c>
      <c r="B320" s="22"/>
      <c r="C320" s="22">
        <f t="shared" si="730"/>
        <v>0</v>
      </c>
      <c r="D320" s="22"/>
      <c r="E320" s="22"/>
      <c r="F320" s="22">
        <f t="shared" si="731"/>
        <v>0</v>
      </c>
      <c r="G320" s="22"/>
      <c r="H320" s="22"/>
      <c r="I320" s="22">
        <f t="shared" si="732"/>
        <v>0</v>
      </c>
      <c r="J320" s="22"/>
      <c r="K320" s="22"/>
      <c r="L320" s="22">
        <f t="shared" si="733"/>
        <v>0</v>
      </c>
      <c r="M320" s="22"/>
      <c r="N320" s="22"/>
      <c r="O320" s="22">
        <f t="shared" si="734"/>
        <v>0</v>
      </c>
      <c r="P320" s="22"/>
      <c r="Q320" s="22"/>
      <c r="R320" s="22">
        <f t="shared" si="735"/>
        <v>0</v>
      </c>
      <c r="S320" s="22"/>
      <c r="T320" s="22"/>
      <c r="U320" s="14"/>
      <c r="V320" s="5" t="str">
        <f t="shared" si="736"/>
        <v>-</v>
      </c>
    </row>
    <row r="321" spans="1:22" ht="25.15" customHeight="1" x14ac:dyDescent="0.6">
      <c r="A321" s="28" t="s">
        <v>4</v>
      </c>
      <c r="B321" s="26">
        <f>SUM(B322:B323)</f>
        <v>0</v>
      </c>
      <c r="C321" s="26">
        <f t="shared" si="730"/>
        <v>0</v>
      </c>
      <c r="D321" s="26">
        <f>SUM(D322:D323)</f>
        <v>0</v>
      </c>
      <c r="E321" s="26">
        <f>SUM(E322:E323)</f>
        <v>0</v>
      </c>
      <c r="F321" s="26">
        <f t="shared" si="731"/>
        <v>0</v>
      </c>
      <c r="G321" s="26">
        <f t="shared" ref="G321:H321" si="787">SUM(G322:G323)</f>
        <v>0</v>
      </c>
      <c r="H321" s="26">
        <f t="shared" si="787"/>
        <v>0</v>
      </c>
      <c r="I321" s="26">
        <f t="shared" si="732"/>
        <v>0</v>
      </c>
      <c r="J321" s="26">
        <f t="shared" ref="J321:K321" si="788">SUM(J322:J323)</f>
        <v>0</v>
      </c>
      <c r="K321" s="26">
        <f t="shared" si="788"/>
        <v>0</v>
      </c>
      <c r="L321" s="26">
        <f t="shared" si="733"/>
        <v>0</v>
      </c>
      <c r="M321" s="26">
        <f t="shared" ref="M321:N321" si="789">SUM(M322:M323)</f>
        <v>0</v>
      </c>
      <c r="N321" s="26">
        <f t="shared" si="789"/>
        <v>0</v>
      </c>
      <c r="O321" s="26">
        <f t="shared" si="734"/>
        <v>0</v>
      </c>
      <c r="P321" s="26">
        <f t="shared" ref="P321:Q321" si="790">SUM(P322:P323)</f>
        <v>0</v>
      </c>
      <c r="Q321" s="26">
        <f t="shared" si="790"/>
        <v>0</v>
      </c>
      <c r="R321" s="26">
        <f t="shared" si="735"/>
        <v>0</v>
      </c>
      <c r="S321" s="26">
        <f t="shared" ref="S321:T321" si="791">SUM(S322:S323)</f>
        <v>0</v>
      </c>
      <c r="T321" s="26">
        <f t="shared" si="791"/>
        <v>0</v>
      </c>
      <c r="U321" s="29"/>
      <c r="V321" s="5" t="str">
        <f t="shared" si="736"/>
        <v>-</v>
      </c>
    </row>
    <row r="322" spans="1:22" ht="25.15" customHeight="1" x14ac:dyDescent="0.6">
      <c r="A322" s="30" t="s">
        <v>7</v>
      </c>
      <c r="B322" s="22"/>
      <c r="C322" s="22">
        <f t="shared" si="730"/>
        <v>0</v>
      </c>
      <c r="D322" s="22"/>
      <c r="E322" s="22"/>
      <c r="F322" s="22">
        <f t="shared" si="731"/>
        <v>0</v>
      </c>
      <c r="G322" s="22"/>
      <c r="H322" s="22"/>
      <c r="I322" s="22">
        <f t="shared" si="732"/>
        <v>0</v>
      </c>
      <c r="J322" s="22"/>
      <c r="K322" s="22"/>
      <c r="L322" s="22">
        <f t="shared" si="733"/>
        <v>0</v>
      </c>
      <c r="M322" s="22"/>
      <c r="N322" s="22"/>
      <c r="O322" s="22">
        <f t="shared" si="734"/>
        <v>0</v>
      </c>
      <c r="P322" s="22"/>
      <c r="Q322" s="22"/>
      <c r="R322" s="22">
        <f t="shared" si="735"/>
        <v>0</v>
      </c>
      <c r="S322" s="22"/>
      <c r="T322" s="22"/>
      <c r="U322" s="14"/>
      <c r="V322" s="5" t="str">
        <f t="shared" si="736"/>
        <v>-</v>
      </c>
    </row>
    <row r="323" spans="1:22" ht="25.15" customHeight="1" x14ac:dyDescent="0.6">
      <c r="A323" s="30" t="s">
        <v>8</v>
      </c>
      <c r="B323" s="22"/>
      <c r="C323" s="22">
        <f t="shared" si="730"/>
        <v>0</v>
      </c>
      <c r="D323" s="22"/>
      <c r="E323" s="22"/>
      <c r="F323" s="22">
        <f t="shared" si="731"/>
        <v>0</v>
      </c>
      <c r="G323" s="22"/>
      <c r="H323" s="22"/>
      <c r="I323" s="22">
        <f t="shared" si="732"/>
        <v>0</v>
      </c>
      <c r="J323" s="22"/>
      <c r="K323" s="22"/>
      <c r="L323" s="22">
        <f t="shared" si="733"/>
        <v>0</v>
      </c>
      <c r="M323" s="22"/>
      <c r="N323" s="22"/>
      <c r="O323" s="22">
        <f t="shared" si="734"/>
        <v>0</v>
      </c>
      <c r="P323" s="22"/>
      <c r="Q323" s="22"/>
      <c r="R323" s="22">
        <f t="shared" si="735"/>
        <v>0</v>
      </c>
      <c r="S323" s="22"/>
      <c r="T323" s="22"/>
      <c r="U323" s="14"/>
      <c r="V323" s="5" t="str">
        <f t="shared" si="736"/>
        <v>-</v>
      </c>
    </row>
    <row r="324" spans="1:22" ht="25.15" customHeight="1" x14ac:dyDescent="0.6">
      <c r="A324" s="18" t="s">
        <v>48</v>
      </c>
      <c r="B324" s="23">
        <f>B325+B332</f>
        <v>0</v>
      </c>
      <c r="C324" s="23">
        <f t="shared" si="730"/>
        <v>0</v>
      </c>
      <c r="D324" s="23">
        <f>D325+D332</f>
        <v>0</v>
      </c>
      <c r="E324" s="23">
        <f>E325+E332</f>
        <v>0</v>
      </c>
      <c r="F324" s="23">
        <f t="shared" si="731"/>
        <v>0</v>
      </c>
      <c r="G324" s="23">
        <f t="shared" ref="G324:H324" si="792">G325+G332</f>
        <v>0</v>
      </c>
      <c r="H324" s="23">
        <f t="shared" si="792"/>
        <v>0</v>
      </c>
      <c r="I324" s="23">
        <f t="shared" si="732"/>
        <v>0</v>
      </c>
      <c r="J324" s="23">
        <f t="shared" ref="J324:K324" si="793">J325+J332</f>
        <v>0</v>
      </c>
      <c r="K324" s="23">
        <f t="shared" si="793"/>
        <v>0</v>
      </c>
      <c r="L324" s="23">
        <f t="shared" si="733"/>
        <v>0</v>
      </c>
      <c r="M324" s="23">
        <f t="shared" ref="M324:N324" si="794">M325+M332</f>
        <v>0</v>
      </c>
      <c r="N324" s="23">
        <f t="shared" si="794"/>
        <v>0</v>
      </c>
      <c r="O324" s="23">
        <f t="shared" si="734"/>
        <v>0</v>
      </c>
      <c r="P324" s="23">
        <f t="shared" ref="P324:Q324" si="795">P325+P332</f>
        <v>0</v>
      </c>
      <c r="Q324" s="23">
        <f t="shared" si="795"/>
        <v>0</v>
      </c>
      <c r="R324" s="23">
        <f t="shared" si="735"/>
        <v>0</v>
      </c>
      <c r="S324" s="23">
        <f t="shared" ref="S324:T324" si="796">S325+S332</f>
        <v>0</v>
      </c>
      <c r="T324" s="23">
        <f t="shared" si="796"/>
        <v>0</v>
      </c>
      <c r="U324" s="20"/>
      <c r="V324" s="5" t="str">
        <f t="shared" si="736"/>
        <v>-</v>
      </c>
    </row>
    <row r="325" spans="1:22" ht="25.15" customHeight="1" x14ac:dyDescent="0.6">
      <c r="A325" s="25" t="s">
        <v>2</v>
      </c>
      <c r="B325" s="26">
        <f>B326+B329</f>
        <v>0</v>
      </c>
      <c r="C325" s="26">
        <f t="shared" si="730"/>
        <v>0</v>
      </c>
      <c r="D325" s="26">
        <f>D326+D329</f>
        <v>0</v>
      </c>
      <c r="E325" s="26">
        <f>E326+E329</f>
        <v>0</v>
      </c>
      <c r="F325" s="26">
        <f t="shared" si="731"/>
        <v>0</v>
      </c>
      <c r="G325" s="26">
        <f t="shared" ref="G325:H325" si="797">G326+G329</f>
        <v>0</v>
      </c>
      <c r="H325" s="26">
        <f t="shared" si="797"/>
        <v>0</v>
      </c>
      <c r="I325" s="26">
        <f t="shared" si="732"/>
        <v>0</v>
      </c>
      <c r="J325" s="26">
        <f t="shared" ref="J325:K325" si="798">J326+J329</f>
        <v>0</v>
      </c>
      <c r="K325" s="26">
        <f t="shared" si="798"/>
        <v>0</v>
      </c>
      <c r="L325" s="26">
        <f t="shared" si="733"/>
        <v>0</v>
      </c>
      <c r="M325" s="26">
        <f t="shared" ref="M325:N325" si="799">M326+M329</f>
        <v>0</v>
      </c>
      <c r="N325" s="26">
        <f t="shared" si="799"/>
        <v>0</v>
      </c>
      <c r="O325" s="26">
        <f t="shared" si="734"/>
        <v>0</v>
      </c>
      <c r="P325" s="26">
        <f t="shared" ref="P325:Q325" si="800">P326+P329</f>
        <v>0</v>
      </c>
      <c r="Q325" s="26">
        <f t="shared" si="800"/>
        <v>0</v>
      </c>
      <c r="R325" s="26">
        <f t="shared" si="735"/>
        <v>0</v>
      </c>
      <c r="S325" s="26">
        <f t="shared" ref="S325:T325" si="801">S326+S329</f>
        <v>0</v>
      </c>
      <c r="T325" s="26">
        <f t="shared" si="801"/>
        <v>0</v>
      </c>
      <c r="U325" s="27"/>
      <c r="V325" s="5" t="str">
        <f t="shared" si="736"/>
        <v>-</v>
      </c>
    </row>
    <row r="326" spans="1:22" ht="25.15" customHeight="1" x14ac:dyDescent="0.6">
      <c r="A326" s="28" t="s">
        <v>3</v>
      </c>
      <c r="B326" s="26">
        <f>SUM(B327:B328)</f>
        <v>0</v>
      </c>
      <c r="C326" s="26">
        <f t="shared" si="730"/>
        <v>0</v>
      </c>
      <c r="D326" s="26">
        <f>SUM(D327:D328)</f>
        <v>0</v>
      </c>
      <c r="E326" s="26">
        <f>SUM(E327:E328)</f>
        <v>0</v>
      </c>
      <c r="F326" s="26">
        <f t="shared" si="731"/>
        <v>0</v>
      </c>
      <c r="G326" s="26">
        <f t="shared" ref="G326:H326" si="802">SUM(G327:G328)</f>
        <v>0</v>
      </c>
      <c r="H326" s="26">
        <f t="shared" si="802"/>
        <v>0</v>
      </c>
      <c r="I326" s="26">
        <f t="shared" si="732"/>
        <v>0</v>
      </c>
      <c r="J326" s="26">
        <f t="shared" ref="J326:K326" si="803">SUM(J327:J328)</f>
        <v>0</v>
      </c>
      <c r="K326" s="26">
        <f t="shared" si="803"/>
        <v>0</v>
      </c>
      <c r="L326" s="26">
        <f t="shared" si="733"/>
        <v>0</v>
      </c>
      <c r="M326" s="26">
        <f t="shared" ref="M326:N326" si="804">SUM(M327:M328)</f>
        <v>0</v>
      </c>
      <c r="N326" s="26">
        <f t="shared" si="804"/>
        <v>0</v>
      </c>
      <c r="O326" s="26">
        <f t="shared" si="734"/>
        <v>0</v>
      </c>
      <c r="P326" s="26">
        <f t="shared" ref="P326:Q326" si="805">SUM(P327:P328)</f>
        <v>0</v>
      </c>
      <c r="Q326" s="26">
        <f t="shared" si="805"/>
        <v>0</v>
      </c>
      <c r="R326" s="26">
        <f t="shared" si="735"/>
        <v>0</v>
      </c>
      <c r="S326" s="26">
        <f t="shared" ref="S326:T326" si="806">SUM(S327:S328)</f>
        <v>0</v>
      </c>
      <c r="T326" s="26">
        <f t="shared" si="806"/>
        <v>0</v>
      </c>
      <c r="U326" s="29"/>
      <c r="V326" s="5" t="str">
        <f t="shared" si="736"/>
        <v>-</v>
      </c>
    </row>
    <row r="327" spans="1:22" ht="25.15" customHeight="1" x14ac:dyDescent="0.6">
      <c r="A327" s="30" t="s">
        <v>5</v>
      </c>
      <c r="B327" s="22"/>
      <c r="C327" s="22">
        <f t="shared" si="730"/>
        <v>0</v>
      </c>
      <c r="D327" s="22"/>
      <c r="E327" s="22"/>
      <c r="F327" s="22">
        <f t="shared" si="731"/>
        <v>0</v>
      </c>
      <c r="G327" s="22"/>
      <c r="H327" s="22"/>
      <c r="I327" s="22">
        <f t="shared" si="732"/>
        <v>0</v>
      </c>
      <c r="J327" s="22"/>
      <c r="K327" s="22"/>
      <c r="L327" s="22">
        <f t="shared" si="733"/>
        <v>0</v>
      </c>
      <c r="M327" s="22"/>
      <c r="N327" s="22"/>
      <c r="O327" s="22">
        <f t="shared" si="734"/>
        <v>0</v>
      </c>
      <c r="P327" s="22"/>
      <c r="Q327" s="22"/>
      <c r="R327" s="22">
        <f t="shared" si="735"/>
        <v>0</v>
      </c>
      <c r="S327" s="22"/>
      <c r="T327" s="22"/>
      <c r="U327" s="14"/>
      <c r="V327" s="5" t="str">
        <f t="shared" si="736"/>
        <v>-</v>
      </c>
    </row>
    <row r="328" spans="1:22" ht="25.5" customHeight="1" x14ac:dyDescent="0.6">
      <c r="A328" s="30" t="s">
        <v>6</v>
      </c>
      <c r="B328" s="22"/>
      <c r="C328" s="22">
        <f t="shared" ref="C328:C338" si="807">D328+E328</f>
        <v>0</v>
      </c>
      <c r="D328" s="22"/>
      <c r="E328" s="22"/>
      <c r="F328" s="22">
        <f t="shared" ref="F328:F338" si="808">G328+H328</f>
        <v>0</v>
      </c>
      <c r="G328" s="22"/>
      <c r="H328" s="22"/>
      <c r="I328" s="22">
        <f t="shared" ref="I328:I338" si="809">J328+K328</f>
        <v>0</v>
      </c>
      <c r="J328" s="22"/>
      <c r="K328" s="22"/>
      <c r="L328" s="22">
        <f t="shared" ref="L328:L338" si="810">M328+N328</f>
        <v>0</v>
      </c>
      <c r="M328" s="22"/>
      <c r="N328" s="22"/>
      <c r="O328" s="22">
        <f t="shared" ref="O328:O338" si="811">P328+Q328</f>
        <v>0</v>
      </c>
      <c r="P328" s="22"/>
      <c r="Q328" s="22"/>
      <c r="R328" s="22">
        <f t="shared" ref="R328:R338" si="812">S328+T328</f>
        <v>0</v>
      </c>
      <c r="S328" s="22"/>
      <c r="T328" s="22"/>
      <c r="U328" s="14"/>
      <c r="V328" s="5" t="str">
        <f t="shared" ref="V328:V338" si="813">IF((B328+C328+F328+L328+O328)&lt;&gt;0,"ok","-")</f>
        <v>-</v>
      </c>
    </row>
    <row r="329" spans="1:22" ht="25.15" customHeight="1" x14ac:dyDescent="0.6">
      <c r="A329" s="28" t="s">
        <v>4</v>
      </c>
      <c r="B329" s="26">
        <f>SUM(B330:B331)</f>
        <v>0</v>
      </c>
      <c r="C329" s="26">
        <f t="shared" si="807"/>
        <v>0</v>
      </c>
      <c r="D329" s="26">
        <f>SUM(D330:D331)</f>
        <v>0</v>
      </c>
      <c r="E329" s="26">
        <f>SUM(E330:E331)</f>
        <v>0</v>
      </c>
      <c r="F329" s="26">
        <f t="shared" si="808"/>
        <v>0</v>
      </c>
      <c r="G329" s="26">
        <f t="shared" ref="G329:H329" si="814">SUM(G330:G331)</f>
        <v>0</v>
      </c>
      <c r="H329" s="26">
        <f t="shared" si="814"/>
        <v>0</v>
      </c>
      <c r="I329" s="26">
        <f t="shared" si="809"/>
        <v>0</v>
      </c>
      <c r="J329" s="26">
        <f t="shared" ref="J329:K329" si="815">SUM(J330:J331)</f>
        <v>0</v>
      </c>
      <c r="K329" s="26">
        <f t="shared" si="815"/>
        <v>0</v>
      </c>
      <c r="L329" s="26">
        <f t="shared" si="810"/>
        <v>0</v>
      </c>
      <c r="M329" s="26">
        <f t="shared" ref="M329:N329" si="816">SUM(M330:M331)</f>
        <v>0</v>
      </c>
      <c r="N329" s="26">
        <f t="shared" si="816"/>
        <v>0</v>
      </c>
      <c r="O329" s="26">
        <f t="shared" si="811"/>
        <v>0</v>
      </c>
      <c r="P329" s="26">
        <f t="shared" ref="P329:Q329" si="817">SUM(P330:P331)</f>
        <v>0</v>
      </c>
      <c r="Q329" s="26">
        <f t="shared" si="817"/>
        <v>0</v>
      </c>
      <c r="R329" s="26">
        <f t="shared" si="812"/>
        <v>0</v>
      </c>
      <c r="S329" s="26">
        <f t="shared" ref="S329:T329" si="818">SUM(S330:S331)</f>
        <v>0</v>
      </c>
      <c r="T329" s="26">
        <f t="shared" si="818"/>
        <v>0</v>
      </c>
      <c r="U329" s="29"/>
      <c r="V329" s="5" t="str">
        <f t="shared" si="813"/>
        <v>-</v>
      </c>
    </row>
    <row r="330" spans="1:22" ht="25.15" customHeight="1" x14ac:dyDescent="0.6">
      <c r="A330" s="30" t="s">
        <v>7</v>
      </c>
      <c r="B330" s="22"/>
      <c r="C330" s="22">
        <f t="shared" si="807"/>
        <v>0</v>
      </c>
      <c r="D330" s="22"/>
      <c r="E330" s="22"/>
      <c r="F330" s="22">
        <f t="shared" si="808"/>
        <v>0</v>
      </c>
      <c r="G330" s="22"/>
      <c r="H330" s="22"/>
      <c r="I330" s="22">
        <f t="shared" si="809"/>
        <v>0</v>
      </c>
      <c r="J330" s="22"/>
      <c r="K330" s="22"/>
      <c r="L330" s="22">
        <f t="shared" si="810"/>
        <v>0</v>
      </c>
      <c r="M330" s="22"/>
      <c r="N330" s="22"/>
      <c r="O330" s="22">
        <f t="shared" si="811"/>
        <v>0</v>
      </c>
      <c r="P330" s="22"/>
      <c r="Q330" s="22"/>
      <c r="R330" s="22">
        <f t="shared" si="812"/>
        <v>0</v>
      </c>
      <c r="S330" s="22"/>
      <c r="T330" s="22"/>
      <c r="U330" s="14"/>
      <c r="V330" s="5" t="str">
        <f t="shared" si="813"/>
        <v>-</v>
      </c>
    </row>
    <row r="331" spans="1:22" ht="25.15" customHeight="1" x14ac:dyDescent="0.6">
      <c r="A331" s="30" t="s">
        <v>8</v>
      </c>
      <c r="B331" s="22"/>
      <c r="C331" s="22">
        <f t="shared" si="807"/>
        <v>0</v>
      </c>
      <c r="D331" s="22"/>
      <c r="E331" s="22"/>
      <c r="F331" s="22">
        <f t="shared" si="808"/>
        <v>0</v>
      </c>
      <c r="G331" s="22"/>
      <c r="H331" s="22"/>
      <c r="I331" s="22">
        <f t="shared" si="809"/>
        <v>0</v>
      </c>
      <c r="J331" s="22"/>
      <c r="K331" s="22"/>
      <c r="L331" s="22">
        <f t="shared" si="810"/>
        <v>0</v>
      </c>
      <c r="M331" s="22"/>
      <c r="N331" s="22"/>
      <c r="O331" s="22">
        <f t="shared" si="811"/>
        <v>0</v>
      </c>
      <c r="P331" s="22"/>
      <c r="Q331" s="22"/>
      <c r="R331" s="22">
        <f t="shared" si="812"/>
        <v>0</v>
      </c>
      <c r="S331" s="22"/>
      <c r="T331" s="22"/>
      <c r="U331" s="14"/>
      <c r="V331" s="5" t="str">
        <f t="shared" si="813"/>
        <v>-</v>
      </c>
    </row>
    <row r="332" spans="1:22" ht="25.15" customHeight="1" x14ac:dyDescent="0.6">
      <c r="A332" s="25" t="s">
        <v>9</v>
      </c>
      <c r="B332" s="26">
        <f>B333+B336</f>
        <v>0</v>
      </c>
      <c r="C332" s="26">
        <f t="shared" si="807"/>
        <v>0</v>
      </c>
      <c r="D332" s="26">
        <f>D333+D336</f>
        <v>0</v>
      </c>
      <c r="E332" s="26">
        <f>E333+E336</f>
        <v>0</v>
      </c>
      <c r="F332" s="26">
        <f t="shared" si="808"/>
        <v>0</v>
      </c>
      <c r="G332" s="26">
        <f t="shared" ref="G332:H332" si="819">G333+G336</f>
        <v>0</v>
      </c>
      <c r="H332" s="26">
        <f t="shared" si="819"/>
        <v>0</v>
      </c>
      <c r="I332" s="26">
        <f t="shared" si="809"/>
        <v>0</v>
      </c>
      <c r="J332" s="26">
        <f t="shared" ref="J332:K332" si="820">J333+J336</f>
        <v>0</v>
      </c>
      <c r="K332" s="26">
        <f t="shared" si="820"/>
        <v>0</v>
      </c>
      <c r="L332" s="26">
        <f t="shared" si="810"/>
        <v>0</v>
      </c>
      <c r="M332" s="26">
        <f t="shared" ref="M332:N332" si="821">M333+M336</f>
        <v>0</v>
      </c>
      <c r="N332" s="26">
        <f t="shared" si="821"/>
        <v>0</v>
      </c>
      <c r="O332" s="26">
        <f t="shared" si="811"/>
        <v>0</v>
      </c>
      <c r="P332" s="26">
        <f t="shared" ref="P332:Q332" si="822">P333+P336</f>
        <v>0</v>
      </c>
      <c r="Q332" s="26">
        <f t="shared" si="822"/>
        <v>0</v>
      </c>
      <c r="R332" s="26">
        <f t="shared" si="812"/>
        <v>0</v>
      </c>
      <c r="S332" s="26">
        <f t="shared" ref="S332:T332" si="823">S333+S336</f>
        <v>0</v>
      </c>
      <c r="T332" s="26">
        <f t="shared" si="823"/>
        <v>0</v>
      </c>
      <c r="U332" s="27"/>
      <c r="V332" s="5" t="str">
        <f t="shared" si="813"/>
        <v>-</v>
      </c>
    </row>
    <row r="333" spans="1:22" ht="25.15" customHeight="1" x14ac:dyDescent="0.6">
      <c r="A333" s="28" t="s">
        <v>3</v>
      </c>
      <c r="B333" s="26">
        <f>SUM(B334:B335)</f>
        <v>0</v>
      </c>
      <c r="C333" s="26">
        <f t="shared" si="807"/>
        <v>0</v>
      </c>
      <c r="D333" s="26">
        <f>SUM(D334:D335)</f>
        <v>0</v>
      </c>
      <c r="E333" s="26">
        <f>SUM(E334:E335)</f>
        <v>0</v>
      </c>
      <c r="F333" s="26">
        <f t="shared" si="808"/>
        <v>0</v>
      </c>
      <c r="G333" s="26">
        <f t="shared" ref="G333:H333" si="824">SUM(G334:G335)</f>
        <v>0</v>
      </c>
      <c r="H333" s="26">
        <f t="shared" si="824"/>
        <v>0</v>
      </c>
      <c r="I333" s="26">
        <f t="shared" si="809"/>
        <v>0</v>
      </c>
      <c r="J333" s="26">
        <f t="shared" ref="J333:K333" si="825">SUM(J334:J335)</f>
        <v>0</v>
      </c>
      <c r="K333" s="26">
        <f t="shared" si="825"/>
        <v>0</v>
      </c>
      <c r="L333" s="26">
        <f t="shared" si="810"/>
        <v>0</v>
      </c>
      <c r="M333" s="26">
        <f t="shared" ref="M333:N333" si="826">SUM(M334:M335)</f>
        <v>0</v>
      </c>
      <c r="N333" s="26">
        <f t="shared" si="826"/>
        <v>0</v>
      </c>
      <c r="O333" s="26">
        <f t="shared" si="811"/>
        <v>0</v>
      </c>
      <c r="P333" s="26">
        <f t="shared" ref="P333:Q333" si="827">SUM(P334:P335)</f>
        <v>0</v>
      </c>
      <c r="Q333" s="26">
        <f t="shared" si="827"/>
        <v>0</v>
      </c>
      <c r="R333" s="26">
        <f t="shared" si="812"/>
        <v>0</v>
      </c>
      <c r="S333" s="26">
        <f t="shared" ref="S333:T333" si="828">SUM(S334:S335)</f>
        <v>0</v>
      </c>
      <c r="T333" s="26">
        <f t="shared" si="828"/>
        <v>0</v>
      </c>
      <c r="U333" s="29"/>
      <c r="V333" s="5" t="str">
        <f t="shared" si="813"/>
        <v>-</v>
      </c>
    </row>
    <row r="334" spans="1:22" ht="25.15" customHeight="1" x14ac:dyDescent="0.6">
      <c r="A334" s="30" t="s">
        <v>5</v>
      </c>
      <c r="B334" s="22"/>
      <c r="C334" s="22">
        <f t="shared" si="807"/>
        <v>0</v>
      </c>
      <c r="D334" s="22"/>
      <c r="E334" s="22"/>
      <c r="F334" s="22">
        <f t="shared" si="808"/>
        <v>0</v>
      </c>
      <c r="G334" s="22"/>
      <c r="H334" s="22"/>
      <c r="I334" s="22">
        <f t="shared" si="809"/>
        <v>0</v>
      </c>
      <c r="J334" s="22"/>
      <c r="K334" s="22"/>
      <c r="L334" s="22">
        <f t="shared" si="810"/>
        <v>0</v>
      </c>
      <c r="M334" s="22"/>
      <c r="N334" s="22"/>
      <c r="O334" s="22">
        <f t="shared" si="811"/>
        <v>0</v>
      </c>
      <c r="P334" s="22"/>
      <c r="Q334" s="22"/>
      <c r="R334" s="22">
        <f t="shared" si="812"/>
        <v>0</v>
      </c>
      <c r="S334" s="22"/>
      <c r="T334" s="22"/>
      <c r="U334" s="14"/>
      <c r="V334" s="5" t="str">
        <f t="shared" si="813"/>
        <v>-</v>
      </c>
    </row>
    <row r="335" spans="1:22" ht="25.15" customHeight="1" x14ac:dyDescent="0.6">
      <c r="A335" s="30" t="s">
        <v>6</v>
      </c>
      <c r="B335" s="22"/>
      <c r="C335" s="22">
        <f t="shared" si="807"/>
        <v>0</v>
      </c>
      <c r="D335" s="22"/>
      <c r="E335" s="22"/>
      <c r="F335" s="22">
        <f t="shared" si="808"/>
        <v>0</v>
      </c>
      <c r="G335" s="22"/>
      <c r="H335" s="22"/>
      <c r="I335" s="22">
        <f t="shared" si="809"/>
        <v>0</v>
      </c>
      <c r="J335" s="22"/>
      <c r="K335" s="22"/>
      <c r="L335" s="22">
        <f t="shared" si="810"/>
        <v>0</v>
      </c>
      <c r="M335" s="22"/>
      <c r="N335" s="22"/>
      <c r="O335" s="22">
        <f t="shared" si="811"/>
        <v>0</v>
      </c>
      <c r="P335" s="22"/>
      <c r="Q335" s="22"/>
      <c r="R335" s="22">
        <f t="shared" si="812"/>
        <v>0</v>
      </c>
      <c r="S335" s="22"/>
      <c r="T335" s="22"/>
      <c r="U335" s="14"/>
      <c r="V335" s="5" t="str">
        <f t="shared" si="813"/>
        <v>-</v>
      </c>
    </row>
    <row r="336" spans="1:22" ht="25.15" customHeight="1" x14ac:dyDescent="0.6">
      <c r="A336" s="28" t="s">
        <v>4</v>
      </c>
      <c r="B336" s="26">
        <f>SUM(B337:B338)</f>
        <v>0</v>
      </c>
      <c r="C336" s="26">
        <f t="shared" si="807"/>
        <v>0</v>
      </c>
      <c r="D336" s="26">
        <f>SUM(D337:D338)</f>
        <v>0</v>
      </c>
      <c r="E336" s="26">
        <f>SUM(E337:E338)</f>
        <v>0</v>
      </c>
      <c r="F336" s="26">
        <f t="shared" si="808"/>
        <v>0</v>
      </c>
      <c r="G336" s="26">
        <f t="shared" ref="G336:H336" si="829">SUM(G337:G338)</f>
        <v>0</v>
      </c>
      <c r="H336" s="26">
        <f t="shared" si="829"/>
        <v>0</v>
      </c>
      <c r="I336" s="26">
        <f t="shared" si="809"/>
        <v>0</v>
      </c>
      <c r="J336" s="26">
        <f t="shared" ref="J336:K336" si="830">SUM(J337:J338)</f>
        <v>0</v>
      </c>
      <c r="K336" s="26">
        <f t="shared" si="830"/>
        <v>0</v>
      </c>
      <c r="L336" s="26">
        <f t="shared" si="810"/>
        <v>0</v>
      </c>
      <c r="M336" s="26">
        <f t="shared" ref="M336:N336" si="831">SUM(M337:M338)</f>
        <v>0</v>
      </c>
      <c r="N336" s="26">
        <f t="shared" si="831"/>
        <v>0</v>
      </c>
      <c r="O336" s="26">
        <f t="shared" si="811"/>
        <v>0</v>
      </c>
      <c r="P336" s="26">
        <f t="shared" ref="P336:Q336" si="832">SUM(P337:P338)</f>
        <v>0</v>
      </c>
      <c r="Q336" s="26">
        <f t="shared" si="832"/>
        <v>0</v>
      </c>
      <c r="R336" s="26">
        <f t="shared" si="812"/>
        <v>0</v>
      </c>
      <c r="S336" s="26">
        <f t="shared" ref="S336:T336" si="833">SUM(S337:S338)</f>
        <v>0</v>
      </c>
      <c r="T336" s="26">
        <f t="shared" si="833"/>
        <v>0</v>
      </c>
      <c r="U336" s="29"/>
      <c r="V336" s="5" t="str">
        <f t="shared" si="813"/>
        <v>-</v>
      </c>
    </row>
    <row r="337" spans="1:22" ht="25.15" customHeight="1" x14ac:dyDescent="0.6">
      <c r="A337" s="30" t="s">
        <v>7</v>
      </c>
      <c r="B337" s="22"/>
      <c r="C337" s="22">
        <f t="shared" si="807"/>
        <v>0</v>
      </c>
      <c r="D337" s="22"/>
      <c r="E337" s="22"/>
      <c r="F337" s="22">
        <f t="shared" si="808"/>
        <v>0</v>
      </c>
      <c r="G337" s="22"/>
      <c r="H337" s="22"/>
      <c r="I337" s="22">
        <f t="shared" si="809"/>
        <v>0</v>
      </c>
      <c r="J337" s="22"/>
      <c r="K337" s="22"/>
      <c r="L337" s="22">
        <f t="shared" si="810"/>
        <v>0</v>
      </c>
      <c r="M337" s="22"/>
      <c r="N337" s="22"/>
      <c r="O337" s="22">
        <f t="shared" si="811"/>
        <v>0</v>
      </c>
      <c r="P337" s="22"/>
      <c r="Q337" s="22"/>
      <c r="R337" s="22">
        <f t="shared" si="812"/>
        <v>0</v>
      </c>
      <c r="S337" s="22"/>
      <c r="T337" s="22"/>
      <c r="U337" s="14"/>
      <c r="V337" s="5" t="str">
        <f t="shared" si="813"/>
        <v>-</v>
      </c>
    </row>
    <row r="338" spans="1:22" ht="25.15" customHeight="1" x14ac:dyDescent="0.6">
      <c r="A338" s="30" t="s">
        <v>8</v>
      </c>
      <c r="B338" s="22"/>
      <c r="C338" s="22">
        <f t="shared" si="807"/>
        <v>0</v>
      </c>
      <c r="D338" s="22"/>
      <c r="E338" s="22"/>
      <c r="F338" s="22">
        <f t="shared" si="808"/>
        <v>0</v>
      </c>
      <c r="G338" s="22"/>
      <c r="H338" s="22"/>
      <c r="I338" s="22">
        <f t="shared" si="809"/>
        <v>0</v>
      </c>
      <c r="J338" s="22"/>
      <c r="K338" s="22"/>
      <c r="L338" s="22">
        <f t="shared" si="810"/>
        <v>0</v>
      </c>
      <c r="M338" s="22"/>
      <c r="N338" s="22"/>
      <c r="O338" s="22">
        <f t="shared" si="811"/>
        <v>0</v>
      </c>
      <c r="P338" s="22"/>
      <c r="Q338" s="22"/>
      <c r="R338" s="22">
        <f t="shared" si="812"/>
        <v>0</v>
      </c>
      <c r="S338" s="22"/>
      <c r="T338" s="22"/>
      <c r="U338" s="14"/>
      <c r="V338" s="5" t="str">
        <f t="shared" si="813"/>
        <v>-</v>
      </c>
    </row>
    <row r="339" spans="1:22" ht="19.7" customHeight="1" x14ac:dyDescent="0.6"/>
  </sheetData>
  <mergeCells count="12">
    <mergeCell ref="A7:A9"/>
    <mergeCell ref="B7:B9"/>
    <mergeCell ref="C7:K7"/>
    <mergeCell ref="L7:Q7"/>
    <mergeCell ref="R7:T7"/>
    <mergeCell ref="U7:U9"/>
    <mergeCell ref="C8:E8"/>
    <mergeCell ref="F8:H8"/>
    <mergeCell ref="I8:K8"/>
    <mergeCell ref="L8:N8"/>
    <mergeCell ref="O8:Q8"/>
    <mergeCell ref="R8:T8"/>
  </mergeCells>
  <printOptions horizontalCentered="1"/>
  <pageMargins left="0.19685039370078741" right="0.19685039370078741" top="0.35433070866141736" bottom="0.31496062992125984" header="0.31496062992125984" footer="0.31496062992125984"/>
  <pageSetup paperSize="9" scale="57" fitToHeight="0" pageOrder="overThenDown" orientation="landscape" r:id="rId1"/>
  <headerFooter>
    <oddFooter>&amp;C&amp;"Khmer MEF1,Regular"&amp;7ទំព័រ&amp;"Arial,Regular"&amp;10 &amp;"Limon S1,Normal"&amp;14&amp;P&amp;"Arial,Regular"&amp;10 &amp;"Khmer MEF1,Regular"&amp;7នៃ&amp;"Arial,Regular"&amp;10 &amp;"Limon S1,Normal"&amp;14&amp;N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Y344"/>
  <sheetViews>
    <sheetView topLeftCell="A7" zoomScale="85" zoomScaleNormal="85" workbookViewId="0">
      <pane xSplit="1" ySplit="6" topLeftCell="B104" activePane="bottomRight" state="frozen"/>
      <selection activeCell="A7" sqref="A7"/>
      <selection pane="topRight" activeCell="B7" sqref="B7"/>
      <selection pane="bottomLeft" activeCell="A11" sqref="A11"/>
      <selection pane="bottomRight" activeCell="B99" sqref="B99"/>
    </sheetView>
  </sheetViews>
  <sheetFormatPr defaultColWidth="8.7265625" defaultRowHeight="25.15" customHeight="1" x14ac:dyDescent="0.6"/>
  <cols>
    <col min="1" max="1" width="42.26953125" style="5" customWidth="1"/>
    <col min="2" max="2" width="11.7265625" style="1" bestFit="1" customWidth="1"/>
    <col min="3" max="3" width="10.40625" style="15" bestFit="1" customWidth="1"/>
    <col min="4" max="5" width="13" style="15" customWidth="1"/>
    <col min="6" max="6" width="10.40625" style="15" bestFit="1" customWidth="1"/>
    <col min="7" max="8" width="12.1328125" style="15" customWidth="1"/>
    <col min="9" max="11" width="10.86328125" style="15" customWidth="1"/>
    <col min="12" max="12" width="10.40625" style="15" bestFit="1" customWidth="1"/>
    <col min="13" max="17" width="10.7265625" style="15" customWidth="1"/>
    <col min="18" max="20" width="10.7265625" style="15" hidden="1" customWidth="1"/>
    <col min="21" max="21" width="6.26953125" style="5" customWidth="1"/>
    <col min="22" max="16384" width="8.7265625" style="5"/>
  </cols>
  <sheetData>
    <row r="1" spans="1:25" s="3" customFormat="1" ht="25.15" customHeight="1" x14ac:dyDescent="0.6">
      <c r="A1" s="2"/>
      <c r="B1" s="1"/>
      <c r="U1" s="4"/>
      <c r="V1" s="5"/>
      <c r="W1" s="5"/>
      <c r="X1" s="5"/>
      <c r="Y1" s="5"/>
    </row>
    <row r="2" spans="1:25" s="3" customFormat="1" ht="12.75" customHeight="1" x14ac:dyDescent="0.6">
      <c r="A2" s="6"/>
      <c r="B2" s="7"/>
      <c r="U2" s="4"/>
      <c r="V2" s="5"/>
      <c r="W2" s="5"/>
      <c r="X2" s="5"/>
      <c r="Y2" s="5"/>
    </row>
    <row r="3" spans="1:25" s="3" customFormat="1" ht="12.75" customHeight="1" x14ac:dyDescent="0.6">
      <c r="A3" s="6"/>
      <c r="B3" s="7"/>
      <c r="U3" s="4"/>
      <c r="V3" s="5"/>
      <c r="W3" s="5"/>
      <c r="X3" s="5"/>
      <c r="Y3" s="5"/>
    </row>
    <row r="4" spans="1:25" s="12" customFormat="1" ht="25.15" customHeight="1" x14ac:dyDescent="0.75">
      <c r="A4" s="24" t="s">
        <v>20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10"/>
      <c r="M4" s="10"/>
      <c r="N4" s="10"/>
      <c r="O4" s="10"/>
      <c r="P4" s="10"/>
      <c r="Q4" s="10"/>
      <c r="R4" s="10"/>
      <c r="S4" s="10"/>
      <c r="T4" s="10"/>
      <c r="U4" s="11"/>
    </row>
    <row r="5" spans="1:25" s="12" customFormat="1" ht="12.75" customHeight="1" x14ac:dyDescent="0.75">
      <c r="A5" s="8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</row>
    <row r="6" spans="1:25" s="3" customFormat="1" ht="25.15" customHeight="1" thickBot="1" x14ac:dyDescent="0.75">
      <c r="A6" s="6"/>
      <c r="B6" s="13"/>
      <c r="K6" s="16"/>
      <c r="U6" s="16" t="s">
        <v>12</v>
      </c>
      <c r="V6" s="5"/>
      <c r="W6" s="5"/>
      <c r="X6" s="5"/>
      <c r="Y6" s="5"/>
    </row>
    <row r="7" spans="1:25" ht="18.75" customHeight="1" thickTop="1" x14ac:dyDescent="0.6">
      <c r="A7" s="289" t="s">
        <v>0</v>
      </c>
      <c r="B7" s="292" t="s">
        <v>1</v>
      </c>
      <c r="C7" s="295" t="s">
        <v>16</v>
      </c>
      <c r="D7" s="296"/>
      <c r="E7" s="296"/>
      <c r="F7" s="296"/>
      <c r="G7" s="296"/>
      <c r="H7" s="296"/>
      <c r="I7" s="296"/>
      <c r="J7" s="296"/>
      <c r="K7" s="297"/>
      <c r="L7" s="295" t="s">
        <v>18</v>
      </c>
      <c r="M7" s="296"/>
      <c r="N7" s="296"/>
      <c r="O7" s="296"/>
      <c r="P7" s="296"/>
      <c r="Q7" s="297"/>
      <c r="R7" s="295" t="s">
        <v>21</v>
      </c>
      <c r="S7" s="296"/>
      <c r="T7" s="297"/>
      <c r="U7" s="283" t="s">
        <v>11</v>
      </c>
    </row>
    <row r="8" spans="1:25" ht="25.15" customHeight="1" x14ac:dyDescent="0.6">
      <c r="A8" s="290"/>
      <c r="B8" s="293"/>
      <c r="C8" s="286" t="s">
        <v>14</v>
      </c>
      <c r="D8" s="287"/>
      <c r="E8" s="288"/>
      <c r="F8" s="286" t="s">
        <v>15</v>
      </c>
      <c r="G8" s="287"/>
      <c r="H8" s="288"/>
      <c r="I8" s="286" t="s">
        <v>17</v>
      </c>
      <c r="J8" s="287"/>
      <c r="K8" s="288"/>
      <c r="L8" s="286" t="s">
        <v>14</v>
      </c>
      <c r="M8" s="287"/>
      <c r="N8" s="288"/>
      <c r="O8" s="286" t="s">
        <v>15</v>
      </c>
      <c r="P8" s="287"/>
      <c r="Q8" s="288"/>
      <c r="R8" s="286" t="s">
        <v>14</v>
      </c>
      <c r="S8" s="287"/>
      <c r="T8" s="288"/>
      <c r="U8" s="284"/>
    </row>
    <row r="9" spans="1:25" ht="25.15" customHeight="1" thickBot="1" x14ac:dyDescent="0.75">
      <c r="A9" s="291"/>
      <c r="B9" s="294"/>
      <c r="C9" s="31" t="s">
        <v>10</v>
      </c>
      <c r="D9" s="31" t="s">
        <v>19</v>
      </c>
      <c r="E9" s="31" t="s">
        <v>13</v>
      </c>
      <c r="F9" s="31" t="s">
        <v>10</v>
      </c>
      <c r="G9" s="31" t="s">
        <v>19</v>
      </c>
      <c r="H9" s="31" t="s">
        <v>13</v>
      </c>
      <c r="I9" s="31" t="s">
        <v>10</v>
      </c>
      <c r="J9" s="31" t="s">
        <v>19</v>
      </c>
      <c r="K9" s="31" t="s">
        <v>13</v>
      </c>
      <c r="L9" s="31" t="s">
        <v>10</v>
      </c>
      <c r="M9" s="31" t="s">
        <v>19</v>
      </c>
      <c r="N9" s="31" t="s">
        <v>13</v>
      </c>
      <c r="O9" s="31" t="s">
        <v>10</v>
      </c>
      <c r="P9" s="31" t="s">
        <v>19</v>
      </c>
      <c r="Q9" s="31" t="s">
        <v>13</v>
      </c>
      <c r="R9" s="31" t="s">
        <v>10</v>
      </c>
      <c r="S9" s="31" t="s">
        <v>19</v>
      </c>
      <c r="T9" s="31" t="s">
        <v>13</v>
      </c>
      <c r="U9" s="285"/>
    </row>
    <row r="10" spans="1:25" ht="25.15" customHeight="1" thickTop="1" x14ac:dyDescent="0.6">
      <c r="A10" s="36" t="s">
        <v>61</v>
      </c>
      <c r="B10" s="37">
        <f>B11</f>
        <v>0</v>
      </c>
      <c r="C10" s="37">
        <f>D10+E10</f>
        <v>20414.8</v>
      </c>
      <c r="D10" s="37">
        <f>D11+D104</f>
        <v>1184.8</v>
      </c>
      <c r="E10" s="37">
        <f>E11+E104</f>
        <v>19230</v>
      </c>
      <c r="F10" s="37">
        <f>G10+H10</f>
        <v>14690.5</v>
      </c>
      <c r="G10" s="37">
        <f t="shared" ref="G10:H10" si="0">G11+G104</f>
        <v>5703.2999999999993</v>
      </c>
      <c r="H10" s="37">
        <f t="shared" si="0"/>
        <v>8987.2000000000007</v>
      </c>
      <c r="I10" s="37">
        <f>J10+K10</f>
        <v>0</v>
      </c>
      <c r="J10" s="37">
        <f t="shared" ref="J10:K10" si="1">J11+J104</f>
        <v>0</v>
      </c>
      <c r="K10" s="37">
        <f t="shared" si="1"/>
        <v>0</v>
      </c>
      <c r="L10" s="37">
        <f>M10+N10</f>
        <v>55378.2</v>
      </c>
      <c r="M10" s="37">
        <f t="shared" ref="M10:N10" si="2">M11+M104</f>
        <v>46878.2</v>
      </c>
      <c r="N10" s="37">
        <f t="shared" si="2"/>
        <v>8500</v>
      </c>
      <c r="O10" s="37">
        <f>P10+Q10</f>
        <v>0</v>
      </c>
      <c r="P10" s="37">
        <f t="shared" ref="P10:Q10" si="3">P11+P104</f>
        <v>0</v>
      </c>
      <c r="Q10" s="37">
        <f t="shared" si="3"/>
        <v>0</v>
      </c>
      <c r="R10" s="37">
        <f>S10+T10</f>
        <v>0</v>
      </c>
      <c r="S10" s="37">
        <f t="shared" ref="S10:T10" si="4">S11+S104</f>
        <v>0</v>
      </c>
      <c r="T10" s="37">
        <f t="shared" si="4"/>
        <v>0</v>
      </c>
      <c r="U10" s="38"/>
      <c r="V10" s="5" t="str">
        <f>IF((B10+C10+F10+L10+O10)&lt;&gt;0,"ok","-")</f>
        <v>ok</v>
      </c>
    </row>
    <row r="11" spans="1:25" ht="25.15" customHeight="1" x14ac:dyDescent="0.6">
      <c r="A11" s="32" t="s">
        <v>22</v>
      </c>
      <c r="B11" s="33">
        <f>B12</f>
        <v>0</v>
      </c>
      <c r="C11" s="33">
        <f>D11+E11</f>
        <v>0</v>
      </c>
      <c r="D11" s="33">
        <f>D12+D58</f>
        <v>0</v>
      </c>
      <c r="E11" s="33">
        <f>E12+E58</f>
        <v>0</v>
      </c>
      <c r="F11" s="33">
        <f>G11+H11</f>
        <v>0</v>
      </c>
      <c r="G11" s="33">
        <f t="shared" ref="G11:H11" si="5">G12+G58</f>
        <v>0</v>
      </c>
      <c r="H11" s="33">
        <f t="shared" si="5"/>
        <v>0</v>
      </c>
      <c r="I11" s="33">
        <f>J11+K11</f>
        <v>0</v>
      </c>
      <c r="J11" s="33">
        <f t="shared" ref="J11:K11" si="6">J12+J58</f>
        <v>0</v>
      </c>
      <c r="K11" s="33">
        <f t="shared" si="6"/>
        <v>0</v>
      </c>
      <c r="L11" s="33">
        <f>M11+N11</f>
        <v>1500</v>
      </c>
      <c r="M11" s="33">
        <f t="shared" ref="M11:N11" si="7">M12+M58</f>
        <v>1500</v>
      </c>
      <c r="N11" s="33">
        <f t="shared" si="7"/>
        <v>0</v>
      </c>
      <c r="O11" s="33">
        <f>P11+Q11</f>
        <v>0</v>
      </c>
      <c r="P11" s="33">
        <f t="shared" ref="P11:Q11" si="8">P12+P58</f>
        <v>0</v>
      </c>
      <c r="Q11" s="33">
        <f t="shared" si="8"/>
        <v>0</v>
      </c>
      <c r="R11" s="33">
        <f>S11+T11</f>
        <v>0</v>
      </c>
      <c r="S11" s="33">
        <f t="shared" ref="S11:T11" si="9">S12+S58</f>
        <v>0</v>
      </c>
      <c r="T11" s="33">
        <f t="shared" si="9"/>
        <v>0</v>
      </c>
      <c r="U11" s="34"/>
      <c r="V11" s="5" t="str">
        <f>IF((B11+C11+F11+L11+O11)&lt;&gt;0,"ok","-")</f>
        <v>ok</v>
      </c>
    </row>
    <row r="12" spans="1:25" ht="25.15" hidden="1" customHeight="1" x14ac:dyDescent="0.6">
      <c r="A12" s="17" t="s">
        <v>23</v>
      </c>
      <c r="B12" s="21">
        <f>B13</f>
        <v>0</v>
      </c>
      <c r="C12" s="21">
        <f>D12+E12</f>
        <v>0</v>
      </c>
      <c r="D12" s="21">
        <f>D13+D28+D43</f>
        <v>0</v>
      </c>
      <c r="E12" s="21">
        <f>E13+E28+E43</f>
        <v>0</v>
      </c>
      <c r="F12" s="21">
        <f>G12+H12</f>
        <v>0</v>
      </c>
      <c r="G12" s="21">
        <f>G13+G28+G43</f>
        <v>0</v>
      </c>
      <c r="H12" s="21">
        <f>H13+H28+H43</f>
        <v>0</v>
      </c>
      <c r="I12" s="21">
        <f>J12+K12</f>
        <v>0</v>
      </c>
      <c r="J12" s="21">
        <f>J13+J28+J43</f>
        <v>0</v>
      </c>
      <c r="K12" s="21">
        <f>K13+K28+K43</f>
        <v>0</v>
      </c>
      <c r="L12" s="21">
        <f>M12+N12</f>
        <v>0</v>
      </c>
      <c r="M12" s="21">
        <f>M13+M28+M43</f>
        <v>0</v>
      </c>
      <c r="N12" s="21">
        <f>N13+N28+N43</f>
        <v>0</v>
      </c>
      <c r="O12" s="21">
        <f>P12+Q12</f>
        <v>0</v>
      </c>
      <c r="P12" s="21">
        <f>P13+P28+P43</f>
        <v>0</v>
      </c>
      <c r="Q12" s="21">
        <f>Q13+Q28+Q43</f>
        <v>0</v>
      </c>
      <c r="R12" s="21">
        <f>S12+T12</f>
        <v>0</v>
      </c>
      <c r="S12" s="21">
        <f>S13+S28+S43</f>
        <v>0</v>
      </c>
      <c r="T12" s="21">
        <f>T13+T28+T43</f>
        <v>0</v>
      </c>
      <c r="U12" s="19"/>
      <c r="V12" s="5" t="str">
        <f>IF((B12+C12+F12+L12+O12)&lt;&gt;0,"ok","-")</f>
        <v>-</v>
      </c>
    </row>
    <row r="13" spans="1:25" ht="25.15" hidden="1" customHeight="1" x14ac:dyDescent="0.6">
      <c r="A13" s="18" t="s">
        <v>24</v>
      </c>
      <c r="B13" s="23">
        <f>B14+B21</f>
        <v>0</v>
      </c>
      <c r="C13" s="23">
        <f t="shared" ref="C13:C57" si="10">D13+E13</f>
        <v>0</v>
      </c>
      <c r="D13" s="23">
        <f>D14+D21</f>
        <v>0</v>
      </c>
      <c r="E13" s="23">
        <f>E14+E21</f>
        <v>0</v>
      </c>
      <c r="F13" s="23">
        <f t="shared" ref="F13:F57" si="11">G13+H13</f>
        <v>0</v>
      </c>
      <c r="G13" s="23">
        <f t="shared" ref="G13:H13" si="12">G14+G21</f>
        <v>0</v>
      </c>
      <c r="H13" s="23">
        <f t="shared" si="12"/>
        <v>0</v>
      </c>
      <c r="I13" s="23">
        <f t="shared" ref="I13:I57" si="13">J13+K13</f>
        <v>0</v>
      </c>
      <c r="J13" s="23">
        <f t="shared" ref="J13:K13" si="14">J14+J21</f>
        <v>0</v>
      </c>
      <c r="K13" s="23">
        <f t="shared" si="14"/>
        <v>0</v>
      </c>
      <c r="L13" s="23">
        <f t="shared" ref="L13:L57" si="15">M13+N13</f>
        <v>0</v>
      </c>
      <c r="M13" s="23">
        <f t="shared" ref="M13:N13" si="16">M14+M21</f>
        <v>0</v>
      </c>
      <c r="N13" s="23">
        <f t="shared" si="16"/>
        <v>0</v>
      </c>
      <c r="O13" s="23">
        <f t="shared" ref="O13:O57" si="17">P13+Q13</f>
        <v>0</v>
      </c>
      <c r="P13" s="23">
        <f t="shared" ref="P13:Q13" si="18">P14+P21</f>
        <v>0</v>
      </c>
      <c r="Q13" s="23">
        <f t="shared" si="18"/>
        <v>0</v>
      </c>
      <c r="R13" s="23">
        <f t="shared" ref="R13:R57" si="19">S13+T13</f>
        <v>0</v>
      </c>
      <c r="S13" s="23">
        <f t="shared" ref="S13:T13" si="20">S14+S21</f>
        <v>0</v>
      </c>
      <c r="T13" s="23">
        <f t="shared" si="20"/>
        <v>0</v>
      </c>
      <c r="U13" s="20"/>
      <c r="V13" s="5" t="str">
        <f t="shared" ref="V13:V57" si="21">IF((B13+C13+F13+L13+O13)&lt;&gt;0,"ok","-")</f>
        <v>-</v>
      </c>
    </row>
    <row r="14" spans="1:25" ht="25.15" hidden="1" customHeight="1" x14ac:dyDescent="0.6">
      <c r="A14" s="25" t="s">
        <v>2</v>
      </c>
      <c r="B14" s="26">
        <f>B15+B18</f>
        <v>0</v>
      </c>
      <c r="C14" s="26">
        <f t="shared" si="10"/>
        <v>0</v>
      </c>
      <c r="D14" s="26">
        <f>D15+D18</f>
        <v>0</v>
      </c>
      <c r="E14" s="26">
        <f>E15+E18</f>
        <v>0</v>
      </c>
      <c r="F14" s="26">
        <f t="shared" si="11"/>
        <v>0</v>
      </c>
      <c r="G14" s="26">
        <f t="shared" ref="G14:H14" si="22">G15+G18</f>
        <v>0</v>
      </c>
      <c r="H14" s="26">
        <f t="shared" si="22"/>
        <v>0</v>
      </c>
      <c r="I14" s="26">
        <f t="shared" si="13"/>
        <v>0</v>
      </c>
      <c r="J14" s="26">
        <f t="shared" ref="J14:K14" si="23">J15+J18</f>
        <v>0</v>
      </c>
      <c r="K14" s="26">
        <f t="shared" si="23"/>
        <v>0</v>
      </c>
      <c r="L14" s="26">
        <f t="shared" si="15"/>
        <v>0</v>
      </c>
      <c r="M14" s="26">
        <f t="shared" ref="M14:N14" si="24">M15+M18</f>
        <v>0</v>
      </c>
      <c r="N14" s="26">
        <f t="shared" si="24"/>
        <v>0</v>
      </c>
      <c r="O14" s="26">
        <f t="shared" si="17"/>
        <v>0</v>
      </c>
      <c r="P14" s="26">
        <f t="shared" ref="P14:Q14" si="25">P15+P18</f>
        <v>0</v>
      </c>
      <c r="Q14" s="26">
        <f t="shared" si="25"/>
        <v>0</v>
      </c>
      <c r="R14" s="26">
        <f t="shared" si="19"/>
        <v>0</v>
      </c>
      <c r="S14" s="26">
        <f t="shared" ref="S14:T14" si="26">S15+S18</f>
        <v>0</v>
      </c>
      <c r="T14" s="26">
        <f t="shared" si="26"/>
        <v>0</v>
      </c>
      <c r="U14" s="27"/>
      <c r="V14" s="5" t="str">
        <f t="shared" si="21"/>
        <v>-</v>
      </c>
    </row>
    <row r="15" spans="1:25" ht="25.15" hidden="1" customHeight="1" x14ac:dyDescent="0.6">
      <c r="A15" s="28" t="s">
        <v>3</v>
      </c>
      <c r="B15" s="26">
        <f>SUM(B16:B17)</f>
        <v>0</v>
      </c>
      <c r="C15" s="26">
        <f t="shared" si="10"/>
        <v>0</v>
      </c>
      <c r="D15" s="26">
        <f>SUM(D16:D17)</f>
        <v>0</v>
      </c>
      <c r="E15" s="26">
        <f>SUM(E16:E17)</f>
        <v>0</v>
      </c>
      <c r="F15" s="26">
        <f t="shared" si="11"/>
        <v>0</v>
      </c>
      <c r="G15" s="26">
        <f t="shared" ref="G15:H15" si="27">SUM(G16:G17)</f>
        <v>0</v>
      </c>
      <c r="H15" s="26">
        <f t="shared" si="27"/>
        <v>0</v>
      </c>
      <c r="I15" s="26">
        <f t="shared" si="13"/>
        <v>0</v>
      </c>
      <c r="J15" s="26">
        <f t="shared" ref="J15:K15" si="28">SUM(J16:J17)</f>
        <v>0</v>
      </c>
      <c r="K15" s="26">
        <f t="shared" si="28"/>
        <v>0</v>
      </c>
      <c r="L15" s="26">
        <f t="shared" si="15"/>
        <v>0</v>
      </c>
      <c r="M15" s="26">
        <f t="shared" ref="M15:N15" si="29">SUM(M16:M17)</f>
        <v>0</v>
      </c>
      <c r="N15" s="26">
        <f t="shared" si="29"/>
        <v>0</v>
      </c>
      <c r="O15" s="26">
        <f t="shared" si="17"/>
        <v>0</v>
      </c>
      <c r="P15" s="26">
        <f t="shared" ref="P15:Q15" si="30">SUM(P16:P17)</f>
        <v>0</v>
      </c>
      <c r="Q15" s="26">
        <f t="shared" si="30"/>
        <v>0</v>
      </c>
      <c r="R15" s="26">
        <f t="shared" si="19"/>
        <v>0</v>
      </c>
      <c r="S15" s="26">
        <f t="shared" ref="S15:T15" si="31">SUM(S16:S17)</f>
        <v>0</v>
      </c>
      <c r="T15" s="26">
        <f t="shared" si="31"/>
        <v>0</v>
      </c>
      <c r="U15" s="29"/>
      <c r="V15" s="5" t="str">
        <f t="shared" si="21"/>
        <v>-</v>
      </c>
    </row>
    <row r="16" spans="1:25" ht="25.15" hidden="1" customHeight="1" x14ac:dyDescent="0.6">
      <c r="A16" s="30" t="s">
        <v>5</v>
      </c>
      <c r="B16" s="22"/>
      <c r="C16" s="22">
        <f t="shared" si="10"/>
        <v>0</v>
      </c>
      <c r="D16" s="22"/>
      <c r="E16" s="22"/>
      <c r="F16" s="22">
        <f t="shared" si="11"/>
        <v>0</v>
      </c>
      <c r="G16" s="22"/>
      <c r="H16" s="22"/>
      <c r="I16" s="22">
        <f t="shared" si="13"/>
        <v>0</v>
      </c>
      <c r="J16" s="22"/>
      <c r="K16" s="22"/>
      <c r="L16" s="22">
        <f t="shared" si="15"/>
        <v>0</v>
      </c>
      <c r="M16" s="22"/>
      <c r="N16" s="22"/>
      <c r="O16" s="22">
        <f t="shared" si="17"/>
        <v>0</v>
      </c>
      <c r="P16" s="22"/>
      <c r="Q16" s="22"/>
      <c r="R16" s="22">
        <f t="shared" si="19"/>
        <v>0</v>
      </c>
      <c r="S16" s="22"/>
      <c r="T16" s="22"/>
      <c r="U16" s="14"/>
      <c r="V16" s="5" t="str">
        <f t="shared" si="21"/>
        <v>-</v>
      </c>
    </row>
    <row r="17" spans="1:22" ht="25.5" hidden="1" customHeight="1" x14ac:dyDescent="0.6">
      <c r="A17" s="30" t="s">
        <v>6</v>
      </c>
      <c r="B17" s="22"/>
      <c r="C17" s="22">
        <f t="shared" si="10"/>
        <v>0</v>
      </c>
      <c r="D17" s="22"/>
      <c r="E17" s="22"/>
      <c r="F17" s="22">
        <f t="shared" si="11"/>
        <v>0</v>
      </c>
      <c r="G17" s="22"/>
      <c r="H17" s="22"/>
      <c r="I17" s="22">
        <f t="shared" si="13"/>
        <v>0</v>
      </c>
      <c r="J17" s="22"/>
      <c r="K17" s="22"/>
      <c r="L17" s="22">
        <f t="shared" si="15"/>
        <v>0</v>
      </c>
      <c r="M17" s="22"/>
      <c r="N17" s="22"/>
      <c r="O17" s="22">
        <f t="shared" si="17"/>
        <v>0</v>
      </c>
      <c r="P17" s="22"/>
      <c r="Q17" s="22"/>
      <c r="R17" s="22">
        <f t="shared" si="19"/>
        <v>0</v>
      </c>
      <c r="S17" s="22"/>
      <c r="T17" s="22"/>
      <c r="U17" s="14"/>
      <c r="V17" s="5" t="str">
        <f t="shared" si="21"/>
        <v>-</v>
      </c>
    </row>
    <row r="18" spans="1:22" ht="25.15" hidden="1" customHeight="1" x14ac:dyDescent="0.6">
      <c r="A18" s="28" t="s">
        <v>4</v>
      </c>
      <c r="B18" s="26">
        <f>SUM(B19:B20)</f>
        <v>0</v>
      </c>
      <c r="C18" s="26">
        <f t="shared" si="10"/>
        <v>0</v>
      </c>
      <c r="D18" s="26">
        <f>SUM(D19:D20)</f>
        <v>0</v>
      </c>
      <c r="E18" s="26">
        <f>SUM(E19:E20)</f>
        <v>0</v>
      </c>
      <c r="F18" s="26">
        <f t="shared" si="11"/>
        <v>0</v>
      </c>
      <c r="G18" s="26">
        <f t="shared" ref="G18:H18" si="32">SUM(G19:G20)</f>
        <v>0</v>
      </c>
      <c r="H18" s="26">
        <f t="shared" si="32"/>
        <v>0</v>
      </c>
      <c r="I18" s="26">
        <f t="shared" si="13"/>
        <v>0</v>
      </c>
      <c r="J18" s="26">
        <f t="shared" ref="J18:K18" si="33">SUM(J19:J20)</f>
        <v>0</v>
      </c>
      <c r="K18" s="26">
        <f t="shared" si="33"/>
        <v>0</v>
      </c>
      <c r="L18" s="26">
        <f t="shared" si="15"/>
        <v>0</v>
      </c>
      <c r="M18" s="26">
        <f t="shared" ref="M18:N18" si="34">SUM(M19:M20)</f>
        <v>0</v>
      </c>
      <c r="N18" s="26">
        <f t="shared" si="34"/>
        <v>0</v>
      </c>
      <c r="O18" s="26">
        <f t="shared" si="17"/>
        <v>0</v>
      </c>
      <c r="P18" s="26">
        <f t="shared" ref="P18:Q18" si="35">SUM(P19:P20)</f>
        <v>0</v>
      </c>
      <c r="Q18" s="26">
        <f t="shared" si="35"/>
        <v>0</v>
      </c>
      <c r="R18" s="26">
        <f t="shared" si="19"/>
        <v>0</v>
      </c>
      <c r="S18" s="26">
        <f t="shared" ref="S18:T18" si="36">SUM(S19:S20)</f>
        <v>0</v>
      </c>
      <c r="T18" s="26">
        <f t="shared" si="36"/>
        <v>0</v>
      </c>
      <c r="U18" s="29"/>
      <c r="V18" s="5" t="str">
        <f t="shared" si="21"/>
        <v>-</v>
      </c>
    </row>
    <row r="19" spans="1:22" ht="25.15" hidden="1" customHeight="1" x14ac:dyDescent="0.6">
      <c r="A19" s="30" t="s">
        <v>7</v>
      </c>
      <c r="B19" s="22"/>
      <c r="C19" s="22">
        <f t="shared" si="10"/>
        <v>0</v>
      </c>
      <c r="D19" s="22"/>
      <c r="E19" s="22"/>
      <c r="F19" s="22">
        <f t="shared" si="11"/>
        <v>0</v>
      </c>
      <c r="G19" s="22"/>
      <c r="H19" s="22"/>
      <c r="I19" s="22">
        <f t="shared" si="13"/>
        <v>0</v>
      </c>
      <c r="J19" s="22"/>
      <c r="K19" s="22"/>
      <c r="L19" s="22">
        <f t="shared" si="15"/>
        <v>0</v>
      </c>
      <c r="M19" s="22"/>
      <c r="N19" s="22"/>
      <c r="O19" s="22">
        <f t="shared" si="17"/>
        <v>0</v>
      </c>
      <c r="P19" s="22"/>
      <c r="Q19" s="22"/>
      <c r="R19" s="22">
        <f t="shared" si="19"/>
        <v>0</v>
      </c>
      <c r="S19" s="22"/>
      <c r="T19" s="22"/>
      <c r="U19" s="14"/>
      <c r="V19" s="5" t="str">
        <f t="shared" si="21"/>
        <v>-</v>
      </c>
    </row>
    <row r="20" spans="1:22" ht="25.15" hidden="1" customHeight="1" x14ac:dyDescent="0.6">
      <c r="A20" s="30" t="s">
        <v>8</v>
      </c>
      <c r="B20" s="22"/>
      <c r="C20" s="22">
        <f t="shared" si="10"/>
        <v>0</v>
      </c>
      <c r="D20" s="22"/>
      <c r="E20" s="22"/>
      <c r="F20" s="22">
        <f t="shared" si="11"/>
        <v>0</v>
      </c>
      <c r="G20" s="22"/>
      <c r="H20" s="22"/>
      <c r="I20" s="22">
        <f t="shared" si="13"/>
        <v>0</v>
      </c>
      <c r="J20" s="22"/>
      <c r="K20" s="22"/>
      <c r="L20" s="22">
        <f t="shared" si="15"/>
        <v>0</v>
      </c>
      <c r="M20" s="22"/>
      <c r="N20" s="22"/>
      <c r="O20" s="22">
        <f t="shared" si="17"/>
        <v>0</v>
      </c>
      <c r="P20" s="22"/>
      <c r="Q20" s="22"/>
      <c r="R20" s="22">
        <f t="shared" si="19"/>
        <v>0</v>
      </c>
      <c r="S20" s="22"/>
      <c r="T20" s="22"/>
      <c r="U20" s="14"/>
      <c r="V20" s="5" t="str">
        <f t="shared" si="21"/>
        <v>-</v>
      </c>
    </row>
    <row r="21" spans="1:22" ht="25.15" hidden="1" customHeight="1" x14ac:dyDescent="0.6">
      <c r="A21" s="25" t="s">
        <v>9</v>
      </c>
      <c r="B21" s="26">
        <f>B22+B25</f>
        <v>0</v>
      </c>
      <c r="C21" s="26">
        <f t="shared" si="10"/>
        <v>0</v>
      </c>
      <c r="D21" s="26">
        <f>D22+D25</f>
        <v>0</v>
      </c>
      <c r="E21" s="26">
        <f>E22+E25</f>
        <v>0</v>
      </c>
      <c r="F21" s="26">
        <f t="shared" si="11"/>
        <v>0</v>
      </c>
      <c r="G21" s="26">
        <f t="shared" ref="G21:H21" si="37">G22+G25</f>
        <v>0</v>
      </c>
      <c r="H21" s="26">
        <f t="shared" si="37"/>
        <v>0</v>
      </c>
      <c r="I21" s="26">
        <f t="shared" si="13"/>
        <v>0</v>
      </c>
      <c r="J21" s="26">
        <f t="shared" ref="J21:K21" si="38">J22+J25</f>
        <v>0</v>
      </c>
      <c r="K21" s="26">
        <f t="shared" si="38"/>
        <v>0</v>
      </c>
      <c r="L21" s="26">
        <f t="shared" si="15"/>
        <v>0</v>
      </c>
      <c r="M21" s="26">
        <f t="shared" ref="M21:N21" si="39">M22+M25</f>
        <v>0</v>
      </c>
      <c r="N21" s="26">
        <f t="shared" si="39"/>
        <v>0</v>
      </c>
      <c r="O21" s="26">
        <f t="shared" si="17"/>
        <v>0</v>
      </c>
      <c r="P21" s="26">
        <f t="shared" ref="P21:Q21" si="40">P22+P25</f>
        <v>0</v>
      </c>
      <c r="Q21" s="26">
        <f t="shared" si="40"/>
        <v>0</v>
      </c>
      <c r="R21" s="26">
        <f t="shared" si="19"/>
        <v>0</v>
      </c>
      <c r="S21" s="26">
        <f t="shared" ref="S21:T21" si="41">S22+S25</f>
        <v>0</v>
      </c>
      <c r="T21" s="26">
        <f t="shared" si="41"/>
        <v>0</v>
      </c>
      <c r="U21" s="27"/>
      <c r="V21" s="5" t="str">
        <f t="shared" si="21"/>
        <v>-</v>
      </c>
    </row>
    <row r="22" spans="1:22" ht="25.15" hidden="1" customHeight="1" x14ac:dyDescent="0.6">
      <c r="A22" s="28" t="s">
        <v>3</v>
      </c>
      <c r="B22" s="26">
        <f>SUM(B23:B24)</f>
        <v>0</v>
      </c>
      <c r="C22" s="26">
        <f t="shared" si="10"/>
        <v>0</v>
      </c>
      <c r="D22" s="26">
        <f>SUM(D23:D24)</f>
        <v>0</v>
      </c>
      <c r="E22" s="26">
        <f>SUM(E23:E24)</f>
        <v>0</v>
      </c>
      <c r="F22" s="26">
        <f t="shared" si="11"/>
        <v>0</v>
      </c>
      <c r="G22" s="26">
        <f t="shared" ref="G22:H22" si="42">SUM(G23:G24)</f>
        <v>0</v>
      </c>
      <c r="H22" s="26">
        <f t="shared" si="42"/>
        <v>0</v>
      </c>
      <c r="I22" s="26">
        <f t="shared" si="13"/>
        <v>0</v>
      </c>
      <c r="J22" s="26">
        <f t="shared" ref="J22:K22" si="43">SUM(J23:J24)</f>
        <v>0</v>
      </c>
      <c r="K22" s="26">
        <f t="shared" si="43"/>
        <v>0</v>
      </c>
      <c r="L22" s="26">
        <f t="shared" si="15"/>
        <v>0</v>
      </c>
      <c r="M22" s="26">
        <f t="shared" ref="M22:N22" si="44">SUM(M23:M24)</f>
        <v>0</v>
      </c>
      <c r="N22" s="26">
        <f t="shared" si="44"/>
        <v>0</v>
      </c>
      <c r="O22" s="26">
        <f t="shared" si="17"/>
        <v>0</v>
      </c>
      <c r="P22" s="26">
        <f t="shared" ref="P22:Q22" si="45">SUM(P23:P24)</f>
        <v>0</v>
      </c>
      <c r="Q22" s="26">
        <f t="shared" si="45"/>
        <v>0</v>
      </c>
      <c r="R22" s="26">
        <f t="shared" si="19"/>
        <v>0</v>
      </c>
      <c r="S22" s="26">
        <f t="shared" ref="S22:T22" si="46">SUM(S23:S24)</f>
        <v>0</v>
      </c>
      <c r="T22" s="26">
        <f t="shared" si="46"/>
        <v>0</v>
      </c>
      <c r="U22" s="29"/>
      <c r="V22" s="5" t="str">
        <f t="shared" si="21"/>
        <v>-</v>
      </c>
    </row>
    <row r="23" spans="1:22" ht="25.15" hidden="1" customHeight="1" x14ac:dyDescent="0.6">
      <c r="A23" s="30" t="s">
        <v>5</v>
      </c>
      <c r="B23" s="22"/>
      <c r="C23" s="22">
        <f t="shared" si="10"/>
        <v>0</v>
      </c>
      <c r="D23" s="22"/>
      <c r="E23" s="22"/>
      <c r="F23" s="22">
        <f t="shared" si="11"/>
        <v>0</v>
      </c>
      <c r="G23" s="22"/>
      <c r="H23" s="22"/>
      <c r="I23" s="22">
        <f t="shared" si="13"/>
        <v>0</v>
      </c>
      <c r="J23" s="22"/>
      <c r="K23" s="22"/>
      <c r="L23" s="22">
        <f t="shared" si="15"/>
        <v>0</v>
      </c>
      <c r="M23" s="22"/>
      <c r="N23" s="22"/>
      <c r="O23" s="22">
        <f t="shared" si="17"/>
        <v>0</v>
      </c>
      <c r="P23" s="22"/>
      <c r="Q23" s="22"/>
      <c r="R23" s="22">
        <f t="shared" si="19"/>
        <v>0</v>
      </c>
      <c r="S23" s="22"/>
      <c r="T23" s="22"/>
      <c r="U23" s="14"/>
      <c r="V23" s="5" t="str">
        <f t="shared" si="21"/>
        <v>-</v>
      </c>
    </row>
    <row r="24" spans="1:22" ht="25.15" hidden="1" customHeight="1" x14ac:dyDescent="0.6">
      <c r="A24" s="30" t="s">
        <v>6</v>
      </c>
      <c r="B24" s="22"/>
      <c r="C24" s="22">
        <f t="shared" si="10"/>
        <v>0</v>
      </c>
      <c r="D24" s="22"/>
      <c r="E24" s="22"/>
      <c r="F24" s="22">
        <f t="shared" si="11"/>
        <v>0</v>
      </c>
      <c r="G24" s="22"/>
      <c r="H24" s="22"/>
      <c r="I24" s="22">
        <f t="shared" si="13"/>
        <v>0</v>
      </c>
      <c r="J24" s="22"/>
      <c r="K24" s="22"/>
      <c r="L24" s="22">
        <f t="shared" si="15"/>
        <v>0</v>
      </c>
      <c r="M24" s="22"/>
      <c r="N24" s="22"/>
      <c r="O24" s="22">
        <f t="shared" si="17"/>
        <v>0</v>
      </c>
      <c r="P24" s="22"/>
      <c r="Q24" s="22"/>
      <c r="R24" s="22">
        <f t="shared" si="19"/>
        <v>0</v>
      </c>
      <c r="S24" s="22"/>
      <c r="T24" s="22"/>
      <c r="U24" s="14"/>
      <c r="V24" s="5" t="str">
        <f t="shared" si="21"/>
        <v>-</v>
      </c>
    </row>
    <row r="25" spans="1:22" ht="25.15" hidden="1" customHeight="1" x14ac:dyDescent="0.6">
      <c r="A25" s="28" t="s">
        <v>4</v>
      </c>
      <c r="B25" s="26">
        <f>SUM(B26:B27)</f>
        <v>0</v>
      </c>
      <c r="C25" s="26">
        <f t="shared" si="10"/>
        <v>0</v>
      </c>
      <c r="D25" s="26">
        <f>SUM(D26:D27)</f>
        <v>0</v>
      </c>
      <c r="E25" s="26">
        <f>SUM(E26:E27)</f>
        <v>0</v>
      </c>
      <c r="F25" s="26">
        <f t="shared" si="11"/>
        <v>0</v>
      </c>
      <c r="G25" s="26">
        <f t="shared" ref="G25:H25" si="47">SUM(G26:G27)</f>
        <v>0</v>
      </c>
      <c r="H25" s="26">
        <f t="shared" si="47"/>
        <v>0</v>
      </c>
      <c r="I25" s="26">
        <f t="shared" si="13"/>
        <v>0</v>
      </c>
      <c r="J25" s="26">
        <f t="shared" ref="J25:K25" si="48">SUM(J26:J27)</f>
        <v>0</v>
      </c>
      <c r="K25" s="26">
        <f t="shared" si="48"/>
        <v>0</v>
      </c>
      <c r="L25" s="26">
        <f t="shared" si="15"/>
        <v>0</v>
      </c>
      <c r="M25" s="26">
        <f t="shared" ref="M25:N25" si="49">SUM(M26:M27)</f>
        <v>0</v>
      </c>
      <c r="N25" s="26">
        <f t="shared" si="49"/>
        <v>0</v>
      </c>
      <c r="O25" s="26">
        <f t="shared" si="17"/>
        <v>0</v>
      </c>
      <c r="P25" s="26">
        <f t="shared" ref="P25:Q25" si="50">SUM(P26:P27)</f>
        <v>0</v>
      </c>
      <c r="Q25" s="26">
        <f t="shared" si="50"/>
        <v>0</v>
      </c>
      <c r="R25" s="26">
        <f t="shared" si="19"/>
        <v>0</v>
      </c>
      <c r="S25" s="26">
        <f t="shared" ref="S25:T25" si="51">SUM(S26:S27)</f>
        <v>0</v>
      </c>
      <c r="T25" s="26">
        <f t="shared" si="51"/>
        <v>0</v>
      </c>
      <c r="U25" s="29"/>
      <c r="V25" s="5" t="str">
        <f t="shared" si="21"/>
        <v>-</v>
      </c>
    </row>
    <row r="26" spans="1:22" ht="25.15" hidden="1" customHeight="1" x14ac:dyDescent="0.6">
      <c r="A26" s="30" t="s">
        <v>7</v>
      </c>
      <c r="B26" s="22"/>
      <c r="C26" s="22">
        <f t="shared" si="10"/>
        <v>0</v>
      </c>
      <c r="D26" s="22"/>
      <c r="E26" s="22"/>
      <c r="F26" s="22">
        <f t="shared" si="11"/>
        <v>0</v>
      </c>
      <c r="G26" s="22"/>
      <c r="H26" s="22"/>
      <c r="I26" s="22">
        <f t="shared" si="13"/>
        <v>0</v>
      </c>
      <c r="J26" s="22"/>
      <c r="K26" s="22"/>
      <c r="L26" s="22">
        <f t="shared" si="15"/>
        <v>0</v>
      </c>
      <c r="M26" s="22"/>
      <c r="N26" s="22"/>
      <c r="O26" s="22">
        <f t="shared" si="17"/>
        <v>0</v>
      </c>
      <c r="P26" s="22"/>
      <c r="Q26" s="22"/>
      <c r="R26" s="22">
        <f t="shared" si="19"/>
        <v>0</v>
      </c>
      <c r="S26" s="22"/>
      <c r="T26" s="22"/>
      <c r="U26" s="14"/>
      <c r="V26" s="5" t="str">
        <f t="shared" si="21"/>
        <v>-</v>
      </c>
    </row>
    <row r="27" spans="1:22" ht="25.15" hidden="1" customHeight="1" x14ac:dyDescent="0.6">
      <c r="A27" s="30" t="s">
        <v>8</v>
      </c>
      <c r="B27" s="22"/>
      <c r="C27" s="22">
        <f t="shared" si="10"/>
        <v>0</v>
      </c>
      <c r="D27" s="22"/>
      <c r="E27" s="22"/>
      <c r="F27" s="22">
        <f t="shared" si="11"/>
        <v>0</v>
      </c>
      <c r="G27" s="22"/>
      <c r="H27" s="22"/>
      <c r="I27" s="22">
        <f t="shared" si="13"/>
        <v>0</v>
      </c>
      <c r="J27" s="22"/>
      <c r="K27" s="22"/>
      <c r="L27" s="22">
        <f t="shared" si="15"/>
        <v>0</v>
      </c>
      <c r="M27" s="22"/>
      <c r="N27" s="22"/>
      <c r="O27" s="22">
        <f t="shared" si="17"/>
        <v>0</v>
      </c>
      <c r="P27" s="22"/>
      <c r="Q27" s="22"/>
      <c r="R27" s="22">
        <f t="shared" si="19"/>
        <v>0</v>
      </c>
      <c r="S27" s="22"/>
      <c r="T27" s="22"/>
      <c r="U27" s="14"/>
      <c r="V27" s="5" t="str">
        <f t="shared" si="21"/>
        <v>-</v>
      </c>
    </row>
    <row r="28" spans="1:22" ht="25.15" hidden="1" customHeight="1" x14ac:dyDescent="0.6">
      <c r="A28" s="18" t="s">
        <v>25</v>
      </c>
      <c r="B28" s="23">
        <f>B29+B36</f>
        <v>0</v>
      </c>
      <c r="C28" s="23">
        <f t="shared" si="10"/>
        <v>0</v>
      </c>
      <c r="D28" s="23">
        <f>D29+D36</f>
        <v>0</v>
      </c>
      <c r="E28" s="23">
        <f>E29+E36</f>
        <v>0</v>
      </c>
      <c r="F28" s="23">
        <f t="shared" si="11"/>
        <v>0</v>
      </c>
      <c r="G28" s="23">
        <f t="shared" ref="G28:H28" si="52">G29+G36</f>
        <v>0</v>
      </c>
      <c r="H28" s="23">
        <f t="shared" si="52"/>
        <v>0</v>
      </c>
      <c r="I28" s="23">
        <f t="shared" si="13"/>
        <v>0</v>
      </c>
      <c r="J28" s="23">
        <f t="shared" ref="J28:K28" si="53">J29+J36</f>
        <v>0</v>
      </c>
      <c r="K28" s="23">
        <f t="shared" si="53"/>
        <v>0</v>
      </c>
      <c r="L28" s="23">
        <f t="shared" si="15"/>
        <v>0</v>
      </c>
      <c r="M28" s="23">
        <f t="shared" ref="M28:N28" si="54">M29+M36</f>
        <v>0</v>
      </c>
      <c r="N28" s="23">
        <f t="shared" si="54"/>
        <v>0</v>
      </c>
      <c r="O28" s="23">
        <f t="shared" si="17"/>
        <v>0</v>
      </c>
      <c r="P28" s="23">
        <f t="shared" ref="P28:Q28" si="55">P29+P36</f>
        <v>0</v>
      </c>
      <c r="Q28" s="23">
        <f t="shared" si="55"/>
        <v>0</v>
      </c>
      <c r="R28" s="23">
        <f t="shared" si="19"/>
        <v>0</v>
      </c>
      <c r="S28" s="23">
        <f t="shared" ref="S28:T28" si="56">S29+S36</f>
        <v>0</v>
      </c>
      <c r="T28" s="23">
        <f t="shared" si="56"/>
        <v>0</v>
      </c>
      <c r="U28" s="20"/>
      <c r="V28" s="5" t="str">
        <f t="shared" si="21"/>
        <v>-</v>
      </c>
    </row>
    <row r="29" spans="1:22" ht="25.15" hidden="1" customHeight="1" x14ac:dyDescent="0.6">
      <c r="A29" s="25" t="s">
        <v>2</v>
      </c>
      <c r="B29" s="26">
        <f>B30+B33</f>
        <v>0</v>
      </c>
      <c r="C29" s="26">
        <f t="shared" si="10"/>
        <v>0</v>
      </c>
      <c r="D29" s="26">
        <f>D30+D33</f>
        <v>0</v>
      </c>
      <c r="E29" s="26">
        <f>E30+E33</f>
        <v>0</v>
      </c>
      <c r="F29" s="26">
        <f t="shared" si="11"/>
        <v>0</v>
      </c>
      <c r="G29" s="26">
        <f t="shared" ref="G29:H29" si="57">G30+G33</f>
        <v>0</v>
      </c>
      <c r="H29" s="26">
        <f t="shared" si="57"/>
        <v>0</v>
      </c>
      <c r="I29" s="26">
        <f t="shared" si="13"/>
        <v>0</v>
      </c>
      <c r="J29" s="26">
        <f t="shared" ref="J29:K29" si="58">J30+J33</f>
        <v>0</v>
      </c>
      <c r="K29" s="26">
        <f t="shared" si="58"/>
        <v>0</v>
      </c>
      <c r="L29" s="26">
        <f t="shared" si="15"/>
        <v>0</v>
      </c>
      <c r="M29" s="26">
        <f t="shared" ref="M29:N29" si="59">M30+M33</f>
        <v>0</v>
      </c>
      <c r="N29" s="26">
        <f t="shared" si="59"/>
        <v>0</v>
      </c>
      <c r="O29" s="26">
        <f t="shared" si="17"/>
        <v>0</v>
      </c>
      <c r="P29" s="26">
        <f t="shared" ref="P29:Q29" si="60">P30+P33</f>
        <v>0</v>
      </c>
      <c r="Q29" s="26">
        <f t="shared" si="60"/>
        <v>0</v>
      </c>
      <c r="R29" s="26">
        <f t="shared" si="19"/>
        <v>0</v>
      </c>
      <c r="S29" s="26">
        <f t="shared" ref="S29:T29" si="61">S30+S33</f>
        <v>0</v>
      </c>
      <c r="T29" s="26">
        <f t="shared" si="61"/>
        <v>0</v>
      </c>
      <c r="U29" s="27"/>
      <c r="V29" s="5" t="str">
        <f t="shared" si="21"/>
        <v>-</v>
      </c>
    </row>
    <row r="30" spans="1:22" ht="25.15" hidden="1" customHeight="1" x14ac:dyDescent="0.6">
      <c r="A30" s="28" t="s">
        <v>3</v>
      </c>
      <c r="B30" s="26">
        <f>SUM(B31:B32)</f>
        <v>0</v>
      </c>
      <c r="C30" s="26">
        <f t="shared" si="10"/>
        <v>0</v>
      </c>
      <c r="D30" s="26">
        <f>SUM(D31:D32)</f>
        <v>0</v>
      </c>
      <c r="E30" s="26">
        <f>SUM(E31:E32)</f>
        <v>0</v>
      </c>
      <c r="F30" s="26">
        <f t="shared" si="11"/>
        <v>0</v>
      </c>
      <c r="G30" s="26">
        <f t="shared" ref="G30:H30" si="62">SUM(G31:G32)</f>
        <v>0</v>
      </c>
      <c r="H30" s="26">
        <f t="shared" si="62"/>
        <v>0</v>
      </c>
      <c r="I30" s="26">
        <f t="shared" si="13"/>
        <v>0</v>
      </c>
      <c r="J30" s="26">
        <f t="shared" ref="J30:K30" si="63">SUM(J31:J32)</f>
        <v>0</v>
      </c>
      <c r="K30" s="26">
        <f t="shared" si="63"/>
        <v>0</v>
      </c>
      <c r="L30" s="26">
        <f t="shared" si="15"/>
        <v>0</v>
      </c>
      <c r="M30" s="26">
        <f t="shared" ref="M30:N30" si="64">SUM(M31:M32)</f>
        <v>0</v>
      </c>
      <c r="N30" s="26">
        <f t="shared" si="64"/>
        <v>0</v>
      </c>
      <c r="O30" s="26">
        <f t="shared" si="17"/>
        <v>0</v>
      </c>
      <c r="P30" s="26">
        <f t="shared" ref="P30:Q30" si="65">SUM(P31:P32)</f>
        <v>0</v>
      </c>
      <c r="Q30" s="26">
        <f t="shared" si="65"/>
        <v>0</v>
      </c>
      <c r="R30" s="26">
        <f t="shared" si="19"/>
        <v>0</v>
      </c>
      <c r="S30" s="26">
        <f t="shared" ref="S30:T30" si="66">SUM(S31:S32)</f>
        <v>0</v>
      </c>
      <c r="T30" s="26">
        <f t="shared" si="66"/>
        <v>0</v>
      </c>
      <c r="U30" s="29"/>
      <c r="V30" s="5" t="str">
        <f t="shared" si="21"/>
        <v>-</v>
      </c>
    </row>
    <row r="31" spans="1:22" ht="25.15" hidden="1" customHeight="1" x14ac:dyDescent="0.6">
      <c r="A31" s="30" t="s">
        <v>5</v>
      </c>
      <c r="B31" s="22"/>
      <c r="C31" s="22">
        <f t="shared" si="10"/>
        <v>0</v>
      </c>
      <c r="D31" s="22"/>
      <c r="E31" s="22"/>
      <c r="F31" s="22">
        <f t="shared" si="11"/>
        <v>0</v>
      </c>
      <c r="G31" s="22"/>
      <c r="H31" s="22"/>
      <c r="I31" s="22">
        <f t="shared" si="13"/>
        <v>0</v>
      </c>
      <c r="J31" s="22"/>
      <c r="K31" s="22"/>
      <c r="L31" s="22">
        <f t="shared" si="15"/>
        <v>0</v>
      </c>
      <c r="M31" s="22"/>
      <c r="N31" s="22"/>
      <c r="O31" s="22">
        <f t="shared" si="17"/>
        <v>0</v>
      </c>
      <c r="P31" s="22"/>
      <c r="Q31" s="22"/>
      <c r="R31" s="22">
        <f t="shared" si="19"/>
        <v>0</v>
      </c>
      <c r="S31" s="22"/>
      <c r="T31" s="22"/>
      <c r="U31" s="14"/>
      <c r="V31" s="5" t="str">
        <f t="shared" si="21"/>
        <v>-</v>
      </c>
    </row>
    <row r="32" spans="1:22" ht="25.5" hidden="1" customHeight="1" x14ac:dyDescent="0.6">
      <c r="A32" s="30" t="s">
        <v>6</v>
      </c>
      <c r="B32" s="22"/>
      <c r="C32" s="22">
        <f t="shared" si="10"/>
        <v>0</v>
      </c>
      <c r="D32" s="22"/>
      <c r="E32" s="22"/>
      <c r="F32" s="22">
        <f t="shared" si="11"/>
        <v>0</v>
      </c>
      <c r="G32" s="22"/>
      <c r="H32" s="22"/>
      <c r="I32" s="22">
        <f t="shared" si="13"/>
        <v>0</v>
      </c>
      <c r="J32" s="22"/>
      <c r="K32" s="22"/>
      <c r="L32" s="22">
        <f t="shared" si="15"/>
        <v>0</v>
      </c>
      <c r="M32" s="22"/>
      <c r="N32" s="22"/>
      <c r="O32" s="22">
        <f t="shared" si="17"/>
        <v>0</v>
      </c>
      <c r="P32" s="22"/>
      <c r="Q32" s="22"/>
      <c r="R32" s="22">
        <f t="shared" si="19"/>
        <v>0</v>
      </c>
      <c r="S32" s="22"/>
      <c r="T32" s="22"/>
      <c r="U32" s="14"/>
      <c r="V32" s="5" t="str">
        <f t="shared" si="21"/>
        <v>-</v>
      </c>
    </row>
    <row r="33" spans="1:22" ht="25.15" hidden="1" customHeight="1" x14ac:dyDescent="0.6">
      <c r="A33" s="28" t="s">
        <v>4</v>
      </c>
      <c r="B33" s="26">
        <f>SUM(B34:B35)</f>
        <v>0</v>
      </c>
      <c r="C33" s="26">
        <f t="shared" si="10"/>
        <v>0</v>
      </c>
      <c r="D33" s="26">
        <f>SUM(D34:D35)</f>
        <v>0</v>
      </c>
      <c r="E33" s="26">
        <f>SUM(E34:E35)</f>
        <v>0</v>
      </c>
      <c r="F33" s="26">
        <f t="shared" si="11"/>
        <v>0</v>
      </c>
      <c r="G33" s="26">
        <f t="shared" ref="G33:H33" si="67">SUM(G34:G35)</f>
        <v>0</v>
      </c>
      <c r="H33" s="26">
        <f t="shared" si="67"/>
        <v>0</v>
      </c>
      <c r="I33" s="26">
        <f t="shared" si="13"/>
        <v>0</v>
      </c>
      <c r="J33" s="26">
        <f t="shared" ref="J33:K33" si="68">SUM(J34:J35)</f>
        <v>0</v>
      </c>
      <c r="K33" s="26">
        <f t="shared" si="68"/>
        <v>0</v>
      </c>
      <c r="L33" s="26">
        <f t="shared" si="15"/>
        <v>0</v>
      </c>
      <c r="M33" s="26">
        <f t="shared" ref="M33:N33" si="69">SUM(M34:M35)</f>
        <v>0</v>
      </c>
      <c r="N33" s="26">
        <f t="shared" si="69"/>
        <v>0</v>
      </c>
      <c r="O33" s="26">
        <f t="shared" si="17"/>
        <v>0</v>
      </c>
      <c r="P33" s="26">
        <f t="shared" ref="P33:Q33" si="70">SUM(P34:P35)</f>
        <v>0</v>
      </c>
      <c r="Q33" s="26">
        <f t="shared" si="70"/>
        <v>0</v>
      </c>
      <c r="R33" s="26">
        <f t="shared" si="19"/>
        <v>0</v>
      </c>
      <c r="S33" s="26">
        <f t="shared" ref="S33:T33" si="71">SUM(S34:S35)</f>
        <v>0</v>
      </c>
      <c r="T33" s="26">
        <f t="shared" si="71"/>
        <v>0</v>
      </c>
      <c r="U33" s="29"/>
      <c r="V33" s="5" t="str">
        <f t="shared" si="21"/>
        <v>-</v>
      </c>
    </row>
    <row r="34" spans="1:22" ht="25.15" hidden="1" customHeight="1" x14ac:dyDescent="0.6">
      <c r="A34" s="30" t="s">
        <v>7</v>
      </c>
      <c r="B34" s="22"/>
      <c r="C34" s="22">
        <f t="shared" si="10"/>
        <v>0</v>
      </c>
      <c r="D34" s="22"/>
      <c r="E34" s="22"/>
      <c r="F34" s="22">
        <f t="shared" si="11"/>
        <v>0</v>
      </c>
      <c r="G34" s="22"/>
      <c r="H34" s="22"/>
      <c r="I34" s="22">
        <f t="shared" si="13"/>
        <v>0</v>
      </c>
      <c r="J34" s="22"/>
      <c r="K34" s="22"/>
      <c r="L34" s="22">
        <f t="shared" si="15"/>
        <v>0</v>
      </c>
      <c r="M34" s="22"/>
      <c r="N34" s="22"/>
      <c r="O34" s="22">
        <f t="shared" si="17"/>
        <v>0</v>
      </c>
      <c r="P34" s="22"/>
      <c r="Q34" s="22"/>
      <c r="R34" s="22">
        <f t="shared" si="19"/>
        <v>0</v>
      </c>
      <c r="S34" s="22"/>
      <c r="T34" s="22"/>
      <c r="U34" s="14"/>
      <c r="V34" s="5" t="str">
        <f t="shared" si="21"/>
        <v>-</v>
      </c>
    </row>
    <row r="35" spans="1:22" ht="25.15" hidden="1" customHeight="1" x14ac:dyDescent="0.6">
      <c r="A35" s="30" t="s">
        <v>8</v>
      </c>
      <c r="B35" s="22"/>
      <c r="C35" s="22">
        <f t="shared" si="10"/>
        <v>0</v>
      </c>
      <c r="D35" s="22"/>
      <c r="E35" s="22"/>
      <c r="F35" s="22">
        <f t="shared" si="11"/>
        <v>0</v>
      </c>
      <c r="G35" s="22"/>
      <c r="H35" s="22"/>
      <c r="I35" s="22">
        <f t="shared" si="13"/>
        <v>0</v>
      </c>
      <c r="J35" s="22"/>
      <c r="K35" s="22"/>
      <c r="L35" s="22">
        <f t="shared" si="15"/>
        <v>0</v>
      </c>
      <c r="M35" s="22"/>
      <c r="N35" s="22"/>
      <c r="O35" s="22">
        <f t="shared" si="17"/>
        <v>0</v>
      </c>
      <c r="P35" s="22"/>
      <c r="Q35" s="22"/>
      <c r="R35" s="22">
        <f t="shared" si="19"/>
        <v>0</v>
      </c>
      <c r="S35" s="22"/>
      <c r="T35" s="22"/>
      <c r="U35" s="14"/>
      <c r="V35" s="5" t="str">
        <f t="shared" si="21"/>
        <v>-</v>
      </c>
    </row>
    <row r="36" spans="1:22" ht="25.15" hidden="1" customHeight="1" x14ac:dyDescent="0.6">
      <c r="A36" s="25" t="s">
        <v>9</v>
      </c>
      <c r="B36" s="26">
        <f>B37+B40</f>
        <v>0</v>
      </c>
      <c r="C36" s="26">
        <f t="shared" si="10"/>
        <v>0</v>
      </c>
      <c r="D36" s="26">
        <f>D37+D40</f>
        <v>0</v>
      </c>
      <c r="E36" s="26">
        <f>E37+E40</f>
        <v>0</v>
      </c>
      <c r="F36" s="26">
        <f t="shared" si="11"/>
        <v>0</v>
      </c>
      <c r="G36" s="26">
        <f t="shared" ref="G36:H36" si="72">G37+G40</f>
        <v>0</v>
      </c>
      <c r="H36" s="26">
        <f t="shared" si="72"/>
        <v>0</v>
      </c>
      <c r="I36" s="26">
        <f t="shared" si="13"/>
        <v>0</v>
      </c>
      <c r="J36" s="26">
        <f t="shared" ref="J36:K36" si="73">J37+J40</f>
        <v>0</v>
      </c>
      <c r="K36" s="26">
        <f t="shared" si="73"/>
        <v>0</v>
      </c>
      <c r="L36" s="26">
        <f t="shared" si="15"/>
        <v>0</v>
      </c>
      <c r="M36" s="26">
        <f t="shared" ref="M36:N36" si="74">M37+M40</f>
        <v>0</v>
      </c>
      <c r="N36" s="26">
        <f t="shared" si="74"/>
        <v>0</v>
      </c>
      <c r="O36" s="26">
        <f t="shared" si="17"/>
        <v>0</v>
      </c>
      <c r="P36" s="26">
        <f t="shared" ref="P36:Q36" si="75">P37+P40</f>
        <v>0</v>
      </c>
      <c r="Q36" s="26">
        <f t="shared" si="75"/>
        <v>0</v>
      </c>
      <c r="R36" s="26">
        <f t="shared" si="19"/>
        <v>0</v>
      </c>
      <c r="S36" s="26">
        <f t="shared" ref="S36:T36" si="76">S37+S40</f>
        <v>0</v>
      </c>
      <c r="T36" s="26">
        <f t="shared" si="76"/>
        <v>0</v>
      </c>
      <c r="U36" s="27"/>
      <c r="V36" s="5" t="str">
        <f t="shared" si="21"/>
        <v>-</v>
      </c>
    </row>
    <row r="37" spans="1:22" ht="25.15" hidden="1" customHeight="1" x14ac:dyDescent="0.6">
      <c r="A37" s="28" t="s">
        <v>3</v>
      </c>
      <c r="B37" s="26">
        <f>SUM(B38:B39)</f>
        <v>0</v>
      </c>
      <c r="C37" s="26">
        <f t="shared" si="10"/>
        <v>0</v>
      </c>
      <c r="D37" s="26">
        <f>SUM(D38:D39)</f>
        <v>0</v>
      </c>
      <c r="E37" s="26">
        <f>SUM(E38:E39)</f>
        <v>0</v>
      </c>
      <c r="F37" s="26">
        <f t="shared" si="11"/>
        <v>0</v>
      </c>
      <c r="G37" s="26">
        <f t="shared" ref="G37:H37" si="77">SUM(G38:G39)</f>
        <v>0</v>
      </c>
      <c r="H37" s="26">
        <f t="shared" si="77"/>
        <v>0</v>
      </c>
      <c r="I37" s="26">
        <f t="shared" si="13"/>
        <v>0</v>
      </c>
      <c r="J37" s="26">
        <f t="shared" ref="J37:K37" si="78">SUM(J38:J39)</f>
        <v>0</v>
      </c>
      <c r="K37" s="26">
        <f t="shared" si="78"/>
        <v>0</v>
      </c>
      <c r="L37" s="26">
        <f t="shared" si="15"/>
        <v>0</v>
      </c>
      <c r="M37" s="26">
        <f t="shared" ref="M37:N37" si="79">SUM(M38:M39)</f>
        <v>0</v>
      </c>
      <c r="N37" s="26">
        <f t="shared" si="79"/>
        <v>0</v>
      </c>
      <c r="O37" s="26">
        <f t="shared" si="17"/>
        <v>0</v>
      </c>
      <c r="P37" s="26">
        <f t="shared" ref="P37:Q37" si="80">SUM(P38:P39)</f>
        <v>0</v>
      </c>
      <c r="Q37" s="26">
        <f t="shared" si="80"/>
        <v>0</v>
      </c>
      <c r="R37" s="26">
        <f t="shared" si="19"/>
        <v>0</v>
      </c>
      <c r="S37" s="26">
        <f t="shared" ref="S37:T37" si="81">SUM(S38:S39)</f>
        <v>0</v>
      </c>
      <c r="T37" s="26">
        <f t="shared" si="81"/>
        <v>0</v>
      </c>
      <c r="U37" s="29"/>
      <c r="V37" s="5" t="str">
        <f t="shared" si="21"/>
        <v>-</v>
      </c>
    </row>
    <row r="38" spans="1:22" ht="25.15" hidden="1" customHeight="1" x14ac:dyDescent="0.6">
      <c r="A38" s="30" t="s">
        <v>5</v>
      </c>
      <c r="B38" s="22"/>
      <c r="C38" s="22">
        <f t="shared" si="10"/>
        <v>0</v>
      </c>
      <c r="D38" s="22"/>
      <c r="E38" s="22"/>
      <c r="F38" s="22">
        <f t="shared" si="11"/>
        <v>0</v>
      </c>
      <c r="G38" s="22"/>
      <c r="H38" s="22"/>
      <c r="I38" s="22">
        <f t="shared" si="13"/>
        <v>0</v>
      </c>
      <c r="J38" s="22"/>
      <c r="K38" s="22"/>
      <c r="L38" s="22">
        <f t="shared" si="15"/>
        <v>0</v>
      </c>
      <c r="M38" s="22"/>
      <c r="N38" s="22"/>
      <c r="O38" s="22">
        <f t="shared" si="17"/>
        <v>0</v>
      </c>
      <c r="P38" s="22"/>
      <c r="Q38" s="22"/>
      <c r="R38" s="22">
        <f t="shared" si="19"/>
        <v>0</v>
      </c>
      <c r="S38" s="22"/>
      <c r="T38" s="22"/>
      <c r="U38" s="14"/>
      <c r="V38" s="5" t="str">
        <f t="shared" si="21"/>
        <v>-</v>
      </c>
    </row>
    <row r="39" spans="1:22" ht="25.15" hidden="1" customHeight="1" x14ac:dyDescent="0.6">
      <c r="A39" s="30" t="s">
        <v>6</v>
      </c>
      <c r="B39" s="22"/>
      <c r="C39" s="22">
        <f t="shared" si="10"/>
        <v>0</v>
      </c>
      <c r="D39" s="22"/>
      <c r="E39" s="22"/>
      <c r="F39" s="22">
        <f t="shared" si="11"/>
        <v>0</v>
      </c>
      <c r="G39" s="22"/>
      <c r="H39" s="22"/>
      <c r="I39" s="22">
        <f t="shared" si="13"/>
        <v>0</v>
      </c>
      <c r="J39" s="22"/>
      <c r="K39" s="22"/>
      <c r="L39" s="22">
        <f t="shared" si="15"/>
        <v>0</v>
      </c>
      <c r="M39" s="22"/>
      <c r="N39" s="22"/>
      <c r="O39" s="22">
        <f t="shared" si="17"/>
        <v>0</v>
      </c>
      <c r="P39" s="22"/>
      <c r="Q39" s="22"/>
      <c r="R39" s="22">
        <f t="shared" si="19"/>
        <v>0</v>
      </c>
      <c r="S39" s="22"/>
      <c r="T39" s="22"/>
      <c r="U39" s="14"/>
      <c r="V39" s="5" t="str">
        <f t="shared" si="21"/>
        <v>-</v>
      </c>
    </row>
    <row r="40" spans="1:22" ht="25.15" hidden="1" customHeight="1" x14ac:dyDescent="0.6">
      <c r="A40" s="28" t="s">
        <v>4</v>
      </c>
      <c r="B40" s="26">
        <f>SUM(B41:B42)</f>
        <v>0</v>
      </c>
      <c r="C40" s="26">
        <f t="shared" si="10"/>
        <v>0</v>
      </c>
      <c r="D40" s="26">
        <f>SUM(D41:D42)</f>
        <v>0</v>
      </c>
      <c r="E40" s="26">
        <f>SUM(E41:E42)</f>
        <v>0</v>
      </c>
      <c r="F40" s="26">
        <f t="shared" si="11"/>
        <v>0</v>
      </c>
      <c r="G40" s="26">
        <f t="shared" ref="G40:H40" si="82">SUM(G41:G42)</f>
        <v>0</v>
      </c>
      <c r="H40" s="26">
        <f t="shared" si="82"/>
        <v>0</v>
      </c>
      <c r="I40" s="26">
        <f t="shared" si="13"/>
        <v>0</v>
      </c>
      <c r="J40" s="26">
        <f t="shared" ref="J40:K40" si="83">SUM(J41:J42)</f>
        <v>0</v>
      </c>
      <c r="K40" s="26">
        <f t="shared" si="83"/>
        <v>0</v>
      </c>
      <c r="L40" s="26">
        <f t="shared" si="15"/>
        <v>0</v>
      </c>
      <c r="M40" s="26">
        <f t="shared" ref="M40:N40" si="84">SUM(M41:M42)</f>
        <v>0</v>
      </c>
      <c r="N40" s="26">
        <f t="shared" si="84"/>
        <v>0</v>
      </c>
      <c r="O40" s="26">
        <f t="shared" si="17"/>
        <v>0</v>
      </c>
      <c r="P40" s="26">
        <f t="shared" ref="P40:Q40" si="85">SUM(P41:P42)</f>
        <v>0</v>
      </c>
      <c r="Q40" s="26">
        <f t="shared" si="85"/>
        <v>0</v>
      </c>
      <c r="R40" s="26">
        <f t="shared" si="19"/>
        <v>0</v>
      </c>
      <c r="S40" s="26">
        <f t="shared" ref="S40:T40" si="86">SUM(S41:S42)</f>
        <v>0</v>
      </c>
      <c r="T40" s="26">
        <f t="shared" si="86"/>
        <v>0</v>
      </c>
      <c r="U40" s="29"/>
      <c r="V40" s="5" t="str">
        <f t="shared" si="21"/>
        <v>-</v>
      </c>
    </row>
    <row r="41" spans="1:22" ht="25.15" hidden="1" customHeight="1" x14ac:dyDescent="0.6">
      <c r="A41" s="30" t="s">
        <v>7</v>
      </c>
      <c r="B41" s="22"/>
      <c r="C41" s="22">
        <f t="shared" si="10"/>
        <v>0</v>
      </c>
      <c r="D41" s="22"/>
      <c r="E41" s="22"/>
      <c r="F41" s="22">
        <f t="shared" si="11"/>
        <v>0</v>
      </c>
      <c r="G41" s="22"/>
      <c r="H41" s="22"/>
      <c r="I41" s="22">
        <f t="shared" si="13"/>
        <v>0</v>
      </c>
      <c r="J41" s="22"/>
      <c r="K41" s="22"/>
      <c r="L41" s="22">
        <f t="shared" si="15"/>
        <v>0</v>
      </c>
      <c r="M41" s="22"/>
      <c r="N41" s="22"/>
      <c r="O41" s="22">
        <f t="shared" si="17"/>
        <v>0</v>
      </c>
      <c r="P41" s="22"/>
      <c r="Q41" s="22"/>
      <c r="R41" s="22">
        <f t="shared" si="19"/>
        <v>0</v>
      </c>
      <c r="S41" s="22"/>
      <c r="T41" s="22"/>
      <c r="U41" s="14"/>
      <c r="V41" s="5" t="str">
        <f t="shared" si="21"/>
        <v>-</v>
      </c>
    </row>
    <row r="42" spans="1:22" ht="25.15" hidden="1" customHeight="1" x14ac:dyDescent="0.6">
      <c r="A42" s="30" t="s">
        <v>8</v>
      </c>
      <c r="B42" s="22"/>
      <c r="C42" s="22">
        <f t="shared" si="10"/>
        <v>0</v>
      </c>
      <c r="D42" s="22"/>
      <c r="E42" s="22"/>
      <c r="F42" s="22">
        <f t="shared" si="11"/>
        <v>0</v>
      </c>
      <c r="G42" s="22"/>
      <c r="H42" s="22"/>
      <c r="I42" s="22">
        <f t="shared" si="13"/>
        <v>0</v>
      </c>
      <c r="J42" s="22"/>
      <c r="K42" s="22"/>
      <c r="L42" s="22">
        <f t="shared" si="15"/>
        <v>0</v>
      </c>
      <c r="M42" s="22"/>
      <c r="N42" s="22"/>
      <c r="O42" s="22">
        <f t="shared" si="17"/>
        <v>0</v>
      </c>
      <c r="P42" s="22"/>
      <c r="Q42" s="22"/>
      <c r="R42" s="22">
        <f t="shared" si="19"/>
        <v>0</v>
      </c>
      <c r="S42" s="22"/>
      <c r="T42" s="22"/>
      <c r="U42" s="14"/>
      <c r="V42" s="5" t="str">
        <f t="shared" si="21"/>
        <v>-</v>
      </c>
    </row>
    <row r="43" spans="1:22" ht="25.15" hidden="1" customHeight="1" x14ac:dyDescent="0.6">
      <c r="A43" s="18" t="s">
        <v>26</v>
      </c>
      <c r="B43" s="23">
        <f>B44+B51</f>
        <v>0</v>
      </c>
      <c r="C43" s="23">
        <f t="shared" si="10"/>
        <v>0</v>
      </c>
      <c r="D43" s="23">
        <f>D44+D51</f>
        <v>0</v>
      </c>
      <c r="E43" s="23">
        <f>E44+E51</f>
        <v>0</v>
      </c>
      <c r="F43" s="23">
        <f t="shared" si="11"/>
        <v>0</v>
      </c>
      <c r="G43" s="23">
        <f t="shared" ref="G43:H43" si="87">G44+G51</f>
        <v>0</v>
      </c>
      <c r="H43" s="23">
        <f t="shared" si="87"/>
        <v>0</v>
      </c>
      <c r="I43" s="23">
        <f t="shared" si="13"/>
        <v>0</v>
      </c>
      <c r="J43" s="23">
        <f t="shared" ref="J43:K43" si="88">J44+J51</f>
        <v>0</v>
      </c>
      <c r="K43" s="23">
        <f t="shared" si="88"/>
        <v>0</v>
      </c>
      <c r="L43" s="23">
        <f t="shared" si="15"/>
        <v>0</v>
      </c>
      <c r="M43" s="23">
        <f t="shared" ref="M43:N43" si="89">M44+M51</f>
        <v>0</v>
      </c>
      <c r="N43" s="23">
        <f t="shared" si="89"/>
        <v>0</v>
      </c>
      <c r="O43" s="23">
        <f t="shared" si="17"/>
        <v>0</v>
      </c>
      <c r="P43" s="23">
        <f t="shared" ref="P43:Q43" si="90">P44+P51</f>
        <v>0</v>
      </c>
      <c r="Q43" s="23">
        <f t="shared" si="90"/>
        <v>0</v>
      </c>
      <c r="R43" s="23">
        <f t="shared" si="19"/>
        <v>0</v>
      </c>
      <c r="S43" s="23">
        <f t="shared" ref="S43:T43" si="91">S44+S51</f>
        <v>0</v>
      </c>
      <c r="T43" s="23">
        <f t="shared" si="91"/>
        <v>0</v>
      </c>
      <c r="U43" s="20"/>
      <c r="V43" s="5" t="str">
        <f t="shared" si="21"/>
        <v>-</v>
      </c>
    </row>
    <row r="44" spans="1:22" ht="25.15" hidden="1" customHeight="1" x14ac:dyDescent="0.6">
      <c r="A44" s="25" t="s">
        <v>2</v>
      </c>
      <c r="B44" s="26">
        <f>B45+B48</f>
        <v>0</v>
      </c>
      <c r="C44" s="26">
        <f t="shared" si="10"/>
        <v>0</v>
      </c>
      <c r="D44" s="26">
        <f>D45+D48</f>
        <v>0</v>
      </c>
      <c r="E44" s="26">
        <f>E45+E48</f>
        <v>0</v>
      </c>
      <c r="F44" s="26">
        <f t="shared" si="11"/>
        <v>0</v>
      </c>
      <c r="G44" s="26">
        <f t="shared" ref="G44:H44" si="92">G45+G48</f>
        <v>0</v>
      </c>
      <c r="H44" s="26">
        <f t="shared" si="92"/>
        <v>0</v>
      </c>
      <c r="I44" s="26">
        <f t="shared" si="13"/>
        <v>0</v>
      </c>
      <c r="J44" s="26">
        <f t="shared" ref="J44:K44" si="93">J45+J48</f>
        <v>0</v>
      </c>
      <c r="K44" s="26">
        <f t="shared" si="93"/>
        <v>0</v>
      </c>
      <c r="L44" s="26">
        <f t="shared" si="15"/>
        <v>0</v>
      </c>
      <c r="M44" s="26">
        <f t="shared" ref="M44:N44" si="94">M45+M48</f>
        <v>0</v>
      </c>
      <c r="N44" s="26">
        <f t="shared" si="94"/>
        <v>0</v>
      </c>
      <c r="O44" s="26">
        <f t="shared" si="17"/>
        <v>0</v>
      </c>
      <c r="P44" s="26">
        <f t="shared" ref="P44:Q44" si="95">P45+P48</f>
        <v>0</v>
      </c>
      <c r="Q44" s="26">
        <f t="shared" si="95"/>
        <v>0</v>
      </c>
      <c r="R44" s="26">
        <f t="shared" si="19"/>
        <v>0</v>
      </c>
      <c r="S44" s="26">
        <f t="shared" ref="S44:T44" si="96">S45+S48</f>
        <v>0</v>
      </c>
      <c r="T44" s="26">
        <f t="shared" si="96"/>
        <v>0</v>
      </c>
      <c r="U44" s="27"/>
      <c r="V44" s="5" t="str">
        <f t="shared" si="21"/>
        <v>-</v>
      </c>
    </row>
    <row r="45" spans="1:22" ht="25.15" hidden="1" customHeight="1" x14ac:dyDescent="0.6">
      <c r="A45" s="28" t="s">
        <v>3</v>
      </c>
      <c r="B45" s="26">
        <f>SUM(B46:B47)</f>
        <v>0</v>
      </c>
      <c r="C45" s="26">
        <f t="shared" si="10"/>
        <v>0</v>
      </c>
      <c r="D45" s="26">
        <f>SUM(D46:D47)</f>
        <v>0</v>
      </c>
      <c r="E45" s="26">
        <f>SUM(E46:E47)</f>
        <v>0</v>
      </c>
      <c r="F45" s="26">
        <f t="shared" si="11"/>
        <v>0</v>
      </c>
      <c r="G45" s="26">
        <f t="shared" ref="G45:H45" si="97">SUM(G46:G47)</f>
        <v>0</v>
      </c>
      <c r="H45" s="26">
        <f t="shared" si="97"/>
        <v>0</v>
      </c>
      <c r="I45" s="26">
        <f t="shared" si="13"/>
        <v>0</v>
      </c>
      <c r="J45" s="26">
        <f t="shared" ref="J45:K45" si="98">SUM(J46:J47)</f>
        <v>0</v>
      </c>
      <c r="K45" s="26">
        <f t="shared" si="98"/>
        <v>0</v>
      </c>
      <c r="L45" s="26">
        <f t="shared" si="15"/>
        <v>0</v>
      </c>
      <c r="M45" s="26">
        <f t="shared" ref="M45:N45" si="99">SUM(M46:M47)</f>
        <v>0</v>
      </c>
      <c r="N45" s="26">
        <f t="shared" si="99"/>
        <v>0</v>
      </c>
      <c r="O45" s="26">
        <f t="shared" si="17"/>
        <v>0</v>
      </c>
      <c r="P45" s="26">
        <f t="shared" ref="P45:Q45" si="100">SUM(P46:P47)</f>
        <v>0</v>
      </c>
      <c r="Q45" s="26">
        <f t="shared" si="100"/>
        <v>0</v>
      </c>
      <c r="R45" s="26">
        <f t="shared" si="19"/>
        <v>0</v>
      </c>
      <c r="S45" s="26">
        <f t="shared" ref="S45:T45" si="101">SUM(S46:S47)</f>
        <v>0</v>
      </c>
      <c r="T45" s="26">
        <f t="shared" si="101"/>
        <v>0</v>
      </c>
      <c r="U45" s="29"/>
      <c r="V45" s="5" t="str">
        <f t="shared" si="21"/>
        <v>-</v>
      </c>
    </row>
    <row r="46" spans="1:22" ht="25.15" hidden="1" customHeight="1" x14ac:dyDescent="0.6">
      <c r="A46" s="30" t="s">
        <v>5</v>
      </c>
      <c r="B46" s="22"/>
      <c r="C46" s="22">
        <f t="shared" si="10"/>
        <v>0</v>
      </c>
      <c r="D46" s="22"/>
      <c r="E46" s="22"/>
      <c r="F46" s="22">
        <f t="shared" si="11"/>
        <v>0</v>
      </c>
      <c r="G46" s="22"/>
      <c r="H46" s="22"/>
      <c r="I46" s="22">
        <f t="shared" si="13"/>
        <v>0</v>
      </c>
      <c r="J46" s="22"/>
      <c r="K46" s="22"/>
      <c r="L46" s="22">
        <f t="shared" si="15"/>
        <v>0</v>
      </c>
      <c r="M46" s="22"/>
      <c r="N46" s="22"/>
      <c r="O46" s="22">
        <f t="shared" si="17"/>
        <v>0</v>
      </c>
      <c r="P46" s="22"/>
      <c r="Q46" s="22"/>
      <c r="R46" s="22">
        <f t="shared" si="19"/>
        <v>0</v>
      </c>
      <c r="S46" s="22"/>
      <c r="T46" s="22"/>
      <c r="U46" s="14"/>
      <c r="V46" s="5" t="str">
        <f t="shared" si="21"/>
        <v>-</v>
      </c>
    </row>
    <row r="47" spans="1:22" ht="25.5" hidden="1" customHeight="1" x14ac:dyDescent="0.6">
      <c r="A47" s="30" t="s">
        <v>6</v>
      </c>
      <c r="B47" s="22"/>
      <c r="C47" s="22">
        <f t="shared" si="10"/>
        <v>0</v>
      </c>
      <c r="D47" s="22"/>
      <c r="E47" s="22"/>
      <c r="F47" s="22">
        <f t="shared" si="11"/>
        <v>0</v>
      </c>
      <c r="G47" s="22"/>
      <c r="H47" s="22"/>
      <c r="I47" s="22">
        <f t="shared" si="13"/>
        <v>0</v>
      </c>
      <c r="J47" s="22"/>
      <c r="K47" s="22"/>
      <c r="L47" s="22">
        <f t="shared" si="15"/>
        <v>0</v>
      </c>
      <c r="M47" s="22"/>
      <c r="N47" s="22"/>
      <c r="O47" s="22">
        <f t="shared" si="17"/>
        <v>0</v>
      </c>
      <c r="P47" s="22"/>
      <c r="Q47" s="22"/>
      <c r="R47" s="22">
        <f t="shared" si="19"/>
        <v>0</v>
      </c>
      <c r="S47" s="22"/>
      <c r="T47" s="22"/>
      <c r="U47" s="14"/>
      <c r="V47" s="5" t="str">
        <f t="shared" si="21"/>
        <v>-</v>
      </c>
    </row>
    <row r="48" spans="1:22" ht="25.15" hidden="1" customHeight="1" x14ac:dyDescent="0.6">
      <c r="A48" s="28" t="s">
        <v>4</v>
      </c>
      <c r="B48" s="26">
        <f>SUM(B49:B50)</f>
        <v>0</v>
      </c>
      <c r="C48" s="26">
        <f t="shared" si="10"/>
        <v>0</v>
      </c>
      <c r="D48" s="26">
        <f>SUM(D49:D50)</f>
        <v>0</v>
      </c>
      <c r="E48" s="26">
        <f>SUM(E49:E50)</f>
        <v>0</v>
      </c>
      <c r="F48" s="26">
        <f t="shared" si="11"/>
        <v>0</v>
      </c>
      <c r="G48" s="26">
        <f t="shared" ref="G48:H48" si="102">SUM(G49:G50)</f>
        <v>0</v>
      </c>
      <c r="H48" s="26">
        <f t="shared" si="102"/>
        <v>0</v>
      </c>
      <c r="I48" s="26">
        <f t="shared" si="13"/>
        <v>0</v>
      </c>
      <c r="J48" s="26">
        <f t="shared" ref="J48:K48" si="103">SUM(J49:J50)</f>
        <v>0</v>
      </c>
      <c r="K48" s="26">
        <f t="shared" si="103"/>
        <v>0</v>
      </c>
      <c r="L48" s="26">
        <f t="shared" si="15"/>
        <v>0</v>
      </c>
      <c r="M48" s="26">
        <f t="shared" ref="M48:N48" si="104">SUM(M49:M50)</f>
        <v>0</v>
      </c>
      <c r="N48" s="26">
        <f t="shared" si="104"/>
        <v>0</v>
      </c>
      <c r="O48" s="26">
        <f t="shared" si="17"/>
        <v>0</v>
      </c>
      <c r="P48" s="26">
        <f t="shared" ref="P48:Q48" si="105">SUM(P49:P50)</f>
        <v>0</v>
      </c>
      <c r="Q48" s="26">
        <f t="shared" si="105"/>
        <v>0</v>
      </c>
      <c r="R48" s="26">
        <f t="shared" si="19"/>
        <v>0</v>
      </c>
      <c r="S48" s="26">
        <f t="shared" ref="S48:T48" si="106">SUM(S49:S50)</f>
        <v>0</v>
      </c>
      <c r="T48" s="26">
        <f t="shared" si="106"/>
        <v>0</v>
      </c>
      <c r="U48" s="29"/>
      <c r="V48" s="5" t="str">
        <f t="shared" si="21"/>
        <v>-</v>
      </c>
    </row>
    <row r="49" spans="1:22" ht="25.15" hidden="1" customHeight="1" x14ac:dyDescent="0.6">
      <c r="A49" s="30" t="s">
        <v>7</v>
      </c>
      <c r="B49" s="22"/>
      <c r="C49" s="22">
        <f t="shared" si="10"/>
        <v>0</v>
      </c>
      <c r="D49" s="22"/>
      <c r="E49" s="22"/>
      <c r="F49" s="22">
        <f t="shared" si="11"/>
        <v>0</v>
      </c>
      <c r="G49" s="22"/>
      <c r="H49" s="22"/>
      <c r="I49" s="22">
        <f t="shared" si="13"/>
        <v>0</v>
      </c>
      <c r="J49" s="22"/>
      <c r="K49" s="22"/>
      <c r="L49" s="22">
        <f t="shared" si="15"/>
        <v>0</v>
      </c>
      <c r="M49" s="22"/>
      <c r="N49" s="22"/>
      <c r="O49" s="22">
        <f t="shared" si="17"/>
        <v>0</v>
      </c>
      <c r="P49" s="22"/>
      <c r="Q49" s="22"/>
      <c r="R49" s="22">
        <f t="shared" si="19"/>
        <v>0</v>
      </c>
      <c r="S49" s="22"/>
      <c r="T49" s="22"/>
      <c r="U49" s="14"/>
      <c r="V49" s="5" t="str">
        <f t="shared" si="21"/>
        <v>-</v>
      </c>
    </row>
    <row r="50" spans="1:22" ht="25.15" hidden="1" customHeight="1" x14ac:dyDescent="0.6">
      <c r="A50" s="30" t="s">
        <v>8</v>
      </c>
      <c r="B50" s="22"/>
      <c r="C50" s="22">
        <f t="shared" si="10"/>
        <v>0</v>
      </c>
      <c r="D50" s="22"/>
      <c r="E50" s="22"/>
      <c r="F50" s="22">
        <f t="shared" si="11"/>
        <v>0</v>
      </c>
      <c r="G50" s="22"/>
      <c r="H50" s="22"/>
      <c r="I50" s="22">
        <f t="shared" si="13"/>
        <v>0</v>
      </c>
      <c r="J50" s="22"/>
      <c r="K50" s="22"/>
      <c r="L50" s="22">
        <f t="shared" si="15"/>
        <v>0</v>
      </c>
      <c r="M50" s="22"/>
      <c r="N50" s="22"/>
      <c r="O50" s="22">
        <f t="shared" si="17"/>
        <v>0</v>
      </c>
      <c r="P50" s="22"/>
      <c r="Q50" s="22"/>
      <c r="R50" s="22">
        <f t="shared" si="19"/>
        <v>0</v>
      </c>
      <c r="S50" s="22"/>
      <c r="T50" s="22"/>
      <c r="U50" s="14"/>
      <c r="V50" s="5" t="str">
        <f t="shared" si="21"/>
        <v>-</v>
      </c>
    </row>
    <row r="51" spans="1:22" ht="25.15" hidden="1" customHeight="1" x14ac:dyDescent="0.6">
      <c r="A51" s="25" t="s">
        <v>9</v>
      </c>
      <c r="B51" s="26">
        <f>B52+B55</f>
        <v>0</v>
      </c>
      <c r="C51" s="26">
        <f t="shared" si="10"/>
        <v>0</v>
      </c>
      <c r="D51" s="26">
        <f>D52+D55</f>
        <v>0</v>
      </c>
      <c r="E51" s="26">
        <f>E52+E55</f>
        <v>0</v>
      </c>
      <c r="F51" s="26">
        <f t="shared" si="11"/>
        <v>0</v>
      </c>
      <c r="G51" s="26">
        <f t="shared" ref="G51:H51" si="107">G52+G55</f>
        <v>0</v>
      </c>
      <c r="H51" s="26">
        <f t="shared" si="107"/>
        <v>0</v>
      </c>
      <c r="I51" s="26">
        <f t="shared" si="13"/>
        <v>0</v>
      </c>
      <c r="J51" s="26">
        <f t="shared" ref="J51:K51" si="108">J52+J55</f>
        <v>0</v>
      </c>
      <c r="K51" s="26">
        <f t="shared" si="108"/>
        <v>0</v>
      </c>
      <c r="L51" s="26">
        <f t="shared" si="15"/>
        <v>0</v>
      </c>
      <c r="M51" s="26">
        <f t="shared" ref="M51:N51" si="109">M52+M55</f>
        <v>0</v>
      </c>
      <c r="N51" s="26">
        <f t="shared" si="109"/>
        <v>0</v>
      </c>
      <c r="O51" s="26">
        <f t="shared" si="17"/>
        <v>0</v>
      </c>
      <c r="P51" s="26">
        <f t="shared" ref="P51:Q51" si="110">P52+P55</f>
        <v>0</v>
      </c>
      <c r="Q51" s="26">
        <f t="shared" si="110"/>
        <v>0</v>
      </c>
      <c r="R51" s="26">
        <f t="shared" si="19"/>
        <v>0</v>
      </c>
      <c r="S51" s="26">
        <f t="shared" ref="S51:T51" si="111">S52+S55</f>
        <v>0</v>
      </c>
      <c r="T51" s="26">
        <f t="shared" si="111"/>
        <v>0</v>
      </c>
      <c r="U51" s="27"/>
      <c r="V51" s="5" t="str">
        <f t="shared" si="21"/>
        <v>-</v>
      </c>
    </row>
    <row r="52" spans="1:22" ht="25.15" hidden="1" customHeight="1" x14ac:dyDescent="0.6">
      <c r="A52" s="28" t="s">
        <v>3</v>
      </c>
      <c r="B52" s="26">
        <f>SUM(B53:B54)</f>
        <v>0</v>
      </c>
      <c r="C52" s="26">
        <f t="shared" si="10"/>
        <v>0</v>
      </c>
      <c r="D52" s="26">
        <f>SUM(D53:D54)</f>
        <v>0</v>
      </c>
      <c r="E52" s="26">
        <f>SUM(E53:E54)</f>
        <v>0</v>
      </c>
      <c r="F52" s="26">
        <f t="shared" si="11"/>
        <v>0</v>
      </c>
      <c r="G52" s="26">
        <f t="shared" ref="G52:H52" si="112">SUM(G53:G54)</f>
        <v>0</v>
      </c>
      <c r="H52" s="26">
        <f t="shared" si="112"/>
        <v>0</v>
      </c>
      <c r="I52" s="26">
        <f t="shared" si="13"/>
        <v>0</v>
      </c>
      <c r="J52" s="26">
        <f t="shared" ref="J52:K52" si="113">SUM(J53:J54)</f>
        <v>0</v>
      </c>
      <c r="K52" s="26">
        <f t="shared" si="113"/>
        <v>0</v>
      </c>
      <c r="L52" s="26">
        <f t="shared" si="15"/>
        <v>0</v>
      </c>
      <c r="M52" s="26">
        <f t="shared" ref="M52:N52" si="114">SUM(M53:M54)</f>
        <v>0</v>
      </c>
      <c r="N52" s="26">
        <f t="shared" si="114"/>
        <v>0</v>
      </c>
      <c r="O52" s="26">
        <f t="shared" si="17"/>
        <v>0</v>
      </c>
      <c r="P52" s="26">
        <f t="shared" ref="P52:Q52" si="115">SUM(P53:P54)</f>
        <v>0</v>
      </c>
      <c r="Q52" s="26">
        <f t="shared" si="115"/>
        <v>0</v>
      </c>
      <c r="R52" s="26">
        <f t="shared" si="19"/>
        <v>0</v>
      </c>
      <c r="S52" s="26">
        <f t="shared" ref="S52:T52" si="116">SUM(S53:S54)</f>
        <v>0</v>
      </c>
      <c r="T52" s="26">
        <f t="shared" si="116"/>
        <v>0</v>
      </c>
      <c r="U52" s="29"/>
      <c r="V52" s="5" t="str">
        <f t="shared" si="21"/>
        <v>-</v>
      </c>
    </row>
    <row r="53" spans="1:22" ht="25.15" hidden="1" customHeight="1" x14ac:dyDescent="0.6">
      <c r="A53" s="30" t="s">
        <v>5</v>
      </c>
      <c r="B53" s="22"/>
      <c r="C53" s="22">
        <f t="shared" si="10"/>
        <v>0</v>
      </c>
      <c r="D53" s="22"/>
      <c r="E53" s="22"/>
      <c r="F53" s="22">
        <f t="shared" si="11"/>
        <v>0</v>
      </c>
      <c r="G53" s="22"/>
      <c r="H53" s="22"/>
      <c r="I53" s="22">
        <f t="shared" si="13"/>
        <v>0</v>
      </c>
      <c r="J53" s="22"/>
      <c r="K53" s="22"/>
      <c r="L53" s="22">
        <f t="shared" si="15"/>
        <v>0</v>
      </c>
      <c r="M53" s="22"/>
      <c r="N53" s="22"/>
      <c r="O53" s="22">
        <f t="shared" si="17"/>
        <v>0</v>
      </c>
      <c r="P53" s="22"/>
      <c r="Q53" s="22"/>
      <c r="R53" s="22">
        <f t="shared" si="19"/>
        <v>0</v>
      </c>
      <c r="S53" s="22"/>
      <c r="T53" s="22"/>
      <c r="U53" s="14"/>
      <c r="V53" s="5" t="str">
        <f t="shared" si="21"/>
        <v>-</v>
      </c>
    </row>
    <row r="54" spans="1:22" ht="25.15" hidden="1" customHeight="1" x14ac:dyDescent="0.6">
      <c r="A54" s="30" t="s">
        <v>6</v>
      </c>
      <c r="B54" s="22"/>
      <c r="C54" s="22">
        <f t="shared" si="10"/>
        <v>0</v>
      </c>
      <c r="D54" s="22"/>
      <c r="E54" s="22"/>
      <c r="F54" s="22">
        <f t="shared" si="11"/>
        <v>0</v>
      </c>
      <c r="G54" s="22"/>
      <c r="H54" s="22"/>
      <c r="I54" s="22">
        <f t="shared" si="13"/>
        <v>0</v>
      </c>
      <c r="J54" s="22"/>
      <c r="K54" s="22"/>
      <c r="L54" s="22">
        <f t="shared" si="15"/>
        <v>0</v>
      </c>
      <c r="M54" s="22"/>
      <c r="N54" s="22"/>
      <c r="O54" s="22">
        <f t="shared" si="17"/>
        <v>0</v>
      </c>
      <c r="P54" s="22"/>
      <c r="Q54" s="22"/>
      <c r="R54" s="22">
        <f t="shared" si="19"/>
        <v>0</v>
      </c>
      <c r="S54" s="22"/>
      <c r="T54" s="22"/>
      <c r="U54" s="14"/>
      <c r="V54" s="5" t="str">
        <f t="shared" si="21"/>
        <v>-</v>
      </c>
    </row>
    <row r="55" spans="1:22" ht="25.15" hidden="1" customHeight="1" x14ac:dyDescent="0.6">
      <c r="A55" s="28" t="s">
        <v>4</v>
      </c>
      <c r="B55" s="26">
        <f>SUM(B56:B57)</f>
        <v>0</v>
      </c>
      <c r="C55" s="26">
        <f t="shared" si="10"/>
        <v>0</v>
      </c>
      <c r="D55" s="26">
        <f>SUM(D56:D57)</f>
        <v>0</v>
      </c>
      <c r="E55" s="26">
        <f>SUM(E56:E57)</f>
        <v>0</v>
      </c>
      <c r="F55" s="26">
        <f t="shared" si="11"/>
        <v>0</v>
      </c>
      <c r="G55" s="26">
        <f t="shared" ref="G55:H55" si="117">SUM(G56:G57)</f>
        <v>0</v>
      </c>
      <c r="H55" s="26">
        <f t="shared" si="117"/>
        <v>0</v>
      </c>
      <c r="I55" s="26">
        <f t="shared" si="13"/>
        <v>0</v>
      </c>
      <c r="J55" s="26">
        <f t="shared" ref="J55:K55" si="118">SUM(J56:J57)</f>
        <v>0</v>
      </c>
      <c r="K55" s="26">
        <f t="shared" si="118"/>
        <v>0</v>
      </c>
      <c r="L55" s="26">
        <f t="shared" si="15"/>
        <v>0</v>
      </c>
      <c r="M55" s="26">
        <f t="shared" ref="M55:N55" si="119">SUM(M56:M57)</f>
        <v>0</v>
      </c>
      <c r="N55" s="26">
        <f t="shared" si="119"/>
        <v>0</v>
      </c>
      <c r="O55" s="26">
        <f t="shared" si="17"/>
        <v>0</v>
      </c>
      <c r="P55" s="26">
        <f t="shared" ref="P55:Q55" si="120">SUM(P56:P57)</f>
        <v>0</v>
      </c>
      <c r="Q55" s="26">
        <f t="shared" si="120"/>
        <v>0</v>
      </c>
      <c r="R55" s="26">
        <f t="shared" si="19"/>
        <v>0</v>
      </c>
      <c r="S55" s="26">
        <f t="shared" ref="S55:T55" si="121">SUM(S56:S57)</f>
        <v>0</v>
      </c>
      <c r="T55" s="26">
        <f t="shared" si="121"/>
        <v>0</v>
      </c>
      <c r="U55" s="29"/>
      <c r="V55" s="5" t="str">
        <f t="shared" si="21"/>
        <v>-</v>
      </c>
    </row>
    <row r="56" spans="1:22" ht="25.15" hidden="1" customHeight="1" x14ac:dyDescent="0.6">
      <c r="A56" s="30" t="s">
        <v>7</v>
      </c>
      <c r="B56" s="22"/>
      <c r="C56" s="22">
        <f t="shared" si="10"/>
        <v>0</v>
      </c>
      <c r="D56" s="22"/>
      <c r="E56" s="22"/>
      <c r="F56" s="22">
        <f t="shared" si="11"/>
        <v>0</v>
      </c>
      <c r="G56" s="22"/>
      <c r="H56" s="22"/>
      <c r="I56" s="22">
        <f t="shared" si="13"/>
        <v>0</v>
      </c>
      <c r="J56" s="22"/>
      <c r="K56" s="22"/>
      <c r="L56" s="22">
        <f t="shared" si="15"/>
        <v>0</v>
      </c>
      <c r="M56" s="22"/>
      <c r="N56" s="22"/>
      <c r="O56" s="22">
        <f t="shared" si="17"/>
        <v>0</v>
      </c>
      <c r="P56" s="22"/>
      <c r="Q56" s="22"/>
      <c r="R56" s="22">
        <f t="shared" si="19"/>
        <v>0</v>
      </c>
      <c r="S56" s="22"/>
      <c r="T56" s="22"/>
      <c r="U56" s="14"/>
      <c r="V56" s="5" t="str">
        <f t="shared" si="21"/>
        <v>-</v>
      </c>
    </row>
    <row r="57" spans="1:22" ht="25.15" hidden="1" customHeight="1" x14ac:dyDescent="0.6">
      <c r="A57" s="30" t="s">
        <v>8</v>
      </c>
      <c r="B57" s="22"/>
      <c r="C57" s="22">
        <f t="shared" si="10"/>
        <v>0</v>
      </c>
      <c r="D57" s="22"/>
      <c r="E57" s="22"/>
      <c r="F57" s="22">
        <f t="shared" si="11"/>
        <v>0</v>
      </c>
      <c r="G57" s="22"/>
      <c r="H57" s="22"/>
      <c r="I57" s="22">
        <f t="shared" si="13"/>
        <v>0</v>
      </c>
      <c r="J57" s="22"/>
      <c r="K57" s="22"/>
      <c r="L57" s="22">
        <f t="shared" si="15"/>
        <v>0</v>
      </c>
      <c r="M57" s="22"/>
      <c r="N57" s="22"/>
      <c r="O57" s="22">
        <f t="shared" si="17"/>
        <v>0</v>
      </c>
      <c r="P57" s="22"/>
      <c r="Q57" s="22"/>
      <c r="R57" s="22">
        <f t="shared" si="19"/>
        <v>0</v>
      </c>
      <c r="S57" s="22"/>
      <c r="T57" s="22"/>
      <c r="U57" s="14"/>
      <c r="V57" s="5" t="str">
        <f t="shared" si="21"/>
        <v>-</v>
      </c>
    </row>
    <row r="58" spans="1:22" ht="25.15" customHeight="1" x14ac:dyDescent="0.6">
      <c r="A58" s="17" t="s">
        <v>27</v>
      </c>
      <c r="B58" s="21">
        <f>B59</f>
        <v>0</v>
      </c>
      <c r="C58" s="21">
        <f>D58+E58</f>
        <v>0</v>
      </c>
      <c r="D58" s="21">
        <f>D59+D74+D89</f>
        <v>0</v>
      </c>
      <c r="E58" s="21">
        <f>E59+E74+E89</f>
        <v>0</v>
      </c>
      <c r="F58" s="21">
        <f>G58+H58</f>
        <v>0</v>
      </c>
      <c r="G58" s="21">
        <f>G59+G74+G89</f>
        <v>0</v>
      </c>
      <c r="H58" s="21">
        <f>H59+H74+H89</f>
        <v>0</v>
      </c>
      <c r="I58" s="21">
        <f>J58+K58</f>
        <v>0</v>
      </c>
      <c r="J58" s="21">
        <f>J59+J74+J89</f>
        <v>0</v>
      </c>
      <c r="K58" s="21">
        <f>K59+K74+K89</f>
        <v>0</v>
      </c>
      <c r="L58" s="21">
        <f>M58+N58</f>
        <v>1500</v>
      </c>
      <c r="M58" s="21">
        <f>M59+M74+M89</f>
        <v>1500</v>
      </c>
      <c r="N58" s="21">
        <f>N59+N74+N89</f>
        <v>0</v>
      </c>
      <c r="O58" s="21">
        <f>P58+Q58</f>
        <v>0</v>
      </c>
      <c r="P58" s="21">
        <f>P59+P74+P89</f>
        <v>0</v>
      </c>
      <c r="Q58" s="21">
        <f>Q59+Q74+Q89</f>
        <v>0</v>
      </c>
      <c r="R58" s="21">
        <f>S58+T58</f>
        <v>0</v>
      </c>
      <c r="S58" s="21">
        <f>S59+S74+S89</f>
        <v>0</v>
      </c>
      <c r="T58" s="21">
        <f>T59+T74+T89</f>
        <v>0</v>
      </c>
      <c r="U58" s="19"/>
      <c r="V58" s="5" t="str">
        <f>IF((B58+C58+F58+L58+O58)&lt;&gt;0,"ok","-")</f>
        <v>ok</v>
      </c>
    </row>
    <row r="59" spans="1:22" ht="25.15" hidden="1" customHeight="1" x14ac:dyDescent="0.6">
      <c r="A59" s="18" t="s">
        <v>28</v>
      </c>
      <c r="B59" s="23">
        <f>B60+B67</f>
        <v>0</v>
      </c>
      <c r="C59" s="23">
        <f t="shared" ref="C59:C103" si="122">D59+E59</f>
        <v>0</v>
      </c>
      <c r="D59" s="23">
        <f>D60+D67</f>
        <v>0</v>
      </c>
      <c r="E59" s="23">
        <f>E60+E67</f>
        <v>0</v>
      </c>
      <c r="F59" s="23">
        <f t="shared" ref="F59:F103" si="123">G59+H59</f>
        <v>0</v>
      </c>
      <c r="G59" s="23">
        <f t="shared" ref="G59:H59" si="124">G60+G67</f>
        <v>0</v>
      </c>
      <c r="H59" s="23">
        <f t="shared" si="124"/>
        <v>0</v>
      </c>
      <c r="I59" s="23">
        <f t="shared" ref="I59:I103" si="125">J59+K59</f>
        <v>0</v>
      </c>
      <c r="J59" s="23">
        <f t="shared" ref="J59:K59" si="126">J60+J67</f>
        <v>0</v>
      </c>
      <c r="K59" s="23">
        <f t="shared" si="126"/>
        <v>0</v>
      </c>
      <c r="L59" s="23">
        <f t="shared" ref="L59:L103" si="127">M59+N59</f>
        <v>0</v>
      </c>
      <c r="M59" s="23">
        <f t="shared" ref="M59:N59" si="128">M60+M67</f>
        <v>0</v>
      </c>
      <c r="N59" s="23">
        <f t="shared" si="128"/>
        <v>0</v>
      </c>
      <c r="O59" s="23">
        <f t="shared" ref="O59:O103" si="129">P59+Q59</f>
        <v>0</v>
      </c>
      <c r="P59" s="23">
        <f t="shared" ref="P59:Q59" si="130">P60+P67</f>
        <v>0</v>
      </c>
      <c r="Q59" s="23">
        <f t="shared" si="130"/>
        <v>0</v>
      </c>
      <c r="R59" s="23">
        <f t="shared" ref="R59:R103" si="131">S59+T59</f>
        <v>0</v>
      </c>
      <c r="S59" s="23">
        <f t="shared" ref="S59:T59" si="132">S60+S67</f>
        <v>0</v>
      </c>
      <c r="T59" s="23">
        <f t="shared" si="132"/>
        <v>0</v>
      </c>
      <c r="U59" s="20"/>
      <c r="V59" s="5" t="str">
        <f t="shared" ref="V59:V103" si="133">IF((B59+C59+F59+L59+O59)&lt;&gt;0,"ok","-")</f>
        <v>-</v>
      </c>
    </row>
    <row r="60" spans="1:22" ht="25.15" hidden="1" customHeight="1" x14ac:dyDescent="0.6">
      <c r="A60" s="25" t="s">
        <v>2</v>
      </c>
      <c r="B60" s="26">
        <f>B61+B64</f>
        <v>0</v>
      </c>
      <c r="C60" s="26">
        <f t="shared" si="122"/>
        <v>0</v>
      </c>
      <c r="D60" s="26">
        <f>D61+D64</f>
        <v>0</v>
      </c>
      <c r="E60" s="26">
        <f>E61+E64</f>
        <v>0</v>
      </c>
      <c r="F60" s="26">
        <f t="shared" si="123"/>
        <v>0</v>
      </c>
      <c r="G60" s="26">
        <f t="shared" ref="G60:H60" si="134">G61+G64</f>
        <v>0</v>
      </c>
      <c r="H60" s="26">
        <f t="shared" si="134"/>
        <v>0</v>
      </c>
      <c r="I60" s="26">
        <f t="shared" si="125"/>
        <v>0</v>
      </c>
      <c r="J60" s="26">
        <f t="shared" ref="J60:K60" si="135">J61+J64</f>
        <v>0</v>
      </c>
      <c r="K60" s="26">
        <f t="shared" si="135"/>
        <v>0</v>
      </c>
      <c r="L60" s="26">
        <f t="shared" si="127"/>
        <v>0</v>
      </c>
      <c r="M60" s="26">
        <f t="shared" ref="M60:N60" si="136">M61+M64</f>
        <v>0</v>
      </c>
      <c r="N60" s="26">
        <f t="shared" si="136"/>
        <v>0</v>
      </c>
      <c r="O60" s="26">
        <f t="shared" si="129"/>
        <v>0</v>
      </c>
      <c r="P60" s="26">
        <f t="shared" ref="P60:Q60" si="137">P61+P64</f>
        <v>0</v>
      </c>
      <c r="Q60" s="26">
        <f t="shared" si="137"/>
        <v>0</v>
      </c>
      <c r="R60" s="26">
        <f t="shared" si="131"/>
        <v>0</v>
      </c>
      <c r="S60" s="26">
        <f t="shared" ref="S60:T60" si="138">S61+S64</f>
        <v>0</v>
      </c>
      <c r="T60" s="26">
        <f t="shared" si="138"/>
        <v>0</v>
      </c>
      <c r="U60" s="27"/>
      <c r="V60" s="5" t="str">
        <f t="shared" si="133"/>
        <v>-</v>
      </c>
    </row>
    <row r="61" spans="1:22" ht="25.15" hidden="1" customHeight="1" x14ac:dyDescent="0.6">
      <c r="A61" s="28" t="s">
        <v>3</v>
      </c>
      <c r="B61" s="26">
        <f>SUM(B62:B63)</f>
        <v>0</v>
      </c>
      <c r="C61" s="26">
        <f t="shared" si="122"/>
        <v>0</v>
      </c>
      <c r="D61" s="26">
        <f>SUM(D62:D63)</f>
        <v>0</v>
      </c>
      <c r="E61" s="26">
        <f>SUM(E62:E63)</f>
        <v>0</v>
      </c>
      <c r="F61" s="26">
        <f t="shared" si="123"/>
        <v>0</v>
      </c>
      <c r="G61" s="26">
        <f t="shared" ref="G61:H61" si="139">SUM(G62:G63)</f>
        <v>0</v>
      </c>
      <c r="H61" s="26">
        <f t="shared" si="139"/>
        <v>0</v>
      </c>
      <c r="I61" s="26">
        <f t="shared" si="125"/>
        <v>0</v>
      </c>
      <c r="J61" s="26">
        <f t="shared" ref="J61:K61" si="140">SUM(J62:J63)</f>
        <v>0</v>
      </c>
      <c r="K61" s="26">
        <f t="shared" si="140"/>
        <v>0</v>
      </c>
      <c r="L61" s="26">
        <f t="shared" si="127"/>
        <v>0</v>
      </c>
      <c r="M61" s="26">
        <f t="shared" ref="M61:N61" si="141">SUM(M62:M63)</f>
        <v>0</v>
      </c>
      <c r="N61" s="26">
        <f t="shared" si="141"/>
        <v>0</v>
      </c>
      <c r="O61" s="26">
        <f t="shared" si="129"/>
        <v>0</v>
      </c>
      <c r="P61" s="26">
        <f t="shared" ref="P61:Q61" si="142">SUM(P62:P63)</f>
        <v>0</v>
      </c>
      <c r="Q61" s="26">
        <f t="shared" si="142"/>
        <v>0</v>
      </c>
      <c r="R61" s="26">
        <f t="shared" si="131"/>
        <v>0</v>
      </c>
      <c r="S61" s="26">
        <f t="shared" ref="S61:T61" si="143">SUM(S62:S63)</f>
        <v>0</v>
      </c>
      <c r="T61" s="26">
        <f t="shared" si="143"/>
        <v>0</v>
      </c>
      <c r="U61" s="29"/>
      <c r="V61" s="5" t="str">
        <f t="shared" si="133"/>
        <v>-</v>
      </c>
    </row>
    <row r="62" spans="1:22" ht="25.15" hidden="1" customHeight="1" x14ac:dyDescent="0.6">
      <c r="A62" s="30" t="s">
        <v>5</v>
      </c>
      <c r="B62" s="22"/>
      <c r="C62" s="22">
        <f t="shared" si="122"/>
        <v>0</v>
      </c>
      <c r="D62" s="22"/>
      <c r="E62" s="22"/>
      <c r="F62" s="22">
        <f t="shared" si="123"/>
        <v>0</v>
      </c>
      <c r="G62" s="22"/>
      <c r="H62" s="22"/>
      <c r="I62" s="22">
        <f t="shared" si="125"/>
        <v>0</v>
      </c>
      <c r="J62" s="22"/>
      <c r="K62" s="22"/>
      <c r="L62" s="22">
        <f t="shared" si="127"/>
        <v>0</v>
      </c>
      <c r="M62" s="22"/>
      <c r="N62" s="22"/>
      <c r="O62" s="22">
        <f t="shared" si="129"/>
        <v>0</v>
      </c>
      <c r="P62" s="22"/>
      <c r="Q62" s="22"/>
      <c r="R62" s="22">
        <f t="shared" si="131"/>
        <v>0</v>
      </c>
      <c r="S62" s="22"/>
      <c r="T62" s="22"/>
      <c r="U62" s="14"/>
      <c r="V62" s="5" t="str">
        <f t="shared" si="133"/>
        <v>-</v>
      </c>
    </row>
    <row r="63" spans="1:22" ht="25.5" hidden="1" customHeight="1" x14ac:dyDescent="0.6">
      <c r="A63" s="30" t="s">
        <v>6</v>
      </c>
      <c r="B63" s="22"/>
      <c r="C63" s="22">
        <f t="shared" si="122"/>
        <v>0</v>
      </c>
      <c r="D63" s="22"/>
      <c r="E63" s="22"/>
      <c r="F63" s="22">
        <f t="shared" si="123"/>
        <v>0</v>
      </c>
      <c r="G63" s="22"/>
      <c r="H63" s="22"/>
      <c r="I63" s="22">
        <f t="shared" si="125"/>
        <v>0</v>
      </c>
      <c r="J63" s="22"/>
      <c r="K63" s="22"/>
      <c r="L63" s="22">
        <f t="shared" si="127"/>
        <v>0</v>
      </c>
      <c r="M63" s="22"/>
      <c r="N63" s="22"/>
      <c r="O63" s="22">
        <f t="shared" si="129"/>
        <v>0</v>
      </c>
      <c r="P63" s="22"/>
      <c r="Q63" s="22"/>
      <c r="R63" s="22">
        <f t="shared" si="131"/>
        <v>0</v>
      </c>
      <c r="S63" s="22"/>
      <c r="T63" s="22"/>
      <c r="U63" s="14"/>
      <c r="V63" s="5" t="str">
        <f t="shared" si="133"/>
        <v>-</v>
      </c>
    </row>
    <row r="64" spans="1:22" ht="25.15" hidden="1" customHeight="1" x14ac:dyDescent="0.6">
      <c r="A64" s="28" t="s">
        <v>4</v>
      </c>
      <c r="B64" s="26">
        <f>SUM(B65:B66)</f>
        <v>0</v>
      </c>
      <c r="C64" s="26">
        <f t="shared" si="122"/>
        <v>0</v>
      </c>
      <c r="D64" s="26">
        <f>SUM(D65:D66)</f>
        <v>0</v>
      </c>
      <c r="E64" s="26">
        <f>SUM(E65:E66)</f>
        <v>0</v>
      </c>
      <c r="F64" s="26">
        <f t="shared" si="123"/>
        <v>0</v>
      </c>
      <c r="G64" s="26">
        <f t="shared" ref="G64:H64" si="144">SUM(G65:G66)</f>
        <v>0</v>
      </c>
      <c r="H64" s="26">
        <f t="shared" si="144"/>
        <v>0</v>
      </c>
      <c r="I64" s="26">
        <f t="shared" si="125"/>
        <v>0</v>
      </c>
      <c r="J64" s="26">
        <f t="shared" ref="J64:K64" si="145">SUM(J65:J66)</f>
        <v>0</v>
      </c>
      <c r="K64" s="26">
        <f t="shared" si="145"/>
        <v>0</v>
      </c>
      <c r="L64" s="26">
        <f t="shared" si="127"/>
        <v>0</v>
      </c>
      <c r="M64" s="26">
        <f t="shared" ref="M64:N64" si="146">SUM(M65:M66)</f>
        <v>0</v>
      </c>
      <c r="N64" s="26">
        <f t="shared" si="146"/>
        <v>0</v>
      </c>
      <c r="O64" s="26">
        <f t="shared" si="129"/>
        <v>0</v>
      </c>
      <c r="P64" s="26">
        <f t="shared" ref="P64:Q64" si="147">SUM(P65:P66)</f>
        <v>0</v>
      </c>
      <c r="Q64" s="26">
        <f t="shared" si="147"/>
        <v>0</v>
      </c>
      <c r="R64" s="26">
        <f t="shared" si="131"/>
        <v>0</v>
      </c>
      <c r="S64" s="26">
        <f t="shared" ref="S64:T64" si="148">SUM(S65:S66)</f>
        <v>0</v>
      </c>
      <c r="T64" s="26">
        <f t="shared" si="148"/>
        <v>0</v>
      </c>
      <c r="U64" s="29"/>
      <c r="V64" s="5" t="str">
        <f t="shared" si="133"/>
        <v>-</v>
      </c>
    </row>
    <row r="65" spans="1:22" ht="25.15" hidden="1" customHeight="1" x14ac:dyDescent="0.6">
      <c r="A65" s="30" t="s">
        <v>7</v>
      </c>
      <c r="B65" s="22"/>
      <c r="C65" s="22">
        <f t="shared" si="122"/>
        <v>0</v>
      </c>
      <c r="D65" s="22"/>
      <c r="E65" s="22"/>
      <c r="F65" s="22">
        <f t="shared" si="123"/>
        <v>0</v>
      </c>
      <c r="G65" s="22"/>
      <c r="H65" s="22"/>
      <c r="I65" s="22">
        <f t="shared" si="125"/>
        <v>0</v>
      </c>
      <c r="J65" s="22"/>
      <c r="K65" s="22"/>
      <c r="L65" s="22">
        <f t="shared" si="127"/>
        <v>0</v>
      </c>
      <c r="M65" s="22"/>
      <c r="N65" s="22"/>
      <c r="O65" s="22">
        <f t="shared" si="129"/>
        <v>0</v>
      </c>
      <c r="P65" s="22"/>
      <c r="Q65" s="22"/>
      <c r="R65" s="22">
        <f t="shared" si="131"/>
        <v>0</v>
      </c>
      <c r="S65" s="22"/>
      <c r="T65" s="22"/>
      <c r="U65" s="14"/>
      <c r="V65" s="5" t="str">
        <f t="shared" si="133"/>
        <v>-</v>
      </c>
    </row>
    <row r="66" spans="1:22" ht="25.15" hidden="1" customHeight="1" x14ac:dyDescent="0.6">
      <c r="A66" s="30" t="s">
        <v>8</v>
      </c>
      <c r="B66" s="22"/>
      <c r="C66" s="22">
        <f t="shared" si="122"/>
        <v>0</v>
      </c>
      <c r="D66" s="22"/>
      <c r="E66" s="22"/>
      <c r="F66" s="22">
        <f t="shared" si="123"/>
        <v>0</v>
      </c>
      <c r="G66" s="22"/>
      <c r="H66" s="22"/>
      <c r="I66" s="22">
        <f t="shared" si="125"/>
        <v>0</v>
      </c>
      <c r="J66" s="22"/>
      <c r="K66" s="22"/>
      <c r="L66" s="22">
        <f t="shared" si="127"/>
        <v>0</v>
      </c>
      <c r="M66" s="22"/>
      <c r="N66" s="22"/>
      <c r="O66" s="22">
        <f t="shared" si="129"/>
        <v>0</v>
      </c>
      <c r="P66" s="22"/>
      <c r="Q66" s="22"/>
      <c r="R66" s="22">
        <f t="shared" si="131"/>
        <v>0</v>
      </c>
      <c r="S66" s="22"/>
      <c r="T66" s="22"/>
      <c r="U66" s="14"/>
      <c r="V66" s="5" t="str">
        <f t="shared" si="133"/>
        <v>-</v>
      </c>
    </row>
    <row r="67" spans="1:22" ht="25.15" hidden="1" customHeight="1" x14ac:dyDescent="0.6">
      <c r="A67" s="25" t="s">
        <v>9</v>
      </c>
      <c r="B67" s="26">
        <f>B68+B71</f>
        <v>0</v>
      </c>
      <c r="C67" s="26">
        <f t="shared" si="122"/>
        <v>0</v>
      </c>
      <c r="D67" s="26">
        <f>D68+D71</f>
        <v>0</v>
      </c>
      <c r="E67" s="26">
        <f>E68+E71</f>
        <v>0</v>
      </c>
      <c r="F67" s="26">
        <f t="shared" si="123"/>
        <v>0</v>
      </c>
      <c r="G67" s="26">
        <f t="shared" ref="G67:H67" si="149">G68+G71</f>
        <v>0</v>
      </c>
      <c r="H67" s="26">
        <f t="shared" si="149"/>
        <v>0</v>
      </c>
      <c r="I67" s="26">
        <f t="shared" si="125"/>
        <v>0</v>
      </c>
      <c r="J67" s="26">
        <f t="shared" ref="J67:K67" si="150">J68+J71</f>
        <v>0</v>
      </c>
      <c r="K67" s="26">
        <f t="shared" si="150"/>
        <v>0</v>
      </c>
      <c r="L67" s="26">
        <f t="shared" si="127"/>
        <v>0</v>
      </c>
      <c r="M67" s="26">
        <f t="shared" ref="M67:N67" si="151">M68+M71</f>
        <v>0</v>
      </c>
      <c r="N67" s="26">
        <f t="shared" si="151"/>
        <v>0</v>
      </c>
      <c r="O67" s="26">
        <f t="shared" si="129"/>
        <v>0</v>
      </c>
      <c r="P67" s="26">
        <f t="shared" ref="P67:Q67" si="152">P68+P71</f>
        <v>0</v>
      </c>
      <c r="Q67" s="26">
        <f t="shared" si="152"/>
        <v>0</v>
      </c>
      <c r="R67" s="26">
        <f t="shared" si="131"/>
        <v>0</v>
      </c>
      <c r="S67" s="26">
        <f t="shared" ref="S67:T67" si="153">S68+S71</f>
        <v>0</v>
      </c>
      <c r="T67" s="26">
        <f t="shared" si="153"/>
        <v>0</v>
      </c>
      <c r="U67" s="27"/>
      <c r="V67" s="5" t="str">
        <f t="shared" si="133"/>
        <v>-</v>
      </c>
    </row>
    <row r="68" spans="1:22" ht="25.15" hidden="1" customHeight="1" x14ac:dyDescent="0.6">
      <c r="A68" s="28" t="s">
        <v>3</v>
      </c>
      <c r="B68" s="26">
        <f>SUM(B69:B70)</f>
        <v>0</v>
      </c>
      <c r="C68" s="26">
        <f t="shared" si="122"/>
        <v>0</v>
      </c>
      <c r="D68" s="26">
        <f>SUM(D69:D70)</f>
        <v>0</v>
      </c>
      <c r="E68" s="26">
        <f>SUM(E69:E70)</f>
        <v>0</v>
      </c>
      <c r="F68" s="26">
        <f t="shared" si="123"/>
        <v>0</v>
      </c>
      <c r="G68" s="26">
        <f t="shared" ref="G68:H68" si="154">SUM(G69:G70)</f>
        <v>0</v>
      </c>
      <c r="H68" s="26">
        <f t="shared" si="154"/>
        <v>0</v>
      </c>
      <c r="I68" s="26">
        <f t="shared" si="125"/>
        <v>0</v>
      </c>
      <c r="J68" s="26">
        <f t="shared" ref="J68:K68" si="155">SUM(J69:J70)</f>
        <v>0</v>
      </c>
      <c r="K68" s="26">
        <f t="shared" si="155"/>
        <v>0</v>
      </c>
      <c r="L68" s="26">
        <f t="shared" si="127"/>
        <v>0</v>
      </c>
      <c r="M68" s="26">
        <f t="shared" ref="M68:N68" si="156">SUM(M69:M70)</f>
        <v>0</v>
      </c>
      <c r="N68" s="26">
        <f t="shared" si="156"/>
        <v>0</v>
      </c>
      <c r="O68" s="26">
        <f t="shared" si="129"/>
        <v>0</v>
      </c>
      <c r="P68" s="26">
        <f t="shared" ref="P68:Q68" si="157">SUM(P69:P70)</f>
        <v>0</v>
      </c>
      <c r="Q68" s="26">
        <f t="shared" si="157"/>
        <v>0</v>
      </c>
      <c r="R68" s="26">
        <f t="shared" si="131"/>
        <v>0</v>
      </c>
      <c r="S68" s="26">
        <f t="shared" ref="S68:T68" si="158">SUM(S69:S70)</f>
        <v>0</v>
      </c>
      <c r="T68" s="26">
        <f t="shared" si="158"/>
        <v>0</v>
      </c>
      <c r="U68" s="29"/>
      <c r="V68" s="5" t="str">
        <f t="shared" si="133"/>
        <v>-</v>
      </c>
    </row>
    <row r="69" spans="1:22" ht="25.15" hidden="1" customHeight="1" x14ac:dyDescent="0.6">
      <c r="A69" s="30" t="s">
        <v>5</v>
      </c>
      <c r="B69" s="22"/>
      <c r="C69" s="22">
        <f t="shared" si="122"/>
        <v>0</v>
      </c>
      <c r="D69" s="22"/>
      <c r="E69" s="22"/>
      <c r="F69" s="22">
        <f t="shared" si="123"/>
        <v>0</v>
      </c>
      <c r="G69" s="22"/>
      <c r="H69" s="22"/>
      <c r="I69" s="22">
        <f t="shared" si="125"/>
        <v>0</v>
      </c>
      <c r="J69" s="22"/>
      <c r="K69" s="22"/>
      <c r="L69" s="22">
        <f t="shared" si="127"/>
        <v>0</v>
      </c>
      <c r="M69" s="22"/>
      <c r="N69" s="22"/>
      <c r="O69" s="22">
        <f t="shared" si="129"/>
        <v>0</v>
      </c>
      <c r="P69" s="22"/>
      <c r="Q69" s="22"/>
      <c r="R69" s="22">
        <f t="shared" si="131"/>
        <v>0</v>
      </c>
      <c r="S69" s="22"/>
      <c r="T69" s="22"/>
      <c r="U69" s="14"/>
      <c r="V69" s="5" t="str">
        <f t="shared" si="133"/>
        <v>-</v>
      </c>
    </row>
    <row r="70" spans="1:22" ht="25.15" hidden="1" customHeight="1" x14ac:dyDescent="0.6">
      <c r="A70" s="30" t="s">
        <v>6</v>
      </c>
      <c r="B70" s="22"/>
      <c r="C70" s="22">
        <f t="shared" si="122"/>
        <v>0</v>
      </c>
      <c r="D70" s="22"/>
      <c r="E70" s="22"/>
      <c r="F70" s="22">
        <f t="shared" si="123"/>
        <v>0</v>
      </c>
      <c r="G70" s="22"/>
      <c r="H70" s="22"/>
      <c r="I70" s="22">
        <f t="shared" si="125"/>
        <v>0</v>
      </c>
      <c r="J70" s="22"/>
      <c r="K70" s="22"/>
      <c r="L70" s="22">
        <f t="shared" si="127"/>
        <v>0</v>
      </c>
      <c r="M70" s="22"/>
      <c r="N70" s="22"/>
      <c r="O70" s="22">
        <f t="shared" si="129"/>
        <v>0</v>
      </c>
      <c r="P70" s="22"/>
      <c r="Q70" s="22"/>
      <c r="R70" s="22">
        <f t="shared" si="131"/>
        <v>0</v>
      </c>
      <c r="S70" s="22"/>
      <c r="T70" s="22"/>
      <c r="U70" s="14"/>
      <c r="V70" s="5" t="str">
        <f t="shared" si="133"/>
        <v>-</v>
      </c>
    </row>
    <row r="71" spans="1:22" ht="25.15" hidden="1" customHeight="1" x14ac:dyDescent="0.6">
      <c r="A71" s="28" t="s">
        <v>4</v>
      </c>
      <c r="B71" s="26">
        <f>SUM(B72:B73)</f>
        <v>0</v>
      </c>
      <c r="C71" s="26">
        <f t="shared" si="122"/>
        <v>0</v>
      </c>
      <c r="D71" s="26">
        <f>SUM(D72:D73)</f>
        <v>0</v>
      </c>
      <c r="E71" s="26">
        <f>SUM(E72:E73)</f>
        <v>0</v>
      </c>
      <c r="F71" s="26">
        <f t="shared" si="123"/>
        <v>0</v>
      </c>
      <c r="G71" s="26">
        <f t="shared" ref="G71:H71" si="159">SUM(G72:G73)</f>
        <v>0</v>
      </c>
      <c r="H71" s="26">
        <f t="shared" si="159"/>
        <v>0</v>
      </c>
      <c r="I71" s="26">
        <f t="shared" si="125"/>
        <v>0</v>
      </c>
      <c r="J71" s="26">
        <f t="shared" ref="J71:K71" si="160">SUM(J72:J73)</f>
        <v>0</v>
      </c>
      <c r="K71" s="26">
        <f t="shared" si="160"/>
        <v>0</v>
      </c>
      <c r="L71" s="26">
        <f t="shared" si="127"/>
        <v>0</v>
      </c>
      <c r="M71" s="26">
        <f t="shared" ref="M71:N71" si="161">SUM(M72:M73)</f>
        <v>0</v>
      </c>
      <c r="N71" s="26">
        <f t="shared" si="161"/>
        <v>0</v>
      </c>
      <c r="O71" s="26">
        <f t="shared" si="129"/>
        <v>0</v>
      </c>
      <c r="P71" s="26">
        <f t="shared" ref="P71:Q71" si="162">SUM(P72:P73)</f>
        <v>0</v>
      </c>
      <c r="Q71" s="26">
        <f t="shared" si="162"/>
        <v>0</v>
      </c>
      <c r="R71" s="26">
        <f t="shared" si="131"/>
        <v>0</v>
      </c>
      <c r="S71" s="26">
        <f t="shared" ref="S71:T71" si="163">SUM(S72:S73)</f>
        <v>0</v>
      </c>
      <c r="T71" s="26">
        <f t="shared" si="163"/>
        <v>0</v>
      </c>
      <c r="U71" s="29"/>
      <c r="V71" s="5" t="str">
        <f t="shared" si="133"/>
        <v>-</v>
      </c>
    </row>
    <row r="72" spans="1:22" ht="25.15" hidden="1" customHeight="1" x14ac:dyDescent="0.6">
      <c r="A72" s="30" t="s">
        <v>7</v>
      </c>
      <c r="B72" s="22"/>
      <c r="C72" s="22">
        <f t="shared" si="122"/>
        <v>0</v>
      </c>
      <c r="D72" s="22"/>
      <c r="E72" s="22"/>
      <c r="F72" s="22">
        <f t="shared" si="123"/>
        <v>0</v>
      </c>
      <c r="G72" s="22"/>
      <c r="H72" s="22"/>
      <c r="I72" s="22">
        <f t="shared" si="125"/>
        <v>0</v>
      </c>
      <c r="J72" s="22"/>
      <c r="K72" s="22"/>
      <c r="L72" s="22">
        <f t="shared" si="127"/>
        <v>0</v>
      </c>
      <c r="M72" s="22"/>
      <c r="N72" s="22"/>
      <c r="O72" s="22">
        <f t="shared" si="129"/>
        <v>0</v>
      </c>
      <c r="P72" s="22"/>
      <c r="Q72" s="22"/>
      <c r="R72" s="22">
        <f t="shared" si="131"/>
        <v>0</v>
      </c>
      <c r="S72" s="22"/>
      <c r="T72" s="22"/>
      <c r="U72" s="14"/>
      <c r="V72" s="5" t="str">
        <f t="shared" si="133"/>
        <v>-</v>
      </c>
    </row>
    <row r="73" spans="1:22" ht="25.15" hidden="1" customHeight="1" x14ac:dyDescent="0.6">
      <c r="A73" s="30" t="s">
        <v>8</v>
      </c>
      <c r="B73" s="22"/>
      <c r="C73" s="22">
        <f t="shared" si="122"/>
        <v>0</v>
      </c>
      <c r="D73" s="22"/>
      <c r="E73" s="22"/>
      <c r="F73" s="22">
        <f t="shared" si="123"/>
        <v>0</v>
      </c>
      <c r="G73" s="22"/>
      <c r="H73" s="22"/>
      <c r="I73" s="22">
        <f t="shared" si="125"/>
        <v>0</v>
      </c>
      <c r="J73" s="22"/>
      <c r="K73" s="22"/>
      <c r="L73" s="22">
        <f t="shared" si="127"/>
        <v>0</v>
      </c>
      <c r="M73" s="22"/>
      <c r="N73" s="22"/>
      <c r="O73" s="22">
        <f t="shared" si="129"/>
        <v>0</v>
      </c>
      <c r="P73" s="22"/>
      <c r="Q73" s="22"/>
      <c r="R73" s="22">
        <f t="shared" si="131"/>
        <v>0</v>
      </c>
      <c r="S73" s="22"/>
      <c r="T73" s="22"/>
      <c r="U73" s="14"/>
      <c r="V73" s="5" t="str">
        <f t="shared" si="133"/>
        <v>-</v>
      </c>
    </row>
    <row r="74" spans="1:22" ht="25.15" hidden="1" customHeight="1" x14ac:dyDescent="0.6">
      <c r="A74" s="18" t="s">
        <v>29</v>
      </c>
      <c r="B74" s="23">
        <f>B75+B82</f>
        <v>0</v>
      </c>
      <c r="C74" s="23">
        <f t="shared" si="122"/>
        <v>0</v>
      </c>
      <c r="D74" s="23">
        <f>D75+D82</f>
        <v>0</v>
      </c>
      <c r="E74" s="23">
        <f>E75+E82</f>
        <v>0</v>
      </c>
      <c r="F74" s="23">
        <f t="shared" si="123"/>
        <v>0</v>
      </c>
      <c r="G74" s="23">
        <f t="shared" ref="G74:H74" si="164">G75+G82</f>
        <v>0</v>
      </c>
      <c r="H74" s="23">
        <f t="shared" si="164"/>
        <v>0</v>
      </c>
      <c r="I74" s="23">
        <f t="shared" si="125"/>
        <v>0</v>
      </c>
      <c r="J74" s="23">
        <f t="shared" ref="J74:K74" si="165">J75+J82</f>
        <v>0</v>
      </c>
      <c r="K74" s="23">
        <f t="shared" si="165"/>
        <v>0</v>
      </c>
      <c r="L74" s="23">
        <f t="shared" si="127"/>
        <v>0</v>
      </c>
      <c r="M74" s="23">
        <f t="shared" ref="M74:N74" si="166">M75+M82</f>
        <v>0</v>
      </c>
      <c r="N74" s="23">
        <f t="shared" si="166"/>
        <v>0</v>
      </c>
      <c r="O74" s="23">
        <f t="shared" si="129"/>
        <v>0</v>
      </c>
      <c r="P74" s="23">
        <f t="shared" ref="P74:Q74" si="167">P75+P82</f>
        <v>0</v>
      </c>
      <c r="Q74" s="23">
        <f t="shared" si="167"/>
        <v>0</v>
      </c>
      <c r="R74" s="23">
        <f t="shared" si="131"/>
        <v>0</v>
      </c>
      <c r="S74" s="23">
        <f t="shared" ref="S74:T74" si="168">S75+S82</f>
        <v>0</v>
      </c>
      <c r="T74" s="23">
        <f t="shared" si="168"/>
        <v>0</v>
      </c>
      <c r="U74" s="20"/>
      <c r="V74" s="5" t="str">
        <f t="shared" si="133"/>
        <v>-</v>
      </c>
    </row>
    <row r="75" spans="1:22" ht="25.15" hidden="1" customHeight="1" x14ac:dyDescent="0.6">
      <c r="A75" s="25" t="s">
        <v>2</v>
      </c>
      <c r="B75" s="26">
        <f>B76+B79</f>
        <v>0</v>
      </c>
      <c r="C75" s="26">
        <f t="shared" si="122"/>
        <v>0</v>
      </c>
      <c r="D75" s="26">
        <f>D76+D79</f>
        <v>0</v>
      </c>
      <c r="E75" s="26">
        <f>E76+E79</f>
        <v>0</v>
      </c>
      <c r="F75" s="26">
        <f t="shared" si="123"/>
        <v>0</v>
      </c>
      <c r="G75" s="26">
        <f t="shared" ref="G75:H75" si="169">G76+G79</f>
        <v>0</v>
      </c>
      <c r="H75" s="26">
        <f t="shared" si="169"/>
        <v>0</v>
      </c>
      <c r="I75" s="26">
        <f t="shared" si="125"/>
        <v>0</v>
      </c>
      <c r="J75" s="26">
        <f t="shared" ref="J75:K75" si="170">J76+J79</f>
        <v>0</v>
      </c>
      <c r="K75" s="26">
        <f t="shared" si="170"/>
        <v>0</v>
      </c>
      <c r="L75" s="26">
        <f t="shared" si="127"/>
        <v>0</v>
      </c>
      <c r="M75" s="26">
        <f t="shared" ref="M75:N75" si="171">M76+M79</f>
        <v>0</v>
      </c>
      <c r="N75" s="26">
        <f t="shared" si="171"/>
        <v>0</v>
      </c>
      <c r="O75" s="26">
        <f t="shared" si="129"/>
        <v>0</v>
      </c>
      <c r="P75" s="26">
        <f t="shared" ref="P75:Q75" si="172">P76+P79</f>
        <v>0</v>
      </c>
      <c r="Q75" s="26">
        <f t="shared" si="172"/>
        <v>0</v>
      </c>
      <c r="R75" s="26">
        <f t="shared" si="131"/>
        <v>0</v>
      </c>
      <c r="S75" s="26">
        <f t="shared" ref="S75:T75" si="173">S76+S79</f>
        <v>0</v>
      </c>
      <c r="T75" s="26">
        <f t="shared" si="173"/>
        <v>0</v>
      </c>
      <c r="U75" s="27"/>
      <c r="V75" s="5" t="str">
        <f t="shared" si="133"/>
        <v>-</v>
      </c>
    </row>
    <row r="76" spans="1:22" ht="25.15" hidden="1" customHeight="1" x14ac:dyDescent="0.6">
      <c r="A76" s="28" t="s">
        <v>3</v>
      </c>
      <c r="B76" s="26">
        <f>SUM(B77:B78)</f>
        <v>0</v>
      </c>
      <c r="C76" s="26">
        <f t="shared" si="122"/>
        <v>0</v>
      </c>
      <c r="D76" s="26">
        <f>SUM(D77:D78)</f>
        <v>0</v>
      </c>
      <c r="E76" s="26">
        <f>SUM(E77:E78)</f>
        <v>0</v>
      </c>
      <c r="F76" s="26">
        <f t="shared" si="123"/>
        <v>0</v>
      </c>
      <c r="G76" s="26">
        <f t="shared" ref="G76:H76" si="174">SUM(G77:G78)</f>
        <v>0</v>
      </c>
      <c r="H76" s="26">
        <f t="shared" si="174"/>
        <v>0</v>
      </c>
      <c r="I76" s="26">
        <f t="shared" si="125"/>
        <v>0</v>
      </c>
      <c r="J76" s="26">
        <f t="shared" ref="J76:K76" si="175">SUM(J77:J78)</f>
        <v>0</v>
      </c>
      <c r="K76" s="26">
        <f t="shared" si="175"/>
        <v>0</v>
      </c>
      <c r="L76" s="26">
        <f t="shared" si="127"/>
        <v>0</v>
      </c>
      <c r="M76" s="26">
        <f t="shared" ref="M76:N76" si="176">SUM(M77:M78)</f>
        <v>0</v>
      </c>
      <c r="N76" s="26">
        <f t="shared" si="176"/>
        <v>0</v>
      </c>
      <c r="O76" s="26">
        <f t="shared" si="129"/>
        <v>0</v>
      </c>
      <c r="P76" s="26">
        <f t="shared" ref="P76:Q76" si="177">SUM(P77:P78)</f>
        <v>0</v>
      </c>
      <c r="Q76" s="26">
        <f t="shared" si="177"/>
        <v>0</v>
      </c>
      <c r="R76" s="26">
        <f t="shared" si="131"/>
        <v>0</v>
      </c>
      <c r="S76" s="26">
        <f t="shared" ref="S76:T76" si="178">SUM(S77:S78)</f>
        <v>0</v>
      </c>
      <c r="T76" s="26">
        <f t="shared" si="178"/>
        <v>0</v>
      </c>
      <c r="U76" s="29"/>
      <c r="V76" s="5" t="str">
        <f t="shared" si="133"/>
        <v>-</v>
      </c>
    </row>
    <row r="77" spans="1:22" ht="25.15" hidden="1" customHeight="1" x14ac:dyDescent="0.6">
      <c r="A77" s="30" t="s">
        <v>5</v>
      </c>
      <c r="B77" s="22"/>
      <c r="C77" s="22">
        <f t="shared" si="122"/>
        <v>0</v>
      </c>
      <c r="D77" s="22"/>
      <c r="E77" s="22"/>
      <c r="F77" s="22">
        <f t="shared" si="123"/>
        <v>0</v>
      </c>
      <c r="G77" s="22"/>
      <c r="H77" s="22"/>
      <c r="I77" s="22">
        <f t="shared" si="125"/>
        <v>0</v>
      </c>
      <c r="J77" s="22"/>
      <c r="K77" s="22"/>
      <c r="L77" s="22">
        <f t="shared" si="127"/>
        <v>0</v>
      </c>
      <c r="M77" s="22"/>
      <c r="N77" s="22"/>
      <c r="O77" s="22">
        <f t="shared" si="129"/>
        <v>0</v>
      </c>
      <c r="P77" s="22"/>
      <c r="Q77" s="22"/>
      <c r="R77" s="22">
        <f t="shared" si="131"/>
        <v>0</v>
      </c>
      <c r="S77" s="22"/>
      <c r="T77" s="22"/>
      <c r="U77" s="14"/>
      <c r="V77" s="5" t="str">
        <f t="shared" si="133"/>
        <v>-</v>
      </c>
    </row>
    <row r="78" spans="1:22" ht="25.5" hidden="1" customHeight="1" x14ac:dyDescent="0.6">
      <c r="A78" s="30" t="s">
        <v>6</v>
      </c>
      <c r="B78" s="22"/>
      <c r="C78" s="22">
        <f t="shared" si="122"/>
        <v>0</v>
      </c>
      <c r="D78" s="22"/>
      <c r="E78" s="22"/>
      <c r="F78" s="22">
        <f t="shared" si="123"/>
        <v>0</v>
      </c>
      <c r="G78" s="22"/>
      <c r="H78" s="22"/>
      <c r="I78" s="22">
        <f t="shared" si="125"/>
        <v>0</v>
      </c>
      <c r="J78" s="22"/>
      <c r="K78" s="22"/>
      <c r="L78" s="22">
        <f t="shared" si="127"/>
        <v>0</v>
      </c>
      <c r="M78" s="22"/>
      <c r="N78" s="22"/>
      <c r="O78" s="22">
        <f t="shared" si="129"/>
        <v>0</v>
      </c>
      <c r="P78" s="22"/>
      <c r="Q78" s="22"/>
      <c r="R78" s="22">
        <f t="shared" si="131"/>
        <v>0</v>
      </c>
      <c r="S78" s="22"/>
      <c r="T78" s="22"/>
      <c r="U78" s="14"/>
      <c r="V78" s="5" t="str">
        <f t="shared" si="133"/>
        <v>-</v>
      </c>
    </row>
    <row r="79" spans="1:22" ht="25.15" hidden="1" customHeight="1" x14ac:dyDescent="0.6">
      <c r="A79" s="28" t="s">
        <v>4</v>
      </c>
      <c r="B79" s="26">
        <f>SUM(B80:B81)</f>
        <v>0</v>
      </c>
      <c r="C79" s="26">
        <f t="shared" si="122"/>
        <v>0</v>
      </c>
      <c r="D79" s="26">
        <f>SUM(D80:D81)</f>
        <v>0</v>
      </c>
      <c r="E79" s="26">
        <f>SUM(E80:E81)</f>
        <v>0</v>
      </c>
      <c r="F79" s="26">
        <f t="shared" si="123"/>
        <v>0</v>
      </c>
      <c r="G79" s="26">
        <f t="shared" ref="G79:H79" si="179">SUM(G80:G81)</f>
        <v>0</v>
      </c>
      <c r="H79" s="26">
        <f t="shared" si="179"/>
        <v>0</v>
      </c>
      <c r="I79" s="26">
        <f t="shared" si="125"/>
        <v>0</v>
      </c>
      <c r="J79" s="26">
        <f t="shared" ref="J79:K79" si="180">SUM(J80:J81)</f>
        <v>0</v>
      </c>
      <c r="K79" s="26">
        <f t="shared" si="180"/>
        <v>0</v>
      </c>
      <c r="L79" s="26">
        <f t="shared" si="127"/>
        <v>0</v>
      </c>
      <c r="M79" s="26">
        <f t="shared" ref="M79:N79" si="181">SUM(M80:M81)</f>
        <v>0</v>
      </c>
      <c r="N79" s="26">
        <f t="shared" si="181"/>
        <v>0</v>
      </c>
      <c r="O79" s="26">
        <f t="shared" si="129"/>
        <v>0</v>
      </c>
      <c r="P79" s="26">
        <f t="shared" ref="P79:Q79" si="182">SUM(P80:P81)</f>
        <v>0</v>
      </c>
      <c r="Q79" s="26">
        <f t="shared" si="182"/>
        <v>0</v>
      </c>
      <c r="R79" s="26">
        <f t="shared" si="131"/>
        <v>0</v>
      </c>
      <c r="S79" s="26">
        <f t="shared" ref="S79:T79" si="183">SUM(S80:S81)</f>
        <v>0</v>
      </c>
      <c r="T79" s="26">
        <f t="shared" si="183"/>
        <v>0</v>
      </c>
      <c r="U79" s="29"/>
      <c r="V79" s="5" t="str">
        <f t="shared" si="133"/>
        <v>-</v>
      </c>
    </row>
    <row r="80" spans="1:22" ht="25.15" hidden="1" customHeight="1" x14ac:dyDescent="0.6">
      <c r="A80" s="30" t="s">
        <v>7</v>
      </c>
      <c r="B80" s="22"/>
      <c r="C80" s="22">
        <f t="shared" si="122"/>
        <v>0</v>
      </c>
      <c r="D80" s="22"/>
      <c r="E80" s="22"/>
      <c r="F80" s="22">
        <f t="shared" si="123"/>
        <v>0</v>
      </c>
      <c r="G80" s="22"/>
      <c r="H80" s="22"/>
      <c r="I80" s="22">
        <f t="shared" si="125"/>
        <v>0</v>
      </c>
      <c r="J80" s="22"/>
      <c r="K80" s="22"/>
      <c r="L80" s="22">
        <f t="shared" si="127"/>
        <v>0</v>
      </c>
      <c r="M80" s="22"/>
      <c r="N80" s="22"/>
      <c r="O80" s="22">
        <f t="shared" si="129"/>
        <v>0</v>
      </c>
      <c r="P80" s="22"/>
      <c r="Q80" s="22"/>
      <c r="R80" s="22">
        <f t="shared" si="131"/>
        <v>0</v>
      </c>
      <c r="S80" s="22"/>
      <c r="T80" s="22"/>
      <c r="U80" s="14"/>
      <c r="V80" s="5" t="str">
        <f t="shared" si="133"/>
        <v>-</v>
      </c>
    </row>
    <row r="81" spans="1:22" ht="25.15" hidden="1" customHeight="1" x14ac:dyDescent="0.6">
      <c r="A81" s="30" t="s">
        <v>8</v>
      </c>
      <c r="B81" s="22"/>
      <c r="C81" s="22">
        <f t="shared" si="122"/>
        <v>0</v>
      </c>
      <c r="D81" s="22"/>
      <c r="E81" s="22"/>
      <c r="F81" s="22">
        <f t="shared" si="123"/>
        <v>0</v>
      </c>
      <c r="G81" s="22"/>
      <c r="H81" s="22"/>
      <c r="I81" s="22">
        <f t="shared" si="125"/>
        <v>0</v>
      </c>
      <c r="J81" s="22"/>
      <c r="K81" s="22"/>
      <c r="L81" s="22">
        <f t="shared" si="127"/>
        <v>0</v>
      </c>
      <c r="M81" s="22"/>
      <c r="N81" s="22"/>
      <c r="O81" s="22">
        <f t="shared" si="129"/>
        <v>0</v>
      </c>
      <c r="P81" s="22"/>
      <c r="Q81" s="22"/>
      <c r="R81" s="22">
        <f t="shared" si="131"/>
        <v>0</v>
      </c>
      <c r="S81" s="22"/>
      <c r="T81" s="22"/>
      <c r="U81" s="14"/>
      <c r="V81" s="5" t="str">
        <f t="shared" si="133"/>
        <v>-</v>
      </c>
    </row>
    <row r="82" spans="1:22" ht="25.15" hidden="1" customHeight="1" x14ac:dyDescent="0.6">
      <c r="A82" s="25" t="s">
        <v>9</v>
      </c>
      <c r="B82" s="26">
        <f>B83+B86</f>
        <v>0</v>
      </c>
      <c r="C82" s="26">
        <f t="shared" si="122"/>
        <v>0</v>
      </c>
      <c r="D82" s="26">
        <f>D83+D86</f>
        <v>0</v>
      </c>
      <c r="E82" s="26">
        <f>E83+E86</f>
        <v>0</v>
      </c>
      <c r="F82" s="26">
        <f t="shared" si="123"/>
        <v>0</v>
      </c>
      <c r="G82" s="26">
        <f t="shared" ref="G82:H82" si="184">G83+G86</f>
        <v>0</v>
      </c>
      <c r="H82" s="26">
        <f t="shared" si="184"/>
        <v>0</v>
      </c>
      <c r="I82" s="26">
        <f t="shared" si="125"/>
        <v>0</v>
      </c>
      <c r="J82" s="26">
        <f t="shared" ref="J82:K82" si="185">J83+J86</f>
        <v>0</v>
      </c>
      <c r="K82" s="26">
        <f t="shared" si="185"/>
        <v>0</v>
      </c>
      <c r="L82" s="26">
        <f t="shared" si="127"/>
        <v>0</v>
      </c>
      <c r="M82" s="26">
        <f t="shared" ref="M82:N82" si="186">M83+M86</f>
        <v>0</v>
      </c>
      <c r="N82" s="26">
        <f t="shared" si="186"/>
        <v>0</v>
      </c>
      <c r="O82" s="26">
        <f t="shared" si="129"/>
        <v>0</v>
      </c>
      <c r="P82" s="26">
        <f t="shared" ref="P82:Q82" si="187">P83+P86</f>
        <v>0</v>
      </c>
      <c r="Q82" s="26">
        <f t="shared" si="187"/>
        <v>0</v>
      </c>
      <c r="R82" s="26">
        <f t="shared" si="131"/>
        <v>0</v>
      </c>
      <c r="S82" s="26">
        <f t="shared" ref="S82:T82" si="188">S83+S86</f>
        <v>0</v>
      </c>
      <c r="T82" s="26">
        <f t="shared" si="188"/>
        <v>0</v>
      </c>
      <c r="U82" s="27"/>
      <c r="V82" s="5" t="str">
        <f t="shared" si="133"/>
        <v>-</v>
      </c>
    </row>
    <row r="83" spans="1:22" ht="25.15" hidden="1" customHeight="1" x14ac:dyDescent="0.6">
      <c r="A83" s="28" t="s">
        <v>3</v>
      </c>
      <c r="B83" s="26">
        <f>SUM(B84:B85)</f>
        <v>0</v>
      </c>
      <c r="C83" s="26">
        <f t="shared" si="122"/>
        <v>0</v>
      </c>
      <c r="D83" s="26">
        <f>SUM(D84:D85)</f>
        <v>0</v>
      </c>
      <c r="E83" s="26">
        <f>SUM(E84:E85)</f>
        <v>0</v>
      </c>
      <c r="F83" s="26">
        <f t="shared" si="123"/>
        <v>0</v>
      </c>
      <c r="G83" s="26">
        <f t="shared" ref="G83:H83" si="189">SUM(G84:G85)</f>
        <v>0</v>
      </c>
      <c r="H83" s="26">
        <f t="shared" si="189"/>
        <v>0</v>
      </c>
      <c r="I83" s="26">
        <f t="shared" si="125"/>
        <v>0</v>
      </c>
      <c r="J83" s="26">
        <f t="shared" ref="J83:K83" si="190">SUM(J84:J85)</f>
        <v>0</v>
      </c>
      <c r="K83" s="26">
        <f t="shared" si="190"/>
        <v>0</v>
      </c>
      <c r="L83" s="26">
        <f t="shared" si="127"/>
        <v>0</v>
      </c>
      <c r="M83" s="26">
        <f t="shared" ref="M83:N83" si="191">SUM(M84:M85)</f>
        <v>0</v>
      </c>
      <c r="N83" s="26">
        <f t="shared" si="191"/>
        <v>0</v>
      </c>
      <c r="O83" s="26">
        <f t="shared" si="129"/>
        <v>0</v>
      </c>
      <c r="P83" s="26">
        <f t="shared" ref="P83:Q83" si="192">SUM(P84:P85)</f>
        <v>0</v>
      </c>
      <c r="Q83" s="26">
        <f t="shared" si="192"/>
        <v>0</v>
      </c>
      <c r="R83" s="26">
        <f t="shared" si="131"/>
        <v>0</v>
      </c>
      <c r="S83" s="26">
        <f t="shared" ref="S83:T83" si="193">SUM(S84:S85)</f>
        <v>0</v>
      </c>
      <c r="T83" s="26">
        <f t="shared" si="193"/>
        <v>0</v>
      </c>
      <c r="U83" s="29"/>
      <c r="V83" s="5" t="str">
        <f t="shared" si="133"/>
        <v>-</v>
      </c>
    </row>
    <row r="84" spans="1:22" ht="25.15" hidden="1" customHeight="1" x14ac:dyDescent="0.6">
      <c r="A84" s="30" t="s">
        <v>5</v>
      </c>
      <c r="B84" s="22"/>
      <c r="C84" s="22">
        <f t="shared" si="122"/>
        <v>0</v>
      </c>
      <c r="D84" s="22"/>
      <c r="E84" s="22"/>
      <c r="F84" s="22">
        <f t="shared" si="123"/>
        <v>0</v>
      </c>
      <c r="G84" s="22"/>
      <c r="H84" s="22"/>
      <c r="I84" s="22">
        <f t="shared" si="125"/>
        <v>0</v>
      </c>
      <c r="J84" s="22"/>
      <c r="K84" s="22"/>
      <c r="L84" s="22">
        <f t="shared" si="127"/>
        <v>0</v>
      </c>
      <c r="M84" s="22"/>
      <c r="N84" s="22"/>
      <c r="O84" s="22">
        <f t="shared" si="129"/>
        <v>0</v>
      </c>
      <c r="P84" s="22"/>
      <c r="Q84" s="22"/>
      <c r="R84" s="22">
        <f t="shared" si="131"/>
        <v>0</v>
      </c>
      <c r="S84" s="22"/>
      <c r="T84" s="22"/>
      <c r="U84" s="14"/>
      <c r="V84" s="5" t="str">
        <f t="shared" si="133"/>
        <v>-</v>
      </c>
    </row>
    <row r="85" spans="1:22" ht="25.15" hidden="1" customHeight="1" x14ac:dyDescent="0.6">
      <c r="A85" s="30" t="s">
        <v>6</v>
      </c>
      <c r="B85" s="22"/>
      <c r="C85" s="22">
        <f t="shared" si="122"/>
        <v>0</v>
      </c>
      <c r="D85" s="22"/>
      <c r="E85" s="22"/>
      <c r="F85" s="22">
        <f t="shared" si="123"/>
        <v>0</v>
      </c>
      <c r="G85" s="22"/>
      <c r="H85" s="22"/>
      <c r="I85" s="22">
        <f t="shared" si="125"/>
        <v>0</v>
      </c>
      <c r="J85" s="22"/>
      <c r="K85" s="22"/>
      <c r="L85" s="22">
        <f t="shared" si="127"/>
        <v>0</v>
      </c>
      <c r="M85" s="22"/>
      <c r="N85" s="22"/>
      <c r="O85" s="22">
        <f t="shared" si="129"/>
        <v>0</v>
      </c>
      <c r="P85" s="22"/>
      <c r="Q85" s="22"/>
      <c r="R85" s="22">
        <f t="shared" si="131"/>
        <v>0</v>
      </c>
      <c r="S85" s="22"/>
      <c r="T85" s="22"/>
      <c r="U85" s="14"/>
      <c r="V85" s="5" t="str">
        <f t="shared" si="133"/>
        <v>-</v>
      </c>
    </row>
    <row r="86" spans="1:22" ht="25.15" hidden="1" customHeight="1" x14ac:dyDescent="0.6">
      <c r="A86" s="28" t="s">
        <v>4</v>
      </c>
      <c r="B86" s="26">
        <f>SUM(B87:B88)</f>
        <v>0</v>
      </c>
      <c r="C86" s="26">
        <f t="shared" si="122"/>
        <v>0</v>
      </c>
      <c r="D86" s="26">
        <f>SUM(D87:D88)</f>
        <v>0</v>
      </c>
      <c r="E86" s="26">
        <f>SUM(E87:E88)</f>
        <v>0</v>
      </c>
      <c r="F86" s="26">
        <f t="shared" si="123"/>
        <v>0</v>
      </c>
      <c r="G86" s="26">
        <f t="shared" ref="G86:H86" si="194">SUM(G87:G88)</f>
        <v>0</v>
      </c>
      <c r="H86" s="26">
        <f t="shared" si="194"/>
        <v>0</v>
      </c>
      <c r="I86" s="26">
        <f t="shared" si="125"/>
        <v>0</v>
      </c>
      <c r="J86" s="26">
        <f t="shared" ref="J86:K86" si="195">SUM(J87:J88)</f>
        <v>0</v>
      </c>
      <c r="K86" s="26">
        <f t="shared" si="195"/>
        <v>0</v>
      </c>
      <c r="L86" s="26">
        <f t="shared" si="127"/>
        <v>0</v>
      </c>
      <c r="M86" s="26">
        <f t="shared" ref="M86:N86" si="196">SUM(M87:M88)</f>
        <v>0</v>
      </c>
      <c r="N86" s="26">
        <f t="shared" si="196"/>
        <v>0</v>
      </c>
      <c r="O86" s="26">
        <f t="shared" si="129"/>
        <v>0</v>
      </c>
      <c r="P86" s="26">
        <f t="shared" ref="P86:Q86" si="197">SUM(P87:P88)</f>
        <v>0</v>
      </c>
      <c r="Q86" s="26">
        <f t="shared" si="197"/>
        <v>0</v>
      </c>
      <c r="R86" s="26">
        <f t="shared" si="131"/>
        <v>0</v>
      </c>
      <c r="S86" s="26">
        <f t="shared" ref="S86:T86" si="198">SUM(S87:S88)</f>
        <v>0</v>
      </c>
      <c r="T86" s="26">
        <f t="shared" si="198"/>
        <v>0</v>
      </c>
      <c r="U86" s="29"/>
      <c r="V86" s="5" t="str">
        <f t="shared" si="133"/>
        <v>-</v>
      </c>
    </row>
    <row r="87" spans="1:22" ht="25.15" hidden="1" customHeight="1" x14ac:dyDescent="0.6">
      <c r="A87" s="30" t="s">
        <v>7</v>
      </c>
      <c r="B87" s="22"/>
      <c r="C87" s="22">
        <f t="shared" si="122"/>
        <v>0</v>
      </c>
      <c r="D87" s="22"/>
      <c r="E87" s="22"/>
      <c r="F87" s="22">
        <f t="shared" si="123"/>
        <v>0</v>
      </c>
      <c r="G87" s="22"/>
      <c r="H87" s="22"/>
      <c r="I87" s="22">
        <f t="shared" si="125"/>
        <v>0</v>
      </c>
      <c r="J87" s="22"/>
      <c r="K87" s="22"/>
      <c r="L87" s="22">
        <f t="shared" si="127"/>
        <v>0</v>
      </c>
      <c r="M87" s="22"/>
      <c r="N87" s="22"/>
      <c r="O87" s="22">
        <f t="shared" si="129"/>
        <v>0</v>
      </c>
      <c r="P87" s="22"/>
      <c r="Q87" s="22"/>
      <c r="R87" s="22">
        <f t="shared" si="131"/>
        <v>0</v>
      </c>
      <c r="S87" s="22"/>
      <c r="T87" s="22"/>
      <c r="U87" s="14"/>
      <c r="V87" s="5" t="str">
        <f t="shared" si="133"/>
        <v>-</v>
      </c>
    </row>
    <row r="88" spans="1:22" ht="25.15" hidden="1" customHeight="1" x14ac:dyDescent="0.6">
      <c r="A88" s="30" t="s">
        <v>8</v>
      </c>
      <c r="B88" s="22"/>
      <c r="C88" s="22">
        <f t="shared" si="122"/>
        <v>0</v>
      </c>
      <c r="D88" s="22"/>
      <c r="E88" s="22"/>
      <c r="F88" s="22">
        <f t="shared" si="123"/>
        <v>0</v>
      </c>
      <c r="G88" s="22"/>
      <c r="H88" s="22"/>
      <c r="I88" s="22">
        <f t="shared" si="125"/>
        <v>0</v>
      </c>
      <c r="J88" s="22"/>
      <c r="K88" s="22"/>
      <c r="L88" s="22">
        <f t="shared" si="127"/>
        <v>0</v>
      </c>
      <c r="M88" s="22"/>
      <c r="N88" s="22"/>
      <c r="O88" s="22">
        <f t="shared" si="129"/>
        <v>0</v>
      </c>
      <c r="P88" s="22"/>
      <c r="Q88" s="22"/>
      <c r="R88" s="22">
        <f t="shared" si="131"/>
        <v>0</v>
      </c>
      <c r="S88" s="22"/>
      <c r="T88" s="22"/>
      <c r="U88" s="14"/>
      <c r="V88" s="5" t="str">
        <f t="shared" si="133"/>
        <v>-</v>
      </c>
    </row>
    <row r="89" spans="1:22" ht="25.15" customHeight="1" x14ac:dyDescent="0.6">
      <c r="A89" s="18" t="s">
        <v>30</v>
      </c>
      <c r="B89" s="23">
        <f>B90+B97</f>
        <v>4000</v>
      </c>
      <c r="C89" s="23">
        <f t="shared" si="122"/>
        <v>0</v>
      </c>
      <c r="D89" s="23">
        <f>D90+D97</f>
        <v>0</v>
      </c>
      <c r="E89" s="23">
        <f>E90+E97</f>
        <v>0</v>
      </c>
      <c r="F89" s="23">
        <f t="shared" si="123"/>
        <v>0</v>
      </c>
      <c r="G89" s="23">
        <f t="shared" ref="G89:H89" si="199">G90+G97</f>
        <v>0</v>
      </c>
      <c r="H89" s="23">
        <f t="shared" si="199"/>
        <v>0</v>
      </c>
      <c r="I89" s="23">
        <f t="shared" si="125"/>
        <v>0</v>
      </c>
      <c r="J89" s="23">
        <f t="shared" ref="J89:K89" si="200">J90+J97</f>
        <v>0</v>
      </c>
      <c r="K89" s="23">
        <f t="shared" si="200"/>
        <v>0</v>
      </c>
      <c r="L89" s="23">
        <f t="shared" si="127"/>
        <v>1500</v>
      </c>
      <c r="M89" s="23">
        <f t="shared" ref="M89:N89" si="201">M90+M97</f>
        <v>1500</v>
      </c>
      <c r="N89" s="23">
        <f t="shared" si="201"/>
        <v>0</v>
      </c>
      <c r="O89" s="23">
        <f t="shared" si="129"/>
        <v>0</v>
      </c>
      <c r="P89" s="23">
        <f t="shared" ref="P89:Q89" si="202">P90+P97</f>
        <v>0</v>
      </c>
      <c r="Q89" s="23">
        <f t="shared" si="202"/>
        <v>0</v>
      </c>
      <c r="R89" s="23">
        <f t="shared" si="131"/>
        <v>0</v>
      </c>
      <c r="S89" s="23">
        <f t="shared" ref="S89:T89" si="203">S90+S97</f>
        <v>0</v>
      </c>
      <c r="T89" s="23">
        <f t="shared" si="203"/>
        <v>0</v>
      </c>
      <c r="U89" s="20"/>
      <c r="V89" s="5" t="str">
        <f t="shared" si="133"/>
        <v>ok</v>
      </c>
    </row>
    <row r="90" spans="1:22" ht="25.15" hidden="1" customHeight="1" x14ac:dyDescent="0.6">
      <c r="A90" s="25" t="s">
        <v>2</v>
      </c>
      <c r="B90" s="26">
        <f>B91+B94</f>
        <v>0</v>
      </c>
      <c r="C90" s="26">
        <f t="shared" si="122"/>
        <v>0</v>
      </c>
      <c r="D90" s="26">
        <f>D91+D94</f>
        <v>0</v>
      </c>
      <c r="E90" s="26">
        <f>E91+E94</f>
        <v>0</v>
      </c>
      <c r="F90" s="26">
        <f t="shared" si="123"/>
        <v>0</v>
      </c>
      <c r="G90" s="26">
        <f t="shared" ref="G90:H90" si="204">G91+G94</f>
        <v>0</v>
      </c>
      <c r="H90" s="26">
        <f t="shared" si="204"/>
        <v>0</v>
      </c>
      <c r="I90" s="26">
        <f t="shared" si="125"/>
        <v>0</v>
      </c>
      <c r="J90" s="26">
        <f t="shared" ref="J90:K90" si="205">J91+J94</f>
        <v>0</v>
      </c>
      <c r="K90" s="26">
        <f t="shared" si="205"/>
        <v>0</v>
      </c>
      <c r="L90" s="26">
        <f t="shared" si="127"/>
        <v>0</v>
      </c>
      <c r="M90" s="26">
        <f t="shared" ref="M90:N90" si="206">M91+M94</f>
        <v>0</v>
      </c>
      <c r="N90" s="26">
        <f t="shared" si="206"/>
        <v>0</v>
      </c>
      <c r="O90" s="26">
        <f t="shared" si="129"/>
        <v>0</v>
      </c>
      <c r="P90" s="26">
        <f t="shared" ref="P90:Q90" si="207">P91+P94</f>
        <v>0</v>
      </c>
      <c r="Q90" s="26">
        <f t="shared" si="207"/>
        <v>0</v>
      </c>
      <c r="R90" s="26">
        <f t="shared" si="131"/>
        <v>0</v>
      </c>
      <c r="S90" s="26">
        <f t="shared" ref="S90:T90" si="208">S91+S94</f>
        <v>0</v>
      </c>
      <c r="T90" s="26">
        <f t="shared" si="208"/>
        <v>0</v>
      </c>
      <c r="U90" s="27"/>
      <c r="V90" s="5" t="str">
        <f t="shared" si="133"/>
        <v>-</v>
      </c>
    </row>
    <row r="91" spans="1:22" ht="25.15" hidden="1" customHeight="1" x14ac:dyDescent="0.6">
      <c r="A91" s="28" t="s">
        <v>3</v>
      </c>
      <c r="B91" s="26">
        <f>SUM(B92:B93)</f>
        <v>0</v>
      </c>
      <c r="C91" s="26">
        <f t="shared" si="122"/>
        <v>0</v>
      </c>
      <c r="D91" s="26">
        <f>SUM(D92:D93)</f>
        <v>0</v>
      </c>
      <c r="E91" s="26">
        <f>SUM(E92:E93)</f>
        <v>0</v>
      </c>
      <c r="F91" s="26">
        <f t="shared" si="123"/>
        <v>0</v>
      </c>
      <c r="G91" s="26">
        <f t="shared" ref="G91:H91" si="209">SUM(G92:G93)</f>
        <v>0</v>
      </c>
      <c r="H91" s="26">
        <f t="shared" si="209"/>
        <v>0</v>
      </c>
      <c r="I91" s="26">
        <f t="shared" si="125"/>
        <v>0</v>
      </c>
      <c r="J91" s="26">
        <f t="shared" ref="J91:K91" si="210">SUM(J92:J93)</f>
        <v>0</v>
      </c>
      <c r="K91" s="26">
        <f t="shared" si="210"/>
        <v>0</v>
      </c>
      <c r="L91" s="26">
        <f t="shared" si="127"/>
        <v>0</v>
      </c>
      <c r="M91" s="26">
        <f t="shared" ref="M91:N91" si="211">SUM(M92:M93)</f>
        <v>0</v>
      </c>
      <c r="N91" s="26">
        <f t="shared" si="211"/>
        <v>0</v>
      </c>
      <c r="O91" s="26">
        <f t="shared" si="129"/>
        <v>0</v>
      </c>
      <c r="P91" s="26">
        <f t="shared" ref="P91:Q91" si="212">SUM(P92:P93)</f>
        <v>0</v>
      </c>
      <c r="Q91" s="26">
        <f t="shared" si="212"/>
        <v>0</v>
      </c>
      <c r="R91" s="26">
        <f t="shared" si="131"/>
        <v>0</v>
      </c>
      <c r="S91" s="26">
        <f t="shared" ref="S91:T91" si="213">SUM(S92:S93)</f>
        <v>0</v>
      </c>
      <c r="T91" s="26">
        <f t="shared" si="213"/>
        <v>0</v>
      </c>
      <c r="U91" s="29"/>
      <c r="V91" s="5" t="str">
        <f t="shared" si="133"/>
        <v>-</v>
      </c>
    </row>
    <row r="92" spans="1:22" ht="25.15" hidden="1" customHeight="1" x14ac:dyDescent="0.6">
      <c r="A92" s="30" t="s">
        <v>5</v>
      </c>
      <c r="B92" s="22"/>
      <c r="C92" s="22">
        <f t="shared" si="122"/>
        <v>0</v>
      </c>
      <c r="D92" s="22"/>
      <c r="E92" s="22"/>
      <c r="F92" s="22">
        <f t="shared" si="123"/>
        <v>0</v>
      </c>
      <c r="G92" s="22"/>
      <c r="H92" s="22"/>
      <c r="I92" s="22">
        <f t="shared" si="125"/>
        <v>0</v>
      </c>
      <c r="J92" s="22"/>
      <c r="K92" s="22"/>
      <c r="L92" s="22">
        <f t="shared" si="127"/>
        <v>0</v>
      </c>
      <c r="M92" s="22"/>
      <c r="N92" s="22"/>
      <c r="O92" s="22">
        <f t="shared" si="129"/>
        <v>0</v>
      </c>
      <c r="P92" s="22"/>
      <c r="Q92" s="22"/>
      <c r="R92" s="22">
        <f t="shared" si="131"/>
        <v>0</v>
      </c>
      <c r="S92" s="22"/>
      <c r="T92" s="22"/>
      <c r="U92" s="14"/>
      <c r="V92" s="5" t="str">
        <f t="shared" si="133"/>
        <v>-</v>
      </c>
    </row>
    <row r="93" spans="1:22" ht="25.5" hidden="1" customHeight="1" x14ac:dyDescent="0.6">
      <c r="A93" s="30" t="s">
        <v>6</v>
      </c>
      <c r="B93" s="22"/>
      <c r="C93" s="22">
        <f t="shared" si="122"/>
        <v>0</v>
      </c>
      <c r="D93" s="22"/>
      <c r="E93" s="22"/>
      <c r="F93" s="22">
        <f t="shared" si="123"/>
        <v>0</v>
      </c>
      <c r="G93" s="22"/>
      <c r="H93" s="22"/>
      <c r="I93" s="22">
        <f t="shared" si="125"/>
        <v>0</v>
      </c>
      <c r="J93" s="22"/>
      <c r="K93" s="22"/>
      <c r="L93" s="22">
        <f t="shared" si="127"/>
        <v>0</v>
      </c>
      <c r="M93" s="22"/>
      <c r="N93" s="22"/>
      <c r="O93" s="22">
        <f t="shared" si="129"/>
        <v>0</v>
      </c>
      <c r="P93" s="22"/>
      <c r="Q93" s="22"/>
      <c r="R93" s="22">
        <f t="shared" si="131"/>
        <v>0</v>
      </c>
      <c r="S93" s="22"/>
      <c r="T93" s="22"/>
      <c r="U93" s="14"/>
      <c r="V93" s="5" t="str">
        <f t="shared" si="133"/>
        <v>-</v>
      </c>
    </row>
    <row r="94" spans="1:22" ht="25.15" hidden="1" customHeight="1" x14ac:dyDescent="0.6">
      <c r="A94" s="28" t="s">
        <v>4</v>
      </c>
      <c r="B94" s="26">
        <f>SUM(B95:B96)</f>
        <v>0</v>
      </c>
      <c r="C94" s="26">
        <f t="shared" si="122"/>
        <v>0</v>
      </c>
      <c r="D94" s="26">
        <f>SUM(D95:D96)</f>
        <v>0</v>
      </c>
      <c r="E94" s="26">
        <f>SUM(E95:E96)</f>
        <v>0</v>
      </c>
      <c r="F94" s="26">
        <f t="shared" si="123"/>
        <v>0</v>
      </c>
      <c r="G94" s="26">
        <f t="shared" ref="G94:H94" si="214">SUM(G95:G96)</f>
        <v>0</v>
      </c>
      <c r="H94" s="26">
        <f t="shared" si="214"/>
        <v>0</v>
      </c>
      <c r="I94" s="26">
        <f t="shared" si="125"/>
        <v>0</v>
      </c>
      <c r="J94" s="26">
        <f t="shared" ref="J94:K94" si="215">SUM(J95:J96)</f>
        <v>0</v>
      </c>
      <c r="K94" s="26">
        <f t="shared" si="215"/>
        <v>0</v>
      </c>
      <c r="L94" s="26">
        <f t="shared" si="127"/>
        <v>0</v>
      </c>
      <c r="M94" s="26">
        <f t="shared" ref="M94:N94" si="216">SUM(M95:M96)</f>
        <v>0</v>
      </c>
      <c r="N94" s="26">
        <f t="shared" si="216"/>
        <v>0</v>
      </c>
      <c r="O94" s="26">
        <f t="shared" si="129"/>
        <v>0</v>
      </c>
      <c r="P94" s="26">
        <f t="shared" ref="P94:Q94" si="217">SUM(P95:P96)</f>
        <v>0</v>
      </c>
      <c r="Q94" s="26">
        <f t="shared" si="217"/>
        <v>0</v>
      </c>
      <c r="R94" s="26">
        <f t="shared" si="131"/>
        <v>0</v>
      </c>
      <c r="S94" s="26">
        <f t="shared" ref="S94:T94" si="218">SUM(S95:S96)</f>
        <v>0</v>
      </c>
      <c r="T94" s="26">
        <f t="shared" si="218"/>
        <v>0</v>
      </c>
      <c r="U94" s="29"/>
      <c r="V94" s="5" t="str">
        <f t="shared" si="133"/>
        <v>-</v>
      </c>
    </row>
    <row r="95" spans="1:22" ht="25.15" hidden="1" customHeight="1" x14ac:dyDescent="0.6">
      <c r="A95" s="30" t="s">
        <v>7</v>
      </c>
      <c r="B95" s="22"/>
      <c r="C95" s="22">
        <f t="shared" si="122"/>
        <v>0</v>
      </c>
      <c r="D95" s="22"/>
      <c r="E95" s="22"/>
      <c r="F95" s="22">
        <f t="shared" si="123"/>
        <v>0</v>
      </c>
      <c r="G95" s="22"/>
      <c r="H95" s="22"/>
      <c r="I95" s="22">
        <f t="shared" si="125"/>
        <v>0</v>
      </c>
      <c r="J95" s="22"/>
      <c r="K95" s="22"/>
      <c r="L95" s="22">
        <f t="shared" si="127"/>
        <v>0</v>
      </c>
      <c r="M95" s="22"/>
      <c r="N95" s="22"/>
      <c r="O95" s="22">
        <f t="shared" si="129"/>
        <v>0</v>
      </c>
      <c r="P95" s="22"/>
      <c r="Q95" s="22"/>
      <c r="R95" s="22">
        <f t="shared" si="131"/>
        <v>0</v>
      </c>
      <c r="S95" s="22"/>
      <c r="T95" s="22"/>
      <c r="U95" s="14"/>
      <c r="V95" s="5" t="str">
        <f t="shared" si="133"/>
        <v>-</v>
      </c>
    </row>
    <row r="96" spans="1:22" ht="25.15" hidden="1" customHeight="1" x14ac:dyDescent="0.6">
      <c r="A96" s="30" t="s">
        <v>8</v>
      </c>
      <c r="B96" s="22"/>
      <c r="C96" s="22">
        <f t="shared" si="122"/>
        <v>0</v>
      </c>
      <c r="D96" s="22"/>
      <c r="E96" s="22"/>
      <c r="F96" s="22">
        <f t="shared" si="123"/>
        <v>0</v>
      </c>
      <c r="G96" s="22"/>
      <c r="H96" s="22"/>
      <c r="I96" s="22">
        <f t="shared" si="125"/>
        <v>0</v>
      </c>
      <c r="J96" s="22"/>
      <c r="K96" s="22"/>
      <c r="L96" s="22">
        <f t="shared" si="127"/>
        <v>0</v>
      </c>
      <c r="M96" s="22"/>
      <c r="N96" s="22"/>
      <c r="O96" s="22">
        <f t="shared" si="129"/>
        <v>0</v>
      </c>
      <c r="P96" s="22"/>
      <c r="Q96" s="22"/>
      <c r="R96" s="22">
        <f t="shared" si="131"/>
        <v>0</v>
      </c>
      <c r="S96" s="22"/>
      <c r="T96" s="22"/>
      <c r="U96" s="14"/>
      <c r="V96" s="5" t="str">
        <f t="shared" si="133"/>
        <v>-</v>
      </c>
    </row>
    <row r="97" spans="1:22" ht="25.15" customHeight="1" x14ac:dyDescent="0.6">
      <c r="A97" s="25" t="s">
        <v>9</v>
      </c>
      <c r="B97" s="26">
        <f>B98+B101</f>
        <v>4000</v>
      </c>
      <c r="C97" s="26">
        <f t="shared" si="122"/>
        <v>0</v>
      </c>
      <c r="D97" s="26">
        <f>D98+D101</f>
        <v>0</v>
      </c>
      <c r="E97" s="26">
        <f>E98+E101</f>
        <v>0</v>
      </c>
      <c r="F97" s="26">
        <f t="shared" si="123"/>
        <v>0</v>
      </c>
      <c r="G97" s="26">
        <f t="shared" ref="G97:H97" si="219">G98+G101</f>
        <v>0</v>
      </c>
      <c r="H97" s="26">
        <f t="shared" si="219"/>
        <v>0</v>
      </c>
      <c r="I97" s="26">
        <f t="shared" si="125"/>
        <v>0</v>
      </c>
      <c r="J97" s="26">
        <f t="shared" ref="J97:K97" si="220">J98+J101</f>
        <v>0</v>
      </c>
      <c r="K97" s="26">
        <f t="shared" si="220"/>
        <v>0</v>
      </c>
      <c r="L97" s="26">
        <f t="shared" si="127"/>
        <v>1500</v>
      </c>
      <c r="M97" s="26">
        <f t="shared" ref="M97:N97" si="221">M98+M101</f>
        <v>1500</v>
      </c>
      <c r="N97" s="26">
        <f t="shared" si="221"/>
        <v>0</v>
      </c>
      <c r="O97" s="26">
        <f t="shared" si="129"/>
        <v>0</v>
      </c>
      <c r="P97" s="26">
        <f t="shared" ref="P97:Q97" si="222">P98+P101</f>
        <v>0</v>
      </c>
      <c r="Q97" s="26">
        <f t="shared" si="222"/>
        <v>0</v>
      </c>
      <c r="R97" s="26">
        <f t="shared" si="131"/>
        <v>0</v>
      </c>
      <c r="S97" s="26">
        <f t="shared" ref="S97:T97" si="223">S98+S101</f>
        <v>0</v>
      </c>
      <c r="T97" s="26">
        <f t="shared" si="223"/>
        <v>0</v>
      </c>
      <c r="U97" s="27"/>
      <c r="V97" s="5" t="str">
        <f t="shared" si="133"/>
        <v>ok</v>
      </c>
    </row>
    <row r="98" spans="1:22" ht="25.15" customHeight="1" x14ac:dyDescent="0.6">
      <c r="A98" s="28" t="s">
        <v>3</v>
      </c>
      <c r="B98" s="26">
        <f>SUM(B99:B100)</f>
        <v>4000</v>
      </c>
      <c r="C98" s="26">
        <f t="shared" si="122"/>
        <v>0</v>
      </c>
      <c r="D98" s="26">
        <f>SUM(D99:D100)</f>
        <v>0</v>
      </c>
      <c r="E98" s="26">
        <f>SUM(E99:E100)</f>
        <v>0</v>
      </c>
      <c r="F98" s="26">
        <f t="shared" si="123"/>
        <v>0</v>
      </c>
      <c r="G98" s="26">
        <f t="shared" ref="G98:H98" si="224">SUM(G99:G100)</f>
        <v>0</v>
      </c>
      <c r="H98" s="26">
        <f t="shared" si="224"/>
        <v>0</v>
      </c>
      <c r="I98" s="26">
        <f t="shared" si="125"/>
        <v>0</v>
      </c>
      <c r="J98" s="26">
        <f t="shared" ref="J98:K98" si="225">SUM(J99:J100)</f>
        <v>0</v>
      </c>
      <c r="K98" s="26">
        <f t="shared" si="225"/>
        <v>0</v>
      </c>
      <c r="L98" s="26">
        <f t="shared" si="127"/>
        <v>1500</v>
      </c>
      <c r="M98" s="26">
        <f t="shared" ref="M98:N98" si="226">SUM(M99:M100)</f>
        <v>1500</v>
      </c>
      <c r="N98" s="26">
        <f t="shared" si="226"/>
        <v>0</v>
      </c>
      <c r="O98" s="26">
        <f t="shared" si="129"/>
        <v>0</v>
      </c>
      <c r="P98" s="26">
        <f t="shared" ref="P98:Q98" si="227">SUM(P99:P100)</f>
        <v>0</v>
      </c>
      <c r="Q98" s="26">
        <f t="shared" si="227"/>
        <v>0</v>
      </c>
      <c r="R98" s="26">
        <f t="shared" si="131"/>
        <v>0</v>
      </c>
      <c r="S98" s="26">
        <f t="shared" ref="S98:T98" si="228">SUM(S99:S100)</f>
        <v>0</v>
      </c>
      <c r="T98" s="26">
        <f t="shared" si="228"/>
        <v>0</v>
      </c>
      <c r="U98" s="29"/>
      <c r="V98" s="5" t="str">
        <f t="shared" si="133"/>
        <v>ok</v>
      </c>
    </row>
    <row r="99" spans="1:22" ht="25.25" x14ac:dyDescent="0.6">
      <c r="A99" s="35" t="s">
        <v>75</v>
      </c>
      <c r="B99" s="22">
        <v>4000</v>
      </c>
      <c r="C99" s="22">
        <f t="shared" si="122"/>
        <v>0</v>
      </c>
      <c r="D99" s="22"/>
      <c r="E99" s="22"/>
      <c r="F99" s="22">
        <f t="shared" si="123"/>
        <v>0</v>
      </c>
      <c r="G99" s="22"/>
      <c r="H99" s="22"/>
      <c r="I99" s="22">
        <f t="shared" si="125"/>
        <v>0</v>
      </c>
      <c r="J99" s="22"/>
      <c r="K99" s="22"/>
      <c r="L99" s="22">
        <f t="shared" si="127"/>
        <v>1500</v>
      </c>
      <c r="M99" s="22">
        <v>1500</v>
      </c>
      <c r="N99" s="22"/>
      <c r="O99" s="22">
        <f t="shared" si="129"/>
        <v>0</v>
      </c>
      <c r="P99" s="22"/>
      <c r="Q99" s="22"/>
      <c r="R99" s="22">
        <f t="shared" si="131"/>
        <v>0</v>
      </c>
      <c r="S99" s="22"/>
      <c r="T99" s="22"/>
      <c r="U99" s="14"/>
      <c r="V99" s="5" t="str">
        <f t="shared" si="133"/>
        <v>ok</v>
      </c>
    </row>
    <row r="100" spans="1:22" ht="25.15" hidden="1" customHeight="1" x14ac:dyDescent="0.6">
      <c r="A100" s="30" t="s">
        <v>6</v>
      </c>
      <c r="B100" s="22"/>
      <c r="C100" s="22">
        <f t="shared" si="122"/>
        <v>0</v>
      </c>
      <c r="D100" s="22"/>
      <c r="E100" s="22"/>
      <c r="F100" s="22">
        <f t="shared" si="123"/>
        <v>0</v>
      </c>
      <c r="G100" s="22"/>
      <c r="H100" s="22"/>
      <c r="I100" s="22">
        <f t="shared" si="125"/>
        <v>0</v>
      </c>
      <c r="J100" s="22"/>
      <c r="K100" s="22"/>
      <c r="L100" s="22">
        <f t="shared" si="127"/>
        <v>0</v>
      </c>
      <c r="M100" s="22"/>
      <c r="N100" s="22"/>
      <c r="O100" s="22">
        <f t="shared" si="129"/>
        <v>0</v>
      </c>
      <c r="P100" s="22"/>
      <c r="Q100" s="22"/>
      <c r="R100" s="22">
        <f t="shared" si="131"/>
        <v>0</v>
      </c>
      <c r="S100" s="22"/>
      <c r="T100" s="22"/>
      <c r="U100" s="14"/>
      <c r="V100" s="5" t="str">
        <f t="shared" si="133"/>
        <v>-</v>
      </c>
    </row>
    <row r="101" spans="1:22" ht="25.15" hidden="1" customHeight="1" x14ac:dyDescent="0.6">
      <c r="A101" s="28" t="s">
        <v>4</v>
      </c>
      <c r="B101" s="26">
        <f>SUM(B102:B103)</f>
        <v>0</v>
      </c>
      <c r="C101" s="26">
        <f t="shared" si="122"/>
        <v>0</v>
      </c>
      <c r="D101" s="26">
        <f>SUM(D102:D103)</f>
        <v>0</v>
      </c>
      <c r="E101" s="26">
        <f>SUM(E102:E103)</f>
        <v>0</v>
      </c>
      <c r="F101" s="26">
        <f t="shared" si="123"/>
        <v>0</v>
      </c>
      <c r="G101" s="26">
        <f t="shared" ref="G101:H101" si="229">SUM(G102:G103)</f>
        <v>0</v>
      </c>
      <c r="H101" s="26">
        <f t="shared" si="229"/>
        <v>0</v>
      </c>
      <c r="I101" s="26">
        <f t="shared" si="125"/>
        <v>0</v>
      </c>
      <c r="J101" s="26">
        <f t="shared" ref="J101:K101" si="230">SUM(J102:J103)</f>
        <v>0</v>
      </c>
      <c r="K101" s="26">
        <f t="shared" si="230"/>
        <v>0</v>
      </c>
      <c r="L101" s="26">
        <f t="shared" si="127"/>
        <v>0</v>
      </c>
      <c r="M101" s="26">
        <f t="shared" ref="M101:N101" si="231">SUM(M102:M103)</f>
        <v>0</v>
      </c>
      <c r="N101" s="26">
        <f t="shared" si="231"/>
        <v>0</v>
      </c>
      <c r="O101" s="26">
        <f t="shared" si="129"/>
        <v>0</v>
      </c>
      <c r="P101" s="26">
        <f t="shared" ref="P101:Q101" si="232">SUM(P102:P103)</f>
        <v>0</v>
      </c>
      <c r="Q101" s="26">
        <f t="shared" si="232"/>
        <v>0</v>
      </c>
      <c r="R101" s="26">
        <f t="shared" si="131"/>
        <v>0</v>
      </c>
      <c r="S101" s="26">
        <f t="shared" ref="S101:T101" si="233">SUM(S102:S103)</f>
        <v>0</v>
      </c>
      <c r="T101" s="26">
        <f t="shared" si="233"/>
        <v>0</v>
      </c>
      <c r="U101" s="29"/>
      <c r="V101" s="5" t="str">
        <f t="shared" si="133"/>
        <v>-</v>
      </c>
    </row>
    <row r="102" spans="1:22" ht="25.15" hidden="1" customHeight="1" x14ac:dyDescent="0.6">
      <c r="A102" s="30" t="s">
        <v>7</v>
      </c>
      <c r="B102" s="22"/>
      <c r="C102" s="22">
        <f t="shared" si="122"/>
        <v>0</v>
      </c>
      <c r="D102" s="22"/>
      <c r="E102" s="22"/>
      <c r="F102" s="22">
        <f t="shared" si="123"/>
        <v>0</v>
      </c>
      <c r="G102" s="22"/>
      <c r="H102" s="22"/>
      <c r="I102" s="22">
        <f t="shared" si="125"/>
        <v>0</v>
      </c>
      <c r="J102" s="22"/>
      <c r="K102" s="22"/>
      <c r="L102" s="22">
        <f t="shared" si="127"/>
        <v>0</v>
      </c>
      <c r="M102" s="22"/>
      <c r="N102" s="22"/>
      <c r="O102" s="22">
        <f t="shared" si="129"/>
        <v>0</v>
      </c>
      <c r="P102" s="22"/>
      <c r="Q102" s="22"/>
      <c r="R102" s="22">
        <f t="shared" si="131"/>
        <v>0</v>
      </c>
      <c r="S102" s="22"/>
      <c r="T102" s="22"/>
      <c r="U102" s="14"/>
      <c r="V102" s="5" t="str">
        <f t="shared" si="133"/>
        <v>-</v>
      </c>
    </row>
    <row r="103" spans="1:22" ht="25.15" hidden="1" customHeight="1" x14ac:dyDescent="0.6">
      <c r="A103" s="30" t="s">
        <v>8</v>
      </c>
      <c r="B103" s="22"/>
      <c r="C103" s="22">
        <f t="shared" si="122"/>
        <v>0</v>
      </c>
      <c r="D103" s="22"/>
      <c r="E103" s="22"/>
      <c r="F103" s="22">
        <f t="shared" si="123"/>
        <v>0</v>
      </c>
      <c r="G103" s="22"/>
      <c r="H103" s="22"/>
      <c r="I103" s="22">
        <f t="shared" si="125"/>
        <v>0</v>
      </c>
      <c r="J103" s="22"/>
      <c r="K103" s="22"/>
      <c r="L103" s="22">
        <f t="shared" si="127"/>
        <v>0</v>
      </c>
      <c r="M103" s="22"/>
      <c r="N103" s="22"/>
      <c r="O103" s="22">
        <f t="shared" si="129"/>
        <v>0</v>
      </c>
      <c r="P103" s="22"/>
      <c r="Q103" s="22"/>
      <c r="R103" s="22">
        <f t="shared" si="131"/>
        <v>0</v>
      </c>
      <c r="S103" s="22"/>
      <c r="T103" s="22"/>
      <c r="U103" s="14"/>
      <c r="V103" s="5" t="str">
        <f t="shared" si="133"/>
        <v>-</v>
      </c>
    </row>
    <row r="104" spans="1:22" ht="25.15" customHeight="1" x14ac:dyDescent="0.6">
      <c r="A104" s="32" t="s">
        <v>49</v>
      </c>
      <c r="B104" s="33">
        <f>B105</f>
        <v>15350</v>
      </c>
      <c r="C104" s="33">
        <f>D104+E104</f>
        <v>20414.8</v>
      </c>
      <c r="D104" s="33">
        <f>D105+D152+D234</f>
        <v>1184.8</v>
      </c>
      <c r="E104" s="33">
        <f>E105+E152+E234</f>
        <v>19230</v>
      </c>
      <c r="F104" s="33">
        <f>G104+H104</f>
        <v>14690.5</v>
      </c>
      <c r="G104" s="33">
        <f>G105+G152+G234</f>
        <v>5703.2999999999993</v>
      </c>
      <c r="H104" s="33">
        <f>H105+H152+H234</f>
        <v>8987.2000000000007</v>
      </c>
      <c r="I104" s="33">
        <f>J104+K104</f>
        <v>0</v>
      </c>
      <c r="J104" s="33">
        <f>J105+J152+J234</f>
        <v>0</v>
      </c>
      <c r="K104" s="33">
        <f>K105+K152+K234</f>
        <v>0</v>
      </c>
      <c r="L104" s="33">
        <f>M104+N104</f>
        <v>53878.2</v>
      </c>
      <c r="M104" s="33">
        <f>M105+M152+M234</f>
        <v>45378.2</v>
      </c>
      <c r="N104" s="33">
        <f>N105+N152+N234</f>
        <v>8500</v>
      </c>
      <c r="O104" s="33">
        <f>P104+Q104</f>
        <v>0</v>
      </c>
      <c r="P104" s="33">
        <f>P105+P152+P234</f>
        <v>0</v>
      </c>
      <c r="Q104" s="33">
        <f>Q105+Q152+Q234</f>
        <v>0</v>
      </c>
      <c r="R104" s="33">
        <f>S104+T104</f>
        <v>0</v>
      </c>
      <c r="S104" s="33">
        <f>S105+S152+S234</f>
        <v>0</v>
      </c>
      <c r="T104" s="33">
        <f>T105+T152+T234</f>
        <v>0</v>
      </c>
      <c r="U104" s="34"/>
      <c r="V104" s="5" t="str">
        <f>IF((B104+C104+F104+L104+O104)&lt;&gt;0,"ok","-")</f>
        <v>ok</v>
      </c>
    </row>
    <row r="105" spans="1:22" ht="25.15" customHeight="1" x14ac:dyDescent="0.6">
      <c r="A105" s="17" t="s">
        <v>31</v>
      </c>
      <c r="B105" s="21">
        <f>B106</f>
        <v>15350</v>
      </c>
      <c r="C105" s="21">
        <f>D105+E105</f>
        <v>8444.4</v>
      </c>
      <c r="D105" s="21">
        <f>D106+D121+D137</f>
        <v>444.4</v>
      </c>
      <c r="E105" s="21">
        <f>E106+E121+E137</f>
        <v>8000</v>
      </c>
      <c r="F105" s="21">
        <f>G105+H105</f>
        <v>4962.8999999999996</v>
      </c>
      <c r="G105" s="21">
        <f>G106+G121+G137</f>
        <v>4962.8999999999996</v>
      </c>
      <c r="H105" s="21">
        <f>H106+H121+H137</f>
        <v>0</v>
      </c>
      <c r="I105" s="21">
        <f>J105+K105</f>
        <v>0</v>
      </c>
      <c r="J105" s="21">
        <f>J106+J121+J137</f>
        <v>0</v>
      </c>
      <c r="K105" s="21">
        <f>K106+K121+K137</f>
        <v>0</v>
      </c>
      <c r="L105" s="21">
        <f>M105+N105</f>
        <v>15252</v>
      </c>
      <c r="M105" s="21">
        <f>M106+M121+M137</f>
        <v>15252</v>
      </c>
      <c r="N105" s="21">
        <f>N106+N121+N137</f>
        <v>0</v>
      </c>
      <c r="O105" s="21">
        <f>P105+Q105</f>
        <v>0</v>
      </c>
      <c r="P105" s="21">
        <f>P106+P121+P137</f>
        <v>0</v>
      </c>
      <c r="Q105" s="21">
        <f>Q106+Q121+Q137</f>
        <v>0</v>
      </c>
      <c r="R105" s="21">
        <f>S105+T105</f>
        <v>0</v>
      </c>
      <c r="S105" s="21">
        <f>S106+S121+S137</f>
        <v>0</v>
      </c>
      <c r="T105" s="21">
        <f>T106+T121+T137</f>
        <v>0</v>
      </c>
      <c r="U105" s="19"/>
      <c r="V105" s="5" t="str">
        <f>IF((B105+C105+F105+L105+O105)&lt;&gt;0,"ok","-")</f>
        <v>ok</v>
      </c>
    </row>
    <row r="106" spans="1:22" ht="25.15" customHeight="1" x14ac:dyDescent="0.6">
      <c r="A106" s="18" t="s">
        <v>32</v>
      </c>
      <c r="B106" s="23">
        <f>B107+B114</f>
        <v>15350</v>
      </c>
      <c r="C106" s="23">
        <f t="shared" ref="C106:C151" si="234">D106+E106</f>
        <v>8000</v>
      </c>
      <c r="D106" s="23">
        <f>D107+D114</f>
        <v>0</v>
      </c>
      <c r="E106" s="23">
        <f>E107+E114</f>
        <v>8000</v>
      </c>
      <c r="F106" s="23">
        <f t="shared" ref="F106:F151" si="235">G106+H106</f>
        <v>4518.5</v>
      </c>
      <c r="G106" s="23">
        <f t="shared" ref="G106:H106" si="236">G107+G114</f>
        <v>4518.5</v>
      </c>
      <c r="H106" s="23">
        <f t="shared" si="236"/>
        <v>0</v>
      </c>
      <c r="I106" s="23">
        <f t="shared" ref="I106:I151" si="237">J106+K106</f>
        <v>0</v>
      </c>
      <c r="J106" s="23">
        <f t="shared" ref="J106:K106" si="238">J107+J114</f>
        <v>0</v>
      </c>
      <c r="K106" s="23">
        <f t="shared" si="238"/>
        <v>0</v>
      </c>
      <c r="L106" s="23">
        <f t="shared" ref="L106:L151" si="239">M106+N106</f>
        <v>7894</v>
      </c>
      <c r="M106" s="23">
        <f t="shared" ref="M106:N106" si="240">M107+M114</f>
        <v>7894</v>
      </c>
      <c r="N106" s="23">
        <f t="shared" si="240"/>
        <v>0</v>
      </c>
      <c r="O106" s="23">
        <f t="shared" ref="O106:O151" si="241">P106+Q106</f>
        <v>0</v>
      </c>
      <c r="P106" s="23">
        <f t="shared" ref="P106:Q106" si="242">P107+P114</f>
        <v>0</v>
      </c>
      <c r="Q106" s="23">
        <f t="shared" si="242"/>
        <v>0</v>
      </c>
      <c r="R106" s="23">
        <f t="shared" ref="R106:R151" si="243">S106+T106</f>
        <v>0</v>
      </c>
      <c r="S106" s="23">
        <f t="shared" ref="S106:T106" si="244">S107+S114</f>
        <v>0</v>
      </c>
      <c r="T106" s="23">
        <f t="shared" si="244"/>
        <v>0</v>
      </c>
      <c r="U106" s="20"/>
      <c r="V106" s="5" t="str">
        <f t="shared" ref="V106:V151" si="245">IF((B106+C106+F106+L106+O106)&lt;&gt;0,"ok","-")</f>
        <v>ok</v>
      </c>
    </row>
    <row r="107" spans="1:22" ht="25.15" customHeight="1" x14ac:dyDescent="0.6">
      <c r="A107" s="25" t="s">
        <v>2</v>
      </c>
      <c r="B107" s="26">
        <f>B108+B111</f>
        <v>11750</v>
      </c>
      <c r="C107" s="26">
        <f t="shared" si="234"/>
        <v>8000</v>
      </c>
      <c r="D107" s="26">
        <f>D108+D111</f>
        <v>0</v>
      </c>
      <c r="E107" s="26">
        <f>E108+E111</f>
        <v>8000</v>
      </c>
      <c r="F107" s="26">
        <f t="shared" si="235"/>
        <v>4518.5</v>
      </c>
      <c r="G107" s="26">
        <f t="shared" ref="G107:H107" si="246">G108+G111</f>
        <v>4518.5</v>
      </c>
      <c r="H107" s="26">
        <f t="shared" si="246"/>
        <v>0</v>
      </c>
      <c r="I107" s="26">
        <f t="shared" si="237"/>
        <v>0</v>
      </c>
      <c r="J107" s="26">
        <f t="shared" ref="J107:K107" si="247">J108+J111</f>
        <v>0</v>
      </c>
      <c r="K107" s="26">
        <f t="shared" si="247"/>
        <v>0</v>
      </c>
      <c r="L107" s="26">
        <f t="shared" si="239"/>
        <v>5650</v>
      </c>
      <c r="M107" s="26">
        <f t="shared" ref="M107:N107" si="248">M108+M111</f>
        <v>5650</v>
      </c>
      <c r="N107" s="26">
        <f t="shared" si="248"/>
        <v>0</v>
      </c>
      <c r="O107" s="26">
        <f t="shared" si="241"/>
        <v>0</v>
      </c>
      <c r="P107" s="26">
        <f t="shared" ref="P107:Q107" si="249">P108+P111</f>
        <v>0</v>
      </c>
      <c r="Q107" s="26">
        <f t="shared" si="249"/>
        <v>0</v>
      </c>
      <c r="R107" s="26">
        <f t="shared" si="243"/>
        <v>0</v>
      </c>
      <c r="S107" s="26">
        <f t="shared" ref="S107:T107" si="250">S108+S111</f>
        <v>0</v>
      </c>
      <c r="T107" s="26">
        <f t="shared" si="250"/>
        <v>0</v>
      </c>
      <c r="U107" s="27"/>
      <c r="V107" s="5" t="str">
        <f t="shared" si="245"/>
        <v>ok</v>
      </c>
    </row>
    <row r="108" spans="1:22" ht="25.15" customHeight="1" x14ac:dyDescent="0.6">
      <c r="A108" s="28" t="s">
        <v>3</v>
      </c>
      <c r="B108" s="26">
        <f>SUM(B109:B110)</f>
        <v>11750</v>
      </c>
      <c r="C108" s="26">
        <f t="shared" si="234"/>
        <v>8000</v>
      </c>
      <c r="D108" s="26">
        <f>SUM(D109:D110)</f>
        <v>0</v>
      </c>
      <c r="E108" s="26">
        <f>SUM(E109:E110)</f>
        <v>8000</v>
      </c>
      <c r="F108" s="26">
        <f t="shared" si="235"/>
        <v>4518.5</v>
      </c>
      <c r="G108" s="26">
        <f t="shared" ref="G108:H108" si="251">SUM(G109:G110)</f>
        <v>4518.5</v>
      </c>
      <c r="H108" s="26">
        <f t="shared" si="251"/>
        <v>0</v>
      </c>
      <c r="I108" s="26">
        <f t="shared" si="237"/>
        <v>0</v>
      </c>
      <c r="J108" s="26">
        <f t="shared" ref="J108:K108" si="252">SUM(J109:J110)</f>
        <v>0</v>
      </c>
      <c r="K108" s="26">
        <f t="shared" si="252"/>
        <v>0</v>
      </c>
      <c r="L108" s="26">
        <f t="shared" si="239"/>
        <v>5650</v>
      </c>
      <c r="M108" s="26">
        <f t="shared" ref="M108:N108" si="253">SUM(M109:M110)</f>
        <v>5650</v>
      </c>
      <c r="N108" s="26">
        <f t="shared" si="253"/>
        <v>0</v>
      </c>
      <c r="O108" s="26">
        <f t="shared" si="241"/>
        <v>0</v>
      </c>
      <c r="P108" s="26">
        <f t="shared" ref="P108:Q108" si="254">SUM(P109:P110)</f>
        <v>0</v>
      </c>
      <c r="Q108" s="26">
        <f t="shared" si="254"/>
        <v>0</v>
      </c>
      <c r="R108" s="26">
        <f t="shared" si="243"/>
        <v>0</v>
      </c>
      <c r="S108" s="26">
        <f t="shared" ref="S108:T108" si="255">SUM(S109:S110)</f>
        <v>0</v>
      </c>
      <c r="T108" s="26">
        <f t="shared" si="255"/>
        <v>0</v>
      </c>
      <c r="U108" s="29"/>
      <c r="V108" s="5" t="str">
        <f t="shared" si="245"/>
        <v>ok</v>
      </c>
    </row>
    <row r="109" spans="1:22" ht="50.5" x14ac:dyDescent="0.6">
      <c r="A109" s="30" t="s">
        <v>50</v>
      </c>
      <c r="B109" s="22">
        <v>10675</v>
      </c>
      <c r="C109" s="22">
        <f t="shared" si="234"/>
        <v>8000</v>
      </c>
      <c r="D109" s="22"/>
      <c r="E109" s="22">
        <v>8000</v>
      </c>
      <c r="F109" s="22">
        <f t="shared" si="235"/>
        <v>4518.5</v>
      </c>
      <c r="G109" s="22">
        <v>4518.5</v>
      </c>
      <c r="H109" s="22"/>
      <c r="I109" s="22">
        <f t="shared" si="237"/>
        <v>0</v>
      </c>
      <c r="J109" s="22"/>
      <c r="K109" s="22"/>
      <c r="L109" s="22">
        <f t="shared" si="239"/>
        <v>4575</v>
      </c>
      <c r="M109" s="22">
        <v>4575</v>
      </c>
      <c r="N109" s="22"/>
      <c r="O109" s="22">
        <f t="shared" si="241"/>
        <v>0</v>
      </c>
      <c r="P109" s="22"/>
      <c r="Q109" s="22"/>
      <c r="R109" s="22">
        <f t="shared" si="243"/>
        <v>0</v>
      </c>
      <c r="S109" s="22"/>
      <c r="T109" s="22"/>
      <c r="U109" s="14"/>
      <c r="V109" s="5" t="str">
        <f t="shared" si="245"/>
        <v>ok</v>
      </c>
    </row>
    <row r="110" spans="1:22" ht="25.5" customHeight="1" x14ac:dyDescent="0.6">
      <c r="A110" s="30" t="s">
        <v>62</v>
      </c>
      <c r="B110" s="22">
        <v>1075</v>
      </c>
      <c r="C110" s="22">
        <f t="shared" si="234"/>
        <v>0</v>
      </c>
      <c r="D110" s="22"/>
      <c r="E110" s="22"/>
      <c r="F110" s="22">
        <f t="shared" si="235"/>
        <v>0</v>
      </c>
      <c r="G110" s="22"/>
      <c r="H110" s="22"/>
      <c r="I110" s="22">
        <f t="shared" si="237"/>
        <v>0</v>
      </c>
      <c r="J110" s="22"/>
      <c r="K110" s="22"/>
      <c r="L110" s="22">
        <f t="shared" si="239"/>
        <v>1075</v>
      </c>
      <c r="M110" s="22">
        <v>1075</v>
      </c>
      <c r="N110" s="22"/>
      <c r="O110" s="22">
        <f t="shared" si="241"/>
        <v>0</v>
      </c>
      <c r="P110" s="22"/>
      <c r="Q110" s="22"/>
      <c r="R110" s="22">
        <f t="shared" si="243"/>
        <v>0</v>
      </c>
      <c r="S110" s="22"/>
      <c r="T110" s="22"/>
      <c r="U110" s="14"/>
      <c r="V110" s="5" t="str">
        <f t="shared" si="245"/>
        <v>ok</v>
      </c>
    </row>
    <row r="111" spans="1:22" ht="25.15" hidden="1" customHeight="1" x14ac:dyDescent="0.6">
      <c r="A111" s="28" t="s">
        <v>4</v>
      </c>
      <c r="B111" s="26">
        <f>SUM(B112:B113)</f>
        <v>0</v>
      </c>
      <c r="C111" s="26">
        <f t="shared" si="234"/>
        <v>0</v>
      </c>
      <c r="D111" s="26">
        <f>SUM(D112:D113)</f>
        <v>0</v>
      </c>
      <c r="E111" s="26">
        <f>SUM(E112:E113)</f>
        <v>0</v>
      </c>
      <c r="F111" s="26">
        <f t="shared" si="235"/>
        <v>0</v>
      </c>
      <c r="G111" s="26">
        <f t="shared" ref="G111:H111" si="256">SUM(G112:G113)</f>
        <v>0</v>
      </c>
      <c r="H111" s="26">
        <f t="shared" si="256"/>
        <v>0</v>
      </c>
      <c r="I111" s="26">
        <f t="shared" si="237"/>
        <v>0</v>
      </c>
      <c r="J111" s="26">
        <f t="shared" ref="J111:K111" si="257">SUM(J112:J113)</f>
        <v>0</v>
      </c>
      <c r="K111" s="26">
        <f t="shared" si="257"/>
        <v>0</v>
      </c>
      <c r="L111" s="26">
        <f t="shared" si="239"/>
        <v>0</v>
      </c>
      <c r="M111" s="26">
        <f t="shared" ref="M111:N111" si="258">SUM(M112:M113)</f>
        <v>0</v>
      </c>
      <c r="N111" s="26">
        <f t="shared" si="258"/>
        <v>0</v>
      </c>
      <c r="O111" s="26">
        <f t="shared" si="241"/>
        <v>0</v>
      </c>
      <c r="P111" s="26">
        <f t="shared" ref="P111:Q111" si="259">SUM(P112:P113)</f>
        <v>0</v>
      </c>
      <c r="Q111" s="26">
        <f t="shared" si="259"/>
        <v>0</v>
      </c>
      <c r="R111" s="26">
        <f t="shared" si="243"/>
        <v>0</v>
      </c>
      <c r="S111" s="26">
        <f t="shared" ref="S111:T111" si="260">SUM(S112:S113)</f>
        <v>0</v>
      </c>
      <c r="T111" s="26">
        <f t="shared" si="260"/>
        <v>0</v>
      </c>
      <c r="U111" s="29"/>
      <c r="V111" s="5" t="str">
        <f t="shared" si="245"/>
        <v>-</v>
      </c>
    </row>
    <row r="112" spans="1:22" ht="25.15" hidden="1" customHeight="1" x14ac:dyDescent="0.6">
      <c r="A112" s="30" t="s">
        <v>7</v>
      </c>
      <c r="B112" s="22"/>
      <c r="C112" s="22">
        <f t="shared" si="234"/>
        <v>0</v>
      </c>
      <c r="D112" s="22"/>
      <c r="E112" s="22"/>
      <c r="F112" s="22">
        <f t="shared" si="235"/>
        <v>0</v>
      </c>
      <c r="G112" s="22"/>
      <c r="H112" s="22"/>
      <c r="I112" s="22">
        <f t="shared" si="237"/>
        <v>0</v>
      </c>
      <c r="J112" s="22"/>
      <c r="K112" s="22"/>
      <c r="L112" s="22">
        <f t="shared" si="239"/>
        <v>0</v>
      </c>
      <c r="M112" s="22"/>
      <c r="N112" s="22"/>
      <c r="O112" s="22">
        <f t="shared" si="241"/>
        <v>0</v>
      </c>
      <c r="P112" s="22"/>
      <c r="Q112" s="22"/>
      <c r="R112" s="22">
        <f t="shared" si="243"/>
        <v>0</v>
      </c>
      <c r="S112" s="22"/>
      <c r="T112" s="22"/>
      <c r="U112" s="14"/>
      <c r="V112" s="5" t="str">
        <f t="shared" si="245"/>
        <v>-</v>
      </c>
    </row>
    <row r="113" spans="1:24" ht="25.15" hidden="1" customHeight="1" x14ac:dyDescent="0.6">
      <c r="A113" s="30" t="s">
        <v>8</v>
      </c>
      <c r="B113" s="22"/>
      <c r="C113" s="22">
        <f t="shared" si="234"/>
        <v>0</v>
      </c>
      <c r="D113" s="22"/>
      <c r="E113" s="22"/>
      <c r="F113" s="22">
        <f t="shared" si="235"/>
        <v>0</v>
      </c>
      <c r="G113" s="22"/>
      <c r="H113" s="22"/>
      <c r="I113" s="22">
        <f t="shared" si="237"/>
        <v>0</v>
      </c>
      <c r="J113" s="22"/>
      <c r="K113" s="22"/>
      <c r="L113" s="22">
        <f t="shared" si="239"/>
        <v>0</v>
      </c>
      <c r="M113" s="22"/>
      <c r="N113" s="22"/>
      <c r="O113" s="22">
        <f t="shared" si="241"/>
        <v>0</v>
      </c>
      <c r="P113" s="22"/>
      <c r="Q113" s="22"/>
      <c r="R113" s="22">
        <f t="shared" si="243"/>
        <v>0</v>
      </c>
      <c r="S113" s="22"/>
      <c r="T113" s="22"/>
      <c r="U113" s="14"/>
      <c r="V113" s="5" t="str">
        <f t="shared" si="245"/>
        <v>-</v>
      </c>
    </row>
    <row r="114" spans="1:24" ht="25.15" customHeight="1" x14ac:dyDescent="0.6">
      <c r="A114" s="25" t="s">
        <v>9</v>
      </c>
      <c r="B114" s="26">
        <f>B115+B118</f>
        <v>3600</v>
      </c>
      <c r="C114" s="26">
        <f t="shared" si="234"/>
        <v>0</v>
      </c>
      <c r="D114" s="26">
        <f>D115+D118</f>
        <v>0</v>
      </c>
      <c r="E114" s="26">
        <f>E115+E118</f>
        <v>0</v>
      </c>
      <c r="F114" s="26">
        <f t="shared" si="235"/>
        <v>0</v>
      </c>
      <c r="G114" s="26">
        <f t="shared" ref="G114:H114" si="261">G115+G118</f>
        <v>0</v>
      </c>
      <c r="H114" s="26">
        <f t="shared" si="261"/>
        <v>0</v>
      </c>
      <c r="I114" s="26">
        <f t="shared" si="237"/>
        <v>0</v>
      </c>
      <c r="J114" s="26">
        <f t="shared" ref="J114:K114" si="262">J115+J118</f>
        <v>0</v>
      </c>
      <c r="K114" s="26">
        <f t="shared" si="262"/>
        <v>0</v>
      </c>
      <c r="L114" s="26">
        <f t="shared" si="239"/>
        <v>2244</v>
      </c>
      <c r="M114" s="26">
        <f t="shared" ref="M114:N114" si="263">M115+M118</f>
        <v>2244</v>
      </c>
      <c r="N114" s="26">
        <f t="shared" si="263"/>
        <v>0</v>
      </c>
      <c r="O114" s="26">
        <f t="shared" si="241"/>
        <v>0</v>
      </c>
      <c r="P114" s="26">
        <f t="shared" ref="P114:Q114" si="264">P115+P118</f>
        <v>0</v>
      </c>
      <c r="Q114" s="26">
        <f t="shared" si="264"/>
        <v>0</v>
      </c>
      <c r="R114" s="26">
        <f t="shared" si="243"/>
        <v>0</v>
      </c>
      <c r="S114" s="26">
        <f t="shared" ref="S114:T114" si="265">S115+S118</f>
        <v>0</v>
      </c>
      <c r="T114" s="26">
        <f t="shared" si="265"/>
        <v>0</v>
      </c>
      <c r="U114" s="27"/>
      <c r="V114" s="5" t="str">
        <f t="shared" si="245"/>
        <v>ok</v>
      </c>
    </row>
    <row r="115" spans="1:24" ht="25.15" customHeight="1" x14ac:dyDescent="0.6">
      <c r="A115" s="28" t="s">
        <v>3</v>
      </c>
      <c r="B115" s="26">
        <f>SUM(B116:B117)</f>
        <v>3600</v>
      </c>
      <c r="C115" s="26">
        <f t="shared" si="234"/>
        <v>0</v>
      </c>
      <c r="D115" s="26">
        <f>SUM(D116:D117)</f>
        <v>0</v>
      </c>
      <c r="E115" s="26">
        <f>SUM(E116:E117)</f>
        <v>0</v>
      </c>
      <c r="F115" s="26">
        <f t="shared" si="235"/>
        <v>0</v>
      </c>
      <c r="G115" s="26">
        <f t="shared" ref="G115:H115" si="266">SUM(G116:G117)</f>
        <v>0</v>
      </c>
      <c r="H115" s="26">
        <f t="shared" si="266"/>
        <v>0</v>
      </c>
      <c r="I115" s="26">
        <f t="shared" si="237"/>
        <v>0</v>
      </c>
      <c r="J115" s="26">
        <f t="shared" ref="J115:K115" si="267">SUM(J116:J117)</f>
        <v>0</v>
      </c>
      <c r="K115" s="26">
        <f t="shared" si="267"/>
        <v>0</v>
      </c>
      <c r="L115" s="26">
        <f t="shared" si="239"/>
        <v>2244</v>
      </c>
      <c r="M115" s="26">
        <f t="shared" ref="M115:N115" si="268">SUM(M116:M117)</f>
        <v>2244</v>
      </c>
      <c r="N115" s="26">
        <f t="shared" si="268"/>
        <v>0</v>
      </c>
      <c r="O115" s="26">
        <f t="shared" si="241"/>
        <v>0</v>
      </c>
      <c r="P115" s="26">
        <f t="shared" ref="P115:Q115" si="269">SUM(P116:P117)</f>
        <v>0</v>
      </c>
      <c r="Q115" s="26">
        <f t="shared" si="269"/>
        <v>0</v>
      </c>
      <c r="R115" s="26">
        <f t="shared" si="243"/>
        <v>0</v>
      </c>
      <c r="S115" s="26">
        <f t="shared" ref="S115:T115" si="270">SUM(S116:S117)</f>
        <v>0</v>
      </c>
      <c r="T115" s="26">
        <f t="shared" si="270"/>
        <v>0</v>
      </c>
      <c r="U115" s="29"/>
      <c r="V115" s="5" t="str">
        <f t="shared" si="245"/>
        <v>ok</v>
      </c>
    </row>
    <row r="116" spans="1:24" ht="75.75" x14ac:dyDescent="0.6">
      <c r="A116" s="30" t="s">
        <v>81</v>
      </c>
      <c r="B116" s="22">
        <v>3600</v>
      </c>
      <c r="C116" s="22">
        <f t="shared" si="234"/>
        <v>0</v>
      </c>
      <c r="D116" s="22"/>
      <c r="E116" s="22"/>
      <c r="F116" s="22">
        <f t="shared" si="235"/>
        <v>0</v>
      </c>
      <c r="G116" s="22"/>
      <c r="H116" s="22"/>
      <c r="I116" s="22">
        <f t="shared" si="237"/>
        <v>0</v>
      </c>
      <c r="J116" s="22"/>
      <c r="K116" s="22"/>
      <c r="L116" s="22">
        <f t="shared" si="239"/>
        <v>2244</v>
      </c>
      <c r="M116" s="22">
        <v>2244</v>
      </c>
      <c r="N116" s="22"/>
      <c r="O116" s="22">
        <f t="shared" si="241"/>
        <v>0</v>
      </c>
      <c r="P116" s="22"/>
      <c r="Q116" s="22"/>
      <c r="R116" s="22">
        <f t="shared" si="243"/>
        <v>0</v>
      </c>
      <c r="S116" s="22"/>
      <c r="T116" s="22"/>
      <c r="U116" s="14"/>
      <c r="V116" s="5" t="str">
        <f t="shared" si="245"/>
        <v>ok</v>
      </c>
      <c r="X116" s="39"/>
    </row>
    <row r="117" spans="1:24" ht="25.15" hidden="1" customHeight="1" x14ac:dyDescent="0.6">
      <c r="A117" s="30" t="s">
        <v>6</v>
      </c>
      <c r="B117" s="22"/>
      <c r="C117" s="22">
        <f t="shared" si="234"/>
        <v>0</v>
      </c>
      <c r="D117" s="22"/>
      <c r="E117" s="22"/>
      <c r="F117" s="22">
        <f t="shared" si="235"/>
        <v>0</v>
      </c>
      <c r="G117" s="22"/>
      <c r="H117" s="22"/>
      <c r="I117" s="22">
        <f t="shared" si="237"/>
        <v>0</v>
      </c>
      <c r="J117" s="22"/>
      <c r="K117" s="22"/>
      <c r="L117" s="22">
        <f t="shared" si="239"/>
        <v>0</v>
      </c>
      <c r="M117" s="22"/>
      <c r="N117" s="22"/>
      <c r="O117" s="22">
        <f t="shared" si="241"/>
        <v>0</v>
      </c>
      <c r="P117" s="22"/>
      <c r="Q117" s="22"/>
      <c r="R117" s="22">
        <f t="shared" si="243"/>
        <v>0</v>
      </c>
      <c r="S117" s="22"/>
      <c r="T117" s="22"/>
      <c r="U117" s="14"/>
      <c r="V117" s="5" t="str">
        <f t="shared" si="245"/>
        <v>-</v>
      </c>
    </row>
    <row r="118" spans="1:24" ht="25.15" hidden="1" customHeight="1" x14ac:dyDescent="0.6">
      <c r="A118" s="28" t="s">
        <v>4</v>
      </c>
      <c r="B118" s="26">
        <f>SUM(B119:B120)</f>
        <v>0</v>
      </c>
      <c r="C118" s="26">
        <f t="shared" si="234"/>
        <v>0</v>
      </c>
      <c r="D118" s="26">
        <f>SUM(D119:D120)</f>
        <v>0</v>
      </c>
      <c r="E118" s="26">
        <f>SUM(E119:E120)</f>
        <v>0</v>
      </c>
      <c r="F118" s="26">
        <f t="shared" si="235"/>
        <v>0</v>
      </c>
      <c r="G118" s="26">
        <f t="shared" ref="G118:H118" si="271">SUM(G119:G120)</f>
        <v>0</v>
      </c>
      <c r="H118" s="26">
        <f t="shared" si="271"/>
        <v>0</v>
      </c>
      <c r="I118" s="26">
        <f t="shared" si="237"/>
        <v>0</v>
      </c>
      <c r="J118" s="26">
        <f t="shared" ref="J118:K118" si="272">SUM(J119:J120)</f>
        <v>0</v>
      </c>
      <c r="K118" s="26">
        <f t="shared" si="272"/>
        <v>0</v>
      </c>
      <c r="L118" s="26">
        <f t="shared" si="239"/>
        <v>0</v>
      </c>
      <c r="M118" s="26">
        <f t="shared" ref="M118:N118" si="273">SUM(M119:M120)</f>
        <v>0</v>
      </c>
      <c r="N118" s="26">
        <f t="shared" si="273"/>
        <v>0</v>
      </c>
      <c r="O118" s="26">
        <f t="shared" si="241"/>
        <v>0</v>
      </c>
      <c r="P118" s="26">
        <f t="shared" ref="P118:Q118" si="274">SUM(P119:P120)</f>
        <v>0</v>
      </c>
      <c r="Q118" s="26">
        <f t="shared" si="274"/>
        <v>0</v>
      </c>
      <c r="R118" s="26">
        <f t="shared" si="243"/>
        <v>0</v>
      </c>
      <c r="S118" s="26">
        <f t="shared" ref="S118:T118" si="275">SUM(S119:S120)</f>
        <v>0</v>
      </c>
      <c r="T118" s="26">
        <f t="shared" si="275"/>
        <v>0</v>
      </c>
      <c r="U118" s="29"/>
      <c r="V118" s="5" t="str">
        <f t="shared" si="245"/>
        <v>-</v>
      </c>
    </row>
    <row r="119" spans="1:24" ht="25.15" hidden="1" customHeight="1" x14ac:dyDescent="0.6">
      <c r="A119" s="30" t="s">
        <v>7</v>
      </c>
      <c r="B119" s="22"/>
      <c r="C119" s="22">
        <f t="shared" si="234"/>
        <v>0</v>
      </c>
      <c r="D119" s="22"/>
      <c r="E119" s="22"/>
      <c r="F119" s="22">
        <f t="shared" si="235"/>
        <v>0</v>
      </c>
      <c r="G119" s="22"/>
      <c r="H119" s="22"/>
      <c r="I119" s="22">
        <f t="shared" si="237"/>
        <v>0</v>
      </c>
      <c r="J119" s="22"/>
      <c r="K119" s="22"/>
      <c r="L119" s="22">
        <f t="shared" si="239"/>
        <v>0</v>
      </c>
      <c r="M119" s="22"/>
      <c r="N119" s="22"/>
      <c r="O119" s="22">
        <f t="shared" si="241"/>
        <v>0</v>
      </c>
      <c r="P119" s="22"/>
      <c r="Q119" s="22"/>
      <c r="R119" s="22">
        <f t="shared" si="243"/>
        <v>0</v>
      </c>
      <c r="S119" s="22"/>
      <c r="T119" s="22"/>
      <c r="U119" s="14"/>
      <c r="V119" s="5" t="str">
        <f t="shared" si="245"/>
        <v>-</v>
      </c>
    </row>
    <row r="120" spans="1:24" ht="25.15" hidden="1" customHeight="1" x14ac:dyDescent="0.6">
      <c r="A120" s="30" t="s">
        <v>8</v>
      </c>
      <c r="B120" s="22"/>
      <c r="C120" s="22">
        <f t="shared" si="234"/>
        <v>0</v>
      </c>
      <c r="D120" s="22"/>
      <c r="E120" s="22"/>
      <c r="F120" s="22">
        <f t="shared" si="235"/>
        <v>0</v>
      </c>
      <c r="G120" s="22"/>
      <c r="H120" s="22"/>
      <c r="I120" s="22">
        <f t="shared" si="237"/>
        <v>0</v>
      </c>
      <c r="J120" s="22"/>
      <c r="K120" s="22"/>
      <c r="L120" s="22">
        <f t="shared" si="239"/>
        <v>0</v>
      </c>
      <c r="M120" s="22"/>
      <c r="N120" s="22"/>
      <c r="O120" s="22">
        <f t="shared" si="241"/>
        <v>0</v>
      </c>
      <c r="P120" s="22"/>
      <c r="Q120" s="22"/>
      <c r="R120" s="22">
        <f t="shared" si="243"/>
        <v>0</v>
      </c>
      <c r="S120" s="22"/>
      <c r="T120" s="22"/>
      <c r="U120" s="14"/>
      <c r="V120" s="5" t="str">
        <f t="shared" si="245"/>
        <v>-</v>
      </c>
    </row>
    <row r="121" spans="1:24" ht="25.15" customHeight="1" x14ac:dyDescent="0.6">
      <c r="A121" s="18" t="s">
        <v>33</v>
      </c>
      <c r="B121" s="23">
        <f>B122+B129</f>
        <v>16987.600000000002</v>
      </c>
      <c r="C121" s="23">
        <f t="shared" si="234"/>
        <v>444.4</v>
      </c>
      <c r="D121" s="23">
        <f>D122+D129</f>
        <v>444.4</v>
      </c>
      <c r="E121" s="23">
        <f>E122+E129</f>
        <v>0</v>
      </c>
      <c r="F121" s="23">
        <f t="shared" si="235"/>
        <v>444.4</v>
      </c>
      <c r="G121" s="23">
        <f t="shared" ref="G121:H121" si="276">G122+G129</f>
        <v>444.4</v>
      </c>
      <c r="H121" s="23">
        <f t="shared" si="276"/>
        <v>0</v>
      </c>
      <c r="I121" s="23">
        <f t="shared" si="237"/>
        <v>0</v>
      </c>
      <c r="J121" s="23">
        <f t="shared" ref="J121:K121" si="277">J122+J129</f>
        <v>0</v>
      </c>
      <c r="K121" s="23">
        <f t="shared" si="277"/>
        <v>0</v>
      </c>
      <c r="L121" s="23">
        <f t="shared" si="239"/>
        <v>7358</v>
      </c>
      <c r="M121" s="23">
        <f t="shared" ref="M121:N121" si="278">M122+M129</f>
        <v>7358</v>
      </c>
      <c r="N121" s="23">
        <f t="shared" si="278"/>
        <v>0</v>
      </c>
      <c r="O121" s="23">
        <f t="shared" si="241"/>
        <v>0</v>
      </c>
      <c r="P121" s="23">
        <f t="shared" ref="P121:Q121" si="279">P122+P129</f>
        <v>0</v>
      </c>
      <c r="Q121" s="23">
        <f t="shared" si="279"/>
        <v>0</v>
      </c>
      <c r="R121" s="23">
        <f t="shared" si="243"/>
        <v>0</v>
      </c>
      <c r="S121" s="23">
        <f t="shared" ref="S121:T121" si="280">S122+S129</f>
        <v>0</v>
      </c>
      <c r="T121" s="23">
        <f t="shared" si="280"/>
        <v>0</v>
      </c>
      <c r="U121" s="20"/>
      <c r="V121" s="5" t="str">
        <f t="shared" si="245"/>
        <v>ok</v>
      </c>
    </row>
    <row r="122" spans="1:24" ht="25.15" customHeight="1" x14ac:dyDescent="0.6">
      <c r="A122" s="25" t="s">
        <v>2</v>
      </c>
      <c r="B122" s="26">
        <f>B123+B126</f>
        <v>444.4</v>
      </c>
      <c r="C122" s="26">
        <f t="shared" si="234"/>
        <v>444.4</v>
      </c>
      <c r="D122" s="26">
        <f>D123+D126</f>
        <v>444.4</v>
      </c>
      <c r="E122" s="26">
        <f>E123+E126</f>
        <v>0</v>
      </c>
      <c r="F122" s="26">
        <f t="shared" si="235"/>
        <v>444.4</v>
      </c>
      <c r="G122" s="26">
        <f t="shared" ref="G122:H122" si="281">G123+G126</f>
        <v>444.4</v>
      </c>
      <c r="H122" s="26">
        <f t="shared" si="281"/>
        <v>0</v>
      </c>
      <c r="I122" s="26">
        <f t="shared" si="237"/>
        <v>0</v>
      </c>
      <c r="J122" s="26">
        <f t="shared" ref="J122:K122" si="282">J123+J126</f>
        <v>0</v>
      </c>
      <c r="K122" s="26">
        <f t="shared" si="282"/>
        <v>0</v>
      </c>
      <c r="L122" s="26">
        <f t="shared" si="239"/>
        <v>0</v>
      </c>
      <c r="M122" s="26">
        <f t="shared" ref="M122:N122" si="283">M123+M126</f>
        <v>0</v>
      </c>
      <c r="N122" s="26">
        <f t="shared" si="283"/>
        <v>0</v>
      </c>
      <c r="O122" s="26">
        <f t="shared" si="241"/>
        <v>0</v>
      </c>
      <c r="P122" s="26">
        <f t="shared" ref="P122:Q122" si="284">P123+P126</f>
        <v>0</v>
      </c>
      <c r="Q122" s="26">
        <f t="shared" si="284"/>
        <v>0</v>
      </c>
      <c r="R122" s="26">
        <f t="shared" si="243"/>
        <v>0</v>
      </c>
      <c r="S122" s="26">
        <f t="shared" ref="S122:T122" si="285">S123+S126</f>
        <v>0</v>
      </c>
      <c r="T122" s="26">
        <f t="shared" si="285"/>
        <v>0</v>
      </c>
      <c r="U122" s="27"/>
      <c r="V122" s="5" t="str">
        <f t="shared" si="245"/>
        <v>ok</v>
      </c>
    </row>
    <row r="123" spans="1:24" ht="25.15" customHeight="1" x14ac:dyDescent="0.6">
      <c r="A123" s="28" t="s">
        <v>3</v>
      </c>
      <c r="B123" s="26">
        <f>SUM(B124:B125)</f>
        <v>444.4</v>
      </c>
      <c r="C123" s="26">
        <f t="shared" si="234"/>
        <v>444.4</v>
      </c>
      <c r="D123" s="26">
        <f>SUM(D124:D125)</f>
        <v>444.4</v>
      </c>
      <c r="E123" s="26">
        <f>SUM(E124:E125)</f>
        <v>0</v>
      </c>
      <c r="F123" s="26">
        <f t="shared" si="235"/>
        <v>444.4</v>
      </c>
      <c r="G123" s="26">
        <f t="shared" ref="G123:H123" si="286">SUM(G124:G125)</f>
        <v>444.4</v>
      </c>
      <c r="H123" s="26">
        <f t="shared" si="286"/>
        <v>0</v>
      </c>
      <c r="I123" s="26">
        <f t="shared" si="237"/>
        <v>0</v>
      </c>
      <c r="J123" s="26">
        <f t="shared" ref="J123:K123" si="287">SUM(J124:J125)</f>
        <v>0</v>
      </c>
      <c r="K123" s="26">
        <f t="shared" si="287"/>
        <v>0</v>
      </c>
      <c r="L123" s="26">
        <f t="shared" si="239"/>
        <v>0</v>
      </c>
      <c r="M123" s="26">
        <f t="shared" ref="M123:N123" si="288">SUM(M124:M125)</f>
        <v>0</v>
      </c>
      <c r="N123" s="26">
        <f t="shared" si="288"/>
        <v>0</v>
      </c>
      <c r="O123" s="26">
        <f t="shared" si="241"/>
        <v>0</v>
      </c>
      <c r="P123" s="26">
        <f t="shared" ref="P123:Q123" si="289">SUM(P124:P125)</f>
        <v>0</v>
      </c>
      <c r="Q123" s="26">
        <f t="shared" si="289"/>
        <v>0</v>
      </c>
      <c r="R123" s="26">
        <f t="shared" si="243"/>
        <v>0</v>
      </c>
      <c r="S123" s="26">
        <f t="shared" ref="S123:T123" si="290">SUM(S124:S125)</f>
        <v>0</v>
      </c>
      <c r="T123" s="26">
        <f t="shared" si="290"/>
        <v>0</v>
      </c>
      <c r="U123" s="29"/>
      <c r="V123" s="5" t="str">
        <f t="shared" si="245"/>
        <v>ok</v>
      </c>
    </row>
    <row r="124" spans="1:24" ht="50.5" x14ac:dyDescent="0.6">
      <c r="A124" s="30" t="s">
        <v>60</v>
      </c>
      <c r="B124" s="22">
        <v>444.4</v>
      </c>
      <c r="C124" s="22">
        <f t="shared" si="234"/>
        <v>444.4</v>
      </c>
      <c r="D124" s="22">
        <v>444.4</v>
      </c>
      <c r="E124" s="22"/>
      <c r="F124" s="22">
        <f t="shared" si="235"/>
        <v>444.4</v>
      </c>
      <c r="G124" s="22">
        <v>444.4</v>
      </c>
      <c r="H124" s="22"/>
      <c r="I124" s="22">
        <f t="shared" si="237"/>
        <v>0</v>
      </c>
      <c r="J124" s="22"/>
      <c r="K124" s="22"/>
      <c r="L124" s="22">
        <f t="shared" si="239"/>
        <v>0</v>
      </c>
      <c r="M124" s="22"/>
      <c r="N124" s="22"/>
      <c r="O124" s="22">
        <f t="shared" si="241"/>
        <v>0</v>
      </c>
      <c r="P124" s="22"/>
      <c r="Q124" s="22"/>
      <c r="R124" s="22">
        <f t="shared" si="243"/>
        <v>0</v>
      </c>
      <c r="S124" s="22"/>
      <c r="T124" s="22"/>
      <c r="U124" s="14"/>
      <c r="V124" s="5" t="str">
        <f t="shared" si="245"/>
        <v>ok</v>
      </c>
    </row>
    <row r="125" spans="1:24" ht="25.5" hidden="1" customHeight="1" x14ac:dyDescent="0.6">
      <c r="A125" s="30" t="s">
        <v>6</v>
      </c>
      <c r="B125" s="22"/>
      <c r="C125" s="22">
        <f t="shared" si="234"/>
        <v>0</v>
      </c>
      <c r="D125" s="22"/>
      <c r="E125" s="22"/>
      <c r="F125" s="22">
        <f t="shared" si="235"/>
        <v>0</v>
      </c>
      <c r="G125" s="22"/>
      <c r="H125" s="22"/>
      <c r="I125" s="22">
        <f t="shared" si="237"/>
        <v>0</v>
      </c>
      <c r="J125" s="22"/>
      <c r="K125" s="22"/>
      <c r="L125" s="22">
        <f t="shared" si="239"/>
        <v>0</v>
      </c>
      <c r="M125" s="22"/>
      <c r="N125" s="22"/>
      <c r="O125" s="22">
        <f t="shared" si="241"/>
        <v>0</v>
      </c>
      <c r="P125" s="22"/>
      <c r="Q125" s="22"/>
      <c r="R125" s="22">
        <f t="shared" si="243"/>
        <v>0</v>
      </c>
      <c r="S125" s="22"/>
      <c r="T125" s="22"/>
      <c r="U125" s="14"/>
      <c r="V125" s="5" t="str">
        <f t="shared" si="245"/>
        <v>-</v>
      </c>
    </row>
    <row r="126" spans="1:24" ht="25.15" hidden="1" customHeight="1" x14ac:dyDescent="0.6">
      <c r="A126" s="28" t="s">
        <v>4</v>
      </c>
      <c r="B126" s="26">
        <f>SUM(B127:B128)</f>
        <v>0</v>
      </c>
      <c r="C126" s="26">
        <f t="shared" si="234"/>
        <v>0</v>
      </c>
      <c r="D126" s="26">
        <f>SUM(D127:D128)</f>
        <v>0</v>
      </c>
      <c r="E126" s="26">
        <f>SUM(E127:E128)</f>
        <v>0</v>
      </c>
      <c r="F126" s="26">
        <f t="shared" si="235"/>
        <v>0</v>
      </c>
      <c r="G126" s="26">
        <f t="shared" ref="G126:H126" si="291">SUM(G127:G128)</f>
        <v>0</v>
      </c>
      <c r="H126" s="26">
        <f t="shared" si="291"/>
        <v>0</v>
      </c>
      <c r="I126" s="26">
        <f t="shared" si="237"/>
        <v>0</v>
      </c>
      <c r="J126" s="26">
        <f t="shared" ref="J126:K126" si="292">SUM(J127:J128)</f>
        <v>0</v>
      </c>
      <c r="K126" s="26">
        <f t="shared" si="292"/>
        <v>0</v>
      </c>
      <c r="L126" s="26">
        <f t="shared" si="239"/>
        <v>0</v>
      </c>
      <c r="M126" s="26">
        <f t="shared" ref="M126:N126" si="293">SUM(M127:M128)</f>
        <v>0</v>
      </c>
      <c r="N126" s="26">
        <f t="shared" si="293"/>
        <v>0</v>
      </c>
      <c r="O126" s="26">
        <f t="shared" si="241"/>
        <v>0</v>
      </c>
      <c r="P126" s="26">
        <f t="shared" ref="P126:Q126" si="294">SUM(P127:P128)</f>
        <v>0</v>
      </c>
      <c r="Q126" s="26">
        <f t="shared" si="294"/>
        <v>0</v>
      </c>
      <c r="R126" s="26">
        <f t="shared" si="243"/>
        <v>0</v>
      </c>
      <c r="S126" s="26">
        <f t="shared" ref="S126:T126" si="295">SUM(S127:S128)</f>
        <v>0</v>
      </c>
      <c r="T126" s="26">
        <f t="shared" si="295"/>
        <v>0</v>
      </c>
      <c r="U126" s="29"/>
      <c r="V126" s="5" t="str">
        <f t="shared" si="245"/>
        <v>-</v>
      </c>
    </row>
    <row r="127" spans="1:24" ht="25.15" hidden="1" customHeight="1" x14ac:dyDescent="0.6">
      <c r="A127" s="30" t="s">
        <v>7</v>
      </c>
      <c r="B127" s="22"/>
      <c r="C127" s="22">
        <f t="shared" si="234"/>
        <v>0</v>
      </c>
      <c r="D127" s="22"/>
      <c r="E127" s="22"/>
      <c r="F127" s="22">
        <f t="shared" si="235"/>
        <v>0</v>
      </c>
      <c r="G127" s="22"/>
      <c r="H127" s="22"/>
      <c r="I127" s="22">
        <f t="shared" si="237"/>
        <v>0</v>
      </c>
      <c r="J127" s="22"/>
      <c r="K127" s="22"/>
      <c r="L127" s="22">
        <f t="shared" si="239"/>
        <v>0</v>
      </c>
      <c r="M127" s="22"/>
      <c r="N127" s="22"/>
      <c r="O127" s="22">
        <f t="shared" si="241"/>
        <v>0</v>
      </c>
      <c r="P127" s="22"/>
      <c r="Q127" s="22"/>
      <c r="R127" s="22">
        <f t="shared" si="243"/>
        <v>0</v>
      </c>
      <c r="S127" s="22"/>
      <c r="T127" s="22"/>
      <c r="U127" s="14"/>
      <c r="V127" s="5" t="str">
        <f t="shared" si="245"/>
        <v>-</v>
      </c>
    </row>
    <row r="128" spans="1:24" ht="25.15" hidden="1" customHeight="1" x14ac:dyDescent="0.6">
      <c r="A128" s="30" t="s">
        <v>8</v>
      </c>
      <c r="B128" s="22"/>
      <c r="C128" s="22">
        <f t="shared" si="234"/>
        <v>0</v>
      </c>
      <c r="D128" s="22"/>
      <c r="E128" s="22"/>
      <c r="F128" s="22">
        <f t="shared" si="235"/>
        <v>0</v>
      </c>
      <c r="G128" s="22"/>
      <c r="H128" s="22"/>
      <c r="I128" s="22">
        <f t="shared" si="237"/>
        <v>0</v>
      </c>
      <c r="J128" s="22"/>
      <c r="K128" s="22"/>
      <c r="L128" s="22">
        <f t="shared" si="239"/>
        <v>0</v>
      </c>
      <c r="M128" s="22"/>
      <c r="N128" s="22"/>
      <c r="O128" s="22">
        <f t="shared" si="241"/>
        <v>0</v>
      </c>
      <c r="P128" s="22"/>
      <c r="Q128" s="22"/>
      <c r="R128" s="22">
        <f t="shared" si="243"/>
        <v>0</v>
      </c>
      <c r="S128" s="22"/>
      <c r="T128" s="22"/>
      <c r="U128" s="14"/>
      <c r="V128" s="5" t="str">
        <f t="shared" si="245"/>
        <v>-</v>
      </c>
    </row>
    <row r="129" spans="1:22" ht="25.15" customHeight="1" x14ac:dyDescent="0.6">
      <c r="A129" s="25" t="s">
        <v>9</v>
      </c>
      <c r="B129" s="26">
        <f>B130+B134</f>
        <v>16543.2</v>
      </c>
      <c r="C129" s="26">
        <f t="shared" si="234"/>
        <v>0</v>
      </c>
      <c r="D129" s="26">
        <f>D130+D134</f>
        <v>0</v>
      </c>
      <c r="E129" s="26">
        <f>E130+E134</f>
        <v>0</v>
      </c>
      <c r="F129" s="26">
        <f t="shared" si="235"/>
        <v>0</v>
      </c>
      <c r="G129" s="26">
        <f t="shared" ref="G129:H129" si="296">G130+G134</f>
        <v>0</v>
      </c>
      <c r="H129" s="26">
        <f t="shared" si="296"/>
        <v>0</v>
      </c>
      <c r="I129" s="26">
        <f t="shared" si="237"/>
        <v>0</v>
      </c>
      <c r="J129" s="26">
        <f t="shared" ref="J129:K129" si="297">J130+J134</f>
        <v>0</v>
      </c>
      <c r="K129" s="26">
        <f t="shared" si="297"/>
        <v>0</v>
      </c>
      <c r="L129" s="26">
        <f t="shared" si="239"/>
        <v>7358</v>
      </c>
      <c r="M129" s="26">
        <f t="shared" ref="M129:N129" si="298">M130+M134</f>
        <v>7358</v>
      </c>
      <c r="N129" s="26">
        <f t="shared" si="298"/>
        <v>0</v>
      </c>
      <c r="O129" s="26">
        <f t="shared" si="241"/>
        <v>0</v>
      </c>
      <c r="P129" s="26">
        <f t="shared" ref="P129:Q129" si="299">P130+P134</f>
        <v>0</v>
      </c>
      <c r="Q129" s="26">
        <f t="shared" si="299"/>
        <v>0</v>
      </c>
      <c r="R129" s="26">
        <f t="shared" si="243"/>
        <v>0</v>
      </c>
      <c r="S129" s="26">
        <f t="shared" ref="S129:T129" si="300">S130+S134</f>
        <v>0</v>
      </c>
      <c r="T129" s="26">
        <f t="shared" si="300"/>
        <v>0</v>
      </c>
      <c r="U129" s="27"/>
      <c r="V129" s="5" t="str">
        <f t="shared" si="245"/>
        <v>ok</v>
      </c>
    </row>
    <row r="130" spans="1:22" ht="25.15" customHeight="1" x14ac:dyDescent="0.6">
      <c r="A130" s="28" t="s">
        <v>3</v>
      </c>
      <c r="B130" s="26">
        <f>SUM(B131:B133)</f>
        <v>16543.2</v>
      </c>
      <c r="C130" s="26">
        <f t="shared" si="234"/>
        <v>0</v>
      </c>
      <c r="D130" s="26">
        <f>SUM(D131:D133)</f>
        <v>0</v>
      </c>
      <c r="E130" s="26">
        <f>SUM(E131:E133)</f>
        <v>0</v>
      </c>
      <c r="F130" s="26">
        <f t="shared" si="235"/>
        <v>0</v>
      </c>
      <c r="G130" s="26">
        <f t="shared" ref="G130:H130" si="301">SUM(G131:G133)</f>
        <v>0</v>
      </c>
      <c r="H130" s="26">
        <f t="shared" si="301"/>
        <v>0</v>
      </c>
      <c r="I130" s="26">
        <f t="shared" si="237"/>
        <v>0</v>
      </c>
      <c r="J130" s="26">
        <f t="shared" ref="J130:K130" si="302">SUM(J131:J133)</f>
        <v>0</v>
      </c>
      <c r="K130" s="26">
        <f t="shared" si="302"/>
        <v>0</v>
      </c>
      <c r="L130" s="26">
        <f>M130+N130</f>
        <v>7358</v>
      </c>
      <c r="M130" s="26">
        <f>SUM(M131:M133)</f>
        <v>7358</v>
      </c>
      <c r="N130" s="26">
        <f>SUM(N131:N133)</f>
        <v>0</v>
      </c>
      <c r="O130" s="26">
        <f t="shared" si="241"/>
        <v>0</v>
      </c>
      <c r="P130" s="26">
        <f>SUM(P131:P133)</f>
        <v>0</v>
      </c>
      <c r="Q130" s="26">
        <f>SUM(Q131:Q133)</f>
        <v>0</v>
      </c>
      <c r="R130" s="26">
        <f t="shared" si="243"/>
        <v>0</v>
      </c>
      <c r="S130" s="26">
        <f t="shared" ref="S130:T130" si="303">SUM(S131:S133)</f>
        <v>0</v>
      </c>
      <c r="T130" s="26">
        <f t="shared" si="303"/>
        <v>0</v>
      </c>
      <c r="U130" s="29"/>
      <c r="V130" s="5" t="str">
        <f t="shared" si="245"/>
        <v>ok</v>
      </c>
    </row>
    <row r="131" spans="1:22" ht="50.5" x14ac:dyDescent="0.6">
      <c r="A131" s="30" t="s">
        <v>70</v>
      </c>
      <c r="B131" s="22">
        <v>9481.5</v>
      </c>
      <c r="C131" s="22">
        <f t="shared" si="234"/>
        <v>0</v>
      </c>
      <c r="D131" s="22"/>
      <c r="E131" s="22"/>
      <c r="F131" s="22">
        <f t="shared" si="235"/>
        <v>0</v>
      </c>
      <c r="G131" s="22"/>
      <c r="H131" s="22"/>
      <c r="I131" s="22">
        <f t="shared" si="237"/>
        <v>0</v>
      </c>
      <c r="J131" s="22"/>
      <c r="K131" s="22"/>
      <c r="L131" s="22">
        <f t="shared" si="239"/>
        <v>2370.4</v>
      </c>
      <c r="M131" s="22">
        <v>2370.4</v>
      </c>
      <c r="N131" s="22"/>
      <c r="O131" s="22">
        <f t="shared" si="241"/>
        <v>0</v>
      </c>
      <c r="P131" s="22"/>
      <c r="Q131" s="22"/>
      <c r="R131" s="22">
        <f t="shared" si="243"/>
        <v>0</v>
      </c>
      <c r="S131" s="22"/>
      <c r="T131" s="22"/>
      <c r="U131" s="14"/>
      <c r="V131" s="5" t="str">
        <f t="shared" si="245"/>
        <v>ok</v>
      </c>
    </row>
    <row r="132" spans="1:22" ht="75.75" x14ac:dyDescent="0.6">
      <c r="A132" s="30" t="s">
        <v>76</v>
      </c>
      <c r="B132" s="22">
        <v>6172.8</v>
      </c>
      <c r="C132" s="22">
        <f t="shared" ref="C132" si="304">D132+E132</f>
        <v>0</v>
      </c>
      <c r="D132" s="22"/>
      <c r="E132" s="22"/>
      <c r="F132" s="22">
        <f t="shared" ref="F132" si="305">G132+H132</f>
        <v>0</v>
      </c>
      <c r="G132" s="22"/>
      <c r="H132" s="22"/>
      <c r="I132" s="22">
        <f t="shared" ref="I132" si="306">J132+K132</f>
        <v>0</v>
      </c>
      <c r="J132" s="22"/>
      <c r="K132" s="22"/>
      <c r="L132" s="22">
        <f t="shared" ref="L132" si="307">M132+N132</f>
        <v>4839.5</v>
      </c>
      <c r="M132" s="22">
        <v>4839.5</v>
      </c>
      <c r="N132" s="22"/>
      <c r="O132" s="22">
        <f t="shared" ref="O132" si="308">P132+Q132</f>
        <v>0</v>
      </c>
      <c r="P132" s="22"/>
      <c r="Q132" s="22"/>
      <c r="R132" s="22">
        <f t="shared" ref="R132" si="309">S132+T132</f>
        <v>0</v>
      </c>
      <c r="S132" s="22"/>
      <c r="T132" s="22"/>
      <c r="U132" s="14"/>
      <c r="V132" s="5" t="str">
        <f t="shared" ref="V132" si="310">IF((B132+C132+F132+L132+O132)&lt;&gt;0,"ok","-")</f>
        <v>ok</v>
      </c>
    </row>
    <row r="133" spans="1:22" ht="75.75" x14ac:dyDescent="0.6">
      <c r="A133" s="30" t="s">
        <v>77</v>
      </c>
      <c r="B133" s="22">
        <v>888.9</v>
      </c>
      <c r="C133" s="22">
        <f t="shared" si="234"/>
        <v>0</v>
      </c>
      <c r="D133" s="22"/>
      <c r="E133" s="22"/>
      <c r="F133" s="22">
        <f t="shared" si="235"/>
        <v>0</v>
      </c>
      <c r="G133" s="22"/>
      <c r="H133" s="22"/>
      <c r="I133" s="22">
        <f t="shared" si="237"/>
        <v>0</v>
      </c>
      <c r="J133" s="22"/>
      <c r="K133" s="22"/>
      <c r="L133" s="22">
        <f t="shared" si="239"/>
        <v>148.1</v>
      </c>
      <c r="M133" s="22">
        <v>148.1</v>
      </c>
      <c r="N133" s="22"/>
      <c r="O133" s="22">
        <f t="shared" si="241"/>
        <v>0</v>
      </c>
      <c r="P133" s="22"/>
      <c r="Q133" s="22"/>
      <c r="R133" s="22">
        <f t="shared" si="243"/>
        <v>0</v>
      </c>
      <c r="S133" s="22"/>
      <c r="T133" s="22"/>
      <c r="U133" s="14"/>
      <c r="V133" s="5" t="str">
        <f t="shared" si="245"/>
        <v>ok</v>
      </c>
    </row>
    <row r="134" spans="1:22" ht="25.15" hidden="1" customHeight="1" x14ac:dyDescent="0.6">
      <c r="A134" s="28" t="s">
        <v>4</v>
      </c>
      <c r="B134" s="26">
        <f>SUM(B135:B136)</f>
        <v>0</v>
      </c>
      <c r="C134" s="26">
        <f t="shared" si="234"/>
        <v>0</v>
      </c>
      <c r="D134" s="26">
        <f>SUM(D135:D136)</f>
        <v>0</v>
      </c>
      <c r="E134" s="26">
        <f>SUM(E135:E136)</f>
        <v>0</v>
      </c>
      <c r="F134" s="26">
        <f t="shared" si="235"/>
        <v>0</v>
      </c>
      <c r="G134" s="26">
        <f t="shared" ref="G134:H134" si="311">SUM(G135:G136)</f>
        <v>0</v>
      </c>
      <c r="H134" s="26">
        <f t="shared" si="311"/>
        <v>0</v>
      </c>
      <c r="I134" s="26">
        <f t="shared" si="237"/>
        <v>0</v>
      </c>
      <c r="J134" s="26">
        <f t="shared" ref="J134:K134" si="312">SUM(J135:J136)</f>
        <v>0</v>
      </c>
      <c r="K134" s="26">
        <f t="shared" si="312"/>
        <v>0</v>
      </c>
      <c r="L134" s="26">
        <f t="shared" si="239"/>
        <v>0</v>
      </c>
      <c r="M134" s="26">
        <f t="shared" ref="M134:N134" si="313">SUM(M135:M136)</f>
        <v>0</v>
      </c>
      <c r="N134" s="26">
        <f t="shared" si="313"/>
        <v>0</v>
      </c>
      <c r="O134" s="26">
        <f t="shared" si="241"/>
        <v>0</v>
      </c>
      <c r="P134" s="26">
        <f t="shared" ref="P134:Q134" si="314">SUM(P135:P136)</f>
        <v>0</v>
      </c>
      <c r="Q134" s="26">
        <f t="shared" si="314"/>
        <v>0</v>
      </c>
      <c r="R134" s="26">
        <f t="shared" si="243"/>
        <v>0</v>
      </c>
      <c r="S134" s="26">
        <f t="shared" ref="S134:T134" si="315">SUM(S135:S136)</f>
        <v>0</v>
      </c>
      <c r="T134" s="26">
        <f t="shared" si="315"/>
        <v>0</v>
      </c>
      <c r="U134" s="29"/>
      <c r="V134" s="5" t="str">
        <f t="shared" si="245"/>
        <v>-</v>
      </c>
    </row>
    <row r="135" spans="1:22" ht="25.15" hidden="1" customHeight="1" x14ac:dyDescent="0.6">
      <c r="A135" s="30" t="s">
        <v>7</v>
      </c>
      <c r="B135" s="22"/>
      <c r="C135" s="22">
        <f t="shared" si="234"/>
        <v>0</v>
      </c>
      <c r="D135" s="22"/>
      <c r="E135" s="22"/>
      <c r="F135" s="22">
        <f t="shared" si="235"/>
        <v>0</v>
      </c>
      <c r="G135" s="22"/>
      <c r="H135" s="22"/>
      <c r="I135" s="22">
        <f t="shared" si="237"/>
        <v>0</v>
      </c>
      <c r="J135" s="22"/>
      <c r="K135" s="22"/>
      <c r="L135" s="22">
        <f t="shared" si="239"/>
        <v>0</v>
      </c>
      <c r="M135" s="22"/>
      <c r="N135" s="22"/>
      <c r="O135" s="22">
        <f t="shared" si="241"/>
        <v>0</v>
      </c>
      <c r="P135" s="22"/>
      <c r="Q135" s="22"/>
      <c r="R135" s="22">
        <f t="shared" si="243"/>
        <v>0</v>
      </c>
      <c r="S135" s="22"/>
      <c r="T135" s="22"/>
      <c r="U135" s="14"/>
      <c r="V135" s="5" t="str">
        <f t="shared" si="245"/>
        <v>-</v>
      </c>
    </row>
    <row r="136" spans="1:22" ht="25.15" hidden="1" customHeight="1" x14ac:dyDescent="0.6">
      <c r="A136" s="30" t="s">
        <v>8</v>
      </c>
      <c r="B136" s="22"/>
      <c r="C136" s="22">
        <f t="shared" si="234"/>
        <v>0</v>
      </c>
      <c r="D136" s="22"/>
      <c r="E136" s="22"/>
      <c r="F136" s="22">
        <f t="shared" si="235"/>
        <v>0</v>
      </c>
      <c r="G136" s="22"/>
      <c r="H136" s="22"/>
      <c r="I136" s="22">
        <f t="shared" si="237"/>
        <v>0</v>
      </c>
      <c r="J136" s="22"/>
      <c r="K136" s="22"/>
      <c r="L136" s="22">
        <f t="shared" si="239"/>
        <v>0</v>
      </c>
      <c r="M136" s="22"/>
      <c r="N136" s="22"/>
      <c r="O136" s="22">
        <f t="shared" si="241"/>
        <v>0</v>
      </c>
      <c r="P136" s="22"/>
      <c r="Q136" s="22"/>
      <c r="R136" s="22">
        <f t="shared" si="243"/>
        <v>0</v>
      </c>
      <c r="S136" s="22"/>
      <c r="T136" s="22"/>
      <c r="U136" s="14"/>
      <c r="V136" s="5" t="str">
        <f t="shared" si="245"/>
        <v>-</v>
      </c>
    </row>
    <row r="137" spans="1:22" ht="25.15" hidden="1" customHeight="1" x14ac:dyDescent="0.6">
      <c r="A137" s="18" t="s">
        <v>34</v>
      </c>
      <c r="B137" s="23">
        <f>B138+B145</f>
        <v>0</v>
      </c>
      <c r="C137" s="23">
        <f t="shared" si="234"/>
        <v>0</v>
      </c>
      <c r="D137" s="23">
        <f>D138+D145</f>
        <v>0</v>
      </c>
      <c r="E137" s="23">
        <f>E138+E145</f>
        <v>0</v>
      </c>
      <c r="F137" s="23">
        <f t="shared" si="235"/>
        <v>0</v>
      </c>
      <c r="G137" s="23">
        <f t="shared" ref="G137:H137" si="316">G138+G145</f>
        <v>0</v>
      </c>
      <c r="H137" s="23">
        <f t="shared" si="316"/>
        <v>0</v>
      </c>
      <c r="I137" s="23">
        <f t="shared" si="237"/>
        <v>0</v>
      </c>
      <c r="J137" s="23">
        <f t="shared" ref="J137:K137" si="317">J138+J145</f>
        <v>0</v>
      </c>
      <c r="K137" s="23">
        <f t="shared" si="317"/>
        <v>0</v>
      </c>
      <c r="L137" s="23">
        <f t="shared" si="239"/>
        <v>0</v>
      </c>
      <c r="M137" s="23">
        <f t="shared" ref="M137:N137" si="318">M138+M145</f>
        <v>0</v>
      </c>
      <c r="N137" s="23">
        <f t="shared" si="318"/>
        <v>0</v>
      </c>
      <c r="O137" s="23">
        <f t="shared" si="241"/>
        <v>0</v>
      </c>
      <c r="P137" s="23">
        <f t="shared" ref="P137:Q137" si="319">P138+P145</f>
        <v>0</v>
      </c>
      <c r="Q137" s="23">
        <f t="shared" si="319"/>
        <v>0</v>
      </c>
      <c r="R137" s="23">
        <f t="shared" si="243"/>
        <v>0</v>
      </c>
      <c r="S137" s="23">
        <f t="shared" ref="S137:T137" si="320">S138+S145</f>
        <v>0</v>
      </c>
      <c r="T137" s="23">
        <f t="shared" si="320"/>
        <v>0</v>
      </c>
      <c r="U137" s="20"/>
      <c r="V137" s="5" t="str">
        <f t="shared" si="245"/>
        <v>-</v>
      </c>
    </row>
    <row r="138" spans="1:22" ht="25.15" hidden="1" customHeight="1" x14ac:dyDescent="0.6">
      <c r="A138" s="25" t="s">
        <v>2</v>
      </c>
      <c r="B138" s="26">
        <f>B139+B142</f>
        <v>0</v>
      </c>
      <c r="C138" s="26">
        <f t="shared" si="234"/>
        <v>0</v>
      </c>
      <c r="D138" s="26">
        <f>D139+D142</f>
        <v>0</v>
      </c>
      <c r="E138" s="26">
        <f>E139+E142</f>
        <v>0</v>
      </c>
      <c r="F138" s="26">
        <f t="shared" si="235"/>
        <v>0</v>
      </c>
      <c r="G138" s="26">
        <f t="shared" ref="G138:H138" si="321">G139+G142</f>
        <v>0</v>
      </c>
      <c r="H138" s="26">
        <f t="shared" si="321"/>
        <v>0</v>
      </c>
      <c r="I138" s="26">
        <f t="shared" si="237"/>
        <v>0</v>
      </c>
      <c r="J138" s="26">
        <f t="shared" ref="J138:K138" si="322">J139+J142</f>
        <v>0</v>
      </c>
      <c r="K138" s="26">
        <f t="shared" si="322"/>
        <v>0</v>
      </c>
      <c r="L138" s="26">
        <f t="shared" si="239"/>
        <v>0</v>
      </c>
      <c r="M138" s="26">
        <f t="shared" ref="M138:N138" si="323">M139+M142</f>
        <v>0</v>
      </c>
      <c r="N138" s="26">
        <f t="shared" si="323"/>
        <v>0</v>
      </c>
      <c r="O138" s="26">
        <f t="shared" si="241"/>
        <v>0</v>
      </c>
      <c r="P138" s="26">
        <f t="shared" ref="P138:Q138" si="324">P139+P142</f>
        <v>0</v>
      </c>
      <c r="Q138" s="26">
        <f t="shared" si="324"/>
        <v>0</v>
      </c>
      <c r="R138" s="26">
        <f t="shared" si="243"/>
        <v>0</v>
      </c>
      <c r="S138" s="26">
        <f t="shared" ref="S138:T138" si="325">S139+S142</f>
        <v>0</v>
      </c>
      <c r="T138" s="26">
        <f t="shared" si="325"/>
        <v>0</v>
      </c>
      <c r="U138" s="27"/>
      <c r="V138" s="5" t="str">
        <f t="shared" si="245"/>
        <v>-</v>
      </c>
    </row>
    <row r="139" spans="1:22" ht="25.15" hidden="1" customHeight="1" x14ac:dyDescent="0.6">
      <c r="A139" s="28" t="s">
        <v>3</v>
      </c>
      <c r="B139" s="26">
        <f>SUM(B140:B141)</f>
        <v>0</v>
      </c>
      <c r="C139" s="26">
        <f t="shared" si="234"/>
        <v>0</v>
      </c>
      <c r="D139" s="26">
        <f>SUM(D140:D141)</f>
        <v>0</v>
      </c>
      <c r="E139" s="26">
        <f>SUM(E140:E141)</f>
        <v>0</v>
      </c>
      <c r="F139" s="26">
        <f t="shared" si="235"/>
        <v>0</v>
      </c>
      <c r="G139" s="26">
        <f t="shared" ref="G139:H139" si="326">SUM(G140:G141)</f>
        <v>0</v>
      </c>
      <c r="H139" s="26">
        <f t="shared" si="326"/>
        <v>0</v>
      </c>
      <c r="I139" s="26">
        <f t="shared" si="237"/>
        <v>0</v>
      </c>
      <c r="J139" s="26">
        <f t="shared" ref="J139:K139" si="327">SUM(J140:J141)</f>
        <v>0</v>
      </c>
      <c r="K139" s="26">
        <f t="shared" si="327"/>
        <v>0</v>
      </c>
      <c r="L139" s="26">
        <f t="shared" si="239"/>
        <v>0</v>
      </c>
      <c r="M139" s="26">
        <f t="shared" ref="M139:N139" si="328">SUM(M140:M141)</f>
        <v>0</v>
      </c>
      <c r="N139" s="26">
        <f t="shared" si="328"/>
        <v>0</v>
      </c>
      <c r="O139" s="26">
        <f t="shared" si="241"/>
        <v>0</v>
      </c>
      <c r="P139" s="26">
        <f t="shared" ref="P139:Q139" si="329">SUM(P140:P141)</f>
        <v>0</v>
      </c>
      <c r="Q139" s="26">
        <f t="shared" si="329"/>
        <v>0</v>
      </c>
      <c r="R139" s="26">
        <f t="shared" si="243"/>
        <v>0</v>
      </c>
      <c r="S139" s="26">
        <f t="shared" ref="S139:T139" si="330">SUM(S140:S141)</f>
        <v>0</v>
      </c>
      <c r="T139" s="26">
        <f t="shared" si="330"/>
        <v>0</v>
      </c>
      <c r="U139" s="29"/>
      <c r="V139" s="5" t="str">
        <f t="shared" si="245"/>
        <v>-</v>
      </c>
    </row>
    <row r="140" spans="1:22" ht="25.15" hidden="1" customHeight="1" x14ac:dyDescent="0.6">
      <c r="A140" s="30" t="s">
        <v>5</v>
      </c>
      <c r="B140" s="22"/>
      <c r="C140" s="22">
        <f t="shared" si="234"/>
        <v>0</v>
      </c>
      <c r="D140" s="22"/>
      <c r="E140" s="22"/>
      <c r="F140" s="22">
        <f t="shared" si="235"/>
        <v>0</v>
      </c>
      <c r="G140" s="22"/>
      <c r="H140" s="22"/>
      <c r="I140" s="22">
        <f t="shared" si="237"/>
        <v>0</v>
      </c>
      <c r="J140" s="22"/>
      <c r="K140" s="22"/>
      <c r="L140" s="22">
        <f t="shared" si="239"/>
        <v>0</v>
      </c>
      <c r="M140" s="22"/>
      <c r="N140" s="22"/>
      <c r="O140" s="22">
        <f t="shared" si="241"/>
        <v>0</v>
      </c>
      <c r="P140" s="22"/>
      <c r="Q140" s="22"/>
      <c r="R140" s="22">
        <f t="shared" si="243"/>
        <v>0</v>
      </c>
      <c r="S140" s="22"/>
      <c r="T140" s="22"/>
      <c r="U140" s="14"/>
      <c r="V140" s="5" t="str">
        <f t="shared" si="245"/>
        <v>-</v>
      </c>
    </row>
    <row r="141" spans="1:22" ht="25.5" hidden="1" customHeight="1" x14ac:dyDescent="0.6">
      <c r="A141" s="30" t="s">
        <v>6</v>
      </c>
      <c r="B141" s="22"/>
      <c r="C141" s="22">
        <f t="shared" si="234"/>
        <v>0</v>
      </c>
      <c r="D141" s="22"/>
      <c r="E141" s="22"/>
      <c r="F141" s="22">
        <f t="shared" si="235"/>
        <v>0</v>
      </c>
      <c r="G141" s="22"/>
      <c r="H141" s="22"/>
      <c r="I141" s="22">
        <f t="shared" si="237"/>
        <v>0</v>
      </c>
      <c r="J141" s="22"/>
      <c r="K141" s="22"/>
      <c r="L141" s="22">
        <f t="shared" si="239"/>
        <v>0</v>
      </c>
      <c r="M141" s="22"/>
      <c r="N141" s="22"/>
      <c r="O141" s="22">
        <f t="shared" si="241"/>
        <v>0</v>
      </c>
      <c r="P141" s="22"/>
      <c r="Q141" s="22"/>
      <c r="R141" s="22">
        <f t="shared" si="243"/>
        <v>0</v>
      </c>
      <c r="S141" s="22"/>
      <c r="T141" s="22"/>
      <c r="U141" s="14"/>
      <c r="V141" s="5" t="str">
        <f t="shared" si="245"/>
        <v>-</v>
      </c>
    </row>
    <row r="142" spans="1:22" ht="25.15" hidden="1" customHeight="1" x14ac:dyDescent="0.6">
      <c r="A142" s="28" t="s">
        <v>4</v>
      </c>
      <c r="B142" s="26">
        <f>SUM(B143:B144)</f>
        <v>0</v>
      </c>
      <c r="C142" s="26">
        <f t="shared" si="234"/>
        <v>0</v>
      </c>
      <c r="D142" s="26">
        <f>SUM(D143:D144)</f>
        <v>0</v>
      </c>
      <c r="E142" s="26">
        <f>SUM(E143:E144)</f>
        <v>0</v>
      </c>
      <c r="F142" s="26">
        <f t="shared" si="235"/>
        <v>0</v>
      </c>
      <c r="G142" s="26">
        <f t="shared" ref="G142:H142" si="331">SUM(G143:G144)</f>
        <v>0</v>
      </c>
      <c r="H142" s="26">
        <f t="shared" si="331"/>
        <v>0</v>
      </c>
      <c r="I142" s="26">
        <f t="shared" si="237"/>
        <v>0</v>
      </c>
      <c r="J142" s="26">
        <f t="shared" ref="J142:K142" si="332">SUM(J143:J144)</f>
        <v>0</v>
      </c>
      <c r="K142" s="26">
        <f t="shared" si="332"/>
        <v>0</v>
      </c>
      <c r="L142" s="26">
        <f t="shared" si="239"/>
        <v>0</v>
      </c>
      <c r="M142" s="26">
        <f t="shared" ref="M142:N142" si="333">SUM(M143:M144)</f>
        <v>0</v>
      </c>
      <c r="N142" s="26">
        <f t="shared" si="333"/>
        <v>0</v>
      </c>
      <c r="O142" s="26">
        <f t="shared" si="241"/>
        <v>0</v>
      </c>
      <c r="P142" s="26">
        <f t="shared" ref="P142:Q142" si="334">SUM(P143:P144)</f>
        <v>0</v>
      </c>
      <c r="Q142" s="26">
        <f t="shared" si="334"/>
        <v>0</v>
      </c>
      <c r="R142" s="26">
        <f t="shared" si="243"/>
        <v>0</v>
      </c>
      <c r="S142" s="26">
        <f t="shared" ref="S142:T142" si="335">SUM(S143:S144)</f>
        <v>0</v>
      </c>
      <c r="T142" s="26">
        <f t="shared" si="335"/>
        <v>0</v>
      </c>
      <c r="U142" s="29"/>
      <c r="V142" s="5" t="str">
        <f t="shared" si="245"/>
        <v>-</v>
      </c>
    </row>
    <row r="143" spans="1:22" ht="25.15" hidden="1" customHeight="1" x14ac:dyDescent="0.6">
      <c r="A143" s="30" t="s">
        <v>7</v>
      </c>
      <c r="B143" s="22"/>
      <c r="C143" s="22">
        <f t="shared" si="234"/>
        <v>0</v>
      </c>
      <c r="D143" s="22"/>
      <c r="E143" s="22"/>
      <c r="F143" s="22">
        <f t="shared" si="235"/>
        <v>0</v>
      </c>
      <c r="G143" s="22"/>
      <c r="H143" s="22"/>
      <c r="I143" s="22">
        <f t="shared" si="237"/>
        <v>0</v>
      </c>
      <c r="J143" s="22"/>
      <c r="K143" s="22"/>
      <c r="L143" s="22">
        <f t="shared" si="239"/>
        <v>0</v>
      </c>
      <c r="M143" s="22"/>
      <c r="N143" s="22"/>
      <c r="O143" s="22">
        <f t="shared" si="241"/>
        <v>0</v>
      </c>
      <c r="P143" s="22"/>
      <c r="Q143" s="22"/>
      <c r="R143" s="22">
        <f t="shared" si="243"/>
        <v>0</v>
      </c>
      <c r="S143" s="22"/>
      <c r="T143" s="22"/>
      <c r="U143" s="14"/>
      <c r="V143" s="5" t="str">
        <f t="shared" si="245"/>
        <v>-</v>
      </c>
    </row>
    <row r="144" spans="1:22" ht="25.15" hidden="1" customHeight="1" x14ac:dyDescent="0.6">
      <c r="A144" s="30" t="s">
        <v>8</v>
      </c>
      <c r="B144" s="22"/>
      <c r="C144" s="22">
        <f t="shared" si="234"/>
        <v>0</v>
      </c>
      <c r="D144" s="22"/>
      <c r="E144" s="22"/>
      <c r="F144" s="22">
        <f t="shared" si="235"/>
        <v>0</v>
      </c>
      <c r="G144" s="22"/>
      <c r="H144" s="22"/>
      <c r="I144" s="22">
        <f t="shared" si="237"/>
        <v>0</v>
      </c>
      <c r="J144" s="22"/>
      <c r="K144" s="22"/>
      <c r="L144" s="22">
        <f t="shared" si="239"/>
        <v>0</v>
      </c>
      <c r="M144" s="22"/>
      <c r="N144" s="22"/>
      <c r="O144" s="22">
        <f t="shared" si="241"/>
        <v>0</v>
      </c>
      <c r="P144" s="22"/>
      <c r="Q144" s="22"/>
      <c r="R144" s="22">
        <f t="shared" si="243"/>
        <v>0</v>
      </c>
      <c r="S144" s="22"/>
      <c r="T144" s="22"/>
      <c r="U144" s="14"/>
      <c r="V144" s="5" t="str">
        <f t="shared" si="245"/>
        <v>-</v>
      </c>
    </row>
    <row r="145" spans="1:22" ht="25.15" hidden="1" customHeight="1" x14ac:dyDescent="0.6">
      <c r="A145" s="25" t="s">
        <v>9</v>
      </c>
      <c r="B145" s="26">
        <f>B146+B149</f>
        <v>0</v>
      </c>
      <c r="C145" s="26">
        <f t="shared" si="234"/>
        <v>0</v>
      </c>
      <c r="D145" s="26">
        <f>D146+D149</f>
        <v>0</v>
      </c>
      <c r="E145" s="26">
        <f>E146+E149</f>
        <v>0</v>
      </c>
      <c r="F145" s="26">
        <f t="shared" si="235"/>
        <v>0</v>
      </c>
      <c r="G145" s="26">
        <f t="shared" ref="G145:H145" si="336">G146+G149</f>
        <v>0</v>
      </c>
      <c r="H145" s="26">
        <f t="shared" si="336"/>
        <v>0</v>
      </c>
      <c r="I145" s="26">
        <f t="shared" si="237"/>
        <v>0</v>
      </c>
      <c r="J145" s="26">
        <f t="shared" ref="J145:K145" si="337">J146+J149</f>
        <v>0</v>
      </c>
      <c r="K145" s="26">
        <f t="shared" si="337"/>
        <v>0</v>
      </c>
      <c r="L145" s="26">
        <f t="shared" si="239"/>
        <v>0</v>
      </c>
      <c r="M145" s="26">
        <f t="shared" ref="M145:N145" si="338">M146+M149</f>
        <v>0</v>
      </c>
      <c r="N145" s="26">
        <f t="shared" si="338"/>
        <v>0</v>
      </c>
      <c r="O145" s="26">
        <f t="shared" si="241"/>
        <v>0</v>
      </c>
      <c r="P145" s="26">
        <f t="shared" ref="P145:Q145" si="339">P146+P149</f>
        <v>0</v>
      </c>
      <c r="Q145" s="26">
        <f t="shared" si="339"/>
        <v>0</v>
      </c>
      <c r="R145" s="26">
        <f t="shared" si="243"/>
        <v>0</v>
      </c>
      <c r="S145" s="26">
        <f t="shared" ref="S145:T145" si="340">S146+S149</f>
        <v>0</v>
      </c>
      <c r="T145" s="26">
        <f t="shared" si="340"/>
        <v>0</v>
      </c>
      <c r="U145" s="27"/>
      <c r="V145" s="5" t="str">
        <f t="shared" si="245"/>
        <v>-</v>
      </c>
    </row>
    <row r="146" spans="1:22" ht="25.15" hidden="1" customHeight="1" x14ac:dyDescent="0.6">
      <c r="A146" s="28" t="s">
        <v>3</v>
      </c>
      <c r="B146" s="26">
        <f>SUM(B147:B148)</f>
        <v>0</v>
      </c>
      <c r="C146" s="26">
        <f t="shared" si="234"/>
        <v>0</v>
      </c>
      <c r="D146" s="26">
        <f>SUM(D147:D148)</f>
        <v>0</v>
      </c>
      <c r="E146" s="26">
        <f>SUM(E147:E148)</f>
        <v>0</v>
      </c>
      <c r="F146" s="26">
        <f t="shared" si="235"/>
        <v>0</v>
      </c>
      <c r="G146" s="26">
        <f t="shared" ref="G146:H146" si="341">SUM(G147:G148)</f>
        <v>0</v>
      </c>
      <c r="H146" s="26">
        <f t="shared" si="341"/>
        <v>0</v>
      </c>
      <c r="I146" s="26">
        <f t="shared" si="237"/>
        <v>0</v>
      </c>
      <c r="J146" s="26">
        <f t="shared" ref="J146:K146" si="342">SUM(J147:J148)</f>
        <v>0</v>
      </c>
      <c r="K146" s="26">
        <f t="shared" si="342"/>
        <v>0</v>
      </c>
      <c r="L146" s="26">
        <f t="shared" si="239"/>
        <v>0</v>
      </c>
      <c r="M146" s="26">
        <f t="shared" ref="M146:N146" si="343">SUM(M147:M148)</f>
        <v>0</v>
      </c>
      <c r="N146" s="26">
        <f t="shared" si="343"/>
        <v>0</v>
      </c>
      <c r="O146" s="26">
        <f t="shared" si="241"/>
        <v>0</v>
      </c>
      <c r="P146" s="26">
        <f t="shared" ref="P146:Q146" si="344">SUM(P147:P148)</f>
        <v>0</v>
      </c>
      <c r="Q146" s="26">
        <f t="shared" si="344"/>
        <v>0</v>
      </c>
      <c r="R146" s="26">
        <f t="shared" si="243"/>
        <v>0</v>
      </c>
      <c r="S146" s="26">
        <f t="shared" ref="S146:T146" si="345">SUM(S147:S148)</f>
        <v>0</v>
      </c>
      <c r="T146" s="26">
        <f t="shared" si="345"/>
        <v>0</v>
      </c>
      <c r="U146" s="29"/>
      <c r="V146" s="5" t="str">
        <f t="shared" si="245"/>
        <v>-</v>
      </c>
    </row>
    <row r="147" spans="1:22" ht="25.15" hidden="1" customHeight="1" x14ac:dyDescent="0.6">
      <c r="A147" s="30" t="s">
        <v>5</v>
      </c>
      <c r="B147" s="22"/>
      <c r="C147" s="22">
        <f t="shared" si="234"/>
        <v>0</v>
      </c>
      <c r="D147" s="22"/>
      <c r="E147" s="22"/>
      <c r="F147" s="22">
        <f t="shared" si="235"/>
        <v>0</v>
      </c>
      <c r="G147" s="22"/>
      <c r="H147" s="22"/>
      <c r="I147" s="22">
        <f t="shared" si="237"/>
        <v>0</v>
      </c>
      <c r="J147" s="22"/>
      <c r="K147" s="22"/>
      <c r="L147" s="22">
        <f t="shared" si="239"/>
        <v>0</v>
      </c>
      <c r="M147" s="22"/>
      <c r="N147" s="22"/>
      <c r="O147" s="22">
        <f t="shared" si="241"/>
        <v>0</v>
      </c>
      <c r="P147" s="22"/>
      <c r="Q147" s="22"/>
      <c r="R147" s="22">
        <f t="shared" si="243"/>
        <v>0</v>
      </c>
      <c r="S147" s="22"/>
      <c r="T147" s="22"/>
      <c r="U147" s="14"/>
      <c r="V147" s="5" t="str">
        <f t="shared" si="245"/>
        <v>-</v>
      </c>
    </row>
    <row r="148" spans="1:22" ht="25.15" hidden="1" customHeight="1" x14ac:dyDescent="0.6">
      <c r="A148" s="30" t="s">
        <v>6</v>
      </c>
      <c r="B148" s="22"/>
      <c r="C148" s="22">
        <f t="shared" si="234"/>
        <v>0</v>
      </c>
      <c r="D148" s="22"/>
      <c r="E148" s="22"/>
      <c r="F148" s="22">
        <f t="shared" si="235"/>
        <v>0</v>
      </c>
      <c r="G148" s="22"/>
      <c r="H148" s="22"/>
      <c r="I148" s="22">
        <f t="shared" si="237"/>
        <v>0</v>
      </c>
      <c r="J148" s="22"/>
      <c r="K148" s="22"/>
      <c r="L148" s="22">
        <f t="shared" si="239"/>
        <v>0</v>
      </c>
      <c r="M148" s="22"/>
      <c r="N148" s="22"/>
      <c r="O148" s="22">
        <f t="shared" si="241"/>
        <v>0</v>
      </c>
      <c r="P148" s="22"/>
      <c r="Q148" s="22"/>
      <c r="R148" s="22">
        <f t="shared" si="243"/>
        <v>0</v>
      </c>
      <c r="S148" s="22"/>
      <c r="T148" s="22"/>
      <c r="U148" s="14"/>
      <c r="V148" s="5" t="str">
        <f t="shared" si="245"/>
        <v>-</v>
      </c>
    </row>
    <row r="149" spans="1:22" ht="25.15" hidden="1" customHeight="1" x14ac:dyDescent="0.6">
      <c r="A149" s="28" t="s">
        <v>4</v>
      </c>
      <c r="B149" s="26">
        <f>SUM(B150:B151)</f>
        <v>0</v>
      </c>
      <c r="C149" s="26">
        <f t="shared" si="234"/>
        <v>0</v>
      </c>
      <c r="D149" s="26">
        <f>SUM(D150:D151)</f>
        <v>0</v>
      </c>
      <c r="E149" s="26">
        <f>SUM(E150:E151)</f>
        <v>0</v>
      </c>
      <c r="F149" s="26">
        <f t="shared" si="235"/>
        <v>0</v>
      </c>
      <c r="G149" s="26">
        <f t="shared" ref="G149:H149" si="346">SUM(G150:G151)</f>
        <v>0</v>
      </c>
      <c r="H149" s="26">
        <f t="shared" si="346"/>
        <v>0</v>
      </c>
      <c r="I149" s="26">
        <f t="shared" si="237"/>
        <v>0</v>
      </c>
      <c r="J149" s="26">
        <f t="shared" ref="J149:K149" si="347">SUM(J150:J151)</f>
        <v>0</v>
      </c>
      <c r="K149" s="26">
        <f t="shared" si="347"/>
        <v>0</v>
      </c>
      <c r="L149" s="26">
        <f t="shared" si="239"/>
        <v>0</v>
      </c>
      <c r="M149" s="26">
        <f t="shared" ref="M149:N149" si="348">SUM(M150:M151)</f>
        <v>0</v>
      </c>
      <c r="N149" s="26">
        <f t="shared" si="348"/>
        <v>0</v>
      </c>
      <c r="O149" s="26">
        <f t="shared" si="241"/>
        <v>0</v>
      </c>
      <c r="P149" s="26">
        <f t="shared" ref="P149:Q149" si="349">SUM(P150:P151)</f>
        <v>0</v>
      </c>
      <c r="Q149" s="26">
        <f t="shared" si="349"/>
        <v>0</v>
      </c>
      <c r="R149" s="26">
        <f t="shared" si="243"/>
        <v>0</v>
      </c>
      <c r="S149" s="26">
        <f t="shared" ref="S149:T149" si="350">SUM(S150:S151)</f>
        <v>0</v>
      </c>
      <c r="T149" s="26">
        <f t="shared" si="350"/>
        <v>0</v>
      </c>
      <c r="U149" s="29"/>
      <c r="V149" s="5" t="str">
        <f t="shared" si="245"/>
        <v>-</v>
      </c>
    </row>
    <row r="150" spans="1:22" ht="25.15" hidden="1" customHeight="1" x14ac:dyDescent="0.6">
      <c r="A150" s="30" t="s">
        <v>7</v>
      </c>
      <c r="B150" s="22"/>
      <c r="C150" s="22">
        <f t="shared" si="234"/>
        <v>0</v>
      </c>
      <c r="D150" s="22"/>
      <c r="E150" s="22"/>
      <c r="F150" s="22">
        <f t="shared" si="235"/>
        <v>0</v>
      </c>
      <c r="G150" s="22"/>
      <c r="H150" s="22"/>
      <c r="I150" s="22">
        <f t="shared" si="237"/>
        <v>0</v>
      </c>
      <c r="J150" s="22"/>
      <c r="K150" s="22"/>
      <c r="L150" s="22">
        <f t="shared" si="239"/>
        <v>0</v>
      </c>
      <c r="M150" s="22"/>
      <c r="N150" s="22"/>
      <c r="O150" s="22">
        <f t="shared" si="241"/>
        <v>0</v>
      </c>
      <c r="P150" s="22"/>
      <c r="Q150" s="22"/>
      <c r="R150" s="22">
        <f t="shared" si="243"/>
        <v>0</v>
      </c>
      <c r="S150" s="22"/>
      <c r="T150" s="22"/>
      <c r="U150" s="14"/>
      <c r="V150" s="5" t="str">
        <f t="shared" si="245"/>
        <v>-</v>
      </c>
    </row>
    <row r="151" spans="1:22" ht="25.15" hidden="1" customHeight="1" x14ac:dyDescent="0.6">
      <c r="A151" s="30" t="s">
        <v>8</v>
      </c>
      <c r="B151" s="22"/>
      <c r="C151" s="22">
        <f t="shared" si="234"/>
        <v>0</v>
      </c>
      <c r="D151" s="22"/>
      <c r="E151" s="22"/>
      <c r="F151" s="22">
        <f t="shared" si="235"/>
        <v>0</v>
      </c>
      <c r="G151" s="22"/>
      <c r="H151" s="22"/>
      <c r="I151" s="22">
        <f t="shared" si="237"/>
        <v>0</v>
      </c>
      <c r="J151" s="22"/>
      <c r="K151" s="22"/>
      <c r="L151" s="22">
        <f t="shared" si="239"/>
        <v>0</v>
      </c>
      <c r="M151" s="22"/>
      <c r="N151" s="22"/>
      <c r="O151" s="22">
        <f t="shared" si="241"/>
        <v>0</v>
      </c>
      <c r="P151" s="22"/>
      <c r="Q151" s="22"/>
      <c r="R151" s="22">
        <f t="shared" si="243"/>
        <v>0</v>
      </c>
      <c r="S151" s="22"/>
      <c r="T151" s="22"/>
      <c r="U151" s="14"/>
      <c r="V151" s="5" t="str">
        <f t="shared" si="245"/>
        <v>-</v>
      </c>
    </row>
    <row r="152" spans="1:22" ht="25.15" customHeight="1" x14ac:dyDescent="0.6">
      <c r="A152" s="17" t="s">
        <v>35</v>
      </c>
      <c r="B152" s="21">
        <f>B153</f>
        <v>0</v>
      </c>
      <c r="C152" s="21">
        <f>D152+E152</f>
        <v>5740.4</v>
      </c>
      <c r="D152" s="21">
        <f>D153+D168+D183+D198+D219</f>
        <v>740.4</v>
      </c>
      <c r="E152" s="21">
        <f>E153+E168+E183+E198+E219</f>
        <v>5000</v>
      </c>
      <c r="F152" s="21">
        <f>G152+H152</f>
        <v>5740.4</v>
      </c>
      <c r="G152" s="21">
        <f t="shared" ref="G152:H152" si="351">G153+G168+G183+G198+G219</f>
        <v>740.4</v>
      </c>
      <c r="H152" s="21">
        <f t="shared" si="351"/>
        <v>5000</v>
      </c>
      <c r="I152" s="21">
        <f>J152+K152</f>
        <v>0</v>
      </c>
      <c r="J152" s="21">
        <f t="shared" ref="J152:K152" si="352">J153+J168+J183+J198+J219</f>
        <v>0</v>
      </c>
      <c r="K152" s="21">
        <f t="shared" si="352"/>
        <v>0</v>
      </c>
      <c r="L152" s="21">
        <f>M152+N152</f>
        <v>25907.5</v>
      </c>
      <c r="M152" s="21">
        <f t="shared" ref="M152:N152" si="353">M153+M168+M183+M198+M219</f>
        <v>23907.5</v>
      </c>
      <c r="N152" s="21">
        <f t="shared" si="353"/>
        <v>2000</v>
      </c>
      <c r="O152" s="21">
        <f>P152+Q152</f>
        <v>0</v>
      </c>
      <c r="P152" s="21">
        <f t="shared" ref="P152:Q152" si="354">P153+P168+P183+P198+P219</f>
        <v>0</v>
      </c>
      <c r="Q152" s="21">
        <f t="shared" si="354"/>
        <v>0</v>
      </c>
      <c r="R152" s="21">
        <f>S152+T152</f>
        <v>0</v>
      </c>
      <c r="S152" s="21">
        <f t="shared" ref="S152" si="355">S153+S168+S183+S198+S219</f>
        <v>0</v>
      </c>
      <c r="T152" s="21">
        <f>T153+T168+T183+T198+T219</f>
        <v>0</v>
      </c>
      <c r="U152" s="19"/>
      <c r="V152" s="5" t="str">
        <f>IF((B152+C152+F152+L152+O152)&lt;&gt;0,"ok","-")</f>
        <v>ok</v>
      </c>
    </row>
    <row r="153" spans="1:22" ht="25.15" hidden="1" customHeight="1" x14ac:dyDescent="0.6">
      <c r="A153" s="18" t="s">
        <v>36</v>
      </c>
      <c r="B153" s="23">
        <f>B154+B161</f>
        <v>0</v>
      </c>
      <c r="C153" s="23">
        <f t="shared" ref="C153:C216" si="356">D153+E153</f>
        <v>0</v>
      </c>
      <c r="D153" s="23">
        <f>D154+D161</f>
        <v>0</v>
      </c>
      <c r="E153" s="23">
        <f>E154+E161</f>
        <v>0</v>
      </c>
      <c r="F153" s="23">
        <f t="shared" ref="F153:F216" si="357">G153+H153</f>
        <v>0</v>
      </c>
      <c r="G153" s="23">
        <f t="shared" ref="G153:H153" si="358">G154+G161</f>
        <v>0</v>
      </c>
      <c r="H153" s="23">
        <f t="shared" si="358"/>
        <v>0</v>
      </c>
      <c r="I153" s="23">
        <f t="shared" ref="I153:I216" si="359">J153+K153</f>
        <v>0</v>
      </c>
      <c r="J153" s="23">
        <f t="shared" ref="J153:K153" si="360">J154+J161</f>
        <v>0</v>
      </c>
      <c r="K153" s="23">
        <f t="shared" si="360"/>
        <v>0</v>
      </c>
      <c r="L153" s="23">
        <f t="shared" ref="L153:L216" si="361">M153+N153</f>
        <v>0</v>
      </c>
      <c r="M153" s="23">
        <f t="shared" ref="M153:N153" si="362">M154+M161</f>
        <v>0</v>
      </c>
      <c r="N153" s="23">
        <f t="shared" si="362"/>
        <v>0</v>
      </c>
      <c r="O153" s="23">
        <f t="shared" ref="O153:O216" si="363">P153+Q153</f>
        <v>0</v>
      </c>
      <c r="P153" s="23">
        <f t="shared" ref="P153:Q153" si="364">P154+P161</f>
        <v>0</v>
      </c>
      <c r="Q153" s="23">
        <f t="shared" si="364"/>
        <v>0</v>
      </c>
      <c r="R153" s="23">
        <f t="shared" ref="R153:R216" si="365">S153+T153</f>
        <v>0</v>
      </c>
      <c r="S153" s="23">
        <f t="shared" ref="S153:T153" si="366">S154+S161</f>
        <v>0</v>
      </c>
      <c r="T153" s="23">
        <f t="shared" si="366"/>
        <v>0</v>
      </c>
      <c r="U153" s="20"/>
      <c r="V153" s="5" t="str">
        <f t="shared" ref="V153:V216" si="367">IF((B153+C153+F153+L153+O153)&lt;&gt;0,"ok","-")</f>
        <v>-</v>
      </c>
    </row>
    <row r="154" spans="1:22" ht="25.15" hidden="1" customHeight="1" x14ac:dyDescent="0.6">
      <c r="A154" s="25" t="s">
        <v>2</v>
      </c>
      <c r="B154" s="26">
        <f>B155+B158</f>
        <v>0</v>
      </c>
      <c r="C154" s="26">
        <f t="shared" si="356"/>
        <v>0</v>
      </c>
      <c r="D154" s="26">
        <f>D155+D158</f>
        <v>0</v>
      </c>
      <c r="E154" s="26">
        <f>E155+E158</f>
        <v>0</v>
      </c>
      <c r="F154" s="26">
        <f t="shared" si="357"/>
        <v>0</v>
      </c>
      <c r="G154" s="26">
        <f t="shared" ref="G154:H154" si="368">G155+G158</f>
        <v>0</v>
      </c>
      <c r="H154" s="26">
        <f t="shared" si="368"/>
        <v>0</v>
      </c>
      <c r="I154" s="26">
        <f t="shared" si="359"/>
        <v>0</v>
      </c>
      <c r="J154" s="26">
        <f t="shared" ref="J154:K154" si="369">J155+J158</f>
        <v>0</v>
      </c>
      <c r="K154" s="26">
        <f t="shared" si="369"/>
        <v>0</v>
      </c>
      <c r="L154" s="26">
        <f t="shared" si="361"/>
        <v>0</v>
      </c>
      <c r="M154" s="26">
        <f t="shared" ref="M154:N154" si="370">M155+M158</f>
        <v>0</v>
      </c>
      <c r="N154" s="26">
        <f t="shared" si="370"/>
        <v>0</v>
      </c>
      <c r="O154" s="26">
        <f t="shared" si="363"/>
        <v>0</v>
      </c>
      <c r="P154" s="26">
        <f t="shared" ref="P154:Q154" si="371">P155+P158</f>
        <v>0</v>
      </c>
      <c r="Q154" s="26">
        <f t="shared" si="371"/>
        <v>0</v>
      </c>
      <c r="R154" s="26">
        <f t="shared" si="365"/>
        <v>0</v>
      </c>
      <c r="S154" s="26">
        <f t="shared" ref="S154:T154" si="372">S155+S158</f>
        <v>0</v>
      </c>
      <c r="T154" s="26">
        <f t="shared" si="372"/>
        <v>0</v>
      </c>
      <c r="U154" s="27"/>
      <c r="V154" s="5" t="str">
        <f t="shared" si="367"/>
        <v>-</v>
      </c>
    </row>
    <row r="155" spans="1:22" ht="25.15" hidden="1" customHeight="1" x14ac:dyDescent="0.6">
      <c r="A155" s="28" t="s">
        <v>3</v>
      </c>
      <c r="B155" s="26">
        <f>SUM(B156:B157)</f>
        <v>0</v>
      </c>
      <c r="C155" s="26">
        <f t="shared" si="356"/>
        <v>0</v>
      </c>
      <c r="D155" s="26">
        <f>SUM(D156:D157)</f>
        <v>0</v>
      </c>
      <c r="E155" s="26">
        <f>SUM(E156:E157)</f>
        <v>0</v>
      </c>
      <c r="F155" s="26">
        <f t="shared" si="357"/>
        <v>0</v>
      </c>
      <c r="G155" s="26">
        <f t="shared" ref="G155:H155" si="373">SUM(G156:G157)</f>
        <v>0</v>
      </c>
      <c r="H155" s="26">
        <f t="shared" si="373"/>
        <v>0</v>
      </c>
      <c r="I155" s="26">
        <f t="shared" si="359"/>
        <v>0</v>
      </c>
      <c r="J155" s="26">
        <f t="shared" ref="J155:K155" si="374">SUM(J156:J157)</f>
        <v>0</v>
      </c>
      <c r="K155" s="26">
        <f t="shared" si="374"/>
        <v>0</v>
      </c>
      <c r="L155" s="26">
        <f t="shared" si="361"/>
        <v>0</v>
      </c>
      <c r="M155" s="26">
        <f t="shared" ref="M155:N155" si="375">SUM(M156:M157)</f>
        <v>0</v>
      </c>
      <c r="N155" s="26">
        <f t="shared" si="375"/>
        <v>0</v>
      </c>
      <c r="O155" s="26">
        <f t="shared" si="363"/>
        <v>0</v>
      </c>
      <c r="P155" s="26">
        <f t="shared" ref="P155:Q155" si="376">SUM(P156:P157)</f>
        <v>0</v>
      </c>
      <c r="Q155" s="26">
        <f t="shared" si="376"/>
        <v>0</v>
      </c>
      <c r="R155" s="26">
        <f t="shared" si="365"/>
        <v>0</v>
      </c>
      <c r="S155" s="26">
        <f t="shared" ref="S155:T155" si="377">SUM(S156:S157)</f>
        <v>0</v>
      </c>
      <c r="T155" s="26">
        <f t="shared" si="377"/>
        <v>0</v>
      </c>
      <c r="U155" s="29"/>
      <c r="V155" s="5" t="str">
        <f t="shared" si="367"/>
        <v>-</v>
      </c>
    </row>
    <row r="156" spans="1:22" ht="25.15" hidden="1" customHeight="1" x14ac:dyDescent="0.6">
      <c r="A156" s="30" t="s">
        <v>5</v>
      </c>
      <c r="B156" s="22"/>
      <c r="C156" s="22">
        <f t="shared" si="356"/>
        <v>0</v>
      </c>
      <c r="D156" s="22"/>
      <c r="E156" s="22"/>
      <c r="F156" s="22">
        <f t="shared" si="357"/>
        <v>0</v>
      </c>
      <c r="G156" s="22"/>
      <c r="H156" s="22"/>
      <c r="I156" s="22">
        <f t="shared" si="359"/>
        <v>0</v>
      </c>
      <c r="J156" s="22"/>
      <c r="K156" s="22"/>
      <c r="L156" s="22">
        <f t="shared" si="361"/>
        <v>0</v>
      </c>
      <c r="M156" s="22"/>
      <c r="N156" s="22"/>
      <c r="O156" s="22">
        <f t="shared" si="363"/>
        <v>0</v>
      </c>
      <c r="P156" s="22"/>
      <c r="Q156" s="22"/>
      <c r="R156" s="22">
        <f t="shared" si="365"/>
        <v>0</v>
      </c>
      <c r="S156" s="22"/>
      <c r="T156" s="22"/>
      <c r="U156" s="14"/>
      <c r="V156" s="5" t="str">
        <f t="shared" si="367"/>
        <v>-</v>
      </c>
    </row>
    <row r="157" spans="1:22" ht="25.5" hidden="1" customHeight="1" x14ac:dyDescent="0.6">
      <c r="A157" s="30" t="s">
        <v>6</v>
      </c>
      <c r="B157" s="22"/>
      <c r="C157" s="22">
        <f t="shared" si="356"/>
        <v>0</v>
      </c>
      <c r="D157" s="22"/>
      <c r="E157" s="22"/>
      <c r="F157" s="22">
        <f t="shared" si="357"/>
        <v>0</v>
      </c>
      <c r="G157" s="22"/>
      <c r="H157" s="22"/>
      <c r="I157" s="22">
        <f t="shared" si="359"/>
        <v>0</v>
      </c>
      <c r="J157" s="22"/>
      <c r="K157" s="22"/>
      <c r="L157" s="22">
        <f t="shared" si="361"/>
        <v>0</v>
      </c>
      <c r="M157" s="22"/>
      <c r="N157" s="22"/>
      <c r="O157" s="22">
        <f t="shared" si="363"/>
        <v>0</v>
      </c>
      <c r="P157" s="22"/>
      <c r="Q157" s="22"/>
      <c r="R157" s="22">
        <f t="shared" si="365"/>
        <v>0</v>
      </c>
      <c r="S157" s="22"/>
      <c r="T157" s="22"/>
      <c r="U157" s="14"/>
      <c r="V157" s="5" t="str">
        <f t="shared" si="367"/>
        <v>-</v>
      </c>
    </row>
    <row r="158" spans="1:22" ht="25.15" hidden="1" customHeight="1" x14ac:dyDescent="0.6">
      <c r="A158" s="28" t="s">
        <v>4</v>
      </c>
      <c r="B158" s="26">
        <f>SUM(B159:B160)</f>
        <v>0</v>
      </c>
      <c r="C158" s="26">
        <f t="shared" si="356"/>
        <v>0</v>
      </c>
      <c r="D158" s="26">
        <f>SUM(D159:D160)</f>
        <v>0</v>
      </c>
      <c r="E158" s="26">
        <f>SUM(E159:E160)</f>
        <v>0</v>
      </c>
      <c r="F158" s="26">
        <f t="shared" si="357"/>
        <v>0</v>
      </c>
      <c r="G158" s="26">
        <f t="shared" ref="G158:H158" si="378">SUM(G159:G160)</f>
        <v>0</v>
      </c>
      <c r="H158" s="26">
        <f t="shared" si="378"/>
        <v>0</v>
      </c>
      <c r="I158" s="26">
        <f t="shared" si="359"/>
        <v>0</v>
      </c>
      <c r="J158" s="26">
        <f t="shared" ref="J158:K158" si="379">SUM(J159:J160)</f>
        <v>0</v>
      </c>
      <c r="K158" s="26">
        <f t="shared" si="379"/>
        <v>0</v>
      </c>
      <c r="L158" s="26">
        <f t="shared" si="361"/>
        <v>0</v>
      </c>
      <c r="M158" s="26">
        <f t="shared" ref="M158:N158" si="380">SUM(M159:M160)</f>
        <v>0</v>
      </c>
      <c r="N158" s="26">
        <f t="shared" si="380"/>
        <v>0</v>
      </c>
      <c r="O158" s="26">
        <f t="shared" si="363"/>
        <v>0</v>
      </c>
      <c r="P158" s="26">
        <f t="shared" ref="P158:Q158" si="381">SUM(P159:P160)</f>
        <v>0</v>
      </c>
      <c r="Q158" s="26">
        <f t="shared" si="381"/>
        <v>0</v>
      </c>
      <c r="R158" s="26">
        <f t="shared" si="365"/>
        <v>0</v>
      </c>
      <c r="S158" s="26">
        <f t="shared" ref="S158:T158" si="382">SUM(S159:S160)</f>
        <v>0</v>
      </c>
      <c r="T158" s="26">
        <f t="shared" si="382"/>
        <v>0</v>
      </c>
      <c r="U158" s="29"/>
      <c r="V158" s="5" t="str">
        <f t="shared" si="367"/>
        <v>-</v>
      </c>
    </row>
    <row r="159" spans="1:22" ht="25.15" hidden="1" customHeight="1" x14ac:dyDescent="0.6">
      <c r="A159" s="30" t="s">
        <v>7</v>
      </c>
      <c r="B159" s="22"/>
      <c r="C159" s="22">
        <f t="shared" si="356"/>
        <v>0</v>
      </c>
      <c r="D159" s="22"/>
      <c r="E159" s="22"/>
      <c r="F159" s="22">
        <f t="shared" si="357"/>
        <v>0</v>
      </c>
      <c r="G159" s="22"/>
      <c r="H159" s="22"/>
      <c r="I159" s="22">
        <f t="shared" si="359"/>
        <v>0</v>
      </c>
      <c r="J159" s="22"/>
      <c r="K159" s="22"/>
      <c r="L159" s="22">
        <f t="shared" si="361"/>
        <v>0</v>
      </c>
      <c r="M159" s="22"/>
      <c r="N159" s="22"/>
      <c r="O159" s="22">
        <f t="shared" si="363"/>
        <v>0</v>
      </c>
      <c r="P159" s="22"/>
      <c r="Q159" s="22"/>
      <c r="R159" s="22">
        <f t="shared" si="365"/>
        <v>0</v>
      </c>
      <c r="S159" s="22"/>
      <c r="T159" s="22"/>
      <c r="U159" s="14"/>
      <c r="V159" s="5" t="str">
        <f t="shared" si="367"/>
        <v>-</v>
      </c>
    </row>
    <row r="160" spans="1:22" ht="25.15" hidden="1" customHeight="1" x14ac:dyDescent="0.6">
      <c r="A160" s="30" t="s">
        <v>8</v>
      </c>
      <c r="B160" s="22"/>
      <c r="C160" s="22">
        <f t="shared" si="356"/>
        <v>0</v>
      </c>
      <c r="D160" s="22"/>
      <c r="E160" s="22"/>
      <c r="F160" s="22">
        <f t="shared" si="357"/>
        <v>0</v>
      </c>
      <c r="G160" s="22"/>
      <c r="H160" s="22"/>
      <c r="I160" s="22">
        <f t="shared" si="359"/>
        <v>0</v>
      </c>
      <c r="J160" s="22"/>
      <c r="K160" s="22"/>
      <c r="L160" s="22">
        <f t="shared" si="361"/>
        <v>0</v>
      </c>
      <c r="M160" s="22"/>
      <c r="N160" s="22"/>
      <c r="O160" s="22">
        <f t="shared" si="363"/>
        <v>0</v>
      </c>
      <c r="P160" s="22"/>
      <c r="Q160" s="22"/>
      <c r="R160" s="22">
        <f t="shared" si="365"/>
        <v>0</v>
      </c>
      <c r="S160" s="22"/>
      <c r="T160" s="22"/>
      <c r="U160" s="14"/>
      <c r="V160" s="5" t="str">
        <f t="shared" si="367"/>
        <v>-</v>
      </c>
    </row>
    <row r="161" spans="1:22" ht="25.15" hidden="1" customHeight="1" x14ac:dyDescent="0.6">
      <c r="A161" s="25" t="s">
        <v>9</v>
      </c>
      <c r="B161" s="26">
        <f>B162+B165</f>
        <v>0</v>
      </c>
      <c r="C161" s="26">
        <f t="shared" si="356"/>
        <v>0</v>
      </c>
      <c r="D161" s="26">
        <f>D162+D165</f>
        <v>0</v>
      </c>
      <c r="E161" s="26">
        <f>E162+E165</f>
        <v>0</v>
      </c>
      <c r="F161" s="26">
        <f t="shared" si="357"/>
        <v>0</v>
      </c>
      <c r="G161" s="26">
        <f t="shared" ref="G161:H161" si="383">G162+G165</f>
        <v>0</v>
      </c>
      <c r="H161" s="26">
        <f t="shared" si="383"/>
        <v>0</v>
      </c>
      <c r="I161" s="26">
        <f t="shared" si="359"/>
        <v>0</v>
      </c>
      <c r="J161" s="26">
        <f t="shared" ref="J161:K161" si="384">J162+J165</f>
        <v>0</v>
      </c>
      <c r="K161" s="26">
        <f t="shared" si="384"/>
        <v>0</v>
      </c>
      <c r="L161" s="26">
        <f t="shared" si="361"/>
        <v>0</v>
      </c>
      <c r="M161" s="26">
        <f t="shared" ref="M161:N161" si="385">M162+M165</f>
        <v>0</v>
      </c>
      <c r="N161" s="26">
        <f t="shared" si="385"/>
        <v>0</v>
      </c>
      <c r="O161" s="26">
        <f t="shared" si="363"/>
        <v>0</v>
      </c>
      <c r="P161" s="26">
        <f t="shared" ref="P161:Q161" si="386">P162+P165</f>
        <v>0</v>
      </c>
      <c r="Q161" s="26">
        <f t="shared" si="386"/>
        <v>0</v>
      </c>
      <c r="R161" s="26">
        <f t="shared" si="365"/>
        <v>0</v>
      </c>
      <c r="S161" s="26">
        <f t="shared" ref="S161:T161" si="387">S162+S165</f>
        <v>0</v>
      </c>
      <c r="T161" s="26">
        <f t="shared" si="387"/>
        <v>0</v>
      </c>
      <c r="U161" s="27"/>
      <c r="V161" s="5" t="str">
        <f t="shared" si="367"/>
        <v>-</v>
      </c>
    </row>
    <row r="162" spans="1:22" ht="25.15" hidden="1" customHeight="1" x14ac:dyDescent="0.6">
      <c r="A162" s="28" t="s">
        <v>3</v>
      </c>
      <c r="B162" s="26">
        <f>SUM(B163:B164)</f>
        <v>0</v>
      </c>
      <c r="C162" s="26">
        <f t="shared" si="356"/>
        <v>0</v>
      </c>
      <c r="D162" s="26">
        <f>SUM(D163:D164)</f>
        <v>0</v>
      </c>
      <c r="E162" s="26">
        <f>SUM(E163:E164)</f>
        <v>0</v>
      </c>
      <c r="F162" s="26">
        <f t="shared" si="357"/>
        <v>0</v>
      </c>
      <c r="G162" s="26">
        <f t="shared" ref="G162:H162" si="388">SUM(G163:G164)</f>
        <v>0</v>
      </c>
      <c r="H162" s="26">
        <f t="shared" si="388"/>
        <v>0</v>
      </c>
      <c r="I162" s="26">
        <f t="shared" si="359"/>
        <v>0</v>
      </c>
      <c r="J162" s="26">
        <f t="shared" ref="J162:K162" si="389">SUM(J163:J164)</f>
        <v>0</v>
      </c>
      <c r="K162" s="26">
        <f t="shared" si="389"/>
        <v>0</v>
      </c>
      <c r="L162" s="26">
        <f t="shared" si="361"/>
        <v>0</v>
      </c>
      <c r="M162" s="26">
        <f t="shared" ref="M162:N162" si="390">SUM(M163:M164)</f>
        <v>0</v>
      </c>
      <c r="N162" s="26">
        <f t="shared" si="390"/>
        <v>0</v>
      </c>
      <c r="O162" s="26">
        <f t="shared" si="363"/>
        <v>0</v>
      </c>
      <c r="P162" s="26">
        <f t="shared" ref="P162:Q162" si="391">SUM(P163:P164)</f>
        <v>0</v>
      </c>
      <c r="Q162" s="26">
        <f t="shared" si="391"/>
        <v>0</v>
      </c>
      <c r="R162" s="26">
        <f t="shared" si="365"/>
        <v>0</v>
      </c>
      <c r="S162" s="26">
        <f t="shared" ref="S162:T162" si="392">SUM(S163:S164)</f>
        <v>0</v>
      </c>
      <c r="T162" s="26">
        <f t="shared" si="392"/>
        <v>0</v>
      </c>
      <c r="U162" s="29"/>
      <c r="V162" s="5" t="str">
        <f t="shared" si="367"/>
        <v>-</v>
      </c>
    </row>
    <row r="163" spans="1:22" ht="25.15" hidden="1" customHeight="1" x14ac:dyDescent="0.6">
      <c r="A163" s="30" t="s">
        <v>5</v>
      </c>
      <c r="B163" s="22"/>
      <c r="C163" s="22">
        <f t="shared" si="356"/>
        <v>0</v>
      </c>
      <c r="D163" s="22"/>
      <c r="E163" s="22"/>
      <c r="F163" s="22">
        <f t="shared" si="357"/>
        <v>0</v>
      </c>
      <c r="G163" s="22"/>
      <c r="H163" s="22"/>
      <c r="I163" s="22">
        <f t="shared" si="359"/>
        <v>0</v>
      </c>
      <c r="J163" s="22"/>
      <c r="K163" s="22"/>
      <c r="L163" s="22">
        <f t="shared" si="361"/>
        <v>0</v>
      </c>
      <c r="M163" s="22"/>
      <c r="N163" s="22"/>
      <c r="O163" s="22">
        <f t="shared" si="363"/>
        <v>0</v>
      </c>
      <c r="P163" s="22"/>
      <c r="Q163" s="22"/>
      <c r="R163" s="22">
        <f t="shared" si="365"/>
        <v>0</v>
      </c>
      <c r="S163" s="22"/>
      <c r="T163" s="22"/>
      <c r="U163" s="14"/>
      <c r="V163" s="5" t="str">
        <f t="shared" si="367"/>
        <v>-</v>
      </c>
    </row>
    <row r="164" spans="1:22" ht="25.15" hidden="1" customHeight="1" x14ac:dyDescent="0.6">
      <c r="A164" s="30" t="s">
        <v>6</v>
      </c>
      <c r="B164" s="22"/>
      <c r="C164" s="22">
        <f t="shared" si="356"/>
        <v>0</v>
      </c>
      <c r="D164" s="22"/>
      <c r="E164" s="22"/>
      <c r="F164" s="22">
        <f t="shared" si="357"/>
        <v>0</v>
      </c>
      <c r="G164" s="22"/>
      <c r="H164" s="22"/>
      <c r="I164" s="22">
        <f t="shared" si="359"/>
        <v>0</v>
      </c>
      <c r="J164" s="22"/>
      <c r="K164" s="22"/>
      <c r="L164" s="22">
        <f t="shared" si="361"/>
        <v>0</v>
      </c>
      <c r="M164" s="22"/>
      <c r="N164" s="22"/>
      <c r="O164" s="22">
        <f t="shared" si="363"/>
        <v>0</v>
      </c>
      <c r="P164" s="22"/>
      <c r="Q164" s="22"/>
      <c r="R164" s="22">
        <f t="shared" si="365"/>
        <v>0</v>
      </c>
      <c r="S164" s="22"/>
      <c r="T164" s="22"/>
      <c r="U164" s="14"/>
      <c r="V164" s="5" t="str">
        <f t="shared" si="367"/>
        <v>-</v>
      </c>
    </row>
    <row r="165" spans="1:22" ht="25.15" hidden="1" customHeight="1" x14ac:dyDescent="0.6">
      <c r="A165" s="28" t="s">
        <v>4</v>
      </c>
      <c r="B165" s="26">
        <f>SUM(B166:B167)</f>
        <v>0</v>
      </c>
      <c r="C165" s="26">
        <f t="shared" si="356"/>
        <v>0</v>
      </c>
      <c r="D165" s="26">
        <f>SUM(D166:D167)</f>
        <v>0</v>
      </c>
      <c r="E165" s="26">
        <f>SUM(E166:E167)</f>
        <v>0</v>
      </c>
      <c r="F165" s="26">
        <f t="shared" si="357"/>
        <v>0</v>
      </c>
      <c r="G165" s="26">
        <f t="shared" ref="G165:H165" si="393">SUM(G166:G167)</f>
        <v>0</v>
      </c>
      <c r="H165" s="26">
        <f t="shared" si="393"/>
        <v>0</v>
      </c>
      <c r="I165" s="26">
        <f t="shared" si="359"/>
        <v>0</v>
      </c>
      <c r="J165" s="26">
        <f t="shared" ref="J165:K165" si="394">SUM(J166:J167)</f>
        <v>0</v>
      </c>
      <c r="K165" s="26">
        <f t="shared" si="394"/>
        <v>0</v>
      </c>
      <c r="L165" s="26">
        <f t="shared" si="361"/>
        <v>0</v>
      </c>
      <c r="M165" s="26">
        <f t="shared" ref="M165:N165" si="395">SUM(M166:M167)</f>
        <v>0</v>
      </c>
      <c r="N165" s="26">
        <f t="shared" si="395"/>
        <v>0</v>
      </c>
      <c r="O165" s="26">
        <f t="shared" si="363"/>
        <v>0</v>
      </c>
      <c r="P165" s="26">
        <f t="shared" ref="P165:Q165" si="396">SUM(P166:P167)</f>
        <v>0</v>
      </c>
      <c r="Q165" s="26">
        <f t="shared" si="396"/>
        <v>0</v>
      </c>
      <c r="R165" s="26">
        <f t="shared" si="365"/>
        <v>0</v>
      </c>
      <c r="S165" s="26">
        <f t="shared" ref="S165:T165" si="397">SUM(S166:S167)</f>
        <v>0</v>
      </c>
      <c r="T165" s="26">
        <f t="shared" si="397"/>
        <v>0</v>
      </c>
      <c r="U165" s="29"/>
      <c r="V165" s="5" t="str">
        <f t="shared" si="367"/>
        <v>-</v>
      </c>
    </row>
    <row r="166" spans="1:22" ht="25.15" hidden="1" customHeight="1" x14ac:dyDescent="0.6">
      <c r="A166" s="30" t="s">
        <v>7</v>
      </c>
      <c r="B166" s="22"/>
      <c r="C166" s="22">
        <f t="shared" si="356"/>
        <v>0</v>
      </c>
      <c r="D166" s="22"/>
      <c r="E166" s="22"/>
      <c r="F166" s="22">
        <f t="shared" si="357"/>
        <v>0</v>
      </c>
      <c r="G166" s="22"/>
      <c r="H166" s="22"/>
      <c r="I166" s="22">
        <f t="shared" si="359"/>
        <v>0</v>
      </c>
      <c r="J166" s="22"/>
      <c r="K166" s="22"/>
      <c r="L166" s="22">
        <f t="shared" si="361"/>
        <v>0</v>
      </c>
      <c r="M166" s="22"/>
      <c r="N166" s="22"/>
      <c r="O166" s="22">
        <f t="shared" si="363"/>
        <v>0</v>
      </c>
      <c r="P166" s="22"/>
      <c r="Q166" s="22"/>
      <c r="R166" s="22">
        <f t="shared" si="365"/>
        <v>0</v>
      </c>
      <c r="S166" s="22"/>
      <c r="T166" s="22"/>
      <c r="U166" s="14"/>
      <c r="V166" s="5" t="str">
        <f t="shared" si="367"/>
        <v>-</v>
      </c>
    </row>
    <row r="167" spans="1:22" ht="25.15" hidden="1" customHeight="1" x14ac:dyDescent="0.6">
      <c r="A167" s="30" t="s">
        <v>8</v>
      </c>
      <c r="B167" s="22"/>
      <c r="C167" s="22">
        <f t="shared" si="356"/>
        <v>0</v>
      </c>
      <c r="D167" s="22"/>
      <c r="E167" s="22"/>
      <c r="F167" s="22">
        <f t="shared" si="357"/>
        <v>0</v>
      </c>
      <c r="G167" s="22"/>
      <c r="H167" s="22"/>
      <c r="I167" s="22">
        <f t="shared" si="359"/>
        <v>0</v>
      </c>
      <c r="J167" s="22"/>
      <c r="K167" s="22"/>
      <c r="L167" s="22">
        <f t="shared" si="361"/>
        <v>0</v>
      </c>
      <c r="M167" s="22"/>
      <c r="N167" s="22"/>
      <c r="O167" s="22">
        <f t="shared" si="363"/>
        <v>0</v>
      </c>
      <c r="P167" s="22"/>
      <c r="Q167" s="22"/>
      <c r="R167" s="22">
        <f t="shared" si="365"/>
        <v>0</v>
      </c>
      <c r="S167" s="22"/>
      <c r="T167" s="22"/>
      <c r="U167" s="14"/>
      <c r="V167" s="5" t="str">
        <f t="shared" si="367"/>
        <v>-</v>
      </c>
    </row>
    <row r="168" spans="1:22" ht="25.15" customHeight="1" x14ac:dyDescent="0.6">
      <c r="A168" s="18" t="s">
        <v>37</v>
      </c>
      <c r="B168" s="23">
        <f>B169+B176</f>
        <v>30700</v>
      </c>
      <c r="C168" s="23">
        <f t="shared" si="356"/>
        <v>5000</v>
      </c>
      <c r="D168" s="23">
        <f>D169+D176</f>
        <v>0</v>
      </c>
      <c r="E168" s="23">
        <f>E169+E176</f>
        <v>5000</v>
      </c>
      <c r="F168" s="23">
        <f t="shared" si="357"/>
        <v>5000</v>
      </c>
      <c r="G168" s="23">
        <f t="shared" ref="G168:H168" si="398">G169+G176</f>
        <v>0</v>
      </c>
      <c r="H168" s="23">
        <f t="shared" si="398"/>
        <v>5000</v>
      </c>
      <c r="I168" s="23">
        <f t="shared" si="359"/>
        <v>0</v>
      </c>
      <c r="J168" s="23">
        <f t="shared" ref="J168:K168" si="399">J169+J176</f>
        <v>0</v>
      </c>
      <c r="K168" s="23">
        <f t="shared" si="399"/>
        <v>0</v>
      </c>
      <c r="L168" s="23">
        <f t="shared" si="361"/>
        <v>3320</v>
      </c>
      <c r="M168" s="23">
        <f t="shared" ref="M168:N168" si="400">M169+M176</f>
        <v>3320</v>
      </c>
      <c r="N168" s="23">
        <f t="shared" si="400"/>
        <v>0</v>
      </c>
      <c r="O168" s="23">
        <f t="shared" si="363"/>
        <v>0</v>
      </c>
      <c r="P168" s="23">
        <f t="shared" ref="P168:Q168" si="401">P169+P176</f>
        <v>0</v>
      </c>
      <c r="Q168" s="23">
        <f t="shared" si="401"/>
        <v>0</v>
      </c>
      <c r="R168" s="23">
        <f t="shared" si="365"/>
        <v>0</v>
      </c>
      <c r="S168" s="23">
        <f t="shared" ref="S168:T168" si="402">S169+S176</f>
        <v>0</v>
      </c>
      <c r="T168" s="23">
        <f t="shared" si="402"/>
        <v>0</v>
      </c>
      <c r="U168" s="20"/>
      <c r="V168" s="5" t="str">
        <f t="shared" si="367"/>
        <v>ok</v>
      </c>
    </row>
    <row r="169" spans="1:22" ht="25.15" customHeight="1" x14ac:dyDescent="0.6">
      <c r="A169" s="25" t="s">
        <v>2</v>
      </c>
      <c r="B169" s="26">
        <f>B170+B173</f>
        <v>30700</v>
      </c>
      <c r="C169" s="26">
        <f t="shared" si="356"/>
        <v>5000</v>
      </c>
      <c r="D169" s="26">
        <f>D170+D173</f>
        <v>0</v>
      </c>
      <c r="E169" s="26">
        <f>E170+E173</f>
        <v>5000</v>
      </c>
      <c r="F169" s="26">
        <f t="shared" si="357"/>
        <v>5000</v>
      </c>
      <c r="G169" s="26">
        <f t="shared" ref="G169:H169" si="403">G170+G173</f>
        <v>0</v>
      </c>
      <c r="H169" s="26">
        <f t="shared" si="403"/>
        <v>5000</v>
      </c>
      <c r="I169" s="26">
        <f t="shared" si="359"/>
        <v>0</v>
      </c>
      <c r="J169" s="26">
        <f t="shared" ref="J169:K169" si="404">J170+J173</f>
        <v>0</v>
      </c>
      <c r="K169" s="26">
        <f t="shared" si="404"/>
        <v>0</v>
      </c>
      <c r="L169" s="26">
        <f t="shared" si="361"/>
        <v>3320</v>
      </c>
      <c r="M169" s="26">
        <f t="shared" ref="M169:N169" si="405">M170+M173</f>
        <v>3320</v>
      </c>
      <c r="N169" s="26">
        <f t="shared" si="405"/>
        <v>0</v>
      </c>
      <c r="O169" s="26">
        <f t="shared" si="363"/>
        <v>0</v>
      </c>
      <c r="P169" s="26">
        <f t="shared" ref="P169:Q169" si="406">P170+P173</f>
        <v>0</v>
      </c>
      <c r="Q169" s="26">
        <f t="shared" si="406"/>
        <v>0</v>
      </c>
      <c r="R169" s="26">
        <f t="shared" si="365"/>
        <v>0</v>
      </c>
      <c r="S169" s="26">
        <f t="shared" ref="S169:T169" si="407">S170+S173</f>
        <v>0</v>
      </c>
      <c r="T169" s="26">
        <f t="shared" si="407"/>
        <v>0</v>
      </c>
      <c r="U169" s="27"/>
      <c r="V169" s="5" t="str">
        <f t="shared" si="367"/>
        <v>ok</v>
      </c>
    </row>
    <row r="170" spans="1:22" ht="25.15" customHeight="1" x14ac:dyDescent="0.6">
      <c r="A170" s="28" t="s">
        <v>3</v>
      </c>
      <c r="B170" s="26">
        <f>SUM(B171:B172)</f>
        <v>30700</v>
      </c>
      <c r="C170" s="26">
        <f t="shared" si="356"/>
        <v>5000</v>
      </c>
      <c r="D170" s="26">
        <f>SUM(D171:D172)</f>
        <v>0</v>
      </c>
      <c r="E170" s="26">
        <f>SUM(E171:E172)</f>
        <v>5000</v>
      </c>
      <c r="F170" s="26">
        <f t="shared" si="357"/>
        <v>5000</v>
      </c>
      <c r="G170" s="26">
        <f t="shared" ref="G170:H170" si="408">SUM(G171:G172)</f>
        <v>0</v>
      </c>
      <c r="H170" s="26">
        <f t="shared" si="408"/>
        <v>5000</v>
      </c>
      <c r="I170" s="26">
        <f t="shared" si="359"/>
        <v>0</v>
      </c>
      <c r="J170" s="26">
        <f t="shared" ref="J170:K170" si="409">SUM(J171:J172)</f>
        <v>0</v>
      </c>
      <c r="K170" s="26">
        <f t="shared" si="409"/>
        <v>0</v>
      </c>
      <c r="L170" s="26">
        <f t="shared" si="361"/>
        <v>3320</v>
      </c>
      <c r="M170" s="26">
        <f t="shared" ref="M170:N170" si="410">SUM(M171:M172)</f>
        <v>3320</v>
      </c>
      <c r="N170" s="26">
        <f t="shared" si="410"/>
        <v>0</v>
      </c>
      <c r="O170" s="26">
        <f t="shared" si="363"/>
        <v>0</v>
      </c>
      <c r="P170" s="26">
        <f t="shared" ref="P170:Q170" si="411">SUM(P171:P172)</f>
        <v>0</v>
      </c>
      <c r="Q170" s="26">
        <f t="shared" si="411"/>
        <v>0</v>
      </c>
      <c r="R170" s="26">
        <f t="shared" si="365"/>
        <v>0</v>
      </c>
      <c r="S170" s="26">
        <f t="shared" ref="S170:T170" si="412">SUM(S171:S172)</f>
        <v>0</v>
      </c>
      <c r="T170" s="26">
        <f t="shared" si="412"/>
        <v>0</v>
      </c>
      <c r="U170" s="29"/>
      <c r="V170" s="5" t="str">
        <f t="shared" si="367"/>
        <v>ok</v>
      </c>
    </row>
    <row r="171" spans="1:22" ht="50.5" x14ac:dyDescent="0.6">
      <c r="A171" s="30" t="s">
        <v>51</v>
      </c>
      <c r="B171" s="22">
        <v>30700</v>
      </c>
      <c r="C171" s="22">
        <f t="shared" si="356"/>
        <v>5000</v>
      </c>
      <c r="D171" s="22"/>
      <c r="E171" s="22">
        <v>5000</v>
      </c>
      <c r="F171" s="22">
        <f t="shared" si="357"/>
        <v>5000</v>
      </c>
      <c r="G171" s="22"/>
      <c r="H171" s="22">
        <v>5000</v>
      </c>
      <c r="I171" s="22">
        <f t="shared" si="359"/>
        <v>0</v>
      </c>
      <c r="J171" s="22"/>
      <c r="K171" s="22"/>
      <c r="L171" s="22">
        <f t="shared" si="361"/>
        <v>3320</v>
      </c>
      <c r="M171" s="22">
        <v>3320</v>
      </c>
      <c r="N171" s="22"/>
      <c r="O171" s="22">
        <f t="shared" si="363"/>
        <v>0</v>
      </c>
      <c r="P171" s="22"/>
      <c r="Q171" s="22"/>
      <c r="R171" s="22">
        <f t="shared" si="365"/>
        <v>0</v>
      </c>
      <c r="S171" s="22"/>
      <c r="T171" s="22"/>
      <c r="U171" s="14"/>
      <c r="V171" s="5" t="str">
        <f t="shared" si="367"/>
        <v>ok</v>
      </c>
    </row>
    <row r="172" spans="1:22" ht="25.5" hidden="1" customHeight="1" x14ac:dyDescent="0.6">
      <c r="A172" s="30" t="s">
        <v>6</v>
      </c>
      <c r="B172" s="22"/>
      <c r="C172" s="22">
        <f t="shared" si="356"/>
        <v>0</v>
      </c>
      <c r="D172" s="22"/>
      <c r="E172" s="22"/>
      <c r="F172" s="22">
        <f t="shared" si="357"/>
        <v>0</v>
      </c>
      <c r="G172" s="22"/>
      <c r="H172" s="22"/>
      <c r="I172" s="22">
        <f t="shared" si="359"/>
        <v>0</v>
      </c>
      <c r="J172" s="22"/>
      <c r="K172" s="22"/>
      <c r="L172" s="22">
        <f t="shared" si="361"/>
        <v>0</v>
      </c>
      <c r="M172" s="22"/>
      <c r="N172" s="22"/>
      <c r="O172" s="22">
        <f t="shared" si="363"/>
        <v>0</v>
      </c>
      <c r="P172" s="22"/>
      <c r="Q172" s="22"/>
      <c r="R172" s="22">
        <f t="shared" si="365"/>
        <v>0</v>
      </c>
      <c r="S172" s="22"/>
      <c r="T172" s="22"/>
      <c r="U172" s="14"/>
      <c r="V172" s="5" t="str">
        <f t="shared" si="367"/>
        <v>-</v>
      </c>
    </row>
    <row r="173" spans="1:22" ht="25.15" hidden="1" customHeight="1" x14ac:dyDescent="0.6">
      <c r="A173" s="28" t="s">
        <v>4</v>
      </c>
      <c r="B173" s="26">
        <f>SUM(B174:B175)</f>
        <v>0</v>
      </c>
      <c r="C173" s="26">
        <f t="shared" si="356"/>
        <v>0</v>
      </c>
      <c r="D173" s="26">
        <f>SUM(D174:D175)</f>
        <v>0</v>
      </c>
      <c r="E173" s="26">
        <f>SUM(E174:E175)</f>
        <v>0</v>
      </c>
      <c r="F173" s="26">
        <f t="shared" si="357"/>
        <v>0</v>
      </c>
      <c r="G173" s="26">
        <f t="shared" ref="G173:H173" si="413">SUM(G174:G175)</f>
        <v>0</v>
      </c>
      <c r="H173" s="26">
        <f t="shared" si="413"/>
        <v>0</v>
      </c>
      <c r="I173" s="26">
        <f t="shared" si="359"/>
        <v>0</v>
      </c>
      <c r="J173" s="26">
        <f t="shared" ref="J173:K173" si="414">SUM(J174:J175)</f>
        <v>0</v>
      </c>
      <c r="K173" s="26">
        <f t="shared" si="414"/>
        <v>0</v>
      </c>
      <c r="L173" s="26">
        <f t="shared" si="361"/>
        <v>0</v>
      </c>
      <c r="M173" s="26">
        <f t="shared" ref="M173:N173" si="415">SUM(M174:M175)</f>
        <v>0</v>
      </c>
      <c r="N173" s="26">
        <f t="shared" si="415"/>
        <v>0</v>
      </c>
      <c r="O173" s="26">
        <f t="shared" si="363"/>
        <v>0</v>
      </c>
      <c r="P173" s="26">
        <f t="shared" ref="P173:Q173" si="416">SUM(P174:P175)</f>
        <v>0</v>
      </c>
      <c r="Q173" s="26">
        <f t="shared" si="416"/>
        <v>0</v>
      </c>
      <c r="R173" s="26">
        <f t="shared" si="365"/>
        <v>0</v>
      </c>
      <c r="S173" s="26">
        <f t="shared" ref="S173:T173" si="417">SUM(S174:S175)</f>
        <v>0</v>
      </c>
      <c r="T173" s="26">
        <f t="shared" si="417"/>
        <v>0</v>
      </c>
      <c r="U173" s="29"/>
      <c r="V173" s="5" t="str">
        <f t="shared" si="367"/>
        <v>-</v>
      </c>
    </row>
    <row r="174" spans="1:22" ht="25.15" hidden="1" customHeight="1" x14ac:dyDescent="0.6">
      <c r="A174" s="30" t="s">
        <v>7</v>
      </c>
      <c r="B174" s="22"/>
      <c r="C174" s="22">
        <f t="shared" si="356"/>
        <v>0</v>
      </c>
      <c r="D174" s="22"/>
      <c r="E174" s="22"/>
      <c r="F174" s="22">
        <f t="shared" si="357"/>
        <v>0</v>
      </c>
      <c r="G174" s="22"/>
      <c r="H174" s="22"/>
      <c r="I174" s="22">
        <f t="shared" si="359"/>
        <v>0</v>
      </c>
      <c r="J174" s="22"/>
      <c r="K174" s="22"/>
      <c r="L174" s="22">
        <f t="shared" si="361"/>
        <v>0</v>
      </c>
      <c r="M174" s="22"/>
      <c r="N174" s="22"/>
      <c r="O174" s="22">
        <f t="shared" si="363"/>
        <v>0</v>
      </c>
      <c r="P174" s="22"/>
      <c r="Q174" s="22"/>
      <c r="R174" s="22">
        <f t="shared" si="365"/>
        <v>0</v>
      </c>
      <c r="S174" s="22"/>
      <c r="T174" s="22"/>
      <c r="U174" s="14"/>
      <c r="V174" s="5" t="str">
        <f t="shared" si="367"/>
        <v>-</v>
      </c>
    </row>
    <row r="175" spans="1:22" ht="25.15" hidden="1" customHeight="1" x14ac:dyDescent="0.6">
      <c r="A175" s="30" t="s">
        <v>8</v>
      </c>
      <c r="B175" s="22"/>
      <c r="C175" s="22">
        <f t="shared" si="356"/>
        <v>0</v>
      </c>
      <c r="D175" s="22"/>
      <c r="E175" s="22"/>
      <c r="F175" s="22">
        <f t="shared" si="357"/>
        <v>0</v>
      </c>
      <c r="G175" s="22"/>
      <c r="H175" s="22"/>
      <c r="I175" s="22">
        <f t="shared" si="359"/>
        <v>0</v>
      </c>
      <c r="J175" s="22"/>
      <c r="K175" s="22"/>
      <c r="L175" s="22">
        <f t="shared" si="361"/>
        <v>0</v>
      </c>
      <c r="M175" s="22"/>
      <c r="N175" s="22"/>
      <c r="O175" s="22">
        <f t="shared" si="363"/>
        <v>0</v>
      </c>
      <c r="P175" s="22"/>
      <c r="Q175" s="22"/>
      <c r="R175" s="22">
        <f t="shared" si="365"/>
        <v>0</v>
      </c>
      <c r="S175" s="22"/>
      <c r="T175" s="22"/>
      <c r="U175" s="14"/>
      <c r="V175" s="5" t="str">
        <f t="shared" si="367"/>
        <v>-</v>
      </c>
    </row>
    <row r="176" spans="1:22" ht="25.15" hidden="1" customHeight="1" x14ac:dyDescent="0.6">
      <c r="A176" s="25" t="s">
        <v>9</v>
      </c>
      <c r="B176" s="26">
        <f>B177+B180</f>
        <v>0</v>
      </c>
      <c r="C176" s="26">
        <f t="shared" si="356"/>
        <v>0</v>
      </c>
      <c r="D176" s="26">
        <f>D177+D180</f>
        <v>0</v>
      </c>
      <c r="E176" s="26">
        <f>E177+E180</f>
        <v>0</v>
      </c>
      <c r="F176" s="26">
        <f t="shared" si="357"/>
        <v>0</v>
      </c>
      <c r="G176" s="26">
        <f t="shared" ref="G176:H176" si="418">G177+G180</f>
        <v>0</v>
      </c>
      <c r="H176" s="26">
        <f t="shared" si="418"/>
        <v>0</v>
      </c>
      <c r="I176" s="26">
        <f t="shared" si="359"/>
        <v>0</v>
      </c>
      <c r="J176" s="26">
        <f t="shared" ref="J176:K176" si="419">J177+J180</f>
        <v>0</v>
      </c>
      <c r="K176" s="26">
        <f t="shared" si="419"/>
        <v>0</v>
      </c>
      <c r="L176" s="26">
        <f t="shared" si="361"/>
        <v>0</v>
      </c>
      <c r="M176" s="26">
        <f t="shared" ref="M176:N176" si="420">M177+M180</f>
        <v>0</v>
      </c>
      <c r="N176" s="26">
        <f t="shared" si="420"/>
        <v>0</v>
      </c>
      <c r="O176" s="26">
        <f t="shared" si="363"/>
        <v>0</v>
      </c>
      <c r="P176" s="26">
        <f t="shared" ref="P176:Q176" si="421">P177+P180</f>
        <v>0</v>
      </c>
      <c r="Q176" s="26">
        <f t="shared" si="421"/>
        <v>0</v>
      </c>
      <c r="R176" s="26">
        <f t="shared" si="365"/>
        <v>0</v>
      </c>
      <c r="S176" s="26">
        <f t="shared" ref="S176:T176" si="422">S177+S180</f>
        <v>0</v>
      </c>
      <c r="T176" s="26">
        <f t="shared" si="422"/>
        <v>0</v>
      </c>
      <c r="U176" s="27"/>
      <c r="V176" s="5" t="str">
        <f t="shared" si="367"/>
        <v>-</v>
      </c>
    </row>
    <row r="177" spans="1:22" ht="25.15" hidden="1" customHeight="1" x14ac:dyDescent="0.6">
      <c r="A177" s="28" t="s">
        <v>3</v>
      </c>
      <c r="B177" s="26">
        <f>SUM(B178:B179)</f>
        <v>0</v>
      </c>
      <c r="C177" s="26">
        <f t="shared" si="356"/>
        <v>0</v>
      </c>
      <c r="D177" s="26">
        <f>SUM(D178:D179)</f>
        <v>0</v>
      </c>
      <c r="E177" s="26">
        <f>SUM(E178:E179)</f>
        <v>0</v>
      </c>
      <c r="F177" s="26">
        <f t="shared" si="357"/>
        <v>0</v>
      </c>
      <c r="G177" s="26">
        <f t="shared" ref="G177:H177" si="423">SUM(G178:G179)</f>
        <v>0</v>
      </c>
      <c r="H177" s="26">
        <f t="shared" si="423"/>
        <v>0</v>
      </c>
      <c r="I177" s="26">
        <f t="shared" si="359"/>
        <v>0</v>
      </c>
      <c r="J177" s="26">
        <f t="shared" ref="J177:K177" si="424">SUM(J178:J179)</f>
        <v>0</v>
      </c>
      <c r="K177" s="26">
        <f t="shared" si="424"/>
        <v>0</v>
      </c>
      <c r="L177" s="26">
        <f t="shared" si="361"/>
        <v>0</v>
      </c>
      <c r="M177" s="26">
        <f t="shared" ref="M177:N177" si="425">SUM(M178:M179)</f>
        <v>0</v>
      </c>
      <c r="N177" s="26">
        <f t="shared" si="425"/>
        <v>0</v>
      </c>
      <c r="O177" s="26">
        <f t="shared" si="363"/>
        <v>0</v>
      </c>
      <c r="P177" s="26">
        <f t="shared" ref="P177:Q177" si="426">SUM(P178:P179)</f>
        <v>0</v>
      </c>
      <c r="Q177" s="26">
        <f t="shared" si="426"/>
        <v>0</v>
      </c>
      <c r="R177" s="26">
        <f t="shared" si="365"/>
        <v>0</v>
      </c>
      <c r="S177" s="26">
        <f t="shared" ref="S177:T177" si="427">SUM(S178:S179)</f>
        <v>0</v>
      </c>
      <c r="T177" s="26">
        <f t="shared" si="427"/>
        <v>0</v>
      </c>
      <c r="U177" s="29"/>
      <c r="V177" s="5" t="str">
        <f t="shared" si="367"/>
        <v>-</v>
      </c>
    </row>
    <row r="178" spans="1:22" ht="25.15" hidden="1" customHeight="1" x14ac:dyDescent="0.6">
      <c r="A178" s="30" t="s">
        <v>5</v>
      </c>
      <c r="B178" s="22"/>
      <c r="C178" s="22">
        <f t="shared" si="356"/>
        <v>0</v>
      </c>
      <c r="D178" s="22"/>
      <c r="E178" s="22"/>
      <c r="F178" s="22">
        <f t="shared" si="357"/>
        <v>0</v>
      </c>
      <c r="G178" s="22"/>
      <c r="H178" s="22"/>
      <c r="I178" s="22">
        <f t="shared" si="359"/>
        <v>0</v>
      </c>
      <c r="J178" s="22"/>
      <c r="K178" s="22"/>
      <c r="L178" s="22">
        <f t="shared" si="361"/>
        <v>0</v>
      </c>
      <c r="M178" s="22"/>
      <c r="N178" s="22"/>
      <c r="O178" s="22">
        <f t="shared" si="363"/>
        <v>0</v>
      </c>
      <c r="P178" s="22"/>
      <c r="Q178" s="22"/>
      <c r="R178" s="22">
        <f t="shared" si="365"/>
        <v>0</v>
      </c>
      <c r="S178" s="22"/>
      <c r="T178" s="22"/>
      <c r="U178" s="14"/>
      <c r="V178" s="5" t="str">
        <f t="shared" si="367"/>
        <v>-</v>
      </c>
    </row>
    <row r="179" spans="1:22" ht="25.15" hidden="1" customHeight="1" x14ac:dyDescent="0.6">
      <c r="A179" s="30" t="s">
        <v>6</v>
      </c>
      <c r="B179" s="22"/>
      <c r="C179" s="22">
        <f t="shared" si="356"/>
        <v>0</v>
      </c>
      <c r="D179" s="22"/>
      <c r="E179" s="22"/>
      <c r="F179" s="22">
        <f t="shared" si="357"/>
        <v>0</v>
      </c>
      <c r="G179" s="22"/>
      <c r="H179" s="22"/>
      <c r="I179" s="22">
        <f t="shared" si="359"/>
        <v>0</v>
      </c>
      <c r="J179" s="22"/>
      <c r="K179" s="22"/>
      <c r="L179" s="22">
        <f t="shared" si="361"/>
        <v>0</v>
      </c>
      <c r="M179" s="22"/>
      <c r="N179" s="22"/>
      <c r="O179" s="22">
        <f t="shared" si="363"/>
        <v>0</v>
      </c>
      <c r="P179" s="22"/>
      <c r="Q179" s="22"/>
      <c r="R179" s="22">
        <f t="shared" si="365"/>
        <v>0</v>
      </c>
      <c r="S179" s="22"/>
      <c r="T179" s="22"/>
      <c r="U179" s="14"/>
      <c r="V179" s="5" t="str">
        <f t="shared" si="367"/>
        <v>-</v>
      </c>
    </row>
    <row r="180" spans="1:22" ht="25.15" hidden="1" customHeight="1" x14ac:dyDescent="0.6">
      <c r="A180" s="28" t="s">
        <v>4</v>
      </c>
      <c r="B180" s="26">
        <f>SUM(B181:B182)</f>
        <v>0</v>
      </c>
      <c r="C180" s="26">
        <f t="shared" si="356"/>
        <v>0</v>
      </c>
      <c r="D180" s="26">
        <f>SUM(D181:D182)</f>
        <v>0</v>
      </c>
      <c r="E180" s="26">
        <f>SUM(E181:E182)</f>
        <v>0</v>
      </c>
      <c r="F180" s="26">
        <f t="shared" si="357"/>
        <v>0</v>
      </c>
      <c r="G180" s="26">
        <f t="shared" ref="G180:H180" si="428">SUM(G181:G182)</f>
        <v>0</v>
      </c>
      <c r="H180" s="26">
        <f t="shared" si="428"/>
        <v>0</v>
      </c>
      <c r="I180" s="26">
        <f t="shared" si="359"/>
        <v>0</v>
      </c>
      <c r="J180" s="26">
        <f t="shared" ref="J180:K180" si="429">SUM(J181:J182)</f>
        <v>0</v>
      </c>
      <c r="K180" s="26">
        <f t="shared" si="429"/>
        <v>0</v>
      </c>
      <c r="L180" s="26">
        <f t="shared" si="361"/>
        <v>0</v>
      </c>
      <c r="M180" s="26">
        <f t="shared" ref="M180:N180" si="430">SUM(M181:M182)</f>
        <v>0</v>
      </c>
      <c r="N180" s="26">
        <f t="shared" si="430"/>
        <v>0</v>
      </c>
      <c r="O180" s="26">
        <f t="shared" si="363"/>
        <v>0</v>
      </c>
      <c r="P180" s="26">
        <f t="shared" ref="P180:Q180" si="431">SUM(P181:P182)</f>
        <v>0</v>
      </c>
      <c r="Q180" s="26">
        <f t="shared" si="431"/>
        <v>0</v>
      </c>
      <c r="R180" s="26">
        <f t="shared" si="365"/>
        <v>0</v>
      </c>
      <c r="S180" s="26">
        <f t="shared" ref="S180:T180" si="432">SUM(S181:S182)</f>
        <v>0</v>
      </c>
      <c r="T180" s="26">
        <f t="shared" si="432"/>
        <v>0</v>
      </c>
      <c r="U180" s="29"/>
      <c r="V180" s="5" t="str">
        <f t="shared" si="367"/>
        <v>-</v>
      </c>
    </row>
    <row r="181" spans="1:22" ht="25.15" hidden="1" customHeight="1" x14ac:dyDescent="0.6">
      <c r="A181" s="30" t="s">
        <v>7</v>
      </c>
      <c r="B181" s="22"/>
      <c r="C181" s="22">
        <f t="shared" si="356"/>
        <v>0</v>
      </c>
      <c r="D181" s="22"/>
      <c r="E181" s="22"/>
      <c r="F181" s="22">
        <f t="shared" si="357"/>
        <v>0</v>
      </c>
      <c r="G181" s="22"/>
      <c r="H181" s="22"/>
      <c r="I181" s="22">
        <f t="shared" si="359"/>
        <v>0</v>
      </c>
      <c r="J181" s="22"/>
      <c r="K181" s="22"/>
      <c r="L181" s="22">
        <f t="shared" si="361"/>
        <v>0</v>
      </c>
      <c r="M181" s="22"/>
      <c r="N181" s="22"/>
      <c r="O181" s="22">
        <f t="shared" si="363"/>
        <v>0</v>
      </c>
      <c r="P181" s="22"/>
      <c r="Q181" s="22"/>
      <c r="R181" s="22">
        <f t="shared" si="365"/>
        <v>0</v>
      </c>
      <c r="S181" s="22"/>
      <c r="T181" s="22"/>
      <c r="U181" s="14"/>
      <c r="V181" s="5" t="str">
        <f t="shared" si="367"/>
        <v>-</v>
      </c>
    </row>
    <row r="182" spans="1:22" ht="25.15" hidden="1" customHeight="1" x14ac:dyDescent="0.6">
      <c r="A182" s="30" t="s">
        <v>8</v>
      </c>
      <c r="B182" s="22"/>
      <c r="C182" s="22">
        <f t="shared" si="356"/>
        <v>0</v>
      </c>
      <c r="D182" s="22"/>
      <c r="E182" s="22"/>
      <c r="F182" s="22">
        <f t="shared" si="357"/>
        <v>0</v>
      </c>
      <c r="G182" s="22"/>
      <c r="H182" s="22"/>
      <c r="I182" s="22">
        <f t="shared" si="359"/>
        <v>0</v>
      </c>
      <c r="J182" s="22"/>
      <c r="K182" s="22"/>
      <c r="L182" s="22">
        <f t="shared" si="361"/>
        <v>0</v>
      </c>
      <c r="M182" s="22"/>
      <c r="N182" s="22"/>
      <c r="O182" s="22">
        <f t="shared" si="363"/>
        <v>0</v>
      </c>
      <c r="P182" s="22"/>
      <c r="Q182" s="22"/>
      <c r="R182" s="22">
        <f t="shared" si="365"/>
        <v>0</v>
      </c>
      <c r="S182" s="22"/>
      <c r="T182" s="22"/>
      <c r="U182" s="14"/>
      <c r="V182" s="5" t="str">
        <f t="shared" si="367"/>
        <v>-</v>
      </c>
    </row>
    <row r="183" spans="1:22" ht="25.15" hidden="1" customHeight="1" x14ac:dyDescent="0.6">
      <c r="A183" s="18" t="s">
        <v>38</v>
      </c>
      <c r="B183" s="23">
        <f>B184+B191</f>
        <v>0</v>
      </c>
      <c r="C183" s="23">
        <f t="shared" si="356"/>
        <v>0</v>
      </c>
      <c r="D183" s="23">
        <f>D184+D191</f>
        <v>0</v>
      </c>
      <c r="E183" s="23">
        <f>E184+E191</f>
        <v>0</v>
      </c>
      <c r="F183" s="23">
        <f t="shared" si="357"/>
        <v>0</v>
      </c>
      <c r="G183" s="23">
        <f t="shared" ref="G183:H183" si="433">G184+G191</f>
        <v>0</v>
      </c>
      <c r="H183" s="23">
        <f t="shared" si="433"/>
        <v>0</v>
      </c>
      <c r="I183" s="23">
        <f t="shared" si="359"/>
        <v>0</v>
      </c>
      <c r="J183" s="23">
        <f t="shared" ref="J183:K183" si="434">J184+J191</f>
        <v>0</v>
      </c>
      <c r="K183" s="23">
        <f t="shared" si="434"/>
        <v>0</v>
      </c>
      <c r="L183" s="23">
        <f t="shared" si="361"/>
        <v>0</v>
      </c>
      <c r="M183" s="23">
        <f t="shared" ref="M183:N183" si="435">M184+M191</f>
        <v>0</v>
      </c>
      <c r="N183" s="23">
        <f t="shared" si="435"/>
        <v>0</v>
      </c>
      <c r="O183" s="23">
        <f t="shared" si="363"/>
        <v>0</v>
      </c>
      <c r="P183" s="23">
        <f t="shared" ref="P183:Q183" si="436">P184+P191</f>
        <v>0</v>
      </c>
      <c r="Q183" s="23">
        <f t="shared" si="436"/>
        <v>0</v>
      </c>
      <c r="R183" s="23">
        <f t="shared" si="365"/>
        <v>0</v>
      </c>
      <c r="S183" s="23">
        <f t="shared" ref="S183:T183" si="437">S184+S191</f>
        <v>0</v>
      </c>
      <c r="T183" s="23">
        <f t="shared" si="437"/>
        <v>0</v>
      </c>
      <c r="U183" s="20"/>
      <c r="V183" s="5" t="str">
        <f t="shared" si="367"/>
        <v>-</v>
      </c>
    </row>
    <row r="184" spans="1:22" ht="25.15" hidden="1" customHeight="1" x14ac:dyDescent="0.6">
      <c r="A184" s="25" t="s">
        <v>2</v>
      </c>
      <c r="B184" s="26">
        <f>B185+B188</f>
        <v>0</v>
      </c>
      <c r="C184" s="26">
        <f t="shared" si="356"/>
        <v>0</v>
      </c>
      <c r="D184" s="26">
        <f>D185+D188</f>
        <v>0</v>
      </c>
      <c r="E184" s="26">
        <f>E185+E188</f>
        <v>0</v>
      </c>
      <c r="F184" s="26">
        <f t="shared" si="357"/>
        <v>0</v>
      </c>
      <c r="G184" s="26">
        <f t="shared" ref="G184:H184" si="438">G185+G188</f>
        <v>0</v>
      </c>
      <c r="H184" s="26">
        <f t="shared" si="438"/>
        <v>0</v>
      </c>
      <c r="I184" s="26">
        <f t="shared" si="359"/>
        <v>0</v>
      </c>
      <c r="J184" s="26">
        <f t="shared" ref="J184:K184" si="439">J185+J188</f>
        <v>0</v>
      </c>
      <c r="K184" s="26">
        <f t="shared" si="439"/>
        <v>0</v>
      </c>
      <c r="L184" s="26">
        <f t="shared" si="361"/>
        <v>0</v>
      </c>
      <c r="M184" s="26">
        <f t="shared" ref="M184:N184" si="440">M185+M188</f>
        <v>0</v>
      </c>
      <c r="N184" s="26">
        <f t="shared" si="440"/>
        <v>0</v>
      </c>
      <c r="O184" s="26">
        <f t="shared" si="363"/>
        <v>0</v>
      </c>
      <c r="P184" s="26">
        <f t="shared" ref="P184:Q184" si="441">P185+P188</f>
        <v>0</v>
      </c>
      <c r="Q184" s="26">
        <f t="shared" si="441"/>
        <v>0</v>
      </c>
      <c r="R184" s="26">
        <f t="shared" si="365"/>
        <v>0</v>
      </c>
      <c r="S184" s="26">
        <f t="shared" ref="S184:T184" si="442">S185+S188</f>
        <v>0</v>
      </c>
      <c r="T184" s="26">
        <f t="shared" si="442"/>
        <v>0</v>
      </c>
      <c r="U184" s="27"/>
      <c r="V184" s="5" t="str">
        <f t="shared" si="367"/>
        <v>-</v>
      </c>
    </row>
    <row r="185" spans="1:22" ht="25.15" hidden="1" customHeight="1" x14ac:dyDescent="0.6">
      <c r="A185" s="28" t="s">
        <v>3</v>
      </c>
      <c r="B185" s="26">
        <f>SUM(B186:B187)</f>
        <v>0</v>
      </c>
      <c r="C185" s="26">
        <f t="shared" si="356"/>
        <v>0</v>
      </c>
      <c r="D185" s="26">
        <f>SUM(D186:D187)</f>
        <v>0</v>
      </c>
      <c r="E185" s="26">
        <f>SUM(E186:E187)</f>
        <v>0</v>
      </c>
      <c r="F185" s="26">
        <f t="shared" si="357"/>
        <v>0</v>
      </c>
      <c r="G185" s="26">
        <f t="shared" ref="G185:H185" si="443">SUM(G186:G187)</f>
        <v>0</v>
      </c>
      <c r="H185" s="26">
        <f t="shared" si="443"/>
        <v>0</v>
      </c>
      <c r="I185" s="26">
        <f t="shared" si="359"/>
        <v>0</v>
      </c>
      <c r="J185" s="26">
        <f t="shared" ref="J185:K185" si="444">SUM(J186:J187)</f>
        <v>0</v>
      </c>
      <c r="K185" s="26">
        <f t="shared" si="444"/>
        <v>0</v>
      </c>
      <c r="L185" s="26">
        <f t="shared" si="361"/>
        <v>0</v>
      </c>
      <c r="M185" s="26">
        <f t="shared" ref="M185:N185" si="445">SUM(M186:M187)</f>
        <v>0</v>
      </c>
      <c r="N185" s="26">
        <f t="shared" si="445"/>
        <v>0</v>
      </c>
      <c r="O185" s="26">
        <f t="shared" si="363"/>
        <v>0</v>
      </c>
      <c r="P185" s="26">
        <f t="shared" ref="P185:Q185" si="446">SUM(P186:P187)</f>
        <v>0</v>
      </c>
      <c r="Q185" s="26">
        <f t="shared" si="446"/>
        <v>0</v>
      </c>
      <c r="R185" s="26">
        <f t="shared" si="365"/>
        <v>0</v>
      </c>
      <c r="S185" s="26">
        <f t="shared" ref="S185:T185" si="447">SUM(S186:S187)</f>
        <v>0</v>
      </c>
      <c r="T185" s="26">
        <f t="shared" si="447"/>
        <v>0</v>
      </c>
      <c r="U185" s="29"/>
      <c r="V185" s="5" t="str">
        <f t="shared" si="367"/>
        <v>-</v>
      </c>
    </row>
    <row r="186" spans="1:22" ht="25.15" hidden="1" customHeight="1" x14ac:dyDescent="0.6">
      <c r="A186" s="30" t="s">
        <v>5</v>
      </c>
      <c r="B186" s="22"/>
      <c r="C186" s="22">
        <f t="shared" si="356"/>
        <v>0</v>
      </c>
      <c r="D186" s="22"/>
      <c r="E186" s="22"/>
      <c r="F186" s="22">
        <f t="shared" si="357"/>
        <v>0</v>
      </c>
      <c r="G186" s="22"/>
      <c r="H186" s="22"/>
      <c r="I186" s="22">
        <f t="shared" si="359"/>
        <v>0</v>
      </c>
      <c r="J186" s="22"/>
      <c r="K186" s="22"/>
      <c r="L186" s="22">
        <f t="shared" si="361"/>
        <v>0</v>
      </c>
      <c r="M186" s="22"/>
      <c r="N186" s="22"/>
      <c r="O186" s="22">
        <f t="shared" si="363"/>
        <v>0</v>
      </c>
      <c r="P186" s="22"/>
      <c r="Q186" s="22"/>
      <c r="R186" s="22">
        <f t="shared" si="365"/>
        <v>0</v>
      </c>
      <c r="S186" s="22"/>
      <c r="T186" s="22"/>
      <c r="U186" s="14"/>
      <c r="V186" s="5" t="str">
        <f t="shared" si="367"/>
        <v>-</v>
      </c>
    </row>
    <row r="187" spans="1:22" ht="25.5" hidden="1" customHeight="1" x14ac:dyDescent="0.6">
      <c r="A187" s="30" t="s">
        <v>6</v>
      </c>
      <c r="B187" s="22"/>
      <c r="C187" s="22">
        <f t="shared" si="356"/>
        <v>0</v>
      </c>
      <c r="D187" s="22"/>
      <c r="E187" s="22"/>
      <c r="F187" s="22">
        <f t="shared" si="357"/>
        <v>0</v>
      </c>
      <c r="G187" s="22"/>
      <c r="H187" s="22"/>
      <c r="I187" s="22">
        <f t="shared" si="359"/>
        <v>0</v>
      </c>
      <c r="J187" s="22"/>
      <c r="K187" s="22"/>
      <c r="L187" s="22">
        <f t="shared" si="361"/>
        <v>0</v>
      </c>
      <c r="M187" s="22"/>
      <c r="N187" s="22"/>
      <c r="O187" s="22">
        <f t="shared" si="363"/>
        <v>0</v>
      </c>
      <c r="P187" s="22"/>
      <c r="Q187" s="22"/>
      <c r="R187" s="22">
        <f t="shared" si="365"/>
        <v>0</v>
      </c>
      <c r="S187" s="22"/>
      <c r="T187" s="22"/>
      <c r="U187" s="14"/>
      <c r="V187" s="5" t="str">
        <f t="shared" si="367"/>
        <v>-</v>
      </c>
    </row>
    <row r="188" spans="1:22" ht="25.15" hidden="1" customHeight="1" x14ac:dyDescent="0.6">
      <c r="A188" s="28" t="s">
        <v>4</v>
      </c>
      <c r="B188" s="26">
        <f>SUM(B189:B190)</f>
        <v>0</v>
      </c>
      <c r="C188" s="26">
        <f t="shared" si="356"/>
        <v>0</v>
      </c>
      <c r="D188" s="26">
        <f>SUM(D189:D190)</f>
        <v>0</v>
      </c>
      <c r="E188" s="26">
        <f>SUM(E189:E190)</f>
        <v>0</v>
      </c>
      <c r="F188" s="26">
        <f t="shared" si="357"/>
        <v>0</v>
      </c>
      <c r="G188" s="26">
        <f t="shared" ref="G188:H188" si="448">SUM(G189:G190)</f>
        <v>0</v>
      </c>
      <c r="H188" s="26">
        <f t="shared" si="448"/>
        <v>0</v>
      </c>
      <c r="I188" s="26">
        <f t="shared" si="359"/>
        <v>0</v>
      </c>
      <c r="J188" s="26">
        <f t="shared" ref="J188:K188" si="449">SUM(J189:J190)</f>
        <v>0</v>
      </c>
      <c r="K188" s="26">
        <f t="shared" si="449"/>
        <v>0</v>
      </c>
      <c r="L188" s="26">
        <f t="shared" si="361"/>
        <v>0</v>
      </c>
      <c r="M188" s="26">
        <f t="shared" ref="M188:N188" si="450">SUM(M189:M190)</f>
        <v>0</v>
      </c>
      <c r="N188" s="26">
        <f t="shared" si="450"/>
        <v>0</v>
      </c>
      <c r="O188" s="26">
        <f t="shared" si="363"/>
        <v>0</v>
      </c>
      <c r="P188" s="26">
        <f t="shared" ref="P188:Q188" si="451">SUM(P189:P190)</f>
        <v>0</v>
      </c>
      <c r="Q188" s="26">
        <f t="shared" si="451"/>
        <v>0</v>
      </c>
      <c r="R188" s="26">
        <f t="shared" si="365"/>
        <v>0</v>
      </c>
      <c r="S188" s="26">
        <f t="shared" ref="S188:T188" si="452">SUM(S189:S190)</f>
        <v>0</v>
      </c>
      <c r="T188" s="26">
        <f t="shared" si="452"/>
        <v>0</v>
      </c>
      <c r="U188" s="29"/>
      <c r="V188" s="5" t="str">
        <f t="shared" si="367"/>
        <v>-</v>
      </c>
    </row>
    <row r="189" spans="1:22" ht="25.15" hidden="1" customHeight="1" x14ac:dyDescent="0.6">
      <c r="A189" s="30" t="s">
        <v>7</v>
      </c>
      <c r="B189" s="22"/>
      <c r="C189" s="22">
        <f t="shared" si="356"/>
        <v>0</v>
      </c>
      <c r="D189" s="22"/>
      <c r="E189" s="22"/>
      <c r="F189" s="22">
        <f t="shared" si="357"/>
        <v>0</v>
      </c>
      <c r="G189" s="22"/>
      <c r="H189" s="22"/>
      <c r="I189" s="22">
        <f t="shared" si="359"/>
        <v>0</v>
      </c>
      <c r="J189" s="22"/>
      <c r="K189" s="22"/>
      <c r="L189" s="22">
        <f t="shared" si="361"/>
        <v>0</v>
      </c>
      <c r="M189" s="22"/>
      <c r="N189" s="22"/>
      <c r="O189" s="22">
        <f t="shared" si="363"/>
        <v>0</v>
      </c>
      <c r="P189" s="22"/>
      <c r="Q189" s="22"/>
      <c r="R189" s="22">
        <f t="shared" si="365"/>
        <v>0</v>
      </c>
      <c r="S189" s="22"/>
      <c r="T189" s="22"/>
      <c r="U189" s="14"/>
      <c r="V189" s="5" t="str">
        <f t="shared" si="367"/>
        <v>-</v>
      </c>
    </row>
    <row r="190" spans="1:22" ht="25.15" hidden="1" customHeight="1" x14ac:dyDescent="0.6">
      <c r="A190" s="30" t="s">
        <v>8</v>
      </c>
      <c r="B190" s="22"/>
      <c r="C190" s="22">
        <f t="shared" si="356"/>
        <v>0</v>
      </c>
      <c r="D190" s="22"/>
      <c r="E190" s="22"/>
      <c r="F190" s="22">
        <f t="shared" si="357"/>
        <v>0</v>
      </c>
      <c r="G190" s="22"/>
      <c r="H190" s="22"/>
      <c r="I190" s="22">
        <f t="shared" si="359"/>
        <v>0</v>
      </c>
      <c r="J190" s="22"/>
      <c r="K190" s="22"/>
      <c r="L190" s="22">
        <f t="shared" si="361"/>
        <v>0</v>
      </c>
      <c r="M190" s="22"/>
      <c r="N190" s="22"/>
      <c r="O190" s="22">
        <f t="shared" si="363"/>
        <v>0</v>
      </c>
      <c r="P190" s="22"/>
      <c r="Q190" s="22"/>
      <c r="R190" s="22">
        <f t="shared" si="365"/>
        <v>0</v>
      </c>
      <c r="S190" s="22"/>
      <c r="T190" s="22"/>
      <c r="U190" s="14"/>
      <c r="V190" s="5" t="str">
        <f t="shared" si="367"/>
        <v>-</v>
      </c>
    </row>
    <row r="191" spans="1:22" ht="25.15" hidden="1" customHeight="1" x14ac:dyDescent="0.6">
      <c r="A191" s="25" t="s">
        <v>9</v>
      </c>
      <c r="B191" s="26">
        <f>B192+B195</f>
        <v>0</v>
      </c>
      <c r="C191" s="26">
        <f t="shared" si="356"/>
        <v>0</v>
      </c>
      <c r="D191" s="26">
        <f>D192+D195</f>
        <v>0</v>
      </c>
      <c r="E191" s="26">
        <f>E192+E195</f>
        <v>0</v>
      </c>
      <c r="F191" s="26">
        <f t="shared" si="357"/>
        <v>0</v>
      </c>
      <c r="G191" s="26">
        <f t="shared" ref="G191:H191" si="453">G192+G195</f>
        <v>0</v>
      </c>
      <c r="H191" s="26">
        <f t="shared" si="453"/>
        <v>0</v>
      </c>
      <c r="I191" s="26">
        <f t="shared" si="359"/>
        <v>0</v>
      </c>
      <c r="J191" s="26">
        <f t="shared" ref="J191:K191" si="454">J192+J195</f>
        <v>0</v>
      </c>
      <c r="K191" s="26">
        <f t="shared" si="454"/>
        <v>0</v>
      </c>
      <c r="L191" s="26">
        <f t="shared" si="361"/>
        <v>0</v>
      </c>
      <c r="M191" s="26">
        <f t="shared" ref="M191:N191" si="455">M192+M195</f>
        <v>0</v>
      </c>
      <c r="N191" s="26">
        <f t="shared" si="455"/>
        <v>0</v>
      </c>
      <c r="O191" s="26">
        <f t="shared" si="363"/>
        <v>0</v>
      </c>
      <c r="P191" s="26">
        <f t="shared" ref="P191:Q191" si="456">P192+P195</f>
        <v>0</v>
      </c>
      <c r="Q191" s="26">
        <f t="shared" si="456"/>
        <v>0</v>
      </c>
      <c r="R191" s="26">
        <f t="shared" si="365"/>
        <v>0</v>
      </c>
      <c r="S191" s="26">
        <f t="shared" ref="S191:T191" si="457">S192+S195</f>
        <v>0</v>
      </c>
      <c r="T191" s="26">
        <f t="shared" si="457"/>
        <v>0</v>
      </c>
      <c r="U191" s="27"/>
      <c r="V191" s="5" t="str">
        <f t="shared" si="367"/>
        <v>-</v>
      </c>
    </row>
    <row r="192" spans="1:22" ht="25.15" hidden="1" customHeight="1" x14ac:dyDescent="0.6">
      <c r="A192" s="28" t="s">
        <v>3</v>
      </c>
      <c r="B192" s="26">
        <f>SUM(B193:B194)</f>
        <v>0</v>
      </c>
      <c r="C192" s="26">
        <f t="shared" si="356"/>
        <v>0</v>
      </c>
      <c r="D192" s="26">
        <f>SUM(D193:D194)</f>
        <v>0</v>
      </c>
      <c r="E192" s="26">
        <f>SUM(E193:E194)</f>
        <v>0</v>
      </c>
      <c r="F192" s="26">
        <f t="shared" si="357"/>
        <v>0</v>
      </c>
      <c r="G192" s="26">
        <f t="shared" ref="G192:H192" si="458">SUM(G193:G194)</f>
        <v>0</v>
      </c>
      <c r="H192" s="26">
        <f t="shared" si="458"/>
        <v>0</v>
      </c>
      <c r="I192" s="26">
        <f t="shared" si="359"/>
        <v>0</v>
      </c>
      <c r="J192" s="26">
        <f t="shared" ref="J192:K192" si="459">SUM(J193:J194)</f>
        <v>0</v>
      </c>
      <c r="K192" s="26">
        <f t="shared" si="459"/>
        <v>0</v>
      </c>
      <c r="L192" s="26">
        <f t="shared" si="361"/>
        <v>0</v>
      </c>
      <c r="M192" s="26">
        <f t="shared" ref="M192:N192" si="460">SUM(M193:M194)</f>
        <v>0</v>
      </c>
      <c r="N192" s="26">
        <f t="shared" si="460"/>
        <v>0</v>
      </c>
      <c r="O192" s="26">
        <f t="shared" si="363"/>
        <v>0</v>
      </c>
      <c r="P192" s="26">
        <f t="shared" ref="P192:Q192" si="461">SUM(P193:P194)</f>
        <v>0</v>
      </c>
      <c r="Q192" s="26">
        <f t="shared" si="461"/>
        <v>0</v>
      </c>
      <c r="R192" s="26">
        <f t="shared" si="365"/>
        <v>0</v>
      </c>
      <c r="S192" s="26">
        <f t="shared" ref="S192:T192" si="462">SUM(S193:S194)</f>
        <v>0</v>
      </c>
      <c r="T192" s="26">
        <f t="shared" si="462"/>
        <v>0</v>
      </c>
      <c r="U192" s="29"/>
      <c r="V192" s="5" t="str">
        <f t="shared" si="367"/>
        <v>-</v>
      </c>
    </row>
    <row r="193" spans="1:22" ht="25.15" hidden="1" customHeight="1" x14ac:dyDescent="0.6">
      <c r="A193" s="30" t="s">
        <v>5</v>
      </c>
      <c r="B193" s="22"/>
      <c r="C193" s="22">
        <f t="shared" si="356"/>
        <v>0</v>
      </c>
      <c r="D193" s="22"/>
      <c r="E193" s="22"/>
      <c r="F193" s="22">
        <f t="shared" si="357"/>
        <v>0</v>
      </c>
      <c r="G193" s="22"/>
      <c r="H193" s="22"/>
      <c r="I193" s="22">
        <f t="shared" si="359"/>
        <v>0</v>
      </c>
      <c r="J193" s="22"/>
      <c r="K193" s="22"/>
      <c r="L193" s="22">
        <f t="shared" si="361"/>
        <v>0</v>
      </c>
      <c r="M193" s="22"/>
      <c r="N193" s="22"/>
      <c r="O193" s="22">
        <f t="shared" si="363"/>
        <v>0</v>
      </c>
      <c r="P193" s="22"/>
      <c r="Q193" s="22"/>
      <c r="R193" s="22">
        <f t="shared" si="365"/>
        <v>0</v>
      </c>
      <c r="S193" s="22"/>
      <c r="T193" s="22"/>
      <c r="U193" s="14"/>
      <c r="V193" s="5" t="str">
        <f t="shared" si="367"/>
        <v>-</v>
      </c>
    </row>
    <row r="194" spans="1:22" ht="25.15" hidden="1" customHeight="1" x14ac:dyDescent="0.6">
      <c r="A194" s="30" t="s">
        <v>6</v>
      </c>
      <c r="B194" s="22"/>
      <c r="C194" s="22">
        <f t="shared" si="356"/>
        <v>0</v>
      </c>
      <c r="D194" s="22"/>
      <c r="E194" s="22"/>
      <c r="F194" s="22">
        <f t="shared" si="357"/>
        <v>0</v>
      </c>
      <c r="G194" s="22"/>
      <c r="H194" s="22"/>
      <c r="I194" s="22">
        <f t="shared" si="359"/>
        <v>0</v>
      </c>
      <c r="J194" s="22"/>
      <c r="K194" s="22"/>
      <c r="L194" s="22">
        <f t="shared" si="361"/>
        <v>0</v>
      </c>
      <c r="M194" s="22"/>
      <c r="N194" s="22"/>
      <c r="O194" s="22">
        <f t="shared" si="363"/>
        <v>0</v>
      </c>
      <c r="P194" s="22"/>
      <c r="Q194" s="22"/>
      <c r="R194" s="22">
        <f t="shared" si="365"/>
        <v>0</v>
      </c>
      <c r="S194" s="22"/>
      <c r="T194" s="22"/>
      <c r="U194" s="14"/>
      <c r="V194" s="5" t="str">
        <f t="shared" si="367"/>
        <v>-</v>
      </c>
    </row>
    <row r="195" spans="1:22" ht="25.15" hidden="1" customHeight="1" x14ac:dyDescent="0.6">
      <c r="A195" s="28" t="s">
        <v>4</v>
      </c>
      <c r="B195" s="26">
        <f>SUM(B196:B197)</f>
        <v>0</v>
      </c>
      <c r="C195" s="26">
        <f t="shared" si="356"/>
        <v>0</v>
      </c>
      <c r="D195" s="26">
        <f>SUM(D196:D197)</f>
        <v>0</v>
      </c>
      <c r="E195" s="26">
        <f>SUM(E196:E197)</f>
        <v>0</v>
      </c>
      <c r="F195" s="26">
        <f t="shared" si="357"/>
        <v>0</v>
      </c>
      <c r="G195" s="26">
        <f t="shared" ref="G195:H195" si="463">SUM(G196:G197)</f>
        <v>0</v>
      </c>
      <c r="H195" s="26">
        <f t="shared" si="463"/>
        <v>0</v>
      </c>
      <c r="I195" s="26">
        <f t="shared" si="359"/>
        <v>0</v>
      </c>
      <c r="J195" s="26">
        <f t="shared" ref="J195:K195" si="464">SUM(J196:J197)</f>
        <v>0</v>
      </c>
      <c r="K195" s="26">
        <f t="shared" si="464"/>
        <v>0</v>
      </c>
      <c r="L195" s="26">
        <f t="shared" si="361"/>
        <v>0</v>
      </c>
      <c r="M195" s="26">
        <f t="shared" ref="M195:N195" si="465">SUM(M196:M197)</f>
        <v>0</v>
      </c>
      <c r="N195" s="26">
        <f t="shared" si="465"/>
        <v>0</v>
      </c>
      <c r="O195" s="26">
        <f t="shared" si="363"/>
        <v>0</v>
      </c>
      <c r="P195" s="26">
        <f t="shared" ref="P195:Q195" si="466">SUM(P196:P197)</f>
        <v>0</v>
      </c>
      <c r="Q195" s="26">
        <f t="shared" si="466"/>
        <v>0</v>
      </c>
      <c r="R195" s="26">
        <f t="shared" si="365"/>
        <v>0</v>
      </c>
      <c r="S195" s="26">
        <f t="shared" ref="S195:T195" si="467">SUM(S196:S197)</f>
        <v>0</v>
      </c>
      <c r="T195" s="26">
        <f t="shared" si="467"/>
        <v>0</v>
      </c>
      <c r="U195" s="29"/>
      <c r="V195" s="5" t="str">
        <f t="shared" si="367"/>
        <v>-</v>
      </c>
    </row>
    <row r="196" spans="1:22" ht="25.15" hidden="1" customHeight="1" x14ac:dyDescent="0.6">
      <c r="A196" s="30" t="s">
        <v>7</v>
      </c>
      <c r="B196" s="22"/>
      <c r="C196" s="22">
        <f t="shared" si="356"/>
        <v>0</v>
      </c>
      <c r="D196" s="22"/>
      <c r="E196" s="22"/>
      <c r="F196" s="22">
        <f t="shared" si="357"/>
        <v>0</v>
      </c>
      <c r="G196" s="22"/>
      <c r="H196" s="22"/>
      <c r="I196" s="22">
        <f t="shared" si="359"/>
        <v>0</v>
      </c>
      <c r="J196" s="22"/>
      <c r="K196" s="22"/>
      <c r="L196" s="22">
        <f t="shared" si="361"/>
        <v>0</v>
      </c>
      <c r="M196" s="22"/>
      <c r="N196" s="22"/>
      <c r="O196" s="22">
        <f t="shared" si="363"/>
        <v>0</v>
      </c>
      <c r="P196" s="22"/>
      <c r="Q196" s="22"/>
      <c r="R196" s="22">
        <f t="shared" si="365"/>
        <v>0</v>
      </c>
      <c r="S196" s="22"/>
      <c r="T196" s="22"/>
      <c r="U196" s="14"/>
      <c r="V196" s="5" t="str">
        <f t="shared" si="367"/>
        <v>-</v>
      </c>
    </row>
    <row r="197" spans="1:22" ht="25.15" hidden="1" customHeight="1" x14ac:dyDescent="0.6">
      <c r="A197" s="30" t="s">
        <v>8</v>
      </c>
      <c r="B197" s="22"/>
      <c r="C197" s="22">
        <f t="shared" si="356"/>
        <v>0</v>
      </c>
      <c r="D197" s="22"/>
      <c r="E197" s="22"/>
      <c r="F197" s="22">
        <f t="shared" si="357"/>
        <v>0</v>
      </c>
      <c r="G197" s="22"/>
      <c r="H197" s="22"/>
      <c r="I197" s="22">
        <f t="shared" si="359"/>
        <v>0</v>
      </c>
      <c r="J197" s="22"/>
      <c r="K197" s="22"/>
      <c r="L197" s="22">
        <f t="shared" si="361"/>
        <v>0</v>
      </c>
      <c r="M197" s="22"/>
      <c r="N197" s="22"/>
      <c r="O197" s="22">
        <f t="shared" si="363"/>
        <v>0</v>
      </c>
      <c r="P197" s="22"/>
      <c r="Q197" s="22"/>
      <c r="R197" s="22">
        <f t="shared" si="365"/>
        <v>0</v>
      </c>
      <c r="S197" s="22"/>
      <c r="T197" s="22"/>
      <c r="U197" s="14"/>
      <c r="V197" s="5" t="str">
        <f t="shared" si="367"/>
        <v>-</v>
      </c>
    </row>
    <row r="198" spans="1:22" ht="25.15" customHeight="1" x14ac:dyDescent="0.6">
      <c r="A198" s="18" t="s">
        <v>39</v>
      </c>
      <c r="B198" s="23">
        <f>B199+B212</f>
        <v>2162.5</v>
      </c>
      <c r="C198" s="23">
        <f t="shared" si="356"/>
        <v>740.4</v>
      </c>
      <c r="D198" s="23">
        <f>D199+D212</f>
        <v>740.4</v>
      </c>
      <c r="E198" s="23">
        <f>E199+E212</f>
        <v>0</v>
      </c>
      <c r="F198" s="23">
        <f t="shared" si="357"/>
        <v>740.4</v>
      </c>
      <c r="G198" s="23">
        <f t="shared" ref="G198:H198" si="468">G199+G212</f>
        <v>740.4</v>
      </c>
      <c r="H198" s="23">
        <f t="shared" si="468"/>
        <v>0</v>
      </c>
      <c r="I198" s="23">
        <f t="shared" si="359"/>
        <v>0</v>
      </c>
      <c r="J198" s="23">
        <f t="shared" ref="J198:K198" si="469">J199+J212</f>
        <v>0</v>
      </c>
      <c r="K198" s="23">
        <f t="shared" si="469"/>
        <v>0</v>
      </c>
      <c r="L198" s="23">
        <f t="shared" si="361"/>
        <v>1562.5</v>
      </c>
      <c r="M198" s="23">
        <f t="shared" ref="M198:N198" si="470">M199+M212</f>
        <v>1562.5</v>
      </c>
      <c r="N198" s="23">
        <f t="shared" si="470"/>
        <v>0</v>
      </c>
      <c r="O198" s="23">
        <f t="shared" si="363"/>
        <v>0</v>
      </c>
      <c r="P198" s="23">
        <f t="shared" ref="P198:Q198" si="471">P199+P212</f>
        <v>0</v>
      </c>
      <c r="Q198" s="23">
        <f t="shared" si="471"/>
        <v>0</v>
      </c>
      <c r="R198" s="23">
        <f t="shared" si="365"/>
        <v>0</v>
      </c>
      <c r="S198" s="23">
        <f t="shared" ref="S198:T198" si="472">S199+S212</f>
        <v>0</v>
      </c>
      <c r="T198" s="23">
        <f t="shared" si="472"/>
        <v>0</v>
      </c>
      <c r="U198" s="20"/>
      <c r="V198" s="5" t="str">
        <f t="shared" si="367"/>
        <v>ok</v>
      </c>
    </row>
    <row r="199" spans="1:22" ht="25.15" customHeight="1" x14ac:dyDescent="0.6">
      <c r="A199" s="25" t="s">
        <v>2</v>
      </c>
      <c r="B199" s="26">
        <f>B200+B209</f>
        <v>0</v>
      </c>
      <c r="C199" s="26">
        <f t="shared" si="356"/>
        <v>740.4</v>
      </c>
      <c r="D199" s="26">
        <f>D200+D209</f>
        <v>740.4</v>
      </c>
      <c r="E199" s="26">
        <f>E200+E209</f>
        <v>0</v>
      </c>
      <c r="F199" s="26">
        <f t="shared" si="357"/>
        <v>740.4</v>
      </c>
      <c r="G199" s="26">
        <f t="shared" ref="G199:H199" si="473">G200+G209</f>
        <v>740.4</v>
      </c>
      <c r="H199" s="26">
        <f t="shared" si="473"/>
        <v>0</v>
      </c>
      <c r="I199" s="26">
        <f t="shared" si="359"/>
        <v>0</v>
      </c>
      <c r="J199" s="26">
        <f t="shared" ref="J199:K199" si="474">J200+J209</f>
        <v>0</v>
      </c>
      <c r="K199" s="26">
        <f t="shared" si="474"/>
        <v>0</v>
      </c>
      <c r="L199" s="26">
        <f t="shared" si="361"/>
        <v>0</v>
      </c>
      <c r="M199" s="26">
        <f t="shared" ref="M199:N199" si="475">M200+M209</f>
        <v>0</v>
      </c>
      <c r="N199" s="26">
        <f t="shared" si="475"/>
        <v>0</v>
      </c>
      <c r="O199" s="26">
        <f t="shared" si="363"/>
        <v>0</v>
      </c>
      <c r="P199" s="26">
        <f t="shared" ref="P199:Q199" si="476">P200+P209</f>
        <v>0</v>
      </c>
      <c r="Q199" s="26">
        <f t="shared" si="476"/>
        <v>0</v>
      </c>
      <c r="R199" s="26">
        <f t="shared" si="365"/>
        <v>0</v>
      </c>
      <c r="S199" s="26">
        <f t="shared" ref="S199:T199" si="477">S200+S209</f>
        <v>0</v>
      </c>
      <c r="T199" s="26">
        <f t="shared" si="477"/>
        <v>0</v>
      </c>
      <c r="U199" s="27"/>
      <c r="V199" s="5" t="str">
        <f t="shared" si="367"/>
        <v>ok</v>
      </c>
    </row>
    <row r="200" spans="1:22" ht="25.15" customHeight="1" x14ac:dyDescent="0.6">
      <c r="A200" s="28" t="s">
        <v>3</v>
      </c>
      <c r="B200" s="26">
        <f>SUM(B201:B208)</f>
        <v>0</v>
      </c>
      <c r="C200" s="26">
        <f t="shared" si="356"/>
        <v>740.4</v>
      </c>
      <c r="D200" s="26">
        <f>D201+D208</f>
        <v>740.4</v>
      </c>
      <c r="E200" s="26">
        <f>E201+E208</f>
        <v>0</v>
      </c>
      <c r="F200" s="26">
        <f t="shared" si="357"/>
        <v>740.4</v>
      </c>
      <c r="G200" s="26">
        <f>G201+G208</f>
        <v>740.4</v>
      </c>
      <c r="H200" s="26">
        <f>H201+H208</f>
        <v>0</v>
      </c>
      <c r="I200" s="26">
        <f t="shared" si="359"/>
        <v>0</v>
      </c>
      <c r="J200" s="26">
        <f t="shared" ref="J200:K200" si="478">J201+J208</f>
        <v>0</v>
      </c>
      <c r="K200" s="26">
        <f t="shared" si="478"/>
        <v>0</v>
      </c>
      <c r="L200" s="26">
        <f t="shared" si="361"/>
        <v>0</v>
      </c>
      <c r="M200" s="26">
        <f t="shared" ref="M200:N200" si="479">M201+M208</f>
        <v>0</v>
      </c>
      <c r="N200" s="26">
        <f t="shared" si="479"/>
        <v>0</v>
      </c>
      <c r="O200" s="26">
        <f t="shared" si="363"/>
        <v>0</v>
      </c>
      <c r="P200" s="26">
        <f t="shared" ref="P200:Q200" si="480">P201+P208</f>
        <v>0</v>
      </c>
      <c r="Q200" s="26">
        <f t="shared" si="480"/>
        <v>0</v>
      </c>
      <c r="R200" s="26">
        <f t="shared" si="365"/>
        <v>0</v>
      </c>
      <c r="S200" s="26">
        <f>S201+S208</f>
        <v>0</v>
      </c>
      <c r="T200" s="26">
        <f t="shared" ref="T200" si="481">T201+T208</f>
        <v>0</v>
      </c>
      <c r="U200" s="29"/>
      <c r="V200" s="5" t="str">
        <f t="shared" si="367"/>
        <v>ok</v>
      </c>
    </row>
    <row r="201" spans="1:22" ht="50.5" x14ac:dyDescent="0.6">
      <c r="A201" s="30" t="s">
        <v>52</v>
      </c>
      <c r="B201" s="22"/>
      <c r="C201" s="22">
        <f t="shared" si="356"/>
        <v>740.4</v>
      </c>
      <c r="D201" s="22">
        <f>SUM(D202:D207)</f>
        <v>740.4</v>
      </c>
      <c r="E201" s="22">
        <f>SUM(E202:E207)</f>
        <v>0</v>
      </c>
      <c r="F201" s="22">
        <f t="shared" si="357"/>
        <v>740.4</v>
      </c>
      <c r="G201" s="22">
        <f t="shared" ref="G201:H201" si="482">SUM(G202:G207)</f>
        <v>740.4</v>
      </c>
      <c r="H201" s="22">
        <f t="shared" si="482"/>
        <v>0</v>
      </c>
      <c r="I201" s="22">
        <f t="shared" si="359"/>
        <v>0</v>
      </c>
      <c r="J201" s="22">
        <f t="shared" ref="J201:K201" si="483">SUM(J202:J207)</f>
        <v>0</v>
      </c>
      <c r="K201" s="22">
        <f t="shared" si="483"/>
        <v>0</v>
      </c>
      <c r="L201" s="22">
        <f t="shared" si="361"/>
        <v>0</v>
      </c>
      <c r="M201" s="22">
        <f t="shared" ref="M201:N201" si="484">SUM(M202:M207)</f>
        <v>0</v>
      </c>
      <c r="N201" s="22">
        <f t="shared" si="484"/>
        <v>0</v>
      </c>
      <c r="O201" s="22">
        <f t="shared" si="363"/>
        <v>0</v>
      </c>
      <c r="P201" s="22">
        <f t="shared" ref="P201:Q201" si="485">SUM(P202:P207)</f>
        <v>0</v>
      </c>
      <c r="Q201" s="22">
        <f t="shared" si="485"/>
        <v>0</v>
      </c>
      <c r="R201" s="22">
        <f t="shared" si="365"/>
        <v>0</v>
      </c>
      <c r="S201" s="22">
        <f t="shared" ref="S201:T201" si="486">SUM(S202:S207)</f>
        <v>0</v>
      </c>
      <c r="T201" s="22">
        <f t="shared" si="486"/>
        <v>0</v>
      </c>
      <c r="U201" s="14"/>
      <c r="V201" s="5" t="str">
        <f t="shared" si="367"/>
        <v>ok</v>
      </c>
    </row>
    <row r="202" spans="1:22" ht="25.25" x14ac:dyDescent="0.6">
      <c r="A202" s="30" t="s">
        <v>53</v>
      </c>
      <c r="B202" s="22"/>
      <c r="C202" s="22"/>
      <c r="D202" s="22">
        <v>123.4</v>
      </c>
      <c r="E202" s="22"/>
      <c r="F202" s="22"/>
      <c r="G202" s="22">
        <v>123.4</v>
      </c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14"/>
    </row>
    <row r="203" spans="1:22" ht="25.25" x14ac:dyDescent="0.6">
      <c r="A203" s="30" t="s">
        <v>54</v>
      </c>
      <c r="B203" s="22"/>
      <c r="C203" s="22"/>
      <c r="D203" s="22">
        <v>123.4</v>
      </c>
      <c r="E203" s="22"/>
      <c r="F203" s="22"/>
      <c r="G203" s="22">
        <v>123.4</v>
      </c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14"/>
    </row>
    <row r="204" spans="1:22" ht="25.25" x14ac:dyDescent="0.6">
      <c r="A204" s="30" t="s">
        <v>55</v>
      </c>
      <c r="B204" s="22"/>
      <c r="C204" s="22"/>
      <c r="D204" s="22">
        <v>123.4</v>
      </c>
      <c r="E204" s="22"/>
      <c r="F204" s="22"/>
      <c r="G204" s="22">
        <v>123.4</v>
      </c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14"/>
    </row>
    <row r="205" spans="1:22" ht="25.25" x14ac:dyDescent="0.6">
      <c r="A205" s="30" t="s">
        <v>56</v>
      </c>
      <c r="B205" s="22"/>
      <c r="C205" s="22"/>
      <c r="D205" s="22">
        <v>123.4</v>
      </c>
      <c r="E205" s="22"/>
      <c r="F205" s="22"/>
      <c r="G205" s="22">
        <v>123.4</v>
      </c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14"/>
    </row>
    <row r="206" spans="1:22" ht="25.25" x14ac:dyDescent="0.6">
      <c r="A206" s="30" t="s">
        <v>57</v>
      </c>
      <c r="B206" s="22"/>
      <c r="C206" s="22"/>
      <c r="D206" s="22">
        <v>123.4</v>
      </c>
      <c r="E206" s="22"/>
      <c r="F206" s="22"/>
      <c r="G206" s="22">
        <v>123.4</v>
      </c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14"/>
    </row>
    <row r="207" spans="1:22" ht="25.25" x14ac:dyDescent="0.6">
      <c r="A207" s="30" t="s">
        <v>58</v>
      </c>
      <c r="B207" s="22"/>
      <c r="C207" s="22"/>
      <c r="D207" s="22">
        <v>123.4</v>
      </c>
      <c r="E207" s="22"/>
      <c r="F207" s="22"/>
      <c r="G207" s="22">
        <v>123.4</v>
      </c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14"/>
    </row>
    <row r="208" spans="1:22" ht="25.5" hidden="1" customHeight="1" x14ac:dyDescent="0.6">
      <c r="A208" s="30" t="s">
        <v>6</v>
      </c>
      <c r="B208" s="22"/>
      <c r="C208" s="22">
        <f t="shared" si="356"/>
        <v>0</v>
      </c>
      <c r="D208" s="22"/>
      <c r="E208" s="22"/>
      <c r="F208" s="22">
        <f t="shared" si="357"/>
        <v>0</v>
      </c>
      <c r="G208" s="22"/>
      <c r="H208" s="22"/>
      <c r="I208" s="22">
        <f t="shared" si="359"/>
        <v>0</v>
      </c>
      <c r="J208" s="22"/>
      <c r="K208" s="22"/>
      <c r="L208" s="22">
        <f t="shared" si="361"/>
        <v>0</v>
      </c>
      <c r="M208" s="22"/>
      <c r="N208" s="22"/>
      <c r="O208" s="22">
        <f t="shared" si="363"/>
        <v>0</v>
      </c>
      <c r="P208" s="22"/>
      <c r="Q208" s="22"/>
      <c r="R208" s="22">
        <f t="shared" si="365"/>
        <v>0</v>
      </c>
      <c r="S208" s="22"/>
      <c r="T208" s="22"/>
      <c r="U208" s="14"/>
      <c r="V208" s="5" t="str">
        <f t="shared" si="367"/>
        <v>-</v>
      </c>
    </row>
    <row r="209" spans="1:22" ht="25.15" hidden="1" customHeight="1" x14ac:dyDescent="0.6">
      <c r="A209" s="28" t="s">
        <v>4</v>
      </c>
      <c r="B209" s="26">
        <f>SUM(B210:B211)</f>
        <v>0</v>
      </c>
      <c r="C209" s="26">
        <f t="shared" si="356"/>
        <v>0</v>
      </c>
      <c r="D209" s="26">
        <f>SUM(D210:D211)</f>
        <v>0</v>
      </c>
      <c r="E209" s="26">
        <f>SUM(E210:E211)</f>
        <v>0</v>
      </c>
      <c r="F209" s="26">
        <f t="shared" si="357"/>
        <v>0</v>
      </c>
      <c r="G209" s="26">
        <f t="shared" ref="G209:H209" si="487">SUM(G210:G211)</f>
        <v>0</v>
      </c>
      <c r="H209" s="26">
        <f t="shared" si="487"/>
        <v>0</v>
      </c>
      <c r="I209" s="26">
        <f t="shared" si="359"/>
        <v>0</v>
      </c>
      <c r="J209" s="26">
        <f t="shared" ref="J209:K209" si="488">SUM(J210:J211)</f>
        <v>0</v>
      </c>
      <c r="K209" s="26">
        <f t="shared" si="488"/>
        <v>0</v>
      </c>
      <c r="L209" s="26">
        <f t="shared" si="361"/>
        <v>0</v>
      </c>
      <c r="M209" s="26">
        <f t="shared" ref="M209:N209" si="489">SUM(M210:M211)</f>
        <v>0</v>
      </c>
      <c r="N209" s="26">
        <f t="shared" si="489"/>
        <v>0</v>
      </c>
      <c r="O209" s="26">
        <f t="shared" si="363"/>
        <v>0</v>
      </c>
      <c r="P209" s="26">
        <f t="shared" ref="P209:Q209" si="490">SUM(P210:P211)</f>
        <v>0</v>
      </c>
      <c r="Q209" s="26">
        <f t="shared" si="490"/>
        <v>0</v>
      </c>
      <c r="R209" s="26">
        <f t="shared" si="365"/>
        <v>0</v>
      </c>
      <c r="S209" s="26">
        <f t="shared" ref="S209:T209" si="491">SUM(S210:S211)</f>
        <v>0</v>
      </c>
      <c r="T209" s="26">
        <f t="shared" si="491"/>
        <v>0</v>
      </c>
      <c r="U209" s="29"/>
      <c r="V209" s="5" t="str">
        <f t="shared" si="367"/>
        <v>-</v>
      </c>
    </row>
    <row r="210" spans="1:22" ht="25.15" hidden="1" customHeight="1" x14ac:dyDescent="0.6">
      <c r="A210" s="30" t="s">
        <v>7</v>
      </c>
      <c r="B210" s="22"/>
      <c r="C210" s="22">
        <f t="shared" si="356"/>
        <v>0</v>
      </c>
      <c r="D210" s="22"/>
      <c r="E210" s="22"/>
      <c r="F210" s="22">
        <f t="shared" si="357"/>
        <v>0</v>
      </c>
      <c r="G210" s="22"/>
      <c r="H210" s="22"/>
      <c r="I210" s="22">
        <f t="shared" si="359"/>
        <v>0</v>
      </c>
      <c r="J210" s="22"/>
      <c r="K210" s="22"/>
      <c r="L210" s="22">
        <f t="shared" si="361"/>
        <v>0</v>
      </c>
      <c r="M210" s="22"/>
      <c r="N210" s="22"/>
      <c r="O210" s="22">
        <f t="shared" si="363"/>
        <v>0</v>
      </c>
      <c r="P210" s="22"/>
      <c r="Q210" s="22"/>
      <c r="R210" s="22">
        <f t="shared" si="365"/>
        <v>0</v>
      </c>
      <c r="S210" s="22"/>
      <c r="T210" s="22"/>
      <c r="U210" s="14"/>
      <c r="V210" s="5" t="str">
        <f t="shared" si="367"/>
        <v>-</v>
      </c>
    </row>
    <row r="211" spans="1:22" ht="25.15" hidden="1" customHeight="1" x14ac:dyDescent="0.6">
      <c r="A211" s="30" t="s">
        <v>8</v>
      </c>
      <c r="B211" s="22"/>
      <c r="C211" s="22">
        <f t="shared" si="356"/>
        <v>0</v>
      </c>
      <c r="D211" s="22"/>
      <c r="E211" s="22"/>
      <c r="F211" s="22">
        <f t="shared" si="357"/>
        <v>0</v>
      </c>
      <c r="G211" s="22"/>
      <c r="H211" s="22"/>
      <c r="I211" s="22">
        <f t="shared" si="359"/>
        <v>0</v>
      </c>
      <c r="J211" s="22"/>
      <c r="K211" s="22"/>
      <c r="L211" s="22">
        <f t="shared" si="361"/>
        <v>0</v>
      </c>
      <c r="M211" s="22"/>
      <c r="N211" s="22"/>
      <c r="O211" s="22">
        <f t="shared" si="363"/>
        <v>0</v>
      </c>
      <c r="P211" s="22"/>
      <c r="Q211" s="22"/>
      <c r="R211" s="22">
        <f t="shared" si="365"/>
        <v>0</v>
      </c>
      <c r="S211" s="22"/>
      <c r="T211" s="22"/>
      <c r="U211" s="14"/>
      <c r="V211" s="5" t="str">
        <f t="shared" si="367"/>
        <v>-</v>
      </c>
    </row>
    <row r="212" spans="1:22" ht="25.15" customHeight="1" x14ac:dyDescent="0.6">
      <c r="A212" s="25" t="s">
        <v>9</v>
      </c>
      <c r="B212" s="26">
        <f>B213+B216</f>
        <v>2162.5</v>
      </c>
      <c r="C212" s="26">
        <f t="shared" si="356"/>
        <v>0</v>
      </c>
      <c r="D212" s="26">
        <f>D213+D216</f>
        <v>0</v>
      </c>
      <c r="E212" s="26">
        <f>E213+E216</f>
        <v>0</v>
      </c>
      <c r="F212" s="26">
        <f t="shared" si="357"/>
        <v>0</v>
      </c>
      <c r="G212" s="26">
        <f t="shared" ref="G212:H212" si="492">G213+G216</f>
        <v>0</v>
      </c>
      <c r="H212" s="26">
        <f t="shared" si="492"/>
        <v>0</v>
      </c>
      <c r="I212" s="26">
        <f t="shared" si="359"/>
        <v>0</v>
      </c>
      <c r="J212" s="26">
        <f t="shared" ref="J212:K212" si="493">J213+J216</f>
        <v>0</v>
      </c>
      <c r="K212" s="26">
        <f t="shared" si="493"/>
        <v>0</v>
      </c>
      <c r="L212" s="26">
        <f t="shared" si="361"/>
        <v>1562.5</v>
      </c>
      <c r="M212" s="26">
        <f t="shared" ref="M212:N212" si="494">M213+M216</f>
        <v>1562.5</v>
      </c>
      <c r="N212" s="26">
        <f t="shared" si="494"/>
        <v>0</v>
      </c>
      <c r="O212" s="26">
        <f t="shared" si="363"/>
        <v>0</v>
      </c>
      <c r="P212" s="26">
        <f t="shared" ref="P212:Q212" si="495">P213+P216</f>
        <v>0</v>
      </c>
      <c r="Q212" s="26">
        <f t="shared" si="495"/>
        <v>0</v>
      </c>
      <c r="R212" s="26">
        <f t="shared" si="365"/>
        <v>0</v>
      </c>
      <c r="S212" s="26">
        <f t="shared" ref="S212:T212" si="496">S213+S216</f>
        <v>0</v>
      </c>
      <c r="T212" s="26">
        <f t="shared" si="496"/>
        <v>0</v>
      </c>
      <c r="U212" s="27"/>
      <c r="V212" s="5" t="str">
        <f t="shared" si="367"/>
        <v>ok</v>
      </c>
    </row>
    <row r="213" spans="1:22" ht="25.15" customHeight="1" x14ac:dyDescent="0.6">
      <c r="A213" s="28" t="s">
        <v>3</v>
      </c>
      <c r="B213" s="26">
        <f>SUM(B214:B215)</f>
        <v>2162.5</v>
      </c>
      <c r="C213" s="26">
        <f t="shared" si="356"/>
        <v>0</v>
      </c>
      <c r="D213" s="26">
        <f>SUM(D214:D215)</f>
        <v>0</v>
      </c>
      <c r="E213" s="26">
        <f>SUM(E214:E215)</f>
        <v>0</v>
      </c>
      <c r="F213" s="26">
        <f t="shared" si="357"/>
        <v>0</v>
      </c>
      <c r="G213" s="26">
        <f t="shared" ref="G213:H213" si="497">SUM(G214:G215)</f>
        <v>0</v>
      </c>
      <c r="H213" s="26">
        <f t="shared" si="497"/>
        <v>0</v>
      </c>
      <c r="I213" s="26">
        <f t="shared" si="359"/>
        <v>0</v>
      </c>
      <c r="J213" s="26">
        <f t="shared" ref="J213:K213" si="498">SUM(J214:J215)</f>
        <v>0</v>
      </c>
      <c r="K213" s="26">
        <f t="shared" si="498"/>
        <v>0</v>
      </c>
      <c r="L213" s="26">
        <f t="shared" si="361"/>
        <v>1562.5</v>
      </c>
      <c r="M213" s="26">
        <f t="shared" ref="M213:N213" si="499">SUM(M214:M215)</f>
        <v>1562.5</v>
      </c>
      <c r="N213" s="26">
        <f t="shared" si="499"/>
        <v>0</v>
      </c>
      <c r="O213" s="26">
        <f t="shared" si="363"/>
        <v>0</v>
      </c>
      <c r="P213" s="26">
        <f t="shared" ref="P213:Q213" si="500">SUM(P214:P215)</f>
        <v>0</v>
      </c>
      <c r="Q213" s="26">
        <f t="shared" si="500"/>
        <v>0</v>
      </c>
      <c r="R213" s="26">
        <f t="shared" si="365"/>
        <v>0</v>
      </c>
      <c r="S213" s="26">
        <f t="shared" ref="S213:T213" si="501">SUM(S214:S215)</f>
        <v>0</v>
      </c>
      <c r="T213" s="26">
        <f t="shared" si="501"/>
        <v>0</v>
      </c>
      <c r="U213" s="29"/>
      <c r="V213" s="5" t="str">
        <f t="shared" si="367"/>
        <v>ok</v>
      </c>
    </row>
    <row r="214" spans="1:22" ht="75.75" x14ac:dyDescent="0.6">
      <c r="A214" s="30" t="s">
        <v>78</v>
      </c>
      <c r="B214" s="22">
        <v>2162.5</v>
      </c>
      <c r="C214" s="22">
        <f t="shared" si="356"/>
        <v>0</v>
      </c>
      <c r="D214" s="22"/>
      <c r="E214" s="22"/>
      <c r="F214" s="22">
        <f t="shared" si="357"/>
        <v>0</v>
      </c>
      <c r="G214" s="22"/>
      <c r="H214" s="22"/>
      <c r="I214" s="22">
        <f t="shared" si="359"/>
        <v>0</v>
      </c>
      <c r="J214" s="22"/>
      <c r="K214" s="22"/>
      <c r="L214" s="22">
        <f t="shared" si="361"/>
        <v>1562.5</v>
      </c>
      <c r="M214" s="22">
        <v>1562.5</v>
      </c>
      <c r="N214" s="22"/>
      <c r="O214" s="22">
        <f t="shared" si="363"/>
        <v>0</v>
      </c>
      <c r="P214" s="22"/>
      <c r="Q214" s="22"/>
      <c r="R214" s="22">
        <f t="shared" si="365"/>
        <v>0</v>
      </c>
      <c r="S214" s="22"/>
      <c r="T214" s="22"/>
      <c r="U214" s="14"/>
      <c r="V214" s="5" t="str">
        <f t="shared" si="367"/>
        <v>ok</v>
      </c>
    </row>
    <row r="215" spans="1:22" ht="25.15" hidden="1" customHeight="1" x14ac:dyDescent="0.6">
      <c r="A215" s="30" t="s">
        <v>6</v>
      </c>
      <c r="B215" s="22"/>
      <c r="C215" s="22">
        <f t="shared" si="356"/>
        <v>0</v>
      </c>
      <c r="D215" s="22"/>
      <c r="E215" s="22"/>
      <c r="F215" s="22">
        <f t="shared" si="357"/>
        <v>0</v>
      </c>
      <c r="G215" s="22"/>
      <c r="H215" s="22"/>
      <c r="I215" s="22">
        <f t="shared" si="359"/>
        <v>0</v>
      </c>
      <c r="J215" s="22"/>
      <c r="K215" s="22"/>
      <c r="L215" s="22">
        <f t="shared" si="361"/>
        <v>0</v>
      </c>
      <c r="M215" s="22"/>
      <c r="N215" s="22"/>
      <c r="O215" s="22">
        <f t="shared" si="363"/>
        <v>0</v>
      </c>
      <c r="P215" s="22"/>
      <c r="Q215" s="22"/>
      <c r="R215" s="22">
        <f t="shared" si="365"/>
        <v>0</v>
      </c>
      <c r="S215" s="22"/>
      <c r="T215" s="22"/>
      <c r="U215" s="14"/>
      <c r="V215" s="5" t="str">
        <f t="shared" si="367"/>
        <v>-</v>
      </c>
    </row>
    <row r="216" spans="1:22" ht="25.15" hidden="1" customHeight="1" x14ac:dyDescent="0.6">
      <c r="A216" s="28" t="s">
        <v>4</v>
      </c>
      <c r="B216" s="26">
        <f>SUM(B217:B218)</f>
        <v>0</v>
      </c>
      <c r="C216" s="26">
        <f t="shared" si="356"/>
        <v>0</v>
      </c>
      <c r="D216" s="26">
        <f>SUM(D217:D218)</f>
        <v>0</v>
      </c>
      <c r="E216" s="26">
        <f>SUM(E217:E218)</f>
        <v>0</v>
      </c>
      <c r="F216" s="26">
        <f t="shared" si="357"/>
        <v>0</v>
      </c>
      <c r="G216" s="26">
        <f t="shared" ref="G216:H216" si="502">SUM(G217:G218)</f>
        <v>0</v>
      </c>
      <c r="H216" s="26">
        <f t="shared" si="502"/>
        <v>0</v>
      </c>
      <c r="I216" s="26">
        <f t="shared" si="359"/>
        <v>0</v>
      </c>
      <c r="J216" s="26">
        <f t="shared" ref="J216:K216" si="503">SUM(J217:J218)</f>
        <v>0</v>
      </c>
      <c r="K216" s="26">
        <f t="shared" si="503"/>
        <v>0</v>
      </c>
      <c r="L216" s="26">
        <f t="shared" si="361"/>
        <v>0</v>
      </c>
      <c r="M216" s="26">
        <f t="shared" ref="M216:N216" si="504">SUM(M217:M218)</f>
        <v>0</v>
      </c>
      <c r="N216" s="26">
        <f t="shared" si="504"/>
        <v>0</v>
      </c>
      <c r="O216" s="26">
        <f t="shared" si="363"/>
        <v>0</v>
      </c>
      <c r="P216" s="26">
        <f t="shared" ref="P216:Q216" si="505">SUM(P217:P218)</f>
        <v>0</v>
      </c>
      <c r="Q216" s="26">
        <f t="shared" si="505"/>
        <v>0</v>
      </c>
      <c r="R216" s="26">
        <f t="shared" si="365"/>
        <v>0</v>
      </c>
      <c r="S216" s="26">
        <f t="shared" ref="S216:T216" si="506">SUM(S217:S218)</f>
        <v>0</v>
      </c>
      <c r="T216" s="26">
        <f t="shared" si="506"/>
        <v>0</v>
      </c>
      <c r="U216" s="29"/>
      <c r="V216" s="5" t="str">
        <f t="shared" si="367"/>
        <v>-</v>
      </c>
    </row>
    <row r="217" spans="1:22" ht="25.15" hidden="1" customHeight="1" x14ac:dyDescent="0.6">
      <c r="A217" s="30" t="s">
        <v>7</v>
      </c>
      <c r="B217" s="22"/>
      <c r="C217" s="22">
        <f t="shared" ref="C217:C233" si="507">D217+E217</f>
        <v>0</v>
      </c>
      <c r="D217" s="22"/>
      <c r="E217" s="22"/>
      <c r="F217" s="22">
        <f t="shared" ref="F217:F233" si="508">G217+H217</f>
        <v>0</v>
      </c>
      <c r="G217" s="22"/>
      <c r="H217" s="22"/>
      <c r="I217" s="22">
        <f t="shared" ref="I217:I233" si="509">J217+K217</f>
        <v>0</v>
      </c>
      <c r="J217" s="22"/>
      <c r="K217" s="22"/>
      <c r="L217" s="22">
        <f t="shared" ref="L217:L233" si="510">M217+N217</f>
        <v>0</v>
      </c>
      <c r="M217" s="22"/>
      <c r="N217" s="22"/>
      <c r="O217" s="22">
        <f t="shared" ref="O217:O233" si="511">P217+Q217</f>
        <v>0</v>
      </c>
      <c r="P217" s="22"/>
      <c r="Q217" s="22"/>
      <c r="R217" s="22">
        <f t="shared" ref="R217:R233" si="512">S217+T217</f>
        <v>0</v>
      </c>
      <c r="S217" s="22"/>
      <c r="T217" s="22"/>
      <c r="U217" s="14"/>
      <c r="V217" s="5" t="str">
        <f t="shared" ref="V217:V233" si="513">IF((B217+C217+F217+L217+O217)&lt;&gt;0,"ok","-")</f>
        <v>-</v>
      </c>
    </row>
    <row r="218" spans="1:22" ht="25.15" hidden="1" customHeight="1" x14ac:dyDescent="0.6">
      <c r="A218" s="30" t="s">
        <v>8</v>
      </c>
      <c r="B218" s="22"/>
      <c r="C218" s="22">
        <f t="shared" si="507"/>
        <v>0</v>
      </c>
      <c r="D218" s="22"/>
      <c r="E218" s="22"/>
      <c r="F218" s="22">
        <f t="shared" si="508"/>
        <v>0</v>
      </c>
      <c r="G218" s="22"/>
      <c r="H218" s="22"/>
      <c r="I218" s="22">
        <f t="shared" si="509"/>
        <v>0</v>
      </c>
      <c r="J218" s="22"/>
      <c r="K218" s="22"/>
      <c r="L218" s="22">
        <f t="shared" si="510"/>
        <v>0</v>
      </c>
      <c r="M218" s="22"/>
      <c r="N218" s="22"/>
      <c r="O218" s="22">
        <f t="shared" si="511"/>
        <v>0</v>
      </c>
      <c r="P218" s="22"/>
      <c r="Q218" s="22"/>
      <c r="R218" s="22">
        <f t="shared" si="512"/>
        <v>0</v>
      </c>
      <c r="S218" s="22"/>
      <c r="T218" s="22"/>
      <c r="U218" s="14"/>
      <c r="V218" s="5" t="str">
        <f t="shared" si="513"/>
        <v>-</v>
      </c>
    </row>
    <row r="219" spans="1:22" ht="25.15" customHeight="1" x14ac:dyDescent="0.6">
      <c r="A219" s="18" t="s">
        <v>40</v>
      </c>
      <c r="B219" s="23">
        <f>B220+B227</f>
        <v>36275</v>
      </c>
      <c r="C219" s="23">
        <f t="shared" si="507"/>
        <v>0</v>
      </c>
      <c r="D219" s="23">
        <f>D220+D227</f>
        <v>0</v>
      </c>
      <c r="E219" s="23">
        <f>E220+E227</f>
        <v>0</v>
      </c>
      <c r="F219" s="23">
        <f t="shared" si="508"/>
        <v>0</v>
      </c>
      <c r="G219" s="23">
        <f>G220+G227</f>
        <v>0</v>
      </c>
      <c r="H219" s="23">
        <f>H220+H227</f>
        <v>0</v>
      </c>
      <c r="I219" s="23">
        <f t="shared" si="509"/>
        <v>0</v>
      </c>
      <c r="J219" s="23">
        <f>J220+J227</f>
        <v>0</v>
      </c>
      <c r="K219" s="23">
        <f>K220+K227</f>
        <v>0</v>
      </c>
      <c r="L219" s="23">
        <f t="shared" si="510"/>
        <v>21025</v>
      </c>
      <c r="M219" s="23">
        <f>M220+M227</f>
        <v>19025</v>
      </c>
      <c r="N219" s="23">
        <f>N220+N227</f>
        <v>2000</v>
      </c>
      <c r="O219" s="23">
        <f t="shared" si="511"/>
        <v>0</v>
      </c>
      <c r="P219" s="23">
        <f>P220+P227</f>
        <v>0</v>
      </c>
      <c r="Q219" s="23">
        <f>Q220+Q227</f>
        <v>0</v>
      </c>
      <c r="R219" s="23">
        <f t="shared" si="512"/>
        <v>0</v>
      </c>
      <c r="S219" s="23">
        <f>S220+S227</f>
        <v>0</v>
      </c>
      <c r="T219" s="23">
        <f>T220+T227</f>
        <v>0</v>
      </c>
      <c r="U219" s="20"/>
      <c r="V219" s="5" t="str">
        <f t="shared" si="513"/>
        <v>ok</v>
      </c>
    </row>
    <row r="220" spans="1:22" ht="25.15" customHeight="1" x14ac:dyDescent="0.6">
      <c r="A220" s="25" t="s">
        <v>2</v>
      </c>
      <c r="B220" s="26">
        <f>B221+B224</f>
        <v>36275</v>
      </c>
      <c r="C220" s="26">
        <f t="shared" si="507"/>
        <v>0</v>
      </c>
      <c r="D220" s="26">
        <f>D221+D224</f>
        <v>0</v>
      </c>
      <c r="E220" s="26">
        <f>E221+E224</f>
        <v>0</v>
      </c>
      <c r="F220" s="26">
        <f t="shared" si="508"/>
        <v>0</v>
      </c>
      <c r="G220" s="26">
        <f t="shared" ref="G220:H220" si="514">G221+G224</f>
        <v>0</v>
      </c>
      <c r="H220" s="26">
        <f t="shared" si="514"/>
        <v>0</v>
      </c>
      <c r="I220" s="26">
        <f t="shared" si="509"/>
        <v>0</v>
      </c>
      <c r="J220" s="26">
        <f t="shared" ref="J220:K220" si="515">J221+J224</f>
        <v>0</v>
      </c>
      <c r="K220" s="26">
        <f t="shared" si="515"/>
        <v>0</v>
      </c>
      <c r="L220" s="26">
        <f t="shared" si="510"/>
        <v>21025</v>
      </c>
      <c r="M220" s="26">
        <f t="shared" ref="M220:N220" si="516">M221+M224</f>
        <v>19025</v>
      </c>
      <c r="N220" s="26">
        <f t="shared" si="516"/>
        <v>2000</v>
      </c>
      <c r="O220" s="26">
        <f t="shared" si="511"/>
        <v>0</v>
      </c>
      <c r="P220" s="26">
        <f t="shared" ref="P220:Q220" si="517">P221+P224</f>
        <v>0</v>
      </c>
      <c r="Q220" s="26">
        <f t="shared" si="517"/>
        <v>0</v>
      </c>
      <c r="R220" s="26">
        <f t="shared" si="512"/>
        <v>0</v>
      </c>
      <c r="S220" s="26">
        <f t="shared" ref="S220:T220" si="518">S221+S224</f>
        <v>0</v>
      </c>
      <c r="T220" s="26">
        <f t="shared" si="518"/>
        <v>0</v>
      </c>
      <c r="U220" s="27"/>
      <c r="V220" s="5" t="str">
        <f t="shared" si="513"/>
        <v>ok</v>
      </c>
    </row>
    <row r="221" spans="1:22" ht="25.15" customHeight="1" x14ac:dyDescent="0.6">
      <c r="A221" s="28" t="s">
        <v>3</v>
      </c>
      <c r="B221" s="26">
        <f>SUM(B222:B223)</f>
        <v>34275</v>
      </c>
      <c r="C221" s="26">
        <f t="shared" si="507"/>
        <v>0</v>
      </c>
      <c r="D221" s="26">
        <f>SUM(D222:D223)</f>
        <v>0</v>
      </c>
      <c r="E221" s="26">
        <f>SUM(E222:E223)</f>
        <v>0</v>
      </c>
      <c r="F221" s="26">
        <f t="shared" si="508"/>
        <v>0</v>
      </c>
      <c r="G221" s="26">
        <f t="shared" ref="G221:H221" si="519">SUM(G222:G223)</f>
        <v>0</v>
      </c>
      <c r="H221" s="26">
        <f t="shared" si="519"/>
        <v>0</v>
      </c>
      <c r="I221" s="26">
        <f t="shared" si="509"/>
        <v>0</v>
      </c>
      <c r="J221" s="26">
        <f t="shared" ref="J221:K221" si="520">SUM(J222:J223)</f>
        <v>0</v>
      </c>
      <c r="K221" s="26">
        <f t="shared" si="520"/>
        <v>0</v>
      </c>
      <c r="L221" s="26">
        <f t="shared" si="510"/>
        <v>19025</v>
      </c>
      <c r="M221" s="26">
        <f>SUM(M222:M223)</f>
        <v>19025</v>
      </c>
      <c r="N221" s="26">
        <f t="shared" ref="N221" si="521">SUM(N222:N223)</f>
        <v>0</v>
      </c>
      <c r="O221" s="26">
        <f t="shared" si="511"/>
        <v>0</v>
      </c>
      <c r="P221" s="26">
        <f t="shared" ref="P221:Q221" si="522">SUM(P222:P223)</f>
        <v>0</v>
      </c>
      <c r="Q221" s="26">
        <f t="shared" si="522"/>
        <v>0</v>
      </c>
      <c r="R221" s="26">
        <f t="shared" si="512"/>
        <v>0</v>
      </c>
      <c r="S221" s="26">
        <f t="shared" ref="S221:T221" si="523">SUM(S222:S223)</f>
        <v>0</v>
      </c>
      <c r="T221" s="26">
        <f t="shared" si="523"/>
        <v>0</v>
      </c>
      <c r="U221" s="29"/>
      <c r="V221" s="5" t="str">
        <f t="shared" si="513"/>
        <v>ok</v>
      </c>
    </row>
    <row r="222" spans="1:22" ht="50.5" x14ac:dyDescent="0.6">
      <c r="A222" s="30" t="s">
        <v>63</v>
      </c>
      <c r="B222" s="22">
        <v>33250</v>
      </c>
      <c r="C222" s="22">
        <f t="shared" si="507"/>
        <v>0</v>
      </c>
      <c r="D222" s="22"/>
      <c r="E222" s="22"/>
      <c r="F222" s="22">
        <f t="shared" si="508"/>
        <v>0</v>
      </c>
      <c r="G222" s="22"/>
      <c r="H222" s="22"/>
      <c r="I222" s="22">
        <f t="shared" si="509"/>
        <v>0</v>
      </c>
      <c r="J222" s="22"/>
      <c r="K222" s="22"/>
      <c r="L222" s="22">
        <f t="shared" si="510"/>
        <v>18000</v>
      </c>
      <c r="M222" s="22">
        <v>18000</v>
      </c>
      <c r="N222" s="22"/>
      <c r="O222" s="22">
        <f t="shared" si="511"/>
        <v>0</v>
      </c>
      <c r="P222" s="22"/>
      <c r="Q222" s="22"/>
      <c r="R222" s="22">
        <f t="shared" si="512"/>
        <v>0</v>
      </c>
      <c r="S222" s="22"/>
      <c r="T222" s="22"/>
      <c r="U222" s="14"/>
      <c r="V222" s="5" t="str">
        <f t="shared" si="513"/>
        <v>ok</v>
      </c>
    </row>
    <row r="223" spans="1:22" ht="25.5" customHeight="1" x14ac:dyDescent="0.6">
      <c r="A223" s="30" t="s">
        <v>64</v>
      </c>
      <c r="B223" s="22">
        <v>1025</v>
      </c>
      <c r="C223" s="22">
        <f t="shared" si="507"/>
        <v>0</v>
      </c>
      <c r="D223" s="22"/>
      <c r="E223" s="22"/>
      <c r="F223" s="22">
        <f t="shared" si="508"/>
        <v>0</v>
      </c>
      <c r="G223" s="22"/>
      <c r="H223" s="22"/>
      <c r="I223" s="22">
        <f t="shared" si="509"/>
        <v>0</v>
      </c>
      <c r="J223" s="22"/>
      <c r="K223" s="22"/>
      <c r="L223" s="22">
        <f t="shared" si="510"/>
        <v>1025</v>
      </c>
      <c r="M223" s="22">
        <v>1025</v>
      </c>
      <c r="N223" s="22"/>
      <c r="O223" s="22">
        <f t="shared" si="511"/>
        <v>0</v>
      </c>
      <c r="P223" s="22"/>
      <c r="Q223" s="22"/>
      <c r="R223" s="22">
        <f t="shared" si="512"/>
        <v>0</v>
      </c>
      <c r="S223" s="22"/>
      <c r="T223" s="22"/>
      <c r="U223" s="14"/>
      <c r="V223" s="5" t="str">
        <f t="shared" si="513"/>
        <v>ok</v>
      </c>
    </row>
    <row r="224" spans="1:22" ht="25.15" customHeight="1" x14ac:dyDescent="0.6">
      <c r="A224" s="28" t="s">
        <v>4</v>
      </c>
      <c r="B224" s="26">
        <f>SUM(B225:B226)</f>
        <v>2000</v>
      </c>
      <c r="C224" s="26">
        <f t="shared" si="507"/>
        <v>0</v>
      </c>
      <c r="D224" s="26">
        <f>SUM(D225:D226)</f>
        <v>0</v>
      </c>
      <c r="E224" s="26">
        <f>SUM(E225:E226)</f>
        <v>0</v>
      </c>
      <c r="F224" s="26">
        <f t="shared" si="508"/>
        <v>0</v>
      </c>
      <c r="G224" s="26">
        <f t="shared" ref="G224:H224" si="524">SUM(G225:G226)</f>
        <v>0</v>
      </c>
      <c r="H224" s="26">
        <f t="shared" si="524"/>
        <v>0</v>
      </c>
      <c r="I224" s="26">
        <f t="shared" si="509"/>
        <v>0</v>
      </c>
      <c r="J224" s="26">
        <f t="shared" ref="J224:K224" si="525">SUM(J225:J226)</f>
        <v>0</v>
      </c>
      <c r="K224" s="26">
        <f t="shared" si="525"/>
        <v>0</v>
      </c>
      <c r="L224" s="26">
        <f t="shared" si="510"/>
        <v>2000</v>
      </c>
      <c r="M224" s="26">
        <f t="shared" ref="M224:N224" si="526">SUM(M225:M226)</f>
        <v>0</v>
      </c>
      <c r="N224" s="26">
        <f t="shared" si="526"/>
        <v>2000</v>
      </c>
      <c r="O224" s="26">
        <f t="shared" si="511"/>
        <v>0</v>
      </c>
      <c r="P224" s="26">
        <f t="shared" ref="P224:Q224" si="527">SUM(P225:P226)</f>
        <v>0</v>
      </c>
      <c r="Q224" s="26">
        <f t="shared" si="527"/>
        <v>0</v>
      </c>
      <c r="R224" s="26">
        <f t="shared" si="512"/>
        <v>0</v>
      </c>
      <c r="S224" s="26">
        <f t="shared" ref="S224:T224" si="528">SUM(S225:S226)</f>
        <v>0</v>
      </c>
      <c r="T224" s="26">
        <f t="shared" si="528"/>
        <v>0</v>
      </c>
      <c r="U224" s="29"/>
      <c r="V224" s="5" t="str">
        <f t="shared" si="513"/>
        <v>ok</v>
      </c>
    </row>
    <row r="225" spans="1:22" ht="50.5" x14ac:dyDescent="0.6">
      <c r="A225" s="30" t="s">
        <v>65</v>
      </c>
      <c r="B225" s="22">
        <v>1500</v>
      </c>
      <c r="C225" s="22">
        <f t="shared" si="507"/>
        <v>0</v>
      </c>
      <c r="D225" s="22"/>
      <c r="E225" s="22"/>
      <c r="F225" s="22">
        <f t="shared" si="508"/>
        <v>0</v>
      </c>
      <c r="G225" s="22"/>
      <c r="H225" s="22"/>
      <c r="I225" s="22">
        <f t="shared" si="509"/>
        <v>0</v>
      </c>
      <c r="J225" s="22"/>
      <c r="K225" s="22"/>
      <c r="L225" s="22">
        <f t="shared" si="510"/>
        <v>1500</v>
      </c>
      <c r="M225" s="22"/>
      <c r="N225" s="22">
        <v>1500</v>
      </c>
      <c r="O225" s="22">
        <f t="shared" si="511"/>
        <v>0</v>
      </c>
      <c r="P225" s="22"/>
      <c r="Q225" s="22"/>
      <c r="R225" s="22">
        <f t="shared" si="512"/>
        <v>0</v>
      </c>
      <c r="S225" s="22"/>
      <c r="T225" s="22"/>
      <c r="U225" s="14"/>
      <c r="V225" s="5" t="str">
        <f t="shared" si="513"/>
        <v>ok</v>
      </c>
    </row>
    <row r="226" spans="1:22" ht="50.5" x14ac:dyDescent="0.6">
      <c r="A226" s="30" t="s">
        <v>66</v>
      </c>
      <c r="B226" s="22">
        <v>500</v>
      </c>
      <c r="C226" s="22">
        <f t="shared" si="507"/>
        <v>0</v>
      </c>
      <c r="D226" s="22"/>
      <c r="E226" s="22"/>
      <c r="F226" s="22">
        <f t="shared" si="508"/>
        <v>0</v>
      </c>
      <c r="G226" s="22"/>
      <c r="H226" s="22"/>
      <c r="I226" s="22">
        <f t="shared" si="509"/>
        <v>0</v>
      </c>
      <c r="J226" s="22"/>
      <c r="K226" s="22"/>
      <c r="L226" s="22">
        <f t="shared" si="510"/>
        <v>500</v>
      </c>
      <c r="M226" s="22"/>
      <c r="N226" s="22">
        <v>500</v>
      </c>
      <c r="O226" s="22">
        <f t="shared" si="511"/>
        <v>0</v>
      </c>
      <c r="P226" s="22"/>
      <c r="Q226" s="22"/>
      <c r="R226" s="22">
        <f t="shared" si="512"/>
        <v>0</v>
      </c>
      <c r="S226" s="22"/>
      <c r="T226" s="22"/>
      <c r="U226" s="14"/>
      <c r="V226" s="5" t="str">
        <f t="shared" si="513"/>
        <v>ok</v>
      </c>
    </row>
    <row r="227" spans="1:22" ht="25.15" hidden="1" customHeight="1" x14ac:dyDescent="0.6">
      <c r="A227" s="25" t="s">
        <v>9</v>
      </c>
      <c r="B227" s="26">
        <f>B228+B231</f>
        <v>0</v>
      </c>
      <c r="C227" s="26">
        <f t="shared" si="507"/>
        <v>0</v>
      </c>
      <c r="D227" s="26">
        <f>D228+D231</f>
        <v>0</v>
      </c>
      <c r="E227" s="26">
        <f>E228+E231</f>
        <v>0</v>
      </c>
      <c r="F227" s="26">
        <f t="shared" si="508"/>
        <v>0</v>
      </c>
      <c r="G227" s="26">
        <f t="shared" ref="G227:H227" si="529">G228+G231</f>
        <v>0</v>
      </c>
      <c r="H227" s="26">
        <f t="shared" si="529"/>
        <v>0</v>
      </c>
      <c r="I227" s="26">
        <f t="shared" si="509"/>
        <v>0</v>
      </c>
      <c r="J227" s="26">
        <f t="shared" ref="J227:K227" si="530">J228+J231</f>
        <v>0</v>
      </c>
      <c r="K227" s="26">
        <f t="shared" si="530"/>
        <v>0</v>
      </c>
      <c r="L227" s="26">
        <f t="shared" si="510"/>
        <v>0</v>
      </c>
      <c r="M227" s="26">
        <f t="shared" ref="M227:N227" si="531">M228+M231</f>
        <v>0</v>
      </c>
      <c r="N227" s="26">
        <f t="shared" si="531"/>
        <v>0</v>
      </c>
      <c r="O227" s="26">
        <f t="shared" si="511"/>
        <v>0</v>
      </c>
      <c r="P227" s="26">
        <f t="shared" ref="P227:Q227" si="532">P228+P231</f>
        <v>0</v>
      </c>
      <c r="Q227" s="26">
        <f t="shared" si="532"/>
        <v>0</v>
      </c>
      <c r="R227" s="26">
        <f t="shared" si="512"/>
        <v>0</v>
      </c>
      <c r="S227" s="26">
        <f t="shared" ref="S227:T227" si="533">S228+S231</f>
        <v>0</v>
      </c>
      <c r="T227" s="26">
        <f t="shared" si="533"/>
        <v>0</v>
      </c>
      <c r="U227" s="27"/>
      <c r="V227" s="5" t="str">
        <f t="shared" si="513"/>
        <v>-</v>
      </c>
    </row>
    <row r="228" spans="1:22" ht="25.15" hidden="1" customHeight="1" x14ac:dyDescent="0.6">
      <c r="A228" s="28" t="s">
        <v>3</v>
      </c>
      <c r="B228" s="26">
        <f>SUM(B229:B230)</f>
        <v>0</v>
      </c>
      <c r="C228" s="26">
        <f t="shared" si="507"/>
        <v>0</v>
      </c>
      <c r="D228" s="26">
        <f>SUM(D229:D230)</f>
        <v>0</v>
      </c>
      <c r="E228" s="26">
        <f>SUM(E229:E230)</f>
        <v>0</v>
      </c>
      <c r="F228" s="26">
        <f t="shared" si="508"/>
        <v>0</v>
      </c>
      <c r="G228" s="26">
        <f t="shared" ref="G228:H228" si="534">SUM(G229:G230)</f>
        <v>0</v>
      </c>
      <c r="H228" s="26">
        <f t="shared" si="534"/>
        <v>0</v>
      </c>
      <c r="I228" s="26">
        <f t="shared" si="509"/>
        <v>0</v>
      </c>
      <c r="J228" s="26">
        <f t="shared" ref="J228:K228" si="535">SUM(J229:J230)</f>
        <v>0</v>
      </c>
      <c r="K228" s="26">
        <f t="shared" si="535"/>
        <v>0</v>
      </c>
      <c r="L228" s="26">
        <f t="shared" si="510"/>
        <v>0</v>
      </c>
      <c r="M228" s="26">
        <f t="shared" ref="M228:N228" si="536">SUM(M229:M230)</f>
        <v>0</v>
      </c>
      <c r="N228" s="26">
        <f t="shared" si="536"/>
        <v>0</v>
      </c>
      <c r="O228" s="26">
        <f t="shared" si="511"/>
        <v>0</v>
      </c>
      <c r="P228" s="26">
        <f t="shared" ref="P228:Q228" si="537">SUM(P229:P230)</f>
        <v>0</v>
      </c>
      <c r="Q228" s="26">
        <f t="shared" si="537"/>
        <v>0</v>
      </c>
      <c r="R228" s="26">
        <f t="shared" si="512"/>
        <v>0</v>
      </c>
      <c r="S228" s="26">
        <f t="shared" ref="S228:T228" si="538">SUM(S229:S230)</f>
        <v>0</v>
      </c>
      <c r="T228" s="26">
        <f t="shared" si="538"/>
        <v>0</v>
      </c>
      <c r="U228" s="29"/>
      <c r="V228" s="5" t="str">
        <f t="shared" si="513"/>
        <v>-</v>
      </c>
    </row>
    <row r="229" spans="1:22" ht="25.15" hidden="1" customHeight="1" x14ac:dyDescent="0.6">
      <c r="A229" s="30" t="s">
        <v>5</v>
      </c>
      <c r="B229" s="22"/>
      <c r="C229" s="22">
        <f t="shared" si="507"/>
        <v>0</v>
      </c>
      <c r="D229" s="22"/>
      <c r="E229" s="22"/>
      <c r="F229" s="22">
        <f t="shared" si="508"/>
        <v>0</v>
      </c>
      <c r="G229" s="22"/>
      <c r="H229" s="22"/>
      <c r="I229" s="22">
        <f t="shared" si="509"/>
        <v>0</v>
      </c>
      <c r="J229" s="22"/>
      <c r="K229" s="22"/>
      <c r="L229" s="22">
        <f t="shared" si="510"/>
        <v>0</v>
      </c>
      <c r="M229" s="22"/>
      <c r="N229" s="22"/>
      <c r="O229" s="22">
        <f t="shared" si="511"/>
        <v>0</v>
      </c>
      <c r="P229" s="22"/>
      <c r="Q229" s="22"/>
      <c r="R229" s="22">
        <f t="shared" si="512"/>
        <v>0</v>
      </c>
      <c r="S229" s="22"/>
      <c r="T229" s="22"/>
      <c r="U229" s="14"/>
      <c r="V229" s="5" t="str">
        <f t="shared" si="513"/>
        <v>-</v>
      </c>
    </row>
    <row r="230" spans="1:22" ht="25.15" hidden="1" customHeight="1" x14ac:dyDescent="0.6">
      <c r="A230" s="30" t="s">
        <v>6</v>
      </c>
      <c r="B230" s="22"/>
      <c r="C230" s="22">
        <f t="shared" si="507"/>
        <v>0</v>
      </c>
      <c r="D230" s="22"/>
      <c r="E230" s="22"/>
      <c r="F230" s="22">
        <f t="shared" si="508"/>
        <v>0</v>
      </c>
      <c r="G230" s="22"/>
      <c r="H230" s="22"/>
      <c r="I230" s="22">
        <f t="shared" si="509"/>
        <v>0</v>
      </c>
      <c r="J230" s="22"/>
      <c r="K230" s="22"/>
      <c r="L230" s="22">
        <f t="shared" si="510"/>
        <v>0</v>
      </c>
      <c r="M230" s="22"/>
      <c r="N230" s="22"/>
      <c r="O230" s="22">
        <f t="shared" si="511"/>
        <v>0</v>
      </c>
      <c r="P230" s="22"/>
      <c r="Q230" s="22"/>
      <c r="R230" s="22">
        <f t="shared" si="512"/>
        <v>0</v>
      </c>
      <c r="S230" s="22"/>
      <c r="T230" s="22"/>
      <c r="U230" s="14"/>
      <c r="V230" s="5" t="str">
        <f t="shared" si="513"/>
        <v>-</v>
      </c>
    </row>
    <row r="231" spans="1:22" ht="25.15" hidden="1" customHeight="1" x14ac:dyDescent="0.6">
      <c r="A231" s="28" t="s">
        <v>4</v>
      </c>
      <c r="B231" s="26">
        <f>SUM(B232:B233)</f>
        <v>0</v>
      </c>
      <c r="C231" s="26">
        <f t="shared" si="507"/>
        <v>0</v>
      </c>
      <c r="D231" s="26">
        <f>SUM(D232:D233)</f>
        <v>0</v>
      </c>
      <c r="E231" s="26">
        <f>SUM(E232:E233)</f>
        <v>0</v>
      </c>
      <c r="F231" s="26">
        <f t="shared" si="508"/>
        <v>0</v>
      </c>
      <c r="G231" s="26">
        <f t="shared" ref="G231:H231" si="539">SUM(G232:G233)</f>
        <v>0</v>
      </c>
      <c r="H231" s="26">
        <f t="shared" si="539"/>
        <v>0</v>
      </c>
      <c r="I231" s="26">
        <f t="shared" si="509"/>
        <v>0</v>
      </c>
      <c r="J231" s="26">
        <f t="shared" ref="J231:K231" si="540">SUM(J232:J233)</f>
        <v>0</v>
      </c>
      <c r="K231" s="26">
        <f t="shared" si="540"/>
        <v>0</v>
      </c>
      <c r="L231" s="26">
        <f t="shared" si="510"/>
        <v>0</v>
      </c>
      <c r="M231" s="26">
        <f t="shared" ref="M231:N231" si="541">SUM(M232:M233)</f>
        <v>0</v>
      </c>
      <c r="N231" s="26">
        <f t="shared" si="541"/>
        <v>0</v>
      </c>
      <c r="O231" s="26">
        <f t="shared" si="511"/>
        <v>0</v>
      </c>
      <c r="P231" s="26">
        <f t="shared" ref="P231:Q231" si="542">SUM(P232:P233)</f>
        <v>0</v>
      </c>
      <c r="Q231" s="26">
        <f t="shared" si="542"/>
        <v>0</v>
      </c>
      <c r="R231" s="26">
        <f t="shared" si="512"/>
        <v>0</v>
      </c>
      <c r="S231" s="26">
        <f t="shared" ref="S231:T231" si="543">SUM(S232:S233)</f>
        <v>0</v>
      </c>
      <c r="T231" s="26">
        <f t="shared" si="543"/>
        <v>0</v>
      </c>
      <c r="U231" s="29"/>
      <c r="V231" s="5" t="str">
        <f t="shared" si="513"/>
        <v>-</v>
      </c>
    </row>
    <row r="232" spans="1:22" ht="25.15" hidden="1" customHeight="1" x14ac:dyDescent="0.6">
      <c r="A232" s="30" t="s">
        <v>7</v>
      </c>
      <c r="B232" s="22"/>
      <c r="C232" s="22">
        <f t="shared" si="507"/>
        <v>0</v>
      </c>
      <c r="D232" s="22"/>
      <c r="E232" s="22"/>
      <c r="F232" s="22">
        <f t="shared" si="508"/>
        <v>0</v>
      </c>
      <c r="G232" s="22"/>
      <c r="H232" s="22"/>
      <c r="I232" s="22">
        <f t="shared" si="509"/>
        <v>0</v>
      </c>
      <c r="J232" s="22"/>
      <c r="K232" s="22"/>
      <c r="L232" s="22">
        <f t="shared" si="510"/>
        <v>0</v>
      </c>
      <c r="M232" s="22"/>
      <c r="N232" s="22"/>
      <c r="O232" s="22">
        <f t="shared" si="511"/>
        <v>0</v>
      </c>
      <c r="P232" s="22"/>
      <c r="Q232" s="22"/>
      <c r="R232" s="22">
        <f t="shared" si="512"/>
        <v>0</v>
      </c>
      <c r="S232" s="22"/>
      <c r="T232" s="22"/>
      <c r="U232" s="14"/>
      <c r="V232" s="5" t="str">
        <f t="shared" si="513"/>
        <v>-</v>
      </c>
    </row>
    <row r="233" spans="1:22" ht="25.15" hidden="1" customHeight="1" x14ac:dyDescent="0.6">
      <c r="A233" s="30" t="s">
        <v>8</v>
      </c>
      <c r="B233" s="22"/>
      <c r="C233" s="22">
        <f t="shared" si="507"/>
        <v>0</v>
      </c>
      <c r="D233" s="22"/>
      <c r="E233" s="22"/>
      <c r="F233" s="22">
        <f t="shared" si="508"/>
        <v>0</v>
      </c>
      <c r="G233" s="22"/>
      <c r="H233" s="22"/>
      <c r="I233" s="22">
        <f t="shared" si="509"/>
        <v>0</v>
      </c>
      <c r="J233" s="22"/>
      <c r="K233" s="22"/>
      <c r="L233" s="22">
        <f t="shared" si="510"/>
        <v>0</v>
      </c>
      <c r="M233" s="22"/>
      <c r="N233" s="22"/>
      <c r="O233" s="22">
        <f t="shared" si="511"/>
        <v>0</v>
      </c>
      <c r="P233" s="22"/>
      <c r="Q233" s="22"/>
      <c r="R233" s="22">
        <f t="shared" si="512"/>
        <v>0</v>
      </c>
      <c r="S233" s="22"/>
      <c r="T233" s="22"/>
      <c r="U233" s="14"/>
      <c r="V233" s="5" t="str">
        <f t="shared" si="513"/>
        <v>-</v>
      </c>
    </row>
    <row r="234" spans="1:22" ht="25.15" customHeight="1" x14ac:dyDescent="0.6">
      <c r="A234" s="17" t="s">
        <v>41</v>
      </c>
      <c r="B234" s="21">
        <f>B235</f>
        <v>11500</v>
      </c>
      <c r="C234" s="21">
        <f>D234+E234</f>
        <v>6230</v>
      </c>
      <c r="D234" s="21">
        <f>D235+D250+D265+D284+D299+D314+D329</f>
        <v>0</v>
      </c>
      <c r="E234" s="21">
        <f>E235+E250+E265+E284+E299+E314+E329</f>
        <v>6230</v>
      </c>
      <c r="F234" s="21">
        <f>G234+H234</f>
        <v>3987.2</v>
      </c>
      <c r="G234" s="21">
        <f t="shared" ref="G234:H234" si="544">G235+G250+G265+G284+G299+G314+G329</f>
        <v>0</v>
      </c>
      <c r="H234" s="21">
        <f t="shared" si="544"/>
        <v>3987.2</v>
      </c>
      <c r="I234" s="21">
        <f>J234+K234</f>
        <v>0</v>
      </c>
      <c r="J234" s="21">
        <f t="shared" ref="J234:K234" si="545">J235+J250+J265+J284+J299+J314+J329</f>
        <v>0</v>
      </c>
      <c r="K234" s="21">
        <f t="shared" si="545"/>
        <v>0</v>
      </c>
      <c r="L234" s="21">
        <f>M234+N234</f>
        <v>12718.7</v>
      </c>
      <c r="M234" s="21">
        <f t="shared" ref="M234:N234" si="546">M235+M250+M265+M284+M299+M314+M329</f>
        <v>6218.7</v>
      </c>
      <c r="N234" s="21">
        <f t="shared" si="546"/>
        <v>6500</v>
      </c>
      <c r="O234" s="21">
        <f>P234+Q234</f>
        <v>0</v>
      </c>
      <c r="P234" s="21">
        <f t="shared" ref="P234:Q234" si="547">P235+P250+P265+P284+P299+P314+P329</f>
        <v>0</v>
      </c>
      <c r="Q234" s="21">
        <f t="shared" si="547"/>
        <v>0</v>
      </c>
      <c r="R234" s="21">
        <f>S234+T234</f>
        <v>0</v>
      </c>
      <c r="S234" s="21">
        <f t="shared" ref="S234:T234" si="548">S235+S250+S265+S284+S299+S314+S329</f>
        <v>0</v>
      </c>
      <c r="T234" s="21">
        <f t="shared" si="548"/>
        <v>0</v>
      </c>
      <c r="U234" s="19"/>
      <c r="V234" s="5" t="str">
        <f>IF((B234+C234+F234+L234+O234)&lt;&gt;0,"ok","-")</f>
        <v>ok</v>
      </c>
    </row>
    <row r="235" spans="1:22" ht="25.15" customHeight="1" x14ac:dyDescent="0.6">
      <c r="A235" s="18" t="s">
        <v>42</v>
      </c>
      <c r="B235" s="23">
        <f>B236+B243</f>
        <v>11500</v>
      </c>
      <c r="C235" s="23">
        <f t="shared" ref="C235:C302" si="549">D235+E235</f>
        <v>6230</v>
      </c>
      <c r="D235" s="23">
        <f>D236+D243</f>
        <v>0</v>
      </c>
      <c r="E235" s="23">
        <f>E236+E243</f>
        <v>6230</v>
      </c>
      <c r="F235" s="23">
        <f t="shared" ref="F235:F302" si="550">G235+H235</f>
        <v>3987.2</v>
      </c>
      <c r="G235" s="23">
        <f t="shared" ref="G235:H235" si="551">G236+G243</f>
        <v>0</v>
      </c>
      <c r="H235" s="23">
        <f t="shared" si="551"/>
        <v>3987.2</v>
      </c>
      <c r="I235" s="23">
        <f t="shared" ref="I235:I302" si="552">J235+K235</f>
        <v>0</v>
      </c>
      <c r="J235" s="23">
        <f t="shared" ref="J235:K235" si="553">J236+J243</f>
        <v>0</v>
      </c>
      <c r="K235" s="23">
        <f t="shared" si="553"/>
        <v>0</v>
      </c>
      <c r="L235" s="23">
        <f t="shared" ref="L235:L302" si="554">M235+N235</f>
        <v>6500</v>
      </c>
      <c r="M235" s="23">
        <f t="shared" ref="M235:N235" si="555">M236+M243</f>
        <v>0</v>
      </c>
      <c r="N235" s="23">
        <f t="shared" si="555"/>
        <v>6500</v>
      </c>
      <c r="O235" s="23">
        <f t="shared" ref="O235:O302" si="556">P235+Q235</f>
        <v>0</v>
      </c>
      <c r="P235" s="23">
        <f t="shared" ref="P235:Q235" si="557">P236+P243</f>
        <v>0</v>
      </c>
      <c r="Q235" s="23">
        <f t="shared" si="557"/>
        <v>0</v>
      </c>
      <c r="R235" s="23">
        <f t="shared" ref="R235:R302" si="558">S235+T235</f>
        <v>0</v>
      </c>
      <c r="S235" s="23">
        <f t="shared" ref="S235:T235" si="559">S236+S243</f>
        <v>0</v>
      </c>
      <c r="T235" s="23">
        <f t="shared" si="559"/>
        <v>0</v>
      </c>
      <c r="U235" s="20"/>
      <c r="V235" s="5" t="str">
        <f t="shared" ref="V235:V302" si="560">IF((B235+C235+F235+L235+O235)&lt;&gt;0,"ok","-")</f>
        <v>ok</v>
      </c>
    </row>
    <row r="236" spans="1:22" ht="25.15" customHeight="1" x14ac:dyDescent="0.6">
      <c r="A236" s="25" t="s">
        <v>2</v>
      </c>
      <c r="B236" s="26">
        <f>B237+B240</f>
        <v>11500</v>
      </c>
      <c r="C236" s="26">
        <f t="shared" si="549"/>
        <v>6230</v>
      </c>
      <c r="D236" s="26">
        <f>D237+D240</f>
        <v>0</v>
      </c>
      <c r="E236" s="26">
        <f>E237+E240</f>
        <v>6230</v>
      </c>
      <c r="F236" s="26">
        <f t="shared" si="550"/>
        <v>3987.2</v>
      </c>
      <c r="G236" s="26">
        <f t="shared" ref="G236:H236" si="561">G237+G240</f>
        <v>0</v>
      </c>
      <c r="H236" s="26">
        <f t="shared" si="561"/>
        <v>3987.2</v>
      </c>
      <c r="I236" s="26">
        <f t="shared" si="552"/>
        <v>0</v>
      </c>
      <c r="J236" s="26">
        <f t="shared" ref="J236:K236" si="562">J237+J240</f>
        <v>0</v>
      </c>
      <c r="K236" s="26">
        <f t="shared" si="562"/>
        <v>0</v>
      </c>
      <c r="L236" s="26">
        <f t="shared" si="554"/>
        <v>6500</v>
      </c>
      <c r="M236" s="26">
        <f t="shared" ref="M236:N236" si="563">M237+M240</f>
        <v>0</v>
      </c>
      <c r="N236" s="26">
        <f t="shared" si="563"/>
        <v>6500</v>
      </c>
      <c r="O236" s="26">
        <f t="shared" si="556"/>
        <v>0</v>
      </c>
      <c r="P236" s="26">
        <f t="shared" ref="P236:Q236" si="564">P237+P240</f>
        <v>0</v>
      </c>
      <c r="Q236" s="26">
        <f t="shared" si="564"/>
        <v>0</v>
      </c>
      <c r="R236" s="26">
        <f t="shared" si="558"/>
        <v>0</v>
      </c>
      <c r="S236" s="26">
        <f t="shared" ref="S236:T236" si="565">S237+S240</f>
        <v>0</v>
      </c>
      <c r="T236" s="26">
        <f t="shared" si="565"/>
        <v>0</v>
      </c>
      <c r="U236" s="27"/>
      <c r="V236" s="5" t="str">
        <f t="shared" si="560"/>
        <v>ok</v>
      </c>
    </row>
    <row r="237" spans="1:22" ht="25.15" customHeight="1" x14ac:dyDescent="0.6">
      <c r="A237" s="28" t="s">
        <v>3</v>
      </c>
      <c r="B237" s="26">
        <f>SUM(B238:B239)</f>
        <v>10000</v>
      </c>
      <c r="C237" s="26">
        <f t="shared" si="549"/>
        <v>6230</v>
      </c>
      <c r="D237" s="26">
        <f>SUM(D238:D239)</f>
        <v>0</v>
      </c>
      <c r="E237" s="26">
        <f>SUM(E238:E239)</f>
        <v>6230</v>
      </c>
      <c r="F237" s="26">
        <f t="shared" si="550"/>
        <v>3987.2</v>
      </c>
      <c r="G237" s="26">
        <f t="shared" ref="G237:H237" si="566">SUM(G238:G239)</f>
        <v>0</v>
      </c>
      <c r="H237" s="26">
        <f t="shared" si="566"/>
        <v>3987.2</v>
      </c>
      <c r="I237" s="26">
        <f t="shared" si="552"/>
        <v>0</v>
      </c>
      <c r="J237" s="26">
        <f t="shared" ref="J237:K237" si="567">SUM(J238:J239)</f>
        <v>0</v>
      </c>
      <c r="K237" s="26">
        <f t="shared" si="567"/>
        <v>0</v>
      </c>
      <c r="L237" s="26">
        <f t="shared" si="554"/>
        <v>5000</v>
      </c>
      <c r="M237" s="26">
        <f t="shared" ref="M237:N237" si="568">SUM(M238:M239)</f>
        <v>0</v>
      </c>
      <c r="N237" s="26">
        <f t="shared" si="568"/>
        <v>5000</v>
      </c>
      <c r="O237" s="26">
        <f t="shared" si="556"/>
        <v>0</v>
      </c>
      <c r="P237" s="26">
        <f t="shared" ref="P237:Q237" si="569">SUM(P238:P239)</f>
        <v>0</v>
      </c>
      <c r="Q237" s="26">
        <f t="shared" si="569"/>
        <v>0</v>
      </c>
      <c r="R237" s="26">
        <f t="shared" si="558"/>
        <v>0</v>
      </c>
      <c r="S237" s="26">
        <f t="shared" ref="S237:T237" si="570">SUM(S238:S239)</f>
        <v>0</v>
      </c>
      <c r="T237" s="26">
        <f t="shared" si="570"/>
        <v>0</v>
      </c>
      <c r="U237" s="29"/>
      <c r="V237" s="5" t="str">
        <f t="shared" si="560"/>
        <v>ok</v>
      </c>
    </row>
    <row r="238" spans="1:22" ht="25.25" x14ac:dyDescent="0.6">
      <c r="A238" s="35" t="s">
        <v>59</v>
      </c>
      <c r="B238" s="22">
        <v>10000</v>
      </c>
      <c r="C238" s="22">
        <f t="shared" si="549"/>
        <v>6230</v>
      </c>
      <c r="D238" s="22"/>
      <c r="E238" s="22">
        <v>6230</v>
      </c>
      <c r="F238" s="22">
        <f t="shared" si="550"/>
        <v>3987.2</v>
      </c>
      <c r="G238" s="22"/>
      <c r="H238" s="22">
        <v>3987.2</v>
      </c>
      <c r="I238" s="22">
        <f t="shared" si="552"/>
        <v>0</v>
      </c>
      <c r="J238" s="22"/>
      <c r="K238" s="22"/>
      <c r="L238" s="22">
        <f t="shared" si="554"/>
        <v>5000</v>
      </c>
      <c r="M238" s="22"/>
      <c r="N238" s="22">
        <v>5000</v>
      </c>
      <c r="O238" s="22">
        <f t="shared" si="556"/>
        <v>0</v>
      </c>
      <c r="P238" s="22"/>
      <c r="Q238" s="22"/>
      <c r="R238" s="22">
        <f t="shared" si="558"/>
        <v>0</v>
      </c>
      <c r="S238" s="22"/>
      <c r="T238" s="22"/>
      <c r="U238" s="14"/>
      <c r="V238" s="5" t="str">
        <f t="shared" si="560"/>
        <v>ok</v>
      </c>
    </row>
    <row r="239" spans="1:22" ht="25.5" hidden="1" customHeight="1" x14ac:dyDescent="0.6">
      <c r="A239" s="30" t="s">
        <v>6</v>
      </c>
      <c r="B239" s="22"/>
      <c r="C239" s="22">
        <f t="shared" si="549"/>
        <v>0</v>
      </c>
      <c r="D239" s="22"/>
      <c r="E239" s="22"/>
      <c r="F239" s="22">
        <f t="shared" si="550"/>
        <v>0</v>
      </c>
      <c r="G239" s="22"/>
      <c r="H239" s="22"/>
      <c r="I239" s="22">
        <f t="shared" si="552"/>
        <v>0</v>
      </c>
      <c r="J239" s="22"/>
      <c r="K239" s="22"/>
      <c r="L239" s="22">
        <f t="shared" si="554"/>
        <v>0</v>
      </c>
      <c r="M239" s="22"/>
      <c r="N239" s="22"/>
      <c r="O239" s="22">
        <f t="shared" si="556"/>
        <v>0</v>
      </c>
      <c r="P239" s="22"/>
      <c r="Q239" s="22"/>
      <c r="R239" s="22">
        <f t="shared" si="558"/>
        <v>0</v>
      </c>
      <c r="S239" s="22"/>
      <c r="T239" s="22"/>
      <c r="U239" s="14"/>
      <c r="V239" s="5" t="str">
        <f t="shared" si="560"/>
        <v>-</v>
      </c>
    </row>
    <row r="240" spans="1:22" ht="25.15" customHeight="1" x14ac:dyDescent="0.6">
      <c r="A240" s="28" t="s">
        <v>4</v>
      </c>
      <c r="B240" s="26">
        <f>SUM(B241:B242)</f>
        <v>1500</v>
      </c>
      <c r="C240" s="26">
        <f t="shared" si="549"/>
        <v>0</v>
      </c>
      <c r="D240" s="26">
        <f>SUM(D241:D242)</f>
        <v>0</v>
      </c>
      <c r="E240" s="26">
        <f>SUM(E241:E242)</f>
        <v>0</v>
      </c>
      <c r="F240" s="26">
        <f t="shared" si="550"/>
        <v>0</v>
      </c>
      <c r="G240" s="26">
        <f t="shared" ref="G240:H240" si="571">SUM(G241:G242)</f>
        <v>0</v>
      </c>
      <c r="H240" s="26">
        <f t="shared" si="571"/>
        <v>0</v>
      </c>
      <c r="I240" s="26">
        <f t="shared" si="552"/>
        <v>0</v>
      </c>
      <c r="J240" s="26">
        <f t="shared" ref="J240:K240" si="572">SUM(J241:J242)</f>
        <v>0</v>
      </c>
      <c r="K240" s="26">
        <f t="shared" si="572"/>
        <v>0</v>
      </c>
      <c r="L240" s="26">
        <f t="shared" si="554"/>
        <v>1500</v>
      </c>
      <c r="M240" s="26">
        <f t="shared" ref="M240:N240" si="573">SUM(M241:M242)</f>
        <v>0</v>
      </c>
      <c r="N240" s="26">
        <f t="shared" si="573"/>
        <v>1500</v>
      </c>
      <c r="O240" s="26">
        <f t="shared" si="556"/>
        <v>0</v>
      </c>
      <c r="P240" s="26">
        <f t="shared" ref="P240:Q240" si="574">SUM(P241:P242)</f>
        <v>0</v>
      </c>
      <c r="Q240" s="26">
        <f t="shared" si="574"/>
        <v>0</v>
      </c>
      <c r="R240" s="26">
        <f t="shared" si="558"/>
        <v>0</v>
      </c>
      <c r="S240" s="26">
        <f t="shared" ref="S240:T240" si="575">SUM(S241:S242)</f>
        <v>0</v>
      </c>
      <c r="T240" s="26">
        <f t="shared" si="575"/>
        <v>0</v>
      </c>
      <c r="U240" s="29"/>
      <c r="V240" s="5" t="str">
        <f t="shared" si="560"/>
        <v>ok</v>
      </c>
    </row>
    <row r="241" spans="1:22" ht="25.15" customHeight="1" x14ac:dyDescent="0.6">
      <c r="A241" s="30" t="s">
        <v>67</v>
      </c>
      <c r="B241" s="22">
        <v>1500</v>
      </c>
      <c r="C241" s="22">
        <f t="shared" si="549"/>
        <v>0</v>
      </c>
      <c r="D241" s="22"/>
      <c r="E241" s="22"/>
      <c r="F241" s="22">
        <f t="shared" si="550"/>
        <v>0</v>
      </c>
      <c r="G241" s="22"/>
      <c r="H241" s="22"/>
      <c r="I241" s="22">
        <f t="shared" si="552"/>
        <v>0</v>
      </c>
      <c r="J241" s="22"/>
      <c r="K241" s="22"/>
      <c r="L241" s="22">
        <f t="shared" si="554"/>
        <v>1500</v>
      </c>
      <c r="M241" s="22"/>
      <c r="N241" s="22">
        <v>1500</v>
      </c>
      <c r="O241" s="22">
        <f t="shared" si="556"/>
        <v>0</v>
      </c>
      <c r="P241" s="22"/>
      <c r="Q241" s="22"/>
      <c r="R241" s="22">
        <f t="shared" si="558"/>
        <v>0</v>
      </c>
      <c r="S241" s="22"/>
      <c r="T241" s="22"/>
      <c r="U241" s="14"/>
      <c r="V241" s="5" t="str">
        <f t="shared" si="560"/>
        <v>ok</v>
      </c>
    </row>
    <row r="242" spans="1:22" ht="25.15" hidden="1" customHeight="1" x14ac:dyDescent="0.6">
      <c r="A242" s="30" t="s">
        <v>8</v>
      </c>
      <c r="B242" s="22"/>
      <c r="C242" s="22">
        <f t="shared" si="549"/>
        <v>0</v>
      </c>
      <c r="D242" s="22"/>
      <c r="E242" s="22"/>
      <c r="F242" s="22">
        <f t="shared" si="550"/>
        <v>0</v>
      </c>
      <c r="G242" s="22"/>
      <c r="H242" s="22"/>
      <c r="I242" s="22">
        <f t="shared" si="552"/>
        <v>0</v>
      </c>
      <c r="J242" s="22"/>
      <c r="K242" s="22"/>
      <c r="L242" s="22">
        <f t="shared" si="554"/>
        <v>0</v>
      </c>
      <c r="M242" s="22"/>
      <c r="N242" s="22"/>
      <c r="O242" s="22">
        <f t="shared" si="556"/>
        <v>0</v>
      </c>
      <c r="P242" s="22"/>
      <c r="Q242" s="22"/>
      <c r="R242" s="22">
        <f t="shared" si="558"/>
        <v>0</v>
      </c>
      <c r="S242" s="22"/>
      <c r="T242" s="22"/>
      <c r="U242" s="14"/>
      <c r="V242" s="5" t="str">
        <f t="shared" si="560"/>
        <v>-</v>
      </c>
    </row>
    <row r="243" spans="1:22" ht="25.15" hidden="1" customHeight="1" x14ac:dyDescent="0.6">
      <c r="A243" s="25" t="s">
        <v>9</v>
      </c>
      <c r="B243" s="26">
        <f>B244+B247</f>
        <v>0</v>
      </c>
      <c r="C243" s="26">
        <f t="shared" si="549"/>
        <v>0</v>
      </c>
      <c r="D243" s="26">
        <f>D244+D247</f>
        <v>0</v>
      </c>
      <c r="E243" s="26">
        <f>E244+E247</f>
        <v>0</v>
      </c>
      <c r="F243" s="26">
        <f t="shared" si="550"/>
        <v>0</v>
      </c>
      <c r="G243" s="26">
        <f t="shared" ref="G243:H243" si="576">G244+G247</f>
        <v>0</v>
      </c>
      <c r="H243" s="26">
        <f t="shared" si="576"/>
        <v>0</v>
      </c>
      <c r="I243" s="26">
        <f t="shared" si="552"/>
        <v>0</v>
      </c>
      <c r="J243" s="26">
        <f t="shared" ref="J243:K243" si="577">J244+J247</f>
        <v>0</v>
      </c>
      <c r="K243" s="26">
        <f t="shared" si="577"/>
        <v>0</v>
      </c>
      <c r="L243" s="26">
        <f t="shared" si="554"/>
        <v>0</v>
      </c>
      <c r="M243" s="26">
        <f t="shared" ref="M243:N243" si="578">M244+M247</f>
        <v>0</v>
      </c>
      <c r="N243" s="26">
        <f t="shared" si="578"/>
        <v>0</v>
      </c>
      <c r="O243" s="26">
        <f t="shared" si="556"/>
        <v>0</v>
      </c>
      <c r="P243" s="26">
        <f t="shared" ref="P243:Q243" si="579">P244+P247</f>
        <v>0</v>
      </c>
      <c r="Q243" s="26">
        <f t="shared" si="579"/>
        <v>0</v>
      </c>
      <c r="R243" s="26">
        <f t="shared" si="558"/>
        <v>0</v>
      </c>
      <c r="S243" s="26">
        <f t="shared" ref="S243:T243" si="580">S244+S247</f>
        <v>0</v>
      </c>
      <c r="T243" s="26">
        <f t="shared" si="580"/>
        <v>0</v>
      </c>
      <c r="U243" s="27"/>
      <c r="V243" s="5" t="str">
        <f t="shared" si="560"/>
        <v>-</v>
      </c>
    </row>
    <row r="244" spans="1:22" ht="25.15" hidden="1" customHeight="1" x14ac:dyDescent="0.6">
      <c r="A244" s="28" t="s">
        <v>3</v>
      </c>
      <c r="B244" s="26">
        <f>SUM(B245:B246)</f>
        <v>0</v>
      </c>
      <c r="C244" s="26">
        <f t="shared" si="549"/>
        <v>0</v>
      </c>
      <c r="D244" s="26">
        <f>SUM(D245:D246)</f>
        <v>0</v>
      </c>
      <c r="E244" s="26">
        <f>SUM(E245:E246)</f>
        <v>0</v>
      </c>
      <c r="F244" s="26">
        <f t="shared" si="550"/>
        <v>0</v>
      </c>
      <c r="G244" s="26">
        <f t="shared" ref="G244:H244" si="581">SUM(G245:G246)</f>
        <v>0</v>
      </c>
      <c r="H244" s="26">
        <f t="shared" si="581"/>
        <v>0</v>
      </c>
      <c r="I244" s="26">
        <f t="shared" si="552"/>
        <v>0</v>
      </c>
      <c r="J244" s="26">
        <f t="shared" ref="J244:K244" si="582">SUM(J245:J246)</f>
        <v>0</v>
      </c>
      <c r="K244" s="26">
        <f t="shared" si="582"/>
        <v>0</v>
      </c>
      <c r="L244" s="26">
        <f t="shared" si="554"/>
        <v>0</v>
      </c>
      <c r="M244" s="26">
        <f t="shared" ref="M244:N244" si="583">SUM(M245:M246)</f>
        <v>0</v>
      </c>
      <c r="N244" s="26">
        <f t="shared" si="583"/>
        <v>0</v>
      </c>
      <c r="O244" s="26">
        <f t="shared" si="556"/>
        <v>0</v>
      </c>
      <c r="P244" s="26">
        <f t="shared" ref="P244:Q244" si="584">SUM(P245:P246)</f>
        <v>0</v>
      </c>
      <c r="Q244" s="26">
        <f t="shared" si="584"/>
        <v>0</v>
      </c>
      <c r="R244" s="26">
        <f t="shared" si="558"/>
        <v>0</v>
      </c>
      <c r="S244" s="26">
        <f t="shared" ref="S244:T244" si="585">SUM(S245:S246)</f>
        <v>0</v>
      </c>
      <c r="T244" s="26">
        <f t="shared" si="585"/>
        <v>0</v>
      </c>
      <c r="U244" s="29"/>
      <c r="V244" s="5" t="str">
        <f t="shared" si="560"/>
        <v>-</v>
      </c>
    </row>
    <row r="245" spans="1:22" ht="25.15" hidden="1" customHeight="1" x14ac:dyDescent="0.6">
      <c r="A245" s="30" t="s">
        <v>5</v>
      </c>
      <c r="B245" s="22"/>
      <c r="C245" s="22">
        <f t="shared" si="549"/>
        <v>0</v>
      </c>
      <c r="D245" s="22"/>
      <c r="E245" s="22"/>
      <c r="F245" s="22">
        <f t="shared" si="550"/>
        <v>0</v>
      </c>
      <c r="G245" s="22"/>
      <c r="H245" s="22"/>
      <c r="I245" s="22">
        <f t="shared" si="552"/>
        <v>0</v>
      </c>
      <c r="J245" s="22"/>
      <c r="K245" s="22"/>
      <c r="L245" s="22">
        <f t="shared" si="554"/>
        <v>0</v>
      </c>
      <c r="M245" s="22"/>
      <c r="N245" s="22"/>
      <c r="O245" s="22">
        <f t="shared" si="556"/>
        <v>0</v>
      </c>
      <c r="P245" s="22"/>
      <c r="Q245" s="22"/>
      <c r="R245" s="22">
        <f t="shared" si="558"/>
        <v>0</v>
      </c>
      <c r="S245" s="22"/>
      <c r="T245" s="22"/>
      <c r="U245" s="14"/>
      <c r="V245" s="5" t="str">
        <f t="shared" si="560"/>
        <v>-</v>
      </c>
    </row>
    <row r="246" spans="1:22" ht="25.15" hidden="1" customHeight="1" x14ac:dyDescent="0.6">
      <c r="A246" s="30" t="s">
        <v>6</v>
      </c>
      <c r="B246" s="22"/>
      <c r="C246" s="22">
        <f t="shared" si="549"/>
        <v>0</v>
      </c>
      <c r="D246" s="22"/>
      <c r="E246" s="22"/>
      <c r="F246" s="22">
        <f t="shared" si="550"/>
        <v>0</v>
      </c>
      <c r="G246" s="22"/>
      <c r="H246" s="22"/>
      <c r="I246" s="22">
        <f t="shared" si="552"/>
        <v>0</v>
      </c>
      <c r="J246" s="22"/>
      <c r="K246" s="22"/>
      <c r="L246" s="22">
        <f t="shared" si="554"/>
        <v>0</v>
      </c>
      <c r="M246" s="22"/>
      <c r="N246" s="22"/>
      <c r="O246" s="22">
        <f t="shared" si="556"/>
        <v>0</v>
      </c>
      <c r="P246" s="22"/>
      <c r="Q246" s="22"/>
      <c r="R246" s="22">
        <f t="shared" si="558"/>
        <v>0</v>
      </c>
      <c r="S246" s="22"/>
      <c r="T246" s="22"/>
      <c r="U246" s="14"/>
      <c r="V246" s="5" t="str">
        <f t="shared" si="560"/>
        <v>-</v>
      </c>
    </row>
    <row r="247" spans="1:22" ht="25.15" hidden="1" customHeight="1" x14ac:dyDescent="0.6">
      <c r="A247" s="28" t="s">
        <v>4</v>
      </c>
      <c r="B247" s="26">
        <f>SUM(B248:B249)</f>
        <v>0</v>
      </c>
      <c r="C247" s="26">
        <f t="shared" si="549"/>
        <v>0</v>
      </c>
      <c r="D247" s="26">
        <f>SUM(D248:D249)</f>
        <v>0</v>
      </c>
      <c r="E247" s="26">
        <f>SUM(E248:E249)</f>
        <v>0</v>
      </c>
      <c r="F247" s="26">
        <f t="shared" si="550"/>
        <v>0</v>
      </c>
      <c r="G247" s="26">
        <f t="shared" ref="G247:H247" si="586">SUM(G248:G249)</f>
        <v>0</v>
      </c>
      <c r="H247" s="26">
        <f t="shared" si="586"/>
        <v>0</v>
      </c>
      <c r="I247" s="26">
        <f t="shared" si="552"/>
        <v>0</v>
      </c>
      <c r="J247" s="26">
        <f t="shared" ref="J247:K247" si="587">SUM(J248:J249)</f>
        <v>0</v>
      </c>
      <c r="K247" s="26">
        <f t="shared" si="587"/>
        <v>0</v>
      </c>
      <c r="L247" s="26">
        <f t="shared" si="554"/>
        <v>0</v>
      </c>
      <c r="M247" s="26">
        <f t="shared" ref="M247:N247" si="588">SUM(M248:M249)</f>
        <v>0</v>
      </c>
      <c r="N247" s="26">
        <f t="shared" si="588"/>
        <v>0</v>
      </c>
      <c r="O247" s="26">
        <f t="shared" si="556"/>
        <v>0</v>
      </c>
      <c r="P247" s="26">
        <f t="shared" ref="P247:Q247" si="589">SUM(P248:P249)</f>
        <v>0</v>
      </c>
      <c r="Q247" s="26">
        <f t="shared" si="589"/>
        <v>0</v>
      </c>
      <c r="R247" s="26">
        <f t="shared" si="558"/>
        <v>0</v>
      </c>
      <c r="S247" s="26">
        <f t="shared" ref="S247:T247" si="590">SUM(S248:S249)</f>
        <v>0</v>
      </c>
      <c r="T247" s="26">
        <f t="shared" si="590"/>
        <v>0</v>
      </c>
      <c r="U247" s="29"/>
      <c r="V247" s="5" t="str">
        <f t="shared" si="560"/>
        <v>-</v>
      </c>
    </row>
    <row r="248" spans="1:22" ht="25.15" hidden="1" customHeight="1" x14ac:dyDescent="0.6">
      <c r="A248" s="30" t="s">
        <v>7</v>
      </c>
      <c r="B248" s="22"/>
      <c r="C248" s="22">
        <f t="shared" si="549"/>
        <v>0</v>
      </c>
      <c r="D248" s="22"/>
      <c r="E248" s="22"/>
      <c r="F248" s="22">
        <f t="shared" si="550"/>
        <v>0</v>
      </c>
      <c r="G248" s="22"/>
      <c r="H248" s="22"/>
      <c r="I248" s="22">
        <f t="shared" si="552"/>
        <v>0</v>
      </c>
      <c r="J248" s="22"/>
      <c r="K248" s="22"/>
      <c r="L248" s="22">
        <f t="shared" si="554"/>
        <v>0</v>
      </c>
      <c r="M248" s="22"/>
      <c r="N248" s="22"/>
      <c r="O248" s="22">
        <f t="shared" si="556"/>
        <v>0</v>
      </c>
      <c r="P248" s="22"/>
      <c r="Q248" s="22"/>
      <c r="R248" s="22">
        <f t="shared" si="558"/>
        <v>0</v>
      </c>
      <c r="S248" s="22"/>
      <c r="T248" s="22"/>
      <c r="U248" s="14"/>
      <c r="V248" s="5" t="str">
        <f t="shared" si="560"/>
        <v>-</v>
      </c>
    </row>
    <row r="249" spans="1:22" ht="25.15" hidden="1" customHeight="1" x14ac:dyDescent="0.6">
      <c r="A249" s="30" t="s">
        <v>8</v>
      </c>
      <c r="B249" s="22"/>
      <c r="C249" s="22">
        <f t="shared" si="549"/>
        <v>0</v>
      </c>
      <c r="D249" s="22"/>
      <c r="E249" s="22"/>
      <c r="F249" s="22">
        <f t="shared" si="550"/>
        <v>0</v>
      </c>
      <c r="G249" s="22"/>
      <c r="H249" s="22"/>
      <c r="I249" s="22">
        <f t="shared" si="552"/>
        <v>0</v>
      </c>
      <c r="J249" s="22"/>
      <c r="K249" s="22"/>
      <c r="L249" s="22">
        <f t="shared" si="554"/>
        <v>0</v>
      </c>
      <c r="M249" s="22"/>
      <c r="N249" s="22"/>
      <c r="O249" s="22">
        <f t="shared" si="556"/>
        <v>0</v>
      </c>
      <c r="P249" s="22"/>
      <c r="Q249" s="22"/>
      <c r="R249" s="22">
        <f t="shared" si="558"/>
        <v>0</v>
      </c>
      <c r="S249" s="22"/>
      <c r="T249" s="22"/>
      <c r="U249" s="14"/>
      <c r="V249" s="5" t="str">
        <f t="shared" si="560"/>
        <v>-</v>
      </c>
    </row>
    <row r="250" spans="1:22" ht="25.15" hidden="1" customHeight="1" x14ac:dyDescent="0.6">
      <c r="A250" s="18" t="s">
        <v>43</v>
      </c>
      <c r="B250" s="23">
        <f>B251+B258</f>
        <v>0</v>
      </c>
      <c r="C250" s="23">
        <f t="shared" si="549"/>
        <v>0</v>
      </c>
      <c r="D250" s="23">
        <f>D251+D258</f>
        <v>0</v>
      </c>
      <c r="E250" s="23">
        <f>E251+E258</f>
        <v>0</v>
      </c>
      <c r="F250" s="23">
        <f t="shared" si="550"/>
        <v>0</v>
      </c>
      <c r="G250" s="23">
        <f t="shared" ref="G250:H250" si="591">G251+G258</f>
        <v>0</v>
      </c>
      <c r="H250" s="23">
        <f t="shared" si="591"/>
        <v>0</v>
      </c>
      <c r="I250" s="23">
        <f t="shared" si="552"/>
        <v>0</v>
      </c>
      <c r="J250" s="23">
        <f t="shared" ref="J250:K250" si="592">J251+J258</f>
        <v>0</v>
      </c>
      <c r="K250" s="23">
        <f t="shared" si="592"/>
        <v>0</v>
      </c>
      <c r="L250" s="23">
        <f t="shared" si="554"/>
        <v>0</v>
      </c>
      <c r="M250" s="23">
        <f t="shared" ref="M250:N250" si="593">M251+M258</f>
        <v>0</v>
      </c>
      <c r="N250" s="23">
        <f t="shared" si="593"/>
        <v>0</v>
      </c>
      <c r="O250" s="23">
        <f t="shared" si="556"/>
        <v>0</v>
      </c>
      <c r="P250" s="23">
        <f t="shared" ref="P250:Q250" si="594">P251+P258</f>
        <v>0</v>
      </c>
      <c r="Q250" s="23">
        <f t="shared" si="594"/>
        <v>0</v>
      </c>
      <c r="R250" s="23">
        <f t="shared" si="558"/>
        <v>0</v>
      </c>
      <c r="S250" s="23">
        <f t="shared" ref="S250:T250" si="595">S251+S258</f>
        <v>0</v>
      </c>
      <c r="T250" s="23">
        <f t="shared" si="595"/>
        <v>0</v>
      </c>
      <c r="U250" s="20"/>
      <c r="V250" s="5" t="str">
        <f t="shared" si="560"/>
        <v>-</v>
      </c>
    </row>
    <row r="251" spans="1:22" ht="25.15" hidden="1" customHeight="1" x14ac:dyDescent="0.6">
      <c r="A251" s="25" t="s">
        <v>2</v>
      </c>
      <c r="B251" s="26">
        <f>B252+B255</f>
        <v>0</v>
      </c>
      <c r="C251" s="26">
        <f t="shared" si="549"/>
        <v>0</v>
      </c>
      <c r="D251" s="26">
        <f>D252+D255</f>
        <v>0</v>
      </c>
      <c r="E251" s="26">
        <f>E252+E255</f>
        <v>0</v>
      </c>
      <c r="F251" s="26">
        <f t="shared" si="550"/>
        <v>0</v>
      </c>
      <c r="G251" s="26">
        <f t="shared" ref="G251:H251" si="596">G252+G255</f>
        <v>0</v>
      </c>
      <c r="H251" s="26">
        <f t="shared" si="596"/>
        <v>0</v>
      </c>
      <c r="I251" s="26">
        <f t="shared" si="552"/>
        <v>0</v>
      </c>
      <c r="J251" s="26">
        <f t="shared" ref="J251:K251" si="597">J252+J255</f>
        <v>0</v>
      </c>
      <c r="K251" s="26">
        <f t="shared" si="597"/>
        <v>0</v>
      </c>
      <c r="L251" s="26">
        <f t="shared" si="554"/>
        <v>0</v>
      </c>
      <c r="M251" s="26">
        <f t="shared" ref="M251:N251" si="598">M252+M255</f>
        <v>0</v>
      </c>
      <c r="N251" s="26">
        <f t="shared" si="598"/>
        <v>0</v>
      </c>
      <c r="O251" s="26">
        <f t="shared" si="556"/>
        <v>0</v>
      </c>
      <c r="P251" s="26">
        <f t="shared" ref="P251:Q251" si="599">P252+P255</f>
        <v>0</v>
      </c>
      <c r="Q251" s="26">
        <f t="shared" si="599"/>
        <v>0</v>
      </c>
      <c r="R251" s="26">
        <f t="shared" si="558"/>
        <v>0</v>
      </c>
      <c r="S251" s="26">
        <f t="shared" ref="S251:T251" si="600">S252+S255</f>
        <v>0</v>
      </c>
      <c r="T251" s="26">
        <f t="shared" si="600"/>
        <v>0</v>
      </c>
      <c r="U251" s="27"/>
      <c r="V251" s="5" t="str">
        <f t="shared" si="560"/>
        <v>-</v>
      </c>
    </row>
    <row r="252" spans="1:22" ht="25.15" hidden="1" customHeight="1" x14ac:dyDescent="0.6">
      <c r="A252" s="28" t="s">
        <v>3</v>
      </c>
      <c r="B252" s="26">
        <f>SUM(B253:B254)</f>
        <v>0</v>
      </c>
      <c r="C252" s="26">
        <f t="shared" si="549"/>
        <v>0</v>
      </c>
      <c r="D252" s="26">
        <f>SUM(D253:D254)</f>
        <v>0</v>
      </c>
      <c r="E252" s="26">
        <f>SUM(E253:E254)</f>
        <v>0</v>
      </c>
      <c r="F252" s="26">
        <f t="shared" si="550"/>
        <v>0</v>
      </c>
      <c r="G252" s="26">
        <f t="shared" ref="G252:H252" si="601">SUM(G253:G254)</f>
        <v>0</v>
      </c>
      <c r="H252" s="26">
        <f t="shared" si="601"/>
        <v>0</v>
      </c>
      <c r="I252" s="26">
        <f t="shared" si="552"/>
        <v>0</v>
      </c>
      <c r="J252" s="26">
        <f t="shared" ref="J252:K252" si="602">SUM(J253:J254)</f>
        <v>0</v>
      </c>
      <c r="K252" s="26">
        <f t="shared" si="602"/>
        <v>0</v>
      </c>
      <c r="L252" s="26">
        <f t="shared" si="554"/>
        <v>0</v>
      </c>
      <c r="M252" s="26">
        <f t="shared" ref="M252:N252" si="603">SUM(M253:M254)</f>
        <v>0</v>
      </c>
      <c r="N252" s="26">
        <f t="shared" si="603"/>
        <v>0</v>
      </c>
      <c r="O252" s="26">
        <f t="shared" si="556"/>
        <v>0</v>
      </c>
      <c r="P252" s="26">
        <f t="shared" ref="P252:Q252" si="604">SUM(P253:P254)</f>
        <v>0</v>
      </c>
      <c r="Q252" s="26">
        <f t="shared" si="604"/>
        <v>0</v>
      </c>
      <c r="R252" s="26">
        <f t="shared" si="558"/>
        <v>0</v>
      </c>
      <c r="S252" s="26">
        <f t="shared" ref="S252:T252" si="605">SUM(S253:S254)</f>
        <v>0</v>
      </c>
      <c r="T252" s="26">
        <f t="shared" si="605"/>
        <v>0</v>
      </c>
      <c r="U252" s="29"/>
      <c r="V252" s="5" t="str">
        <f t="shared" si="560"/>
        <v>-</v>
      </c>
    </row>
    <row r="253" spans="1:22" ht="25.15" hidden="1" customHeight="1" x14ac:dyDescent="0.6">
      <c r="A253" s="30" t="s">
        <v>5</v>
      </c>
      <c r="B253" s="22"/>
      <c r="C253" s="22">
        <f t="shared" si="549"/>
        <v>0</v>
      </c>
      <c r="D253" s="22"/>
      <c r="E253" s="22"/>
      <c r="F253" s="22">
        <f t="shared" si="550"/>
        <v>0</v>
      </c>
      <c r="G253" s="22"/>
      <c r="H253" s="22"/>
      <c r="I253" s="22">
        <f t="shared" si="552"/>
        <v>0</v>
      </c>
      <c r="J253" s="22"/>
      <c r="K253" s="22"/>
      <c r="L253" s="22">
        <f t="shared" si="554"/>
        <v>0</v>
      </c>
      <c r="M253" s="22"/>
      <c r="N253" s="22"/>
      <c r="O253" s="22">
        <f t="shared" si="556"/>
        <v>0</v>
      </c>
      <c r="P253" s="22"/>
      <c r="Q253" s="22"/>
      <c r="R253" s="22">
        <f t="shared" si="558"/>
        <v>0</v>
      </c>
      <c r="S253" s="22"/>
      <c r="T253" s="22"/>
      <c r="U253" s="14"/>
      <c r="V253" s="5" t="str">
        <f t="shared" si="560"/>
        <v>-</v>
      </c>
    </row>
    <row r="254" spans="1:22" ht="25.5" hidden="1" customHeight="1" x14ac:dyDescent="0.6">
      <c r="A254" s="30" t="s">
        <v>6</v>
      </c>
      <c r="B254" s="22"/>
      <c r="C254" s="22">
        <f t="shared" si="549"/>
        <v>0</v>
      </c>
      <c r="D254" s="22"/>
      <c r="E254" s="22"/>
      <c r="F254" s="22">
        <f t="shared" si="550"/>
        <v>0</v>
      </c>
      <c r="G254" s="22"/>
      <c r="H254" s="22"/>
      <c r="I254" s="22">
        <f t="shared" si="552"/>
        <v>0</v>
      </c>
      <c r="J254" s="22"/>
      <c r="K254" s="22"/>
      <c r="L254" s="22">
        <f t="shared" si="554"/>
        <v>0</v>
      </c>
      <c r="M254" s="22"/>
      <c r="N254" s="22"/>
      <c r="O254" s="22">
        <f t="shared" si="556"/>
        <v>0</v>
      </c>
      <c r="P254" s="22"/>
      <c r="Q254" s="22"/>
      <c r="R254" s="22">
        <f t="shared" si="558"/>
        <v>0</v>
      </c>
      <c r="S254" s="22"/>
      <c r="T254" s="22"/>
      <c r="U254" s="14"/>
      <c r="V254" s="5" t="str">
        <f t="shared" si="560"/>
        <v>-</v>
      </c>
    </row>
    <row r="255" spans="1:22" ht="25.15" hidden="1" customHeight="1" x14ac:dyDescent="0.6">
      <c r="A255" s="28" t="s">
        <v>4</v>
      </c>
      <c r="B255" s="26">
        <f>SUM(B256:B257)</f>
        <v>0</v>
      </c>
      <c r="C255" s="26">
        <f t="shared" si="549"/>
        <v>0</v>
      </c>
      <c r="D255" s="26">
        <f>SUM(D256:D257)</f>
        <v>0</v>
      </c>
      <c r="E255" s="26">
        <f>SUM(E256:E257)</f>
        <v>0</v>
      </c>
      <c r="F255" s="26">
        <f t="shared" si="550"/>
        <v>0</v>
      </c>
      <c r="G255" s="26">
        <f t="shared" ref="G255:H255" si="606">SUM(G256:G257)</f>
        <v>0</v>
      </c>
      <c r="H255" s="26">
        <f t="shared" si="606"/>
        <v>0</v>
      </c>
      <c r="I255" s="26">
        <f t="shared" si="552"/>
        <v>0</v>
      </c>
      <c r="J255" s="26">
        <f t="shared" ref="J255:K255" si="607">SUM(J256:J257)</f>
        <v>0</v>
      </c>
      <c r="K255" s="26">
        <f t="shared" si="607"/>
        <v>0</v>
      </c>
      <c r="L255" s="26">
        <f t="shared" si="554"/>
        <v>0</v>
      </c>
      <c r="M255" s="26">
        <f t="shared" ref="M255:N255" si="608">SUM(M256:M257)</f>
        <v>0</v>
      </c>
      <c r="N255" s="26">
        <f t="shared" si="608"/>
        <v>0</v>
      </c>
      <c r="O255" s="26">
        <f t="shared" si="556"/>
        <v>0</v>
      </c>
      <c r="P255" s="26">
        <f t="shared" ref="P255:Q255" si="609">SUM(P256:P257)</f>
        <v>0</v>
      </c>
      <c r="Q255" s="26">
        <f t="shared" si="609"/>
        <v>0</v>
      </c>
      <c r="R255" s="26">
        <f t="shared" si="558"/>
        <v>0</v>
      </c>
      <c r="S255" s="26">
        <f t="shared" ref="S255:T255" si="610">SUM(S256:S257)</f>
        <v>0</v>
      </c>
      <c r="T255" s="26">
        <f t="shared" si="610"/>
        <v>0</v>
      </c>
      <c r="U255" s="29"/>
      <c r="V255" s="5" t="str">
        <f t="shared" si="560"/>
        <v>-</v>
      </c>
    </row>
    <row r="256" spans="1:22" ht="25.15" hidden="1" customHeight="1" x14ac:dyDescent="0.6">
      <c r="A256" s="30" t="s">
        <v>7</v>
      </c>
      <c r="B256" s="22"/>
      <c r="C256" s="22">
        <f t="shared" si="549"/>
        <v>0</v>
      </c>
      <c r="D256" s="22"/>
      <c r="E256" s="22"/>
      <c r="F256" s="22">
        <f t="shared" si="550"/>
        <v>0</v>
      </c>
      <c r="G256" s="22"/>
      <c r="H256" s="22"/>
      <c r="I256" s="22">
        <f t="shared" si="552"/>
        <v>0</v>
      </c>
      <c r="J256" s="22"/>
      <c r="K256" s="22"/>
      <c r="L256" s="22">
        <f t="shared" si="554"/>
        <v>0</v>
      </c>
      <c r="M256" s="22"/>
      <c r="N256" s="22"/>
      <c r="O256" s="22">
        <f t="shared" si="556"/>
        <v>0</v>
      </c>
      <c r="P256" s="22"/>
      <c r="Q256" s="22"/>
      <c r="R256" s="22">
        <f t="shared" si="558"/>
        <v>0</v>
      </c>
      <c r="S256" s="22"/>
      <c r="T256" s="22"/>
      <c r="U256" s="14"/>
      <c r="V256" s="5" t="str">
        <f t="shared" si="560"/>
        <v>-</v>
      </c>
    </row>
    <row r="257" spans="1:22" ht="25.15" hidden="1" customHeight="1" x14ac:dyDescent="0.6">
      <c r="A257" s="30" t="s">
        <v>8</v>
      </c>
      <c r="B257" s="22"/>
      <c r="C257" s="22">
        <f t="shared" si="549"/>
        <v>0</v>
      </c>
      <c r="D257" s="22"/>
      <c r="E257" s="22"/>
      <c r="F257" s="22">
        <f t="shared" si="550"/>
        <v>0</v>
      </c>
      <c r="G257" s="22"/>
      <c r="H257" s="22"/>
      <c r="I257" s="22">
        <f t="shared" si="552"/>
        <v>0</v>
      </c>
      <c r="J257" s="22"/>
      <c r="K257" s="22"/>
      <c r="L257" s="22">
        <f t="shared" si="554"/>
        <v>0</v>
      </c>
      <c r="M257" s="22"/>
      <c r="N257" s="22"/>
      <c r="O257" s="22">
        <f t="shared" si="556"/>
        <v>0</v>
      </c>
      <c r="P257" s="22"/>
      <c r="Q257" s="22"/>
      <c r="R257" s="22">
        <f t="shared" si="558"/>
        <v>0</v>
      </c>
      <c r="S257" s="22"/>
      <c r="T257" s="22"/>
      <c r="U257" s="14"/>
      <c r="V257" s="5" t="str">
        <f t="shared" si="560"/>
        <v>-</v>
      </c>
    </row>
    <row r="258" spans="1:22" ht="25.15" hidden="1" customHeight="1" x14ac:dyDescent="0.6">
      <c r="A258" s="25" t="s">
        <v>9</v>
      </c>
      <c r="B258" s="26">
        <f>B259+B262</f>
        <v>0</v>
      </c>
      <c r="C258" s="26">
        <f t="shared" si="549"/>
        <v>0</v>
      </c>
      <c r="D258" s="26">
        <f>D259+D262</f>
        <v>0</v>
      </c>
      <c r="E258" s="26">
        <f>E259+E262</f>
        <v>0</v>
      </c>
      <c r="F258" s="26">
        <f t="shared" si="550"/>
        <v>0</v>
      </c>
      <c r="G258" s="26">
        <f t="shared" ref="G258:H258" si="611">G259+G262</f>
        <v>0</v>
      </c>
      <c r="H258" s="26">
        <f t="shared" si="611"/>
        <v>0</v>
      </c>
      <c r="I258" s="26">
        <f t="shared" si="552"/>
        <v>0</v>
      </c>
      <c r="J258" s="26">
        <f t="shared" ref="J258:K258" si="612">J259+J262</f>
        <v>0</v>
      </c>
      <c r="K258" s="26">
        <f t="shared" si="612"/>
        <v>0</v>
      </c>
      <c r="L258" s="26">
        <f t="shared" si="554"/>
        <v>0</v>
      </c>
      <c r="M258" s="26">
        <f t="shared" ref="M258:N258" si="613">M259+M262</f>
        <v>0</v>
      </c>
      <c r="N258" s="26">
        <f t="shared" si="613"/>
        <v>0</v>
      </c>
      <c r="O258" s="26">
        <f t="shared" si="556"/>
        <v>0</v>
      </c>
      <c r="P258" s="26">
        <f t="shared" ref="P258:Q258" si="614">P259+P262</f>
        <v>0</v>
      </c>
      <c r="Q258" s="26">
        <f t="shared" si="614"/>
        <v>0</v>
      </c>
      <c r="R258" s="26">
        <f t="shared" si="558"/>
        <v>0</v>
      </c>
      <c r="S258" s="26">
        <f t="shared" ref="S258:T258" si="615">S259+S262</f>
        <v>0</v>
      </c>
      <c r="T258" s="26">
        <f t="shared" si="615"/>
        <v>0</v>
      </c>
      <c r="U258" s="27"/>
      <c r="V258" s="5" t="str">
        <f t="shared" si="560"/>
        <v>-</v>
      </c>
    </row>
    <row r="259" spans="1:22" ht="25.15" hidden="1" customHeight="1" x14ac:dyDescent="0.6">
      <c r="A259" s="28" t="s">
        <v>3</v>
      </c>
      <c r="B259" s="26">
        <f>SUM(B260:B261)</f>
        <v>0</v>
      </c>
      <c r="C259" s="26">
        <f t="shared" si="549"/>
        <v>0</v>
      </c>
      <c r="D259" s="26">
        <f>SUM(D260:D261)</f>
        <v>0</v>
      </c>
      <c r="E259" s="26">
        <f>SUM(E260:E261)</f>
        <v>0</v>
      </c>
      <c r="F259" s="26">
        <f t="shared" si="550"/>
        <v>0</v>
      </c>
      <c r="G259" s="26">
        <f t="shared" ref="G259:H259" si="616">SUM(G260:G261)</f>
        <v>0</v>
      </c>
      <c r="H259" s="26">
        <f t="shared" si="616"/>
        <v>0</v>
      </c>
      <c r="I259" s="26">
        <f t="shared" si="552"/>
        <v>0</v>
      </c>
      <c r="J259" s="26">
        <f t="shared" ref="J259:K259" si="617">SUM(J260:J261)</f>
        <v>0</v>
      </c>
      <c r="K259" s="26">
        <f t="shared" si="617"/>
        <v>0</v>
      </c>
      <c r="L259" s="26">
        <f t="shared" si="554"/>
        <v>0</v>
      </c>
      <c r="M259" s="26">
        <f t="shared" ref="M259:N259" si="618">SUM(M260:M261)</f>
        <v>0</v>
      </c>
      <c r="N259" s="26">
        <f t="shared" si="618"/>
        <v>0</v>
      </c>
      <c r="O259" s="26">
        <f t="shared" si="556"/>
        <v>0</v>
      </c>
      <c r="P259" s="26">
        <f t="shared" ref="P259:Q259" si="619">SUM(P260:P261)</f>
        <v>0</v>
      </c>
      <c r="Q259" s="26">
        <f t="shared" si="619"/>
        <v>0</v>
      </c>
      <c r="R259" s="26">
        <f t="shared" si="558"/>
        <v>0</v>
      </c>
      <c r="S259" s="26">
        <f t="shared" ref="S259:T259" si="620">SUM(S260:S261)</f>
        <v>0</v>
      </c>
      <c r="T259" s="26">
        <f t="shared" si="620"/>
        <v>0</v>
      </c>
      <c r="U259" s="29"/>
      <c r="V259" s="5" t="str">
        <f t="shared" si="560"/>
        <v>-</v>
      </c>
    </row>
    <row r="260" spans="1:22" ht="25.15" hidden="1" customHeight="1" x14ac:dyDescent="0.6">
      <c r="A260" s="30" t="s">
        <v>5</v>
      </c>
      <c r="B260" s="22"/>
      <c r="C260" s="22">
        <f t="shared" si="549"/>
        <v>0</v>
      </c>
      <c r="D260" s="22"/>
      <c r="E260" s="22"/>
      <c r="F260" s="22">
        <f t="shared" si="550"/>
        <v>0</v>
      </c>
      <c r="G260" s="22"/>
      <c r="H260" s="22"/>
      <c r="I260" s="22">
        <f t="shared" si="552"/>
        <v>0</v>
      </c>
      <c r="J260" s="22"/>
      <c r="K260" s="22"/>
      <c r="L260" s="22">
        <f t="shared" si="554"/>
        <v>0</v>
      </c>
      <c r="M260" s="22"/>
      <c r="N260" s="22"/>
      <c r="O260" s="22">
        <f t="shared" si="556"/>
        <v>0</v>
      </c>
      <c r="P260" s="22"/>
      <c r="Q260" s="22"/>
      <c r="R260" s="22">
        <f t="shared" si="558"/>
        <v>0</v>
      </c>
      <c r="S260" s="22"/>
      <c r="T260" s="22"/>
      <c r="U260" s="14"/>
      <c r="V260" s="5" t="str">
        <f t="shared" si="560"/>
        <v>-</v>
      </c>
    </row>
    <row r="261" spans="1:22" ht="25.15" hidden="1" customHeight="1" x14ac:dyDescent="0.6">
      <c r="A261" s="30" t="s">
        <v>6</v>
      </c>
      <c r="B261" s="22"/>
      <c r="C261" s="22">
        <f t="shared" si="549"/>
        <v>0</v>
      </c>
      <c r="D261" s="22"/>
      <c r="E261" s="22"/>
      <c r="F261" s="22">
        <f t="shared" si="550"/>
        <v>0</v>
      </c>
      <c r="G261" s="22"/>
      <c r="H261" s="22"/>
      <c r="I261" s="22">
        <f t="shared" si="552"/>
        <v>0</v>
      </c>
      <c r="J261" s="22"/>
      <c r="K261" s="22"/>
      <c r="L261" s="22">
        <f t="shared" si="554"/>
        <v>0</v>
      </c>
      <c r="M261" s="22"/>
      <c r="N261" s="22"/>
      <c r="O261" s="22">
        <f t="shared" si="556"/>
        <v>0</v>
      </c>
      <c r="P261" s="22"/>
      <c r="Q261" s="22"/>
      <c r="R261" s="22">
        <f t="shared" si="558"/>
        <v>0</v>
      </c>
      <c r="S261" s="22"/>
      <c r="T261" s="22"/>
      <c r="U261" s="14"/>
      <c r="V261" s="5" t="str">
        <f t="shared" si="560"/>
        <v>-</v>
      </c>
    </row>
    <row r="262" spans="1:22" ht="25.15" hidden="1" customHeight="1" x14ac:dyDescent="0.6">
      <c r="A262" s="28" t="s">
        <v>4</v>
      </c>
      <c r="B262" s="26">
        <f>SUM(B263:B264)</f>
        <v>0</v>
      </c>
      <c r="C262" s="26">
        <f t="shared" si="549"/>
        <v>0</v>
      </c>
      <c r="D262" s="26">
        <f>SUM(D263:D264)</f>
        <v>0</v>
      </c>
      <c r="E262" s="26">
        <f>SUM(E263:E264)</f>
        <v>0</v>
      </c>
      <c r="F262" s="26">
        <f t="shared" si="550"/>
        <v>0</v>
      </c>
      <c r="G262" s="26">
        <f t="shared" ref="G262:H262" si="621">SUM(G263:G264)</f>
        <v>0</v>
      </c>
      <c r="H262" s="26">
        <f t="shared" si="621"/>
        <v>0</v>
      </c>
      <c r="I262" s="26">
        <f t="shared" si="552"/>
        <v>0</v>
      </c>
      <c r="J262" s="26">
        <f t="shared" ref="J262:K262" si="622">SUM(J263:J264)</f>
        <v>0</v>
      </c>
      <c r="K262" s="26">
        <f t="shared" si="622"/>
        <v>0</v>
      </c>
      <c r="L262" s="26">
        <f t="shared" si="554"/>
        <v>0</v>
      </c>
      <c r="M262" s="26">
        <f t="shared" ref="M262:N262" si="623">SUM(M263:M264)</f>
        <v>0</v>
      </c>
      <c r="N262" s="26">
        <f t="shared" si="623"/>
        <v>0</v>
      </c>
      <c r="O262" s="26">
        <f t="shared" si="556"/>
        <v>0</v>
      </c>
      <c r="P262" s="26">
        <f t="shared" ref="P262:Q262" si="624">SUM(P263:P264)</f>
        <v>0</v>
      </c>
      <c r="Q262" s="26">
        <f t="shared" si="624"/>
        <v>0</v>
      </c>
      <c r="R262" s="26">
        <f t="shared" si="558"/>
        <v>0</v>
      </c>
      <c r="S262" s="26">
        <f t="shared" ref="S262:T262" si="625">SUM(S263:S264)</f>
        <v>0</v>
      </c>
      <c r="T262" s="26">
        <f t="shared" si="625"/>
        <v>0</v>
      </c>
      <c r="U262" s="29"/>
      <c r="V262" s="5" t="str">
        <f t="shared" si="560"/>
        <v>-</v>
      </c>
    </row>
    <row r="263" spans="1:22" ht="25.15" hidden="1" customHeight="1" x14ac:dyDescent="0.6">
      <c r="A263" s="30" t="s">
        <v>7</v>
      </c>
      <c r="B263" s="22"/>
      <c r="C263" s="22">
        <f t="shared" si="549"/>
        <v>0</v>
      </c>
      <c r="D263" s="22"/>
      <c r="E263" s="22"/>
      <c r="F263" s="22">
        <f t="shared" si="550"/>
        <v>0</v>
      </c>
      <c r="G263" s="22"/>
      <c r="H263" s="22"/>
      <c r="I263" s="22">
        <f t="shared" si="552"/>
        <v>0</v>
      </c>
      <c r="J263" s="22"/>
      <c r="K263" s="22"/>
      <c r="L263" s="22">
        <f t="shared" si="554"/>
        <v>0</v>
      </c>
      <c r="M263" s="22"/>
      <c r="N263" s="22"/>
      <c r="O263" s="22">
        <f t="shared" si="556"/>
        <v>0</v>
      </c>
      <c r="P263" s="22"/>
      <c r="Q263" s="22"/>
      <c r="R263" s="22">
        <f t="shared" si="558"/>
        <v>0</v>
      </c>
      <c r="S263" s="22"/>
      <c r="T263" s="22"/>
      <c r="U263" s="14"/>
      <c r="V263" s="5" t="str">
        <f t="shared" si="560"/>
        <v>-</v>
      </c>
    </row>
    <row r="264" spans="1:22" ht="25.15" hidden="1" customHeight="1" x14ac:dyDescent="0.6">
      <c r="A264" s="30" t="s">
        <v>8</v>
      </c>
      <c r="B264" s="22"/>
      <c r="C264" s="22">
        <f t="shared" si="549"/>
        <v>0</v>
      </c>
      <c r="D264" s="22"/>
      <c r="E264" s="22"/>
      <c r="F264" s="22">
        <f t="shared" si="550"/>
        <v>0</v>
      </c>
      <c r="G264" s="22"/>
      <c r="H264" s="22"/>
      <c r="I264" s="22">
        <f t="shared" si="552"/>
        <v>0</v>
      </c>
      <c r="J264" s="22"/>
      <c r="K264" s="22"/>
      <c r="L264" s="22">
        <f t="shared" si="554"/>
        <v>0</v>
      </c>
      <c r="M264" s="22"/>
      <c r="N264" s="22"/>
      <c r="O264" s="22">
        <f t="shared" si="556"/>
        <v>0</v>
      </c>
      <c r="P264" s="22"/>
      <c r="Q264" s="22"/>
      <c r="R264" s="22">
        <f t="shared" si="558"/>
        <v>0</v>
      </c>
      <c r="S264" s="22"/>
      <c r="T264" s="22"/>
      <c r="U264" s="14"/>
      <c r="V264" s="5" t="str">
        <f t="shared" si="560"/>
        <v>-</v>
      </c>
    </row>
    <row r="265" spans="1:22" ht="25.15" customHeight="1" x14ac:dyDescent="0.6">
      <c r="A265" s="18" t="s">
        <v>44</v>
      </c>
      <c r="B265" s="23">
        <f>B266+B273</f>
        <v>6924.7</v>
      </c>
      <c r="C265" s="23">
        <f t="shared" si="549"/>
        <v>0</v>
      </c>
      <c r="D265" s="23">
        <f>D266+D273</f>
        <v>0</v>
      </c>
      <c r="E265" s="23">
        <f>E266+E273</f>
        <v>0</v>
      </c>
      <c r="F265" s="23">
        <f t="shared" si="550"/>
        <v>0</v>
      </c>
      <c r="G265" s="23">
        <f t="shared" ref="G265:H265" si="626">G266+G273</f>
        <v>0</v>
      </c>
      <c r="H265" s="23">
        <f t="shared" si="626"/>
        <v>0</v>
      </c>
      <c r="I265" s="23">
        <f t="shared" si="552"/>
        <v>0</v>
      </c>
      <c r="J265" s="23">
        <f t="shared" ref="J265:K265" si="627">J266+J273</f>
        <v>0</v>
      </c>
      <c r="K265" s="23">
        <f t="shared" si="627"/>
        <v>0</v>
      </c>
      <c r="L265" s="23">
        <f t="shared" si="554"/>
        <v>4338.7</v>
      </c>
      <c r="M265" s="23">
        <f t="shared" ref="M265:N265" si="628">M266+M273</f>
        <v>4338.7</v>
      </c>
      <c r="N265" s="23">
        <f t="shared" si="628"/>
        <v>0</v>
      </c>
      <c r="O265" s="23">
        <f t="shared" si="556"/>
        <v>0</v>
      </c>
      <c r="P265" s="23">
        <f t="shared" ref="P265:Q265" si="629">P266+P273</f>
        <v>0</v>
      </c>
      <c r="Q265" s="23">
        <f t="shared" si="629"/>
        <v>0</v>
      </c>
      <c r="R265" s="23">
        <f t="shared" si="558"/>
        <v>0</v>
      </c>
      <c r="S265" s="23">
        <f t="shared" ref="S265:T265" si="630">S266+S273</f>
        <v>0</v>
      </c>
      <c r="T265" s="23">
        <f t="shared" si="630"/>
        <v>0</v>
      </c>
      <c r="U265" s="20"/>
      <c r="V265" s="5" t="str">
        <f t="shared" si="560"/>
        <v>ok</v>
      </c>
    </row>
    <row r="266" spans="1:22" ht="25.15" hidden="1" customHeight="1" x14ac:dyDescent="0.6">
      <c r="A266" s="25" t="s">
        <v>2</v>
      </c>
      <c r="B266" s="26">
        <f>B267+B270</f>
        <v>0</v>
      </c>
      <c r="C266" s="26">
        <f t="shared" si="549"/>
        <v>0</v>
      </c>
      <c r="D266" s="26">
        <f>D267+D270</f>
        <v>0</v>
      </c>
      <c r="E266" s="26">
        <f>E267+E270</f>
        <v>0</v>
      </c>
      <c r="F266" s="26">
        <f t="shared" si="550"/>
        <v>0</v>
      </c>
      <c r="G266" s="26">
        <f t="shared" ref="G266:H266" si="631">G267+G270</f>
        <v>0</v>
      </c>
      <c r="H266" s="26">
        <f t="shared" si="631"/>
        <v>0</v>
      </c>
      <c r="I266" s="26">
        <f t="shared" si="552"/>
        <v>0</v>
      </c>
      <c r="J266" s="26">
        <f t="shared" ref="J266:K266" si="632">J267+J270</f>
        <v>0</v>
      </c>
      <c r="K266" s="26">
        <f t="shared" si="632"/>
        <v>0</v>
      </c>
      <c r="L266" s="26">
        <f t="shared" si="554"/>
        <v>0</v>
      </c>
      <c r="M266" s="26">
        <f t="shared" ref="M266:N266" si="633">M267+M270</f>
        <v>0</v>
      </c>
      <c r="N266" s="26">
        <f t="shared" si="633"/>
        <v>0</v>
      </c>
      <c r="O266" s="26">
        <f t="shared" si="556"/>
        <v>0</v>
      </c>
      <c r="P266" s="26">
        <f t="shared" ref="P266:Q266" si="634">P267+P270</f>
        <v>0</v>
      </c>
      <c r="Q266" s="26">
        <f t="shared" si="634"/>
        <v>0</v>
      </c>
      <c r="R266" s="26">
        <f t="shared" si="558"/>
        <v>0</v>
      </c>
      <c r="S266" s="26">
        <f t="shared" ref="S266:T266" si="635">S267+S270</f>
        <v>0</v>
      </c>
      <c r="T266" s="26">
        <f t="shared" si="635"/>
        <v>0</v>
      </c>
      <c r="U266" s="27"/>
      <c r="V266" s="5" t="str">
        <f t="shared" si="560"/>
        <v>-</v>
      </c>
    </row>
    <row r="267" spans="1:22" ht="25.15" hidden="1" customHeight="1" x14ac:dyDescent="0.6">
      <c r="A267" s="28" t="s">
        <v>3</v>
      </c>
      <c r="B267" s="26">
        <f>SUM(B268:B269)</f>
        <v>0</v>
      </c>
      <c r="C267" s="26">
        <f t="shared" si="549"/>
        <v>0</v>
      </c>
      <c r="D267" s="26">
        <f>SUM(D268:D269)</f>
        <v>0</v>
      </c>
      <c r="E267" s="26">
        <f>SUM(E268:E269)</f>
        <v>0</v>
      </c>
      <c r="F267" s="26">
        <f t="shared" si="550"/>
        <v>0</v>
      </c>
      <c r="G267" s="26">
        <f t="shared" ref="G267:H267" si="636">SUM(G268:G269)</f>
        <v>0</v>
      </c>
      <c r="H267" s="26">
        <f t="shared" si="636"/>
        <v>0</v>
      </c>
      <c r="I267" s="26">
        <f t="shared" si="552"/>
        <v>0</v>
      </c>
      <c r="J267" s="26">
        <f t="shared" ref="J267:K267" si="637">SUM(J268:J269)</f>
        <v>0</v>
      </c>
      <c r="K267" s="26">
        <f t="shared" si="637"/>
        <v>0</v>
      </c>
      <c r="L267" s="26">
        <f t="shared" si="554"/>
        <v>0</v>
      </c>
      <c r="M267" s="26">
        <f t="shared" ref="M267:N267" si="638">SUM(M268:M269)</f>
        <v>0</v>
      </c>
      <c r="N267" s="26">
        <f t="shared" si="638"/>
        <v>0</v>
      </c>
      <c r="O267" s="26">
        <f t="shared" si="556"/>
        <v>0</v>
      </c>
      <c r="P267" s="26">
        <f t="shared" ref="P267:Q267" si="639">SUM(P268:P269)</f>
        <v>0</v>
      </c>
      <c r="Q267" s="26">
        <f t="shared" si="639"/>
        <v>0</v>
      </c>
      <c r="R267" s="26">
        <f t="shared" si="558"/>
        <v>0</v>
      </c>
      <c r="S267" s="26">
        <f t="shared" ref="S267:T267" si="640">SUM(S268:S269)</f>
        <v>0</v>
      </c>
      <c r="T267" s="26">
        <f t="shared" si="640"/>
        <v>0</v>
      </c>
      <c r="U267" s="29"/>
      <c r="V267" s="5" t="str">
        <f t="shared" si="560"/>
        <v>-</v>
      </c>
    </row>
    <row r="268" spans="1:22" ht="25.15" hidden="1" customHeight="1" x14ac:dyDescent="0.6">
      <c r="A268" s="30" t="s">
        <v>5</v>
      </c>
      <c r="B268" s="22"/>
      <c r="C268" s="22">
        <f t="shared" si="549"/>
        <v>0</v>
      </c>
      <c r="D268" s="22"/>
      <c r="E268" s="22"/>
      <c r="F268" s="22">
        <f t="shared" si="550"/>
        <v>0</v>
      </c>
      <c r="G268" s="22"/>
      <c r="H268" s="22"/>
      <c r="I268" s="22">
        <f t="shared" si="552"/>
        <v>0</v>
      </c>
      <c r="J268" s="22"/>
      <c r="K268" s="22"/>
      <c r="L268" s="22">
        <f t="shared" si="554"/>
        <v>0</v>
      </c>
      <c r="M268" s="22"/>
      <c r="N268" s="22"/>
      <c r="O268" s="22">
        <f t="shared" si="556"/>
        <v>0</v>
      </c>
      <c r="P268" s="22"/>
      <c r="Q268" s="22"/>
      <c r="R268" s="22">
        <f t="shared" si="558"/>
        <v>0</v>
      </c>
      <c r="S268" s="22"/>
      <c r="T268" s="22"/>
      <c r="U268" s="14"/>
      <c r="V268" s="5" t="str">
        <f t="shared" si="560"/>
        <v>-</v>
      </c>
    </row>
    <row r="269" spans="1:22" ht="25.5" hidden="1" customHeight="1" x14ac:dyDescent="0.6">
      <c r="A269" s="30" t="s">
        <v>6</v>
      </c>
      <c r="B269" s="22"/>
      <c r="C269" s="22">
        <f t="shared" si="549"/>
        <v>0</v>
      </c>
      <c r="D269" s="22"/>
      <c r="E269" s="22"/>
      <c r="F269" s="22">
        <f t="shared" si="550"/>
        <v>0</v>
      </c>
      <c r="G269" s="22"/>
      <c r="H269" s="22"/>
      <c r="I269" s="22">
        <f t="shared" si="552"/>
        <v>0</v>
      </c>
      <c r="J269" s="22"/>
      <c r="K269" s="22"/>
      <c r="L269" s="22">
        <f t="shared" si="554"/>
        <v>0</v>
      </c>
      <c r="M269" s="22"/>
      <c r="N269" s="22"/>
      <c r="O269" s="22">
        <f t="shared" si="556"/>
        <v>0</v>
      </c>
      <c r="P269" s="22"/>
      <c r="Q269" s="22"/>
      <c r="R269" s="22">
        <f t="shared" si="558"/>
        <v>0</v>
      </c>
      <c r="S269" s="22"/>
      <c r="T269" s="22"/>
      <c r="U269" s="14"/>
      <c r="V269" s="5" t="str">
        <f t="shared" si="560"/>
        <v>-</v>
      </c>
    </row>
    <row r="270" spans="1:22" ht="25.15" hidden="1" customHeight="1" x14ac:dyDescent="0.6">
      <c r="A270" s="28" t="s">
        <v>4</v>
      </c>
      <c r="B270" s="26">
        <f>SUM(B271:B272)</f>
        <v>0</v>
      </c>
      <c r="C270" s="26">
        <f t="shared" si="549"/>
        <v>0</v>
      </c>
      <c r="D270" s="26">
        <f>SUM(D271:D272)</f>
        <v>0</v>
      </c>
      <c r="E270" s="26">
        <f>SUM(E271:E272)</f>
        <v>0</v>
      </c>
      <c r="F270" s="26">
        <f t="shared" si="550"/>
        <v>0</v>
      </c>
      <c r="G270" s="26">
        <f t="shared" ref="G270:H270" si="641">SUM(G271:G272)</f>
        <v>0</v>
      </c>
      <c r="H270" s="26">
        <f t="shared" si="641"/>
        <v>0</v>
      </c>
      <c r="I270" s="26">
        <f t="shared" si="552"/>
        <v>0</v>
      </c>
      <c r="J270" s="26">
        <f t="shared" ref="J270:K270" si="642">SUM(J271:J272)</f>
        <v>0</v>
      </c>
      <c r="K270" s="26">
        <f t="shared" si="642"/>
        <v>0</v>
      </c>
      <c r="L270" s="26">
        <f t="shared" si="554"/>
        <v>0</v>
      </c>
      <c r="M270" s="26">
        <f t="shared" ref="M270:N270" si="643">SUM(M271:M272)</f>
        <v>0</v>
      </c>
      <c r="N270" s="26">
        <f t="shared" si="643"/>
        <v>0</v>
      </c>
      <c r="O270" s="26">
        <f t="shared" si="556"/>
        <v>0</v>
      </c>
      <c r="P270" s="26">
        <f t="shared" ref="P270:Q270" si="644">SUM(P271:P272)</f>
        <v>0</v>
      </c>
      <c r="Q270" s="26">
        <f t="shared" si="644"/>
        <v>0</v>
      </c>
      <c r="R270" s="26">
        <f t="shared" si="558"/>
        <v>0</v>
      </c>
      <c r="S270" s="26">
        <f t="shared" ref="S270:T270" si="645">SUM(S271:S272)</f>
        <v>0</v>
      </c>
      <c r="T270" s="26">
        <f t="shared" si="645"/>
        <v>0</v>
      </c>
      <c r="U270" s="29"/>
      <c r="V270" s="5" t="str">
        <f t="shared" si="560"/>
        <v>-</v>
      </c>
    </row>
    <row r="271" spans="1:22" ht="25.15" hidden="1" customHeight="1" x14ac:dyDescent="0.6">
      <c r="A271" s="30" t="s">
        <v>7</v>
      </c>
      <c r="B271" s="22"/>
      <c r="C271" s="22">
        <f t="shared" si="549"/>
        <v>0</v>
      </c>
      <c r="D271" s="22"/>
      <c r="E271" s="22"/>
      <c r="F271" s="22">
        <f t="shared" si="550"/>
        <v>0</v>
      </c>
      <c r="G271" s="22"/>
      <c r="H271" s="22"/>
      <c r="I271" s="22">
        <f t="shared" si="552"/>
        <v>0</v>
      </c>
      <c r="J271" s="22"/>
      <c r="K271" s="22"/>
      <c r="L271" s="22">
        <f t="shared" si="554"/>
        <v>0</v>
      </c>
      <c r="M271" s="22"/>
      <c r="N271" s="22"/>
      <c r="O271" s="22">
        <f t="shared" si="556"/>
        <v>0</v>
      </c>
      <c r="P271" s="22"/>
      <c r="Q271" s="22"/>
      <c r="R271" s="22">
        <f t="shared" si="558"/>
        <v>0</v>
      </c>
      <c r="S271" s="22"/>
      <c r="T271" s="22"/>
      <c r="U271" s="14"/>
      <c r="V271" s="5" t="str">
        <f t="shared" si="560"/>
        <v>-</v>
      </c>
    </row>
    <row r="272" spans="1:22" ht="25.15" hidden="1" customHeight="1" x14ac:dyDescent="0.6">
      <c r="A272" s="30" t="s">
        <v>8</v>
      </c>
      <c r="B272" s="22"/>
      <c r="C272" s="22">
        <f t="shared" si="549"/>
        <v>0</v>
      </c>
      <c r="D272" s="22"/>
      <c r="E272" s="22"/>
      <c r="F272" s="22">
        <f t="shared" si="550"/>
        <v>0</v>
      </c>
      <c r="G272" s="22"/>
      <c r="H272" s="22"/>
      <c r="I272" s="22">
        <f t="shared" si="552"/>
        <v>0</v>
      </c>
      <c r="J272" s="22"/>
      <c r="K272" s="22"/>
      <c r="L272" s="22">
        <f t="shared" si="554"/>
        <v>0</v>
      </c>
      <c r="M272" s="22"/>
      <c r="N272" s="22"/>
      <c r="O272" s="22">
        <f t="shared" si="556"/>
        <v>0</v>
      </c>
      <c r="P272" s="22"/>
      <c r="Q272" s="22"/>
      <c r="R272" s="22">
        <f t="shared" si="558"/>
        <v>0</v>
      </c>
      <c r="S272" s="22"/>
      <c r="T272" s="22"/>
      <c r="U272" s="14"/>
      <c r="V272" s="5" t="str">
        <f t="shared" si="560"/>
        <v>-</v>
      </c>
    </row>
    <row r="273" spans="1:22" ht="25.15" customHeight="1" x14ac:dyDescent="0.6">
      <c r="A273" s="25" t="s">
        <v>9</v>
      </c>
      <c r="B273" s="26">
        <f>B274+B281</f>
        <v>6924.7</v>
      </c>
      <c r="C273" s="26">
        <f t="shared" si="549"/>
        <v>0</v>
      </c>
      <c r="D273" s="26">
        <f>D274+D281</f>
        <v>0</v>
      </c>
      <c r="E273" s="26">
        <f>E274+E281</f>
        <v>0</v>
      </c>
      <c r="F273" s="26">
        <f t="shared" si="550"/>
        <v>0</v>
      </c>
      <c r="G273" s="26">
        <f t="shared" ref="G273:H273" si="646">G274+G281</f>
        <v>0</v>
      </c>
      <c r="H273" s="26">
        <f t="shared" si="646"/>
        <v>0</v>
      </c>
      <c r="I273" s="26">
        <f t="shared" si="552"/>
        <v>0</v>
      </c>
      <c r="J273" s="26">
        <f t="shared" ref="J273:K273" si="647">J274+J281</f>
        <v>0</v>
      </c>
      <c r="K273" s="26">
        <f t="shared" si="647"/>
        <v>0</v>
      </c>
      <c r="L273" s="26">
        <f t="shared" si="554"/>
        <v>4338.7</v>
      </c>
      <c r="M273" s="26">
        <f t="shared" ref="M273:N273" si="648">M274+M281</f>
        <v>4338.7</v>
      </c>
      <c r="N273" s="26">
        <f t="shared" si="648"/>
        <v>0</v>
      </c>
      <c r="O273" s="26">
        <f t="shared" si="556"/>
        <v>0</v>
      </c>
      <c r="P273" s="26">
        <f t="shared" ref="P273:Q273" si="649">P274+P281</f>
        <v>0</v>
      </c>
      <c r="Q273" s="26">
        <f t="shared" si="649"/>
        <v>0</v>
      </c>
      <c r="R273" s="26">
        <f t="shared" si="558"/>
        <v>0</v>
      </c>
      <c r="S273" s="26">
        <f t="shared" ref="S273:T273" si="650">S274+S281</f>
        <v>0</v>
      </c>
      <c r="T273" s="26">
        <f t="shared" si="650"/>
        <v>0</v>
      </c>
      <c r="U273" s="27"/>
      <c r="V273" s="5" t="str">
        <f t="shared" si="560"/>
        <v>ok</v>
      </c>
    </row>
    <row r="274" spans="1:22" ht="25.15" customHeight="1" x14ac:dyDescent="0.6">
      <c r="A274" s="28" t="s">
        <v>3</v>
      </c>
      <c r="B274" s="26">
        <f>SUM(B275:B280)</f>
        <v>6924.7</v>
      </c>
      <c r="C274" s="26">
        <f t="shared" si="549"/>
        <v>0</v>
      </c>
      <c r="D274" s="26">
        <f t="shared" ref="D274:E274" si="651">SUM(D275:D280)</f>
        <v>0</v>
      </c>
      <c r="E274" s="26">
        <f t="shared" si="651"/>
        <v>0</v>
      </c>
      <c r="F274" s="26">
        <f t="shared" si="550"/>
        <v>0</v>
      </c>
      <c r="G274" s="26">
        <f t="shared" ref="G274:H274" si="652">SUM(G275:G280)</f>
        <v>0</v>
      </c>
      <c r="H274" s="26">
        <f t="shared" si="652"/>
        <v>0</v>
      </c>
      <c r="I274" s="26">
        <f t="shared" si="552"/>
        <v>0</v>
      </c>
      <c r="J274" s="26">
        <f t="shared" ref="J274:K274" si="653">SUM(J275:J280)</f>
        <v>0</v>
      </c>
      <c r="K274" s="26">
        <f t="shared" si="653"/>
        <v>0</v>
      </c>
      <c r="L274" s="26">
        <f>M274+N274</f>
        <v>4338.7</v>
      </c>
      <c r="M274" s="26">
        <f>SUM(M275:M280)</f>
        <v>4338.7</v>
      </c>
      <c r="N274" s="26">
        <f>SUM(N275:N280)</f>
        <v>0</v>
      </c>
      <c r="O274" s="26">
        <f>P274+Q274</f>
        <v>0</v>
      </c>
      <c r="P274" s="26">
        <f>SUM(P275:P280)</f>
        <v>0</v>
      </c>
      <c r="Q274" s="26">
        <f t="shared" ref="Q274" si="654">SUM(Q275:Q280)</f>
        <v>0</v>
      </c>
      <c r="R274" s="26">
        <f t="shared" si="558"/>
        <v>0</v>
      </c>
      <c r="S274" s="26">
        <f t="shared" ref="S274:T274" si="655">SUM(S275:S276)</f>
        <v>0</v>
      </c>
      <c r="T274" s="26">
        <f t="shared" si="655"/>
        <v>0</v>
      </c>
      <c r="U274" s="29"/>
      <c r="V274" s="5" t="str">
        <f t="shared" si="560"/>
        <v>ok</v>
      </c>
    </row>
    <row r="275" spans="1:22" ht="50.5" x14ac:dyDescent="0.6">
      <c r="A275" s="30" t="s">
        <v>68</v>
      </c>
      <c r="B275" s="22">
        <v>242</v>
      </c>
      <c r="C275" s="22">
        <f t="shared" si="549"/>
        <v>0</v>
      </c>
      <c r="D275" s="22"/>
      <c r="E275" s="22"/>
      <c r="F275" s="22">
        <f t="shared" si="550"/>
        <v>0</v>
      </c>
      <c r="G275" s="22"/>
      <c r="H275" s="22"/>
      <c r="I275" s="22">
        <f t="shared" si="552"/>
        <v>0</v>
      </c>
      <c r="J275" s="22"/>
      <c r="K275" s="22"/>
      <c r="L275" s="22">
        <f t="shared" si="554"/>
        <v>242</v>
      </c>
      <c r="M275" s="22">
        <v>242</v>
      </c>
      <c r="N275" s="22"/>
      <c r="O275" s="22">
        <f t="shared" si="556"/>
        <v>0</v>
      </c>
      <c r="P275" s="22"/>
      <c r="Q275" s="22"/>
      <c r="R275" s="22">
        <f t="shared" si="558"/>
        <v>0</v>
      </c>
      <c r="S275" s="22"/>
      <c r="T275" s="22"/>
      <c r="U275" s="14"/>
      <c r="V275" s="5" t="str">
        <f t="shared" si="560"/>
        <v>ok</v>
      </c>
    </row>
    <row r="276" spans="1:22" ht="50.25" customHeight="1" x14ac:dyDescent="0.6">
      <c r="A276" s="30" t="s">
        <v>69</v>
      </c>
      <c r="B276" s="22">
        <v>4235</v>
      </c>
      <c r="C276" s="22">
        <f t="shared" si="549"/>
        <v>0</v>
      </c>
      <c r="D276" s="22"/>
      <c r="E276" s="22"/>
      <c r="F276" s="22">
        <f t="shared" si="550"/>
        <v>0</v>
      </c>
      <c r="G276" s="22"/>
      <c r="H276" s="22"/>
      <c r="I276" s="22">
        <f t="shared" si="552"/>
        <v>0</v>
      </c>
      <c r="J276" s="22"/>
      <c r="K276" s="22"/>
      <c r="L276" s="22">
        <f t="shared" si="554"/>
        <v>2250</v>
      </c>
      <c r="M276" s="22">
        <v>2250</v>
      </c>
      <c r="N276" s="22"/>
      <c r="O276" s="22">
        <f t="shared" si="556"/>
        <v>0</v>
      </c>
      <c r="P276" s="22"/>
      <c r="Q276" s="22"/>
      <c r="R276" s="22">
        <f t="shared" si="558"/>
        <v>0</v>
      </c>
      <c r="S276" s="22"/>
      <c r="T276" s="22"/>
      <c r="U276" s="14"/>
      <c r="V276" s="5" t="str">
        <f t="shared" si="560"/>
        <v>ok</v>
      </c>
    </row>
    <row r="277" spans="1:22" ht="50.25" customHeight="1" x14ac:dyDescent="0.6">
      <c r="A277" s="30" t="s">
        <v>71</v>
      </c>
      <c r="B277" s="22">
        <v>385.2</v>
      </c>
      <c r="C277" s="22">
        <f t="shared" ref="C277" si="656">D277+E277</f>
        <v>0</v>
      </c>
      <c r="D277" s="22"/>
      <c r="E277" s="22"/>
      <c r="F277" s="22">
        <f t="shared" ref="F277" si="657">G277+H277</f>
        <v>0</v>
      </c>
      <c r="G277" s="22"/>
      <c r="H277" s="22"/>
      <c r="I277" s="22">
        <f t="shared" ref="I277" si="658">J277+K277</f>
        <v>0</v>
      </c>
      <c r="J277" s="22"/>
      <c r="K277" s="22"/>
      <c r="L277" s="22">
        <f t="shared" ref="L277" si="659">M277+N277</f>
        <v>385.2</v>
      </c>
      <c r="M277" s="22">
        <v>385.2</v>
      </c>
      <c r="N277" s="22"/>
      <c r="O277" s="22">
        <f t="shared" ref="O277" si="660">P277+Q277</f>
        <v>0</v>
      </c>
      <c r="P277" s="22"/>
      <c r="Q277" s="22"/>
      <c r="R277" s="22">
        <f t="shared" ref="R277" si="661">S277+T277</f>
        <v>0</v>
      </c>
      <c r="S277" s="22"/>
      <c r="T277" s="22"/>
      <c r="U277" s="14"/>
      <c r="V277" s="5" t="str">
        <f t="shared" ref="V277" si="662">IF((B277+C277+F277+L277+O277)&lt;&gt;0,"ok","-")</f>
        <v>ok</v>
      </c>
    </row>
    <row r="278" spans="1:22" ht="50.25" customHeight="1" x14ac:dyDescent="0.6">
      <c r="A278" s="30" t="s">
        <v>72</v>
      </c>
      <c r="B278" s="22">
        <v>420</v>
      </c>
      <c r="C278" s="22">
        <f t="shared" ref="C278" si="663">D278+E278</f>
        <v>0</v>
      </c>
      <c r="D278" s="22"/>
      <c r="E278" s="22"/>
      <c r="F278" s="22">
        <f t="shared" ref="F278" si="664">G278+H278</f>
        <v>0</v>
      </c>
      <c r="G278" s="22"/>
      <c r="H278" s="22"/>
      <c r="I278" s="22">
        <f t="shared" ref="I278" si="665">J278+K278</f>
        <v>0</v>
      </c>
      <c r="J278" s="22"/>
      <c r="K278" s="22"/>
      <c r="L278" s="22">
        <f t="shared" ref="L278" si="666">M278+N278</f>
        <v>420</v>
      </c>
      <c r="M278" s="22">
        <v>420</v>
      </c>
      <c r="N278" s="22"/>
      <c r="O278" s="22">
        <f t="shared" ref="O278" si="667">P278+Q278</f>
        <v>0</v>
      </c>
      <c r="P278" s="22"/>
      <c r="Q278" s="22"/>
      <c r="R278" s="22">
        <f t="shared" ref="R278" si="668">S278+T278</f>
        <v>0</v>
      </c>
      <c r="S278" s="22"/>
      <c r="T278" s="22"/>
      <c r="U278" s="14"/>
      <c r="V278" s="5" t="str">
        <f t="shared" ref="V278" si="669">IF((B278+C278+F278+L278+O278)&lt;&gt;0,"ok","-")</f>
        <v>ok</v>
      </c>
    </row>
    <row r="279" spans="1:22" ht="75.75" x14ac:dyDescent="0.6">
      <c r="A279" s="30" t="s">
        <v>73</v>
      </c>
      <c r="B279" s="22">
        <v>1387.5</v>
      </c>
      <c r="C279" s="22">
        <f t="shared" ref="C279" si="670">D279+E279</f>
        <v>0</v>
      </c>
      <c r="D279" s="22"/>
      <c r="E279" s="22"/>
      <c r="F279" s="22">
        <f t="shared" ref="F279" si="671">G279+H279</f>
        <v>0</v>
      </c>
      <c r="G279" s="22"/>
      <c r="H279" s="22"/>
      <c r="I279" s="22">
        <f t="shared" ref="I279" si="672">J279+K279</f>
        <v>0</v>
      </c>
      <c r="J279" s="22"/>
      <c r="K279" s="22"/>
      <c r="L279" s="22">
        <f t="shared" ref="L279" si="673">M279+N279</f>
        <v>994</v>
      </c>
      <c r="M279" s="22">
        <v>994</v>
      </c>
      <c r="N279" s="22"/>
      <c r="O279" s="22">
        <f t="shared" ref="O279" si="674">P279+Q279</f>
        <v>0</v>
      </c>
      <c r="P279" s="22"/>
      <c r="Q279" s="22"/>
      <c r="R279" s="22">
        <f t="shared" ref="R279" si="675">S279+T279</f>
        <v>0</v>
      </c>
      <c r="S279" s="22"/>
      <c r="T279" s="22"/>
      <c r="U279" s="14"/>
      <c r="V279" s="5" t="str">
        <f t="shared" ref="V279" si="676">IF((B279+C279+F279+L279+O279)&lt;&gt;0,"ok","-")</f>
        <v>ok</v>
      </c>
    </row>
    <row r="280" spans="1:22" ht="50.5" x14ac:dyDescent="0.6">
      <c r="A280" s="30" t="s">
        <v>74</v>
      </c>
      <c r="B280" s="22">
        <v>255</v>
      </c>
      <c r="C280" s="22">
        <f t="shared" ref="C280" si="677">D280+E280</f>
        <v>0</v>
      </c>
      <c r="D280" s="22"/>
      <c r="E280" s="22"/>
      <c r="F280" s="22">
        <f t="shared" ref="F280" si="678">G280+H280</f>
        <v>0</v>
      </c>
      <c r="G280" s="22"/>
      <c r="H280" s="22"/>
      <c r="I280" s="22">
        <f t="shared" ref="I280" si="679">J280+K280</f>
        <v>0</v>
      </c>
      <c r="J280" s="22"/>
      <c r="K280" s="22"/>
      <c r="L280" s="22">
        <f t="shared" ref="L280" si="680">M280+N280</f>
        <v>47.5</v>
      </c>
      <c r="M280" s="22">
        <v>47.5</v>
      </c>
      <c r="N280" s="22"/>
      <c r="O280" s="22">
        <f t="shared" ref="O280" si="681">P280+Q280</f>
        <v>0</v>
      </c>
      <c r="P280" s="22"/>
      <c r="Q280" s="22"/>
      <c r="R280" s="22">
        <f t="shared" ref="R280" si="682">S280+T280</f>
        <v>0</v>
      </c>
      <c r="S280" s="22"/>
      <c r="T280" s="22"/>
      <c r="U280" s="14"/>
      <c r="V280" s="5" t="str">
        <f t="shared" ref="V280" si="683">IF((B280+C280+F280+L280+O280)&lt;&gt;0,"ok","-")</f>
        <v>ok</v>
      </c>
    </row>
    <row r="281" spans="1:22" ht="25.15" hidden="1" customHeight="1" x14ac:dyDescent="0.6">
      <c r="A281" s="28" t="s">
        <v>4</v>
      </c>
      <c r="B281" s="26">
        <f>SUM(B282:B283)</f>
        <v>0</v>
      </c>
      <c r="C281" s="26">
        <f t="shared" si="549"/>
        <v>0</v>
      </c>
      <c r="D281" s="26">
        <f>SUM(D282:D283)</f>
        <v>0</v>
      </c>
      <c r="E281" s="26">
        <f>SUM(E282:E283)</f>
        <v>0</v>
      </c>
      <c r="F281" s="26">
        <f t="shared" si="550"/>
        <v>0</v>
      </c>
      <c r="G281" s="26">
        <f t="shared" ref="G281:H281" si="684">SUM(G282:G283)</f>
        <v>0</v>
      </c>
      <c r="H281" s="26">
        <f t="shared" si="684"/>
        <v>0</v>
      </c>
      <c r="I281" s="26">
        <f t="shared" si="552"/>
        <v>0</v>
      </c>
      <c r="J281" s="26">
        <f t="shared" ref="J281:K281" si="685">SUM(J282:J283)</f>
        <v>0</v>
      </c>
      <c r="K281" s="26">
        <f t="shared" si="685"/>
        <v>0</v>
      </c>
      <c r="L281" s="26">
        <f t="shared" si="554"/>
        <v>0</v>
      </c>
      <c r="M281" s="26">
        <f t="shared" ref="M281:N281" si="686">SUM(M282:M283)</f>
        <v>0</v>
      </c>
      <c r="N281" s="26">
        <f t="shared" si="686"/>
        <v>0</v>
      </c>
      <c r="O281" s="26">
        <f t="shared" si="556"/>
        <v>0</v>
      </c>
      <c r="P281" s="26">
        <f t="shared" ref="P281:Q281" si="687">SUM(P282:P283)</f>
        <v>0</v>
      </c>
      <c r="Q281" s="26">
        <f t="shared" si="687"/>
        <v>0</v>
      </c>
      <c r="R281" s="26">
        <f t="shared" si="558"/>
        <v>0</v>
      </c>
      <c r="S281" s="26">
        <f t="shared" ref="S281:T281" si="688">SUM(S282:S283)</f>
        <v>0</v>
      </c>
      <c r="T281" s="26">
        <f t="shared" si="688"/>
        <v>0</v>
      </c>
      <c r="U281" s="29"/>
      <c r="V281" s="5" t="str">
        <f t="shared" si="560"/>
        <v>-</v>
      </c>
    </row>
    <row r="282" spans="1:22" ht="25.15" hidden="1" customHeight="1" x14ac:dyDescent="0.6">
      <c r="A282" s="30" t="s">
        <v>7</v>
      </c>
      <c r="B282" s="22"/>
      <c r="C282" s="22">
        <f t="shared" si="549"/>
        <v>0</v>
      </c>
      <c r="D282" s="22"/>
      <c r="E282" s="22"/>
      <c r="F282" s="22">
        <f t="shared" si="550"/>
        <v>0</v>
      </c>
      <c r="G282" s="22"/>
      <c r="H282" s="22"/>
      <c r="I282" s="22">
        <f t="shared" si="552"/>
        <v>0</v>
      </c>
      <c r="J282" s="22"/>
      <c r="K282" s="22"/>
      <c r="L282" s="22">
        <f t="shared" si="554"/>
        <v>0</v>
      </c>
      <c r="M282" s="22"/>
      <c r="N282" s="22"/>
      <c r="O282" s="22">
        <f t="shared" si="556"/>
        <v>0</v>
      </c>
      <c r="P282" s="22"/>
      <c r="Q282" s="22"/>
      <c r="R282" s="22">
        <f t="shared" si="558"/>
        <v>0</v>
      </c>
      <c r="S282" s="22"/>
      <c r="T282" s="22"/>
      <c r="U282" s="14"/>
      <c r="V282" s="5" t="str">
        <f t="shared" si="560"/>
        <v>-</v>
      </c>
    </row>
    <row r="283" spans="1:22" ht="25.15" hidden="1" customHeight="1" x14ac:dyDescent="0.6">
      <c r="A283" s="30" t="s">
        <v>8</v>
      </c>
      <c r="B283" s="22"/>
      <c r="C283" s="22">
        <f t="shared" si="549"/>
        <v>0</v>
      </c>
      <c r="D283" s="22"/>
      <c r="E283" s="22"/>
      <c r="F283" s="22">
        <f t="shared" si="550"/>
        <v>0</v>
      </c>
      <c r="G283" s="22"/>
      <c r="H283" s="22"/>
      <c r="I283" s="22">
        <f t="shared" si="552"/>
        <v>0</v>
      </c>
      <c r="J283" s="22"/>
      <c r="K283" s="22"/>
      <c r="L283" s="22">
        <f t="shared" si="554"/>
        <v>0</v>
      </c>
      <c r="M283" s="22"/>
      <c r="N283" s="22"/>
      <c r="O283" s="22">
        <f t="shared" si="556"/>
        <v>0</v>
      </c>
      <c r="P283" s="22"/>
      <c r="Q283" s="22"/>
      <c r="R283" s="22">
        <f t="shared" si="558"/>
        <v>0</v>
      </c>
      <c r="S283" s="22"/>
      <c r="T283" s="22"/>
      <c r="U283" s="14"/>
      <c r="V283" s="5" t="str">
        <f t="shared" si="560"/>
        <v>-</v>
      </c>
    </row>
    <row r="284" spans="1:22" ht="25.15" customHeight="1" x14ac:dyDescent="0.6">
      <c r="A284" s="18" t="s">
        <v>45</v>
      </c>
      <c r="B284" s="23">
        <f>B285+B292</f>
        <v>400</v>
      </c>
      <c r="C284" s="23">
        <f t="shared" si="549"/>
        <v>0</v>
      </c>
      <c r="D284" s="23">
        <f>D285+D292</f>
        <v>0</v>
      </c>
      <c r="E284" s="23">
        <f>E285+E292</f>
        <v>0</v>
      </c>
      <c r="F284" s="23">
        <f t="shared" si="550"/>
        <v>0</v>
      </c>
      <c r="G284" s="23">
        <f t="shared" ref="G284:H284" si="689">G285+G292</f>
        <v>0</v>
      </c>
      <c r="H284" s="23">
        <f t="shared" si="689"/>
        <v>0</v>
      </c>
      <c r="I284" s="23">
        <f t="shared" si="552"/>
        <v>0</v>
      </c>
      <c r="J284" s="23">
        <f t="shared" ref="J284:K284" si="690">J285+J292</f>
        <v>0</v>
      </c>
      <c r="K284" s="23">
        <f t="shared" si="690"/>
        <v>0</v>
      </c>
      <c r="L284" s="23">
        <f t="shared" si="554"/>
        <v>200</v>
      </c>
      <c r="M284" s="23">
        <f t="shared" ref="M284:N284" si="691">M285+M292</f>
        <v>200</v>
      </c>
      <c r="N284" s="23">
        <f t="shared" si="691"/>
        <v>0</v>
      </c>
      <c r="O284" s="23">
        <f t="shared" si="556"/>
        <v>0</v>
      </c>
      <c r="P284" s="23">
        <f t="shared" ref="P284:Q284" si="692">P285+P292</f>
        <v>0</v>
      </c>
      <c r="Q284" s="23">
        <f t="shared" si="692"/>
        <v>0</v>
      </c>
      <c r="R284" s="23">
        <f t="shared" si="558"/>
        <v>0</v>
      </c>
      <c r="S284" s="23">
        <f t="shared" ref="S284:T284" si="693">S285+S292</f>
        <v>0</v>
      </c>
      <c r="T284" s="23">
        <f t="shared" si="693"/>
        <v>0</v>
      </c>
      <c r="U284" s="20"/>
      <c r="V284" s="5" t="str">
        <f t="shared" si="560"/>
        <v>ok</v>
      </c>
    </row>
    <row r="285" spans="1:22" ht="25.15" hidden="1" customHeight="1" x14ac:dyDescent="0.6">
      <c r="A285" s="25" t="s">
        <v>2</v>
      </c>
      <c r="B285" s="26">
        <f>B286+B289</f>
        <v>0</v>
      </c>
      <c r="C285" s="26">
        <f t="shared" si="549"/>
        <v>0</v>
      </c>
      <c r="D285" s="26">
        <f>D286+D289</f>
        <v>0</v>
      </c>
      <c r="E285" s="26">
        <f>E286+E289</f>
        <v>0</v>
      </c>
      <c r="F285" s="26">
        <f t="shared" si="550"/>
        <v>0</v>
      </c>
      <c r="G285" s="26">
        <f t="shared" ref="G285:H285" si="694">G286+G289</f>
        <v>0</v>
      </c>
      <c r="H285" s="26">
        <f t="shared" si="694"/>
        <v>0</v>
      </c>
      <c r="I285" s="26">
        <f t="shared" si="552"/>
        <v>0</v>
      </c>
      <c r="J285" s="26">
        <f t="shared" ref="J285:K285" si="695">J286+J289</f>
        <v>0</v>
      </c>
      <c r="K285" s="26">
        <f t="shared" si="695"/>
        <v>0</v>
      </c>
      <c r="L285" s="26">
        <f t="shared" si="554"/>
        <v>0</v>
      </c>
      <c r="M285" s="26">
        <f t="shared" ref="M285:N285" si="696">M286+M289</f>
        <v>0</v>
      </c>
      <c r="N285" s="26">
        <f t="shared" si="696"/>
        <v>0</v>
      </c>
      <c r="O285" s="26">
        <f t="shared" si="556"/>
        <v>0</v>
      </c>
      <c r="P285" s="26">
        <f t="shared" ref="P285:Q285" si="697">P286+P289</f>
        <v>0</v>
      </c>
      <c r="Q285" s="26">
        <f t="shared" si="697"/>
        <v>0</v>
      </c>
      <c r="R285" s="26">
        <f t="shared" si="558"/>
        <v>0</v>
      </c>
      <c r="S285" s="26">
        <f t="shared" ref="S285:T285" si="698">S286+S289</f>
        <v>0</v>
      </c>
      <c r="T285" s="26">
        <f t="shared" si="698"/>
        <v>0</v>
      </c>
      <c r="U285" s="27"/>
      <c r="V285" s="5" t="str">
        <f t="shared" si="560"/>
        <v>-</v>
      </c>
    </row>
    <row r="286" spans="1:22" ht="25.15" hidden="1" customHeight="1" x14ac:dyDescent="0.6">
      <c r="A286" s="28" t="s">
        <v>3</v>
      </c>
      <c r="B286" s="26">
        <f>SUM(B287:B288)</f>
        <v>0</v>
      </c>
      <c r="C286" s="26">
        <f t="shared" si="549"/>
        <v>0</v>
      </c>
      <c r="D286" s="26">
        <f>SUM(D287:D288)</f>
        <v>0</v>
      </c>
      <c r="E286" s="26">
        <f>SUM(E287:E288)</f>
        <v>0</v>
      </c>
      <c r="F286" s="26">
        <f t="shared" si="550"/>
        <v>0</v>
      </c>
      <c r="G286" s="26">
        <f t="shared" ref="G286:H286" si="699">SUM(G287:G288)</f>
        <v>0</v>
      </c>
      <c r="H286" s="26">
        <f t="shared" si="699"/>
        <v>0</v>
      </c>
      <c r="I286" s="26">
        <f t="shared" si="552"/>
        <v>0</v>
      </c>
      <c r="J286" s="26">
        <f t="shared" ref="J286:K286" si="700">SUM(J287:J288)</f>
        <v>0</v>
      </c>
      <c r="K286" s="26">
        <f t="shared" si="700"/>
        <v>0</v>
      </c>
      <c r="L286" s="26">
        <f t="shared" si="554"/>
        <v>0</v>
      </c>
      <c r="M286" s="26">
        <f t="shared" ref="M286:N286" si="701">SUM(M287:M288)</f>
        <v>0</v>
      </c>
      <c r="N286" s="26">
        <f t="shared" si="701"/>
        <v>0</v>
      </c>
      <c r="O286" s="26">
        <f t="shared" si="556"/>
        <v>0</v>
      </c>
      <c r="P286" s="26">
        <f t="shared" ref="P286:Q286" si="702">SUM(P287:P288)</f>
        <v>0</v>
      </c>
      <c r="Q286" s="26">
        <f t="shared" si="702"/>
        <v>0</v>
      </c>
      <c r="R286" s="26">
        <f t="shared" si="558"/>
        <v>0</v>
      </c>
      <c r="S286" s="26">
        <f t="shared" ref="S286:T286" si="703">SUM(S287:S288)</f>
        <v>0</v>
      </c>
      <c r="T286" s="26">
        <f t="shared" si="703"/>
        <v>0</v>
      </c>
      <c r="U286" s="29"/>
      <c r="V286" s="5" t="str">
        <f t="shared" si="560"/>
        <v>-</v>
      </c>
    </row>
    <row r="287" spans="1:22" ht="25.15" hidden="1" customHeight="1" x14ac:dyDescent="0.6">
      <c r="A287" s="30" t="s">
        <v>5</v>
      </c>
      <c r="B287" s="22"/>
      <c r="C287" s="22">
        <f t="shared" si="549"/>
        <v>0</v>
      </c>
      <c r="D287" s="22"/>
      <c r="E287" s="22"/>
      <c r="F287" s="22">
        <f t="shared" si="550"/>
        <v>0</v>
      </c>
      <c r="G287" s="22"/>
      <c r="H287" s="22"/>
      <c r="I287" s="22">
        <f t="shared" si="552"/>
        <v>0</v>
      </c>
      <c r="J287" s="22"/>
      <c r="K287" s="22"/>
      <c r="L287" s="22">
        <f t="shared" si="554"/>
        <v>0</v>
      </c>
      <c r="M287" s="22"/>
      <c r="N287" s="22"/>
      <c r="O287" s="22">
        <f t="shared" si="556"/>
        <v>0</v>
      </c>
      <c r="P287" s="22"/>
      <c r="Q287" s="22"/>
      <c r="R287" s="22">
        <f t="shared" si="558"/>
        <v>0</v>
      </c>
      <c r="S287" s="22"/>
      <c r="T287" s="22"/>
      <c r="U287" s="14"/>
      <c r="V287" s="5" t="str">
        <f t="shared" si="560"/>
        <v>-</v>
      </c>
    </row>
    <row r="288" spans="1:22" ht="25.5" hidden="1" customHeight="1" x14ac:dyDescent="0.6">
      <c r="A288" s="30" t="s">
        <v>6</v>
      </c>
      <c r="B288" s="22"/>
      <c r="C288" s="22">
        <f t="shared" si="549"/>
        <v>0</v>
      </c>
      <c r="D288" s="22"/>
      <c r="E288" s="22"/>
      <c r="F288" s="22">
        <f t="shared" si="550"/>
        <v>0</v>
      </c>
      <c r="G288" s="22"/>
      <c r="H288" s="22"/>
      <c r="I288" s="22">
        <f t="shared" si="552"/>
        <v>0</v>
      </c>
      <c r="J288" s="22"/>
      <c r="K288" s="22"/>
      <c r="L288" s="22">
        <f t="shared" si="554"/>
        <v>0</v>
      </c>
      <c r="M288" s="22"/>
      <c r="N288" s="22"/>
      <c r="O288" s="22">
        <f t="shared" si="556"/>
        <v>0</v>
      </c>
      <c r="P288" s="22"/>
      <c r="Q288" s="22"/>
      <c r="R288" s="22">
        <f t="shared" si="558"/>
        <v>0</v>
      </c>
      <c r="S288" s="22"/>
      <c r="T288" s="22"/>
      <c r="U288" s="14"/>
      <c r="V288" s="5" t="str">
        <f t="shared" si="560"/>
        <v>-</v>
      </c>
    </row>
    <row r="289" spans="1:22" ht="25.15" hidden="1" customHeight="1" x14ac:dyDescent="0.6">
      <c r="A289" s="28" t="s">
        <v>4</v>
      </c>
      <c r="B289" s="26">
        <f>SUM(B290:B291)</f>
        <v>0</v>
      </c>
      <c r="C289" s="26">
        <f t="shared" si="549"/>
        <v>0</v>
      </c>
      <c r="D289" s="26">
        <f>SUM(D290:D291)</f>
        <v>0</v>
      </c>
      <c r="E289" s="26">
        <f>SUM(E290:E291)</f>
        <v>0</v>
      </c>
      <c r="F289" s="26">
        <f t="shared" si="550"/>
        <v>0</v>
      </c>
      <c r="G289" s="26">
        <f t="shared" ref="G289:H289" si="704">SUM(G290:G291)</f>
        <v>0</v>
      </c>
      <c r="H289" s="26">
        <f t="shared" si="704"/>
        <v>0</v>
      </c>
      <c r="I289" s="26">
        <f t="shared" si="552"/>
        <v>0</v>
      </c>
      <c r="J289" s="26">
        <f t="shared" ref="J289:K289" si="705">SUM(J290:J291)</f>
        <v>0</v>
      </c>
      <c r="K289" s="26">
        <f t="shared" si="705"/>
        <v>0</v>
      </c>
      <c r="L289" s="26">
        <f t="shared" si="554"/>
        <v>0</v>
      </c>
      <c r="M289" s="26">
        <f t="shared" ref="M289:N289" si="706">SUM(M290:M291)</f>
        <v>0</v>
      </c>
      <c r="N289" s="26">
        <f t="shared" si="706"/>
        <v>0</v>
      </c>
      <c r="O289" s="26">
        <f t="shared" si="556"/>
        <v>0</v>
      </c>
      <c r="P289" s="26">
        <f t="shared" ref="P289:Q289" si="707">SUM(P290:P291)</f>
        <v>0</v>
      </c>
      <c r="Q289" s="26">
        <f t="shared" si="707"/>
        <v>0</v>
      </c>
      <c r="R289" s="26">
        <f t="shared" si="558"/>
        <v>0</v>
      </c>
      <c r="S289" s="26">
        <f t="shared" ref="S289:T289" si="708">SUM(S290:S291)</f>
        <v>0</v>
      </c>
      <c r="T289" s="26">
        <f t="shared" si="708"/>
        <v>0</v>
      </c>
      <c r="U289" s="29"/>
      <c r="V289" s="5" t="str">
        <f t="shared" si="560"/>
        <v>-</v>
      </c>
    </row>
    <row r="290" spans="1:22" ht="25.15" hidden="1" customHeight="1" x14ac:dyDescent="0.6">
      <c r="A290" s="30" t="s">
        <v>7</v>
      </c>
      <c r="B290" s="22"/>
      <c r="C290" s="22">
        <f t="shared" si="549"/>
        <v>0</v>
      </c>
      <c r="D290" s="22"/>
      <c r="E290" s="22"/>
      <c r="F290" s="22">
        <f t="shared" si="550"/>
        <v>0</v>
      </c>
      <c r="G290" s="22"/>
      <c r="H290" s="22"/>
      <c r="I290" s="22">
        <f t="shared" si="552"/>
        <v>0</v>
      </c>
      <c r="J290" s="22"/>
      <c r="K290" s="22"/>
      <c r="L290" s="22">
        <f t="shared" si="554"/>
        <v>0</v>
      </c>
      <c r="M290" s="22"/>
      <c r="N290" s="22"/>
      <c r="O290" s="22">
        <f t="shared" si="556"/>
        <v>0</v>
      </c>
      <c r="P290" s="22"/>
      <c r="Q290" s="22"/>
      <c r="R290" s="22">
        <f t="shared" si="558"/>
        <v>0</v>
      </c>
      <c r="S290" s="22"/>
      <c r="T290" s="22"/>
      <c r="U290" s="14"/>
      <c r="V290" s="5" t="str">
        <f t="shared" si="560"/>
        <v>-</v>
      </c>
    </row>
    <row r="291" spans="1:22" ht="25.15" hidden="1" customHeight="1" x14ac:dyDescent="0.6">
      <c r="A291" s="30" t="s">
        <v>8</v>
      </c>
      <c r="B291" s="22"/>
      <c r="C291" s="22">
        <f t="shared" si="549"/>
        <v>0</v>
      </c>
      <c r="D291" s="22"/>
      <c r="E291" s="22"/>
      <c r="F291" s="22">
        <f t="shared" si="550"/>
        <v>0</v>
      </c>
      <c r="G291" s="22"/>
      <c r="H291" s="22"/>
      <c r="I291" s="22">
        <f t="shared" si="552"/>
        <v>0</v>
      </c>
      <c r="J291" s="22"/>
      <c r="K291" s="22"/>
      <c r="L291" s="22">
        <f t="shared" si="554"/>
        <v>0</v>
      </c>
      <c r="M291" s="22"/>
      <c r="N291" s="22"/>
      <c r="O291" s="22">
        <f t="shared" si="556"/>
        <v>0</v>
      </c>
      <c r="P291" s="22"/>
      <c r="Q291" s="22"/>
      <c r="R291" s="22">
        <f t="shared" si="558"/>
        <v>0</v>
      </c>
      <c r="S291" s="22"/>
      <c r="T291" s="22"/>
      <c r="U291" s="14"/>
      <c r="V291" s="5" t="str">
        <f t="shared" si="560"/>
        <v>-</v>
      </c>
    </row>
    <row r="292" spans="1:22" ht="25.15" customHeight="1" x14ac:dyDescent="0.6">
      <c r="A292" s="25" t="s">
        <v>9</v>
      </c>
      <c r="B292" s="26">
        <f>B293+B296</f>
        <v>400</v>
      </c>
      <c r="C292" s="26">
        <f t="shared" si="549"/>
        <v>0</v>
      </c>
      <c r="D292" s="26">
        <f>D293+D296</f>
        <v>0</v>
      </c>
      <c r="E292" s="26">
        <f>E293+E296</f>
        <v>0</v>
      </c>
      <c r="F292" s="26">
        <f t="shared" si="550"/>
        <v>0</v>
      </c>
      <c r="G292" s="26">
        <f t="shared" ref="G292:H292" si="709">G293+G296</f>
        <v>0</v>
      </c>
      <c r="H292" s="26">
        <f t="shared" si="709"/>
        <v>0</v>
      </c>
      <c r="I292" s="26">
        <f t="shared" si="552"/>
        <v>0</v>
      </c>
      <c r="J292" s="26">
        <f t="shared" ref="J292:K292" si="710">J293+J296</f>
        <v>0</v>
      </c>
      <c r="K292" s="26">
        <f t="shared" si="710"/>
        <v>0</v>
      </c>
      <c r="L292" s="26">
        <f t="shared" si="554"/>
        <v>200</v>
      </c>
      <c r="M292" s="26">
        <f t="shared" ref="M292:N292" si="711">M293+M296</f>
        <v>200</v>
      </c>
      <c r="N292" s="26">
        <f t="shared" si="711"/>
        <v>0</v>
      </c>
      <c r="O292" s="26">
        <f t="shared" si="556"/>
        <v>0</v>
      </c>
      <c r="P292" s="26">
        <f t="shared" ref="P292:Q292" si="712">P293+P296</f>
        <v>0</v>
      </c>
      <c r="Q292" s="26">
        <f t="shared" si="712"/>
        <v>0</v>
      </c>
      <c r="R292" s="26">
        <f t="shared" si="558"/>
        <v>0</v>
      </c>
      <c r="S292" s="26">
        <f t="shared" ref="S292:T292" si="713">S293+S296</f>
        <v>0</v>
      </c>
      <c r="T292" s="26">
        <f t="shared" si="713"/>
        <v>0</v>
      </c>
      <c r="U292" s="27"/>
      <c r="V292" s="5" t="str">
        <f t="shared" si="560"/>
        <v>ok</v>
      </c>
    </row>
    <row r="293" spans="1:22" ht="25.15" customHeight="1" x14ac:dyDescent="0.6">
      <c r="A293" s="28" t="s">
        <v>3</v>
      </c>
      <c r="B293" s="26">
        <f>SUM(B294:B295)</f>
        <v>400</v>
      </c>
      <c r="C293" s="26">
        <f t="shared" si="549"/>
        <v>0</v>
      </c>
      <c r="D293" s="26">
        <f>SUM(D294:D295)</f>
        <v>0</v>
      </c>
      <c r="E293" s="26">
        <f>SUM(E294:E295)</f>
        <v>0</v>
      </c>
      <c r="F293" s="26">
        <f t="shared" si="550"/>
        <v>0</v>
      </c>
      <c r="G293" s="26">
        <f t="shared" ref="G293:H293" si="714">SUM(G294:G295)</f>
        <v>0</v>
      </c>
      <c r="H293" s="26">
        <f t="shared" si="714"/>
        <v>0</v>
      </c>
      <c r="I293" s="26">
        <f t="shared" si="552"/>
        <v>0</v>
      </c>
      <c r="J293" s="26">
        <f t="shared" ref="J293:K293" si="715">SUM(J294:J295)</f>
        <v>0</v>
      </c>
      <c r="K293" s="26">
        <f t="shared" si="715"/>
        <v>0</v>
      </c>
      <c r="L293" s="26">
        <f t="shared" si="554"/>
        <v>200</v>
      </c>
      <c r="M293" s="26">
        <f t="shared" ref="M293:N293" si="716">SUM(M294:M295)</f>
        <v>200</v>
      </c>
      <c r="N293" s="26">
        <f t="shared" si="716"/>
        <v>0</v>
      </c>
      <c r="O293" s="26">
        <f t="shared" si="556"/>
        <v>0</v>
      </c>
      <c r="P293" s="26">
        <f t="shared" ref="P293:Q293" si="717">SUM(P294:P295)</f>
        <v>0</v>
      </c>
      <c r="Q293" s="26">
        <f t="shared" si="717"/>
        <v>0</v>
      </c>
      <c r="R293" s="26">
        <f t="shared" si="558"/>
        <v>0</v>
      </c>
      <c r="S293" s="26">
        <f t="shared" ref="S293:T293" si="718">SUM(S294:S295)</f>
        <v>0</v>
      </c>
      <c r="T293" s="26">
        <f t="shared" si="718"/>
        <v>0</v>
      </c>
      <c r="U293" s="29"/>
      <c r="V293" s="5" t="str">
        <f t="shared" si="560"/>
        <v>ok</v>
      </c>
    </row>
    <row r="294" spans="1:22" ht="25.15" customHeight="1" x14ac:dyDescent="0.6">
      <c r="A294" s="30" t="s">
        <v>79</v>
      </c>
      <c r="B294" s="22">
        <v>400</v>
      </c>
      <c r="C294" s="22">
        <f t="shared" si="549"/>
        <v>0</v>
      </c>
      <c r="D294" s="22"/>
      <c r="E294" s="22"/>
      <c r="F294" s="22">
        <f t="shared" si="550"/>
        <v>0</v>
      </c>
      <c r="G294" s="22"/>
      <c r="H294" s="22"/>
      <c r="I294" s="22">
        <f t="shared" si="552"/>
        <v>0</v>
      </c>
      <c r="J294" s="22"/>
      <c r="K294" s="22"/>
      <c r="L294" s="22">
        <f t="shared" si="554"/>
        <v>200</v>
      </c>
      <c r="M294" s="22">
        <v>200</v>
      </c>
      <c r="N294" s="22"/>
      <c r="O294" s="22">
        <f t="shared" si="556"/>
        <v>0</v>
      </c>
      <c r="P294" s="22"/>
      <c r="Q294" s="22"/>
      <c r="R294" s="22">
        <f t="shared" si="558"/>
        <v>0</v>
      </c>
      <c r="S294" s="22"/>
      <c r="T294" s="22"/>
      <c r="U294" s="14"/>
      <c r="V294" s="5" t="str">
        <f t="shared" si="560"/>
        <v>ok</v>
      </c>
    </row>
    <row r="295" spans="1:22" ht="25.15" hidden="1" customHeight="1" x14ac:dyDescent="0.6">
      <c r="A295" s="30" t="s">
        <v>6</v>
      </c>
      <c r="B295" s="22"/>
      <c r="C295" s="22">
        <f t="shared" si="549"/>
        <v>0</v>
      </c>
      <c r="D295" s="22"/>
      <c r="E295" s="22"/>
      <c r="F295" s="22">
        <f t="shared" si="550"/>
        <v>0</v>
      </c>
      <c r="G295" s="22"/>
      <c r="H295" s="22"/>
      <c r="I295" s="22">
        <f t="shared" si="552"/>
        <v>0</v>
      </c>
      <c r="J295" s="22"/>
      <c r="K295" s="22"/>
      <c r="L295" s="22">
        <f t="shared" si="554"/>
        <v>0</v>
      </c>
      <c r="M295" s="22"/>
      <c r="N295" s="22"/>
      <c r="O295" s="22">
        <f t="shared" si="556"/>
        <v>0</v>
      </c>
      <c r="P295" s="22"/>
      <c r="Q295" s="22"/>
      <c r="R295" s="22">
        <f t="shared" si="558"/>
        <v>0</v>
      </c>
      <c r="S295" s="22"/>
      <c r="T295" s="22"/>
      <c r="U295" s="14"/>
      <c r="V295" s="5" t="str">
        <f t="shared" si="560"/>
        <v>-</v>
      </c>
    </row>
    <row r="296" spans="1:22" ht="25.15" hidden="1" customHeight="1" x14ac:dyDescent="0.6">
      <c r="A296" s="28" t="s">
        <v>4</v>
      </c>
      <c r="B296" s="26">
        <f>SUM(B297:B298)</f>
        <v>0</v>
      </c>
      <c r="C296" s="26">
        <f t="shared" si="549"/>
        <v>0</v>
      </c>
      <c r="D296" s="26">
        <f>SUM(D297:D298)</f>
        <v>0</v>
      </c>
      <c r="E296" s="26">
        <f>SUM(E297:E298)</f>
        <v>0</v>
      </c>
      <c r="F296" s="26">
        <f t="shared" si="550"/>
        <v>0</v>
      </c>
      <c r="G296" s="26">
        <f t="shared" ref="G296:H296" si="719">SUM(G297:G298)</f>
        <v>0</v>
      </c>
      <c r="H296" s="26">
        <f t="shared" si="719"/>
        <v>0</v>
      </c>
      <c r="I296" s="26">
        <f t="shared" si="552"/>
        <v>0</v>
      </c>
      <c r="J296" s="26">
        <f t="shared" ref="J296:K296" si="720">SUM(J297:J298)</f>
        <v>0</v>
      </c>
      <c r="K296" s="26">
        <f t="shared" si="720"/>
        <v>0</v>
      </c>
      <c r="L296" s="26">
        <f t="shared" si="554"/>
        <v>0</v>
      </c>
      <c r="M296" s="26">
        <f t="shared" ref="M296:N296" si="721">SUM(M297:M298)</f>
        <v>0</v>
      </c>
      <c r="N296" s="26">
        <f t="shared" si="721"/>
        <v>0</v>
      </c>
      <c r="O296" s="26">
        <f t="shared" si="556"/>
        <v>0</v>
      </c>
      <c r="P296" s="26">
        <f t="shared" ref="P296:Q296" si="722">SUM(P297:P298)</f>
        <v>0</v>
      </c>
      <c r="Q296" s="26">
        <f t="shared" si="722"/>
        <v>0</v>
      </c>
      <c r="R296" s="26">
        <f t="shared" si="558"/>
        <v>0</v>
      </c>
      <c r="S296" s="26">
        <f t="shared" ref="S296:T296" si="723">SUM(S297:S298)</f>
        <v>0</v>
      </c>
      <c r="T296" s="26">
        <f t="shared" si="723"/>
        <v>0</v>
      </c>
      <c r="U296" s="29"/>
      <c r="V296" s="5" t="str">
        <f t="shared" si="560"/>
        <v>-</v>
      </c>
    </row>
    <row r="297" spans="1:22" ht="25.15" hidden="1" customHeight="1" x14ac:dyDescent="0.6">
      <c r="A297" s="30" t="s">
        <v>7</v>
      </c>
      <c r="B297" s="22"/>
      <c r="C297" s="22">
        <f t="shared" si="549"/>
        <v>0</v>
      </c>
      <c r="D297" s="22"/>
      <c r="E297" s="22"/>
      <c r="F297" s="22">
        <f t="shared" si="550"/>
        <v>0</v>
      </c>
      <c r="G297" s="22"/>
      <c r="H297" s="22"/>
      <c r="I297" s="22">
        <f t="shared" si="552"/>
        <v>0</v>
      </c>
      <c r="J297" s="22"/>
      <c r="K297" s="22"/>
      <c r="L297" s="22">
        <f t="shared" si="554"/>
        <v>0</v>
      </c>
      <c r="M297" s="22"/>
      <c r="N297" s="22"/>
      <c r="O297" s="22">
        <f t="shared" si="556"/>
        <v>0</v>
      </c>
      <c r="P297" s="22"/>
      <c r="Q297" s="22"/>
      <c r="R297" s="22">
        <f t="shared" si="558"/>
        <v>0</v>
      </c>
      <c r="S297" s="22"/>
      <c r="T297" s="22"/>
      <c r="U297" s="14"/>
      <c r="V297" s="5" t="str">
        <f t="shared" si="560"/>
        <v>-</v>
      </c>
    </row>
    <row r="298" spans="1:22" ht="25.15" hidden="1" customHeight="1" x14ac:dyDescent="0.6">
      <c r="A298" s="30" t="s">
        <v>8</v>
      </c>
      <c r="B298" s="22"/>
      <c r="C298" s="22">
        <f t="shared" si="549"/>
        <v>0</v>
      </c>
      <c r="D298" s="22"/>
      <c r="E298" s="22"/>
      <c r="F298" s="22">
        <f t="shared" si="550"/>
        <v>0</v>
      </c>
      <c r="G298" s="22"/>
      <c r="H298" s="22"/>
      <c r="I298" s="22">
        <f t="shared" si="552"/>
        <v>0</v>
      </c>
      <c r="J298" s="22"/>
      <c r="K298" s="22"/>
      <c r="L298" s="22">
        <f t="shared" si="554"/>
        <v>0</v>
      </c>
      <c r="M298" s="22"/>
      <c r="N298" s="22"/>
      <c r="O298" s="22">
        <f t="shared" si="556"/>
        <v>0</v>
      </c>
      <c r="P298" s="22"/>
      <c r="Q298" s="22"/>
      <c r="R298" s="22">
        <f t="shared" si="558"/>
        <v>0</v>
      </c>
      <c r="S298" s="22"/>
      <c r="T298" s="22"/>
      <c r="U298" s="14"/>
      <c r="V298" s="5" t="str">
        <f t="shared" si="560"/>
        <v>-</v>
      </c>
    </row>
    <row r="299" spans="1:22" ht="25.15" hidden="1" customHeight="1" x14ac:dyDescent="0.6">
      <c r="A299" s="18" t="s">
        <v>46</v>
      </c>
      <c r="B299" s="23">
        <f>B300+B307</f>
        <v>0</v>
      </c>
      <c r="C299" s="23">
        <f t="shared" si="549"/>
        <v>0</v>
      </c>
      <c r="D299" s="23">
        <f>D300+D307</f>
        <v>0</v>
      </c>
      <c r="E299" s="23">
        <f>E300+E307</f>
        <v>0</v>
      </c>
      <c r="F299" s="23">
        <f t="shared" si="550"/>
        <v>0</v>
      </c>
      <c r="G299" s="23">
        <f t="shared" ref="G299:H299" si="724">G300+G307</f>
        <v>0</v>
      </c>
      <c r="H299" s="23">
        <f t="shared" si="724"/>
        <v>0</v>
      </c>
      <c r="I299" s="23">
        <f t="shared" si="552"/>
        <v>0</v>
      </c>
      <c r="J299" s="23">
        <f t="shared" ref="J299:K299" si="725">J300+J307</f>
        <v>0</v>
      </c>
      <c r="K299" s="23">
        <f t="shared" si="725"/>
        <v>0</v>
      </c>
      <c r="L299" s="23">
        <f t="shared" si="554"/>
        <v>0</v>
      </c>
      <c r="M299" s="23">
        <f t="shared" ref="M299:N299" si="726">M300+M307</f>
        <v>0</v>
      </c>
      <c r="N299" s="23">
        <f t="shared" si="726"/>
        <v>0</v>
      </c>
      <c r="O299" s="23">
        <f t="shared" si="556"/>
        <v>0</v>
      </c>
      <c r="P299" s="23">
        <f t="shared" ref="P299:Q299" si="727">P300+P307</f>
        <v>0</v>
      </c>
      <c r="Q299" s="23">
        <f t="shared" si="727"/>
        <v>0</v>
      </c>
      <c r="R299" s="23">
        <f t="shared" si="558"/>
        <v>0</v>
      </c>
      <c r="S299" s="23">
        <f t="shared" ref="S299:T299" si="728">S300+S307</f>
        <v>0</v>
      </c>
      <c r="T299" s="23">
        <f t="shared" si="728"/>
        <v>0</v>
      </c>
      <c r="U299" s="20"/>
      <c r="V299" s="5" t="str">
        <f t="shared" si="560"/>
        <v>-</v>
      </c>
    </row>
    <row r="300" spans="1:22" ht="25.15" hidden="1" customHeight="1" x14ac:dyDescent="0.6">
      <c r="A300" s="25" t="s">
        <v>2</v>
      </c>
      <c r="B300" s="26">
        <f>B301+B304</f>
        <v>0</v>
      </c>
      <c r="C300" s="26">
        <f t="shared" si="549"/>
        <v>0</v>
      </c>
      <c r="D300" s="26">
        <f>D301+D304</f>
        <v>0</v>
      </c>
      <c r="E300" s="26">
        <f>E301+E304</f>
        <v>0</v>
      </c>
      <c r="F300" s="26">
        <f t="shared" si="550"/>
        <v>0</v>
      </c>
      <c r="G300" s="26">
        <f t="shared" ref="G300:H300" si="729">G301+G304</f>
        <v>0</v>
      </c>
      <c r="H300" s="26">
        <f t="shared" si="729"/>
        <v>0</v>
      </c>
      <c r="I300" s="26">
        <f t="shared" si="552"/>
        <v>0</v>
      </c>
      <c r="J300" s="26">
        <f t="shared" ref="J300:K300" si="730">J301+J304</f>
        <v>0</v>
      </c>
      <c r="K300" s="26">
        <f t="shared" si="730"/>
        <v>0</v>
      </c>
      <c r="L300" s="26">
        <f t="shared" si="554"/>
        <v>0</v>
      </c>
      <c r="M300" s="26">
        <f t="shared" ref="M300:N300" si="731">M301+M304</f>
        <v>0</v>
      </c>
      <c r="N300" s="26">
        <f t="shared" si="731"/>
        <v>0</v>
      </c>
      <c r="O300" s="26">
        <f t="shared" si="556"/>
        <v>0</v>
      </c>
      <c r="P300" s="26">
        <f t="shared" ref="P300:Q300" si="732">P301+P304</f>
        <v>0</v>
      </c>
      <c r="Q300" s="26">
        <f t="shared" si="732"/>
        <v>0</v>
      </c>
      <c r="R300" s="26">
        <f t="shared" si="558"/>
        <v>0</v>
      </c>
      <c r="S300" s="26">
        <f t="shared" ref="S300:T300" si="733">S301+S304</f>
        <v>0</v>
      </c>
      <c r="T300" s="26">
        <f t="shared" si="733"/>
        <v>0</v>
      </c>
      <c r="U300" s="27"/>
      <c r="V300" s="5" t="str">
        <f t="shared" si="560"/>
        <v>-</v>
      </c>
    </row>
    <row r="301" spans="1:22" ht="25.15" hidden="1" customHeight="1" x14ac:dyDescent="0.6">
      <c r="A301" s="28" t="s">
        <v>3</v>
      </c>
      <c r="B301" s="26">
        <f>SUM(B302:B303)</f>
        <v>0</v>
      </c>
      <c r="C301" s="26">
        <f t="shared" si="549"/>
        <v>0</v>
      </c>
      <c r="D301" s="26">
        <f>SUM(D302:D303)</f>
        <v>0</v>
      </c>
      <c r="E301" s="26">
        <f>SUM(E302:E303)</f>
        <v>0</v>
      </c>
      <c r="F301" s="26">
        <f t="shared" si="550"/>
        <v>0</v>
      </c>
      <c r="G301" s="26">
        <f t="shared" ref="G301:H301" si="734">SUM(G302:G303)</f>
        <v>0</v>
      </c>
      <c r="H301" s="26">
        <f t="shared" si="734"/>
        <v>0</v>
      </c>
      <c r="I301" s="26">
        <f t="shared" si="552"/>
        <v>0</v>
      </c>
      <c r="J301" s="26">
        <f t="shared" ref="J301:K301" si="735">SUM(J302:J303)</f>
        <v>0</v>
      </c>
      <c r="K301" s="26">
        <f t="shared" si="735"/>
        <v>0</v>
      </c>
      <c r="L301" s="26">
        <f t="shared" si="554"/>
        <v>0</v>
      </c>
      <c r="M301" s="26">
        <f t="shared" ref="M301:N301" si="736">SUM(M302:M303)</f>
        <v>0</v>
      </c>
      <c r="N301" s="26">
        <f t="shared" si="736"/>
        <v>0</v>
      </c>
      <c r="O301" s="26">
        <f t="shared" si="556"/>
        <v>0</v>
      </c>
      <c r="P301" s="26">
        <f t="shared" ref="P301:Q301" si="737">SUM(P302:P303)</f>
        <v>0</v>
      </c>
      <c r="Q301" s="26">
        <f t="shared" si="737"/>
        <v>0</v>
      </c>
      <c r="R301" s="26">
        <f t="shared" si="558"/>
        <v>0</v>
      </c>
      <c r="S301" s="26">
        <f t="shared" ref="S301:T301" si="738">SUM(S302:S303)</f>
        <v>0</v>
      </c>
      <c r="T301" s="26">
        <f t="shared" si="738"/>
        <v>0</v>
      </c>
      <c r="U301" s="29"/>
      <c r="V301" s="5" t="str">
        <f t="shared" si="560"/>
        <v>-</v>
      </c>
    </row>
    <row r="302" spans="1:22" ht="25.15" hidden="1" customHeight="1" x14ac:dyDescent="0.6">
      <c r="A302" s="30" t="s">
        <v>5</v>
      </c>
      <c r="B302" s="22"/>
      <c r="C302" s="22">
        <f t="shared" si="549"/>
        <v>0</v>
      </c>
      <c r="D302" s="22"/>
      <c r="E302" s="22"/>
      <c r="F302" s="22">
        <f t="shared" si="550"/>
        <v>0</v>
      </c>
      <c r="G302" s="22"/>
      <c r="H302" s="22"/>
      <c r="I302" s="22">
        <f t="shared" si="552"/>
        <v>0</v>
      </c>
      <c r="J302" s="22"/>
      <c r="K302" s="22"/>
      <c r="L302" s="22">
        <f t="shared" si="554"/>
        <v>0</v>
      </c>
      <c r="M302" s="22"/>
      <c r="N302" s="22"/>
      <c r="O302" s="22">
        <f t="shared" si="556"/>
        <v>0</v>
      </c>
      <c r="P302" s="22"/>
      <c r="Q302" s="22"/>
      <c r="R302" s="22">
        <f t="shared" si="558"/>
        <v>0</v>
      </c>
      <c r="S302" s="22"/>
      <c r="T302" s="22"/>
      <c r="U302" s="14"/>
      <c r="V302" s="5" t="str">
        <f t="shared" si="560"/>
        <v>-</v>
      </c>
    </row>
    <row r="303" spans="1:22" ht="25.5" hidden="1" customHeight="1" x14ac:dyDescent="0.6">
      <c r="A303" s="30" t="s">
        <v>6</v>
      </c>
      <c r="B303" s="22"/>
      <c r="C303" s="22">
        <f t="shared" ref="C303:C343" si="739">D303+E303</f>
        <v>0</v>
      </c>
      <c r="D303" s="22"/>
      <c r="E303" s="22"/>
      <c r="F303" s="22">
        <f t="shared" ref="F303:F343" si="740">G303+H303</f>
        <v>0</v>
      </c>
      <c r="G303" s="22"/>
      <c r="H303" s="22"/>
      <c r="I303" s="22">
        <f t="shared" ref="I303:I343" si="741">J303+K303</f>
        <v>0</v>
      </c>
      <c r="J303" s="22"/>
      <c r="K303" s="22"/>
      <c r="L303" s="22">
        <f t="shared" ref="L303:L343" si="742">M303+N303</f>
        <v>0</v>
      </c>
      <c r="M303" s="22"/>
      <c r="N303" s="22"/>
      <c r="O303" s="22">
        <f t="shared" ref="O303:O343" si="743">P303+Q303</f>
        <v>0</v>
      </c>
      <c r="P303" s="22"/>
      <c r="Q303" s="22"/>
      <c r="R303" s="22">
        <f t="shared" ref="R303:R343" si="744">S303+T303</f>
        <v>0</v>
      </c>
      <c r="S303" s="22"/>
      <c r="T303" s="22"/>
      <c r="U303" s="14"/>
      <c r="V303" s="5" t="str">
        <f t="shared" ref="V303:V343" si="745">IF((B303+C303+F303+L303+O303)&lt;&gt;0,"ok","-")</f>
        <v>-</v>
      </c>
    </row>
    <row r="304" spans="1:22" ht="25.15" hidden="1" customHeight="1" x14ac:dyDescent="0.6">
      <c r="A304" s="28" t="s">
        <v>4</v>
      </c>
      <c r="B304" s="26">
        <f>SUM(B305:B306)</f>
        <v>0</v>
      </c>
      <c r="C304" s="26">
        <f t="shared" si="739"/>
        <v>0</v>
      </c>
      <c r="D304" s="26">
        <f>SUM(D305:D306)</f>
        <v>0</v>
      </c>
      <c r="E304" s="26">
        <f>SUM(E305:E306)</f>
        <v>0</v>
      </c>
      <c r="F304" s="26">
        <f t="shared" si="740"/>
        <v>0</v>
      </c>
      <c r="G304" s="26">
        <f t="shared" ref="G304:H304" si="746">SUM(G305:G306)</f>
        <v>0</v>
      </c>
      <c r="H304" s="26">
        <f t="shared" si="746"/>
        <v>0</v>
      </c>
      <c r="I304" s="26">
        <f t="shared" si="741"/>
        <v>0</v>
      </c>
      <c r="J304" s="26">
        <f t="shared" ref="J304:K304" si="747">SUM(J305:J306)</f>
        <v>0</v>
      </c>
      <c r="K304" s="26">
        <f t="shared" si="747"/>
        <v>0</v>
      </c>
      <c r="L304" s="26">
        <f t="shared" si="742"/>
        <v>0</v>
      </c>
      <c r="M304" s="26">
        <f t="shared" ref="M304:N304" si="748">SUM(M305:M306)</f>
        <v>0</v>
      </c>
      <c r="N304" s="26">
        <f t="shared" si="748"/>
        <v>0</v>
      </c>
      <c r="O304" s="26">
        <f t="shared" si="743"/>
        <v>0</v>
      </c>
      <c r="P304" s="26">
        <f t="shared" ref="P304:Q304" si="749">SUM(P305:P306)</f>
        <v>0</v>
      </c>
      <c r="Q304" s="26">
        <f t="shared" si="749"/>
        <v>0</v>
      </c>
      <c r="R304" s="26">
        <f t="shared" si="744"/>
        <v>0</v>
      </c>
      <c r="S304" s="26">
        <f t="shared" ref="S304:T304" si="750">SUM(S305:S306)</f>
        <v>0</v>
      </c>
      <c r="T304" s="26">
        <f t="shared" si="750"/>
        <v>0</v>
      </c>
      <c r="U304" s="29"/>
      <c r="V304" s="5" t="str">
        <f t="shared" si="745"/>
        <v>-</v>
      </c>
    </row>
    <row r="305" spans="1:22" ht="25.15" hidden="1" customHeight="1" x14ac:dyDescent="0.6">
      <c r="A305" s="30" t="s">
        <v>7</v>
      </c>
      <c r="B305" s="22"/>
      <c r="C305" s="22">
        <f t="shared" si="739"/>
        <v>0</v>
      </c>
      <c r="D305" s="22"/>
      <c r="E305" s="22"/>
      <c r="F305" s="22">
        <f t="shared" si="740"/>
        <v>0</v>
      </c>
      <c r="G305" s="22"/>
      <c r="H305" s="22"/>
      <c r="I305" s="22">
        <f t="shared" si="741"/>
        <v>0</v>
      </c>
      <c r="J305" s="22"/>
      <c r="K305" s="22"/>
      <c r="L305" s="22">
        <f t="shared" si="742"/>
        <v>0</v>
      </c>
      <c r="M305" s="22"/>
      <c r="N305" s="22"/>
      <c r="O305" s="22">
        <f t="shared" si="743"/>
        <v>0</v>
      </c>
      <c r="P305" s="22"/>
      <c r="Q305" s="22"/>
      <c r="R305" s="22">
        <f t="shared" si="744"/>
        <v>0</v>
      </c>
      <c r="S305" s="22"/>
      <c r="T305" s="22"/>
      <c r="U305" s="14"/>
      <c r="V305" s="5" t="str">
        <f t="shared" si="745"/>
        <v>-</v>
      </c>
    </row>
    <row r="306" spans="1:22" ht="25.15" hidden="1" customHeight="1" x14ac:dyDescent="0.6">
      <c r="A306" s="30" t="s">
        <v>8</v>
      </c>
      <c r="B306" s="22"/>
      <c r="C306" s="22">
        <f t="shared" si="739"/>
        <v>0</v>
      </c>
      <c r="D306" s="22"/>
      <c r="E306" s="22"/>
      <c r="F306" s="22">
        <f t="shared" si="740"/>
        <v>0</v>
      </c>
      <c r="G306" s="22"/>
      <c r="H306" s="22"/>
      <c r="I306" s="22">
        <f t="shared" si="741"/>
        <v>0</v>
      </c>
      <c r="J306" s="22"/>
      <c r="K306" s="22"/>
      <c r="L306" s="22">
        <f t="shared" si="742"/>
        <v>0</v>
      </c>
      <c r="M306" s="22"/>
      <c r="N306" s="22"/>
      <c r="O306" s="22">
        <f t="shared" si="743"/>
        <v>0</v>
      </c>
      <c r="P306" s="22"/>
      <c r="Q306" s="22"/>
      <c r="R306" s="22">
        <f t="shared" si="744"/>
        <v>0</v>
      </c>
      <c r="S306" s="22"/>
      <c r="T306" s="22"/>
      <c r="U306" s="14"/>
      <c r="V306" s="5" t="str">
        <f t="shared" si="745"/>
        <v>-</v>
      </c>
    </row>
    <row r="307" spans="1:22" ht="25.15" hidden="1" customHeight="1" x14ac:dyDescent="0.6">
      <c r="A307" s="25" t="s">
        <v>9</v>
      </c>
      <c r="B307" s="26">
        <f>B308+B311</f>
        <v>0</v>
      </c>
      <c r="C307" s="26">
        <f t="shared" si="739"/>
        <v>0</v>
      </c>
      <c r="D307" s="26">
        <f>D308+D311</f>
        <v>0</v>
      </c>
      <c r="E307" s="26">
        <f>E308+E311</f>
        <v>0</v>
      </c>
      <c r="F307" s="26">
        <f t="shared" si="740"/>
        <v>0</v>
      </c>
      <c r="G307" s="26">
        <f t="shared" ref="G307:H307" si="751">G308+G311</f>
        <v>0</v>
      </c>
      <c r="H307" s="26">
        <f t="shared" si="751"/>
        <v>0</v>
      </c>
      <c r="I307" s="26">
        <f t="shared" si="741"/>
        <v>0</v>
      </c>
      <c r="J307" s="26">
        <f t="shared" ref="J307:K307" si="752">J308+J311</f>
        <v>0</v>
      </c>
      <c r="K307" s="26">
        <f t="shared" si="752"/>
        <v>0</v>
      </c>
      <c r="L307" s="26">
        <f t="shared" si="742"/>
        <v>0</v>
      </c>
      <c r="M307" s="26">
        <f t="shared" ref="M307:N307" si="753">M308+M311</f>
        <v>0</v>
      </c>
      <c r="N307" s="26">
        <f t="shared" si="753"/>
        <v>0</v>
      </c>
      <c r="O307" s="26">
        <f t="shared" si="743"/>
        <v>0</v>
      </c>
      <c r="P307" s="26">
        <f t="shared" ref="P307:Q307" si="754">P308+P311</f>
        <v>0</v>
      </c>
      <c r="Q307" s="26">
        <f t="shared" si="754"/>
        <v>0</v>
      </c>
      <c r="R307" s="26">
        <f t="shared" si="744"/>
        <v>0</v>
      </c>
      <c r="S307" s="26">
        <f t="shared" ref="S307:T307" si="755">S308+S311</f>
        <v>0</v>
      </c>
      <c r="T307" s="26">
        <f t="shared" si="755"/>
        <v>0</v>
      </c>
      <c r="U307" s="27"/>
      <c r="V307" s="5" t="str">
        <f t="shared" si="745"/>
        <v>-</v>
      </c>
    </row>
    <row r="308" spans="1:22" ht="25.15" hidden="1" customHeight="1" x14ac:dyDescent="0.6">
      <c r="A308" s="28" t="s">
        <v>3</v>
      </c>
      <c r="B308" s="26">
        <f>SUM(B309:B310)</f>
        <v>0</v>
      </c>
      <c r="C308" s="26">
        <f t="shared" si="739"/>
        <v>0</v>
      </c>
      <c r="D308" s="26">
        <f>SUM(D309:D310)</f>
        <v>0</v>
      </c>
      <c r="E308" s="26">
        <f>SUM(E309:E310)</f>
        <v>0</v>
      </c>
      <c r="F308" s="26">
        <f t="shared" si="740"/>
        <v>0</v>
      </c>
      <c r="G308" s="26">
        <f t="shared" ref="G308:H308" si="756">SUM(G309:G310)</f>
        <v>0</v>
      </c>
      <c r="H308" s="26">
        <f t="shared" si="756"/>
        <v>0</v>
      </c>
      <c r="I308" s="26">
        <f t="shared" si="741"/>
        <v>0</v>
      </c>
      <c r="J308" s="26">
        <f t="shared" ref="J308:K308" si="757">SUM(J309:J310)</f>
        <v>0</v>
      </c>
      <c r="K308" s="26">
        <f t="shared" si="757"/>
        <v>0</v>
      </c>
      <c r="L308" s="26">
        <f t="shared" si="742"/>
        <v>0</v>
      </c>
      <c r="M308" s="26">
        <f t="shared" ref="M308:N308" si="758">SUM(M309:M310)</f>
        <v>0</v>
      </c>
      <c r="N308" s="26">
        <f t="shared" si="758"/>
        <v>0</v>
      </c>
      <c r="O308" s="26">
        <f t="shared" si="743"/>
        <v>0</v>
      </c>
      <c r="P308" s="26">
        <f t="shared" ref="P308:Q308" si="759">SUM(P309:P310)</f>
        <v>0</v>
      </c>
      <c r="Q308" s="26">
        <f t="shared" si="759"/>
        <v>0</v>
      </c>
      <c r="R308" s="26">
        <f t="shared" si="744"/>
        <v>0</v>
      </c>
      <c r="S308" s="26">
        <f t="shared" ref="S308:T308" si="760">SUM(S309:S310)</f>
        <v>0</v>
      </c>
      <c r="T308" s="26">
        <f t="shared" si="760"/>
        <v>0</v>
      </c>
      <c r="U308" s="29"/>
      <c r="V308" s="5" t="str">
        <f t="shared" si="745"/>
        <v>-</v>
      </c>
    </row>
    <row r="309" spans="1:22" ht="25.15" hidden="1" customHeight="1" x14ac:dyDescent="0.6">
      <c r="A309" s="30" t="s">
        <v>5</v>
      </c>
      <c r="B309" s="22"/>
      <c r="C309" s="22">
        <f t="shared" si="739"/>
        <v>0</v>
      </c>
      <c r="D309" s="22"/>
      <c r="E309" s="22"/>
      <c r="F309" s="22">
        <f t="shared" si="740"/>
        <v>0</v>
      </c>
      <c r="G309" s="22"/>
      <c r="H309" s="22"/>
      <c r="I309" s="22">
        <f t="shared" si="741"/>
        <v>0</v>
      </c>
      <c r="J309" s="22"/>
      <c r="K309" s="22"/>
      <c r="L309" s="22">
        <f t="shared" si="742"/>
        <v>0</v>
      </c>
      <c r="M309" s="22"/>
      <c r="N309" s="22"/>
      <c r="O309" s="22">
        <f t="shared" si="743"/>
        <v>0</v>
      </c>
      <c r="P309" s="22"/>
      <c r="Q309" s="22"/>
      <c r="R309" s="22">
        <f t="shared" si="744"/>
        <v>0</v>
      </c>
      <c r="S309" s="22"/>
      <c r="T309" s="22"/>
      <c r="U309" s="14"/>
      <c r="V309" s="5" t="str">
        <f t="shared" si="745"/>
        <v>-</v>
      </c>
    </row>
    <row r="310" spans="1:22" ht="25.15" hidden="1" customHeight="1" x14ac:dyDescent="0.6">
      <c r="A310" s="30" t="s">
        <v>6</v>
      </c>
      <c r="B310" s="22"/>
      <c r="C310" s="22">
        <f t="shared" si="739"/>
        <v>0</v>
      </c>
      <c r="D310" s="22"/>
      <c r="E310" s="22"/>
      <c r="F310" s="22">
        <f t="shared" si="740"/>
        <v>0</v>
      </c>
      <c r="G310" s="22"/>
      <c r="H310" s="22"/>
      <c r="I310" s="22">
        <f t="shared" si="741"/>
        <v>0</v>
      </c>
      <c r="J310" s="22"/>
      <c r="K310" s="22"/>
      <c r="L310" s="22">
        <f t="shared" si="742"/>
        <v>0</v>
      </c>
      <c r="M310" s="22"/>
      <c r="N310" s="22"/>
      <c r="O310" s="22">
        <f t="shared" si="743"/>
        <v>0</v>
      </c>
      <c r="P310" s="22"/>
      <c r="Q310" s="22"/>
      <c r="R310" s="22">
        <f t="shared" si="744"/>
        <v>0</v>
      </c>
      <c r="S310" s="22"/>
      <c r="T310" s="22"/>
      <c r="U310" s="14"/>
      <c r="V310" s="5" t="str">
        <f t="shared" si="745"/>
        <v>-</v>
      </c>
    </row>
    <row r="311" spans="1:22" ht="25.15" hidden="1" customHeight="1" x14ac:dyDescent="0.6">
      <c r="A311" s="28" t="s">
        <v>4</v>
      </c>
      <c r="B311" s="26">
        <f>SUM(B312:B313)</f>
        <v>0</v>
      </c>
      <c r="C311" s="26">
        <f t="shared" si="739"/>
        <v>0</v>
      </c>
      <c r="D311" s="26">
        <f>SUM(D312:D313)</f>
        <v>0</v>
      </c>
      <c r="E311" s="26">
        <f>SUM(E312:E313)</f>
        <v>0</v>
      </c>
      <c r="F311" s="26">
        <f t="shared" si="740"/>
        <v>0</v>
      </c>
      <c r="G311" s="26">
        <f t="shared" ref="G311:H311" si="761">SUM(G312:G313)</f>
        <v>0</v>
      </c>
      <c r="H311" s="26">
        <f t="shared" si="761"/>
        <v>0</v>
      </c>
      <c r="I311" s="26">
        <f t="shared" si="741"/>
        <v>0</v>
      </c>
      <c r="J311" s="26">
        <f t="shared" ref="J311:K311" si="762">SUM(J312:J313)</f>
        <v>0</v>
      </c>
      <c r="K311" s="26">
        <f t="shared" si="762"/>
        <v>0</v>
      </c>
      <c r="L311" s="26">
        <f t="shared" si="742"/>
        <v>0</v>
      </c>
      <c r="M311" s="26">
        <f t="shared" ref="M311:N311" si="763">SUM(M312:M313)</f>
        <v>0</v>
      </c>
      <c r="N311" s="26">
        <f t="shared" si="763"/>
        <v>0</v>
      </c>
      <c r="O311" s="26">
        <f t="shared" si="743"/>
        <v>0</v>
      </c>
      <c r="P311" s="26">
        <f t="shared" ref="P311:Q311" si="764">SUM(P312:P313)</f>
        <v>0</v>
      </c>
      <c r="Q311" s="26">
        <f t="shared" si="764"/>
        <v>0</v>
      </c>
      <c r="R311" s="26">
        <f t="shared" si="744"/>
        <v>0</v>
      </c>
      <c r="S311" s="26">
        <f t="shared" ref="S311:T311" si="765">SUM(S312:S313)</f>
        <v>0</v>
      </c>
      <c r="T311" s="26">
        <f t="shared" si="765"/>
        <v>0</v>
      </c>
      <c r="U311" s="29"/>
      <c r="V311" s="5" t="str">
        <f t="shared" si="745"/>
        <v>-</v>
      </c>
    </row>
    <row r="312" spans="1:22" ht="25.15" hidden="1" customHeight="1" x14ac:dyDescent="0.6">
      <c r="A312" s="30" t="s">
        <v>7</v>
      </c>
      <c r="B312" s="22"/>
      <c r="C312" s="22">
        <f t="shared" si="739"/>
        <v>0</v>
      </c>
      <c r="D312" s="22"/>
      <c r="E312" s="22"/>
      <c r="F312" s="22">
        <f t="shared" si="740"/>
        <v>0</v>
      </c>
      <c r="G312" s="22"/>
      <c r="H312" s="22"/>
      <c r="I312" s="22">
        <f t="shared" si="741"/>
        <v>0</v>
      </c>
      <c r="J312" s="22"/>
      <c r="K312" s="22"/>
      <c r="L312" s="22">
        <f t="shared" si="742"/>
        <v>0</v>
      </c>
      <c r="M312" s="22"/>
      <c r="N312" s="22"/>
      <c r="O312" s="22">
        <f t="shared" si="743"/>
        <v>0</v>
      </c>
      <c r="P312" s="22"/>
      <c r="Q312" s="22"/>
      <c r="R312" s="22">
        <f t="shared" si="744"/>
        <v>0</v>
      </c>
      <c r="S312" s="22"/>
      <c r="T312" s="22"/>
      <c r="U312" s="14"/>
      <c r="V312" s="5" t="str">
        <f t="shared" si="745"/>
        <v>-</v>
      </c>
    </row>
    <row r="313" spans="1:22" ht="25.15" hidden="1" customHeight="1" x14ac:dyDescent="0.6">
      <c r="A313" s="30" t="s">
        <v>8</v>
      </c>
      <c r="B313" s="22"/>
      <c r="C313" s="22">
        <f t="shared" si="739"/>
        <v>0</v>
      </c>
      <c r="D313" s="22"/>
      <c r="E313" s="22"/>
      <c r="F313" s="22">
        <f t="shared" si="740"/>
        <v>0</v>
      </c>
      <c r="G313" s="22"/>
      <c r="H313" s="22"/>
      <c r="I313" s="22">
        <f t="shared" si="741"/>
        <v>0</v>
      </c>
      <c r="J313" s="22"/>
      <c r="K313" s="22"/>
      <c r="L313" s="22">
        <f t="shared" si="742"/>
        <v>0</v>
      </c>
      <c r="M313" s="22"/>
      <c r="N313" s="22"/>
      <c r="O313" s="22">
        <f t="shared" si="743"/>
        <v>0</v>
      </c>
      <c r="P313" s="22"/>
      <c r="Q313" s="22"/>
      <c r="R313" s="22">
        <f t="shared" si="744"/>
        <v>0</v>
      </c>
      <c r="S313" s="22"/>
      <c r="T313" s="22"/>
      <c r="U313" s="14"/>
      <c r="V313" s="5" t="str">
        <f t="shared" si="745"/>
        <v>-</v>
      </c>
    </row>
    <row r="314" spans="1:22" ht="25.15" customHeight="1" x14ac:dyDescent="0.6">
      <c r="A314" s="18" t="s">
        <v>47</v>
      </c>
      <c r="B314" s="23">
        <f>B315+B322</f>
        <v>1680</v>
      </c>
      <c r="C314" s="23">
        <f t="shared" si="739"/>
        <v>0</v>
      </c>
      <c r="D314" s="23">
        <f>D315+D322</f>
        <v>0</v>
      </c>
      <c r="E314" s="23">
        <f>E315+E322</f>
        <v>0</v>
      </c>
      <c r="F314" s="23">
        <f t="shared" si="740"/>
        <v>0</v>
      </c>
      <c r="G314" s="23">
        <f t="shared" ref="G314:H314" si="766">G315+G322</f>
        <v>0</v>
      </c>
      <c r="H314" s="23">
        <f t="shared" si="766"/>
        <v>0</v>
      </c>
      <c r="I314" s="23">
        <f t="shared" si="741"/>
        <v>0</v>
      </c>
      <c r="J314" s="23">
        <f t="shared" ref="J314:K314" si="767">J315+J322</f>
        <v>0</v>
      </c>
      <c r="K314" s="23">
        <f t="shared" si="767"/>
        <v>0</v>
      </c>
      <c r="L314" s="23">
        <f t="shared" si="742"/>
        <v>1680</v>
      </c>
      <c r="M314" s="23">
        <f t="shared" ref="M314:N314" si="768">M315+M322</f>
        <v>1680</v>
      </c>
      <c r="N314" s="23">
        <f t="shared" si="768"/>
        <v>0</v>
      </c>
      <c r="O314" s="23">
        <f t="shared" si="743"/>
        <v>0</v>
      </c>
      <c r="P314" s="23">
        <f t="shared" ref="P314:Q314" si="769">P315+P322</f>
        <v>0</v>
      </c>
      <c r="Q314" s="23">
        <f t="shared" si="769"/>
        <v>0</v>
      </c>
      <c r="R314" s="23">
        <f t="shared" si="744"/>
        <v>0</v>
      </c>
      <c r="S314" s="23">
        <f t="shared" ref="S314:T314" si="770">S315+S322</f>
        <v>0</v>
      </c>
      <c r="T314" s="23">
        <f t="shared" si="770"/>
        <v>0</v>
      </c>
      <c r="U314" s="20"/>
      <c r="V314" s="5" t="str">
        <f t="shared" si="745"/>
        <v>ok</v>
      </c>
    </row>
    <row r="315" spans="1:22" ht="25.15" hidden="1" customHeight="1" x14ac:dyDescent="0.6">
      <c r="A315" s="25" t="s">
        <v>2</v>
      </c>
      <c r="B315" s="26">
        <f>B316+B319</f>
        <v>0</v>
      </c>
      <c r="C315" s="26">
        <f t="shared" si="739"/>
        <v>0</v>
      </c>
      <c r="D315" s="26">
        <f>D316+D319</f>
        <v>0</v>
      </c>
      <c r="E315" s="26">
        <f>E316+E319</f>
        <v>0</v>
      </c>
      <c r="F315" s="26">
        <f t="shared" si="740"/>
        <v>0</v>
      </c>
      <c r="G315" s="26">
        <f t="shared" ref="G315:H315" si="771">G316+G319</f>
        <v>0</v>
      </c>
      <c r="H315" s="26">
        <f t="shared" si="771"/>
        <v>0</v>
      </c>
      <c r="I315" s="26">
        <f t="shared" si="741"/>
        <v>0</v>
      </c>
      <c r="J315" s="26">
        <f t="shared" ref="J315:K315" si="772">J316+J319</f>
        <v>0</v>
      </c>
      <c r="K315" s="26">
        <f t="shared" si="772"/>
        <v>0</v>
      </c>
      <c r="L315" s="26">
        <f t="shared" si="742"/>
        <v>0</v>
      </c>
      <c r="M315" s="26">
        <f t="shared" ref="M315:N315" si="773">M316+M319</f>
        <v>0</v>
      </c>
      <c r="N315" s="26">
        <f t="shared" si="773"/>
        <v>0</v>
      </c>
      <c r="O315" s="26">
        <f t="shared" si="743"/>
        <v>0</v>
      </c>
      <c r="P315" s="26">
        <f t="shared" ref="P315:Q315" si="774">P316+P319</f>
        <v>0</v>
      </c>
      <c r="Q315" s="26">
        <f t="shared" si="774"/>
        <v>0</v>
      </c>
      <c r="R315" s="26">
        <f t="shared" si="744"/>
        <v>0</v>
      </c>
      <c r="S315" s="26">
        <f t="shared" ref="S315:T315" si="775">S316+S319</f>
        <v>0</v>
      </c>
      <c r="T315" s="26">
        <f t="shared" si="775"/>
        <v>0</v>
      </c>
      <c r="U315" s="27"/>
      <c r="V315" s="5" t="str">
        <f t="shared" si="745"/>
        <v>-</v>
      </c>
    </row>
    <row r="316" spans="1:22" ht="25.15" hidden="1" customHeight="1" x14ac:dyDescent="0.6">
      <c r="A316" s="28" t="s">
        <v>3</v>
      </c>
      <c r="B316" s="26">
        <f>SUM(B317:B318)</f>
        <v>0</v>
      </c>
      <c r="C316" s="26">
        <f t="shared" si="739"/>
        <v>0</v>
      </c>
      <c r="D316" s="26">
        <f>SUM(D317:D318)</f>
        <v>0</v>
      </c>
      <c r="E316" s="26">
        <f>SUM(E317:E318)</f>
        <v>0</v>
      </c>
      <c r="F316" s="26">
        <f t="shared" si="740"/>
        <v>0</v>
      </c>
      <c r="G316" s="26">
        <f t="shared" ref="G316:H316" si="776">SUM(G317:G318)</f>
        <v>0</v>
      </c>
      <c r="H316" s="26">
        <f t="shared" si="776"/>
        <v>0</v>
      </c>
      <c r="I316" s="26">
        <f t="shared" si="741"/>
        <v>0</v>
      </c>
      <c r="J316" s="26">
        <f t="shared" ref="J316:K316" si="777">SUM(J317:J318)</f>
        <v>0</v>
      </c>
      <c r="K316" s="26">
        <f t="shared" si="777"/>
        <v>0</v>
      </c>
      <c r="L316" s="26">
        <f t="shared" si="742"/>
        <v>0</v>
      </c>
      <c r="M316" s="26">
        <f t="shared" ref="M316:N316" si="778">SUM(M317:M318)</f>
        <v>0</v>
      </c>
      <c r="N316" s="26">
        <f t="shared" si="778"/>
        <v>0</v>
      </c>
      <c r="O316" s="26">
        <f t="shared" si="743"/>
        <v>0</v>
      </c>
      <c r="P316" s="26">
        <f t="shared" ref="P316:Q316" si="779">SUM(P317:P318)</f>
        <v>0</v>
      </c>
      <c r="Q316" s="26">
        <f t="shared" si="779"/>
        <v>0</v>
      </c>
      <c r="R316" s="26">
        <f t="shared" si="744"/>
        <v>0</v>
      </c>
      <c r="S316" s="26">
        <f t="shared" ref="S316:T316" si="780">SUM(S317:S318)</f>
        <v>0</v>
      </c>
      <c r="T316" s="26">
        <f t="shared" si="780"/>
        <v>0</v>
      </c>
      <c r="U316" s="29"/>
      <c r="V316" s="5" t="str">
        <f t="shared" si="745"/>
        <v>-</v>
      </c>
    </row>
    <row r="317" spans="1:22" ht="25.15" hidden="1" customHeight="1" x14ac:dyDescent="0.6">
      <c r="A317" s="30" t="s">
        <v>5</v>
      </c>
      <c r="B317" s="22"/>
      <c r="C317" s="22">
        <f t="shared" si="739"/>
        <v>0</v>
      </c>
      <c r="D317" s="22"/>
      <c r="E317" s="22"/>
      <c r="F317" s="22">
        <f t="shared" si="740"/>
        <v>0</v>
      </c>
      <c r="G317" s="22"/>
      <c r="H317" s="22"/>
      <c r="I317" s="22">
        <f t="shared" si="741"/>
        <v>0</v>
      </c>
      <c r="J317" s="22"/>
      <c r="K317" s="22"/>
      <c r="L317" s="22">
        <f t="shared" si="742"/>
        <v>0</v>
      </c>
      <c r="M317" s="22"/>
      <c r="N317" s="22"/>
      <c r="O317" s="22">
        <f t="shared" si="743"/>
        <v>0</v>
      </c>
      <c r="P317" s="22"/>
      <c r="Q317" s="22"/>
      <c r="R317" s="22">
        <f t="shared" si="744"/>
        <v>0</v>
      </c>
      <c r="S317" s="22"/>
      <c r="T317" s="22"/>
      <c r="U317" s="14"/>
      <c r="V317" s="5" t="str">
        <f t="shared" si="745"/>
        <v>-</v>
      </c>
    </row>
    <row r="318" spans="1:22" ht="25.5" hidden="1" customHeight="1" x14ac:dyDescent="0.6">
      <c r="A318" s="30" t="s">
        <v>6</v>
      </c>
      <c r="B318" s="22"/>
      <c r="C318" s="22">
        <f t="shared" si="739"/>
        <v>0</v>
      </c>
      <c r="D318" s="22"/>
      <c r="E318" s="22"/>
      <c r="F318" s="22">
        <f t="shared" si="740"/>
        <v>0</v>
      </c>
      <c r="G318" s="22"/>
      <c r="H318" s="22"/>
      <c r="I318" s="22">
        <f t="shared" si="741"/>
        <v>0</v>
      </c>
      <c r="J318" s="22"/>
      <c r="K318" s="22"/>
      <c r="L318" s="22">
        <f t="shared" si="742"/>
        <v>0</v>
      </c>
      <c r="M318" s="22"/>
      <c r="N318" s="22"/>
      <c r="O318" s="22">
        <f t="shared" si="743"/>
        <v>0</v>
      </c>
      <c r="P318" s="22"/>
      <c r="Q318" s="22"/>
      <c r="R318" s="22">
        <f t="shared" si="744"/>
        <v>0</v>
      </c>
      <c r="S318" s="22"/>
      <c r="T318" s="22"/>
      <c r="U318" s="14"/>
      <c r="V318" s="5" t="str">
        <f t="shared" si="745"/>
        <v>-</v>
      </c>
    </row>
    <row r="319" spans="1:22" ht="25.15" hidden="1" customHeight="1" x14ac:dyDescent="0.6">
      <c r="A319" s="28" t="s">
        <v>4</v>
      </c>
      <c r="B319" s="26">
        <f>SUM(B320:B321)</f>
        <v>0</v>
      </c>
      <c r="C319" s="26">
        <f t="shared" si="739"/>
        <v>0</v>
      </c>
      <c r="D319" s="26">
        <f>SUM(D320:D321)</f>
        <v>0</v>
      </c>
      <c r="E319" s="26">
        <f>SUM(E320:E321)</f>
        <v>0</v>
      </c>
      <c r="F319" s="26">
        <f t="shared" si="740"/>
        <v>0</v>
      </c>
      <c r="G319" s="26">
        <f t="shared" ref="G319:H319" si="781">SUM(G320:G321)</f>
        <v>0</v>
      </c>
      <c r="H319" s="26">
        <f t="shared" si="781"/>
        <v>0</v>
      </c>
      <c r="I319" s="26">
        <f t="shared" si="741"/>
        <v>0</v>
      </c>
      <c r="J319" s="26">
        <f t="shared" ref="J319:K319" si="782">SUM(J320:J321)</f>
        <v>0</v>
      </c>
      <c r="K319" s="26">
        <f t="shared" si="782"/>
        <v>0</v>
      </c>
      <c r="L319" s="26">
        <f t="shared" si="742"/>
        <v>0</v>
      </c>
      <c r="M319" s="26">
        <f t="shared" ref="M319:N319" si="783">SUM(M320:M321)</f>
        <v>0</v>
      </c>
      <c r="N319" s="26">
        <f t="shared" si="783"/>
        <v>0</v>
      </c>
      <c r="O319" s="26">
        <f t="shared" si="743"/>
        <v>0</v>
      </c>
      <c r="P319" s="26">
        <f t="shared" ref="P319:Q319" si="784">SUM(P320:P321)</f>
        <v>0</v>
      </c>
      <c r="Q319" s="26">
        <f t="shared" si="784"/>
        <v>0</v>
      </c>
      <c r="R319" s="26">
        <f t="shared" si="744"/>
        <v>0</v>
      </c>
      <c r="S319" s="26">
        <f t="shared" ref="S319:T319" si="785">SUM(S320:S321)</f>
        <v>0</v>
      </c>
      <c r="T319" s="26">
        <f t="shared" si="785"/>
        <v>0</v>
      </c>
      <c r="U319" s="29"/>
      <c r="V319" s="5" t="str">
        <f t="shared" si="745"/>
        <v>-</v>
      </c>
    </row>
    <row r="320" spans="1:22" ht="25.15" hidden="1" customHeight="1" x14ac:dyDescent="0.6">
      <c r="A320" s="30" t="s">
        <v>7</v>
      </c>
      <c r="B320" s="22"/>
      <c r="C320" s="22">
        <f t="shared" si="739"/>
        <v>0</v>
      </c>
      <c r="D320" s="22"/>
      <c r="E320" s="22"/>
      <c r="F320" s="22">
        <f t="shared" si="740"/>
        <v>0</v>
      </c>
      <c r="G320" s="22"/>
      <c r="H320" s="22"/>
      <c r="I320" s="22">
        <f t="shared" si="741"/>
        <v>0</v>
      </c>
      <c r="J320" s="22"/>
      <c r="K320" s="22"/>
      <c r="L320" s="22">
        <f t="shared" si="742"/>
        <v>0</v>
      </c>
      <c r="M320" s="22"/>
      <c r="N320" s="22"/>
      <c r="O320" s="22">
        <f t="shared" si="743"/>
        <v>0</v>
      </c>
      <c r="P320" s="22"/>
      <c r="Q320" s="22"/>
      <c r="R320" s="22">
        <f t="shared" si="744"/>
        <v>0</v>
      </c>
      <c r="S320" s="22"/>
      <c r="T320" s="22"/>
      <c r="U320" s="14"/>
      <c r="V320" s="5" t="str">
        <f t="shared" si="745"/>
        <v>-</v>
      </c>
    </row>
    <row r="321" spans="1:22" ht="25.15" hidden="1" customHeight="1" x14ac:dyDescent="0.6">
      <c r="A321" s="30" t="s">
        <v>8</v>
      </c>
      <c r="B321" s="22"/>
      <c r="C321" s="22">
        <f t="shared" si="739"/>
        <v>0</v>
      </c>
      <c r="D321" s="22"/>
      <c r="E321" s="22"/>
      <c r="F321" s="22">
        <f t="shared" si="740"/>
        <v>0</v>
      </c>
      <c r="G321" s="22"/>
      <c r="H321" s="22"/>
      <c r="I321" s="22">
        <f t="shared" si="741"/>
        <v>0</v>
      </c>
      <c r="J321" s="22"/>
      <c r="K321" s="22"/>
      <c r="L321" s="22">
        <f t="shared" si="742"/>
        <v>0</v>
      </c>
      <c r="M321" s="22"/>
      <c r="N321" s="22"/>
      <c r="O321" s="22">
        <f t="shared" si="743"/>
        <v>0</v>
      </c>
      <c r="P321" s="22"/>
      <c r="Q321" s="22"/>
      <c r="R321" s="22">
        <f t="shared" si="744"/>
        <v>0</v>
      </c>
      <c r="S321" s="22"/>
      <c r="T321" s="22"/>
      <c r="U321" s="14"/>
      <c r="V321" s="5" t="str">
        <f t="shared" si="745"/>
        <v>-</v>
      </c>
    </row>
    <row r="322" spans="1:22" ht="25.15" customHeight="1" x14ac:dyDescent="0.6">
      <c r="A322" s="25" t="s">
        <v>9</v>
      </c>
      <c r="B322" s="26">
        <f>B323+B326</f>
        <v>1680</v>
      </c>
      <c r="C322" s="26">
        <f t="shared" si="739"/>
        <v>0</v>
      </c>
      <c r="D322" s="26">
        <f>D323+D326</f>
        <v>0</v>
      </c>
      <c r="E322" s="26">
        <f>E323+E326</f>
        <v>0</v>
      </c>
      <c r="F322" s="26">
        <f t="shared" si="740"/>
        <v>0</v>
      </c>
      <c r="G322" s="26">
        <f t="shared" ref="G322:H322" si="786">G323+G326</f>
        <v>0</v>
      </c>
      <c r="H322" s="26">
        <f t="shared" si="786"/>
        <v>0</v>
      </c>
      <c r="I322" s="26">
        <f t="shared" si="741"/>
        <v>0</v>
      </c>
      <c r="J322" s="26">
        <f t="shared" ref="J322:K322" si="787">J323+J326</f>
        <v>0</v>
      </c>
      <c r="K322" s="26">
        <f t="shared" si="787"/>
        <v>0</v>
      </c>
      <c r="L322" s="26">
        <f t="shared" si="742"/>
        <v>1680</v>
      </c>
      <c r="M322" s="26">
        <f t="shared" ref="M322:N322" si="788">M323+M326</f>
        <v>1680</v>
      </c>
      <c r="N322" s="26">
        <f t="shared" si="788"/>
        <v>0</v>
      </c>
      <c r="O322" s="26">
        <f t="shared" si="743"/>
        <v>0</v>
      </c>
      <c r="P322" s="26">
        <f t="shared" ref="P322:Q322" si="789">P323+P326</f>
        <v>0</v>
      </c>
      <c r="Q322" s="26">
        <f t="shared" si="789"/>
        <v>0</v>
      </c>
      <c r="R322" s="26">
        <f t="shared" si="744"/>
        <v>0</v>
      </c>
      <c r="S322" s="26">
        <f t="shared" ref="S322:T322" si="790">S323+S326</f>
        <v>0</v>
      </c>
      <c r="T322" s="26">
        <f t="shared" si="790"/>
        <v>0</v>
      </c>
      <c r="U322" s="27"/>
      <c r="V322" s="5" t="str">
        <f t="shared" si="745"/>
        <v>ok</v>
      </c>
    </row>
    <row r="323" spans="1:22" ht="25.15" customHeight="1" x14ac:dyDescent="0.6">
      <c r="A323" s="28" t="s">
        <v>3</v>
      </c>
      <c r="B323" s="26">
        <f>SUM(B324:B325)</f>
        <v>1680</v>
      </c>
      <c r="C323" s="26">
        <f t="shared" si="739"/>
        <v>0</v>
      </c>
      <c r="D323" s="26">
        <f>SUM(D324:D325)</f>
        <v>0</v>
      </c>
      <c r="E323" s="26">
        <f>SUM(E324:E325)</f>
        <v>0</v>
      </c>
      <c r="F323" s="26">
        <f t="shared" si="740"/>
        <v>0</v>
      </c>
      <c r="G323" s="26">
        <f t="shared" ref="G323:H323" si="791">SUM(G324:G325)</f>
        <v>0</v>
      </c>
      <c r="H323" s="26">
        <f t="shared" si="791"/>
        <v>0</v>
      </c>
      <c r="I323" s="26">
        <f t="shared" si="741"/>
        <v>0</v>
      </c>
      <c r="J323" s="26">
        <f t="shared" ref="J323:K323" si="792">SUM(J324:J325)</f>
        <v>0</v>
      </c>
      <c r="K323" s="26">
        <f t="shared" si="792"/>
        <v>0</v>
      </c>
      <c r="L323" s="26">
        <f t="shared" si="742"/>
        <v>1680</v>
      </c>
      <c r="M323" s="26">
        <f t="shared" ref="M323:N323" si="793">SUM(M324:M325)</f>
        <v>1680</v>
      </c>
      <c r="N323" s="26">
        <f t="shared" si="793"/>
        <v>0</v>
      </c>
      <c r="O323" s="26">
        <f t="shared" si="743"/>
        <v>0</v>
      </c>
      <c r="P323" s="26">
        <f t="shared" ref="P323:Q323" si="794">SUM(P324:P325)</f>
        <v>0</v>
      </c>
      <c r="Q323" s="26">
        <f t="shared" si="794"/>
        <v>0</v>
      </c>
      <c r="R323" s="26">
        <f t="shared" si="744"/>
        <v>0</v>
      </c>
      <c r="S323" s="26">
        <f t="shared" ref="S323:T323" si="795">SUM(S324:S325)</f>
        <v>0</v>
      </c>
      <c r="T323" s="26">
        <f t="shared" si="795"/>
        <v>0</v>
      </c>
      <c r="U323" s="29"/>
      <c r="V323" s="5" t="str">
        <f>IF((B323+C323+F323+L323+O323)&lt;&gt;0,"ok","-")</f>
        <v>ok</v>
      </c>
    </row>
    <row r="324" spans="1:22" ht="50.5" x14ac:dyDescent="0.6">
      <c r="A324" s="30" t="s">
        <v>80</v>
      </c>
      <c r="B324" s="22">
        <v>1680</v>
      </c>
      <c r="C324" s="22">
        <f t="shared" si="739"/>
        <v>0</v>
      </c>
      <c r="D324" s="22"/>
      <c r="E324" s="22"/>
      <c r="F324" s="22">
        <f t="shared" si="740"/>
        <v>0</v>
      </c>
      <c r="G324" s="22"/>
      <c r="H324" s="22"/>
      <c r="I324" s="22">
        <f t="shared" si="741"/>
        <v>0</v>
      </c>
      <c r="J324" s="22"/>
      <c r="K324" s="22"/>
      <c r="L324" s="22">
        <f t="shared" si="742"/>
        <v>1680</v>
      </c>
      <c r="M324" s="22">
        <v>1680</v>
      </c>
      <c r="N324" s="22"/>
      <c r="O324" s="22">
        <f t="shared" si="743"/>
        <v>0</v>
      </c>
      <c r="P324" s="22"/>
      <c r="Q324" s="22"/>
      <c r="R324" s="22">
        <f t="shared" si="744"/>
        <v>0</v>
      </c>
      <c r="S324" s="22"/>
      <c r="T324" s="22"/>
      <c r="U324" s="14"/>
      <c r="V324" s="5" t="str">
        <f t="shared" si="745"/>
        <v>ok</v>
      </c>
    </row>
    <row r="325" spans="1:22" ht="25.15" hidden="1" customHeight="1" x14ac:dyDescent="0.6">
      <c r="A325" s="30" t="s">
        <v>6</v>
      </c>
      <c r="B325" s="22"/>
      <c r="C325" s="22">
        <f t="shared" si="739"/>
        <v>0</v>
      </c>
      <c r="D325" s="22"/>
      <c r="E325" s="22"/>
      <c r="F325" s="22">
        <f t="shared" si="740"/>
        <v>0</v>
      </c>
      <c r="G325" s="22"/>
      <c r="H325" s="22"/>
      <c r="I325" s="22">
        <f t="shared" si="741"/>
        <v>0</v>
      </c>
      <c r="J325" s="22"/>
      <c r="K325" s="22"/>
      <c r="L325" s="22">
        <f t="shared" si="742"/>
        <v>0</v>
      </c>
      <c r="M325" s="22"/>
      <c r="N325" s="22"/>
      <c r="O325" s="22">
        <f t="shared" si="743"/>
        <v>0</v>
      </c>
      <c r="P325" s="22"/>
      <c r="Q325" s="22"/>
      <c r="R325" s="22">
        <f t="shared" si="744"/>
        <v>0</v>
      </c>
      <c r="S325" s="22"/>
      <c r="T325" s="22"/>
      <c r="U325" s="14"/>
      <c r="V325" s="5" t="str">
        <f t="shared" si="745"/>
        <v>-</v>
      </c>
    </row>
    <row r="326" spans="1:22" ht="25.15" hidden="1" customHeight="1" x14ac:dyDescent="0.6">
      <c r="A326" s="28" t="s">
        <v>4</v>
      </c>
      <c r="B326" s="26">
        <f>SUM(B327:B328)</f>
        <v>0</v>
      </c>
      <c r="C326" s="26">
        <f t="shared" si="739"/>
        <v>0</v>
      </c>
      <c r="D326" s="26">
        <f>SUM(D327:D328)</f>
        <v>0</v>
      </c>
      <c r="E326" s="26">
        <f>SUM(E327:E328)</f>
        <v>0</v>
      </c>
      <c r="F326" s="26">
        <f t="shared" si="740"/>
        <v>0</v>
      </c>
      <c r="G326" s="26">
        <f t="shared" ref="G326:H326" si="796">SUM(G327:G328)</f>
        <v>0</v>
      </c>
      <c r="H326" s="26">
        <f t="shared" si="796"/>
        <v>0</v>
      </c>
      <c r="I326" s="26">
        <f t="shared" si="741"/>
        <v>0</v>
      </c>
      <c r="J326" s="26">
        <f t="shared" ref="J326:K326" si="797">SUM(J327:J328)</f>
        <v>0</v>
      </c>
      <c r="K326" s="26">
        <f t="shared" si="797"/>
        <v>0</v>
      </c>
      <c r="L326" s="26">
        <f t="shared" si="742"/>
        <v>0</v>
      </c>
      <c r="M326" s="26">
        <f t="shared" ref="M326:N326" si="798">SUM(M327:M328)</f>
        <v>0</v>
      </c>
      <c r="N326" s="26">
        <f t="shared" si="798"/>
        <v>0</v>
      </c>
      <c r="O326" s="26">
        <f t="shared" si="743"/>
        <v>0</v>
      </c>
      <c r="P326" s="26">
        <f t="shared" ref="P326:Q326" si="799">SUM(P327:P328)</f>
        <v>0</v>
      </c>
      <c r="Q326" s="26">
        <f t="shared" si="799"/>
        <v>0</v>
      </c>
      <c r="R326" s="26">
        <f t="shared" si="744"/>
        <v>0</v>
      </c>
      <c r="S326" s="26">
        <f t="shared" ref="S326:T326" si="800">SUM(S327:S328)</f>
        <v>0</v>
      </c>
      <c r="T326" s="26">
        <f t="shared" si="800"/>
        <v>0</v>
      </c>
      <c r="U326" s="29"/>
      <c r="V326" s="5" t="str">
        <f t="shared" si="745"/>
        <v>-</v>
      </c>
    </row>
    <row r="327" spans="1:22" ht="25.15" hidden="1" customHeight="1" x14ac:dyDescent="0.6">
      <c r="A327" s="30" t="s">
        <v>7</v>
      </c>
      <c r="B327" s="22"/>
      <c r="C327" s="22">
        <f t="shared" si="739"/>
        <v>0</v>
      </c>
      <c r="D327" s="22"/>
      <c r="E327" s="22"/>
      <c r="F327" s="22">
        <f t="shared" si="740"/>
        <v>0</v>
      </c>
      <c r="G327" s="22"/>
      <c r="H327" s="22"/>
      <c r="I327" s="22">
        <f t="shared" si="741"/>
        <v>0</v>
      </c>
      <c r="J327" s="22"/>
      <c r="K327" s="22"/>
      <c r="L327" s="22">
        <f t="shared" si="742"/>
        <v>0</v>
      </c>
      <c r="M327" s="22"/>
      <c r="N327" s="22"/>
      <c r="O327" s="22">
        <f t="shared" si="743"/>
        <v>0</v>
      </c>
      <c r="P327" s="22"/>
      <c r="Q327" s="22"/>
      <c r="R327" s="22">
        <f t="shared" si="744"/>
        <v>0</v>
      </c>
      <c r="S327" s="22"/>
      <c r="T327" s="22"/>
      <c r="U327" s="14"/>
      <c r="V327" s="5" t="str">
        <f t="shared" si="745"/>
        <v>-</v>
      </c>
    </row>
    <row r="328" spans="1:22" ht="25.15" hidden="1" customHeight="1" x14ac:dyDescent="0.6">
      <c r="A328" s="30" t="s">
        <v>8</v>
      </c>
      <c r="B328" s="22"/>
      <c r="C328" s="22">
        <f t="shared" si="739"/>
        <v>0</v>
      </c>
      <c r="D328" s="22"/>
      <c r="E328" s="22"/>
      <c r="F328" s="22">
        <f t="shared" si="740"/>
        <v>0</v>
      </c>
      <c r="G328" s="22"/>
      <c r="H328" s="22"/>
      <c r="I328" s="22">
        <f t="shared" si="741"/>
        <v>0</v>
      </c>
      <c r="J328" s="22"/>
      <c r="K328" s="22"/>
      <c r="L328" s="22">
        <f t="shared" si="742"/>
        <v>0</v>
      </c>
      <c r="M328" s="22"/>
      <c r="N328" s="22"/>
      <c r="O328" s="22">
        <f t="shared" si="743"/>
        <v>0</v>
      </c>
      <c r="P328" s="22"/>
      <c r="Q328" s="22"/>
      <c r="R328" s="22">
        <f t="shared" si="744"/>
        <v>0</v>
      </c>
      <c r="S328" s="22"/>
      <c r="T328" s="22"/>
      <c r="U328" s="14"/>
      <c r="V328" s="5" t="str">
        <f t="shared" si="745"/>
        <v>-</v>
      </c>
    </row>
    <row r="329" spans="1:22" ht="25.15" hidden="1" customHeight="1" x14ac:dyDescent="0.6">
      <c r="A329" s="18" t="s">
        <v>48</v>
      </c>
      <c r="B329" s="23">
        <f>B330+B337</f>
        <v>0</v>
      </c>
      <c r="C329" s="23">
        <f t="shared" si="739"/>
        <v>0</v>
      </c>
      <c r="D329" s="23">
        <f>D330+D337</f>
        <v>0</v>
      </c>
      <c r="E329" s="23">
        <f>E330+E337</f>
        <v>0</v>
      </c>
      <c r="F329" s="23">
        <f t="shared" si="740"/>
        <v>0</v>
      </c>
      <c r="G329" s="23">
        <f t="shared" ref="G329:H329" si="801">G330+G337</f>
        <v>0</v>
      </c>
      <c r="H329" s="23">
        <f t="shared" si="801"/>
        <v>0</v>
      </c>
      <c r="I329" s="23">
        <f t="shared" si="741"/>
        <v>0</v>
      </c>
      <c r="J329" s="23">
        <f t="shared" ref="J329:K329" si="802">J330+J337</f>
        <v>0</v>
      </c>
      <c r="K329" s="23">
        <f t="shared" si="802"/>
        <v>0</v>
      </c>
      <c r="L329" s="23">
        <f t="shared" si="742"/>
        <v>0</v>
      </c>
      <c r="M329" s="23">
        <f t="shared" ref="M329:N329" si="803">M330+M337</f>
        <v>0</v>
      </c>
      <c r="N329" s="23">
        <f t="shared" si="803"/>
        <v>0</v>
      </c>
      <c r="O329" s="23">
        <f t="shared" si="743"/>
        <v>0</v>
      </c>
      <c r="P329" s="23">
        <f t="shared" ref="P329:Q329" si="804">P330+P337</f>
        <v>0</v>
      </c>
      <c r="Q329" s="23">
        <f t="shared" si="804"/>
        <v>0</v>
      </c>
      <c r="R329" s="23">
        <f t="shared" si="744"/>
        <v>0</v>
      </c>
      <c r="S329" s="23">
        <f t="shared" ref="S329:T329" si="805">S330+S337</f>
        <v>0</v>
      </c>
      <c r="T329" s="23">
        <f t="shared" si="805"/>
        <v>0</v>
      </c>
      <c r="U329" s="20"/>
      <c r="V329" s="5" t="str">
        <f t="shared" si="745"/>
        <v>-</v>
      </c>
    </row>
    <row r="330" spans="1:22" ht="25.15" hidden="1" customHeight="1" x14ac:dyDescent="0.6">
      <c r="A330" s="25" t="s">
        <v>2</v>
      </c>
      <c r="B330" s="26">
        <f>B331+B334</f>
        <v>0</v>
      </c>
      <c r="C330" s="26">
        <f t="shared" si="739"/>
        <v>0</v>
      </c>
      <c r="D330" s="26">
        <f>D331+D334</f>
        <v>0</v>
      </c>
      <c r="E330" s="26">
        <f>E331+E334</f>
        <v>0</v>
      </c>
      <c r="F330" s="26">
        <f t="shared" si="740"/>
        <v>0</v>
      </c>
      <c r="G330" s="26">
        <f t="shared" ref="G330:H330" si="806">G331+G334</f>
        <v>0</v>
      </c>
      <c r="H330" s="26">
        <f t="shared" si="806"/>
        <v>0</v>
      </c>
      <c r="I330" s="26">
        <f t="shared" si="741"/>
        <v>0</v>
      </c>
      <c r="J330" s="26">
        <f t="shared" ref="J330:K330" si="807">J331+J334</f>
        <v>0</v>
      </c>
      <c r="K330" s="26">
        <f t="shared" si="807"/>
        <v>0</v>
      </c>
      <c r="L330" s="26">
        <f t="shared" si="742"/>
        <v>0</v>
      </c>
      <c r="M330" s="26">
        <f t="shared" ref="M330:N330" si="808">M331+M334</f>
        <v>0</v>
      </c>
      <c r="N330" s="26">
        <f t="shared" si="808"/>
        <v>0</v>
      </c>
      <c r="O330" s="26">
        <f t="shared" si="743"/>
        <v>0</v>
      </c>
      <c r="P330" s="26">
        <f t="shared" ref="P330:Q330" si="809">P331+P334</f>
        <v>0</v>
      </c>
      <c r="Q330" s="26">
        <f t="shared" si="809"/>
        <v>0</v>
      </c>
      <c r="R330" s="26">
        <f t="shared" si="744"/>
        <v>0</v>
      </c>
      <c r="S330" s="26">
        <f t="shared" ref="S330:T330" si="810">S331+S334</f>
        <v>0</v>
      </c>
      <c r="T330" s="26">
        <f t="shared" si="810"/>
        <v>0</v>
      </c>
      <c r="U330" s="27"/>
      <c r="V330" s="5" t="str">
        <f t="shared" si="745"/>
        <v>-</v>
      </c>
    </row>
    <row r="331" spans="1:22" ht="25.15" hidden="1" customHeight="1" x14ac:dyDescent="0.6">
      <c r="A331" s="28" t="s">
        <v>3</v>
      </c>
      <c r="B331" s="26">
        <f>SUM(B332:B333)</f>
        <v>0</v>
      </c>
      <c r="C331" s="26">
        <f t="shared" si="739"/>
        <v>0</v>
      </c>
      <c r="D331" s="26">
        <f>SUM(D332:D333)</f>
        <v>0</v>
      </c>
      <c r="E331" s="26">
        <f>SUM(E332:E333)</f>
        <v>0</v>
      </c>
      <c r="F331" s="26">
        <f t="shared" si="740"/>
        <v>0</v>
      </c>
      <c r="G331" s="26">
        <f t="shared" ref="G331:H331" si="811">SUM(G332:G333)</f>
        <v>0</v>
      </c>
      <c r="H331" s="26">
        <f t="shared" si="811"/>
        <v>0</v>
      </c>
      <c r="I331" s="26">
        <f t="shared" si="741"/>
        <v>0</v>
      </c>
      <c r="J331" s="26">
        <f t="shared" ref="J331:K331" si="812">SUM(J332:J333)</f>
        <v>0</v>
      </c>
      <c r="K331" s="26">
        <f t="shared" si="812"/>
        <v>0</v>
      </c>
      <c r="L331" s="26">
        <f t="shared" si="742"/>
        <v>0</v>
      </c>
      <c r="M331" s="26">
        <f t="shared" ref="M331:N331" si="813">SUM(M332:M333)</f>
        <v>0</v>
      </c>
      <c r="N331" s="26">
        <f t="shared" si="813"/>
        <v>0</v>
      </c>
      <c r="O331" s="26">
        <f t="shared" si="743"/>
        <v>0</v>
      </c>
      <c r="P331" s="26">
        <f t="shared" ref="P331:Q331" si="814">SUM(P332:P333)</f>
        <v>0</v>
      </c>
      <c r="Q331" s="26">
        <f t="shared" si="814"/>
        <v>0</v>
      </c>
      <c r="R331" s="26">
        <f t="shared" si="744"/>
        <v>0</v>
      </c>
      <c r="S331" s="26">
        <f t="shared" ref="S331:T331" si="815">SUM(S332:S333)</f>
        <v>0</v>
      </c>
      <c r="T331" s="26">
        <f t="shared" si="815"/>
        <v>0</v>
      </c>
      <c r="U331" s="29"/>
      <c r="V331" s="5" t="str">
        <f t="shared" si="745"/>
        <v>-</v>
      </c>
    </row>
    <row r="332" spans="1:22" ht="25.15" hidden="1" customHeight="1" x14ac:dyDescent="0.6">
      <c r="A332" s="30" t="s">
        <v>5</v>
      </c>
      <c r="B332" s="22"/>
      <c r="C332" s="22">
        <f t="shared" si="739"/>
        <v>0</v>
      </c>
      <c r="D332" s="22"/>
      <c r="E332" s="22"/>
      <c r="F332" s="22">
        <f t="shared" si="740"/>
        <v>0</v>
      </c>
      <c r="G332" s="22"/>
      <c r="H332" s="22"/>
      <c r="I332" s="22">
        <f t="shared" si="741"/>
        <v>0</v>
      </c>
      <c r="J332" s="22"/>
      <c r="K332" s="22"/>
      <c r="L332" s="22">
        <f t="shared" si="742"/>
        <v>0</v>
      </c>
      <c r="M332" s="22"/>
      <c r="N332" s="22"/>
      <c r="O332" s="22">
        <f t="shared" si="743"/>
        <v>0</v>
      </c>
      <c r="P332" s="22"/>
      <c r="Q332" s="22"/>
      <c r="R332" s="22">
        <f t="shared" si="744"/>
        <v>0</v>
      </c>
      <c r="S332" s="22"/>
      <c r="T332" s="22"/>
      <c r="U332" s="14"/>
      <c r="V332" s="5" t="str">
        <f t="shared" si="745"/>
        <v>-</v>
      </c>
    </row>
    <row r="333" spans="1:22" ht="25.5" hidden="1" customHeight="1" x14ac:dyDescent="0.6">
      <c r="A333" s="30" t="s">
        <v>6</v>
      </c>
      <c r="B333" s="22"/>
      <c r="C333" s="22">
        <f t="shared" si="739"/>
        <v>0</v>
      </c>
      <c r="D333" s="22"/>
      <c r="E333" s="22"/>
      <c r="F333" s="22">
        <f t="shared" si="740"/>
        <v>0</v>
      </c>
      <c r="G333" s="22"/>
      <c r="H333" s="22"/>
      <c r="I333" s="22">
        <f t="shared" si="741"/>
        <v>0</v>
      </c>
      <c r="J333" s="22"/>
      <c r="K333" s="22"/>
      <c r="L333" s="22">
        <f t="shared" si="742"/>
        <v>0</v>
      </c>
      <c r="M333" s="22"/>
      <c r="N333" s="22"/>
      <c r="O333" s="22">
        <f t="shared" si="743"/>
        <v>0</v>
      </c>
      <c r="P333" s="22"/>
      <c r="Q333" s="22"/>
      <c r="R333" s="22">
        <f t="shared" si="744"/>
        <v>0</v>
      </c>
      <c r="S333" s="22"/>
      <c r="T333" s="22"/>
      <c r="U333" s="14"/>
      <c r="V333" s="5" t="str">
        <f t="shared" si="745"/>
        <v>-</v>
      </c>
    </row>
    <row r="334" spans="1:22" ht="25.15" hidden="1" customHeight="1" x14ac:dyDescent="0.6">
      <c r="A334" s="28" t="s">
        <v>4</v>
      </c>
      <c r="B334" s="26">
        <f>SUM(B335:B336)</f>
        <v>0</v>
      </c>
      <c r="C334" s="26">
        <f t="shared" si="739"/>
        <v>0</v>
      </c>
      <c r="D334" s="26">
        <f>SUM(D335:D336)</f>
        <v>0</v>
      </c>
      <c r="E334" s="26">
        <f>SUM(E335:E336)</f>
        <v>0</v>
      </c>
      <c r="F334" s="26">
        <f t="shared" si="740"/>
        <v>0</v>
      </c>
      <c r="G334" s="26">
        <f t="shared" ref="G334:H334" si="816">SUM(G335:G336)</f>
        <v>0</v>
      </c>
      <c r="H334" s="26">
        <f t="shared" si="816"/>
        <v>0</v>
      </c>
      <c r="I334" s="26">
        <f t="shared" si="741"/>
        <v>0</v>
      </c>
      <c r="J334" s="26">
        <f t="shared" ref="J334:K334" si="817">SUM(J335:J336)</f>
        <v>0</v>
      </c>
      <c r="K334" s="26">
        <f t="shared" si="817"/>
        <v>0</v>
      </c>
      <c r="L334" s="26">
        <f t="shared" si="742"/>
        <v>0</v>
      </c>
      <c r="M334" s="26">
        <f t="shared" ref="M334:N334" si="818">SUM(M335:M336)</f>
        <v>0</v>
      </c>
      <c r="N334" s="26">
        <f t="shared" si="818"/>
        <v>0</v>
      </c>
      <c r="O334" s="26">
        <f t="shared" si="743"/>
        <v>0</v>
      </c>
      <c r="P334" s="26">
        <f t="shared" ref="P334:Q334" si="819">SUM(P335:P336)</f>
        <v>0</v>
      </c>
      <c r="Q334" s="26">
        <f t="shared" si="819"/>
        <v>0</v>
      </c>
      <c r="R334" s="26">
        <f t="shared" si="744"/>
        <v>0</v>
      </c>
      <c r="S334" s="26">
        <f t="shared" ref="S334:T334" si="820">SUM(S335:S336)</f>
        <v>0</v>
      </c>
      <c r="T334" s="26">
        <f t="shared" si="820"/>
        <v>0</v>
      </c>
      <c r="U334" s="29"/>
      <c r="V334" s="5" t="str">
        <f t="shared" si="745"/>
        <v>-</v>
      </c>
    </row>
    <row r="335" spans="1:22" ht="25.15" hidden="1" customHeight="1" x14ac:dyDescent="0.6">
      <c r="A335" s="30" t="s">
        <v>7</v>
      </c>
      <c r="B335" s="22"/>
      <c r="C335" s="22">
        <f t="shared" si="739"/>
        <v>0</v>
      </c>
      <c r="D335" s="22"/>
      <c r="E335" s="22"/>
      <c r="F335" s="22">
        <f t="shared" si="740"/>
        <v>0</v>
      </c>
      <c r="G335" s="22"/>
      <c r="H335" s="22"/>
      <c r="I335" s="22">
        <f t="shared" si="741"/>
        <v>0</v>
      </c>
      <c r="J335" s="22"/>
      <c r="K335" s="22"/>
      <c r="L335" s="22">
        <f t="shared" si="742"/>
        <v>0</v>
      </c>
      <c r="M335" s="22"/>
      <c r="N335" s="22"/>
      <c r="O335" s="22">
        <f t="shared" si="743"/>
        <v>0</v>
      </c>
      <c r="P335" s="22"/>
      <c r="Q335" s="22"/>
      <c r="R335" s="22">
        <f t="shared" si="744"/>
        <v>0</v>
      </c>
      <c r="S335" s="22"/>
      <c r="T335" s="22"/>
      <c r="U335" s="14"/>
      <c r="V335" s="5" t="str">
        <f t="shared" si="745"/>
        <v>-</v>
      </c>
    </row>
    <row r="336" spans="1:22" ht="25.15" hidden="1" customHeight="1" x14ac:dyDescent="0.6">
      <c r="A336" s="30" t="s">
        <v>8</v>
      </c>
      <c r="B336" s="22"/>
      <c r="C336" s="22">
        <f t="shared" si="739"/>
        <v>0</v>
      </c>
      <c r="D336" s="22"/>
      <c r="E336" s="22"/>
      <c r="F336" s="22">
        <f t="shared" si="740"/>
        <v>0</v>
      </c>
      <c r="G336" s="22"/>
      <c r="H336" s="22"/>
      <c r="I336" s="22">
        <f t="shared" si="741"/>
        <v>0</v>
      </c>
      <c r="J336" s="22"/>
      <c r="K336" s="22"/>
      <c r="L336" s="22">
        <f t="shared" si="742"/>
        <v>0</v>
      </c>
      <c r="M336" s="22"/>
      <c r="N336" s="22"/>
      <c r="O336" s="22">
        <f t="shared" si="743"/>
        <v>0</v>
      </c>
      <c r="P336" s="22"/>
      <c r="Q336" s="22"/>
      <c r="R336" s="22">
        <f t="shared" si="744"/>
        <v>0</v>
      </c>
      <c r="S336" s="22"/>
      <c r="T336" s="22"/>
      <c r="U336" s="14"/>
      <c r="V336" s="5" t="str">
        <f t="shared" si="745"/>
        <v>-</v>
      </c>
    </row>
    <row r="337" spans="1:22" ht="25.15" hidden="1" customHeight="1" x14ac:dyDescent="0.6">
      <c r="A337" s="25" t="s">
        <v>9</v>
      </c>
      <c r="B337" s="26">
        <f>B338+B341</f>
        <v>0</v>
      </c>
      <c r="C337" s="26">
        <f t="shared" si="739"/>
        <v>0</v>
      </c>
      <c r="D337" s="26">
        <f>D338+D341</f>
        <v>0</v>
      </c>
      <c r="E337" s="26">
        <f>E338+E341</f>
        <v>0</v>
      </c>
      <c r="F337" s="26">
        <f t="shared" si="740"/>
        <v>0</v>
      </c>
      <c r="G337" s="26">
        <f t="shared" ref="G337:H337" si="821">G338+G341</f>
        <v>0</v>
      </c>
      <c r="H337" s="26">
        <f t="shared" si="821"/>
        <v>0</v>
      </c>
      <c r="I337" s="26">
        <f t="shared" si="741"/>
        <v>0</v>
      </c>
      <c r="J337" s="26">
        <f t="shared" ref="J337:K337" si="822">J338+J341</f>
        <v>0</v>
      </c>
      <c r="K337" s="26">
        <f t="shared" si="822"/>
        <v>0</v>
      </c>
      <c r="L337" s="26">
        <f t="shared" si="742"/>
        <v>0</v>
      </c>
      <c r="M337" s="26">
        <f t="shared" ref="M337:N337" si="823">M338+M341</f>
        <v>0</v>
      </c>
      <c r="N337" s="26">
        <f t="shared" si="823"/>
        <v>0</v>
      </c>
      <c r="O337" s="26">
        <f t="shared" si="743"/>
        <v>0</v>
      </c>
      <c r="P337" s="26">
        <f t="shared" ref="P337:Q337" si="824">P338+P341</f>
        <v>0</v>
      </c>
      <c r="Q337" s="26">
        <f t="shared" si="824"/>
        <v>0</v>
      </c>
      <c r="R337" s="26">
        <f t="shared" si="744"/>
        <v>0</v>
      </c>
      <c r="S337" s="26">
        <f t="shared" ref="S337:T337" si="825">S338+S341</f>
        <v>0</v>
      </c>
      <c r="T337" s="26">
        <f t="shared" si="825"/>
        <v>0</v>
      </c>
      <c r="U337" s="27"/>
      <c r="V337" s="5" t="str">
        <f t="shared" si="745"/>
        <v>-</v>
      </c>
    </row>
    <row r="338" spans="1:22" ht="25.15" hidden="1" customHeight="1" x14ac:dyDescent="0.6">
      <c r="A338" s="28" t="s">
        <v>3</v>
      </c>
      <c r="B338" s="26">
        <f>SUM(B339:B340)</f>
        <v>0</v>
      </c>
      <c r="C338" s="26">
        <f t="shared" si="739"/>
        <v>0</v>
      </c>
      <c r="D338" s="26">
        <f>SUM(D339:D340)</f>
        <v>0</v>
      </c>
      <c r="E338" s="26">
        <f>SUM(E339:E340)</f>
        <v>0</v>
      </c>
      <c r="F338" s="26">
        <f t="shared" si="740"/>
        <v>0</v>
      </c>
      <c r="G338" s="26">
        <f t="shared" ref="G338:H338" si="826">SUM(G339:G340)</f>
        <v>0</v>
      </c>
      <c r="H338" s="26">
        <f t="shared" si="826"/>
        <v>0</v>
      </c>
      <c r="I338" s="26">
        <f t="shared" si="741"/>
        <v>0</v>
      </c>
      <c r="J338" s="26">
        <f t="shared" ref="J338:K338" si="827">SUM(J339:J340)</f>
        <v>0</v>
      </c>
      <c r="K338" s="26">
        <f t="shared" si="827"/>
        <v>0</v>
      </c>
      <c r="L338" s="26">
        <f t="shared" si="742"/>
        <v>0</v>
      </c>
      <c r="M338" s="26">
        <f t="shared" ref="M338:N338" si="828">SUM(M339:M340)</f>
        <v>0</v>
      </c>
      <c r="N338" s="26">
        <f t="shared" si="828"/>
        <v>0</v>
      </c>
      <c r="O338" s="26">
        <f t="shared" si="743"/>
        <v>0</v>
      </c>
      <c r="P338" s="26">
        <f t="shared" ref="P338:Q338" si="829">SUM(P339:P340)</f>
        <v>0</v>
      </c>
      <c r="Q338" s="26">
        <f t="shared" si="829"/>
        <v>0</v>
      </c>
      <c r="R338" s="26">
        <f t="shared" si="744"/>
        <v>0</v>
      </c>
      <c r="S338" s="26">
        <f t="shared" ref="S338:T338" si="830">SUM(S339:S340)</f>
        <v>0</v>
      </c>
      <c r="T338" s="26">
        <f t="shared" si="830"/>
        <v>0</v>
      </c>
      <c r="U338" s="29"/>
      <c r="V338" s="5" t="str">
        <f t="shared" si="745"/>
        <v>-</v>
      </c>
    </row>
    <row r="339" spans="1:22" ht="25.15" hidden="1" customHeight="1" x14ac:dyDescent="0.6">
      <c r="A339" s="30" t="s">
        <v>5</v>
      </c>
      <c r="B339" s="22"/>
      <c r="C339" s="22">
        <f t="shared" si="739"/>
        <v>0</v>
      </c>
      <c r="D339" s="22"/>
      <c r="E339" s="22"/>
      <c r="F339" s="22">
        <f t="shared" si="740"/>
        <v>0</v>
      </c>
      <c r="G339" s="22"/>
      <c r="H339" s="22"/>
      <c r="I339" s="22">
        <f t="shared" si="741"/>
        <v>0</v>
      </c>
      <c r="J339" s="22"/>
      <c r="K339" s="22"/>
      <c r="L339" s="22">
        <f t="shared" si="742"/>
        <v>0</v>
      </c>
      <c r="M339" s="22"/>
      <c r="N339" s="22"/>
      <c r="O339" s="22">
        <f t="shared" si="743"/>
        <v>0</v>
      </c>
      <c r="P339" s="22"/>
      <c r="Q339" s="22"/>
      <c r="R339" s="22">
        <f t="shared" si="744"/>
        <v>0</v>
      </c>
      <c r="S339" s="22"/>
      <c r="T339" s="22"/>
      <c r="U339" s="14"/>
      <c r="V339" s="5" t="str">
        <f t="shared" si="745"/>
        <v>-</v>
      </c>
    </row>
    <row r="340" spans="1:22" ht="25.15" hidden="1" customHeight="1" x14ac:dyDescent="0.6">
      <c r="A340" s="30" t="s">
        <v>6</v>
      </c>
      <c r="B340" s="22"/>
      <c r="C340" s="22">
        <f t="shared" si="739"/>
        <v>0</v>
      </c>
      <c r="D340" s="22"/>
      <c r="E340" s="22"/>
      <c r="F340" s="22">
        <f t="shared" si="740"/>
        <v>0</v>
      </c>
      <c r="G340" s="22"/>
      <c r="H340" s="22"/>
      <c r="I340" s="22">
        <f t="shared" si="741"/>
        <v>0</v>
      </c>
      <c r="J340" s="22"/>
      <c r="K340" s="22"/>
      <c r="L340" s="22">
        <f t="shared" si="742"/>
        <v>0</v>
      </c>
      <c r="M340" s="22"/>
      <c r="N340" s="22"/>
      <c r="O340" s="22">
        <f t="shared" si="743"/>
        <v>0</v>
      </c>
      <c r="P340" s="22"/>
      <c r="Q340" s="22"/>
      <c r="R340" s="22">
        <f t="shared" si="744"/>
        <v>0</v>
      </c>
      <c r="S340" s="22"/>
      <c r="T340" s="22"/>
      <c r="U340" s="14"/>
      <c r="V340" s="5" t="str">
        <f t="shared" si="745"/>
        <v>-</v>
      </c>
    </row>
    <row r="341" spans="1:22" ht="25.15" hidden="1" customHeight="1" x14ac:dyDescent="0.6">
      <c r="A341" s="28" t="s">
        <v>4</v>
      </c>
      <c r="B341" s="26">
        <f>SUM(B342:B343)</f>
        <v>0</v>
      </c>
      <c r="C341" s="26">
        <f t="shared" si="739"/>
        <v>0</v>
      </c>
      <c r="D341" s="26">
        <f>SUM(D342:D343)</f>
        <v>0</v>
      </c>
      <c r="E341" s="26">
        <f>SUM(E342:E343)</f>
        <v>0</v>
      </c>
      <c r="F341" s="26">
        <f t="shared" si="740"/>
        <v>0</v>
      </c>
      <c r="G341" s="26">
        <f t="shared" ref="G341:H341" si="831">SUM(G342:G343)</f>
        <v>0</v>
      </c>
      <c r="H341" s="26">
        <f t="shared" si="831"/>
        <v>0</v>
      </c>
      <c r="I341" s="26">
        <f t="shared" si="741"/>
        <v>0</v>
      </c>
      <c r="J341" s="26">
        <f t="shared" ref="J341:K341" si="832">SUM(J342:J343)</f>
        <v>0</v>
      </c>
      <c r="K341" s="26">
        <f t="shared" si="832"/>
        <v>0</v>
      </c>
      <c r="L341" s="26">
        <f t="shared" si="742"/>
        <v>0</v>
      </c>
      <c r="M341" s="26">
        <f t="shared" ref="M341:N341" si="833">SUM(M342:M343)</f>
        <v>0</v>
      </c>
      <c r="N341" s="26">
        <f t="shared" si="833"/>
        <v>0</v>
      </c>
      <c r="O341" s="26">
        <f t="shared" si="743"/>
        <v>0</v>
      </c>
      <c r="P341" s="26">
        <f t="shared" ref="P341:Q341" si="834">SUM(P342:P343)</f>
        <v>0</v>
      </c>
      <c r="Q341" s="26">
        <f t="shared" si="834"/>
        <v>0</v>
      </c>
      <c r="R341" s="26">
        <f t="shared" si="744"/>
        <v>0</v>
      </c>
      <c r="S341" s="26">
        <f t="shared" ref="S341:T341" si="835">SUM(S342:S343)</f>
        <v>0</v>
      </c>
      <c r="T341" s="26">
        <f t="shared" si="835"/>
        <v>0</v>
      </c>
      <c r="U341" s="29"/>
      <c r="V341" s="5" t="str">
        <f t="shared" si="745"/>
        <v>-</v>
      </c>
    </row>
    <row r="342" spans="1:22" ht="25.15" hidden="1" customHeight="1" x14ac:dyDescent="0.6">
      <c r="A342" s="30" t="s">
        <v>7</v>
      </c>
      <c r="B342" s="22"/>
      <c r="C342" s="22">
        <f t="shared" si="739"/>
        <v>0</v>
      </c>
      <c r="D342" s="22"/>
      <c r="E342" s="22"/>
      <c r="F342" s="22">
        <f t="shared" si="740"/>
        <v>0</v>
      </c>
      <c r="G342" s="22"/>
      <c r="H342" s="22"/>
      <c r="I342" s="22">
        <f t="shared" si="741"/>
        <v>0</v>
      </c>
      <c r="J342" s="22"/>
      <c r="K342" s="22"/>
      <c r="L342" s="22">
        <f t="shared" si="742"/>
        <v>0</v>
      </c>
      <c r="M342" s="22"/>
      <c r="N342" s="22"/>
      <c r="O342" s="22">
        <f t="shared" si="743"/>
        <v>0</v>
      </c>
      <c r="P342" s="22"/>
      <c r="Q342" s="22"/>
      <c r="R342" s="22">
        <f t="shared" si="744"/>
        <v>0</v>
      </c>
      <c r="S342" s="22"/>
      <c r="T342" s="22"/>
      <c r="U342" s="14"/>
      <c r="V342" s="5" t="str">
        <f t="shared" si="745"/>
        <v>-</v>
      </c>
    </row>
    <row r="343" spans="1:22" ht="25.15" hidden="1" customHeight="1" x14ac:dyDescent="0.6">
      <c r="A343" s="30" t="s">
        <v>8</v>
      </c>
      <c r="B343" s="22"/>
      <c r="C343" s="22">
        <f t="shared" si="739"/>
        <v>0</v>
      </c>
      <c r="D343" s="22"/>
      <c r="E343" s="22"/>
      <c r="F343" s="22">
        <f t="shared" si="740"/>
        <v>0</v>
      </c>
      <c r="G343" s="22"/>
      <c r="H343" s="22"/>
      <c r="I343" s="22">
        <f t="shared" si="741"/>
        <v>0</v>
      </c>
      <c r="J343" s="22"/>
      <c r="K343" s="22"/>
      <c r="L343" s="22">
        <f t="shared" si="742"/>
        <v>0</v>
      </c>
      <c r="M343" s="22"/>
      <c r="N343" s="22"/>
      <c r="O343" s="22">
        <f t="shared" si="743"/>
        <v>0</v>
      </c>
      <c r="P343" s="22"/>
      <c r="Q343" s="22"/>
      <c r="R343" s="22">
        <f t="shared" si="744"/>
        <v>0</v>
      </c>
      <c r="S343" s="22"/>
      <c r="T343" s="22"/>
      <c r="U343" s="14"/>
      <c r="V343" s="5" t="str">
        <f t="shared" si="745"/>
        <v>-</v>
      </c>
    </row>
    <row r="344" spans="1:22" ht="19.7" customHeight="1" x14ac:dyDescent="0.6"/>
  </sheetData>
  <autoFilter ref="A9:Y343" xr:uid="{00000000-0009-0000-0000-000001000000}">
    <filterColumn colId="21">
      <filters>
        <filter val="ok"/>
      </filters>
    </filterColumn>
  </autoFilter>
  <mergeCells count="12">
    <mergeCell ref="U7:U9"/>
    <mergeCell ref="C8:E8"/>
    <mergeCell ref="F8:H8"/>
    <mergeCell ref="I8:K8"/>
    <mergeCell ref="L8:N8"/>
    <mergeCell ref="O8:Q8"/>
    <mergeCell ref="R8:T8"/>
    <mergeCell ref="A7:A9"/>
    <mergeCell ref="B7:B9"/>
    <mergeCell ref="C7:K7"/>
    <mergeCell ref="L7:Q7"/>
    <mergeCell ref="R7:T7"/>
  </mergeCells>
  <printOptions horizontalCentered="1"/>
  <pageMargins left="0.19685039370078741" right="0.19685039370078741" top="0.35433070866141736" bottom="0.31496062992125984" header="0.31496062992125984" footer="0.31496062992125984"/>
  <pageSetup paperSize="9" scale="57" fitToHeight="0" pageOrder="overThenDown" orientation="landscape" r:id="rId1"/>
  <headerFooter>
    <oddFooter>&amp;C&amp;"Khmer MEF1,Regular"&amp;7ទំព័រ&amp;"Arial,Regular"&amp;10 &amp;"Limon S1,Normal"&amp;14&amp;P&amp;"Arial,Regular"&amp;10 &amp;"Khmer MEF1,Regular"&amp;7នៃ&amp;"Arial,Regular"&amp;10 &amp;"Limon S1,Normal"&amp;14&amp;N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FF00"/>
  </sheetPr>
  <dimension ref="B1:S114"/>
  <sheetViews>
    <sheetView showZeros="0" topLeftCell="A2" zoomScale="90" zoomScaleNormal="90" workbookViewId="0">
      <selection activeCell="O26" sqref="O26"/>
    </sheetView>
  </sheetViews>
  <sheetFormatPr defaultRowHeight="14.75" x14ac:dyDescent="0.75"/>
  <cols>
    <col min="1" max="1" width="2.7265625" customWidth="1"/>
    <col min="2" max="2" width="30.86328125" customWidth="1"/>
    <col min="3" max="4" width="9.7265625" customWidth="1"/>
    <col min="5" max="8" width="10.7265625" customWidth="1"/>
    <col min="9" max="9" width="11.86328125" customWidth="1"/>
    <col min="10" max="10" width="13.1328125" customWidth="1"/>
    <col min="11" max="13" width="10.7265625" customWidth="1"/>
    <col min="14" max="14" width="11.86328125" customWidth="1"/>
    <col min="15" max="17" width="10.7265625" customWidth="1"/>
    <col min="18" max="18" width="11.86328125" customWidth="1"/>
  </cols>
  <sheetData>
    <row r="1" spans="2:19" ht="45.75" customHeight="1" x14ac:dyDescent="0.75"/>
    <row r="2" spans="2:19" ht="27.5" x14ac:dyDescent="0.75">
      <c r="B2" s="42"/>
    </row>
    <row r="3" spans="2:19" ht="27.5" x14ac:dyDescent="0.75">
      <c r="B3" s="42"/>
    </row>
    <row r="4" spans="2:19" ht="19.5" hidden="1" customHeight="1" x14ac:dyDescent="0.75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</row>
    <row r="5" spans="2:19" ht="30.25" x14ac:dyDescent="0.75">
      <c r="B5" s="298" t="s">
        <v>240</v>
      </c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</row>
    <row r="6" spans="2:19" ht="23.25" thickBot="1" x14ac:dyDescent="2.2000000000000002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R6" s="48" t="s">
        <v>82</v>
      </c>
    </row>
    <row r="7" spans="2:19" ht="30" customHeight="1" thickTop="1" x14ac:dyDescent="0.75">
      <c r="B7" s="299" t="s">
        <v>0</v>
      </c>
      <c r="C7" s="301" t="s">
        <v>84</v>
      </c>
      <c r="D7" s="303" t="s">
        <v>184</v>
      </c>
      <c r="E7" s="305" t="s">
        <v>160</v>
      </c>
      <c r="F7" s="301" t="s">
        <v>87</v>
      </c>
      <c r="G7" s="301"/>
      <c r="H7" s="301"/>
      <c r="I7" s="301"/>
      <c r="J7" s="301" t="s">
        <v>185</v>
      </c>
      <c r="K7" s="301"/>
      <c r="L7" s="301"/>
      <c r="M7" s="301"/>
      <c r="N7" s="301"/>
      <c r="O7" s="301" t="s">
        <v>89</v>
      </c>
      <c r="P7" s="301"/>
      <c r="Q7" s="301"/>
      <c r="R7" s="307"/>
    </row>
    <row r="8" spans="2:19" ht="43.5" customHeight="1" x14ac:dyDescent="0.75">
      <c r="B8" s="300"/>
      <c r="C8" s="302"/>
      <c r="D8" s="304"/>
      <c r="E8" s="306"/>
      <c r="F8" s="49">
        <v>2019</v>
      </c>
      <c r="G8" s="49">
        <v>2020</v>
      </c>
      <c r="H8" s="49">
        <v>2021</v>
      </c>
      <c r="I8" s="119" t="s">
        <v>209</v>
      </c>
      <c r="J8" s="50" t="s">
        <v>90</v>
      </c>
      <c r="K8" s="49">
        <v>2019</v>
      </c>
      <c r="L8" s="49">
        <v>2020</v>
      </c>
      <c r="M8" s="49">
        <v>2021</v>
      </c>
      <c r="N8" s="119" t="s">
        <v>209</v>
      </c>
      <c r="O8" s="49">
        <v>2019</v>
      </c>
      <c r="P8" s="49">
        <v>2020</v>
      </c>
      <c r="Q8" s="49">
        <v>2021</v>
      </c>
      <c r="R8" s="120" t="s">
        <v>209</v>
      </c>
    </row>
    <row r="9" spans="2:19" ht="15.65" customHeight="1" thickBot="1" x14ac:dyDescent="0.9">
      <c r="B9" s="51">
        <v>1</v>
      </c>
      <c r="C9" s="52">
        <v>2</v>
      </c>
      <c r="D9" s="55">
        <v>3</v>
      </c>
      <c r="E9" s="55">
        <v>4</v>
      </c>
      <c r="F9" s="52">
        <v>5</v>
      </c>
      <c r="G9" s="52">
        <v>6</v>
      </c>
      <c r="H9" s="52">
        <v>7</v>
      </c>
      <c r="I9" s="55" t="s">
        <v>186</v>
      </c>
      <c r="J9" s="55">
        <v>9</v>
      </c>
      <c r="K9" s="52">
        <v>10</v>
      </c>
      <c r="L9" s="52">
        <v>11</v>
      </c>
      <c r="M9" s="52">
        <v>12</v>
      </c>
      <c r="N9" s="55" t="s">
        <v>187</v>
      </c>
      <c r="O9" s="52" t="s">
        <v>188</v>
      </c>
      <c r="P9" s="52" t="s">
        <v>189</v>
      </c>
      <c r="Q9" s="52" t="s">
        <v>190</v>
      </c>
      <c r="R9" s="56" t="s">
        <v>191</v>
      </c>
    </row>
    <row r="10" spans="2:19" s="152" customFormat="1" ht="18.75" customHeight="1" thickTop="1" x14ac:dyDescent="0.75">
      <c r="B10" s="328" t="s">
        <v>162</v>
      </c>
      <c r="C10" s="331"/>
      <c r="D10" s="334">
        <f>D46</f>
        <v>29117</v>
      </c>
      <c r="E10" s="337">
        <f>E13</f>
        <v>17487.8</v>
      </c>
      <c r="F10" s="149">
        <f>F11+F12</f>
        <v>31758.3</v>
      </c>
      <c r="G10" s="149">
        <f>G11+G12</f>
        <v>9924.5</v>
      </c>
      <c r="H10" s="149">
        <f>H11+H12</f>
        <v>4922</v>
      </c>
      <c r="I10" s="149">
        <f>SUM(F10:H10)</f>
        <v>46604.800000000003</v>
      </c>
      <c r="J10" s="150" t="s">
        <v>10</v>
      </c>
      <c r="K10" s="149">
        <f>K11+K12</f>
        <v>3050</v>
      </c>
      <c r="L10" s="149">
        <f>L11+L12</f>
        <v>3050</v>
      </c>
      <c r="M10" s="149">
        <f>M11+M12</f>
        <v>0</v>
      </c>
      <c r="N10" s="149">
        <f>SUM(K10:M10)</f>
        <v>6100</v>
      </c>
      <c r="O10" s="149">
        <f>O11+O12</f>
        <v>28708.3</v>
      </c>
      <c r="P10" s="149">
        <f>P11+P12</f>
        <v>6874.5</v>
      </c>
      <c r="Q10" s="149">
        <f>Q11+Q12</f>
        <v>4922</v>
      </c>
      <c r="R10" s="151">
        <f>SUM(O10:Q10)</f>
        <v>40504.800000000003</v>
      </c>
      <c r="S10" s="152" t="str">
        <f>IF(SUM(F10:I10,K10:R10)&lt;&gt;0, "OK", "-")</f>
        <v>OK</v>
      </c>
    </row>
    <row r="11" spans="2:19" s="152" customFormat="1" ht="18.75" customHeight="1" x14ac:dyDescent="0.75">
      <c r="B11" s="329"/>
      <c r="C11" s="332"/>
      <c r="D11" s="335"/>
      <c r="E11" s="338"/>
      <c r="F11" s="153">
        <f>F14+F47</f>
        <v>30258.3</v>
      </c>
      <c r="G11" s="153">
        <f>G14+G47</f>
        <v>8424.5</v>
      </c>
      <c r="H11" s="153">
        <f t="shared" ref="H11:H12" si="0">H14+H47</f>
        <v>3922</v>
      </c>
      <c r="I11" s="153">
        <f>SUM(F11:H11)</f>
        <v>42604.800000000003</v>
      </c>
      <c r="J11" s="154" t="s">
        <v>192</v>
      </c>
      <c r="K11" s="153">
        <f>K14+K47</f>
        <v>3050</v>
      </c>
      <c r="L11" s="153">
        <f>L14+L47</f>
        <v>3050</v>
      </c>
      <c r="M11" s="153">
        <f t="shared" ref="M11" si="1">M14+M47</f>
        <v>0</v>
      </c>
      <c r="N11" s="153">
        <f t="shared" ref="N11:N49" si="2">SUM(K11:M11)</f>
        <v>6100</v>
      </c>
      <c r="O11" s="153">
        <f>O14+O47</f>
        <v>27208.3</v>
      </c>
      <c r="P11" s="153">
        <f>P14+P47</f>
        <v>5374.5</v>
      </c>
      <c r="Q11" s="153">
        <f>Q14+Q47</f>
        <v>3922</v>
      </c>
      <c r="R11" s="155">
        <f>SUM(O11:Q11)</f>
        <v>36504.800000000003</v>
      </c>
      <c r="S11" s="152" t="str">
        <f t="shared" ref="S11:S74" si="3">IF(SUM(F11:I11,K11:R11)&lt;&gt;0, "OK", "-")</f>
        <v>OK</v>
      </c>
    </row>
    <row r="12" spans="2:19" s="152" customFormat="1" ht="18.75" customHeight="1" x14ac:dyDescent="0.75">
      <c r="B12" s="330"/>
      <c r="C12" s="333"/>
      <c r="D12" s="336"/>
      <c r="E12" s="339"/>
      <c r="F12" s="153">
        <f>F15+F48</f>
        <v>1500</v>
      </c>
      <c r="G12" s="153">
        <f>G15+G48</f>
        <v>1500</v>
      </c>
      <c r="H12" s="153">
        <f t="shared" si="0"/>
        <v>1000</v>
      </c>
      <c r="I12" s="153">
        <f t="shared" ref="I12:I39" si="4">SUM(F12:H12)</f>
        <v>4000</v>
      </c>
      <c r="J12" s="154" t="s">
        <v>193</v>
      </c>
      <c r="K12" s="153">
        <f>K15+K48</f>
        <v>0</v>
      </c>
      <c r="L12" s="153">
        <f t="shared" ref="L12:M12" si="5">L15+L48</f>
        <v>0</v>
      </c>
      <c r="M12" s="153">
        <f t="shared" si="5"/>
        <v>0</v>
      </c>
      <c r="N12" s="153">
        <f t="shared" si="2"/>
        <v>0</v>
      </c>
      <c r="O12" s="153">
        <f>O15+O48</f>
        <v>1500</v>
      </c>
      <c r="P12" s="153">
        <f t="shared" ref="P12" si="6">P15+P48</f>
        <v>1500</v>
      </c>
      <c r="Q12" s="153">
        <f>Q15+Q48</f>
        <v>1000</v>
      </c>
      <c r="R12" s="155">
        <f>SUM(O12:Q12)</f>
        <v>4000</v>
      </c>
      <c r="S12" s="152" t="str">
        <f t="shared" si="3"/>
        <v>OK</v>
      </c>
    </row>
    <row r="13" spans="2:19" ht="18.75" customHeight="1" x14ac:dyDescent="0.75">
      <c r="B13" s="340" t="s">
        <v>163</v>
      </c>
      <c r="C13" s="342"/>
      <c r="D13" s="344">
        <f>SUM(D16+D37)</f>
        <v>0</v>
      </c>
      <c r="E13" s="345">
        <f>SUM(E16+E37)</f>
        <v>17487.8</v>
      </c>
      <c r="F13" s="121">
        <f>F14+F15</f>
        <v>11237.8</v>
      </c>
      <c r="G13" s="121">
        <f>G14+G15</f>
        <v>4900</v>
      </c>
      <c r="H13" s="121">
        <f>H14+H15</f>
        <v>1350</v>
      </c>
      <c r="I13" s="121">
        <f>SUM(F13:H13)</f>
        <v>17487.8</v>
      </c>
      <c r="J13" s="122" t="s">
        <v>10</v>
      </c>
      <c r="K13" s="121">
        <f>K14+K15</f>
        <v>3050</v>
      </c>
      <c r="L13" s="121">
        <f>L14+L15</f>
        <v>3050</v>
      </c>
      <c r="M13" s="121">
        <f>M14+M15</f>
        <v>0</v>
      </c>
      <c r="N13" s="121">
        <f t="shared" si="2"/>
        <v>6100</v>
      </c>
      <c r="O13" s="121">
        <f>O14+O15</f>
        <v>8187.7999999999993</v>
      </c>
      <c r="P13" s="121">
        <f>P14+P15</f>
        <v>1850</v>
      </c>
      <c r="Q13" s="121">
        <f>Q14+Q15</f>
        <v>1350</v>
      </c>
      <c r="R13" s="123">
        <f t="shared" ref="R13:R43" si="7">SUM(O13:Q13)</f>
        <v>11387.8</v>
      </c>
      <c r="S13" t="str">
        <f t="shared" si="3"/>
        <v>OK</v>
      </c>
    </row>
    <row r="14" spans="2:19" ht="18.75" customHeight="1" x14ac:dyDescent="0.75">
      <c r="B14" s="340"/>
      <c r="C14" s="342"/>
      <c r="D14" s="344"/>
      <c r="E14" s="346"/>
      <c r="F14" s="121">
        <f t="shared" ref="F14:H15" si="8">F17+F38</f>
        <v>9737.7999999999993</v>
      </c>
      <c r="G14" s="121">
        <f t="shared" si="8"/>
        <v>3400</v>
      </c>
      <c r="H14" s="121">
        <f t="shared" si="8"/>
        <v>350</v>
      </c>
      <c r="I14" s="121">
        <f>SUM(F14:H14)</f>
        <v>13487.8</v>
      </c>
      <c r="J14" s="122" t="s">
        <v>192</v>
      </c>
      <c r="K14" s="121">
        <f t="shared" ref="K14:M15" si="9">K17+K38</f>
        <v>3050</v>
      </c>
      <c r="L14" s="121">
        <f t="shared" si="9"/>
        <v>3050</v>
      </c>
      <c r="M14" s="121">
        <f t="shared" si="9"/>
        <v>0</v>
      </c>
      <c r="N14" s="121">
        <f t="shared" si="2"/>
        <v>6100</v>
      </c>
      <c r="O14" s="121">
        <f>F14-K14</f>
        <v>6687.7999999999993</v>
      </c>
      <c r="P14" s="121">
        <f t="shared" ref="P14:Q15" si="10">G14-L14</f>
        <v>350</v>
      </c>
      <c r="Q14" s="121">
        <f>H14-M14</f>
        <v>350</v>
      </c>
      <c r="R14" s="123">
        <f t="shared" si="7"/>
        <v>7387.7999999999993</v>
      </c>
      <c r="S14" t="str">
        <f t="shared" si="3"/>
        <v>OK</v>
      </c>
    </row>
    <row r="15" spans="2:19" ht="18.75" customHeight="1" x14ac:dyDescent="0.75">
      <c r="B15" s="341"/>
      <c r="C15" s="343"/>
      <c r="D15" s="344"/>
      <c r="E15" s="347"/>
      <c r="F15" s="121">
        <f t="shared" si="8"/>
        <v>1500</v>
      </c>
      <c r="G15" s="121">
        <f t="shared" si="8"/>
        <v>1500</v>
      </c>
      <c r="H15" s="121">
        <f t="shared" si="8"/>
        <v>1000</v>
      </c>
      <c r="I15" s="121">
        <f t="shared" si="4"/>
        <v>4000</v>
      </c>
      <c r="J15" s="122" t="s">
        <v>193</v>
      </c>
      <c r="K15" s="121">
        <f t="shared" si="9"/>
        <v>0</v>
      </c>
      <c r="L15" s="121">
        <f t="shared" si="9"/>
        <v>0</v>
      </c>
      <c r="M15" s="121">
        <f t="shared" si="9"/>
        <v>0</v>
      </c>
      <c r="N15" s="121">
        <f t="shared" si="2"/>
        <v>0</v>
      </c>
      <c r="O15" s="121">
        <f>F15-K15</f>
        <v>1500</v>
      </c>
      <c r="P15" s="121">
        <f t="shared" si="10"/>
        <v>1500</v>
      </c>
      <c r="Q15" s="121">
        <f t="shared" si="10"/>
        <v>1000</v>
      </c>
      <c r="R15" s="123">
        <f t="shared" si="7"/>
        <v>4000</v>
      </c>
      <c r="S15" t="str">
        <f t="shared" si="3"/>
        <v>OK</v>
      </c>
    </row>
    <row r="16" spans="2:19" ht="18.75" customHeight="1" x14ac:dyDescent="0.75">
      <c r="B16" s="308" t="s">
        <v>164</v>
      </c>
      <c r="C16" s="311"/>
      <c r="D16" s="314">
        <f>SUM(D19:D36)</f>
        <v>0</v>
      </c>
      <c r="E16" s="317">
        <f>SUM(E19:E36)</f>
        <v>17487.8</v>
      </c>
      <c r="F16" s="124">
        <f>F17+F18</f>
        <v>11237.8</v>
      </c>
      <c r="G16" s="124">
        <f>G17+G18</f>
        <v>4900</v>
      </c>
      <c r="H16" s="124">
        <f>H17+H18</f>
        <v>1350</v>
      </c>
      <c r="I16" s="124">
        <f>SUM(F16:H16)</f>
        <v>17487.8</v>
      </c>
      <c r="J16" s="125" t="s">
        <v>10</v>
      </c>
      <c r="K16" s="124">
        <f>K17+K18</f>
        <v>3050</v>
      </c>
      <c r="L16" s="124">
        <f>L17+L18</f>
        <v>3050</v>
      </c>
      <c r="M16" s="124">
        <f>M17+M18</f>
        <v>0</v>
      </c>
      <c r="N16" s="124">
        <f t="shared" si="2"/>
        <v>6100</v>
      </c>
      <c r="O16" s="124">
        <f>O17+O18</f>
        <v>8187.8</v>
      </c>
      <c r="P16" s="124">
        <f>P17+P18</f>
        <v>1850</v>
      </c>
      <c r="Q16" s="124">
        <f>Q17+Q18</f>
        <v>1350</v>
      </c>
      <c r="R16" s="126">
        <f t="shared" si="7"/>
        <v>11387.8</v>
      </c>
      <c r="S16" t="str">
        <f t="shared" si="3"/>
        <v>OK</v>
      </c>
    </row>
    <row r="17" spans="2:19" ht="18.75" customHeight="1" x14ac:dyDescent="0.75">
      <c r="B17" s="309"/>
      <c r="C17" s="312"/>
      <c r="D17" s="315"/>
      <c r="E17" s="318"/>
      <c r="F17" s="124">
        <f>F20+F23+F26+F29+F32+F35</f>
        <v>9737.7999999999993</v>
      </c>
      <c r="G17" s="124">
        <f t="shared" ref="G17:H18" si="11">G20+G23+G26+G29+G32+G35</f>
        <v>3400</v>
      </c>
      <c r="H17" s="124">
        <f t="shared" si="11"/>
        <v>350</v>
      </c>
      <c r="I17" s="124">
        <f>SUM(F17:H17)</f>
        <v>13487.8</v>
      </c>
      <c r="J17" s="125" t="s">
        <v>192</v>
      </c>
      <c r="K17" s="124">
        <f>K20+K23+K26+K29+K32+K35</f>
        <v>3050</v>
      </c>
      <c r="L17" s="124">
        <f>L20+L23+L26+L29+L32+L35</f>
        <v>3050</v>
      </c>
      <c r="M17" s="124">
        <f t="shared" ref="M17:Q18" si="12">M20+M23+M26+M29+M32+M35</f>
        <v>0</v>
      </c>
      <c r="N17" s="124">
        <f>SUM(K17:M17)</f>
        <v>6100</v>
      </c>
      <c r="O17" s="124">
        <f t="shared" si="12"/>
        <v>6687.8</v>
      </c>
      <c r="P17" s="124">
        <f t="shared" si="12"/>
        <v>350</v>
      </c>
      <c r="Q17" s="124">
        <f t="shared" si="12"/>
        <v>350</v>
      </c>
      <c r="R17" s="126">
        <f t="shared" si="7"/>
        <v>7387.8</v>
      </c>
      <c r="S17" t="str">
        <f t="shared" si="3"/>
        <v>OK</v>
      </c>
    </row>
    <row r="18" spans="2:19" ht="18.75" customHeight="1" x14ac:dyDescent="0.75">
      <c r="B18" s="310"/>
      <c r="C18" s="313"/>
      <c r="D18" s="316"/>
      <c r="E18" s="319"/>
      <c r="F18" s="124">
        <f>F21+F24+F27+F30+F33+F36</f>
        <v>1500</v>
      </c>
      <c r="G18" s="124">
        <f t="shared" si="11"/>
        <v>1500</v>
      </c>
      <c r="H18" s="124">
        <f t="shared" si="11"/>
        <v>1000</v>
      </c>
      <c r="I18" s="124">
        <f t="shared" si="4"/>
        <v>4000</v>
      </c>
      <c r="J18" s="125" t="s">
        <v>193</v>
      </c>
      <c r="K18" s="124">
        <f t="shared" ref="K18:L18" si="13">K21+K24+K27+K30+K33+K36</f>
        <v>0</v>
      </c>
      <c r="L18" s="124">
        <f t="shared" si="13"/>
        <v>0</v>
      </c>
      <c r="M18" s="124">
        <f>M21+M24+M27+M30+M33+M36</f>
        <v>0</v>
      </c>
      <c r="N18" s="124">
        <f>SUM(K18:M18)</f>
        <v>0</v>
      </c>
      <c r="O18" s="124">
        <f t="shared" si="12"/>
        <v>1500</v>
      </c>
      <c r="P18" s="124">
        <f t="shared" si="12"/>
        <v>1500</v>
      </c>
      <c r="Q18" s="124">
        <f t="shared" si="12"/>
        <v>1000</v>
      </c>
      <c r="R18" s="126">
        <f t="shared" si="7"/>
        <v>4000</v>
      </c>
      <c r="S18" t="str">
        <f t="shared" si="3"/>
        <v>OK</v>
      </c>
    </row>
    <row r="19" spans="2:19" ht="23.25" customHeight="1" x14ac:dyDescent="0.75">
      <c r="B19" s="320" t="s">
        <v>234</v>
      </c>
      <c r="C19" s="322">
        <v>509</v>
      </c>
      <c r="D19" s="324"/>
      <c r="E19" s="325">
        <f>I19</f>
        <v>6100</v>
      </c>
      <c r="F19" s="77">
        <f>F20+F21</f>
        <v>3050</v>
      </c>
      <c r="G19" s="77">
        <f>G20+G21</f>
        <v>3050</v>
      </c>
      <c r="H19" s="77">
        <f>H20+H21</f>
        <v>0</v>
      </c>
      <c r="I19" s="77">
        <f>SUM(F19:H19)</f>
        <v>6100</v>
      </c>
      <c r="J19" s="127" t="s">
        <v>10</v>
      </c>
      <c r="K19" s="77">
        <f>K20+K21</f>
        <v>3050</v>
      </c>
      <c r="L19" s="77">
        <f>L20+L21</f>
        <v>3050</v>
      </c>
      <c r="M19" s="77">
        <f>M20+M21</f>
        <v>0</v>
      </c>
      <c r="N19" s="77">
        <f t="shared" si="2"/>
        <v>6100</v>
      </c>
      <c r="O19" s="77">
        <f>O20+O21</f>
        <v>0</v>
      </c>
      <c r="P19" s="77">
        <f>P20+P21</f>
        <v>0</v>
      </c>
      <c r="Q19" s="77">
        <f>Q20+Q21</f>
        <v>0</v>
      </c>
      <c r="R19" s="128">
        <f t="shared" si="7"/>
        <v>0</v>
      </c>
      <c r="S19" t="str">
        <f t="shared" si="3"/>
        <v>OK</v>
      </c>
    </row>
    <row r="20" spans="2:19" ht="23.25" customHeight="1" x14ac:dyDescent="0.75">
      <c r="B20" s="321"/>
      <c r="C20" s="323"/>
      <c r="D20" s="324"/>
      <c r="E20" s="326"/>
      <c r="F20" s="77">
        <v>3050</v>
      </c>
      <c r="G20" s="77">
        <v>3050</v>
      </c>
      <c r="H20" s="77"/>
      <c r="I20" s="77">
        <f>SUM(F20:H20)</f>
        <v>6100</v>
      </c>
      <c r="J20" s="127" t="s">
        <v>192</v>
      </c>
      <c r="K20" s="77">
        <v>3050</v>
      </c>
      <c r="L20" s="77">
        <v>3050</v>
      </c>
      <c r="M20" s="77"/>
      <c r="N20" s="77">
        <f t="shared" si="2"/>
        <v>6100</v>
      </c>
      <c r="O20" s="77">
        <f>F20-K20</f>
        <v>0</v>
      </c>
      <c r="P20" s="77">
        <f t="shared" ref="P20:Q21" si="14">G20-L20</f>
        <v>0</v>
      </c>
      <c r="Q20" s="77">
        <f>H20-M20</f>
        <v>0</v>
      </c>
      <c r="R20" s="128">
        <f t="shared" si="7"/>
        <v>0</v>
      </c>
      <c r="S20" t="str">
        <f t="shared" si="3"/>
        <v>OK</v>
      </c>
    </row>
    <row r="21" spans="2:19" ht="23.25" customHeight="1" x14ac:dyDescent="0.75">
      <c r="B21" s="321"/>
      <c r="C21" s="323"/>
      <c r="D21" s="324"/>
      <c r="E21" s="327"/>
      <c r="F21" s="77"/>
      <c r="G21" s="77"/>
      <c r="H21" s="77"/>
      <c r="I21" s="77">
        <f t="shared" si="4"/>
        <v>0</v>
      </c>
      <c r="J21" s="127" t="s">
        <v>193</v>
      </c>
      <c r="K21" s="77"/>
      <c r="L21" s="77"/>
      <c r="M21" s="77"/>
      <c r="N21" s="77">
        <f>SUM(K21:M21)</f>
        <v>0</v>
      </c>
      <c r="O21" s="77">
        <f>F21-K21</f>
        <v>0</v>
      </c>
      <c r="P21" s="77">
        <f>G21-L21</f>
        <v>0</v>
      </c>
      <c r="Q21" s="77">
        <f t="shared" si="14"/>
        <v>0</v>
      </c>
      <c r="R21" s="128">
        <f t="shared" si="7"/>
        <v>0</v>
      </c>
    </row>
    <row r="22" spans="2:19" ht="21.75" customHeight="1" x14ac:dyDescent="0.75">
      <c r="B22" s="351" t="s">
        <v>108</v>
      </c>
      <c r="C22" s="349">
        <v>659</v>
      </c>
      <c r="D22" s="324"/>
      <c r="E22" s="325">
        <f>I22</f>
        <v>2250</v>
      </c>
      <c r="F22" s="77">
        <f>F23+F24</f>
        <v>1550</v>
      </c>
      <c r="G22" s="77">
        <f>G23+G24</f>
        <v>350</v>
      </c>
      <c r="H22" s="77">
        <f>H23+H24</f>
        <v>350</v>
      </c>
      <c r="I22" s="77">
        <f t="shared" si="4"/>
        <v>2250</v>
      </c>
      <c r="J22" s="127" t="s">
        <v>10</v>
      </c>
      <c r="K22" s="77">
        <f>K23+K24</f>
        <v>0</v>
      </c>
      <c r="L22" s="77">
        <f>L23+L24</f>
        <v>0</v>
      </c>
      <c r="M22" s="77">
        <f>M23+M24</f>
        <v>0</v>
      </c>
      <c r="N22" s="77">
        <f t="shared" si="2"/>
        <v>0</v>
      </c>
      <c r="O22" s="77">
        <f>O23+O24</f>
        <v>1550</v>
      </c>
      <c r="P22" s="77">
        <f>P23+P24</f>
        <v>350</v>
      </c>
      <c r="Q22" s="77">
        <f>Q23+Q24</f>
        <v>350</v>
      </c>
      <c r="R22" s="128">
        <f t="shared" si="7"/>
        <v>2250</v>
      </c>
      <c r="S22" t="str">
        <f t="shared" si="3"/>
        <v>OK</v>
      </c>
    </row>
    <row r="23" spans="2:19" ht="21.75" customHeight="1" x14ac:dyDescent="0.75">
      <c r="B23" s="351"/>
      <c r="C23" s="349"/>
      <c r="D23" s="324"/>
      <c r="E23" s="326"/>
      <c r="F23" s="77">
        <v>1550</v>
      </c>
      <c r="G23" s="77">
        <v>350</v>
      </c>
      <c r="H23" s="77">
        <v>350</v>
      </c>
      <c r="I23" s="77">
        <f>SUM(F23:H23)</f>
        <v>2250</v>
      </c>
      <c r="J23" s="127" t="s">
        <v>192</v>
      </c>
      <c r="K23" s="77"/>
      <c r="L23" s="77"/>
      <c r="M23" s="77"/>
      <c r="N23" s="77">
        <f t="shared" si="2"/>
        <v>0</v>
      </c>
      <c r="O23" s="77">
        <f>F23-K23</f>
        <v>1550</v>
      </c>
      <c r="P23" s="77">
        <f t="shared" ref="P23" si="15">G23-L23</f>
        <v>350</v>
      </c>
      <c r="Q23" s="77">
        <f>H23-M23</f>
        <v>350</v>
      </c>
      <c r="R23" s="128">
        <f>SUM(O23:Q23)</f>
        <v>2250</v>
      </c>
      <c r="S23" t="str">
        <f t="shared" si="3"/>
        <v>OK</v>
      </c>
    </row>
    <row r="24" spans="2:19" ht="21.75" customHeight="1" x14ac:dyDescent="0.75">
      <c r="B24" s="351"/>
      <c r="C24" s="349"/>
      <c r="D24" s="324"/>
      <c r="E24" s="327"/>
      <c r="F24" s="77"/>
      <c r="G24" s="77"/>
      <c r="H24" s="77"/>
      <c r="I24" s="77">
        <f t="shared" si="4"/>
        <v>0</v>
      </c>
      <c r="J24" s="127" t="s">
        <v>193</v>
      </c>
      <c r="K24" s="77"/>
      <c r="L24" s="77"/>
      <c r="M24" s="77"/>
      <c r="N24" s="77">
        <f t="shared" si="2"/>
        <v>0</v>
      </c>
      <c r="O24" s="77">
        <f>F24-K24</f>
        <v>0</v>
      </c>
      <c r="P24" s="77">
        <f>G24-L24</f>
        <v>0</v>
      </c>
      <c r="Q24" s="77">
        <f>H24-M24</f>
        <v>0</v>
      </c>
      <c r="R24" s="128">
        <f>SUM(O24:Q24)</f>
        <v>0</v>
      </c>
    </row>
    <row r="25" spans="2:19" ht="21.75" customHeight="1" x14ac:dyDescent="0.75">
      <c r="B25" s="350" t="s">
        <v>208</v>
      </c>
      <c r="C25" s="349">
        <v>655</v>
      </c>
      <c r="D25" s="324"/>
      <c r="E25" s="325">
        <f>I25</f>
        <v>3200</v>
      </c>
      <c r="F25" s="77">
        <f>F26+F27</f>
        <v>3200</v>
      </c>
      <c r="G25" s="77">
        <f>G26+G27</f>
        <v>0</v>
      </c>
      <c r="H25" s="77">
        <f>H26+H27</f>
        <v>0</v>
      </c>
      <c r="I25" s="77">
        <f t="shared" si="4"/>
        <v>3200</v>
      </c>
      <c r="J25" s="127" t="s">
        <v>10</v>
      </c>
      <c r="K25" s="77">
        <f>K26+K27</f>
        <v>0</v>
      </c>
      <c r="L25" s="77">
        <f>L26+L27</f>
        <v>0</v>
      </c>
      <c r="M25" s="77">
        <f>M26+M27</f>
        <v>0</v>
      </c>
      <c r="N25" s="77">
        <f t="shared" si="2"/>
        <v>0</v>
      </c>
      <c r="O25" s="77">
        <f>O26+O27</f>
        <v>3200</v>
      </c>
      <c r="P25" s="77">
        <f>P26+P27</f>
        <v>0</v>
      </c>
      <c r="Q25" s="77">
        <f>Q26+Q27</f>
        <v>0</v>
      </c>
      <c r="R25" s="128">
        <f t="shared" ref="R25" si="16">SUM(O25:Q25)</f>
        <v>3200</v>
      </c>
      <c r="S25" t="str">
        <f t="shared" si="3"/>
        <v>OK</v>
      </c>
    </row>
    <row r="26" spans="2:19" ht="21.75" customHeight="1" x14ac:dyDescent="0.75">
      <c r="B26" s="352"/>
      <c r="C26" s="349"/>
      <c r="D26" s="324"/>
      <c r="E26" s="326"/>
      <c r="F26" s="77">
        <v>3200</v>
      </c>
      <c r="G26" s="77">
        <v>0</v>
      </c>
      <c r="H26" s="77">
        <v>0</v>
      </c>
      <c r="I26" s="77">
        <f>SUM(F26:H26)</f>
        <v>3200</v>
      </c>
      <c r="J26" s="127" t="s">
        <v>192</v>
      </c>
      <c r="K26" s="77"/>
      <c r="L26" s="77"/>
      <c r="M26" s="77"/>
      <c r="N26" s="77">
        <f t="shared" si="2"/>
        <v>0</v>
      </c>
      <c r="O26" s="77">
        <f>F26-K26</f>
        <v>3200</v>
      </c>
      <c r="P26" s="77">
        <f t="shared" ref="P26" si="17">G26-L26</f>
        <v>0</v>
      </c>
      <c r="Q26" s="77">
        <f>H26-M26</f>
        <v>0</v>
      </c>
      <c r="R26" s="128">
        <f>SUM(O26:Q26)</f>
        <v>3200</v>
      </c>
      <c r="S26" t="str">
        <f t="shared" si="3"/>
        <v>OK</v>
      </c>
    </row>
    <row r="27" spans="2:19" ht="21.75" customHeight="1" x14ac:dyDescent="0.75">
      <c r="B27" s="352"/>
      <c r="C27" s="349"/>
      <c r="D27" s="324"/>
      <c r="E27" s="327"/>
      <c r="F27" s="77"/>
      <c r="G27" s="77"/>
      <c r="H27" s="77"/>
      <c r="I27" s="77">
        <f t="shared" ref="I27:I28" si="18">SUM(F27:H27)</f>
        <v>0</v>
      </c>
      <c r="J27" s="127" t="s">
        <v>193</v>
      </c>
      <c r="K27" s="77"/>
      <c r="L27" s="77"/>
      <c r="M27" s="77"/>
      <c r="N27" s="77">
        <f t="shared" si="2"/>
        <v>0</v>
      </c>
      <c r="O27" s="77">
        <f>F27-K27</f>
        <v>0</v>
      </c>
      <c r="P27" s="77">
        <f>G27-L27</f>
        <v>0</v>
      </c>
      <c r="Q27" s="77">
        <f>H27-M27</f>
        <v>0</v>
      </c>
      <c r="R27" s="128">
        <f>SUM(O27:Q27)</f>
        <v>0</v>
      </c>
    </row>
    <row r="28" spans="2:19" ht="24" customHeight="1" x14ac:dyDescent="0.75">
      <c r="B28" s="348" t="s">
        <v>194</v>
      </c>
      <c r="C28" s="349">
        <v>793</v>
      </c>
      <c r="D28" s="324"/>
      <c r="E28" s="325">
        <f>I28</f>
        <v>1937.8</v>
      </c>
      <c r="F28" s="77">
        <f>F29+F30</f>
        <v>1937.8</v>
      </c>
      <c r="G28" s="77">
        <f>G29+G30</f>
        <v>0</v>
      </c>
      <c r="H28" s="77">
        <f>H29+H30</f>
        <v>0</v>
      </c>
      <c r="I28" s="77">
        <f t="shared" si="18"/>
        <v>1937.8</v>
      </c>
      <c r="J28" s="127" t="s">
        <v>10</v>
      </c>
      <c r="K28" s="77">
        <f>K29+K30</f>
        <v>0</v>
      </c>
      <c r="L28" s="77">
        <f>L29+L30</f>
        <v>0</v>
      </c>
      <c r="M28" s="77">
        <f>M29+M30</f>
        <v>0</v>
      </c>
      <c r="N28" s="77">
        <f t="shared" si="2"/>
        <v>0</v>
      </c>
      <c r="O28" s="77">
        <f>O29+O30</f>
        <v>1937.8</v>
      </c>
      <c r="P28" s="77">
        <f>P29+P30</f>
        <v>0</v>
      </c>
      <c r="Q28" s="77">
        <f>Q29+Q30</f>
        <v>0</v>
      </c>
      <c r="R28" s="128">
        <f t="shared" ref="R28" si="19">SUM(O28:Q28)</f>
        <v>1937.8</v>
      </c>
      <c r="S28" t="str">
        <f t="shared" si="3"/>
        <v>OK</v>
      </c>
    </row>
    <row r="29" spans="2:19" ht="24" customHeight="1" x14ac:dyDescent="0.75">
      <c r="B29" s="348"/>
      <c r="C29" s="349"/>
      <c r="D29" s="324"/>
      <c r="E29" s="326"/>
      <c r="F29" s="77">
        <v>1937.8</v>
      </c>
      <c r="G29" s="77">
        <v>0</v>
      </c>
      <c r="H29" s="77">
        <v>0</v>
      </c>
      <c r="I29" s="77">
        <f>SUM(F29:H29)</f>
        <v>1937.8</v>
      </c>
      <c r="J29" s="127" t="s">
        <v>192</v>
      </c>
      <c r="K29" s="77"/>
      <c r="L29" s="77"/>
      <c r="M29" s="77"/>
      <c r="N29" s="77">
        <f t="shared" si="2"/>
        <v>0</v>
      </c>
      <c r="O29" s="77">
        <f>F29-K29</f>
        <v>1937.8</v>
      </c>
      <c r="P29" s="77">
        <f t="shared" ref="P29" si="20">G29-L29</f>
        <v>0</v>
      </c>
      <c r="Q29" s="77">
        <f>H29-M29</f>
        <v>0</v>
      </c>
      <c r="R29" s="128">
        <f>SUM(O29:Q29)</f>
        <v>1937.8</v>
      </c>
      <c r="S29" t="str">
        <f t="shared" si="3"/>
        <v>OK</v>
      </c>
    </row>
    <row r="30" spans="2:19" ht="24" customHeight="1" x14ac:dyDescent="0.75">
      <c r="B30" s="348"/>
      <c r="C30" s="349"/>
      <c r="D30" s="324"/>
      <c r="E30" s="327"/>
      <c r="F30" s="77"/>
      <c r="G30" s="77"/>
      <c r="H30" s="77"/>
      <c r="I30" s="77">
        <f t="shared" ref="I30:I31" si="21">SUM(F30:H30)</f>
        <v>0</v>
      </c>
      <c r="J30" s="127" t="s">
        <v>193</v>
      </c>
      <c r="K30" s="77"/>
      <c r="L30" s="77"/>
      <c r="M30" s="77"/>
      <c r="N30" s="77">
        <f t="shared" si="2"/>
        <v>0</v>
      </c>
      <c r="O30" s="77">
        <f>F30-K30</f>
        <v>0</v>
      </c>
      <c r="P30" s="77">
        <f>G30-L30</f>
        <v>0</v>
      </c>
      <c r="Q30" s="77">
        <f>H30-M30</f>
        <v>0</v>
      </c>
      <c r="R30" s="128">
        <f>SUM(O30:Q30)</f>
        <v>0</v>
      </c>
    </row>
    <row r="31" spans="2:19" ht="24" customHeight="1" x14ac:dyDescent="0.75">
      <c r="B31" s="350" t="s">
        <v>195</v>
      </c>
      <c r="C31" s="349">
        <v>491</v>
      </c>
      <c r="D31" s="324"/>
      <c r="E31" s="325">
        <f>I31</f>
        <v>4000</v>
      </c>
      <c r="F31" s="77">
        <f>F32+F33</f>
        <v>1500</v>
      </c>
      <c r="G31" s="77">
        <f>G32+G33</f>
        <v>1500</v>
      </c>
      <c r="H31" s="77">
        <f>H32+H33</f>
        <v>1000</v>
      </c>
      <c r="I31" s="77">
        <f t="shared" si="21"/>
        <v>4000</v>
      </c>
      <c r="J31" s="127" t="s">
        <v>10</v>
      </c>
      <c r="K31" s="77">
        <f>K32+K33</f>
        <v>0</v>
      </c>
      <c r="L31" s="77">
        <f>L32+L33</f>
        <v>0</v>
      </c>
      <c r="M31" s="77">
        <f>M32+M33</f>
        <v>0</v>
      </c>
      <c r="N31" s="77">
        <f t="shared" si="2"/>
        <v>0</v>
      </c>
      <c r="O31" s="77">
        <f>O32+O33</f>
        <v>1500</v>
      </c>
      <c r="P31" s="77">
        <f>P32+P33</f>
        <v>1500</v>
      </c>
      <c r="Q31" s="77">
        <f>Q32+Q33</f>
        <v>1000</v>
      </c>
      <c r="R31" s="128">
        <f t="shared" ref="R31" si="22">SUM(O31:Q31)</f>
        <v>4000</v>
      </c>
      <c r="S31" t="str">
        <f t="shared" si="3"/>
        <v>OK</v>
      </c>
    </row>
    <row r="32" spans="2:19" ht="24" customHeight="1" x14ac:dyDescent="0.75">
      <c r="B32" s="350"/>
      <c r="C32" s="349"/>
      <c r="D32" s="324"/>
      <c r="E32" s="326"/>
      <c r="F32" s="77"/>
      <c r="G32" s="77"/>
      <c r="H32" s="77"/>
      <c r="I32" s="77">
        <f>SUM(F32:H32)</f>
        <v>0</v>
      </c>
      <c r="J32" s="127" t="s">
        <v>192</v>
      </c>
      <c r="K32" s="77"/>
      <c r="L32" s="77"/>
      <c r="M32" s="77"/>
      <c r="N32" s="77">
        <f t="shared" si="2"/>
        <v>0</v>
      </c>
      <c r="O32" s="77">
        <f>F32-K32</f>
        <v>0</v>
      </c>
      <c r="P32" s="77">
        <f t="shared" ref="P32" si="23">G32-L32</f>
        <v>0</v>
      </c>
      <c r="Q32" s="77">
        <f>H32-M32</f>
        <v>0</v>
      </c>
      <c r="R32" s="128">
        <f>SUM(O32:Q32)</f>
        <v>0</v>
      </c>
    </row>
    <row r="33" spans="2:19" ht="24" customHeight="1" x14ac:dyDescent="0.75">
      <c r="B33" s="350"/>
      <c r="C33" s="349"/>
      <c r="D33" s="324"/>
      <c r="E33" s="327"/>
      <c r="F33" s="77">
        <v>1500</v>
      </c>
      <c r="G33" s="77">
        <v>1500</v>
      </c>
      <c r="H33" s="77">
        <v>1000</v>
      </c>
      <c r="I33" s="77">
        <f t="shared" ref="I33:I34" si="24">SUM(F33:H33)</f>
        <v>4000</v>
      </c>
      <c r="J33" s="127" t="s">
        <v>193</v>
      </c>
      <c r="K33" s="77"/>
      <c r="L33" s="77"/>
      <c r="M33" s="77"/>
      <c r="N33" s="77">
        <f t="shared" si="2"/>
        <v>0</v>
      </c>
      <c r="O33" s="77">
        <f>F33-K33</f>
        <v>1500</v>
      </c>
      <c r="P33" s="77">
        <f>G33-L33</f>
        <v>1500</v>
      </c>
      <c r="Q33" s="77">
        <f>H33-M33</f>
        <v>1000</v>
      </c>
      <c r="R33" s="128">
        <f>SUM(O33:Q33)</f>
        <v>4000</v>
      </c>
      <c r="S33" t="str">
        <f t="shared" si="3"/>
        <v>OK</v>
      </c>
    </row>
    <row r="34" spans="2:19" ht="25.25" hidden="1" x14ac:dyDescent="0.75">
      <c r="B34" s="348"/>
      <c r="C34" s="349"/>
      <c r="D34" s="324"/>
      <c r="E34" s="325">
        <f>I34</f>
        <v>0</v>
      </c>
      <c r="F34" s="77">
        <f>F35+F36</f>
        <v>0</v>
      </c>
      <c r="G34" s="77">
        <f>G35+G36</f>
        <v>0</v>
      </c>
      <c r="H34" s="77">
        <f>H35+H36</f>
        <v>0</v>
      </c>
      <c r="I34" s="77">
        <f t="shared" si="24"/>
        <v>0</v>
      </c>
      <c r="J34" s="127" t="s">
        <v>10</v>
      </c>
      <c r="K34" s="77">
        <f>K35+K36</f>
        <v>0</v>
      </c>
      <c r="L34" s="77">
        <f>L35+L36</f>
        <v>0</v>
      </c>
      <c r="M34" s="77">
        <f>M35+M36</f>
        <v>0</v>
      </c>
      <c r="N34" s="77">
        <f t="shared" si="2"/>
        <v>0</v>
      </c>
      <c r="O34" s="77">
        <f>O35+O36</f>
        <v>0</v>
      </c>
      <c r="P34" s="77">
        <f>P35+P36</f>
        <v>0</v>
      </c>
      <c r="Q34" s="77">
        <f>Q35+Q36</f>
        <v>0</v>
      </c>
      <c r="R34" s="128">
        <f t="shared" ref="R34" si="25">SUM(O34:Q34)</f>
        <v>0</v>
      </c>
      <c r="S34" t="str">
        <f t="shared" si="3"/>
        <v>-</v>
      </c>
    </row>
    <row r="35" spans="2:19" ht="25.25" hidden="1" x14ac:dyDescent="0.75">
      <c r="B35" s="351"/>
      <c r="C35" s="349"/>
      <c r="D35" s="324"/>
      <c r="E35" s="326"/>
      <c r="F35" s="77"/>
      <c r="G35" s="77"/>
      <c r="H35" s="77"/>
      <c r="I35" s="77">
        <f>SUM(F35:H35)</f>
        <v>0</v>
      </c>
      <c r="J35" s="127" t="s">
        <v>192</v>
      </c>
      <c r="K35" s="77"/>
      <c r="L35" s="77"/>
      <c r="M35" s="77"/>
      <c r="N35" s="77">
        <f t="shared" si="2"/>
        <v>0</v>
      </c>
      <c r="O35" s="77">
        <f>F35-K35</f>
        <v>0</v>
      </c>
      <c r="P35" s="77">
        <f t="shared" ref="P35" si="26">G35-L35</f>
        <v>0</v>
      </c>
      <c r="Q35" s="77">
        <f>H35-M35</f>
        <v>0</v>
      </c>
      <c r="R35" s="128">
        <f>SUM(O35:Q35)</f>
        <v>0</v>
      </c>
      <c r="S35" t="str">
        <f t="shared" si="3"/>
        <v>-</v>
      </c>
    </row>
    <row r="36" spans="2:19" ht="24" hidden="1" customHeight="1" x14ac:dyDescent="0.75">
      <c r="B36" s="351"/>
      <c r="C36" s="349"/>
      <c r="D36" s="324"/>
      <c r="E36" s="327"/>
      <c r="F36" s="77"/>
      <c r="G36" s="77"/>
      <c r="H36" s="77"/>
      <c r="I36" s="77">
        <f t="shared" ref="I36" si="27">SUM(F36:H36)</f>
        <v>0</v>
      </c>
      <c r="J36" s="127" t="s">
        <v>193</v>
      </c>
      <c r="K36" s="77"/>
      <c r="L36" s="77"/>
      <c r="M36" s="77"/>
      <c r="N36" s="77">
        <f t="shared" si="2"/>
        <v>0</v>
      </c>
      <c r="O36" s="77">
        <f>F36-K36</f>
        <v>0</v>
      </c>
      <c r="P36" s="77">
        <f>G36-L36</f>
        <v>0</v>
      </c>
      <c r="Q36" s="77">
        <f>H36-M36</f>
        <v>0</v>
      </c>
      <c r="R36" s="128">
        <f>SUM(O36:Q36)</f>
        <v>0</v>
      </c>
      <c r="S36" t="str">
        <f t="shared" si="3"/>
        <v>-</v>
      </c>
    </row>
    <row r="37" spans="2:19" ht="17.25" hidden="1" customHeight="1" x14ac:dyDescent="0.75">
      <c r="B37" s="308" t="s">
        <v>165</v>
      </c>
      <c r="C37" s="311"/>
      <c r="D37" s="314">
        <f>D40+D43</f>
        <v>0</v>
      </c>
      <c r="E37" s="317">
        <f>E40</f>
        <v>0</v>
      </c>
      <c r="F37" s="124">
        <f>F38+F39</f>
        <v>0</v>
      </c>
      <c r="G37" s="124">
        <f>G38+G39</f>
        <v>0</v>
      </c>
      <c r="H37" s="124">
        <f>H38+H39</f>
        <v>0</v>
      </c>
      <c r="I37" s="124">
        <f t="shared" si="4"/>
        <v>0</v>
      </c>
      <c r="J37" s="125" t="s">
        <v>10</v>
      </c>
      <c r="K37" s="124">
        <f>K38+K39</f>
        <v>0</v>
      </c>
      <c r="L37" s="124">
        <f>L38+L39</f>
        <v>0</v>
      </c>
      <c r="M37" s="124">
        <f>M38+M39</f>
        <v>0</v>
      </c>
      <c r="N37" s="124">
        <f t="shared" si="2"/>
        <v>0</v>
      </c>
      <c r="O37" s="124">
        <f>O38+O39</f>
        <v>0</v>
      </c>
      <c r="P37" s="124">
        <f>P38+P39</f>
        <v>0</v>
      </c>
      <c r="Q37" s="124">
        <f>Q38+Q39</f>
        <v>0</v>
      </c>
      <c r="R37" s="126">
        <f t="shared" si="7"/>
        <v>0</v>
      </c>
      <c r="S37" t="str">
        <f t="shared" si="3"/>
        <v>-</v>
      </c>
    </row>
    <row r="38" spans="2:19" ht="17.25" hidden="1" customHeight="1" x14ac:dyDescent="0.75">
      <c r="B38" s="309"/>
      <c r="C38" s="312"/>
      <c r="D38" s="315"/>
      <c r="E38" s="318"/>
      <c r="F38" s="124">
        <f>F41+F44</f>
        <v>0</v>
      </c>
      <c r="G38" s="124">
        <f>G41+G44</f>
        <v>0</v>
      </c>
      <c r="H38" s="124">
        <f>H41+H44</f>
        <v>0</v>
      </c>
      <c r="I38" s="124">
        <f t="shared" si="4"/>
        <v>0</v>
      </c>
      <c r="J38" s="125" t="s">
        <v>192</v>
      </c>
      <c r="K38" s="124">
        <f t="shared" ref="K38:M39" si="28">K41+K44</f>
        <v>0</v>
      </c>
      <c r="L38" s="124">
        <f t="shared" si="28"/>
        <v>0</v>
      </c>
      <c r="M38" s="124">
        <f t="shared" si="28"/>
        <v>0</v>
      </c>
      <c r="N38" s="124">
        <f t="shared" si="2"/>
        <v>0</v>
      </c>
      <c r="O38" s="124">
        <f t="shared" ref="O38:Q39" si="29">O41+O44</f>
        <v>0</v>
      </c>
      <c r="P38" s="124">
        <f t="shared" si="29"/>
        <v>0</v>
      </c>
      <c r="Q38" s="124">
        <f t="shared" si="29"/>
        <v>0</v>
      </c>
      <c r="R38" s="126">
        <f t="shared" si="7"/>
        <v>0</v>
      </c>
      <c r="S38" t="str">
        <f t="shared" si="3"/>
        <v>-</v>
      </c>
    </row>
    <row r="39" spans="2:19" ht="17.25" hidden="1" customHeight="1" x14ac:dyDescent="0.75">
      <c r="B39" s="310"/>
      <c r="C39" s="313"/>
      <c r="D39" s="316"/>
      <c r="E39" s="319"/>
      <c r="F39" s="124">
        <f>F42+F45</f>
        <v>0</v>
      </c>
      <c r="G39" s="124">
        <f>G42+G45</f>
        <v>0</v>
      </c>
      <c r="H39" s="124">
        <f t="shared" ref="H39" si="30">H42+H45</f>
        <v>0</v>
      </c>
      <c r="I39" s="124">
        <f t="shared" si="4"/>
        <v>0</v>
      </c>
      <c r="J39" s="125" t="s">
        <v>193</v>
      </c>
      <c r="K39" s="124">
        <f t="shared" si="28"/>
        <v>0</v>
      </c>
      <c r="L39" s="124">
        <f t="shared" si="28"/>
        <v>0</v>
      </c>
      <c r="M39" s="124">
        <f t="shared" si="28"/>
        <v>0</v>
      </c>
      <c r="N39" s="124">
        <f t="shared" si="2"/>
        <v>0</v>
      </c>
      <c r="O39" s="124">
        <f t="shared" si="29"/>
        <v>0</v>
      </c>
      <c r="P39" s="124">
        <f t="shared" si="29"/>
        <v>0</v>
      </c>
      <c r="Q39" s="124">
        <f t="shared" si="29"/>
        <v>0</v>
      </c>
      <c r="R39" s="126">
        <f t="shared" si="7"/>
        <v>0</v>
      </c>
      <c r="S39" t="str">
        <f t="shared" si="3"/>
        <v>-</v>
      </c>
    </row>
    <row r="40" spans="2:19" ht="23.25" hidden="1" customHeight="1" x14ac:dyDescent="0.75">
      <c r="B40" s="353"/>
      <c r="C40" s="322"/>
      <c r="D40" s="357"/>
      <c r="E40" s="325"/>
      <c r="F40" s="77"/>
      <c r="G40" s="77"/>
      <c r="H40" s="77"/>
      <c r="I40" s="77"/>
      <c r="J40" s="127"/>
      <c r="K40" s="77"/>
      <c r="L40" s="77"/>
      <c r="M40" s="77"/>
      <c r="N40" s="77"/>
      <c r="O40" s="77"/>
      <c r="P40" s="77"/>
      <c r="Q40" s="77"/>
      <c r="R40" s="128"/>
      <c r="S40" t="str">
        <f t="shared" si="3"/>
        <v>-</v>
      </c>
    </row>
    <row r="41" spans="2:19" ht="23.25" hidden="1" customHeight="1" x14ac:dyDescent="0.75">
      <c r="B41" s="354"/>
      <c r="C41" s="323"/>
      <c r="D41" s="358"/>
      <c r="E41" s="326"/>
      <c r="F41" s="77"/>
      <c r="G41" s="77"/>
      <c r="H41" s="77"/>
      <c r="I41" s="77"/>
      <c r="J41" s="127"/>
      <c r="K41" s="77"/>
      <c r="L41" s="77"/>
      <c r="M41" s="77"/>
      <c r="N41" s="77"/>
      <c r="O41" s="77"/>
      <c r="P41" s="77"/>
      <c r="Q41" s="77"/>
      <c r="R41" s="128"/>
      <c r="S41" t="str">
        <f t="shared" si="3"/>
        <v>-</v>
      </c>
    </row>
    <row r="42" spans="2:19" ht="23.25" hidden="1" customHeight="1" x14ac:dyDescent="0.75">
      <c r="B42" s="355"/>
      <c r="C42" s="356"/>
      <c r="D42" s="359"/>
      <c r="E42" s="327"/>
      <c r="F42" s="77"/>
      <c r="G42" s="77"/>
      <c r="H42" s="77"/>
      <c r="I42" s="77"/>
      <c r="J42" s="127"/>
      <c r="K42" s="77"/>
      <c r="L42" s="77"/>
      <c r="M42" s="77"/>
      <c r="N42" s="77"/>
      <c r="O42" s="77"/>
      <c r="P42" s="77"/>
      <c r="Q42" s="77"/>
      <c r="R42" s="128"/>
      <c r="S42" t="str">
        <f t="shared" si="3"/>
        <v>-</v>
      </c>
    </row>
    <row r="43" spans="2:19" ht="20.45" hidden="1" customHeight="1" x14ac:dyDescent="0.75">
      <c r="B43" s="360" t="s">
        <v>166</v>
      </c>
      <c r="C43" s="322"/>
      <c r="D43" s="357"/>
      <c r="E43" s="325"/>
      <c r="F43" s="77">
        <f>F44+F45</f>
        <v>0</v>
      </c>
      <c r="G43" s="77">
        <f>G44+G45</f>
        <v>0</v>
      </c>
      <c r="H43" s="77">
        <f>H44+H45</f>
        <v>0</v>
      </c>
      <c r="I43" s="77">
        <f t="shared" ref="I43" si="31">SUM(F43:H43)</f>
        <v>0</v>
      </c>
      <c r="J43" s="127" t="s">
        <v>10</v>
      </c>
      <c r="K43" s="77">
        <f>K44+K45</f>
        <v>0</v>
      </c>
      <c r="L43" s="77">
        <f>L44+L45</f>
        <v>0</v>
      </c>
      <c r="M43" s="77">
        <f>M44+M45</f>
        <v>0</v>
      </c>
      <c r="N43" s="77">
        <f t="shared" si="2"/>
        <v>0</v>
      </c>
      <c r="O43" s="77">
        <f>O44+O45</f>
        <v>0</v>
      </c>
      <c r="P43" s="77">
        <f>P44+P45</f>
        <v>0</v>
      </c>
      <c r="Q43" s="77">
        <f>Q44+Q45</f>
        <v>0</v>
      </c>
      <c r="R43" s="128">
        <f t="shared" si="7"/>
        <v>0</v>
      </c>
      <c r="S43" t="str">
        <f t="shared" si="3"/>
        <v>-</v>
      </c>
    </row>
    <row r="44" spans="2:19" ht="20.45" hidden="1" customHeight="1" x14ac:dyDescent="0.75">
      <c r="B44" s="361"/>
      <c r="C44" s="323"/>
      <c r="D44" s="358"/>
      <c r="E44" s="326"/>
      <c r="F44" s="77"/>
      <c r="G44" s="77"/>
      <c r="H44" s="77"/>
      <c r="I44" s="77">
        <f>SUM(F44:H44)</f>
        <v>0</v>
      </c>
      <c r="J44" s="127" t="s">
        <v>192</v>
      </c>
      <c r="K44" s="77"/>
      <c r="L44" s="77"/>
      <c r="M44" s="77"/>
      <c r="N44" s="77">
        <f t="shared" si="2"/>
        <v>0</v>
      </c>
      <c r="O44" s="77">
        <f>F44-K44</f>
        <v>0</v>
      </c>
      <c r="P44" s="77">
        <f t="shared" ref="P44" si="32">G44-L44</f>
        <v>0</v>
      </c>
      <c r="Q44" s="77">
        <f>H44-M44</f>
        <v>0</v>
      </c>
      <c r="R44" s="128">
        <f>SUM(O44:Q44)</f>
        <v>0</v>
      </c>
      <c r="S44" t="str">
        <f t="shared" si="3"/>
        <v>-</v>
      </c>
    </row>
    <row r="45" spans="2:19" ht="20.45" hidden="1" customHeight="1" x14ac:dyDescent="0.75">
      <c r="B45" s="362"/>
      <c r="C45" s="363"/>
      <c r="D45" s="364"/>
      <c r="E45" s="365"/>
      <c r="F45" s="129"/>
      <c r="G45" s="129"/>
      <c r="H45" s="129"/>
      <c r="I45" s="129">
        <f t="shared" ref="I45:I46" si="33">SUM(F45:H45)</f>
        <v>0</v>
      </c>
      <c r="J45" s="130" t="s">
        <v>193</v>
      </c>
      <c r="K45" s="129"/>
      <c r="L45" s="129"/>
      <c r="M45" s="129"/>
      <c r="N45" s="129">
        <f t="shared" si="2"/>
        <v>0</v>
      </c>
      <c r="O45" s="129">
        <f>F45-K45</f>
        <v>0</v>
      </c>
      <c r="P45" s="129">
        <f>G45-L45</f>
        <v>0</v>
      </c>
      <c r="Q45" s="129">
        <f>H45-M45</f>
        <v>0</v>
      </c>
      <c r="R45" s="131">
        <f>SUM(O45:Q45)</f>
        <v>0</v>
      </c>
      <c r="S45" t="str">
        <f t="shared" si="3"/>
        <v>-</v>
      </c>
    </row>
    <row r="46" spans="2:19" ht="20.45" customHeight="1" x14ac:dyDescent="0.75">
      <c r="B46" s="366" t="s">
        <v>167</v>
      </c>
      <c r="C46" s="369"/>
      <c r="D46" s="371">
        <f>D49+D106</f>
        <v>29117</v>
      </c>
      <c r="E46" s="372">
        <f>E49+E106</f>
        <v>0</v>
      </c>
      <c r="F46" s="132">
        <f>F47+F48</f>
        <v>20520.5</v>
      </c>
      <c r="G46" s="132">
        <f>G47+G48</f>
        <v>5024.5</v>
      </c>
      <c r="H46" s="132">
        <f>H47+H48</f>
        <v>3572</v>
      </c>
      <c r="I46" s="132">
        <f t="shared" si="33"/>
        <v>29117</v>
      </c>
      <c r="J46" s="133" t="s">
        <v>10</v>
      </c>
      <c r="K46" s="132">
        <f>K47+K48</f>
        <v>0</v>
      </c>
      <c r="L46" s="132">
        <f>L47+L48</f>
        <v>0</v>
      </c>
      <c r="M46" s="132">
        <f>M47+M48</f>
        <v>0</v>
      </c>
      <c r="N46" s="132">
        <f t="shared" si="2"/>
        <v>0</v>
      </c>
      <c r="O46" s="132">
        <f>O47+O48</f>
        <v>20520.5</v>
      </c>
      <c r="P46" s="132">
        <f>P47+P48</f>
        <v>5024.5</v>
      </c>
      <c r="Q46" s="132">
        <f>Q47+Q48</f>
        <v>3572</v>
      </c>
      <c r="R46" s="134">
        <f t="shared" ref="R46:R55" si="34">SUM(O46:Q46)</f>
        <v>29117</v>
      </c>
      <c r="S46" t="str">
        <f t="shared" si="3"/>
        <v>OK</v>
      </c>
    </row>
    <row r="47" spans="2:19" ht="20.45" customHeight="1" x14ac:dyDescent="0.75">
      <c r="B47" s="367"/>
      <c r="C47" s="370"/>
      <c r="D47" s="344"/>
      <c r="E47" s="346"/>
      <c r="F47" s="121">
        <f t="shared" ref="F47:H48" si="35">F50+F107</f>
        <v>20520.5</v>
      </c>
      <c r="G47" s="121">
        <f t="shared" si="35"/>
        <v>5024.5</v>
      </c>
      <c r="H47" s="121">
        <f t="shared" si="35"/>
        <v>3572</v>
      </c>
      <c r="I47" s="121">
        <f>SUM(F47:H47)</f>
        <v>29117</v>
      </c>
      <c r="J47" s="122" t="s">
        <v>192</v>
      </c>
      <c r="K47" s="121">
        <f t="shared" ref="K47:M48" si="36">K50+K107</f>
        <v>0</v>
      </c>
      <c r="L47" s="121">
        <f t="shared" si="36"/>
        <v>0</v>
      </c>
      <c r="M47" s="121">
        <f t="shared" si="36"/>
        <v>0</v>
      </c>
      <c r="N47" s="121">
        <f t="shared" si="2"/>
        <v>0</v>
      </c>
      <c r="O47" s="121">
        <f>F47-K47</f>
        <v>20520.5</v>
      </c>
      <c r="P47" s="121">
        <f t="shared" ref="P47:Q48" si="37">G47-L47</f>
        <v>5024.5</v>
      </c>
      <c r="Q47" s="121">
        <f t="shared" si="37"/>
        <v>3572</v>
      </c>
      <c r="R47" s="123">
        <f t="shared" si="34"/>
        <v>29117</v>
      </c>
      <c r="S47" t="str">
        <f t="shared" si="3"/>
        <v>OK</v>
      </c>
    </row>
    <row r="48" spans="2:19" ht="20.45" customHeight="1" x14ac:dyDescent="0.75">
      <c r="B48" s="368"/>
      <c r="C48" s="370"/>
      <c r="D48" s="344"/>
      <c r="E48" s="347"/>
      <c r="F48" s="121">
        <f t="shared" si="35"/>
        <v>0</v>
      </c>
      <c r="G48" s="121">
        <f t="shared" si="35"/>
        <v>0</v>
      </c>
      <c r="H48" s="121">
        <f t="shared" si="35"/>
        <v>0</v>
      </c>
      <c r="I48" s="121">
        <f t="shared" ref="I48:I51" si="38">SUM(F48:H48)</f>
        <v>0</v>
      </c>
      <c r="J48" s="122" t="s">
        <v>193</v>
      </c>
      <c r="K48" s="121">
        <f t="shared" si="36"/>
        <v>0</v>
      </c>
      <c r="L48" s="121">
        <f t="shared" si="36"/>
        <v>0</v>
      </c>
      <c r="M48" s="121">
        <f t="shared" si="36"/>
        <v>0</v>
      </c>
      <c r="N48" s="121">
        <f t="shared" si="2"/>
        <v>0</v>
      </c>
      <c r="O48" s="121">
        <f>F48-K48</f>
        <v>0</v>
      </c>
      <c r="P48" s="121">
        <f t="shared" si="37"/>
        <v>0</v>
      </c>
      <c r="Q48" s="121">
        <f t="shared" si="37"/>
        <v>0</v>
      </c>
      <c r="R48" s="123">
        <f t="shared" si="34"/>
        <v>0</v>
      </c>
    </row>
    <row r="49" spans="2:19" ht="21.75" customHeight="1" x14ac:dyDescent="0.75">
      <c r="B49" s="308" t="s">
        <v>164</v>
      </c>
      <c r="C49" s="311"/>
      <c r="D49" s="314">
        <f>SUM(D52:D105)</f>
        <v>29117</v>
      </c>
      <c r="E49" s="135"/>
      <c r="F49" s="124">
        <f>F50+F51</f>
        <v>20520.5</v>
      </c>
      <c r="G49" s="124">
        <f>G50+G51</f>
        <v>5024.5</v>
      </c>
      <c r="H49" s="124">
        <f>H50+H51</f>
        <v>3572</v>
      </c>
      <c r="I49" s="124">
        <f t="shared" si="38"/>
        <v>29117</v>
      </c>
      <c r="J49" s="125" t="s">
        <v>10</v>
      </c>
      <c r="K49" s="124">
        <f>K50+K51</f>
        <v>0</v>
      </c>
      <c r="L49" s="124">
        <f>L50+L51</f>
        <v>0</v>
      </c>
      <c r="M49" s="124">
        <f>M50+M51</f>
        <v>0</v>
      </c>
      <c r="N49" s="124">
        <f t="shared" si="2"/>
        <v>0</v>
      </c>
      <c r="O49" s="124">
        <f>O50+O51</f>
        <v>20520.5</v>
      </c>
      <c r="P49" s="124">
        <f>P50+P51</f>
        <v>5024.5</v>
      </c>
      <c r="Q49" s="124">
        <f>Q50+Q51</f>
        <v>3572</v>
      </c>
      <c r="R49" s="126">
        <f t="shared" si="34"/>
        <v>29117</v>
      </c>
      <c r="S49" t="str">
        <f t="shared" si="3"/>
        <v>OK</v>
      </c>
    </row>
    <row r="50" spans="2:19" ht="21.75" customHeight="1" x14ac:dyDescent="0.75">
      <c r="B50" s="309"/>
      <c r="C50" s="312"/>
      <c r="D50" s="315"/>
      <c r="E50" s="117"/>
      <c r="F50" s="124">
        <f t="shared" ref="F50:H50" si="39">F53+F56+F59+F62+F65+F68+F71+F74+F77+F80+F83+F86+F89+F92+F95+F98+F101+F104</f>
        <v>20520.5</v>
      </c>
      <c r="G50" s="124">
        <f t="shared" si="39"/>
        <v>5024.5</v>
      </c>
      <c r="H50" s="124">
        <f t="shared" si="39"/>
        <v>3572</v>
      </c>
      <c r="I50" s="124">
        <f t="shared" si="38"/>
        <v>29117</v>
      </c>
      <c r="J50" s="125" t="s">
        <v>192</v>
      </c>
      <c r="K50" s="124">
        <f t="shared" ref="K50:M50" si="40">K53+K56+K59+K62+K65+K68+K71+K74+K77+K80+K83+K86+K89+K92+K95+K98+K101+K104</f>
        <v>0</v>
      </c>
      <c r="L50" s="124">
        <f t="shared" si="40"/>
        <v>0</v>
      </c>
      <c r="M50" s="124">
        <f t="shared" si="40"/>
        <v>0</v>
      </c>
      <c r="N50" s="124">
        <f>SUM(K50:M50)</f>
        <v>0</v>
      </c>
      <c r="O50" s="124">
        <f t="shared" ref="O50:Q50" si="41">O53+O56+O59+O62+O65+O68+O71+O74+O77+O80+O83+O86+O89+O92+O95+O98+O101+O104</f>
        <v>20520.5</v>
      </c>
      <c r="P50" s="124">
        <f t="shared" si="41"/>
        <v>5024.5</v>
      </c>
      <c r="Q50" s="124">
        <f t="shared" si="41"/>
        <v>3572</v>
      </c>
      <c r="R50" s="126">
        <f t="shared" si="34"/>
        <v>29117</v>
      </c>
      <c r="S50" t="str">
        <f t="shared" si="3"/>
        <v>OK</v>
      </c>
    </row>
    <row r="51" spans="2:19" ht="21.75" customHeight="1" x14ac:dyDescent="0.75">
      <c r="B51" s="310"/>
      <c r="C51" s="313"/>
      <c r="D51" s="316"/>
      <c r="E51" s="136"/>
      <c r="F51" s="124">
        <f>F54+F57+F60+F63+F66+F69+F72+F75+F78+F81+F84+F87+F90+F93+F96+F99+F102+F105</f>
        <v>0</v>
      </c>
      <c r="G51" s="124">
        <f t="shared" ref="G51:H51" si="42">G54+G57+G60+G63+G66+G69+G72+G75+G78+G81+G84+G87+G90+G93+G96+G99+G102+G105</f>
        <v>0</v>
      </c>
      <c r="H51" s="124">
        <f t="shared" si="42"/>
        <v>0</v>
      </c>
      <c r="I51" s="124">
        <f t="shared" si="38"/>
        <v>0</v>
      </c>
      <c r="J51" s="125" t="s">
        <v>193</v>
      </c>
      <c r="K51" s="124">
        <f t="shared" ref="K51:M51" si="43">K54+K57+K60+K63+K66+K69+K72+K75+K78+K81+K84+K87+K90+K93+K96+K99+K102+K105</f>
        <v>0</v>
      </c>
      <c r="L51" s="124">
        <f t="shared" si="43"/>
        <v>0</v>
      </c>
      <c r="M51" s="124">
        <f t="shared" si="43"/>
        <v>0</v>
      </c>
      <c r="N51" s="124">
        <f t="shared" ref="N51:N114" si="44">SUM(K51:M51)</f>
        <v>0</v>
      </c>
      <c r="O51" s="124">
        <f t="shared" ref="O51:Q51" si="45">O54+O57+O60+O63+O66+O69+O72+O75+O78+O81+O84+O87+O90+O93+O96+O99+O102+O105</f>
        <v>0</v>
      </c>
      <c r="P51" s="124">
        <f t="shared" si="45"/>
        <v>0</v>
      </c>
      <c r="Q51" s="124">
        <f t="shared" si="45"/>
        <v>0</v>
      </c>
      <c r="R51" s="126">
        <f t="shared" si="34"/>
        <v>0</v>
      </c>
    </row>
    <row r="52" spans="2:19" ht="25.25" x14ac:dyDescent="0.75">
      <c r="B52" s="348" t="s">
        <v>203</v>
      </c>
      <c r="C52" s="322">
        <v>510</v>
      </c>
      <c r="D52" s="324">
        <f>I52</f>
        <v>2580</v>
      </c>
      <c r="E52" s="325"/>
      <c r="F52" s="77">
        <f>F53+F54</f>
        <v>2580</v>
      </c>
      <c r="G52" s="77">
        <f>G53+G54</f>
        <v>0</v>
      </c>
      <c r="H52" s="77">
        <f>H53+H54</f>
        <v>0</v>
      </c>
      <c r="I52" s="77">
        <f>SUM(F52:H52)</f>
        <v>2580</v>
      </c>
      <c r="J52" s="127" t="s">
        <v>10</v>
      </c>
      <c r="K52" s="77">
        <f>K53+K54</f>
        <v>0</v>
      </c>
      <c r="L52" s="77">
        <f>L53+L54</f>
        <v>0</v>
      </c>
      <c r="M52" s="77">
        <f>M53+M54</f>
        <v>0</v>
      </c>
      <c r="N52" s="77">
        <f t="shared" si="44"/>
        <v>0</v>
      </c>
      <c r="O52" s="77">
        <f>O53+O54</f>
        <v>2580</v>
      </c>
      <c r="P52" s="77">
        <f>P53+P54</f>
        <v>0</v>
      </c>
      <c r="Q52" s="77">
        <f>Q53+Q54</f>
        <v>0</v>
      </c>
      <c r="R52" s="128">
        <f t="shared" si="34"/>
        <v>2580</v>
      </c>
      <c r="S52" t="str">
        <f t="shared" si="3"/>
        <v>OK</v>
      </c>
    </row>
    <row r="53" spans="2:19" ht="25.25" x14ac:dyDescent="0.75">
      <c r="B53" s="348"/>
      <c r="C53" s="323"/>
      <c r="D53" s="324"/>
      <c r="E53" s="326"/>
      <c r="F53" s="77">
        <v>2580</v>
      </c>
      <c r="G53" s="77"/>
      <c r="H53" s="77"/>
      <c r="I53" s="77">
        <f>SUM(F53:H53)</f>
        <v>2580</v>
      </c>
      <c r="J53" s="127" t="s">
        <v>192</v>
      </c>
      <c r="K53" s="77"/>
      <c r="L53" s="77"/>
      <c r="M53" s="77"/>
      <c r="N53" s="77">
        <f t="shared" si="44"/>
        <v>0</v>
      </c>
      <c r="O53" s="77">
        <f>F53-K53</f>
        <v>2580</v>
      </c>
      <c r="P53" s="77">
        <f t="shared" ref="P53:Q54" si="46">G53-L53</f>
        <v>0</v>
      </c>
      <c r="Q53" s="77">
        <f t="shared" si="46"/>
        <v>0</v>
      </c>
      <c r="R53" s="128">
        <f t="shared" si="34"/>
        <v>2580</v>
      </c>
      <c r="S53" t="str">
        <f t="shared" si="3"/>
        <v>OK</v>
      </c>
    </row>
    <row r="54" spans="2:19" ht="25.25" x14ac:dyDescent="0.75">
      <c r="B54" s="348"/>
      <c r="C54" s="323"/>
      <c r="D54" s="324"/>
      <c r="E54" s="327"/>
      <c r="F54" s="77"/>
      <c r="G54" s="77"/>
      <c r="H54" s="77"/>
      <c r="I54" s="77">
        <f t="shared" ref="I54:I55" si="47">SUM(F54:H54)</f>
        <v>0</v>
      </c>
      <c r="J54" s="127" t="s">
        <v>193</v>
      </c>
      <c r="K54" s="77"/>
      <c r="L54" s="77"/>
      <c r="M54" s="77"/>
      <c r="N54" s="77">
        <f t="shared" si="44"/>
        <v>0</v>
      </c>
      <c r="O54" s="77">
        <f>F54-K54</f>
        <v>0</v>
      </c>
      <c r="P54" s="77">
        <f t="shared" si="46"/>
        <v>0</v>
      </c>
      <c r="Q54" s="77">
        <f t="shared" si="46"/>
        <v>0</v>
      </c>
      <c r="R54" s="128">
        <f t="shared" si="34"/>
        <v>0</v>
      </c>
    </row>
    <row r="55" spans="2:19" ht="33" customHeight="1" x14ac:dyDescent="0.75">
      <c r="B55" s="348" t="s">
        <v>235</v>
      </c>
      <c r="C55" s="349">
        <v>492</v>
      </c>
      <c r="D55" s="324">
        <f>I55</f>
        <v>5790.0999999999995</v>
      </c>
      <c r="E55" s="325"/>
      <c r="F55" s="77">
        <f>F56+F57</f>
        <v>4456.8</v>
      </c>
      <c r="G55" s="77">
        <f>G56+G57</f>
        <v>888.9</v>
      </c>
      <c r="H55" s="77">
        <f>H56+H57</f>
        <v>444.4</v>
      </c>
      <c r="I55" s="77">
        <f t="shared" si="47"/>
        <v>5790.0999999999995</v>
      </c>
      <c r="J55" s="127" t="s">
        <v>10</v>
      </c>
      <c r="K55" s="77">
        <f>K56+K57</f>
        <v>0</v>
      </c>
      <c r="L55" s="77">
        <f>L56+L57</f>
        <v>0</v>
      </c>
      <c r="M55" s="77">
        <f>M56+M57</f>
        <v>0</v>
      </c>
      <c r="N55" s="77">
        <f t="shared" si="44"/>
        <v>0</v>
      </c>
      <c r="O55" s="77">
        <f>O56+O57</f>
        <v>4456.8</v>
      </c>
      <c r="P55" s="77">
        <f>P56+P57</f>
        <v>888.9</v>
      </c>
      <c r="Q55" s="77">
        <f>Q56+Q57</f>
        <v>444.4</v>
      </c>
      <c r="R55" s="128">
        <f t="shared" si="34"/>
        <v>5790.0999999999995</v>
      </c>
      <c r="S55" t="str">
        <f t="shared" si="3"/>
        <v>OK</v>
      </c>
    </row>
    <row r="56" spans="2:19" ht="33" customHeight="1" x14ac:dyDescent="0.75">
      <c r="B56" s="348"/>
      <c r="C56" s="349"/>
      <c r="D56" s="324"/>
      <c r="E56" s="326"/>
      <c r="F56" s="77">
        <v>4456.8</v>
      </c>
      <c r="G56" s="77">
        <v>888.9</v>
      </c>
      <c r="H56" s="77">
        <v>444.4</v>
      </c>
      <c r="I56" s="77">
        <f>SUM(F56:H56)</f>
        <v>5790.0999999999995</v>
      </c>
      <c r="J56" s="127" t="s">
        <v>192</v>
      </c>
      <c r="K56" s="77"/>
      <c r="L56" s="77"/>
      <c r="M56" s="77"/>
      <c r="N56" s="77">
        <f t="shared" si="44"/>
        <v>0</v>
      </c>
      <c r="O56" s="77">
        <f>F56-K56</f>
        <v>4456.8</v>
      </c>
      <c r="P56" s="77">
        <f t="shared" ref="P56" si="48">G56-L56</f>
        <v>888.9</v>
      </c>
      <c r="Q56" s="77">
        <f>H56-M56</f>
        <v>444.4</v>
      </c>
      <c r="R56" s="128">
        <f>SUM(O56:Q56)</f>
        <v>5790.0999999999995</v>
      </c>
      <c r="S56" t="str">
        <f t="shared" si="3"/>
        <v>OK</v>
      </c>
    </row>
    <row r="57" spans="2:19" ht="33" customHeight="1" x14ac:dyDescent="0.75">
      <c r="B57" s="348"/>
      <c r="C57" s="349"/>
      <c r="D57" s="324"/>
      <c r="E57" s="327"/>
      <c r="F57" s="77"/>
      <c r="G57" s="77"/>
      <c r="H57" s="77"/>
      <c r="I57" s="77">
        <f t="shared" ref="I57:I107" si="49">SUM(F57:H57)</f>
        <v>0</v>
      </c>
      <c r="J57" s="127" t="s">
        <v>193</v>
      </c>
      <c r="K57" s="77"/>
      <c r="L57" s="77"/>
      <c r="M57" s="77"/>
      <c r="N57" s="77">
        <f t="shared" si="44"/>
        <v>0</v>
      </c>
      <c r="O57" s="77">
        <f>F57-K57</f>
        <v>0</v>
      </c>
      <c r="P57" s="77">
        <f>G57-L57</f>
        <v>0</v>
      </c>
      <c r="Q57" s="77">
        <f>H57-M57</f>
        <v>0</v>
      </c>
      <c r="R57" s="128">
        <f>SUM(O57:Q57)</f>
        <v>0</v>
      </c>
    </row>
    <row r="58" spans="2:19" ht="25.25" x14ac:dyDescent="0.75">
      <c r="B58" s="355" t="s">
        <v>206</v>
      </c>
      <c r="C58" s="323">
        <v>653</v>
      </c>
      <c r="D58" s="359">
        <f>I58</f>
        <v>2370.4</v>
      </c>
      <c r="E58" s="326"/>
      <c r="F58" s="137">
        <f>F59+F60</f>
        <v>2370.4</v>
      </c>
      <c r="G58" s="137">
        <f>G59+G60</f>
        <v>0</v>
      </c>
      <c r="H58" s="137">
        <f>H59+H60</f>
        <v>0</v>
      </c>
      <c r="I58" s="137">
        <f>SUM(F58:H58)</f>
        <v>2370.4</v>
      </c>
      <c r="J58" s="138" t="s">
        <v>10</v>
      </c>
      <c r="K58" s="137">
        <f>K59+K60</f>
        <v>0</v>
      </c>
      <c r="L58" s="137">
        <f>L59+L60</f>
        <v>0</v>
      </c>
      <c r="M58" s="137">
        <f>M59+M60</f>
        <v>0</v>
      </c>
      <c r="N58" s="137">
        <f t="shared" ref="N58:N105" si="50">SUM(K58:M58)</f>
        <v>0</v>
      </c>
      <c r="O58" s="137">
        <f>O59+O60</f>
        <v>2370.4</v>
      </c>
      <c r="P58" s="137">
        <f>P59+P60</f>
        <v>0</v>
      </c>
      <c r="Q58" s="137">
        <f>Q59+Q60</f>
        <v>0</v>
      </c>
      <c r="R58" s="139">
        <f t="shared" ref="R58:R61" si="51">SUM(O58:Q58)</f>
        <v>2370.4</v>
      </c>
      <c r="S58" t="str">
        <f t="shared" si="3"/>
        <v>OK</v>
      </c>
    </row>
    <row r="59" spans="2:19" ht="25.25" x14ac:dyDescent="0.75">
      <c r="B59" s="348"/>
      <c r="C59" s="323"/>
      <c r="D59" s="324"/>
      <c r="E59" s="326"/>
      <c r="F59" s="77">
        <v>2370.4</v>
      </c>
      <c r="G59" s="77"/>
      <c r="H59" s="77"/>
      <c r="I59" s="77">
        <f>SUM(F59:H59)</f>
        <v>2370.4</v>
      </c>
      <c r="J59" s="127" t="s">
        <v>192</v>
      </c>
      <c r="K59" s="77"/>
      <c r="L59" s="77"/>
      <c r="M59" s="77"/>
      <c r="N59" s="77">
        <f t="shared" si="50"/>
        <v>0</v>
      </c>
      <c r="O59" s="77">
        <f>F59-K59</f>
        <v>2370.4</v>
      </c>
      <c r="P59" s="77">
        <f t="shared" ref="P59:Q60" si="52">G59-L59</f>
        <v>0</v>
      </c>
      <c r="Q59" s="77">
        <f t="shared" si="52"/>
        <v>0</v>
      </c>
      <c r="R59" s="128">
        <f t="shared" si="51"/>
        <v>2370.4</v>
      </c>
      <c r="S59" t="str">
        <f t="shared" si="3"/>
        <v>OK</v>
      </c>
    </row>
    <row r="60" spans="2:19" ht="25.25" x14ac:dyDescent="0.75">
      <c r="B60" s="348"/>
      <c r="C60" s="323"/>
      <c r="D60" s="324"/>
      <c r="E60" s="327"/>
      <c r="F60" s="77"/>
      <c r="G60" s="77"/>
      <c r="H60" s="77"/>
      <c r="I60" s="77">
        <f t="shared" ref="I60:I61" si="53">SUM(F60:H60)</f>
        <v>0</v>
      </c>
      <c r="J60" s="127" t="s">
        <v>193</v>
      </c>
      <c r="K60" s="77"/>
      <c r="L60" s="77"/>
      <c r="M60" s="77"/>
      <c r="N60" s="77">
        <f t="shared" si="50"/>
        <v>0</v>
      </c>
      <c r="O60" s="77">
        <f>F60-K60</f>
        <v>0</v>
      </c>
      <c r="P60" s="77">
        <f t="shared" si="52"/>
        <v>0</v>
      </c>
      <c r="Q60" s="77">
        <f t="shared" si="52"/>
        <v>0</v>
      </c>
      <c r="R60" s="128">
        <f t="shared" si="51"/>
        <v>0</v>
      </c>
    </row>
    <row r="61" spans="2:19" ht="32.25" customHeight="1" x14ac:dyDescent="0.75">
      <c r="B61" s="348" t="s">
        <v>204</v>
      </c>
      <c r="C61" s="349">
        <v>652</v>
      </c>
      <c r="D61" s="324">
        <f t="shared" ref="D61" si="54">I61</f>
        <v>740.7</v>
      </c>
      <c r="E61" s="325"/>
      <c r="F61" s="77">
        <f>F62+F63</f>
        <v>0</v>
      </c>
      <c r="G61" s="77">
        <f>G62+G63</f>
        <v>148.1</v>
      </c>
      <c r="H61" s="77">
        <f>H62+H63</f>
        <v>592.6</v>
      </c>
      <c r="I61" s="77">
        <f t="shared" si="53"/>
        <v>740.7</v>
      </c>
      <c r="J61" s="127" t="s">
        <v>10</v>
      </c>
      <c r="K61" s="77">
        <f>K62+K63</f>
        <v>0</v>
      </c>
      <c r="L61" s="77">
        <f>L62+L63</f>
        <v>0</v>
      </c>
      <c r="M61" s="77">
        <f>M62+M63</f>
        <v>0</v>
      </c>
      <c r="N61" s="77">
        <f t="shared" si="50"/>
        <v>0</v>
      </c>
      <c r="O61" s="77">
        <f>O62+O63</f>
        <v>0</v>
      </c>
      <c r="P61" s="77">
        <f>P62+P63</f>
        <v>148.1</v>
      </c>
      <c r="Q61" s="77">
        <f>Q62+Q63</f>
        <v>592.6</v>
      </c>
      <c r="R61" s="128">
        <f t="shared" si="51"/>
        <v>740.7</v>
      </c>
      <c r="S61" t="str">
        <f t="shared" si="3"/>
        <v>OK</v>
      </c>
    </row>
    <row r="62" spans="2:19" ht="32.25" customHeight="1" x14ac:dyDescent="0.75">
      <c r="B62" s="348"/>
      <c r="C62" s="349"/>
      <c r="D62" s="324"/>
      <c r="E62" s="326"/>
      <c r="F62" s="77"/>
      <c r="G62" s="77">
        <v>148.1</v>
      </c>
      <c r="H62" s="77">
        <v>592.6</v>
      </c>
      <c r="I62" s="77">
        <f>SUM(F62:H62)</f>
        <v>740.7</v>
      </c>
      <c r="J62" s="127" t="s">
        <v>192</v>
      </c>
      <c r="K62" s="77"/>
      <c r="L62" s="77"/>
      <c r="M62" s="77"/>
      <c r="N62" s="77">
        <f t="shared" si="50"/>
        <v>0</v>
      </c>
      <c r="O62" s="77">
        <f>F62-K62</f>
        <v>0</v>
      </c>
      <c r="P62" s="77">
        <f t="shared" ref="P62" si="55">G62-L62</f>
        <v>148.1</v>
      </c>
      <c r="Q62" s="77">
        <f>H62-M62</f>
        <v>592.6</v>
      </c>
      <c r="R62" s="128">
        <f>SUM(O62:Q62)</f>
        <v>740.7</v>
      </c>
      <c r="S62" t="str">
        <f t="shared" si="3"/>
        <v>OK</v>
      </c>
    </row>
    <row r="63" spans="2:19" ht="32.25" customHeight="1" x14ac:dyDescent="0.75">
      <c r="B63" s="348"/>
      <c r="C63" s="349"/>
      <c r="D63" s="324"/>
      <c r="E63" s="327"/>
      <c r="F63" s="77"/>
      <c r="G63" s="77"/>
      <c r="H63" s="77"/>
      <c r="I63" s="77">
        <f t="shared" ref="I63" si="56">SUM(F63:H63)</f>
        <v>0</v>
      </c>
      <c r="J63" s="127" t="s">
        <v>193</v>
      </c>
      <c r="K63" s="77"/>
      <c r="L63" s="77"/>
      <c r="M63" s="77"/>
      <c r="N63" s="77">
        <f t="shared" si="50"/>
        <v>0</v>
      </c>
      <c r="O63" s="77">
        <f>F63-K63</f>
        <v>0</v>
      </c>
      <c r="P63" s="77">
        <f>G63-L63</f>
        <v>0</v>
      </c>
      <c r="Q63" s="77">
        <f>H63-M63</f>
        <v>0</v>
      </c>
      <c r="R63" s="128">
        <f>SUM(O63:Q63)</f>
        <v>0</v>
      </c>
    </row>
    <row r="64" spans="2:19" ht="25.25" x14ac:dyDescent="0.75">
      <c r="B64" s="373" t="s">
        <v>205</v>
      </c>
      <c r="C64" s="322">
        <v>792</v>
      </c>
      <c r="D64" s="324">
        <f t="shared" ref="D64" si="57">I64</f>
        <v>3456.8</v>
      </c>
      <c r="E64" s="325"/>
      <c r="F64" s="77">
        <f>F65+F66</f>
        <v>3456.8</v>
      </c>
      <c r="G64" s="77">
        <f>G65+G66</f>
        <v>0</v>
      </c>
      <c r="H64" s="77">
        <f>H65+H66</f>
        <v>0</v>
      </c>
      <c r="I64" s="77">
        <f>SUM(F64:H64)</f>
        <v>3456.8</v>
      </c>
      <c r="J64" s="127" t="s">
        <v>10</v>
      </c>
      <c r="K64" s="77">
        <f>K65+K66</f>
        <v>0</v>
      </c>
      <c r="L64" s="77">
        <f>L65+L66</f>
        <v>0</v>
      </c>
      <c r="M64" s="77">
        <f>M65+M66</f>
        <v>0</v>
      </c>
      <c r="N64" s="77">
        <f t="shared" si="50"/>
        <v>0</v>
      </c>
      <c r="O64" s="77">
        <f>O65+O66</f>
        <v>3456.8</v>
      </c>
      <c r="P64" s="77">
        <f>P65+P66</f>
        <v>0</v>
      </c>
      <c r="Q64" s="77">
        <f>Q65+Q66</f>
        <v>0</v>
      </c>
      <c r="R64" s="128">
        <f t="shared" ref="R64:R67" si="58">SUM(O64:Q64)</f>
        <v>3456.8</v>
      </c>
      <c r="S64" t="str">
        <f t="shared" si="3"/>
        <v>OK</v>
      </c>
    </row>
    <row r="65" spans="2:19" ht="25.25" x14ac:dyDescent="0.75">
      <c r="B65" s="348"/>
      <c r="C65" s="323"/>
      <c r="D65" s="324"/>
      <c r="E65" s="326"/>
      <c r="F65" s="77">
        <v>3456.8</v>
      </c>
      <c r="G65" s="77"/>
      <c r="H65" s="77"/>
      <c r="I65" s="77">
        <f>SUM(F65:H65)</f>
        <v>3456.8</v>
      </c>
      <c r="J65" s="127" t="s">
        <v>192</v>
      </c>
      <c r="K65" s="77"/>
      <c r="L65" s="77"/>
      <c r="M65" s="77"/>
      <c r="N65" s="77">
        <f t="shared" si="50"/>
        <v>0</v>
      </c>
      <c r="O65" s="77">
        <f>F65-K65</f>
        <v>3456.8</v>
      </c>
      <c r="P65" s="77">
        <f t="shared" ref="P65:Q66" si="59">G65-L65</f>
        <v>0</v>
      </c>
      <c r="Q65" s="77">
        <f t="shared" si="59"/>
        <v>0</v>
      </c>
      <c r="R65" s="128">
        <f t="shared" si="58"/>
        <v>3456.8</v>
      </c>
      <c r="S65" t="str">
        <f t="shared" si="3"/>
        <v>OK</v>
      </c>
    </row>
    <row r="66" spans="2:19" ht="25.25" x14ac:dyDescent="0.75">
      <c r="B66" s="348"/>
      <c r="C66" s="356"/>
      <c r="D66" s="324"/>
      <c r="E66" s="327"/>
      <c r="F66" s="77"/>
      <c r="G66" s="77"/>
      <c r="H66" s="77"/>
      <c r="I66" s="77">
        <f t="shared" ref="I66:I67" si="60">SUM(F66:H66)</f>
        <v>0</v>
      </c>
      <c r="J66" s="127" t="s">
        <v>193</v>
      </c>
      <c r="K66" s="77"/>
      <c r="L66" s="77"/>
      <c r="M66" s="77"/>
      <c r="N66" s="77">
        <f t="shared" si="50"/>
        <v>0</v>
      </c>
      <c r="O66" s="77">
        <f>F66-K66</f>
        <v>0</v>
      </c>
      <c r="P66" s="77">
        <f t="shared" si="59"/>
        <v>0</v>
      </c>
      <c r="Q66" s="77">
        <f t="shared" si="59"/>
        <v>0</v>
      </c>
      <c r="R66" s="128">
        <f t="shared" si="58"/>
        <v>0</v>
      </c>
    </row>
    <row r="67" spans="2:19" ht="34.5" customHeight="1" x14ac:dyDescent="0.75">
      <c r="B67" s="348" t="s">
        <v>207</v>
      </c>
      <c r="C67" s="349">
        <v>651</v>
      </c>
      <c r="D67" s="324">
        <f t="shared" ref="D67" si="61">I67</f>
        <v>4600</v>
      </c>
      <c r="E67" s="325"/>
      <c r="F67" s="77">
        <f>F68+F69</f>
        <v>1600</v>
      </c>
      <c r="G67" s="77">
        <f>G68+G69</f>
        <v>1600</v>
      </c>
      <c r="H67" s="77">
        <f>H68+H69</f>
        <v>1400</v>
      </c>
      <c r="I67" s="77">
        <f t="shared" si="60"/>
        <v>4600</v>
      </c>
      <c r="J67" s="127" t="s">
        <v>10</v>
      </c>
      <c r="K67" s="77">
        <f>K68+K69</f>
        <v>0</v>
      </c>
      <c r="L67" s="77">
        <f>L68+L69</f>
        <v>0</v>
      </c>
      <c r="M67" s="77">
        <f>M68+M69</f>
        <v>0</v>
      </c>
      <c r="N67" s="77">
        <f t="shared" si="50"/>
        <v>0</v>
      </c>
      <c r="O67" s="77">
        <f>O68+O69</f>
        <v>1600</v>
      </c>
      <c r="P67" s="77">
        <f>P68+P69</f>
        <v>1600</v>
      </c>
      <c r="Q67" s="77">
        <f>Q68+Q69</f>
        <v>1400</v>
      </c>
      <c r="R67" s="128">
        <f t="shared" si="58"/>
        <v>4600</v>
      </c>
      <c r="S67" t="str">
        <f t="shared" si="3"/>
        <v>OK</v>
      </c>
    </row>
    <row r="68" spans="2:19" ht="34.5" customHeight="1" x14ac:dyDescent="0.75">
      <c r="B68" s="348"/>
      <c r="C68" s="349"/>
      <c r="D68" s="324"/>
      <c r="E68" s="326"/>
      <c r="F68" s="77">
        <v>1600</v>
      </c>
      <c r="G68" s="77">
        <v>1600</v>
      </c>
      <c r="H68" s="77">
        <v>1400</v>
      </c>
      <c r="I68" s="77">
        <f>SUM(F68:H68)</f>
        <v>4600</v>
      </c>
      <c r="J68" s="127" t="s">
        <v>192</v>
      </c>
      <c r="K68" s="77"/>
      <c r="L68" s="77"/>
      <c r="M68" s="77"/>
      <c r="N68" s="77">
        <f t="shared" si="50"/>
        <v>0</v>
      </c>
      <c r="O68" s="77">
        <f>F68-K68</f>
        <v>1600</v>
      </c>
      <c r="P68" s="77">
        <f t="shared" ref="P68" si="62">G68-L68</f>
        <v>1600</v>
      </c>
      <c r="Q68" s="77">
        <f>H68-M68</f>
        <v>1400</v>
      </c>
      <c r="R68" s="128">
        <f>SUM(O68:Q68)</f>
        <v>4600</v>
      </c>
      <c r="S68" t="str">
        <f t="shared" si="3"/>
        <v>OK</v>
      </c>
    </row>
    <row r="69" spans="2:19" ht="34.5" customHeight="1" x14ac:dyDescent="0.75">
      <c r="B69" s="348"/>
      <c r="C69" s="349"/>
      <c r="D69" s="324"/>
      <c r="E69" s="327"/>
      <c r="F69" s="77"/>
      <c r="G69" s="77"/>
      <c r="H69" s="77"/>
      <c r="I69" s="77">
        <f t="shared" ref="I69" si="63">SUM(F69:H69)</f>
        <v>0</v>
      </c>
      <c r="J69" s="127" t="s">
        <v>193</v>
      </c>
      <c r="K69" s="77"/>
      <c r="L69" s="77"/>
      <c r="M69" s="77"/>
      <c r="N69" s="77">
        <f t="shared" si="50"/>
        <v>0</v>
      </c>
      <c r="O69" s="77">
        <f>F69-K69</f>
        <v>0</v>
      </c>
      <c r="P69" s="77">
        <f>G69-L69</f>
        <v>0</v>
      </c>
      <c r="Q69" s="77">
        <f>H69-M69</f>
        <v>0</v>
      </c>
      <c r="R69" s="128">
        <f>SUM(O69:Q69)</f>
        <v>0</v>
      </c>
    </row>
    <row r="70" spans="2:19" ht="25.25" x14ac:dyDescent="0.75">
      <c r="B70" s="355" t="s">
        <v>236</v>
      </c>
      <c r="C70" s="323">
        <v>645</v>
      </c>
      <c r="D70" s="359">
        <f t="shared" ref="D70" si="64">I70</f>
        <v>600</v>
      </c>
      <c r="E70" s="326"/>
      <c r="F70" s="137">
        <f>F71+F72</f>
        <v>300</v>
      </c>
      <c r="G70" s="137">
        <f>G71+G72</f>
        <v>300</v>
      </c>
      <c r="H70" s="137">
        <f>H71+H72</f>
        <v>0</v>
      </c>
      <c r="I70" s="137">
        <f>SUM(F70:H70)</f>
        <v>600</v>
      </c>
      <c r="J70" s="138" t="s">
        <v>10</v>
      </c>
      <c r="K70" s="137">
        <f>K71+K72</f>
        <v>0</v>
      </c>
      <c r="L70" s="137">
        <f>L71+L72</f>
        <v>0</v>
      </c>
      <c r="M70" s="137">
        <f>M71+M72</f>
        <v>0</v>
      </c>
      <c r="N70" s="137">
        <f t="shared" si="50"/>
        <v>0</v>
      </c>
      <c r="O70" s="137">
        <f>O71+O72</f>
        <v>300</v>
      </c>
      <c r="P70" s="137">
        <f>P71+P72</f>
        <v>300</v>
      </c>
      <c r="Q70" s="137">
        <f>Q71+Q72</f>
        <v>0</v>
      </c>
      <c r="R70" s="139">
        <f t="shared" ref="R70:R73" si="65">SUM(O70:Q70)</f>
        <v>600</v>
      </c>
      <c r="S70" t="str">
        <f t="shared" si="3"/>
        <v>OK</v>
      </c>
    </row>
    <row r="71" spans="2:19" ht="20.25" customHeight="1" x14ac:dyDescent="0.75">
      <c r="B71" s="348"/>
      <c r="C71" s="323"/>
      <c r="D71" s="324"/>
      <c r="E71" s="326"/>
      <c r="F71" s="77">
        <v>300</v>
      </c>
      <c r="G71" s="77">
        <v>300</v>
      </c>
      <c r="H71" s="77">
        <v>0</v>
      </c>
      <c r="I71" s="77">
        <f>SUM(F71:H71)</f>
        <v>600</v>
      </c>
      <c r="J71" s="127" t="s">
        <v>192</v>
      </c>
      <c r="K71" s="77"/>
      <c r="L71" s="77"/>
      <c r="M71" s="77"/>
      <c r="N71" s="77">
        <f t="shared" si="50"/>
        <v>0</v>
      </c>
      <c r="O71" s="77">
        <f>F71-K71</f>
        <v>300</v>
      </c>
      <c r="P71" s="77">
        <f t="shared" ref="P71:Q72" si="66">G71-L71</f>
        <v>300</v>
      </c>
      <c r="Q71" s="77">
        <f t="shared" si="66"/>
        <v>0</v>
      </c>
      <c r="R71" s="128">
        <f t="shared" si="65"/>
        <v>600</v>
      </c>
      <c r="S71" t="str">
        <f t="shared" si="3"/>
        <v>OK</v>
      </c>
    </row>
    <row r="72" spans="2:19" ht="19.5" customHeight="1" x14ac:dyDescent="0.75">
      <c r="B72" s="348"/>
      <c r="C72" s="323"/>
      <c r="D72" s="324"/>
      <c r="E72" s="327"/>
      <c r="F72" s="77"/>
      <c r="G72" s="77"/>
      <c r="H72" s="77"/>
      <c r="I72" s="77">
        <f t="shared" ref="I72:I73" si="67">SUM(F72:H72)</f>
        <v>0</v>
      </c>
      <c r="J72" s="127" t="s">
        <v>193</v>
      </c>
      <c r="K72" s="77"/>
      <c r="L72" s="77"/>
      <c r="M72" s="77"/>
      <c r="N72" s="77">
        <f t="shared" si="50"/>
        <v>0</v>
      </c>
      <c r="O72" s="77">
        <f>F72-K72</f>
        <v>0</v>
      </c>
      <c r="P72" s="77">
        <f t="shared" si="66"/>
        <v>0</v>
      </c>
      <c r="Q72" s="77">
        <f t="shared" si="66"/>
        <v>0</v>
      </c>
      <c r="R72" s="128">
        <f t="shared" si="65"/>
        <v>0</v>
      </c>
    </row>
    <row r="73" spans="2:19" ht="25.25" x14ac:dyDescent="0.75">
      <c r="B73" s="348" t="s">
        <v>238</v>
      </c>
      <c r="C73" s="349">
        <v>506</v>
      </c>
      <c r="D73" s="324">
        <f t="shared" ref="D73" si="68">I73</f>
        <v>830</v>
      </c>
      <c r="E73" s="325"/>
      <c r="F73" s="77">
        <f>F74+F75</f>
        <v>830</v>
      </c>
      <c r="G73" s="77">
        <f>G74+G75</f>
        <v>0</v>
      </c>
      <c r="H73" s="77">
        <f>H74+H75</f>
        <v>0</v>
      </c>
      <c r="I73" s="77">
        <f t="shared" si="67"/>
        <v>830</v>
      </c>
      <c r="J73" s="127" t="s">
        <v>10</v>
      </c>
      <c r="K73" s="77">
        <f>K74+K75</f>
        <v>0</v>
      </c>
      <c r="L73" s="77">
        <f>L74+L75</f>
        <v>0</v>
      </c>
      <c r="M73" s="77">
        <f>M74+M75</f>
        <v>0</v>
      </c>
      <c r="N73" s="77">
        <f t="shared" si="50"/>
        <v>0</v>
      </c>
      <c r="O73" s="77">
        <f>O74+O75</f>
        <v>830</v>
      </c>
      <c r="P73" s="77">
        <f>P74+P75</f>
        <v>0</v>
      </c>
      <c r="Q73" s="77">
        <f>Q74+Q75</f>
        <v>0</v>
      </c>
      <c r="R73" s="128">
        <f t="shared" si="65"/>
        <v>830</v>
      </c>
      <c r="S73" t="str">
        <f t="shared" si="3"/>
        <v>OK</v>
      </c>
    </row>
    <row r="74" spans="2:19" ht="25.25" x14ac:dyDescent="0.75">
      <c r="B74" s="348"/>
      <c r="C74" s="349"/>
      <c r="D74" s="324"/>
      <c r="E74" s="326"/>
      <c r="F74" s="77">
        <v>830</v>
      </c>
      <c r="G74" s="77"/>
      <c r="H74" s="77"/>
      <c r="I74" s="77">
        <f>SUM(F74:H74)</f>
        <v>830</v>
      </c>
      <c r="J74" s="127" t="s">
        <v>192</v>
      </c>
      <c r="K74" s="77"/>
      <c r="L74" s="77"/>
      <c r="M74" s="77"/>
      <c r="N74" s="77">
        <f t="shared" si="50"/>
        <v>0</v>
      </c>
      <c r="O74" s="77">
        <f>F74-K74</f>
        <v>830</v>
      </c>
      <c r="P74" s="77">
        <f t="shared" ref="P74" si="69">G74-L74</f>
        <v>0</v>
      </c>
      <c r="Q74" s="77">
        <f>H74-M74</f>
        <v>0</v>
      </c>
      <c r="R74" s="128">
        <f>SUM(O74:Q74)</f>
        <v>830</v>
      </c>
      <c r="S74" t="str">
        <f t="shared" si="3"/>
        <v>OK</v>
      </c>
    </row>
    <row r="75" spans="2:19" ht="25.25" x14ac:dyDescent="0.75">
      <c r="B75" s="348"/>
      <c r="C75" s="349"/>
      <c r="D75" s="324"/>
      <c r="E75" s="327"/>
      <c r="F75" s="77"/>
      <c r="G75" s="77"/>
      <c r="H75" s="77"/>
      <c r="I75" s="77">
        <f t="shared" ref="I75" si="70">SUM(F75:H75)</f>
        <v>0</v>
      </c>
      <c r="J75" s="127" t="s">
        <v>193</v>
      </c>
      <c r="K75" s="77"/>
      <c r="L75" s="77"/>
      <c r="M75" s="77"/>
      <c r="N75" s="77">
        <f t="shared" si="50"/>
        <v>0</v>
      </c>
      <c r="O75" s="77">
        <f>F75-K75</f>
        <v>0</v>
      </c>
      <c r="P75" s="77">
        <f>G75-L75</f>
        <v>0</v>
      </c>
      <c r="Q75" s="77">
        <f>H75-M75</f>
        <v>0</v>
      </c>
      <c r="R75" s="128">
        <f>SUM(O75:Q75)</f>
        <v>0</v>
      </c>
    </row>
    <row r="76" spans="2:19" ht="32.25" customHeight="1" x14ac:dyDescent="0.75">
      <c r="B76" s="355" t="s">
        <v>237</v>
      </c>
      <c r="C76" s="323">
        <v>644</v>
      </c>
      <c r="D76" s="359">
        <f t="shared" ref="D76" si="71">I76</f>
        <v>310</v>
      </c>
      <c r="E76" s="326"/>
      <c r="F76" s="137">
        <f>F77+F78</f>
        <v>310</v>
      </c>
      <c r="G76" s="137">
        <f>G77+G78</f>
        <v>0</v>
      </c>
      <c r="H76" s="137">
        <f>H77+H78</f>
        <v>0</v>
      </c>
      <c r="I76" s="137">
        <f>SUM(F76:H76)</f>
        <v>310</v>
      </c>
      <c r="J76" s="138" t="s">
        <v>10</v>
      </c>
      <c r="K76" s="137">
        <f>K77+K78</f>
        <v>0</v>
      </c>
      <c r="L76" s="137">
        <f>L77+L78</f>
        <v>0</v>
      </c>
      <c r="M76" s="137">
        <f>M77+M78</f>
        <v>0</v>
      </c>
      <c r="N76" s="137">
        <f t="shared" si="50"/>
        <v>0</v>
      </c>
      <c r="O76" s="137">
        <f>O77+O78</f>
        <v>310</v>
      </c>
      <c r="P76" s="137">
        <f>P77+P78</f>
        <v>0</v>
      </c>
      <c r="Q76" s="137">
        <f>Q77+Q78</f>
        <v>0</v>
      </c>
      <c r="R76" s="139">
        <f t="shared" ref="R76:R78" si="72">SUM(O76:Q76)</f>
        <v>310</v>
      </c>
      <c r="S76" t="str">
        <f t="shared" ref="S76:S114" si="73">IF(SUM(F76:I76,K76:R76)&lt;&gt;0, "OK", "-")</f>
        <v>OK</v>
      </c>
    </row>
    <row r="77" spans="2:19" ht="32.25" customHeight="1" x14ac:dyDescent="0.75">
      <c r="B77" s="348"/>
      <c r="C77" s="323"/>
      <c r="D77" s="324"/>
      <c r="E77" s="326"/>
      <c r="F77" s="77">
        <v>310</v>
      </c>
      <c r="G77" s="77"/>
      <c r="H77" s="77"/>
      <c r="I77" s="77">
        <f>SUM(F77:H77)</f>
        <v>310</v>
      </c>
      <c r="J77" s="127" t="s">
        <v>192</v>
      </c>
      <c r="K77" s="77"/>
      <c r="L77" s="77"/>
      <c r="M77" s="77"/>
      <c r="N77" s="77">
        <f t="shared" si="50"/>
        <v>0</v>
      </c>
      <c r="O77" s="77">
        <f>F77-K77</f>
        <v>310</v>
      </c>
      <c r="P77" s="77">
        <f t="shared" ref="P77:Q78" si="74">G77-L77</f>
        <v>0</v>
      </c>
      <c r="Q77" s="77">
        <f t="shared" si="74"/>
        <v>0</v>
      </c>
      <c r="R77" s="128">
        <f t="shared" si="72"/>
        <v>310</v>
      </c>
      <c r="S77" t="str">
        <f t="shared" si="73"/>
        <v>OK</v>
      </c>
    </row>
    <row r="78" spans="2:19" ht="32.25" customHeight="1" x14ac:dyDescent="0.75">
      <c r="B78" s="348"/>
      <c r="C78" s="323"/>
      <c r="D78" s="324"/>
      <c r="E78" s="327"/>
      <c r="F78" s="77"/>
      <c r="G78" s="77"/>
      <c r="H78" s="77"/>
      <c r="I78" s="77">
        <f t="shared" ref="I78" si="75">SUM(F78:H78)</f>
        <v>0</v>
      </c>
      <c r="J78" s="127" t="s">
        <v>193</v>
      </c>
      <c r="K78" s="77"/>
      <c r="L78" s="77"/>
      <c r="M78" s="77"/>
      <c r="N78" s="77">
        <f t="shared" si="50"/>
        <v>0</v>
      </c>
      <c r="O78" s="77">
        <f>F78-K78</f>
        <v>0</v>
      </c>
      <c r="P78" s="77">
        <f t="shared" si="74"/>
        <v>0</v>
      </c>
      <c r="Q78" s="77">
        <f t="shared" si="74"/>
        <v>0</v>
      </c>
      <c r="R78" s="128">
        <f t="shared" si="72"/>
        <v>0</v>
      </c>
    </row>
    <row r="79" spans="2:19" ht="25.25" x14ac:dyDescent="0.75">
      <c r="B79" s="355" t="s">
        <v>242</v>
      </c>
      <c r="C79" s="323">
        <v>642</v>
      </c>
      <c r="D79" s="359">
        <f t="shared" ref="D79" si="76">I79</f>
        <v>408</v>
      </c>
      <c r="E79" s="326"/>
      <c r="F79" s="137">
        <f>F80+F81</f>
        <v>395.5</v>
      </c>
      <c r="G79" s="137">
        <f>G80+G81</f>
        <v>12.5</v>
      </c>
      <c r="H79" s="137">
        <f>H80+H81</f>
        <v>0</v>
      </c>
      <c r="I79" s="137">
        <f>SUM(F79:H79)</f>
        <v>408</v>
      </c>
      <c r="J79" s="138" t="s">
        <v>10</v>
      </c>
      <c r="K79" s="137">
        <f>K80+K81</f>
        <v>0</v>
      </c>
      <c r="L79" s="137">
        <f>L80+L81</f>
        <v>0</v>
      </c>
      <c r="M79" s="137">
        <f>M80+M81</f>
        <v>0</v>
      </c>
      <c r="N79" s="137">
        <f t="shared" si="50"/>
        <v>0</v>
      </c>
      <c r="O79" s="137">
        <f>O80+O81</f>
        <v>395.5</v>
      </c>
      <c r="P79" s="137">
        <f>P80+P81</f>
        <v>12.5</v>
      </c>
      <c r="Q79" s="137">
        <f>Q80+Q81</f>
        <v>0</v>
      </c>
      <c r="R79" s="139">
        <f t="shared" ref="R79:R82" si="77">SUM(O79:Q79)</f>
        <v>408</v>
      </c>
      <c r="S79" t="str">
        <f t="shared" si="73"/>
        <v>OK</v>
      </c>
    </row>
    <row r="80" spans="2:19" ht="25.25" x14ac:dyDescent="0.75">
      <c r="B80" s="348"/>
      <c r="C80" s="323"/>
      <c r="D80" s="324"/>
      <c r="E80" s="326"/>
      <c r="F80" s="77">
        <v>395.5</v>
      </c>
      <c r="G80" s="77">
        <v>12.5</v>
      </c>
      <c r="H80" s="77"/>
      <c r="I80" s="77">
        <f>SUM(F80:H80)</f>
        <v>408</v>
      </c>
      <c r="J80" s="127" t="s">
        <v>192</v>
      </c>
      <c r="K80" s="77"/>
      <c r="L80" s="77"/>
      <c r="M80" s="77"/>
      <c r="N80" s="77">
        <f t="shared" si="50"/>
        <v>0</v>
      </c>
      <c r="O80" s="77">
        <f>F80-K80</f>
        <v>395.5</v>
      </c>
      <c r="P80" s="77">
        <f t="shared" ref="P80:Q81" si="78">G80-L80</f>
        <v>12.5</v>
      </c>
      <c r="Q80" s="77">
        <f t="shared" si="78"/>
        <v>0</v>
      </c>
      <c r="R80" s="128">
        <f t="shared" si="77"/>
        <v>408</v>
      </c>
      <c r="S80" t="str">
        <f t="shared" si="73"/>
        <v>OK</v>
      </c>
    </row>
    <row r="81" spans="2:19" ht="25.25" x14ac:dyDescent="0.75">
      <c r="B81" s="348"/>
      <c r="C81" s="323"/>
      <c r="D81" s="324"/>
      <c r="E81" s="327"/>
      <c r="F81" s="77"/>
      <c r="G81" s="77"/>
      <c r="H81" s="77"/>
      <c r="I81" s="77">
        <f t="shared" ref="I81:I82" si="79">SUM(F81:H81)</f>
        <v>0</v>
      </c>
      <c r="J81" s="127" t="s">
        <v>193</v>
      </c>
      <c r="K81" s="77"/>
      <c r="L81" s="77"/>
      <c r="M81" s="77"/>
      <c r="N81" s="77">
        <f t="shared" si="50"/>
        <v>0</v>
      </c>
      <c r="O81" s="77">
        <f>F81-K81</f>
        <v>0</v>
      </c>
      <c r="P81" s="77">
        <f t="shared" si="78"/>
        <v>0</v>
      </c>
      <c r="Q81" s="77">
        <f t="shared" si="78"/>
        <v>0</v>
      </c>
      <c r="R81" s="128">
        <f t="shared" si="77"/>
        <v>0</v>
      </c>
    </row>
    <row r="82" spans="2:19" ht="31.5" customHeight="1" x14ac:dyDescent="0.75">
      <c r="B82" s="348" t="s">
        <v>243</v>
      </c>
      <c r="C82" s="349">
        <v>507</v>
      </c>
      <c r="D82" s="324">
        <f t="shared" ref="D82" si="80">I82</f>
        <v>4985</v>
      </c>
      <c r="E82" s="325"/>
      <c r="F82" s="77">
        <f>F83+F84</f>
        <v>2500</v>
      </c>
      <c r="G82" s="77">
        <f>G83+G84</f>
        <v>1500</v>
      </c>
      <c r="H82" s="77">
        <f>H83+H84</f>
        <v>985</v>
      </c>
      <c r="I82" s="77">
        <f t="shared" si="79"/>
        <v>4985</v>
      </c>
      <c r="J82" s="127" t="s">
        <v>10</v>
      </c>
      <c r="K82" s="77">
        <f>K83+K84</f>
        <v>0</v>
      </c>
      <c r="L82" s="77">
        <f>L83+L84</f>
        <v>0</v>
      </c>
      <c r="M82" s="77">
        <f>M83+M84</f>
        <v>0</v>
      </c>
      <c r="N82" s="77">
        <f t="shared" si="50"/>
        <v>0</v>
      </c>
      <c r="O82" s="77">
        <f>O83+O84</f>
        <v>2500</v>
      </c>
      <c r="P82" s="77">
        <f>P83+P84</f>
        <v>1500</v>
      </c>
      <c r="Q82" s="77">
        <f>Q83+Q84</f>
        <v>985</v>
      </c>
      <c r="R82" s="128">
        <f t="shared" si="77"/>
        <v>4985</v>
      </c>
      <c r="S82" t="str">
        <f t="shared" si="73"/>
        <v>OK</v>
      </c>
    </row>
    <row r="83" spans="2:19" ht="31.5" customHeight="1" x14ac:dyDescent="0.75">
      <c r="B83" s="348"/>
      <c r="C83" s="349"/>
      <c r="D83" s="324"/>
      <c r="E83" s="326"/>
      <c r="F83" s="77">
        <v>2500</v>
      </c>
      <c r="G83" s="77">
        <v>1500</v>
      </c>
      <c r="H83" s="77">
        <v>985</v>
      </c>
      <c r="I83" s="77">
        <f>SUM(F83:H83)</f>
        <v>4985</v>
      </c>
      <c r="J83" s="127" t="s">
        <v>192</v>
      </c>
      <c r="K83" s="77"/>
      <c r="L83" s="77"/>
      <c r="M83" s="77"/>
      <c r="N83" s="77">
        <f t="shared" si="50"/>
        <v>0</v>
      </c>
      <c r="O83" s="77">
        <f>F83-K83</f>
        <v>2500</v>
      </c>
      <c r="P83" s="77">
        <f t="shared" ref="P83" si="81">G83-L83</f>
        <v>1500</v>
      </c>
      <c r="Q83" s="77">
        <f>H83-M83</f>
        <v>985</v>
      </c>
      <c r="R83" s="128">
        <f>SUM(O83:Q83)</f>
        <v>4985</v>
      </c>
      <c r="S83" t="str">
        <f t="shared" si="73"/>
        <v>OK</v>
      </c>
    </row>
    <row r="84" spans="2:19" ht="31.5" customHeight="1" x14ac:dyDescent="0.75">
      <c r="B84" s="348"/>
      <c r="C84" s="349"/>
      <c r="D84" s="324"/>
      <c r="E84" s="327"/>
      <c r="F84" s="77"/>
      <c r="G84" s="77"/>
      <c r="H84" s="77"/>
      <c r="I84" s="77">
        <f t="shared" ref="I84" si="82">SUM(F84:H84)</f>
        <v>0</v>
      </c>
      <c r="J84" s="127" t="s">
        <v>193</v>
      </c>
      <c r="K84" s="77"/>
      <c r="L84" s="77"/>
      <c r="M84" s="77"/>
      <c r="N84" s="77">
        <f t="shared" si="50"/>
        <v>0</v>
      </c>
      <c r="O84" s="77">
        <f>F84-K84</f>
        <v>0</v>
      </c>
      <c r="P84" s="77">
        <f>G84-L84</f>
        <v>0</v>
      </c>
      <c r="Q84" s="77">
        <f>H84-M84</f>
        <v>0</v>
      </c>
      <c r="R84" s="128">
        <f>SUM(O84:Q84)</f>
        <v>0</v>
      </c>
    </row>
    <row r="85" spans="2:19" ht="25.5" customHeight="1" x14ac:dyDescent="0.75">
      <c r="B85" s="355" t="s">
        <v>244</v>
      </c>
      <c r="C85" s="374">
        <v>641</v>
      </c>
      <c r="D85" s="375">
        <f t="shared" ref="D85" si="83">I85</f>
        <v>1958.5</v>
      </c>
      <c r="E85" s="326"/>
      <c r="F85" s="137">
        <f>F86+F87</f>
        <v>1233.5</v>
      </c>
      <c r="G85" s="137">
        <f>G86+G87</f>
        <v>575</v>
      </c>
      <c r="H85" s="137">
        <f>H86+H87</f>
        <v>150</v>
      </c>
      <c r="I85" s="137">
        <f>SUM(F85:H85)</f>
        <v>1958.5</v>
      </c>
      <c r="J85" s="138" t="s">
        <v>10</v>
      </c>
      <c r="K85" s="137">
        <f>K86+K87</f>
        <v>0</v>
      </c>
      <c r="L85" s="137">
        <f>L86+L87</f>
        <v>0</v>
      </c>
      <c r="M85" s="137">
        <f>M86+M87</f>
        <v>0</v>
      </c>
      <c r="N85" s="137">
        <f t="shared" ref="N85:N90" si="84">SUM(K85:M85)</f>
        <v>0</v>
      </c>
      <c r="O85" s="137">
        <f>O86+O87</f>
        <v>1233.5</v>
      </c>
      <c r="P85" s="137">
        <f>P86+P87</f>
        <v>575</v>
      </c>
      <c r="Q85" s="137">
        <f>Q86+Q87</f>
        <v>150</v>
      </c>
      <c r="R85" s="139">
        <f t="shared" ref="R85:R88" si="85">SUM(O85:Q85)</f>
        <v>1958.5</v>
      </c>
      <c r="S85" t="str">
        <f t="shared" si="73"/>
        <v>OK</v>
      </c>
    </row>
    <row r="86" spans="2:19" ht="25.5" customHeight="1" x14ac:dyDescent="0.75">
      <c r="B86" s="348"/>
      <c r="C86" s="374"/>
      <c r="D86" s="376"/>
      <c r="E86" s="326"/>
      <c r="F86" s="77">
        <v>1233.5</v>
      </c>
      <c r="G86" s="77">
        <v>575</v>
      </c>
      <c r="H86" s="77">
        <v>150</v>
      </c>
      <c r="I86" s="77">
        <f>SUM(F86:H86)</f>
        <v>1958.5</v>
      </c>
      <c r="J86" s="127" t="s">
        <v>192</v>
      </c>
      <c r="K86" s="77"/>
      <c r="L86" s="77"/>
      <c r="M86" s="77"/>
      <c r="N86" s="77">
        <f t="shared" si="84"/>
        <v>0</v>
      </c>
      <c r="O86" s="77">
        <f>F86-K86</f>
        <v>1233.5</v>
      </c>
      <c r="P86" s="77">
        <f t="shared" ref="P86:Q87" si="86">G86-L86</f>
        <v>575</v>
      </c>
      <c r="Q86" s="77">
        <f t="shared" si="86"/>
        <v>150</v>
      </c>
      <c r="R86" s="128">
        <f t="shared" si="85"/>
        <v>1958.5</v>
      </c>
      <c r="S86" t="str">
        <f t="shared" si="73"/>
        <v>OK</v>
      </c>
    </row>
    <row r="87" spans="2:19" ht="25.5" customHeight="1" x14ac:dyDescent="0.75">
      <c r="B87" s="348"/>
      <c r="C87" s="374"/>
      <c r="D87" s="376"/>
      <c r="E87" s="327"/>
      <c r="F87" s="77"/>
      <c r="G87" s="77"/>
      <c r="H87" s="77"/>
      <c r="I87" s="77">
        <f t="shared" ref="I87" si="87">SUM(F87:H87)</f>
        <v>0</v>
      </c>
      <c r="J87" s="127" t="s">
        <v>193</v>
      </c>
      <c r="K87" s="77"/>
      <c r="L87" s="77"/>
      <c r="M87" s="77"/>
      <c r="N87" s="77">
        <f t="shared" si="84"/>
        <v>0</v>
      </c>
      <c r="O87" s="77">
        <f>F87-K87</f>
        <v>0</v>
      </c>
      <c r="P87" s="77">
        <f t="shared" si="86"/>
        <v>0</v>
      </c>
      <c r="Q87" s="77">
        <f t="shared" si="86"/>
        <v>0</v>
      </c>
      <c r="R87" s="128">
        <f t="shared" si="85"/>
        <v>0</v>
      </c>
    </row>
    <row r="88" spans="2:19" ht="25.25" x14ac:dyDescent="0.75">
      <c r="B88" s="348" t="s">
        <v>241</v>
      </c>
      <c r="C88" s="349">
        <v>538</v>
      </c>
      <c r="D88" s="324">
        <f t="shared" ref="D88" si="88">I88</f>
        <v>487.5</v>
      </c>
      <c r="E88" s="325"/>
      <c r="F88" s="77">
        <f>F89+F90</f>
        <v>487.5</v>
      </c>
      <c r="G88" s="77">
        <f>G89+G90</f>
        <v>0</v>
      </c>
      <c r="H88" s="77">
        <f>H89+H90</f>
        <v>0</v>
      </c>
      <c r="I88" s="77">
        <f>SUM(F88:H88)</f>
        <v>487.5</v>
      </c>
      <c r="J88" s="127" t="s">
        <v>10</v>
      </c>
      <c r="K88" s="77">
        <f>K89+K90</f>
        <v>0</v>
      </c>
      <c r="L88" s="77">
        <f>L89+L90</f>
        <v>0</v>
      </c>
      <c r="M88" s="77">
        <f>M89+M90</f>
        <v>0</v>
      </c>
      <c r="N88" s="77">
        <f t="shared" si="84"/>
        <v>0</v>
      </c>
      <c r="O88" s="77">
        <f>O89+O90</f>
        <v>487.5</v>
      </c>
      <c r="P88" s="77">
        <f>P89+P90</f>
        <v>0</v>
      </c>
      <c r="Q88" s="77">
        <f>Q89+Q90</f>
        <v>0</v>
      </c>
      <c r="R88" s="128">
        <f t="shared" si="85"/>
        <v>487.5</v>
      </c>
      <c r="S88" t="str">
        <f t="shared" si="73"/>
        <v>OK</v>
      </c>
    </row>
    <row r="89" spans="2:19" ht="25.25" x14ac:dyDescent="0.75">
      <c r="B89" s="348"/>
      <c r="C89" s="349"/>
      <c r="D89" s="324"/>
      <c r="E89" s="326"/>
      <c r="F89" s="77">
        <v>487.5</v>
      </c>
      <c r="G89" s="77"/>
      <c r="H89" s="77"/>
      <c r="I89" s="77">
        <f>SUM(F89:H89)</f>
        <v>487.5</v>
      </c>
      <c r="J89" s="127" t="s">
        <v>192</v>
      </c>
      <c r="K89" s="77"/>
      <c r="L89" s="77"/>
      <c r="M89" s="77"/>
      <c r="N89" s="77">
        <f t="shared" si="84"/>
        <v>0</v>
      </c>
      <c r="O89" s="77">
        <f>F89-K89</f>
        <v>487.5</v>
      </c>
      <c r="P89" s="77">
        <f t="shared" ref="P89" si="89">G89-L89</f>
        <v>0</v>
      </c>
      <c r="Q89" s="77">
        <f>H89-M89</f>
        <v>0</v>
      </c>
      <c r="R89" s="128">
        <f>SUM(O89:Q89)</f>
        <v>487.5</v>
      </c>
      <c r="S89" t="str">
        <f t="shared" si="73"/>
        <v>OK</v>
      </c>
    </row>
    <row r="90" spans="2:19" ht="26" thickBot="1" x14ac:dyDescent="0.9">
      <c r="B90" s="377"/>
      <c r="C90" s="378"/>
      <c r="D90" s="379"/>
      <c r="E90" s="380"/>
      <c r="F90" s="93"/>
      <c r="G90" s="93"/>
      <c r="H90" s="93"/>
      <c r="I90" s="93">
        <f t="shared" ref="I90" si="90">SUM(F90:H90)</f>
        <v>0</v>
      </c>
      <c r="J90" s="146" t="s">
        <v>193</v>
      </c>
      <c r="K90" s="93"/>
      <c r="L90" s="93"/>
      <c r="M90" s="93"/>
      <c r="N90" s="93">
        <f t="shared" si="84"/>
        <v>0</v>
      </c>
      <c r="O90" s="93">
        <f>F90-K90</f>
        <v>0</v>
      </c>
      <c r="P90" s="93">
        <f>G90-L90</f>
        <v>0</v>
      </c>
      <c r="Q90" s="93">
        <f>H90-M90</f>
        <v>0</v>
      </c>
      <c r="R90" s="147">
        <f>SUM(O90:Q90)</f>
        <v>0</v>
      </c>
    </row>
    <row r="91" spans="2:19" ht="19.5" hidden="1" customHeight="1" x14ac:dyDescent="0.75">
      <c r="B91" s="355"/>
      <c r="C91" s="323"/>
      <c r="D91" s="359">
        <f t="shared" ref="D91" si="91">I91</f>
        <v>0</v>
      </c>
      <c r="E91" s="326"/>
      <c r="F91" s="137">
        <f>F92+F93</f>
        <v>0</v>
      </c>
      <c r="G91" s="137">
        <f>G92+G93</f>
        <v>0</v>
      </c>
      <c r="H91" s="137">
        <f>H92+H93</f>
        <v>0</v>
      </c>
      <c r="I91" s="137">
        <f>SUM(F91:H91)</f>
        <v>0</v>
      </c>
      <c r="J91" s="138" t="s">
        <v>10</v>
      </c>
      <c r="K91" s="137">
        <f>K92+K93</f>
        <v>0</v>
      </c>
      <c r="L91" s="137">
        <f>L92+L93</f>
        <v>0</v>
      </c>
      <c r="M91" s="137">
        <f>M92+M93</f>
        <v>0</v>
      </c>
      <c r="N91" s="137">
        <f t="shared" si="50"/>
        <v>0</v>
      </c>
      <c r="O91" s="137">
        <f>O92+O93</f>
        <v>0</v>
      </c>
      <c r="P91" s="137">
        <f>P92+P93</f>
        <v>0</v>
      </c>
      <c r="Q91" s="137">
        <f>Q92+Q93</f>
        <v>0</v>
      </c>
      <c r="R91" s="139">
        <f t="shared" ref="R91:R97" si="92">SUM(O91:Q91)</f>
        <v>0</v>
      </c>
      <c r="S91" t="str">
        <f t="shared" si="73"/>
        <v>-</v>
      </c>
    </row>
    <row r="92" spans="2:19" ht="19.5" hidden="1" customHeight="1" x14ac:dyDescent="0.75">
      <c r="B92" s="348"/>
      <c r="C92" s="323"/>
      <c r="D92" s="324"/>
      <c r="E92" s="326"/>
      <c r="F92" s="77"/>
      <c r="G92" s="77"/>
      <c r="H92" s="77"/>
      <c r="I92" s="77">
        <f>SUM(F92:H92)</f>
        <v>0</v>
      </c>
      <c r="J92" s="127" t="s">
        <v>192</v>
      </c>
      <c r="K92" s="77"/>
      <c r="L92" s="77"/>
      <c r="M92" s="77"/>
      <c r="N92" s="77">
        <f t="shared" si="50"/>
        <v>0</v>
      </c>
      <c r="O92" s="77">
        <f>F92-K92</f>
        <v>0</v>
      </c>
      <c r="P92" s="77">
        <f t="shared" ref="P92:Q93" si="93">G92-L92</f>
        <v>0</v>
      </c>
      <c r="Q92" s="77">
        <f t="shared" si="93"/>
        <v>0</v>
      </c>
      <c r="R92" s="128">
        <f t="shared" si="92"/>
        <v>0</v>
      </c>
      <c r="S92" t="str">
        <f t="shared" si="73"/>
        <v>-</v>
      </c>
    </row>
    <row r="93" spans="2:19" ht="19.5" hidden="1" customHeight="1" x14ac:dyDescent="0.75">
      <c r="B93" s="348"/>
      <c r="C93" s="323"/>
      <c r="D93" s="324"/>
      <c r="E93" s="327"/>
      <c r="F93" s="77"/>
      <c r="G93" s="77"/>
      <c r="H93" s="77"/>
      <c r="I93" s="77">
        <f t="shared" ref="I93:I97" si="94">SUM(F93:H93)</f>
        <v>0</v>
      </c>
      <c r="J93" s="127" t="s">
        <v>193</v>
      </c>
      <c r="K93" s="77"/>
      <c r="L93" s="77"/>
      <c r="M93" s="77"/>
      <c r="N93" s="77">
        <f t="shared" si="50"/>
        <v>0</v>
      </c>
      <c r="O93" s="77">
        <f>F93-K93</f>
        <v>0</v>
      </c>
      <c r="P93" s="77">
        <f t="shared" si="93"/>
        <v>0</v>
      </c>
      <c r="Q93" s="77">
        <f t="shared" si="93"/>
        <v>0</v>
      </c>
      <c r="R93" s="128">
        <f t="shared" si="92"/>
        <v>0</v>
      </c>
      <c r="S93" t="str">
        <f t="shared" si="73"/>
        <v>-</v>
      </c>
    </row>
    <row r="94" spans="2:19" ht="19.5" hidden="1" customHeight="1" x14ac:dyDescent="0.75">
      <c r="B94" s="348"/>
      <c r="C94" s="349"/>
      <c r="D94" s="324">
        <f t="shared" ref="D94" si="95">I94</f>
        <v>0</v>
      </c>
      <c r="E94" s="325"/>
      <c r="F94" s="77">
        <f>F95+F96</f>
        <v>0</v>
      </c>
      <c r="G94" s="77">
        <f>G95+G96</f>
        <v>0</v>
      </c>
      <c r="H94" s="77">
        <f>H95+H96</f>
        <v>0</v>
      </c>
      <c r="I94" s="77">
        <f t="shared" si="94"/>
        <v>0</v>
      </c>
      <c r="J94" s="127" t="s">
        <v>10</v>
      </c>
      <c r="K94" s="77">
        <f>K95+K96</f>
        <v>0</v>
      </c>
      <c r="L94" s="77">
        <f>L95+L96</f>
        <v>0</v>
      </c>
      <c r="M94" s="77">
        <f>M95+M96</f>
        <v>0</v>
      </c>
      <c r="N94" s="77">
        <f t="shared" si="50"/>
        <v>0</v>
      </c>
      <c r="O94" s="77">
        <f>O95+O96</f>
        <v>0</v>
      </c>
      <c r="P94" s="77">
        <f>P95+P96</f>
        <v>0</v>
      </c>
      <c r="Q94" s="77">
        <f>Q95+Q96</f>
        <v>0</v>
      </c>
      <c r="R94" s="128">
        <f t="shared" si="92"/>
        <v>0</v>
      </c>
      <c r="S94" t="str">
        <f t="shared" si="73"/>
        <v>-</v>
      </c>
    </row>
    <row r="95" spans="2:19" ht="19.5" hidden="1" customHeight="1" x14ac:dyDescent="0.75">
      <c r="B95" s="348"/>
      <c r="C95" s="349"/>
      <c r="D95" s="324"/>
      <c r="E95" s="326"/>
      <c r="F95" s="77"/>
      <c r="G95" s="77"/>
      <c r="H95" s="77"/>
      <c r="I95" s="77">
        <f>SUM(F95:H95)</f>
        <v>0</v>
      </c>
      <c r="J95" s="127" t="s">
        <v>192</v>
      </c>
      <c r="K95" s="77"/>
      <c r="L95" s="77"/>
      <c r="M95" s="77"/>
      <c r="N95" s="77">
        <f t="shared" si="50"/>
        <v>0</v>
      </c>
      <c r="O95" s="77">
        <f>F95-K95</f>
        <v>0</v>
      </c>
      <c r="P95" s="77">
        <f t="shared" ref="P95" si="96">G95-L95</f>
        <v>0</v>
      </c>
      <c r="Q95" s="77">
        <f>H95-M95</f>
        <v>0</v>
      </c>
      <c r="R95" s="128">
        <f>SUM(O95:Q95)</f>
        <v>0</v>
      </c>
      <c r="S95" t="str">
        <f t="shared" si="73"/>
        <v>-</v>
      </c>
    </row>
    <row r="96" spans="2:19" ht="19.5" hidden="1" customHeight="1" x14ac:dyDescent="0.75">
      <c r="B96" s="348"/>
      <c r="C96" s="349"/>
      <c r="D96" s="324"/>
      <c r="E96" s="327"/>
      <c r="F96" s="77"/>
      <c r="G96" s="77"/>
      <c r="H96" s="77"/>
      <c r="I96" s="77">
        <f t="shared" ref="I96" si="97">SUM(F96:H96)</f>
        <v>0</v>
      </c>
      <c r="J96" s="127" t="s">
        <v>193</v>
      </c>
      <c r="K96" s="77"/>
      <c r="L96" s="77"/>
      <c r="M96" s="77"/>
      <c r="N96" s="77">
        <f t="shared" si="50"/>
        <v>0</v>
      </c>
      <c r="O96" s="77">
        <f>F96-K96</f>
        <v>0</v>
      </c>
      <c r="P96" s="77">
        <f>G96-L96</f>
        <v>0</v>
      </c>
      <c r="Q96" s="77">
        <f>H96-M96</f>
        <v>0</v>
      </c>
      <c r="R96" s="128">
        <f>SUM(O96:Q96)</f>
        <v>0</v>
      </c>
      <c r="S96" t="str">
        <f t="shared" si="73"/>
        <v>-</v>
      </c>
    </row>
    <row r="97" spans="2:19" ht="25.25" hidden="1" x14ac:dyDescent="0.75">
      <c r="B97" s="348"/>
      <c r="C97" s="349">
        <v>507</v>
      </c>
      <c r="D97" s="324">
        <f t="shared" ref="D97" si="98">I97</f>
        <v>0</v>
      </c>
      <c r="E97" s="325"/>
      <c r="F97" s="77">
        <f>F98+F99</f>
        <v>0</v>
      </c>
      <c r="G97" s="77">
        <f>G98+G99</f>
        <v>0</v>
      </c>
      <c r="H97" s="77">
        <f>H98+H99</f>
        <v>0</v>
      </c>
      <c r="I97" s="77">
        <f t="shared" si="94"/>
        <v>0</v>
      </c>
      <c r="J97" s="127" t="s">
        <v>10</v>
      </c>
      <c r="K97" s="77">
        <f>K98+K99</f>
        <v>0</v>
      </c>
      <c r="L97" s="77">
        <f>L98+L99</f>
        <v>0</v>
      </c>
      <c r="M97" s="77">
        <f>M98+M99</f>
        <v>0</v>
      </c>
      <c r="N97" s="77">
        <f t="shared" si="50"/>
        <v>0</v>
      </c>
      <c r="O97" s="77">
        <f>O98+O99</f>
        <v>0</v>
      </c>
      <c r="P97" s="77">
        <f>P98+P99</f>
        <v>0</v>
      </c>
      <c r="Q97" s="77">
        <f>Q98+Q99</f>
        <v>0</v>
      </c>
      <c r="R97" s="128">
        <f t="shared" si="92"/>
        <v>0</v>
      </c>
      <c r="S97" t="str">
        <f t="shared" si="73"/>
        <v>-</v>
      </c>
    </row>
    <row r="98" spans="2:19" ht="25.25" hidden="1" x14ac:dyDescent="0.75">
      <c r="B98" s="348"/>
      <c r="C98" s="349"/>
      <c r="D98" s="324"/>
      <c r="E98" s="326"/>
      <c r="F98" s="77"/>
      <c r="G98" s="77"/>
      <c r="H98" s="77"/>
      <c r="I98" s="77">
        <f>SUM(F98:H98)</f>
        <v>0</v>
      </c>
      <c r="J98" s="127" t="s">
        <v>192</v>
      </c>
      <c r="K98" s="77"/>
      <c r="L98" s="77"/>
      <c r="M98" s="77"/>
      <c r="N98" s="77">
        <f t="shared" si="50"/>
        <v>0</v>
      </c>
      <c r="O98" s="77">
        <f>F98-K98</f>
        <v>0</v>
      </c>
      <c r="P98" s="77">
        <f t="shared" ref="P98" si="99">G98-L98</f>
        <v>0</v>
      </c>
      <c r="Q98" s="77">
        <f>H98-M98</f>
        <v>0</v>
      </c>
      <c r="R98" s="128">
        <f>SUM(O98:Q98)</f>
        <v>0</v>
      </c>
      <c r="S98" t="str">
        <f t="shared" si="73"/>
        <v>-</v>
      </c>
    </row>
    <row r="99" spans="2:19" ht="22.5" hidden="1" customHeight="1" x14ac:dyDescent="0.75">
      <c r="B99" s="348"/>
      <c r="C99" s="349"/>
      <c r="D99" s="324"/>
      <c r="E99" s="327"/>
      <c r="F99" s="77"/>
      <c r="G99" s="77"/>
      <c r="H99" s="77"/>
      <c r="I99" s="77">
        <f t="shared" ref="I99" si="100">SUM(F99:H99)</f>
        <v>0</v>
      </c>
      <c r="J99" s="127" t="s">
        <v>193</v>
      </c>
      <c r="K99" s="77"/>
      <c r="L99" s="77"/>
      <c r="M99" s="77"/>
      <c r="N99" s="77">
        <f t="shared" si="50"/>
        <v>0</v>
      </c>
      <c r="O99" s="77">
        <f>F99-K99</f>
        <v>0</v>
      </c>
      <c r="P99" s="77">
        <f>G99-L99</f>
        <v>0</v>
      </c>
      <c r="Q99" s="77">
        <f>H99-M99</f>
        <v>0</v>
      </c>
      <c r="R99" s="128">
        <f>SUM(O99:Q99)</f>
        <v>0</v>
      </c>
      <c r="S99" t="str">
        <f t="shared" si="73"/>
        <v>-</v>
      </c>
    </row>
    <row r="100" spans="2:19" ht="31.5" hidden="1" customHeight="1" x14ac:dyDescent="0.75">
      <c r="B100" s="355"/>
      <c r="C100" s="323"/>
      <c r="D100" s="359">
        <f t="shared" ref="D100" si="101">I100</f>
        <v>0</v>
      </c>
      <c r="E100" s="326"/>
      <c r="F100" s="137">
        <f>F101+F102</f>
        <v>0</v>
      </c>
      <c r="G100" s="137">
        <f>G101+G102</f>
        <v>0</v>
      </c>
      <c r="H100" s="137">
        <f>H101+H102</f>
        <v>0</v>
      </c>
      <c r="I100" s="137">
        <f>SUM(F100:H100)</f>
        <v>0</v>
      </c>
      <c r="J100" s="138" t="s">
        <v>10</v>
      </c>
      <c r="K100" s="137">
        <f>K101+K102</f>
        <v>0</v>
      </c>
      <c r="L100" s="137">
        <f>L101+L102</f>
        <v>0</v>
      </c>
      <c r="M100" s="137">
        <f>M101+M102</f>
        <v>0</v>
      </c>
      <c r="N100" s="137">
        <f t="shared" si="50"/>
        <v>0</v>
      </c>
      <c r="O100" s="137">
        <f>O101+O102</f>
        <v>0</v>
      </c>
      <c r="P100" s="137">
        <f>P101+P102</f>
        <v>0</v>
      </c>
      <c r="Q100" s="137">
        <f>Q101+Q102</f>
        <v>0</v>
      </c>
      <c r="R100" s="139">
        <f t="shared" ref="R100:R103" si="102">SUM(O100:Q100)</f>
        <v>0</v>
      </c>
      <c r="S100" t="str">
        <f t="shared" si="73"/>
        <v>-</v>
      </c>
    </row>
    <row r="101" spans="2:19" ht="31.5" hidden="1" customHeight="1" x14ac:dyDescent="0.75">
      <c r="B101" s="348"/>
      <c r="C101" s="323"/>
      <c r="D101" s="324"/>
      <c r="E101" s="326"/>
      <c r="F101" s="77"/>
      <c r="G101" s="77"/>
      <c r="H101" s="77"/>
      <c r="I101" s="77">
        <f>SUM(F101:H101)</f>
        <v>0</v>
      </c>
      <c r="J101" s="127" t="s">
        <v>192</v>
      </c>
      <c r="K101" s="77"/>
      <c r="L101" s="77"/>
      <c r="M101" s="77"/>
      <c r="N101" s="77">
        <f t="shared" si="50"/>
        <v>0</v>
      </c>
      <c r="O101" s="77">
        <f>F101-K101</f>
        <v>0</v>
      </c>
      <c r="P101" s="77">
        <f t="shared" ref="P101:Q102" si="103">G101-L101</f>
        <v>0</v>
      </c>
      <c r="Q101" s="77">
        <f t="shared" si="103"/>
        <v>0</v>
      </c>
      <c r="R101" s="128">
        <f t="shared" si="102"/>
        <v>0</v>
      </c>
      <c r="S101" t="str">
        <f t="shared" si="73"/>
        <v>-</v>
      </c>
    </row>
    <row r="102" spans="2:19" ht="31.5" hidden="1" customHeight="1" x14ac:dyDescent="0.75">
      <c r="B102" s="348"/>
      <c r="C102" s="323"/>
      <c r="D102" s="324"/>
      <c r="E102" s="327"/>
      <c r="F102" s="77"/>
      <c r="G102" s="77"/>
      <c r="H102" s="77"/>
      <c r="I102" s="77">
        <f t="shared" ref="I102:I103" si="104">SUM(F102:H102)</f>
        <v>0</v>
      </c>
      <c r="J102" s="127" t="s">
        <v>193</v>
      </c>
      <c r="K102" s="77"/>
      <c r="L102" s="77"/>
      <c r="M102" s="77"/>
      <c r="N102" s="77">
        <f t="shared" si="50"/>
        <v>0</v>
      </c>
      <c r="O102" s="77">
        <f>F102-K102</f>
        <v>0</v>
      </c>
      <c r="P102" s="77">
        <f t="shared" si="103"/>
        <v>0</v>
      </c>
      <c r="Q102" s="77">
        <f t="shared" si="103"/>
        <v>0</v>
      </c>
      <c r="R102" s="128">
        <f t="shared" si="102"/>
        <v>0</v>
      </c>
      <c r="S102" t="str">
        <f t="shared" si="73"/>
        <v>-</v>
      </c>
    </row>
    <row r="103" spans="2:19" ht="20.45" hidden="1" customHeight="1" x14ac:dyDescent="0.75">
      <c r="B103" s="348"/>
      <c r="C103" s="349">
        <v>538</v>
      </c>
      <c r="D103" s="324">
        <f t="shared" ref="D103" si="105">I103</f>
        <v>0</v>
      </c>
      <c r="E103" s="325"/>
      <c r="F103" s="77">
        <f>F104+F105</f>
        <v>0</v>
      </c>
      <c r="G103" s="77">
        <f>G104+G105</f>
        <v>0</v>
      </c>
      <c r="H103" s="77">
        <f>H104+H105</f>
        <v>0</v>
      </c>
      <c r="I103" s="77">
        <f t="shared" si="104"/>
        <v>0</v>
      </c>
      <c r="J103" s="127" t="s">
        <v>10</v>
      </c>
      <c r="K103" s="77">
        <f>K104+K105</f>
        <v>0</v>
      </c>
      <c r="L103" s="77">
        <f>L104+L105</f>
        <v>0</v>
      </c>
      <c r="M103" s="77">
        <f>M104+M105</f>
        <v>0</v>
      </c>
      <c r="N103" s="77">
        <f t="shared" si="50"/>
        <v>0</v>
      </c>
      <c r="O103" s="77">
        <f>O104+O105</f>
        <v>0</v>
      </c>
      <c r="P103" s="77">
        <f>P104+P105</f>
        <v>0</v>
      </c>
      <c r="Q103" s="77">
        <f>Q104+Q105</f>
        <v>0</v>
      </c>
      <c r="R103" s="128">
        <f t="shared" si="102"/>
        <v>0</v>
      </c>
      <c r="S103" t="str">
        <f t="shared" si="73"/>
        <v>-</v>
      </c>
    </row>
    <row r="104" spans="2:19" ht="20.45" hidden="1" customHeight="1" x14ac:dyDescent="0.75">
      <c r="B104" s="348"/>
      <c r="C104" s="349"/>
      <c r="D104" s="324"/>
      <c r="E104" s="326"/>
      <c r="F104" s="77"/>
      <c r="G104" s="77"/>
      <c r="H104" s="77"/>
      <c r="I104" s="77">
        <f>SUM(F104:H104)</f>
        <v>0</v>
      </c>
      <c r="J104" s="127" t="s">
        <v>192</v>
      </c>
      <c r="K104" s="77"/>
      <c r="L104" s="77"/>
      <c r="M104" s="77"/>
      <c r="N104" s="77">
        <f t="shared" si="50"/>
        <v>0</v>
      </c>
      <c r="O104" s="77">
        <f>F104-K104</f>
        <v>0</v>
      </c>
      <c r="P104" s="77">
        <f t="shared" ref="P104" si="106">G104-L104</f>
        <v>0</v>
      </c>
      <c r="Q104" s="77">
        <f>H104-M104</f>
        <v>0</v>
      </c>
      <c r="R104" s="128">
        <f>SUM(O104:Q104)</f>
        <v>0</v>
      </c>
      <c r="S104" t="str">
        <f t="shared" si="73"/>
        <v>-</v>
      </c>
    </row>
    <row r="105" spans="2:19" ht="20.45" hidden="1" customHeight="1" x14ac:dyDescent="0.75">
      <c r="B105" s="384"/>
      <c r="C105" s="385"/>
      <c r="D105" s="386"/>
      <c r="E105" s="365"/>
      <c r="F105" s="129"/>
      <c r="G105" s="129"/>
      <c r="H105" s="129"/>
      <c r="I105" s="129">
        <f t="shared" ref="I105" si="107">SUM(F105:H105)</f>
        <v>0</v>
      </c>
      <c r="J105" s="130" t="s">
        <v>193</v>
      </c>
      <c r="K105" s="129"/>
      <c r="L105" s="129"/>
      <c r="M105" s="129"/>
      <c r="N105" s="129">
        <f t="shared" si="50"/>
        <v>0</v>
      </c>
      <c r="O105" s="129">
        <f>F105-K105</f>
        <v>0</v>
      </c>
      <c r="P105" s="129">
        <f>G105-L105</f>
        <v>0</v>
      </c>
      <c r="Q105" s="129">
        <f>H105-M105</f>
        <v>0</v>
      </c>
      <c r="R105" s="131">
        <f>SUM(O105:Q105)</f>
        <v>0</v>
      </c>
      <c r="S105" t="str">
        <f t="shared" si="73"/>
        <v>-</v>
      </c>
    </row>
    <row r="106" spans="2:19" ht="20.45" hidden="1" customHeight="1" x14ac:dyDescent="0.75">
      <c r="B106" s="387" t="s">
        <v>165</v>
      </c>
      <c r="C106" s="389"/>
      <c r="D106" s="391">
        <f>D109+D112</f>
        <v>0</v>
      </c>
      <c r="E106" s="116"/>
      <c r="F106" s="140">
        <f>F107+F108</f>
        <v>0</v>
      </c>
      <c r="G106" s="140">
        <f>G107+G108</f>
        <v>0</v>
      </c>
      <c r="H106" s="140">
        <f>H107+H108</f>
        <v>0</v>
      </c>
      <c r="I106" s="140">
        <f t="shared" si="49"/>
        <v>0</v>
      </c>
      <c r="J106" s="141" t="s">
        <v>10</v>
      </c>
      <c r="K106" s="140">
        <f>K107+K108</f>
        <v>0</v>
      </c>
      <c r="L106" s="140">
        <f>L107+L108</f>
        <v>0</v>
      </c>
      <c r="M106" s="140">
        <f>M107+M108</f>
        <v>0</v>
      </c>
      <c r="N106" s="140">
        <f t="shared" si="44"/>
        <v>0</v>
      </c>
      <c r="O106" s="140">
        <f>O107+O108</f>
        <v>0</v>
      </c>
      <c r="P106" s="140">
        <f>P107+P108</f>
        <v>0</v>
      </c>
      <c r="Q106" s="140">
        <f>Q107+Q108</f>
        <v>0</v>
      </c>
      <c r="R106" s="142">
        <f t="shared" ref="R106:R112" si="108">SUM(O106:Q106)</f>
        <v>0</v>
      </c>
      <c r="S106" t="str">
        <f t="shared" si="73"/>
        <v>-</v>
      </c>
    </row>
    <row r="107" spans="2:19" ht="20.45" hidden="1" customHeight="1" x14ac:dyDescent="0.75">
      <c r="B107" s="309"/>
      <c r="C107" s="312"/>
      <c r="D107" s="315"/>
      <c r="E107" s="117"/>
      <c r="F107" s="124">
        <f t="shared" ref="F107:H108" si="109">F110+F113</f>
        <v>0</v>
      </c>
      <c r="G107" s="124">
        <f t="shared" si="109"/>
        <v>0</v>
      </c>
      <c r="H107" s="124">
        <f t="shared" si="109"/>
        <v>0</v>
      </c>
      <c r="I107" s="124">
        <f t="shared" si="49"/>
        <v>0</v>
      </c>
      <c r="J107" s="125" t="s">
        <v>192</v>
      </c>
      <c r="K107" s="124">
        <f t="shared" ref="K107:M108" si="110">K110+K113</f>
        <v>0</v>
      </c>
      <c r="L107" s="124">
        <f t="shared" si="110"/>
        <v>0</v>
      </c>
      <c r="M107" s="124">
        <f t="shared" si="110"/>
        <v>0</v>
      </c>
      <c r="N107" s="124">
        <f t="shared" si="44"/>
        <v>0</v>
      </c>
      <c r="O107" s="124">
        <f t="shared" ref="O107:Q108" si="111">O110+O113</f>
        <v>0</v>
      </c>
      <c r="P107" s="124">
        <f t="shared" si="111"/>
        <v>0</v>
      </c>
      <c r="Q107" s="124">
        <f t="shared" si="111"/>
        <v>0</v>
      </c>
      <c r="R107" s="126">
        <f t="shared" si="108"/>
        <v>0</v>
      </c>
      <c r="S107" t="str">
        <f t="shared" si="73"/>
        <v>-</v>
      </c>
    </row>
    <row r="108" spans="2:19" ht="20.45" hidden="1" customHeight="1" thickBot="1" x14ac:dyDescent="0.9">
      <c r="B108" s="388"/>
      <c r="C108" s="390"/>
      <c r="D108" s="392"/>
      <c r="E108" s="118"/>
      <c r="F108" s="143">
        <f t="shared" si="109"/>
        <v>0</v>
      </c>
      <c r="G108" s="143">
        <f t="shared" si="109"/>
        <v>0</v>
      </c>
      <c r="H108" s="143">
        <f t="shared" si="109"/>
        <v>0</v>
      </c>
      <c r="I108" s="143">
        <f>SUM(F108:H108)</f>
        <v>0</v>
      </c>
      <c r="J108" s="144" t="s">
        <v>193</v>
      </c>
      <c r="K108" s="143">
        <f t="shared" si="110"/>
        <v>0</v>
      </c>
      <c r="L108" s="143">
        <f t="shared" si="110"/>
        <v>0</v>
      </c>
      <c r="M108" s="143">
        <f>M111+M114</f>
        <v>0</v>
      </c>
      <c r="N108" s="143">
        <f t="shared" si="44"/>
        <v>0</v>
      </c>
      <c r="O108" s="143">
        <f t="shared" si="111"/>
        <v>0</v>
      </c>
      <c r="P108" s="143">
        <f t="shared" si="111"/>
        <v>0</v>
      </c>
      <c r="Q108" s="143">
        <f t="shared" si="111"/>
        <v>0</v>
      </c>
      <c r="R108" s="145">
        <f t="shared" si="108"/>
        <v>0</v>
      </c>
      <c r="S108" t="str">
        <f t="shared" si="73"/>
        <v>-</v>
      </c>
    </row>
    <row r="109" spans="2:19" ht="20.45" hidden="1" customHeight="1" x14ac:dyDescent="0.75">
      <c r="B109" s="381" t="s">
        <v>94</v>
      </c>
      <c r="C109" s="323"/>
      <c r="D109" s="359"/>
      <c r="E109" s="326"/>
      <c r="F109" s="137">
        <f>F110+F111</f>
        <v>0</v>
      </c>
      <c r="G109" s="137">
        <f>G110+G111</f>
        <v>0</v>
      </c>
      <c r="H109" s="137">
        <f>H110+H111</f>
        <v>0</v>
      </c>
      <c r="I109" s="137">
        <f>SUM(F109:H109)</f>
        <v>0</v>
      </c>
      <c r="J109" s="138" t="s">
        <v>10</v>
      </c>
      <c r="K109" s="137">
        <f>K110+K111</f>
        <v>0</v>
      </c>
      <c r="L109" s="137">
        <f>L110+L111</f>
        <v>0</v>
      </c>
      <c r="M109" s="137">
        <f>M110+M111</f>
        <v>0</v>
      </c>
      <c r="N109" s="137">
        <f t="shared" si="44"/>
        <v>0</v>
      </c>
      <c r="O109" s="137">
        <f>O110+O111</f>
        <v>0</v>
      </c>
      <c r="P109" s="137">
        <f>P110+P111</f>
        <v>0</v>
      </c>
      <c r="Q109" s="137">
        <f>Q110+Q111</f>
        <v>0</v>
      </c>
      <c r="R109" s="139">
        <f t="shared" si="108"/>
        <v>0</v>
      </c>
      <c r="S109" t="str">
        <f t="shared" si="73"/>
        <v>-</v>
      </c>
    </row>
    <row r="110" spans="2:19" ht="20.45" hidden="1" customHeight="1" x14ac:dyDescent="0.75">
      <c r="B110" s="382"/>
      <c r="C110" s="323"/>
      <c r="D110" s="324"/>
      <c r="E110" s="326"/>
      <c r="F110" s="77"/>
      <c r="G110" s="77"/>
      <c r="H110" s="77"/>
      <c r="I110" s="77">
        <f>SUM(F110:H110)</f>
        <v>0</v>
      </c>
      <c r="J110" s="127" t="s">
        <v>192</v>
      </c>
      <c r="K110" s="77"/>
      <c r="L110" s="77"/>
      <c r="M110" s="77"/>
      <c r="N110" s="77">
        <f t="shared" si="44"/>
        <v>0</v>
      </c>
      <c r="O110" s="77">
        <f>F110-K110</f>
        <v>0</v>
      </c>
      <c r="P110" s="77">
        <f t="shared" ref="P110:Q111" si="112">G110-L110</f>
        <v>0</v>
      </c>
      <c r="Q110" s="77">
        <f t="shared" si="112"/>
        <v>0</v>
      </c>
      <c r="R110" s="128">
        <f t="shared" si="108"/>
        <v>0</v>
      </c>
      <c r="S110" t="str">
        <f t="shared" si="73"/>
        <v>-</v>
      </c>
    </row>
    <row r="111" spans="2:19" ht="20.45" hidden="1" customHeight="1" x14ac:dyDescent="0.75">
      <c r="B111" s="382"/>
      <c r="C111" s="323"/>
      <c r="D111" s="324"/>
      <c r="E111" s="327"/>
      <c r="F111" s="77"/>
      <c r="G111" s="77"/>
      <c r="H111" s="77"/>
      <c r="I111" s="77">
        <f t="shared" ref="I111:I112" si="113">SUM(F111:H111)</f>
        <v>0</v>
      </c>
      <c r="J111" s="127" t="s">
        <v>193</v>
      </c>
      <c r="K111" s="77"/>
      <c r="L111" s="77"/>
      <c r="M111" s="77"/>
      <c r="N111" s="77">
        <f t="shared" si="44"/>
        <v>0</v>
      </c>
      <c r="O111" s="77">
        <f>F111-K111</f>
        <v>0</v>
      </c>
      <c r="P111" s="77">
        <f t="shared" si="112"/>
        <v>0</v>
      </c>
      <c r="Q111" s="77">
        <f t="shared" si="112"/>
        <v>0</v>
      </c>
      <c r="R111" s="128">
        <f t="shared" si="108"/>
        <v>0</v>
      </c>
      <c r="S111" t="str">
        <f t="shared" si="73"/>
        <v>-</v>
      </c>
    </row>
    <row r="112" spans="2:19" ht="20.45" hidden="1" customHeight="1" x14ac:dyDescent="0.75">
      <c r="B112" s="382" t="s">
        <v>166</v>
      </c>
      <c r="C112" s="349"/>
      <c r="D112" s="324"/>
      <c r="E112" s="325"/>
      <c r="F112" s="77">
        <f>F113+F114</f>
        <v>0</v>
      </c>
      <c r="G112" s="77">
        <f>G113+G114</f>
        <v>0</v>
      </c>
      <c r="H112" s="77">
        <f>H113+H114</f>
        <v>0</v>
      </c>
      <c r="I112" s="77">
        <f t="shared" si="113"/>
        <v>0</v>
      </c>
      <c r="J112" s="127" t="s">
        <v>10</v>
      </c>
      <c r="K112" s="77">
        <f>K113+K114</f>
        <v>0</v>
      </c>
      <c r="L112" s="77">
        <f>L113+L114</f>
        <v>0</v>
      </c>
      <c r="M112" s="77">
        <f>M113+M114</f>
        <v>0</v>
      </c>
      <c r="N112" s="77">
        <f t="shared" si="44"/>
        <v>0</v>
      </c>
      <c r="O112" s="77">
        <f>O113+O114</f>
        <v>0</v>
      </c>
      <c r="P112" s="77">
        <f>P113+P114</f>
        <v>0</v>
      </c>
      <c r="Q112" s="77">
        <f>Q113+Q114</f>
        <v>0</v>
      </c>
      <c r="R112" s="128">
        <f t="shared" si="108"/>
        <v>0</v>
      </c>
      <c r="S112" t="str">
        <f t="shared" si="73"/>
        <v>-</v>
      </c>
    </row>
    <row r="113" spans="2:19" ht="20.45" hidden="1" customHeight="1" x14ac:dyDescent="0.75">
      <c r="B113" s="382"/>
      <c r="C113" s="349"/>
      <c r="D113" s="324"/>
      <c r="E113" s="326"/>
      <c r="F113" s="77"/>
      <c r="G113" s="77"/>
      <c r="H113" s="77"/>
      <c r="I113" s="77">
        <f>SUM(F113:H113)</f>
        <v>0</v>
      </c>
      <c r="J113" s="127" t="s">
        <v>192</v>
      </c>
      <c r="K113" s="77"/>
      <c r="L113" s="77"/>
      <c r="M113" s="77"/>
      <c r="N113" s="77">
        <f t="shared" si="44"/>
        <v>0</v>
      </c>
      <c r="O113" s="77">
        <f>F113-K113</f>
        <v>0</v>
      </c>
      <c r="P113" s="77">
        <f t="shared" ref="P113" si="114">G113-L113</f>
        <v>0</v>
      </c>
      <c r="Q113" s="77">
        <f>H113-M113</f>
        <v>0</v>
      </c>
      <c r="R113" s="128">
        <f>SUM(O113:Q113)</f>
        <v>0</v>
      </c>
      <c r="S113" t="str">
        <f t="shared" si="73"/>
        <v>-</v>
      </c>
    </row>
    <row r="114" spans="2:19" ht="20.45" hidden="1" customHeight="1" thickBot="1" x14ac:dyDescent="0.9">
      <c r="B114" s="383"/>
      <c r="C114" s="378"/>
      <c r="D114" s="379"/>
      <c r="E114" s="380"/>
      <c r="F114" s="93"/>
      <c r="G114" s="93"/>
      <c r="H114" s="93"/>
      <c r="I114" s="93">
        <f t="shared" ref="I114" si="115">SUM(F114:H114)</f>
        <v>0</v>
      </c>
      <c r="J114" s="146" t="s">
        <v>193</v>
      </c>
      <c r="K114" s="93"/>
      <c r="L114" s="93"/>
      <c r="M114" s="93"/>
      <c r="N114" s="93">
        <f t="shared" si="44"/>
        <v>0</v>
      </c>
      <c r="O114" s="93">
        <f>F114-K114</f>
        <v>0</v>
      </c>
      <c r="P114" s="93">
        <f>G114-L114</f>
        <v>0</v>
      </c>
      <c r="Q114" s="93">
        <f>H114-M114</f>
        <v>0</v>
      </c>
      <c r="R114" s="147">
        <f>SUM(O114:Q114)</f>
        <v>0</v>
      </c>
      <c r="S114" t="str">
        <f t="shared" si="73"/>
        <v>-</v>
      </c>
    </row>
  </sheetData>
  <autoFilter ref="S9:S114" xr:uid="{00000000-0009-0000-0000-000002000000}">
    <filterColumn colId="0">
      <filters>
        <filter val="OK"/>
      </filters>
    </filterColumn>
  </autoFilter>
  <mergeCells count="146">
    <mergeCell ref="B109:B111"/>
    <mergeCell ref="C109:C111"/>
    <mergeCell ref="D109:D111"/>
    <mergeCell ref="E109:E111"/>
    <mergeCell ref="B112:B114"/>
    <mergeCell ref="C112:C114"/>
    <mergeCell ref="D112:D114"/>
    <mergeCell ref="E112:E114"/>
    <mergeCell ref="B103:B105"/>
    <mergeCell ref="C103:C105"/>
    <mergeCell ref="D103:D105"/>
    <mergeCell ref="E103:E105"/>
    <mergeCell ref="B106:B108"/>
    <mergeCell ref="C106:C108"/>
    <mergeCell ref="D106:D108"/>
    <mergeCell ref="B97:B99"/>
    <mergeCell ref="C97:C99"/>
    <mergeCell ref="D97:D99"/>
    <mergeCell ref="E97:E99"/>
    <mergeCell ref="B100:B102"/>
    <mergeCell ref="C100:C102"/>
    <mergeCell ref="D100:D102"/>
    <mergeCell ref="E100:E102"/>
    <mergeCell ref="B91:B93"/>
    <mergeCell ref="C91:C93"/>
    <mergeCell ref="D91:D93"/>
    <mergeCell ref="E91:E93"/>
    <mergeCell ref="B94:B96"/>
    <mergeCell ref="C94:C96"/>
    <mergeCell ref="D94:D96"/>
    <mergeCell ref="E94:E96"/>
    <mergeCell ref="B85:B87"/>
    <mergeCell ref="C85:C87"/>
    <mergeCell ref="D85:D87"/>
    <mergeCell ref="E85:E87"/>
    <mergeCell ref="B88:B90"/>
    <mergeCell ref="C88:C90"/>
    <mergeCell ref="D88:D90"/>
    <mergeCell ref="E88:E90"/>
    <mergeCell ref="B79:B81"/>
    <mergeCell ref="C79:C81"/>
    <mergeCell ref="D79:D81"/>
    <mergeCell ref="E79:E81"/>
    <mergeCell ref="B82:B84"/>
    <mergeCell ref="C82:C84"/>
    <mergeCell ref="D82:D84"/>
    <mergeCell ref="E82:E84"/>
    <mergeCell ref="B76:B78"/>
    <mergeCell ref="C76:C78"/>
    <mergeCell ref="D76:D78"/>
    <mergeCell ref="E76:E78"/>
    <mergeCell ref="B70:B72"/>
    <mergeCell ref="C70:C72"/>
    <mergeCell ref="D70:D72"/>
    <mergeCell ref="E70:E72"/>
    <mergeCell ref="B73:B75"/>
    <mergeCell ref="C73:C75"/>
    <mergeCell ref="D73:D75"/>
    <mergeCell ref="E73:E75"/>
    <mergeCell ref="B64:B66"/>
    <mergeCell ref="C64:C66"/>
    <mergeCell ref="D64:D66"/>
    <mergeCell ref="E64:E66"/>
    <mergeCell ref="B67:B69"/>
    <mergeCell ref="C67:C69"/>
    <mergeCell ref="D67:D69"/>
    <mergeCell ref="E67:E69"/>
    <mergeCell ref="B58:B60"/>
    <mergeCell ref="C58:C60"/>
    <mergeCell ref="D58:D60"/>
    <mergeCell ref="E58:E60"/>
    <mergeCell ref="B61:B63"/>
    <mergeCell ref="C61:C63"/>
    <mergeCell ref="D61:D63"/>
    <mergeCell ref="E61:E63"/>
    <mergeCell ref="B52:B54"/>
    <mergeCell ref="C52:C54"/>
    <mergeCell ref="D52:D54"/>
    <mergeCell ref="E52:E54"/>
    <mergeCell ref="B55:B57"/>
    <mergeCell ref="C55:C57"/>
    <mergeCell ref="D55:D57"/>
    <mergeCell ref="E55:E57"/>
    <mergeCell ref="B46:B48"/>
    <mergeCell ref="C46:C48"/>
    <mergeCell ref="D46:D48"/>
    <mergeCell ref="E46:E48"/>
    <mergeCell ref="B49:B51"/>
    <mergeCell ref="C49:C51"/>
    <mergeCell ref="D49:D51"/>
    <mergeCell ref="B40:B42"/>
    <mergeCell ref="C40:C42"/>
    <mergeCell ref="D40:D42"/>
    <mergeCell ref="E40:E42"/>
    <mergeCell ref="B43:B45"/>
    <mergeCell ref="C43:C45"/>
    <mergeCell ref="D43:D45"/>
    <mergeCell ref="E43:E45"/>
    <mergeCell ref="B34:B36"/>
    <mergeCell ref="C34:C36"/>
    <mergeCell ref="D34:D36"/>
    <mergeCell ref="E34:E36"/>
    <mergeCell ref="B37:B39"/>
    <mergeCell ref="C37:C39"/>
    <mergeCell ref="D37:D39"/>
    <mergeCell ref="E37:E39"/>
    <mergeCell ref="B28:B30"/>
    <mergeCell ref="C28:C30"/>
    <mergeCell ref="D28:D30"/>
    <mergeCell ref="E28:E30"/>
    <mergeCell ref="B31:B33"/>
    <mergeCell ref="C31:C33"/>
    <mergeCell ref="D31:D33"/>
    <mergeCell ref="E31:E33"/>
    <mergeCell ref="B22:B24"/>
    <mergeCell ref="C22:C24"/>
    <mergeCell ref="D22:D24"/>
    <mergeCell ref="E22:E24"/>
    <mergeCell ref="B25:B27"/>
    <mergeCell ref="C25:C27"/>
    <mergeCell ref="D25:D27"/>
    <mergeCell ref="E25:E27"/>
    <mergeCell ref="B19:B21"/>
    <mergeCell ref="C19:C21"/>
    <mergeCell ref="D19:D21"/>
    <mergeCell ref="E19:E21"/>
    <mergeCell ref="B10:B12"/>
    <mergeCell ref="C10:C12"/>
    <mergeCell ref="D10:D12"/>
    <mergeCell ref="E10:E12"/>
    <mergeCell ref="B13:B15"/>
    <mergeCell ref="C13:C15"/>
    <mergeCell ref="D13:D15"/>
    <mergeCell ref="E13:E15"/>
    <mergeCell ref="B5:S5"/>
    <mergeCell ref="B7:B8"/>
    <mergeCell ref="C7:C8"/>
    <mergeCell ref="D7:D8"/>
    <mergeCell ref="E7:E8"/>
    <mergeCell ref="F7:I7"/>
    <mergeCell ref="J7:N7"/>
    <mergeCell ref="O7:R7"/>
    <mergeCell ref="B16:B18"/>
    <mergeCell ref="C16:C18"/>
    <mergeCell ref="D16:D18"/>
    <mergeCell ref="E16:E18"/>
  </mergeCells>
  <printOptions horizontalCentered="1"/>
  <pageMargins left="0.23622047244094491" right="0.15748031496062992" top="0.23622047244094491" bottom="0.35433070866141736" header="0.15748031496062992" footer="0.15748031496062992"/>
  <pageSetup paperSize="9" scale="68" orientation="landscape" r:id="rId1"/>
  <headerFooter>
    <oddFooter>&amp;C&amp;"Limon S1,Normal"&amp;22&amp;P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B050"/>
  </sheetPr>
  <dimension ref="A1:V134"/>
  <sheetViews>
    <sheetView showZeros="0" zoomScale="90" zoomScaleNormal="90" workbookViewId="0">
      <selection activeCell="F26" sqref="F26"/>
    </sheetView>
  </sheetViews>
  <sheetFormatPr defaultRowHeight="27.5" x14ac:dyDescent="2.5"/>
  <cols>
    <col min="1" max="1" width="2.7265625" customWidth="1"/>
    <col min="2" max="2" width="52.86328125" customWidth="1"/>
    <col min="3" max="3" width="9.7265625" customWidth="1"/>
    <col min="4" max="4" width="13.54296875" style="40" customWidth="1"/>
    <col min="5" max="5" width="13.1328125" style="41" customWidth="1"/>
    <col min="6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26953125" customWidth="1"/>
    <col min="18" max="18" width="12" style="41" customWidth="1"/>
  </cols>
  <sheetData>
    <row r="1" spans="1:19" ht="45.75" customHeight="1" x14ac:dyDescent="2.5"/>
    <row r="2" spans="1:19" x14ac:dyDescent="2.5">
      <c r="B2" s="42"/>
    </row>
    <row r="3" spans="1:19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19" ht="26.25" customHeight="1" x14ac:dyDescent="2.75">
      <c r="A4" s="393" t="s">
        <v>239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</row>
    <row r="5" spans="1:19" ht="28.25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48" t="s">
        <v>82</v>
      </c>
    </row>
    <row r="6" spans="1:19" ht="24.75" customHeight="1" thickTop="1" x14ac:dyDescent="0.75">
      <c r="B6" s="394" t="s">
        <v>83</v>
      </c>
      <c r="C6" s="301" t="s">
        <v>84</v>
      </c>
      <c r="D6" s="303" t="s">
        <v>85</v>
      </c>
      <c r="E6" s="396" t="s">
        <v>86</v>
      </c>
      <c r="F6" s="301" t="s">
        <v>87</v>
      </c>
      <c r="G6" s="301"/>
      <c r="H6" s="301"/>
      <c r="I6" s="301"/>
      <c r="J6" s="301" t="s">
        <v>88</v>
      </c>
      <c r="K6" s="301"/>
      <c r="L6" s="301"/>
      <c r="M6" s="301"/>
      <c r="N6" s="301" t="s">
        <v>89</v>
      </c>
      <c r="O6" s="301"/>
      <c r="P6" s="301"/>
      <c r="Q6" s="398"/>
      <c r="R6" s="399" t="s">
        <v>90</v>
      </c>
    </row>
    <row r="7" spans="1:19" ht="30" customHeight="1" thickBot="1" x14ac:dyDescent="0.9">
      <c r="B7" s="395"/>
      <c r="C7" s="302"/>
      <c r="D7" s="304"/>
      <c r="E7" s="397"/>
      <c r="F7" s="49">
        <v>2019</v>
      </c>
      <c r="G7" s="49">
        <v>2020</v>
      </c>
      <c r="H7" s="49">
        <v>2021</v>
      </c>
      <c r="I7" s="50" t="s">
        <v>197</v>
      </c>
      <c r="J7" s="49">
        <v>2019</v>
      </c>
      <c r="K7" s="49">
        <v>2020</v>
      </c>
      <c r="L7" s="49">
        <v>2021</v>
      </c>
      <c r="M7" s="50" t="s">
        <v>197</v>
      </c>
      <c r="N7" s="49">
        <v>2019</v>
      </c>
      <c r="O7" s="49">
        <v>2020</v>
      </c>
      <c r="P7" s="49">
        <v>2021</v>
      </c>
      <c r="Q7" s="50" t="s">
        <v>197</v>
      </c>
      <c r="R7" s="400"/>
    </row>
    <row r="8" spans="1:19" ht="15.65" hidden="1" customHeight="1" thickBot="1" x14ac:dyDescent="0.9">
      <c r="B8" s="51"/>
      <c r="C8" s="52"/>
      <c r="D8" s="53"/>
      <c r="E8" s="54"/>
      <c r="F8" s="52"/>
      <c r="G8" s="52"/>
      <c r="H8" s="52"/>
      <c r="I8" s="55"/>
      <c r="J8" s="52"/>
      <c r="K8" s="52"/>
      <c r="L8" s="52"/>
      <c r="M8" s="55"/>
      <c r="N8" s="52"/>
      <c r="O8" s="52"/>
      <c r="P8" s="52"/>
      <c r="Q8" s="56"/>
      <c r="R8" s="57"/>
    </row>
    <row r="9" spans="1:19" ht="20.45" customHeight="1" thickTop="1" x14ac:dyDescent="0.75">
      <c r="B9" s="58" t="s">
        <v>91</v>
      </c>
      <c r="C9" s="59"/>
      <c r="D9" s="60"/>
      <c r="E9" s="61"/>
      <c r="F9" s="62">
        <f>F10+F17+F24+F36+F48</f>
        <v>31758.3</v>
      </c>
      <c r="G9" s="62">
        <f>G10+G17+G24+G36+G48</f>
        <v>9924.5</v>
      </c>
      <c r="H9" s="62">
        <f>H10+H17+H24+H36+H48</f>
        <v>4922</v>
      </c>
      <c r="I9" s="62">
        <f>SUM(F9:H9)</f>
        <v>46604.800000000003</v>
      </c>
      <c r="J9" s="62">
        <f>J10+J17+J24+J36+J48</f>
        <v>3050</v>
      </c>
      <c r="K9" s="62">
        <f>K10+K17+K24+K36+K48</f>
        <v>3050</v>
      </c>
      <c r="L9" s="62">
        <f>L10+L17+L24+L36+L48</f>
        <v>0</v>
      </c>
      <c r="M9" s="62">
        <f>SUM(J9:L9)</f>
        <v>6100</v>
      </c>
      <c r="N9" s="62">
        <f>N10+N17+N24+N36+N48</f>
        <v>28708.3</v>
      </c>
      <c r="O9" s="62">
        <f>O10+O17+O24+O36+O48</f>
        <v>6874.5</v>
      </c>
      <c r="P9" s="62">
        <f>P10+P17+P24+P36+P48</f>
        <v>4922</v>
      </c>
      <c r="Q9" s="62">
        <f>SUM(N9:P9)</f>
        <v>40504.800000000003</v>
      </c>
      <c r="R9" s="63"/>
    </row>
    <row r="10" spans="1:19" ht="24.75" hidden="1" customHeight="1" x14ac:dyDescent="0.75">
      <c r="B10" s="64" t="s">
        <v>92</v>
      </c>
      <c r="C10" s="65"/>
      <c r="D10" s="66"/>
      <c r="E10" s="67"/>
      <c r="F10" s="68">
        <f>F11+F13+F15</f>
        <v>0</v>
      </c>
      <c r="G10" s="68">
        <f t="shared" ref="G10:H10" si="0">G11+G13+G15</f>
        <v>0</v>
      </c>
      <c r="H10" s="68">
        <f t="shared" si="0"/>
        <v>0</v>
      </c>
      <c r="I10" s="68">
        <f>I11+I13+I15</f>
        <v>0</v>
      </c>
      <c r="J10" s="68">
        <f t="shared" ref="J10:L10" si="1">J11+J13+J15</f>
        <v>0</v>
      </c>
      <c r="K10" s="68">
        <f t="shared" si="1"/>
        <v>0</v>
      </c>
      <c r="L10" s="68">
        <f t="shared" si="1"/>
        <v>0</v>
      </c>
      <c r="M10" s="68">
        <f>M11+M13+M15</f>
        <v>0</v>
      </c>
      <c r="N10" s="68">
        <f t="shared" ref="N10:P10" si="2">N11+N13+N15</f>
        <v>0</v>
      </c>
      <c r="O10" s="68">
        <f t="shared" si="2"/>
        <v>0</v>
      </c>
      <c r="P10" s="68">
        <f t="shared" si="2"/>
        <v>0</v>
      </c>
      <c r="Q10" s="68">
        <f>Q11+Q13+Q15</f>
        <v>0</v>
      </c>
      <c r="R10" s="69"/>
      <c r="S10" t="str">
        <f>IF(SUM(I10,Q10), "OK ", "-")</f>
        <v>-</v>
      </c>
    </row>
    <row r="11" spans="1:19" ht="24.75" hidden="1" customHeight="1" x14ac:dyDescent="0.75">
      <c r="B11" s="70" t="s">
        <v>93</v>
      </c>
      <c r="C11" s="71"/>
      <c r="D11" s="72"/>
      <c r="E11" s="73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5"/>
      <c r="S11" t="str">
        <f t="shared" ref="S11:S73" si="3">IF(SUM(I11,Q11), "OK ", "-")</f>
        <v>-</v>
      </c>
    </row>
    <row r="12" spans="1:19" ht="24.75" hidden="1" customHeight="1" x14ac:dyDescent="0.75">
      <c r="B12" s="76" t="s">
        <v>94</v>
      </c>
      <c r="C12" s="65"/>
      <c r="D12" s="66"/>
      <c r="E12" s="6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69"/>
      <c r="S12" t="str">
        <f t="shared" si="3"/>
        <v>-</v>
      </c>
    </row>
    <row r="13" spans="1:19" ht="24.75" hidden="1" customHeight="1" x14ac:dyDescent="0.75">
      <c r="B13" s="70" t="s">
        <v>95</v>
      </c>
      <c r="C13" s="71"/>
      <c r="D13" s="72"/>
      <c r="E13" s="73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5"/>
      <c r="S13" t="str">
        <f t="shared" si="3"/>
        <v>-</v>
      </c>
    </row>
    <row r="14" spans="1:19" ht="24.75" hidden="1" customHeight="1" x14ac:dyDescent="0.75">
      <c r="B14" s="76" t="s">
        <v>94</v>
      </c>
      <c r="C14" s="65"/>
      <c r="D14" s="66"/>
      <c r="E14" s="6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69"/>
      <c r="S14" t="str">
        <f t="shared" si="3"/>
        <v>-</v>
      </c>
    </row>
    <row r="15" spans="1:19" ht="24.75" hidden="1" customHeight="1" x14ac:dyDescent="0.75">
      <c r="B15" s="70" t="s">
        <v>96</v>
      </c>
      <c r="C15" s="71"/>
      <c r="D15" s="72"/>
      <c r="E15" s="73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5"/>
      <c r="S15" t="str">
        <f t="shared" si="3"/>
        <v>-</v>
      </c>
    </row>
    <row r="16" spans="1:19" ht="24.75" hidden="1" customHeight="1" x14ac:dyDescent="0.75">
      <c r="B16" s="76" t="s">
        <v>94</v>
      </c>
      <c r="C16" s="65"/>
      <c r="D16" s="66"/>
      <c r="E16" s="6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69"/>
      <c r="S16" t="str">
        <f t="shared" si="3"/>
        <v>-</v>
      </c>
    </row>
    <row r="17" spans="2:22" ht="50.5" x14ac:dyDescent="0.75">
      <c r="B17" s="110" t="s">
        <v>214</v>
      </c>
      <c r="C17" s="111"/>
      <c r="D17" s="112"/>
      <c r="E17" s="113"/>
      <c r="F17" s="114">
        <f>F18+F20+F22</f>
        <v>1500</v>
      </c>
      <c r="G17" s="114">
        <f t="shared" ref="G17:Q17" si="4">G18+G20+G22</f>
        <v>1500</v>
      </c>
      <c r="H17" s="114">
        <f t="shared" si="4"/>
        <v>1000</v>
      </c>
      <c r="I17" s="114">
        <f>I18+I20+I22</f>
        <v>4000</v>
      </c>
      <c r="J17" s="114">
        <f t="shared" si="4"/>
        <v>0</v>
      </c>
      <c r="K17" s="114">
        <f t="shared" si="4"/>
        <v>0</v>
      </c>
      <c r="L17" s="114">
        <f t="shared" si="4"/>
        <v>0</v>
      </c>
      <c r="M17" s="114">
        <f t="shared" si="4"/>
        <v>0</v>
      </c>
      <c r="N17" s="114">
        <f t="shared" si="4"/>
        <v>1500</v>
      </c>
      <c r="O17" s="114">
        <f t="shared" si="4"/>
        <v>1500</v>
      </c>
      <c r="P17" s="114">
        <f t="shared" si="4"/>
        <v>1000</v>
      </c>
      <c r="Q17" s="114">
        <f t="shared" si="4"/>
        <v>4000</v>
      </c>
      <c r="R17" s="115"/>
      <c r="S17" t="str">
        <f t="shared" si="3"/>
        <v xml:space="preserve">OK </v>
      </c>
      <c r="T17" s="78"/>
      <c r="U17" s="78"/>
      <c r="V17" s="78"/>
    </row>
    <row r="18" spans="2:22" ht="20.45" hidden="1" customHeight="1" x14ac:dyDescent="0.75">
      <c r="B18" s="70" t="s">
        <v>97</v>
      </c>
      <c r="C18" s="71"/>
      <c r="D18" s="72"/>
      <c r="E18" s="73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5"/>
      <c r="S18" t="str">
        <f t="shared" si="3"/>
        <v>-</v>
      </c>
    </row>
    <row r="19" spans="2:22" ht="20.45" hidden="1" customHeight="1" x14ac:dyDescent="0.75">
      <c r="B19" s="76" t="s">
        <v>94</v>
      </c>
      <c r="C19" s="65"/>
      <c r="D19" s="66"/>
      <c r="E19" s="6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69"/>
      <c r="S19" t="str">
        <f t="shared" si="3"/>
        <v>-</v>
      </c>
    </row>
    <row r="20" spans="2:22" ht="20.45" hidden="1" customHeight="1" x14ac:dyDescent="0.75">
      <c r="B20" s="70" t="s">
        <v>98</v>
      </c>
      <c r="C20" s="71"/>
      <c r="D20" s="72"/>
      <c r="E20" s="73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5"/>
      <c r="S20" t="str">
        <f t="shared" si="3"/>
        <v>-</v>
      </c>
    </row>
    <row r="21" spans="2:22" ht="20.45" hidden="1" customHeight="1" x14ac:dyDescent="0.75">
      <c r="B21" s="76" t="s">
        <v>94</v>
      </c>
      <c r="C21" s="65"/>
      <c r="D21" s="66"/>
      <c r="E21" s="6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69"/>
      <c r="S21" t="str">
        <f t="shared" si="3"/>
        <v>-</v>
      </c>
    </row>
    <row r="22" spans="2:22" ht="20.45" customHeight="1" x14ac:dyDescent="0.75">
      <c r="B22" s="79" t="s">
        <v>99</v>
      </c>
      <c r="C22" s="71"/>
      <c r="D22" s="72"/>
      <c r="E22" s="73"/>
      <c r="F22" s="74">
        <f>SUM(F23)</f>
        <v>1500</v>
      </c>
      <c r="G22" s="74">
        <f t="shared" ref="G22:H22" si="5">SUM(G23)</f>
        <v>1500</v>
      </c>
      <c r="H22" s="74">
        <f t="shared" si="5"/>
        <v>1000</v>
      </c>
      <c r="I22" s="74">
        <f>SUM(F22:H22)</f>
        <v>4000</v>
      </c>
      <c r="J22" s="74">
        <f>SUM(J23)</f>
        <v>0</v>
      </c>
      <c r="K22" s="74">
        <f t="shared" ref="K22:L22" si="6">SUM(K23)</f>
        <v>0</v>
      </c>
      <c r="L22" s="74">
        <f t="shared" si="6"/>
        <v>0</v>
      </c>
      <c r="M22" s="74">
        <f>SUM(J22:L22)</f>
        <v>0</v>
      </c>
      <c r="N22" s="74">
        <f>SUM(N23)</f>
        <v>1500</v>
      </c>
      <c r="O22" s="74">
        <f t="shared" ref="O22:P22" si="7">SUM(O23)</f>
        <v>1500</v>
      </c>
      <c r="P22" s="74">
        <f t="shared" si="7"/>
        <v>1000</v>
      </c>
      <c r="Q22" s="74">
        <f>SUM(N22:P22)</f>
        <v>4000</v>
      </c>
      <c r="R22" s="75"/>
      <c r="S22" t="str">
        <f t="shared" si="3"/>
        <v xml:space="preserve">OK </v>
      </c>
    </row>
    <row r="23" spans="2:22" ht="50.5" x14ac:dyDescent="0.75">
      <c r="B23" s="148" t="s">
        <v>100</v>
      </c>
      <c r="C23" s="65">
        <v>491</v>
      </c>
      <c r="D23" s="105" t="s">
        <v>118</v>
      </c>
      <c r="E23" s="67" t="s">
        <v>102</v>
      </c>
      <c r="F23" s="77">
        <v>1500</v>
      </c>
      <c r="G23" s="77">
        <v>1500</v>
      </c>
      <c r="H23" s="77">
        <v>1000</v>
      </c>
      <c r="I23" s="77">
        <f>SUM(F23:H23)</f>
        <v>4000</v>
      </c>
      <c r="J23" s="77">
        <v>0</v>
      </c>
      <c r="K23" s="77">
        <v>0</v>
      </c>
      <c r="L23" s="77">
        <v>0</v>
      </c>
      <c r="M23" s="77">
        <f>SUM(J23:L23)</f>
        <v>0</v>
      </c>
      <c r="N23" s="77">
        <f>F23-J23</f>
        <v>1500</v>
      </c>
      <c r="O23" s="77">
        <f>G23-K23</f>
        <v>1500</v>
      </c>
      <c r="P23" s="77">
        <f t="shared" ref="P23" si="8">H23-L23</f>
        <v>1000</v>
      </c>
      <c r="Q23" s="77">
        <f t="shared" ref="Q23" si="9">SUM(N23:P23)</f>
        <v>4000</v>
      </c>
      <c r="R23" s="80" t="s">
        <v>103</v>
      </c>
      <c r="S23" t="str">
        <f t="shared" si="3"/>
        <v xml:space="preserve">OK </v>
      </c>
    </row>
    <row r="24" spans="2:22" ht="50.5" x14ac:dyDescent="0.75">
      <c r="B24" s="110" t="s">
        <v>104</v>
      </c>
      <c r="C24" s="111"/>
      <c r="D24" s="112"/>
      <c r="E24" s="113"/>
      <c r="F24" s="114">
        <f>F25+F29+F34</f>
        <v>17464</v>
      </c>
      <c r="G24" s="114">
        <f t="shared" ref="G24:Q24" si="10">G25+G29+G34</f>
        <v>4437</v>
      </c>
      <c r="H24" s="114">
        <f t="shared" si="10"/>
        <v>1387</v>
      </c>
      <c r="I24" s="114">
        <f t="shared" si="10"/>
        <v>23288</v>
      </c>
      <c r="J24" s="114">
        <f t="shared" si="10"/>
        <v>3050</v>
      </c>
      <c r="K24" s="114">
        <f t="shared" si="10"/>
        <v>3050</v>
      </c>
      <c r="L24" s="114">
        <f t="shared" si="10"/>
        <v>0</v>
      </c>
      <c r="M24" s="114">
        <f t="shared" si="10"/>
        <v>6100</v>
      </c>
      <c r="N24" s="114">
        <f t="shared" si="10"/>
        <v>14414</v>
      </c>
      <c r="O24" s="114">
        <f t="shared" si="10"/>
        <v>1387</v>
      </c>
      <c r="P24" s="114">
        <f t="shared" si="10"/>
        <v>1387</v>
      </c>
      <c r="Q24" s="114">
        <f t="shared" si="10"/>
        <v>17188</v>
      </c>
      <c r="R24" s="115"/>
      <c r="S24" t="str">
        <f t="shared" si="3"/>
        <v xml:space="preserve">OK </v>
      </c>
    </row>
    <row r="25" spans="2:22" ht="20.45" customHeight="1" x14ac:dyDescent="0.75">
      <c r="B25" s="79" t="s">
        <v>105</v>
      </c>
      <c r="C25" s="71"/>
      <c r="D25" s="72"/>
      <c r="E25" s="73"/>
      <c r="F25" s="74">
        <f>SUM(F26:F28)</f>
        <v>7180</v>
      </c>
      <c r="G25" s="74">
        <f t="shared" ref="G25:H25" si="11">SUM(G26:G28)</f>
        <v>3400</v>
      </c>
      <c r="H25" s="74">
        <f t="shared" si="11"/>
        <v>350</v>
      </c>
      <c r="I25" s="74">
        <f t="shared" ref="I25:I32" si="12">SUM(F25:H25)</f>
        <v>10930</v>
      </c>
      <c r="J25" s="74">
        <f t="shared" ref="J25:L25" si="13">SUM(J26:J28)</f>
        <v>3050</v>
      </c>
      <c r="K25" s="74">
        <f t="shared" si="13"/>
        <v>3050</v>
      </c>
      <c r="L25" s="74">
        <f t="shared" si="13"/>
        <v>0</v>
      </c>
      <c r="M25" s="74">
        <f t="shared" ref="M25:M32" si="14">SUM(J25:L25)</f>
        <v>6100</v>
      </c>
      <c r="N25" s="74">
        <f t="shared" ref="N25:P25" si="15">SUM(N26:N28)</f>
        <v>4130</v>
      </c>
      <c r="O25" s="74">
        <f t="shared" si="15"/>
        <v>350</v>
      </c>
      <c r="P25" s="74">
        <f t="shared" si="15"/>
        <v>350</v>
      </c>
      <c r="Q25" s="74">
        <f>SUM(N25:P25)</f>
        <v>4830</v>
      </c>
      <c r="R25" s="75"/>
      <c r="S25" t="str">
        <f t="shared" si="3"/>
        <v xml:space="preserve">OK </v>
      </c>
    </row>
    <row r="26" spans="2:22" ht="50.5" x14ac:dyDescent="0.75">
      <c r="B26" s="107" t="s">
        <v>198</v>
      </c>
      <c r="C26" s="65">
        <v>509</v>
      </c>
      <c r="D26" s="66" t="s">
        <v>106</v>
      </c>
      <c r="E26" s="67" t="s">
        <v>102</v>
      </c>
      <c r="F26" s="77">
        <v>3050</v>
      </c>
      <c r="G26" s="77">
        <v>3050</v>
      </c>
      <c r="H26" s="77"/>
      <c r="I26" s="77">
        <f t="shared" si="12"/>
        <v>6100</v>
      </c>
      <c r="J26" s="77">
        <v>3050</v>
      </c>
      <c r="K26" s="77">
        <v>3050</v>
      </c>
      <c r="L26" s="77"/>
      <c r="M26" s="77">
        <f t="shared" si="14"/>
        <v>6100</v>
      </c>
      <c r="N26" s="77">
        <f>F26-J26</f>
        <v>0</v>
      </c>
      <c r="O26" s="77">
        <f t="shared" ref="O26:P28" si="16">G26-K26</f>
        <v>0</v>
      </c>
      <c r="P26" s="77">
        <f t="shared" si="16"/>
        <v>0</v>
      </c>
      <c r="Q26" s="77">
        <f t="shared" ref="Q26:Q28" si="17">SUM(N26:P26)</f>
        <v>0</v>
      </c>
      <c r="R26" s="69" t="s">
        <v>107</v>
      </c>
      <c r="S26" t="str">
        <f t="shared" si="3"/>
        <v xml:space="preserve">OK </v>
      </c>
    </row>
    <row r="27" spans="2:22" ht="25.25" x14ac:dyDescent="0.75">
      <c r="B27" s="107" t="s">
        <v>108</v>
      </c>
      <c r="C27" s="65">
        <v>659</v>
      </c>
      <c r="D27" s="66" t="s">
        <v>106</v>
      </c>
      <c r="E27" s="67" t="s">
        <v>102</v>
      </c>
      <c r="F27" s="77">
        <v>1550</v>
      </c>
      <c r="G27" s="77">
        <v>350</v>
      </c>
      <c r="H27" s="77">
        <v>350</v>
      </c>
      <c r="I27" s="77">
        <f t="shared" si="12"/>
        <v>2250</v>
      </c>
      <c r="J27" s="77"/>
      <c r="K27" s="77"/>
      <c r="L27" s="77"/>
      <c r="M27" s="77">
        <f t="shared" si="14"/>
        <v>0</v>
      </c>
      <c r="N27" s="77">
        <f>F27-J27</f>
        <v>1550</v>
      </c>
      <c r="O27" s="77">
        <f t="shared" si="16"/>
        <v>350</v>
      </c>
      <c r="P27" s="77">
        <f t="shared" si="16"/>
        <v>350</v>
      </c>
      <c r="Q27" s="77">
        <f>SUM(N27:P27)</f>
        <v>2250</v>
      </c>
      <c r="R27" s="69" t="s">
        <v>107</v>
      </c>
      <c r="S27" t="str">
        <f t="shared" si="3"/>
        <v xml:space="preserve">OK </v>
      </c>
    </row>
    <row r="28" spans="2:22" ht="50.5" x14ac:dyDescent="0.75">
      <c r="B28" s="107" t="s">
        <v>109</v>
      </c>
      <c r="C28" s="65">
        <v>510</v>
      </c>
      <c r="D28" s="66" t="s">
        <v>101</v>
      </c>
      <c r="E28" s="67" t="s">
        <v>102</v>
      </c>
      <c r="F28" s="77">
        <v>2580</v>
      </c>
      <c r="G28" s="77"/>
      <c r="H28" s="77"/>
      <c r="I28" s="77">
        <f t="shared" si="12"/>
        <v>2580</v>
      </c>
      <c r="J28" s="77"/>
      <c r="K28" s="77"/>
      <c r="L28" s="77"/>
      <c r="M28" s="77">
        <f t="shared" si="14"/>
        <v>0</v>
      </c>
      <c r="N28" s="77">
        <f>F28-J28</f>
        <v>2580</v>
      </c>
      <c r="O28" s="77">
        <f t="shared" si="16"/>
        <v>0</v>
      </c>
      <c r="P28" s="77">
        <f t="shared" si="16"/>
        <v>0</v>
      </c>
      <c r="Q28" s="77">
        <f t="shared" si="17"/>
        <v>2580</v>
      </c>
      <c r="R28" s="69" t="s">
        <v>107</v>
      </c>
      <c r="S28" t="str">
        <f t="shared" si="3"/>
        <v xml:space="preserve">OK </v>
      </c>
    </row>
    <row r="29" spans="2:22" ht="20.45" customHeight="1" x14ac:dyDescent="0.75">
      <c r="B29" s="79" t="s">
        <v>110</v>
      </c>
      <c r="C29" s="71"/>
      <c r="D29" s="72"/>
      <c r="E29" s="73"/>
      <c r="F29" s="74">
        <f>SUM(F30:F33)</f>
        <v>10284</v>
      </c>
      <c r="G29" s="74">
        <f t="shared" ref="G29:H29" si="18">SUM(G30:G33)</f>
        <v>1037</v>
      </c>
      <c r="H29" s="74">
        <f t="shared" si="18"/>
        <v>1037</v>
      </c>
      <c r="I29" s="74">
        <f t="shared" si="12"/>
        <v>12358</v>
      </c>
      <c r="J29" s="74">
        <f t="shared" ref="J29:L29" si="19">SUM(J30:J33)</f>
        <v>0</v>
      </c>
      <c r="K29" s="74">
        <f t="shared" si="19"/>
        <v>0</v>
      </c>
      <c r="L29" s="74">
        <f t="shared" si="19"/>
        <v>0</v>
      </c>
      <c r="M29" s="74">
        <f t="shared" si="14"/>
        <v>0</v>
      </c>
      <c r="N29" s="74">
        <f t="shared" ref="N29:P29" si="20">SUM(N30:N33)</f>
        <v>10284</v>
      </c>
      <c r="O29" s="74">
        <f t="shared" si="20"/>
        <v>1037</v>
      </c>
      <c r="P29" s="74">
        <f t="shared" si="20"/>
        <v>1037</v>
      </c>
      <c r="Q29" s="74">
        <f>SUM(N29:P29)</f>
        <v>12358</v>
      </c>
      <c r="R29" s="75"/>
      <c r="S29" t="str">
        <f t="shared" si="3"/>
        <v xml:space="preserve">OK </v>
      </c>
    </row>
    <row r="30" spans="2:22" ht="51" customHeight="1" x14ac:dyDescent="0.75">
      <c r="B30" s="107" t="s">
        <v>199</v>
      </c>
      <c r="C30" s="65">
        <v>492</v>
      </c>
      <c r="D30" s="66" t="s">
        <v>101</v>
      </c>
      <c r="E30" s="67" t="s">
        <v>102</v>
      </c>
      <c r="F30" s="77">
        <v>4456.8</v>
      </c>
      <c r="G30" s="77">
        <v>888.9</v>
      </c>
      <c r="H30" s="77">
        <v>444.4</v>
      </c>
      <c r="I30" s="77">
        <f t="shared" si="12"/>
        <v>5790.0999999999995</v>
      </c>
      <c r="J30" s="77"/>
      <c r="K30" s="77"/>
      <c r="L30" s="77"/>
      <c r="M30" s="77">
        <f t="shared" si="14"/>
        <v>0</v>
      </c>
      <c r="N30" s="77">
        <f>F30-J30</f>
        <v>4456.8</v>
      </c>
      <c r="O30" s="77">
        <f t="shared" ref="O30:P32" si="21">G30-K30</f>
        <v>888.9</v>
      </c>
      <c r="P30" s="77">
        <f t="shared" si="21"/>
        <v>444.4</v>
      </c>
      <c r="Q30" s="77">
        <f t="shared" ref="Q30:Q32" si="22">SUM(N30:P30)</f>
        <v>5790.0999999999995</v>
      </c>
      <c r="R30" s="69" t="s">
        <v>107</v>
      </c>
      <c r="S30" t="str">
        <f t="shared" si="3"/>
        <v xml:space="preserve">OK </v>
      </c>
    </row>
    <row r="31" spans="2:22" ht="50.5" x14ac:dyDescent="0.75">
      <c r="B31" s="107" t="s">
        <v>172</v>
      </c>
      <c r="C31" s="65">
        <v>653</v>
      </c>
      <c r="D31" s="66" t="s">
        <v>101</v>
      </c>
      <c r="E31" s="67" t="s">
        <v>102</v>
      </c>
      <c r="F31" s="77">
        <v>2370.4</v>
      </c>
      <c r="G31" s="77"/>
      <c r="H31" s="77"/>
      <c r="I31" s="77">
        <f t="shared" si="12"/>
        <v>2370.4</v>
      </c>
      <c r="J31" s="77"/>
      <c r="K31" s="77"/>
      <c r="L31" s="77"/>
      <c r="M31" s="77">
        <f t="shared" si="14"/>
        <v>0</v>
      </c>
      <c r="N31" s="77">
        <f>F31-J31</f>
        <v>2370.4</v>
      </c>
      <c r="O31" s="77">
        <f t="shared" si="21"/>
        <v>0</v>
      </c>
      <c r="P31" s="77">
        <f t="shared" si="21"/>
        <v>0</v>
      </c>
      <c r="Q31" s="77">
        <f t="shared" si="22"/>
        <v>2370.4</v>
      </c>
      <c r="R31" s="69" t="s">
        <v>107</v>
      </c>
      <c r="S31" t="str">
        <f t="shared" si="3"/>
        <v xml:space="preserve">OK </v>
      </c>
    </row>
    <row r="32" spans="2:22" ht="50.5" x14ac:dyDescent="0.75">
      <c r="B32" s="107" t="s">
        <v>173</v>
      </c>
      <c r="C32" s="65">
        <v>652</v>
      </c>
      <c r="D32" s="66" t="s">
        <v>101</v>
      </c>
      <c r="E32" s="67" t="s">
        <v>102</v>
      </c>
      <c r="F32" s="77"/>
      <c r="G32" s="77">
        <v>148.1</v>
      </c>
      <c r="H32" s="77">
        <v>592.6</v>
      </c>
      <c r="I32" s="77">
        <f t="shared" si="12"/>
        <v>740.7</v>
      </c>
      <c r="J32" s="77"/>
      <c r="K32" s="77"/>
      <c r="L32" s="77"/>
      <c r="M32" s="77">
        <f t="shared" si="14"/>
        <v>0</v>
      </c>
      <c r="N32" s="77">
        <f>F32-J32</f>
        <v>0</v>
      </c>
      <c r="O32" s="77">
        <f>G32-K32</f>
        <v>148.1</v>
      </c>
      <c r="P32" s="77">
        <f t="shared" si="21"/>
        <v>592.6</v>
      </c>
      <c r="Q32" s="77">
        <f t="shared" si="22"/>
        <v>740.7</v>
      </c>
      <c r="R32" s="69" t="s">
        <v>107</v>
      </c>
      <c r="S32" t="str">
        <f t="shared" si="3"/>
        <v xml:space="preserve">OK </v>
      </c>
    </row>
    <row r="33" spans="2:19" ht="50.5" x14ac:dyDescent="0.75">
      <c r="B33" s="107" t="s">
        <v>174</v>
      </c>
      <c r="C33" s="65">
        <v>792</v>
      </c>
      <c r="D33" s="66" t="s">
        <v>101</v>
      </c>
      <c r="E33" s="67" t="s">
        <v>102</v>
      </c>
      <c r="F33" s="77">
        <v>3456.8</v>
      </c>
      <c r="G33" s="77"/>
      <c r="H33" s="77"/>
      <c r="I33" s="77">
        <f t="shared" ref="I33" si="23">SUM(F33:H33)</f>
        <v>3456.8</v>
      </c>
      <c r="J33" s="77"/>
      <c r="K33" s="77"/>
      <c r="L33" s="77"/>
      <c r="M33" s="77">
        <f t="shared" ref="M33" si="24">SUM(J33:L33)</f>
        <v>0</v>
      </c>
      <c r="N33" s="77">
        <f>F33-J33</f>
        <v>3456.8</v>
      </c>
      <c r="O33" s="77">
        <f>G33-K33</f>
        <v>0</v>
      </c>
      <c r="P33" s="77">
        <f t="shared" ref="P33" si="25">H33-L33</f>
        <v>0</v>
      </c>
      <c r="Q33" s="77">
        <f t="shared" ref="Q33" si="26">SUM(N33:P33)</f>
        <v>3456.8</v>
      </c>
      <c r="R33" s="69" t="s">
        <v>107</v>
      </c>
      <c r="S33" t="str">
        <f t="shared" ref="S33" si="27">IF(SUM(I33,Q33), "OK ", "-")</f>
        <v xml:space="preserve">OK </v>
      </c>
    </row>
    <row r="34" spans="2:19" ht="25.25" hidden="1" x14ac:dyDescent="0.75">
      <c r="B34" s="70" t="s">
        <v>111</v>
      </c>
      <c r="C34" s="71"/>
      <c r="D34" s="72"/>
      <c r="E34" s="73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5"/>
      <c r="S34" t="str">
        <f t="shared" si="3"/>
        <v>-</v>
      </c>
    </row>
    <row r="35" spans="2:19" ht="25.25" hidden="1" x14ac:dyDescent="0.75">
      <c r="B35" s="76" t="s">
        <v>94</v>
      </c>
      <c r="C35" s="65"/>
      <c r="D35" s="66"/>
      <c r="E35" s="6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69"/>
      <c r="S35" t="str">
        <f t="shared" si="3"/>
        <v>-</v>
      </c>
    </row>
    <row r="36" spans="2:19" ht="50.5" x14ac:dyDescent="0.75">
      <c r="B36" s="110" t="s">
        <v>112</v>
      </c>
      <c r="C36" s="111"/>
      <c r="D36" s="112"/>
      <c r="E36" s="113"/>
      <c r="F36" s="114">
        <f>F37+F39+F41+F43+F45</f>
        <v>6737.8</v>
      </c>
      <c r="G36" s="114">
        <f t="shared" ref="G36:Q36" si="28">G37+G39+G41+G43+G45</f>
        <v>1600</v>
      </c>
      <c r="H36" s="114">
        <f t="shared" si="28"/>
        <v>1400</v>
      </c>
      <c r="I36" s="114">
        <f t="shared" si="28"/>
        <v>9737.7999999999993</v>
      </c>
      <c r="J36" s="114">
        <f t="shared" si="28"/>
        <v>0</v>
      </c>
      <c r="K36" s="114">
        <f t="shared" si="28"/>
        <v>0</v>
      </c>
      <c r="L36" s="114">
        <f t="shared" si="28"/>
        <v>0</v>
      </c>
      <c r="M36" s="114">
        <f t="shared" si="28"/>
        <v>0</v>
      </c>
      <c r="N36" s="114">
        <f t="shared" si="28"/>
        <v>6737.8</v>
      </c>
      <c r="O36" s="114">
        <f t="shared" si="28"/>
        <v>1600</v>
      </c>
      <c r="P36" s="114">
        <f t="shared" si="28"/>
        <v>1400</v>
      </c>
      <c r="Q36" s="114">
        <f t="shared" si="28"/>
        <v>9737.7999999999993</v>
      </c>
      <c r="R36" s="115"/>
      <c r="S36" t="str">
        <f t="shared" si="3"/>
        <v xml:space="preserve">OK </v>
      </c>
    </row>
    <row r="37" spans="2:19" ht="20.45" hidden="1" customHeight="1" x14ac:dyDescent="0.75">
      <c r="B37" s="70" t="s">
        <v>113</v>
      </c>
      <c r="C37" s="71"/>
      <c r="D37" s="72"/>
      <c r="E37" s="73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5"/>
      <c r="S37" t="str">
        <f t="shared" si="3"/>
        <v>-</v>
      </c>
    </row>
    <row r="38" spans="2:19" ht="20.45" hidden="1" customHeight="1" x14ac:dyDescent="0.75">
      <c r="B38" s="76" t="s">
        <v>94</v>
      </c>
      <c r="C38" s="65"/>
      <c r="D38" s="66"/>
      <c r="E38" s="6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69"/>
      <c r="S38" t="str">
        <f t="shared" si="3"/>
        <v>-</v>
      </c>
    </row>
    <row r="39" spans="2:19" ht="20.45" hidden="1" customHeight="1" x14ac:dyDescent="0.75">
      <c r="B39" s="70" t="s">
        <v>114</v>
      </c>
      <c r="C39" s="71"/>
      <c r="D39" s="72"/>
      <c r="E39" s="73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5"/>
      <c r="S39" t="str">
        <f t="shared" si="3"/>
        <v>-</v>
      </c>
    </row>
    <row r="40" spans="2:19" ht="20.45" hidden="1" customHeight="1" x14ac:dyDescent="0.75">
      <c r="B40" s="76" t="s">
        <v>94</v>
      </c>
      <c r="C40" s="65"/>
      <c r="D40" s="66"/>
      <c r="E40" s="6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69"/>
      <c r="S40" t="str">
        <f t="shared" si="3"/>
        <v>-</v>
      </c>
    </row>
    <row r="41" spans="2:19" ht="20.45" hidden="1" customHeight="1" x14ac:dyDescent="0.75">
      <c r="B41" s="70" t="s">
        <v>115</v>
      </c>
      <c r="C41" s="71"/>
      <c r="D41" s="72"/>
      <c r="E41" s="73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t="str">
        <f t="shared" si="3"/>
        <v>-</v>
      </c>
    </row>
    <row r="42" spans="2:19" ht="20.45" hidden="1" customHeight="1" x14ac:dyDescent="0.75">
      <c r="B42" s="76" t="s">
        <v>94</v>
      </c>
      <c r="C42" s="65"/>
      <c r="D42" s="66"/>
      <c r="E42" s="6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69"/>
      <c r="S42" t="str">
        <f t="shared" si="3"/>
        <v>-</v>
      </c>
    </row>
    <row r="43" spans="2:19" ht="20.45" customHeight="1" x14ac:dyDescent="0.75">
      <c r="B43" s="79" t="s">
        <v>116</v>
      </c>
      <c r="C43" s="71"/>
      <c r="D43" s="72"/>
      <c r="E43" s="73"/>
      <c r="F43" s="74">
        <f>F44</f>
        <v>1600</v>
      </c>
      <c r="G43" s="74">
        <f t="shared" ref="G43:H43" si="29">G44</f>
        <v>1600</v>
      </c>
      <c r="H43" s="74">
        <f t="shared" si="29"/>
        <v>1400</v>
      </c>
      <c r="I43" s="74">
        <f>SUM(F43:H43)</f>
        <v>4600</v>
      </c>
      <c r="J43" s="74">
        <f t="shared" ref="J43:L43" si="30">J44</f>
        <v>0</v>
      </c>
      <c r="K43" s="74">
        <f t="shared" si="30"/>
        <v>0</v>
      </c>
      <c r="L43" s="74">
        <f t="shared" si="30"/>
        <v>0</v>
      </c>
      <c r="M43" s="74">
        <f>SUM(J43:L43)</f>
        <v>0</v>
      </c>
      <c r="N43" s="74">
        <f t="shared" ref="N43:P43" si="31">N44</f>
        <v>1600</v>
      </c>
      <c r="O43" s="74">
        <f t="shared" si="31"/>
        <v>1600</v>
      </c>
      <c r="P43" s="74">
        <f t="shared" si="31"/>
        <v>1400</v>
      </c>
      <c r="Q43" s="74">
        <f>SUM(N43:P43)</f>
        <v>4600</v>
      </c>
      <c r="R43" s="75"/>
      <c r="S43" t="str">
        <f t="shared" si="3"/>
        <v xml:space="preserve">OK </v>
      </c>
    </row>
    <row r="44" spans="2:19" ht="48.75" customHeight="1" x14ac:dyDescent="0.75">
      <c r="B44" s="107" t="s">
        <v>200</v>
      </c>
      <c r="C44" s="65">
        <v>651</v>
      </c>
      <c r="D44" s="106" t="s">
        <v>101</v>
      </c>
      <c r="E44" s="106" t="s">
        <v>102</v>
      </c>
      <c r="F44" s="77">
        <v>1600</v>
      </c>
      <c r="G44" s="77">
        <v>1600</v>
      </c>
      <c r="H44" s="77">
        <v>1400</v>
      </c>
      <c r="I44" s="77">
        <f>SUM(F44:H44)</f>
        <v>4600</v>
      </c>
      <c r="J44" s="77"/>
      <c r="K44" s="77"/>
      <c r="L44" s="77"/>
      <c r="M44" s="77">
        <f>SUM(J44:L44)</f>
        <v>0</v>
      </c>
      <c r="N44" s="77">
        <f t="shared" ref="N44:P44" si="32">F44-J44</f>
        <v>1600</v>
      </c>
      <c r="O44" s="77">
        <f t="shared" si="32"/>
        <v>1600</v>
      </c>
      <c r="P44" s="77">
        <f t="shared" si="32"/>
        <v>1400</v>
      </c>
      <c r="Q44" s="77">
        <f t="shared" ref="Q44:Q47" si="33">SUM(N44:P44)</f>
        <v>4600</v>
      </c>
      <c r="R44" s="69" t="s">
        <v>107</v>
      </c>
      <c r="S44" t="str">
        <f t="shared" si="3"/>
        <v xml:space="preserve">OK </v>
      </c>
    </row>
    <row r="45" spans="2:19" ht="22.5" customHeight="1" x14ac:dyDescent="0.75">
      <c r="B45" s="79" t="s">
        <v>117</v>
      </c>
      <c r="C45" s="71"/>
      <c r="D45" s="72"/>
      <c r="E45" s="73"/>
      <c r="F45" s="74">
        <f>SUM(F46:F47)</f>
        <v>5137.8</v>
      </c>
      <c r="G45" s="74">
        <f>SUM(G46:G47)</f>
        <v>0</v>
      </c>
      <c r="H45" s="74">
        <f>SUM(H46:H47)</f>
        <v>0</v>
      </c>
      <c r="I45" s="74">
        <f t="shared" ref="I45:I47" si="34">SUM(F45:H45)</f>
        <v>5137.8</v>
      </c>
      <c r="J45" s="74">
        <f>SUM(J46:J47)</f>
        <v>0</v>
      </c>
      <c r="K45" s="74">
        <f>SUM(K46:K47)</f>
        <v>0</v>
      </c>
      <c r="L45" s="74">
        <f>SUM(L46:L47)</f>
        <v>0</v>
      </c>
      <c r="M45" s="74">
        <f t="shared" ref="M45:M47" si="35">SUM(J45:L45)</f>
        <v>0</v>
      </c>
      <c r="N45" s="74">
        <f>SUM(N46:N47)</f>
        <v>5137.8</v>
      </c>
      <c r="O45" s="74">
        <f>SUM(O46:O47)</f>
        <v>0</v>
      </c>
      <c r="P45" s="74">
        <f>SUM(P46:P47)</f>
        <v>0</v>
      </c>
      <c r="Q45" s="74">
        <f t="shared" si="33"/>
        <v>5137.8</v>
      </c>
      <c r="R45" s="75"/>
      <c r="S45" t="str">
        <f t="shared" si="3"/>
        <v xml:space="preserve">OK </v>
      </c>
    </row>
    <row r="46" spans="2:19" ht="50.5" x14ac:dyDescent="0.75">
      <c r="B46" s="108" t="s">
        <v>175</v>
      </c>
      <c r="C46" s="65">
        <v>793</v>
      </c>
      <c r="D46" s="105" t="s">
        <v>118</v>
      </c>
      <c r="E46" s="106" t="s">
        <v>102</v>
      </c>
      <c r="F46" s="77">
        <v>1937.8</v>
      </c>
      <c r="G46" s="77">
        <v>0</v>
      </c>
      <c r="H46" s="77">
        <v>0</v>
      </c>
      <c r="I46" s="77">
        <f t="shared" si="34"/>
        <v>1937.8</v>
      </c>
      <c r="J46" s="77"/>
      <c r="K46" s="77"/>
      <c r="L46" s="77"/>
      <c r="M46" s="77">
        <f t="shared" si="35"/>
        <v>0</v>
      </c>
      <c r="N46" s="77">
        <f t="shared" ref="N46:P47" si="36">F46-J46</f>
        <v>1937.8</v>
      </c>
      <c r="O46" s="77">
        <f t="shared" si="36"/>
        <v>0</v>
      </c>
      <c r="P46" s="77">
        <f t="shared" si="36"/>
        <v>0</v>
      </c>
      <c r="Q46" s="77">
        <f t="shared" si="33"/>
        <v>1937.8</v>
      </c>
      <c r="R46" s="80" t="s">
        <v>171</v>
      </c>
      <c r="S46" t="str">
        <f t="shared" si="3"/>
        <v xml:space="preserve">OK </v>
      </c>
    </row>
    <row r="47" spans="2:19" ht="50.5" x14ac:dyDescent="0.75">
      <c r="B47" s="108" t="s">
        <v>176</v>
      </c>
      <c r="C47" s="65">
        <v>655</v>
      </c>
      <c r="D47" s="105" t="s">
        <v>118</v>
      </c>
      <c r="E47" s="106" t="s">
        <v>102</v>
      </c>
      <c r="F47" s="77">
        <v>3200</v>
      </c>
      <c r="G47" s="77">
        <v>0</v>
      </c>
      <c r="H47" s="77">
        <v>0</v>
      </c>
      <c r="I47" s="77">
        <f t="shared" si="34"/>
        <v>3200</v>
      </c>
      <c r="J47" s="77"/>
      <c r="K47" s="77"/>
      <c r="L47" s="77"/>
      <c r="M47" s="77">
        <f t="shared" si="35"/>
        <v>0</v>
      </c>
      <c r="N47" s="77">
        <f t="shared" si="36"/>
        <v>3200</v>
      </c>
      <c r="O47" s="77">
        <f t="shared" si="36"/>
        <v>0</v>
      </c>
      <c r="P47" s="77">
        <f t="shared" si="36"/>
        <v>0</v>
      </c>
      <c r="Q47" s="77">
        <f t="shared" si="33"/>
        <v>3200</v>
      </c>
      <c r="R47" s="80" t="s">
        <v>171</v>
      </c>
      <c r="S47" t="str">
        <f t="shared" si="3"/>
        <v xml:space="preserve">OK </v>
      </c>
    </row>
    <row r="48" spans="2:19" ht="75.75" x14ac:dyDescent="0.75">
      <c r="B48" s="110" t="s">
        <v>120</v>
      </c>
      <c r="C48" s="111"/>
      <c r="D48" s="112"/>
      <c r="E48" s="113"/>
      <c r="F48" s="114">
        <f t="shared" ref="F48:Q48" si="37">F49+F51+F53+F127+F129+F131+F133</f>
        <v>6056.5</v>
      </c>
      <c r="G48" s="114">
        <f t="shared" si="37"/>
        <v>2387.5</v>
      </c>
      <c r="H48" s="114">
        <f t="shared" si="37"/>
        <v>1135</v>
      </c>
      <c r="I48" s="114">
        <f t="shared" si="37"/>
        <v>9579</v>
      </c>
      <c r="J48" s="114">
        <f t="shared" si="37"/>
        <v>0</v>
      </c>
      <c r="K48" s="114">
        <f t="shared" si="37"/>
        <v>0</v>
      </c>
      <c r="L48" s="114">
        <f t="shared" si="37"/>
        <v>0</v>
      </c>
      <c r="M48" s="114">
        <f t="shared" si="37"/>
        <v>0</v>
      </c>
      <c r="N48" s="114">
        <f t="shared" si="37"/>
        <v>6056.5</v>
      </c>
      <c r="O48" s="114">
        <f t="shared" si="37"/>
        <v>2387.5</v>
      </c>
      <c r="P48" s="114">
        <f t="shared" si="37"/>
        <v>1135</v>
      </c>
      <c r="Q48" s="114">
        <f t="shared" si="37"/>
        <v>9579</v>
      </c>
      <c r="R48" s="115"/>
      <c r="S48" t="str">
        <f t="shared" si="3"/>
        <v xml:space="preserve">OK </v>
      </c>
    </row>
    <row r="49" spans="2:19" ht="20.45" hidden="1" customHeight="1" x14ac:dyDescent="0.75">
      <c r="B49" s="70" t="s">
        <v>121</v>
      </c>
      <c r="C49" s="71"/>
      <c r="D49" s="72"/>
      <c r="E49" s="73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5"/>
      <c r="S49" t="str">
        <f t="shared" si="3"/>
        <v>-</v>
      </c>
    </row>
    <row r="50" spans="2:19" ht="20.45" hidden="1" customHeight="1" x14ac:dyDescent="0.75">
      <c r="B50" s="76" t="s">
        <v>94</v>
      </c>
      <c r="C50" s="65"/>
      <c r="D50" s="66"/>
      <c r="E50" s="6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69"/>
      <c r="S50" t="str">
        <f t="shared" si="3"/>
        <v>-</v>
      </c>
    </row>
    <row r="51" spans="2:19" ht="20.45" hidden="1" customHeight="1" x14ac:dyDescent="0.75">
      <c r="B51" s="70" t="s">
        <v>122</v>
      </c>
      <c r="C51" s="71"/>
      <c r="D51" s="72"/>
      <c r="E51" s="73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5"/>
      <c r="S51" t="str">
        <f t="shared" si="3"/>
        <v>-</v>
      </c>
    </row>
    <row r="52" spans="2:19" ht="20.45" hidden="1" customHeight="1" x14ac:dyDescent="0.75">
      <c r="B52" s="76" t="s">
        <v>94</v>
      </c>
      <c r="C52" s="65"/>
      <c r="D52" s="66"/>
      <c r="E52" s="6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69"/>
      <c r="S52" t="str">
        <f t="shared" si="3"/>
        <v>-</v>
      </c>
    </row>
    <row r="53" spans="2:19" ht="25.25" x14ac:dyDescent="0.75">
      <c r="B53" s="79" t="s">
        <v>123</v>
      </c>
      <c r="C53" s="71"/>
      <c r="D53" s="72"/>
      <c r="E53" s="73"/>
      <c r="F53" s="74">
        <f>F54+F57+F62+F65+F67+F69+F73+F75+F77+F80+F85+F87+F91+F93+F95+F98+F101+F103+F105+F107+F110+F113+F117+F120+F123</f>
        <v>4926.5</v>
      </c>
      <c r="G53" s="74">
        <f>G54+G57+G62+G65+G67+G69+G73+G75+G77+G80+G85+G87+G91+G93+G95+G98+G101+G103+G105+G107+G110+G113+G117+G120+G123</f>
        <v>2087.5</v>
      </c>
      <c r="H53" s="74">
        <f>H54+H57+H62+H65+H67+H69+H73+H75+H77+H80+H85+H87+H91+H93+H95+H98+H101+H103+H105+H107+H110+H113+H117+H120+H123</f>
        <v>1135</v>
      </c>
      <c r="I53" s="74">
        <f t="shared" ref="I53:I58" si="38">SUM(F53:H53)</f>
        <v>8149</v>
      </c>
      <c r="J53" s="74">
        <f>J54+J57+J62+J65+J67+J69+J73+J75+J77+J80+J85+J87+J91+J93+J95+J98+J101+J103+J105+J107+J110+J113+J117+J120+J123</f>
        <v>0</v>
      </c>
      <c r="K53" s="74">
        <f>K54+K57+K62+K65+K67+K69+K73+K75+K77+K80+K85+K87+K91+K93+K95+K98+K101+K103+K105+K107+K110+K113+K117+K120+K123</f>
        <v>0</v>
      </c>
      <c r="L53" s="74">
        <f>L54+L57+L62+L65+L67+L69+L73+L75+L77+L80+L85+L87+L91+L93+L95+L98+L101+L103+L105+L107+L110+L113+L117+L120+L123</f>
        <v>0</v>
      </c>
      <c r="M53" s="74">
        <f>SUM(J53:L53)</f>
        <v>0</v>
      </c>
      <c r="N53" s="74">
        <f>N54+N57+N62+N65+N67+N69+N73+N75+N77+N80+N85+N87+N91+N93+N95+N98+N101+N103+N105+N107+N110+N113+N117+N120+N123</f>
        <v>4926.5</v>
      </c>
      <c r="O53" s="74">
        <f>O54+O57+O62+O65+O67+O69+O73+O75+O77+O80+O85+O87+O91+O93+O95+O98+O101+O103+O105+O107+O110+O113+O117+O120+O123</f>
        <v>2087.5</v>
      </c>
      <c r="P53" s="74">
        <f>P54+P57+P62+P65+P67+P69+P73+P75+P77+P80+P85+P87+P91+P93+P95+P98+P101+P103+P105+P107+P110+P113+P117+P120+P123</f>
        <v>1135</v>
      </c>
      <c r="Q53" s="74">
        <f>SUM(N53:P53)</f>
        <v>8149</v>
      </c>
      <c r="R53" s="75"/>
      <c r="S53" t="str">
        <f t="shared" si="3"/>
        <v xml:space="preserve">OK </v>
      </c>
    </row>
    <row r="54" spans="2:19" ht="25.25" x14ac:dyDescent="0.75">
      <c r="B54" s="156" t="s">
        <v>124</v>
      </c>
      <c r="C54" s="157"/>
      <c r="D54" s="158"/>
      <c r="E54" s="159"/>
      <c r="F54" s="160">
        <f>SUM(F55:F56)</f>
        <v>93.5</v>
      </c>
      <c r="G54" s="160">
        <f t="shared" ref="G54:H54" si="39">SUM(G55:G56)</f>
        <v>100</v>
      </c>
      <c r="H54" s="160">
        <f t="shared" si="39"/>
        <v>50</v>
      </c>
      <c r="I54" s="160">
        <f t="shared" si="38"/>
        <v>243.5</v>
      </c>
      <c r="J54" s="160">
        <f t="shared" ref="J54:L54" si="40">SUM(J55:J56)</f>
        <v>0</v>
      </c>
      <c r="K54" s="160">
        <f t="shared" si="40"/>
        <v>0</v>
      </c>
      <c r="L54" s="160">
        <f t="shared" si="40"/>
        <v>0</v>
      </c>
      <c r="M54" s="160">
        <f>SUM(J54:L54)</f>
        <v>0</v>
      </c>
      <c r="N54" s="160">
        <f t="shared" ref="N54:P54" si="41">SUM(N55:N56)</f>
        <v>93.5</v>
      </c>
      <c r="O54" s="160">
        <f t="shared" si="41"/>
        <v>100</v>
      </c>
      <c r="P54" s="160">
        <f t="shared" si="41"/>
        <v>50</v>
      </c>
      <c r="Q54" s="160">
        <f>SUM(N54:P54)</f>
        <v>243.5</v>
      </c>
      <c r="R54" s="161"/>
      <c r="S54" t="str">
        <f t="shared" si="3"/>
        <v xml:space="preserve">OK </v>
      </c>
    </row>
    <row r="55" spans="2:19" ht="25.25" x14ac:dyDescent="0.75">
      <c r="B55" s="107" t="s">
        <v>125</v>
      </c>
      <c r="C55" s="65">
        <v>641</v>
      </c>
      <c r="D55" s="66" t="s">
        <v>101</v>
      </c>
      <c r="E55" s="67" t="s">
        <v>102</v>
      </c>
      <c r="F55" s="77">
        <v>93.5</v>
      </c>
      <c r="G55" s="77">
        <v>0</v>
      </c>
      <c r="H55" s="77">
        <v>0</v>
      </c>
      <c r="I55" s="77">
        <f t="shared" si="38"/>
        <v>93.5</v>
      </c>
      <c r="J55" s="77">
        <v>0</v>
      </c>
      <c r="K55" s="77">
        <v>0</v>
      </c>
      <c r="L55" s="77">
        <v>0</v>
      </c>
      <c r="M55" s="77">
        <f>SUM(J55:L55)</f>
        <v>0</v>
      </c>
      <c r="N55" s="77">
        <f>F55-J55</f>
        <v>93.5</v>
      </c>
      <c r="O55" s="77">
        <f t="shared" ref="O55:P56" si="42">G55-K55</f>
        <v>0</v>
      </c>
      <c r="P55" s="77">
        <f t="shared" si="42"/>
        <v>0</v>
      </c>
      <c r="Q55" s="77">
        <f t="shared" ref="Q55:Q65" si="43">SUM(N55:P55)</f>
        <v>93.5</v>
      </c>
      <c r="R55" s="69" t="s">
        <v>107</v>
      </c>
      <c r="S55" t="str">
        <f t="shared" si="3"/>
        <v xml:space="preserve">OK </v>
      </c>
    </row>
    <row r="56" spans="2:19" ht="50.5" x14ac:dyDescent="0.75">
      <c r="B56" s="107" t="s">
        <v>170</v>
      </c>
      <c r="C56" s="65">
        <v>641</v>
      </c>
      <c r="D56" s="66" t="s">
        <v>101</v>
      </c>
      <c r="E56" s="67" t="s">
        <v>102</v>
      </c>
      <c r="F56" s="77">
        <v>0</v>
      </c>
      <c r="G56" s="77">
        <v>100</v>
      </c>
      <c r="H56" s="77">
        <v>50</v>
      </c>
      <c r="I56" s="77">
        <f t="shared" si="38"/>
        <v>150</v>
      </c>
      <c r="J56" s="77">
        <v>0</v>
      </c>
      <c r="K56" s="77">
        <v>0</v>
      </c>
      <c r="L56" s="77">
        <v>0</v>
      </c>
      <c r="M56" s="77">
        <f>SUM(J56:L56)</f>
        <v>0</v>
      </c>
      <c r="N56" s="77">
        <f t="shared" ref="N56" si="44">F56-J56</f>
        <v>0</v>
      </c>
      <c r="O56" s="77">
        <f t="shared" si="42"/>
        <v>100</v>
      </c>
      <c r="P56" s="77">
        <f t="shared" si="42"/>
        <v>50</v>
      </c>
      <c r="Q56" s="77">
        <f t="shared" si="43"/>
        <v>150</v>
      </c>
      <c r="R56" s="69" t="s">
        <v>107</v>
      </c>
      <c r="S56" t="str">
        <f t="shared" si="3"/>
        <v xml:space="preserve">OK </v>
      </c>
    </row>
    <row r="57" spans="2:19" ht="20.45" customHeight="1" x14ac:dyDescent="0.75">
      <c r="B57" s="156" t="s">
        <v>126</v>
      </c>
      <c r="C57" s="157"/>
      <c r="D57" s="158"/>
      <c r="E57" s="159"/>
      <c r="F57" s="160">
        <f>SUM(F58:F61)</f>
        <v>350</v>
      </c>
      <c r="G57" s="160">
        <f>SUM(G58:G61)</f>
        <v>275</v>
      </c>
      <c r="H57" s="160">
        <f>SUM(H58:H61)</f>
        <v>0</v>
      </c>
      <c r="I57" s="160">
        <f t="shared" si="38"/>
        <v>625</v>
      </c>
      <c r="J57" s="160">
        <f>SUM(J58:J61)</f>
        <v>0</v>
      </c>
      <c r="K57" s="160">
        <f>SUM(K58:K61)</f>
        <v>0</v>
      </c>
      <c r="L57" s="160">
        <f>SUM(L58:L61)</f>
        <v>0</v>
      </c>
      <c r="M57" s="160">
        <f t="shared" ref="M57:M66" si="45">SUM(J57:L57)</f>
        <v>0</v>
      </c>
      <c r="N57" s="160">
        <f>SUM(N58:N61)</f>
        <v>350</v>
      </c>
      <c r="O57" s="160">
        <f>SUM(O58:O61)</f>
        <v>275</v>
      </c>
      <c r="P57" s="160">
        <f>SUM(P58:P61)</f>
        <v>0</v>
      </c>
      <c r="Q57" s="160">
        <f t="shared" si="43"/>
        <v>625</v>
      </c>
      <c r="R57" s="161"/>
      <c r="S57" t="str">
        <f t="shared" si="3"/>
        <v xml:space="preserve">OK </v>
      </c>
    </row>
    <row r="58" spans="2:19" ht="25.25" x14ac:dyDescent="0.75">
      <c r="B58" s="107" t="s">
        <v>210</v>
      </c>
      <c r="C58" s="65">
        <v>644</v>
      </c>
      <c r="D58" s="66" t="s">
        <v>101</v>
      </c>
      <c r="E58" s="67" t="s">
        <v>102</v>
      </c>
      <c r="F58" s="77">
        <v>20</v>
      </c>
      <c r="G58" s="77"/>
      <c r="H58" s="77"/>
      <c r="I58" s="77">
        <f t="shared" si="38"/>
        <v>20</v>
      </c>
      <c r="J58" s="77"/>
      <c r="K58" s="77"/>
      <c r="L58" s="77"/>
      <c r="M58" s="77">
        <f t="shared" si="45"/>
        <v>0</v>
      </c>
      <c r="N58" s="77">
        <f>F58-J58</f>
        <v>20</v>
      </c>
      <c r="O58" s="77">
        <f t="shared" ref="O58:P61" si="46">G58-K58</f>
        <v>0</v>
      </c>
      <c r="P58" s="77">
        <f t="shared" si="46"/>
        <v>0</v>
      </c>
      <c r="Q58" s="77">
        <f t="shared" si="43"/>
        <v>20</v>
      </c>
      <c r="R58" s="69" t="s">
        <v>107</v>
      </c>
      <c r="S58" t="str">
        <f t="shared" si="3"/>
        <v xml:space="preserve">OK </v>
      </c>
    </row>
    <row r="59" spans="2:19" ht="20.45" customHeight="1" x14ac:dyDescent="0.75">
      <c r="B59" s="107" t="s">
        <v>179</v>
      </c>
      <c r="C59" s="65">
        <v>642</v>
      </c>
      <c r="D59" s="66" t="s">
        <v>101</v>
      </c>
      <c r="E59" s="67" t="s">
        <v>102</v>
      </c>
      <c r="F59" s="77">
        <v>42.5</v>
      </c>
      <c r="G59" s="77"/>
      <c r="H59" s="77"/>
      <c r="I59" s="77">
        <f t="shared" ref="I59:I65" si="47">SUM(F59:H59)</f>
        <v>42.5</v>
      </c>
      <c r="J59" s="77"/>
      <c r="K59" s="77"/>
      <c r="L59" s="77"/>
      <c r="M59" s="77">
        <f t="shared" si="45"/>
        <v>0</v>
      </c>
      <c r="N59" s="77">
        <f t="shared" ref="N59:N61" si="48">F59-J59</f>
        <v>42.5</v>
      </c>
      <c r="O59" s="77">
        <f t="shared" si="46"/>
        <v>0</v>
      </c>
      <c r="P59" s="77">
        <f t="shared" si="46"/>
        <v>0</v>
      </c>
      <c r="Q59" s="77">
        <f t="shared" si="43"/>
        <v>42.5</v>
      </c>
      <c r="R59" s="69" t="s">
        <v>107</v>
      </c>
      <c r="S59" t="str">
        <f t="shared" si="3"/>
        <v xml:space="preserve">OK </v>
      </c>
    </row>
    <row r="60" spans="2:19" ht="20.45" customHeight="1" x14ac:dyDescent="0.75">
      <c r="B60" s="107" t="s">
        <v>180</v>
      </c>
      <c r="C60" s="65">
        <v>641</v>
      </c>
      <c r="D60" s="66" t="s">
        <v>101</v>
      </c>
      <c r="E60" s="67" t="s">
        <v>102</v>
      </c>
      <c r="F60" s="77">
        <v>175</v>
      </c>
      <c r="G60" s="77">
        <v>275</v>
      </c>
      <c r="H60" s="77"/>
      <c r="I60" s="77">
        <f t="shared" si="47"/>
        <v>450</v>
      </c>
      <c r="J60" s="77"/>
      <c r="K60" s="77"/>
      <c r="L60" s="77"/>
      <c r="M60" s="77">
        <f t="shared" si="45"/>
        <v>0</v>
      </c>
      <c r="N60" s="77">
        <f t="shared" si="48"/>
        <v>175</v>
      </c>
      <c r="O60" s="77">
        <f t="shared" si="46"/>
        <v>275</v>
      </c>
      <c r="P60" s="77">
        <f t="shared" si="46"/>
        <v>0</v>
      </c>
      <c r="Q60" s="77">
        <f t="shared" si="43"/>
        <v>450</v>
      </c>
      <c r="R60" s="69" t="s">
        <v>107</v>
      </c>
      <c r="S60" t="str">
        <f t="shared" si="3"/>
        <v xml:space="preserve">OK </v>
      </c>
    </row>
    <row r="61" spans="2:19" ht="20.45" customHeight="1" x14ac:dyDescent="0.75">
      <c r="B61" s="107" t="s">
        <v>128</v>
      </c>
      <c r="C61" s="65">
        <v>538</v>
      </c>
      <c r="D61" s="66" t="s">
        <v>101</v>
      </c>
      <c r="E61" s="67" t="s">
        <v>102</v>
      </c>
      <c r="F61" s="77">
        <v>112.5</v>
      </c>
      <c r="G61" s="77"/>
      <c r="H61" s="77"/>
      <c r="I61" s="77">
        <f t="shared" si="47"/>
        <v>112.5</v>
      </c>
      <c r="J61" s="77"/>
      <c r="K61" s="77"/>
      <c r="L61" s="77"/>
      <c r="M61" s="77">
        <f t="shared" si="45"/>
        <v>0</v>
      </c>
      <c r="N61" s="77">
        <f t="shared" si="48"/>
        <v>112.5</v>
      </c>
      <c r="O61" s="77">
        <f t="shared" si="46"/>
        <v>0</v>
      </c>
      <c r="P61" s="77">
        <f t="shared" si="46"/>
        <v>0</v>
      </c>
      <c r="Q61" s="77">
        <f t="shared" si="43"/>
        <v>112.5</v>
      </c>
      <c r="R61" s="69" t="s">
        <v>107</v>
      </c>
      <c r="S61" t="str">
        <f t="shared" si="3"/>
        <v xml:space="preserve">OK </v>
      </c>
    </row>
    <row r="62" spans="2:19" ht="20.45" customHeight="1" x14ac:dyDescent="0.75">
      <c r="B62" s="156" t="s">
        <v>129</v>
      </c>
      <c r="C62" s="157"/>
      <c r="D62" s="158"/>
      <c r="E62" s="159"/>
      <c r="F62" s="160">
        <f>SUM(F63:F64)</f>
        <v>215</v>
      </c>
      <c r="G62" s="160">
        <f>SUM(G63:G64)</f>
        <v>200</v>
      </c>
      <c r="H62" s="160">
        <f>SUM(H63:H64)</f>
        <v>100</v>
      </c>
      <c r="I62" s="160">
        <f t="shared" si="47"/>
        <v>515</v>
      </c>
      <c r="J62" s="160">
        <f>SUM(J63:J64)</f>
        <v>0</v>
      </c>
      <c r="K62" s="160">
        <f>SUM(K63:K64)</f>
        <v>0</v>
      </c>
      <c r="L62" s="160">
        <f>SUM(L63:L64)</f>
        <v>0</v>
      </c>
      <c r="M62" s="160">
        <f t="shared" si="45"/>
        <v>0</v>
      </c>
      <c r="N62" s="160">
        <f>SUM(N63:N64)</f>
        <v>215</v>
      </c>
      <c r="O62" s="160">
        <f>SUM(O63:O64)</f>
        <v>200</v>
      </c>
      <c r="P62" s="160">
        <f>SUM(P63:P64)</f>
        <v>100</v>
      </c>
      <c r="Q62" s="160">
        <f t="shared" si="43"/>
        <v>515</v>
      </c>
      <c r="R62" s="161"/>
      <c r="S62" t="str">
        <f t="shared" si="3"/>
        <v xml:space="preserve">OK </v>
      </c>
    </row>
    <row r="63" spans="2:19" ht="23.25" customHeight="1" x14ac:dyDescent="0.75">
      <c r="B63" s="107" t="s">
        <v>168</v>
      </c>
      <c r="C63" s="65">
        <v>642</v>
      </c>
      <c r="D63" s="66" t="s">
        <v>101</v>
      </c>
      <c r="E63" s="67" t="s">
        <v>102</v>
      </c>
      <c r="F63" s="77">
        <v>15</v>
      </c>
      <c r="G63" s="77"/>
      <c r="H63" s="77"/>
      <c r="I63" s="77">
        <f t="shared" si="47"/>
        <v>15</v>
      </c>
      <c r="J63" s="77"/>
      <c r="K63" s="77"/>
      <c r="L63" s="77"/>
      <c r="M63" s="77">
        <f t="shared" si="45"/>
        <v>0</v>
      </c>
      <c r="N63" s="77">
        <f t="shared" ref="N63:P64" si="49">F63-J63</f>
        <v>15</v>
      </c>
      <c r="O63" s="77">
        <f t="shared" si="49"/>
        <v>0</v>
      </c>
      <c r="P63" s="77">
        <f>H63-L63</f>
        <v>0</v>
      </c>
      <c r="Q63" s="77">
        <f t="shared" si="43"/>
        <v>15</v>
      </c>
      <c r="R63" s="69" t="s">
        <v>107</v>
      </c>
      <c r="S63" t="str">
        <f t="shared" si="3"/>
        <v xml:space="preserve">OK </v>
      </c>
    </row>
    <row r="64" spans="2:19" ht="20.45" customHeight="1" x14ac:dyDescent="0.75">
      <c r="B64" s="107" t="s">
        <v>181</v>
      </c>
      <c r="C64" s="65">
        <v>641</v>
      </c>
      <c r="D64" s="66" t="s">
        <v>101</v>
      </c>
      <c r="E64" s="67" t="s">
        <v>102</v>
      </c>
      <c r="F64" s="77">
        <v>200</v>
      </c>
      <c r="G64" s="77">
        <v>200</v>
      </c>
      <c r="H64" s="77">
        <v>100</v>
      </c>
      <c r="I64" s="77">
        <f t="shared" si="47"/>
        <v>500</v>
      </c>
      <c r="J64" s="77"/>
      <c r="K64" s="77"/>
      <c r="L64" s="77"/>
      <c r="M64" s="77">
        <f t="shared" si="45"/>
        <v>0</v>
      </c>
      <c r="N64" s="77">
        <f>F64-J64</f>
        <v>200</v>
      </c>
      <c r="O64" s="77">
        <f t="shared" si="49"/>
        <v>200</v>
      </c>
      <c r="P64" s="77">
        <f t="shared" si="49"/>
        <v>100</v>
      </c>
      <c r="Q64" s="77">
        <f t="shared" si="43"/>
        <v>500</v>
      </c>
      <c r="R64" s="69" t="s">
        <v>107</v>
      </c>
      <c r="S64" t="str">
        <f t="shared" si="3"/>
        <v xml:space="preserve">OK </v>
      </c>
    </row>
    <row r="65" spans="2:19" ht="20.45" customHeight="1" x14ac:dyDescent="0.75">
      <c r="B65" s="156" t="s">
        <v>131</v>
      </c>
      <c r="C65" s="157"/>
      <c r="D65" s="158"/>
      <c r="E65" s="159"/>
      <c r="F65" s="160">
        <f>F66</f>
        <v>20</v>
      </c>
      <c r="G65" s="160">
        <f t="shared" ref="G65:H65" si="50">G66</f>
        <v>0</v>
      </c>
      <c r="H65" s="160">
        <f t="shared" si="50"/>
        <v>0</v>
      </c>
      <c r="I65" s="160">
        <f t="shared" si="47"/>
        <v>20</v>
      </c>
      <c r="J65" s="160">
        <f t="shared" ref="J65:L65" si="51">J66</f>
        <v>0</v>
      </c>
      <c r="K65" s="160">
        <f t="shared" si="51"/>
        <v>0</v>
      </c>
      <c r="L65" s="160">
        <f t="shared" si="51"/>
        <v>0</v>
      </c>
      <c r="M65" s="160">
        <f t="shared" si="45"/>
        <v>0</v>
      </c>
      <c r="N65" s="160">
        <f t="shared" ref="N65:P65" si="52">N66</f>
        <v>20</v>
      </c>
      <c r="O65" s="160">
        <f t="shared" si="52"/>
        <v>0</v>
      </c>
      <c r="P65" s="160">
        <f t="shared" si="52"/>
        <v>0</v>
      </c>
      <c r="Q65" s="160">
        <f t="shared" si="43"/>
        <v>20</v>
      </c>
      <c r="R65" s="161"/>
      <c r="S65" t="str">
        <f t="shared" si="3"/>
        <v xml:space="preserve">OK </v>
      </c>
    </row>
    <row r="66" spans="2:19" ht="25.25" x14ac:dyDescent="0.75">
      <c r="B66" s="107" t="s">
        <v>212</v>
      </c>
      <c r="C66" s="65">
        <v>644</v>
      </c>
      <c r="D66" s="66" t="s">
        <v>101</v>
      </c>
      <c r="E66" s="67" t="s">
        <v>102</v>
      </c>
      <c r="F66" s="77">
        <v>20</v>
      </c>
      <c r="G66" s="77"/>
      <c r="H66" s="77"/>
      <c r="I66" s="77">
        <f>SUM(F66:H66)</f>
        <v>20</v>
      </c>
      <c r="J66" s="77"/>
      <c r="K66" s="77"/>
      <c r="L66" s="77"/>
      <c r="M66" s="77">
        <f t="shared" si="45"/>
        <v>0</v>
      </c>
      <c r="N66" s="77">
        <f t="shared" ref="N66:P66" si="53">F66-J66</f>
        <v>20</v>
      </c>
      <c r="O66" s="77">
        <f t="shared" si="53"/>
        <v>0</v>
      </c>
      <c r="P66" s="77">
        <f t="shared" si="53"/>
        <v>0</v>
      </c>
      <c r="Q66" s="77">
        <f>SUM(N66:P66)</f>
        <v>20</v>
      </c>
      <c r="R66" s="69" t="s">
        <v>107</v>
      </c>
      <c r="S66" t="str">
        <f t="shared" si="3"/>
        <v xml:space="preserve">OK </v>
      </c>
    </row>
    <row r="67" spans="2:19" ht="20.45" customHeight="1" x14ac:dyDescent="0.75">
      <c r="B67" s="156" t="s">
        <v>132</v>
      </c>
      <c r="C67" s="157"/>
      <c r="D67" s="158"/>
      <c r="E67" s="159"/>
      <c r="F67" s="160">
        <f>SUM(F68:F68)</f>
        <v>25</v>
      </c>
      <c r="G67" s="160">
        <f>SUM(G68:G68)</f>
        <v>0</v>
      </c>
      <c r="H67" s="160">
        <f>SUM(H68:H68)</f>
        <v>0</v>
      </c>
      <c r="I67" s="160">
        <f t="shared" ref="I67:I71" si="54">SUM(F67:H67)</f>
        <v>25</v>
      </c>
      <c r="J67" s="160">
        <f>SUM(J68:J68)</f>
        <v>0</v>
      </c>
      <c r="K67" s="160">
        <f>SUM(K68:K68)</f>
        <v>0</v>
      </c>
      <c r="L67" s="160">
        <f>SUM(L68:L68)</f>
        <v>0</v>
      </c>
      <c r="M67" s="160">
        <f>SUM(J67:L67)</f>
        <v>0</v>
      </c>
      <c r="N67" s="160">
        <f>SUM(N68:N68)</f>
        <v>25</v>
      </c>
      <c r="O67" s="160">
        <f>SUM(O68:O68)</f>
        <v>0</v>
      </c>
      <c r="P67" s="160">
        <f>SUM(P68:P68)</f>
        <v>0</v>
      </c>
      <c r="Q67" s="160">
        <f t="shared" ref="Q67:Q69" si="55">SUM(N67:P67)</f>
        <v>25</v>
      </c>
      <c r="R67" s="161"/>
      <c r="S67" t="str">
        <f t="shared" si="3"/>
        <v xml:space="preserve">OK </v>
      </c>
    </row>
    <row r="68" spans="2:19" ht="25.25" x14ac:dyDescent="0.75">
      <c r="B68" s="107" t="s">
        <v>210</v>
      </c>
      <c r="C68" s="65">
        <v>644</v>
      </c>
      <c r="D68" s="66" t="s">
        <v>101</v>
      </c>
      <c r="E68" s="67" t="s">
        <v>102</v>
      </c>
      <c r="F68" s="77">
        <v>25</v>
      </c>
      <c r="G68" s="77"/>
      <c r="H68" s="87"/>
      <c r="I68" s="77">
        <f t="shared" si="54"/>
        <v>25</v>
      </c>
      <c r="J68" s="77"/>
      <c r="K68" s="77"/>
      <c r="L68" s="77"/>
      <c r="M68" s="77">
        <f t="shared" ref="M68:M69" si="56">SUM(J68:L68)</f>
        <v>0</v>
      </c>
      <c r="N68" s="77">
        <f t="shared" ref="N68:P68" si="57">F68-J68</f>
        <v>25</v>
      </c>
      <c r="O68" s="77">
        <f t="shared" si="57"/>
        <v>0</v>
      </c>
      <c r="P68" s="77">
        <f t="shared" si="57"/>
        <v>0</v>
      </c>
      <c r="Q68" s="77">
        <f t="shared" si="55"/>
        <v>25</v>
      </c>
      <c r="R68" s="69" t="s">
        <v>107</v>
      </c>
      <c r="S68" t="str">
        <f t="shared" si="3"/>
        <v xml:space="preserve">OK </v>
      </c>
    </row>
    <row r="69" spans="2:19" ht="20.45" customHeight="1" x14ac:dyDescent="0.75">
      <c r="B69" s="156" t="s">
        <v>133</v>
      </c>
      <c r="C69" s="157"/>
      <c r="D69" s="158"/>
      <c r="E69" s="159"/>
      <c r="F69" s="160">
        <f>SUM(F70:F72)</f>
        <v>395</v>
      </c>
      <c r="G69" s="160">
        <f t="shared" ref="G69:H69" si="58">SUM(G70:G72)</f>
        <v>0</v>
      </c>
      <c r="H69" s="160">
        <f t="shared" si="58"/>
        <v>0</v>
      </c>
      <c r="I69" s="160">
        <f t="shared" si="54"/>
        <v>395</v>
      </c>
      <c r="J69" s="160">
        <f t="shared" ref="J69:L69" si="59">SUM(J70:J72)</f>
        <v>0</v>
      </c>
      <c r="K69" s="160">
        <f t="shared" si="59"/>
        <v>0</v>
      </c>
      <c r="L69" s="160">
        <f t="shared" si="59"/>
        <v>0</v>
      </c>
      <c r="M69" s="160">
        <f t="shared" si="56"/>
        <v>0</v>
      </c>
      <c r="N69" s="160">
        <f t="shared" ref="N69:P69" si="60">SUM(N70:N72)</f>
        <v>395</v>
      </c>
      <c r="O69" s="160">
        <f t="shared" si="60"/>
        <v>0</v>
      </c>
      <c r="P69" s="160">
        <f t="shared" si="60"/>
        <v>0</v>
      </c>
      <c r="Q69" s="160">
        <f t="shared" si="55"/>
        <v>395</v>
      </c>
      <c r="R69" s="161"/>
      <c r="S69" t="str">
        <f t="shared" si="3"/>
        <v xml:space="preserve">OK </v>
      </c>
    </row>
    <row r="70" spans="2:19" ht="25.25" x14ac:dyDescent="0.75">
      <c r="B70" s="107" t="s">
        <v>210</v>
      </c>
      <c r="C70" s="65">
        <v>644</v>
      </c>
      <c r="D70" s="66" t="s">
        <v>101</v>
      </c>
      <c r="E70" s="67" t="s">
        <v>102</v>
      </c>
      <c r="F70" s="77">
        <v>5</v>
      </c>
      <c r="G70" s="77"/>
      <c r="H70" s="77"/>
      <c r="I70" s="77">
        <f t="shared" si="54"/>
        <v>5</v>
      </c>
      <c r="J70" s="77"/>
      <c r="K70" s="77"/>
      <c r="L70" s="77"/>
      <c r="M70" s="77">
        <f t="shared" ref="M70:M71" si="61">SUM(J70:L70)</f>
        <v>0</v>
      </c>
      <c r="N70" s="77">
        <f t="shared" ref="N70:P71" si="62">F70-J70</f>
        <v>5</v>
      </c>
      <c r="O70" s="77">
        <f t="shared" si="62"/>
        <v>0</v>
      </c>
      <c r="P70" s="77">
        <f t="shared" si="62"/>
        <v>0</v>
      </c>
      <c r="Q70" s="77">
        <f t="shared" ref="Q70:Q71" si="63">SUM(N70:P70)</f>
        <v>5</v>
      </c>
      <c r="R70" s="69" t="s">
        <v>107</v>
      </c>
      <c r="S70" t="str">
        <f t="shared" si="3"/>
        <v xml:space="preserve">OK </v>
      </c>
    </row>
    <row r="71" spans="2:19" ht="21.75" customHeight="1" x14ac:dyDescent="0.75">
      <c r="B71" s="107" t="s">
        <v>134</v>
      </c>
      <c r="C71" s="65">
        <v>538</v>
      </c>
      <c r="D71" s="66" t="s">
        <v>101</v>
      </c>
      <c r="E71" s="67" t="s">
        <v>102</v>
      </c>
      <c r="F71" s="77">
        <v>375</v>
      </c>
      <c r="G71" s="77"/>
      <c r="H71" s="77"/>
      <c r="I71" s="77">
        <f t="shared" si="54"/>
        <v>375</v>
      </c>
      <c r="J71" s="77"/>
      <c r="K71" s="77"/>
      <c r="L71" s="77"/>
      <c r="M71" s="77">
        <f t="shared" si="61"/>
        <v>0</v>
      </c>
      <c r="N71" s="77">
        <f t="shared" si="62"/>
        <v>375</v>
      </c>
      <c r="O71" s="77">
        <f t="shared" si="62"/>
        <v>0</v>
      </c>
      <c r="P71" s="77">
        <f t="shared" si="62"/>
        <v>0</v>
      </c>
      <c r="Q71" s="77">
        <f t="shared" si="63"/>
        <v>375</v>
      </c>
      <c r="R71" s="69" t="s">
        <v>107</v>
      </c>
      <c r="S71" t="str">
        <f t="shared" si="3"/>
        <v xml:space="preserve">OK </v>
      </c>
    </row>
    <row r="72" spans="2:19" ht="21.75" customHeight="1" x14ac:dyDescent="0.75">
      <c r="B72" s="107" t="s">
        <v>178</v>
      </c>
      <c r="C72" s="65">
        <v>642</v>
      </c>
      <c r="D72" s="66" t="s">
        <v>101</v>
      </c>
      <c r="E72" s="67" t="s">
        <v>102</v>
      </c>
      <c r="F72" s="77">
        <v>15</v>
      </c>
      <c r="G72" s="77"/>
      <c r="H72" s="77"/>
      <c r="I72" s="77">
        <f t="shared" ref="I72" si="64">SUM(F72:H72)</f>
        <v>15</v>
      </c>
      <c r="J72" s="77"/>
      <c r="K72" s="77"/>
      <c r="L72" s="77"/>
      <c r="M72" s="77">
        <f t="shared" ref="M72" si="65">SUM(J72:L72)</f>
        <v>0</v>
      </c>
      <c r="N72" s="77">
        <f t="shared" ref="N72" si="66">F72-J72</f>
        <v>15</v>
      </c>
      <c r="O72" s="77">
        <f t="shared" ref="O72" si="67">G72-K72</f>
        <v>0</v>
      </c>
      <c r="P72" s="77">
        <f t="shared" ref="P72" si="68">H72-L72</f>
        <v>0</v>
      </c>
      <c r="Q72" s="77">
        <f t="shared" ref="Q72" si="69">SUM(N72:P72)</f>
        <v>15</v>
      </c>
      <c r="R72" s="69" t="s">
        <v>107</v>
      </c>
      <c r="S72" t="str">
        <f t="shared" ref="S72" si="70">IF(SUM(I72,Q72), "OK ", "-")</f>
        <v xml:space="preserve">OK </v>
      </c>
    </row>
    <row r="73" spans="2:19" ht="20.45" customHeight="1" x14ac:dyDescent="0.75">
      <c r="B73" s="156" t="s">
        <v>135</v>
      </c>
      <c r="C73" s="157"/>
      <c r="D73" s="158"/>
      <c r="E73" s="159"/>
      <c r="F73" s="160">
        <f>F74</f>
        <v>20</v>
      </c>
      <c r="G73" s="160">
        <f t="shared" ref="G73:H73" si="71">G74</f>
        <v>0</v>
      </c>
      <c r="H73" s="160">
        <f t="shared" si="71"/>
        <v>0</v>
      </c>
      <c r="I73" s="160">
        <f>SUM(F73:H73)</f>
        <v>20</v>
      </c>
      <c r="J73" s="160">
        <f t="shared" ref="J73:L73" si="72">J74</f>
        <v>0</v>
      </c>
      <c r="K73" s="160">
        <f t="shared" si="72"/>
        <v>0</v>
      </c>
      <c r="L73" s="160">
        <f t="shared" si="72"/>
        <v>0</v>
      </c>
      <c r="M73" s="160">
        <f>SUM(J73:L73)</f>
        <v>0</v>
      </c>
      <c r="N73" s="160">
        <f t="shared" ref="N73:P73" si="73">N74</f>
        <v>20</v>
      </c>
      <c r="O73" s="160">
        <f t="shared" si="73"/>
        <v>0</v>
      </c>
      <c r="P73" s="160">
        <f t="shared" si="73"/>
        <v>0</v>
      </c>
      <c r="Q73" s="160">
        <f>SUM(N73:P73)</f>
        <v>20</v>
      </c>
      <c r="R73" s="161"/>
      <c r="S73" t="str">
        <f t="shared" si="3"/>
        <v xml:space="preserve">OK </v>
      </c>
    </row>
    <row r="74" spans="2:19" ht="25.25" x14ac:dyDescent="0.75">
      <c r="B74" s="107" t="s">
        <v>210</v>
      </c>
      <c r="C74" s="65">
        <v>644</v>
      </c>
      <c r="D74" s="66" t="s">
        <v>101</v>
      </c>
      <c r="E74" s="67" t="s">
        <v>102</v>
      </c>
      <c r="F74" s="77">
        <v>20</v>
      </c>
      <c r="G74" s="77"/>
      <c r="H74" s="77"/>
      <c r="I74" s="77">
        <f t="shared" ref="I74:I101" si="74">SUM(F74:H74)</f>
        <v>20</v>
      </c>
      <c r="J74" s="77"/>
      <c r="K74" s="77"/>
      <c r="L74" s="77"/>
      <c r="M74" s="77">
        <f t="shared" ref="M74" si="75">SUM(J74:L74)</f>
        <v>0</v>
      </c>
      <c r="N74" s="77">
        <f>F74-J74</f>
        <v>20</v>
      </c>
      <c r="O74" s="77">
        <f t="shared" ref="O74:P74" si="76">G74-K74</f>
        <v>0</v>
      </c>
      <c r="P74" s="77">
        <f t="shared" si="76"/>
        <v>0</v>
      </c>
      <c r="Q74" s="77">
        <f t="shared" ref="Q74" si="77">SUM(N74:P74)</f>
        <v>20</v>
      </c>
      <c r="R74" s="69" t="s">
        <v>107</v>
      </c>
      <c r="S74" t="str">
        <f t="shared" ref="S74:S134" si="78">IF(SUM(I74,Q74), "OK ", "-")</f>
        <v xml:space="preserve">OK </v>
      </c>
    </row>
    <row r="75" spans="2:19" ht="20.45" customHeight="1" x14ac:dyDescent="0.75">
      <c r="B75" s="156" t="s">
        <v>136</v>
      </c>
      <c r="C75" s="157"/>
      <c r="D75" s="158"/>
      <c r="E75" s="159"/>
      <c r="F75" s="160">
        <f>F76</f>
        <v>1000</v>
      </c>
      <c r="G75" s="160">
        <f t="shared" ref="G75:H75" si="79">G76</f>
        <v>500</v>
      </c>
      <c r="H75" s="160">
        <f t="shared" si="79"/>
        <v>500</v>
      </c>
      <c r="I75" s="160">
        <f>SUM(F75:H75)</f>
        <v>2000</v>
      </c>
      <c r="J75" s="160">
        <f t="shared" ref="J75:L75" si="80">J76</f>
        <v>0</v>
      </c>
      <c r="K75" s="160">
        <f t="shared" si="80"/>
        <v>0</v>
      </c>
      <c r="L75" s="160">
        <f t="shared" si="80"/>
        <v>0</v>
      </c>
      <c r="M75" s="160">
        <f>SUM(J75:L75)</f>
        <v>0</v>
      </c>
      <c r="N75" s="160">
        <f t="shared" ref="N75:P75" si="81">N76</f>
        <v>1000</v>
      </c>
      <c r="O75" s="160">
        <f t="shared" si="81"/>
        <v>500</v>
      </c>
      <c r="P75" s="160">
        <f t="shared" si="81"/>
        <v>500</v>
      </c>
      <c r="Q75" s="160">
        <f>SUM(N75:P75)</f>
        <v>2000</v>
      </c>
      <c r="R75" s="161"/>
      <c r="S75" t="str">
        <f t="shared" si="78"/>
        <v xml:space="preserve">OK </v>
      </c>
    </row>
    <row r="76" spans="2:19" ht="25.25" x14ac:dyDescent="0.75">
      <c r="B76" s="107" t="s">
        <v>211</v>
      </c>
      <c r="C76" s="65">
        <v>507</v>
      </c>
      <c r="D76" s="66" t="s">
        <v>101</v>
      </c>
      <c r="E76" s="67" t="s">
        <v>102</v>
      </c>
      <c r="F76" s="77">
        <v>1000</v>
      </c>
      <c r="G76" s="77">
        <v>500</v>
      </c>
      <c r="H76" s="77">
        <v>500</v>
      </c>
      <c r="I76" s="77">
        <f t="shared" si="74"/>
        <v>2000</v>
      </c>
      <c r="J76" s="77"/>
      <c r="K76" s="77"/>
      <c r="L76" s="77"/>
      <c r="M76" s="77">
        <f t="shared" ref="M76:M85" si="82">SUM(J76:L76)</f>
        <v>0</v>
      </c>
      <c r="N76" s="77">
        <f t="shared" ref="N76:P76" si="83">F76-J76</f>
        <v>1000</v>
      </c>
      <c r="O76" s="77">
        <f t="shared" si="83"/>
        <v>500</v>
      </c>
      <c r="P76" s="77">
        <f t="shared" si="83"/>
        <v>500</v>
      </c>
      <c r="Q76" s="77">
        <f t="shared" ref="Q76:Q101" si="84">SUM(N76:P76)</f>
        <v>2000</v>
      </c>
      <c r="R76" s="69" t="s">
        <v>107</v>
      </c>
      <c r="S76" t="str">
        <f t="shared" si="78"/>
        <v xml:space="preserve">OK </v>
      </c>
    </row>
    <row r="77" spans="2:19" ht="20.45" customHeight="1" x14ac:dyDescent="0.75">
      <c r="B77" s="156" t="s">
        <v>137</v>
      </c>
      <c r="C77" s="157"/>
      <c r="D77" s="158"/>
      <c r="E77" s="159"/>
      <c r="F77" s="160">
        <f>SUM(F78:F79)</f>
        <v>45</v>
      </c>
      <c r="G77" s="160">
        <f t="shared" ref="G77:H77" si="85">SUM(G78:G79)</f>
        <v>12.5</v>
      </c>
      <c r="H77" s="160">
        <f t="shared" si="85"/>
        <v>0</v>
      </c>
      <c r="I77" s="160">
        <f t="shared" si="74"/>
        <v>57.5</v>
      </c>
      <c r="J77" s="160">
        <f t="shared" ref="J77:L77" si="86">SUM(J78:J79)</f>
        <v>0</v>
      </c>
      <c r="K77" s="160">
        <f t="shared" si="86"/>
        <v>0</v>
      </c>
      <c r="L77" s="160">
        <f t="shared" si="86"/>
        <v>0</v>
      </c>
      <c r="M77" s="160">
        <f t="shared" si="82"/>
        <v>0</v>
      </c>
      <c r="N77" s="160">
        <f t="shared" ref="N77:P77" si="87">SUM(N78:N79)</f>
        <v>45</v>
      </c>
      <c r="O77" s="160">
        <f t="shared" si="87"/>
        <v>12.5</v>
      </c>
      <c r="P77" s="160">
        <f t="shared" si="87"/>
        <v>0</v>
      </c>
      <c r="Q77" s="160">
        <f t="shared" si="84"/>
        <v>57.5</v>
      </c>
      <c r="R77" s="161"/>
      <c r="S77" t="str">
        <f t="shared" si="78"/>
        <v xml:space="preserve">OK </v>
      </c>
    </row>
    <row r="78" spans="2:19" ht="24" customHeight="1" x14ac:dyDescent="0.75">
      <c r="B78" s="107" t="s">
        <v>210</v>
      </c>
      <c r="C78" s="65">
        <v>644</v>
      </c>
      <c r="D78" s="66" t="s">
        <v>101</v>
      </c>
      <c r="E78" s="67" t="s">
        <v>102</v>
      </c>
      <c r="F78" s="77">
        <v>15</v>
      </c>
      <c r="G78" s="77"/>
      <c r="H78" s="87"/>
      <c r="I78" s="77">
        <f t="shared" si="74"/>
        <v>15</v>
      </c>
      <c r="J78" s="77"/>
      <c r="K78" s="77"/>
      <c r="L78" s="77"/>
      <c r="M78" s="77">
        <f t="shared" si="82"/>
        <v>0</v>
      </c>
      <c r="N78" s="77">
        <f t="shared" ref="N78:P79" si="88">F78-J78</f>
        <v>15</v>
      </c>
      <c r="O78" s="77">
        <f t="shared" si="88"/>
        <v>0</v>
      </c>
      <c r="P78" s="77">
        <f t="shared" si="88"/>
        <v>0</v>
      </c>
      <c r="Q78" s="77">
        <f t="shared" si="84"/>
        <v>15</v>
      </c>
      <c r="R78" s="69" t="s">
        <v>107</v>
      </c>
      <c r="S78" t="str">
        <f t="shared" si="78"/>
        <v xml:space="preserve">OK </v>
      </c>
    </row>
    <row r="79" spans="2:19" ht="20.45" customHeight="1" x14ac:dyDescent="0.75">
      <c r="B79" s="107" t="s">
        <v>127</v>
      </c>
      <c r="C79" s="65">
        <v>642</v>
      </c>
      <c r="D79" s="66" t="s">
        <v>101</v>
      </c>
      <c r="E79" s="67" t="s">
        <v>102</v>
      </c>
      <c r="F79" s="77">
        <v>30</v>
      </c>
      <c r="G79" s="77">
        <v>12.5</v>
      </c>
      <c r="H79" s="77"/>
      <c r="I79" s="77">
        <f t="shared" si="74"/>
        <v>42.5</v>
      </c>
      <c r="J79" s="77"/>
      <c r="K79" s="77"/>
      <c r="L79" s="77"/>
      <c r="M79" s="77">
        <f t="shared" si="82"/>
        <v>0</v>
      </c>
      <c r="N79" s="77">
        <f t="shared" si="88"/>
        <v>30</v>
      </c>
      <c r="O79" s="77">
        <f t="shared" si="88"/>
        <v>12.5</v>
      </c>
      <c r="P79" s="77">
        <f t="shared" si="88"/>
        <v>0</v>
      </c>
      <c r="Q79" s="77">
        <f t="shared" si="84"/>
        <v>42.5</v>
      </c>
      <c r="R79" s="69" t="s">
        <v>107</v>
      </c>
      <c r="S79" t="str">
        <f t="shared" si="78"/>
        <v xml:space="preserve">OK </v>
      </c>
    </row>
    <row r="80" spans="2:19" ht="20.45" customHeight="1" x14ac:dyDescent="0.75">
      <c r="B80" s="156" t="s">
        <v>138</v>
      </c>
      <c r="C80" s="157"/>
      <c r="D80" s="158"/>
      <c r="E80" s="159"/>
      <c r="F80" s="160">
        <f>SUM(F81:F84)</f>
        <v>298</v>
      </c>
      <c r="G80" s="160">
        <f>SUM(G81:G84)</f>
        <v>0</v>
      </c>
      <c r="H80" s="160">
        <f>SUM(H81:H84)</f>
        <v>0</v>
      </c>
      <c r="I80" s="160">
        <f t="shared" si="74"/>
        <v>298</v>
      </c>
      <c r="J80" s="160">
        <f>SUM(J81:J84)</f>
        <v>0</v>
      </c>
      <c r="K80" s="160">
        <f>SUM(K81:K84)</f>
        <v>0</v>
      </c>
      <c r="L80" s="160">
        <f>SUM(L81:L84)</f>
        <v>0</v>
      </c>
      <c r="M80" s="160">
        <f t="shared" si="82"/>
        <v>0</v>
      </c>
      <c r="N80" s="160">
        <f>SUM(N81:N84)</f>
        <v>298</v>
      </c>
      <c r="O80" s="160">
        <f>SUM(O81:O84)</f>
        <v>0</v>
      </c>
      <c r="P80" s="160">
        <f>SUM(P81:P84)</f>
        <v>0</v>
      </c>
      <c r="Q80" s="160">
        <f t="shared" si="84"/>
        <v>298</v>
      </c>
      <c r="R80" s="161"/>
      <c r="S80" t="str">
        <f t="shared" si="78"/>
        <v xml:space="preserve">OK </v>
      </c>
    </row>
    <row r="81" spans="2:19" ht="21.75" customHeight="1" x14ac:dyDescent="0.75">
      <c r="B81" s="107" t="s">
        <v>210</v>
      </c>
      <c r="C81" s="65">
        <v>644</v>
      </c>
      <c r="D81" s="66" t="s">
        <v>101</v>
      </c>
      <c r="E81" s="67" t="s">
        <v>102</v>
      </c>
      <c r="F81" s="77">
        <v>15</v>
      </c>
      <c r="G81" s="77"/>
      <c r="H81" s="87"/>
      <c r="I81" s="77">
        <f t="shared" si="74"/>
        <v>15</v>
      </c>
      <c r="J81" s="77"/>
      <c r="K81" s="77"/>
      <c r="L81" s="77"/>
      <c r="M81" s="77">
        <f t="shared" si="82"/>
        <v>0</v>
      </c>
      <c r="N81" s="77">
        <f t="shared" ref="N81:P82" si="89">F81-J81</f>
        <v>15</v>
      </c>
      <c r="O81" s="77">
        <f t="shared" si="89"/>
        <v>0</v>
      </c>
      <c r="P81" s="77">
        <f t="shared" si="89"/>
        <v>0</v>
      </c>
      <c r="Q81" s="77">
        <f t="shared" si="84"/>
        <v>15</v>
      </c>
      <c r="R81" s="69" t="s">
        <v>107</v>
      </c>
      <c r="S81" t="str">
        <f t="shared" si="78"/>
        <v xml:space="preserve">OK </v>
      </c>
    </row>
    <row r="82" spans="2:19" ht="21.75" customHeight="1" x14ac:dyDescent="0.75">
      <c r="B82" s="107" t="s">
        <v>182</v>
      </c>
      <c r="C82" s="65">
        <v>642</v>
      </c>
      <c r="D82" s="66" t="s">
        <v>101</v>
      </c>
      <c r="E82" s="67" t="s">
        <v>102</v>
      </c>
      <c r="F82" s="77">
        <v>13</v>
      </c>
      <c r="G82" s="77"/>
      <c r="H82" s="77"/>
      <c r="I82" s="77">
        <f t="shared" si="74"/>
        <v>13</v>
      </c>
      <c r="J82" s="77"/>
      <c r="K82" s="77"/>
      <c r="L82" s="77"/>
      <c r="M82" s="77">
        <f t="shared" si="82"/>
        <v>0</v>
      </c>
      <c r="N82" s="77">
        <f t="shared" si="89"/>
        <v>13</v>
      </c>
      <c r="O82" s="77">
        <f t="shared" si="89"/>
        <v>0</v>
      </c>
      <c r="P82" s="77">
        <f t="shared" si="89"/>
        <v>0</v>
      </c>
      <c r="Q82" s="77">
        <f t="shared" si="84"/>
        <v>13</v>
      </c>
      <c r="R82" s="69" t="s">
        <v>107</v>
      </c>
      <c r="S82" t="str">
        <f t="shared" si="78"/>
        <v xml:space="preserve">OK </v>
      </c>
    </row>
    <row r="83" spans="2:19" ht="50.5" x14ac:dyDescent="0.75">
      <c r="B83" s="107" t="s">
        <v>245</v>
      </c>
      <c r="C83" s="65">
        <v>641</v>
      </c>
      <c r="D83" s="66" t="s">
        <v>101</v>
      </c>
      <c r="E83" s="67" t="s">
        <v>102</v>
      </c>
      <c r="F83" s="77">
        <v>240</v>
      </c>
      <c r="G83" s="77"/>
      <c r="H83" s="77"/>
      <c r="I83" s="77">
        <f t="shared" ref="I83" si="90">SUM(F83:H83)</f>
        <v>240</v>
      </c>
      <c r="J83" s="77"/>
      <c r="K83" s="77"/>
      <c r="L83" s="77"/>
      <c r="M83" s="77">
        <f t="shared" ref="M83" si="91">SUM(J83:L83)</f>
        <v>0</v>
      </c>
      <c r="N83" s="77">
        <f t="shared" ref="N83" si="92">F83-J83</f>
        <v>240</v>
      </c>
      <c r="O83" s="77">
        <f t="shared" ref="O83" si="93">G83-K83</f>
        <v>0</v>
      </c>
      <c r="P83" s="77">
        <f t="shared" ref="P83" si="94">H83-L83</f>
        <v>0</v>
      </c>
      <c r="Q83" s="77">
        <f t="shared" ref="Q83" si="95">SUM(N83:P83)</f>
        <v>240</v>
      </c>
      <c r="R83" s="69" t="s">
        <v>107</v>
      </c>
      <c r="S83" t="str">
        <f t="shared" ref="S83" si="96">IF(SUM(I83,Q83), "OK ", "-")</f>
        <v xml:space="preserve">OK </v>
      </c>
    </row>
    <row r="84" spans="2:19" ht="20.45" customHeight="1" x14ac:dyDescent="0.75">
      <c r="B84" s="107" t="s">
        <v>246</v>
      </c>
      <c r="C84" s="65">
        <v>642</v>
      </c>
      <c r="D84" s="66" t="s">
        <v>101</v>
      </c>
      <c r="E84" s="67" t="s">
        <v>102</v>
      </c>
      <c r="F84" s="77">
        <v>30</v>
      </c>
      <c r="G84" s="77"/>
      <c r="H84" s="77"/>
      <c r="I84" s="77">
        <f t="shared" ref="I84" si="97">SUM(F84:H84)</f>
        <v>30</v>
      </c>
      <c r="J84" s="77"/>
      <c r="K84" s="77"/>
      <c r="L84" s="77"/>
      <c r="M84" s="77">
        <f t="shared" ref="M84" si="98">SUM(J84:L84)</f>
        <v>0</v>
      </c>
      <c r="N84" s="77">
        <f t="shared" ref="N84" si="99">F84-J84</f>
        <v>30</v>
      </c>
      <c r="O84" s="77">
        <f t="shared" ref="O84" si="100">G84-K84</f>
        <v>0</v>
      </c>
      <c r="P84" s="77">
        <f t="shared" ref="P84" si="101">H84-L84</f>
        <v>0</v>
      </c>
      <c r="Q84" s="77">
        <f t="shared" ref="Q84" si="102">SUM(N84:P84)</f>
        <v>30</v>
      </c>
      <c r="R84" s="69" t="s">
        <v>107</v>
      </c>
      <c r="S84" t="str">
        <f t="shared" ref="S84" si="103">IF(SUM(I84,Q84), "OK ", "-")</f>
        <v xml:space="preserve">OK </v>
      </c>
    </row>
    <row r="85" spans="2:19" ht="20.45" customHeight="1" x14ac:dyDescent="0.75">
      <c r="B85" s="156" t="s">
        <v>139</v>
      </c>
      <c r="C85" s="157"/>
      <c r="D85" s="158"/>
      <c r="E85" s="159"/>
      <c r="F85" s="160">
        <f>SUM(F86)</f>
        <v>25</v>
      </c>
      <c r="G85" s="160">
        <f t="shared" ref="G85:H85" si="104">SUM(G86)</f>
        <v>0</v>
      </c>
      <c r="H85" s="160">
        <f t="shared" si="104"/>
        <v>0</v>
      </c>
      <c r="I85" s="160">
        <f t="shared" si="74"/>
        <v>25</v>
      </c>
      <c r="J85" s="160">
        <f t="shared" ref="J85:L85" si="105">SUM(J86)</f>
        <v>0</v>
      </c>
      <c r="K85" s="160">
        <f t="shared" si="105"/>
        <v>0</v>
      </c>
      <c r="L85" s="160">
        <f t="shared" si="105"/>
        <v>0</v>
      </c>
      <c r="M85" s="160">
        <f t="shared" si="82"/>
        <v>0</v>
      </c>
      <c r="N85" s="160">
        <f t="shared" ref="N85:P85" si="106">SUM(N86)</f>
        <v>25</v>
      </c>
      <c r="O85" s="160">
        <f t="shared" si="106"/>
        <v>0</v>
      </c>
      <c r="P85" s="160">
        <f t="shared" si="106"/>
        <v>0</v>
      </c>
      <c r="Q85" s="160">
        <f t="shared" si="84"/>
        <v>25</v>
      </c>
      <c r="R85" s="161"/>
      <c r="S85" t="str">
        <f t="shared" si="78"/>
        <v xml:space="preserve">OK </v>
      </c>
    </row>
    <row r="86" spans="2:19" ht="25.25" x14ac:dyDescent="0.75">
      <c r="B86" s="107" t="s">
        <v>210</v>
      </c>
      <c r="C86" s="65">
        <v>644</v>
      </c>
      <c r="D86" s="66" t="s">
        <v>101</v>
      </c>
      <c r="E86" s="67" t="s">
        <v>102</v>
      </c>
      <c r="F86" s="77">
        <v>25</v>
      </c>
      <c r="G86" s="77"/>
      <c r="H86" s="77"/>
      <c r="I86" s="77">
        <f t="shared" si="74"/>
        <v>25</v>
      </c>
      <c r="J86" s="77"/>
      <c r="K86" s="77"/>
      <c r="L86" s="77"/>
      <c r="M86" s="77">
        <f t="shared" ref="M86:M87" si="107">SUM(J86:L86)</f>
        <v>0</v>
      </c>
      <c r="N86" s="77">
        <f t="shared" ref="N86:O86" si="108">F86-J86</f>
        <v>25</v>
      </c>
      <c r="O86" s="77">
        <f t="shared" si="108"/>
        <v>0</v>
      </c>
      <c r="P86" s="77">
        <f>H86-L86</f>
        <v>0</v>
      </c>
      <c r="Q86" s="77">
        <f t="shared" si="84"/>
        <v>25</v>
      </c>
      <c r="R86" s="69" t="s">
        <v>107</v>
      </c>
      <c r="S86" t="str">
        <f t="shared" si="78"/>
        <v xml:space="preserve">OK </v>
      </c>
    </row>
    <row r="87" spans="2:19" ht="20.45" customHeight="1" x14ac:dyDescent="0.75">
      <c r="B87" s="156" t="s">
        <v>140</v>
      </c>
      <c r="C87" s="157"/>
      <c r="D87" s="158"/>
      <c r="E87" s="159"/>
      <c r="F87" s="160">
        <f>SUM(F88:F90)</f>
        <v>1515</v>
      </c>
      <c r="G87" s="160">
        <f t="shared" ref="G87:H87" si="109">SUM(G88:G90)</f>
        <v>1000</v>
      </c>
      <c r="H87" s="160">
        <f t="shared" si="109"/>
        <v>485</v>
      </c>
      <c r="I87" s="160">
        <f>SUM(F87:H87)</f>
        <v>3000</v>
      </c>
      <c r="J87" s="160">
        <f t="shared" ref="J87" si="110">SUM(J88:J90)</f>
        <v>0</v>
      </c>
      <c r="K87" s="160">
        <f t="shared" ref="K87" si="111">SUM(K88:K90)</f>
        <v>0</v>
      </c>
      <c r="L87" s="160">
        <f t="shared" ref="L87" si="112">SUM(L88:L90)</f>
        <v>0</v>
      </c>
      <c r="M87" s="160">
        <f t="shared" si="107"/>
        <v>0</v>
      </c>
      <c r="N87" s="160">
        <f t="shared" ref="N87" si="113">SUM(N88:N90)</f>
        <v>1515</v>
      </c>
      <c r="O87" s="160">
        <f t="shared" ref="O87" si="114">SUM(O88:O90)</f>
        <v>1000</v>
      </c>
      <c r="P87" s="160">
        <f t="shared" ref="P87" si="115">SUM(P88:P90)</f>
        <v>485</v>
      </c>
      <c r="Q87" s="160">
        <f>SUM(N87:P87)</f>
        <v>3000</v>
      </c>
      <c r="R87" s="161"/>
      <c r="S87" t="str">
        <f t="shared" si="78"/>
        <v xml:space="preserve">OK </v>
      </c>
    </row>
    <row r="88" spans="2:19" ht="25.25" x14ac:dyDescent="0.75">
      <c r="B88" s="107" t="s">
        <v>210</v>
      </c>
      <c r="C88" s="65">
        <v>644</v>
      </c>
      <c r="D88" s="66" t="s">
        <v>101</v>
      </c>
      <c r="E88" s="67" t="s">
        <v>102</v>
      </c>
      <c r="F88" s="77">
        <v>15</v>
      </c>
      <c r="G88" s="77"/>
      <c r="H88" s="77"/>
      <c r="I88" s="77">
        <f t="shared" si="74"/>
        <v>15</v>
      </c>
      <c r="J88" s="77"/>
      <c r="K88" s="77"/>
      <c r="L88" s="77"/>
      <c r="M88" s="77">
        <f t="shared" ref="M88:M101" si="116">SUM(J88:L88)</f>
        <v>0</v>
      </c>
      <c r="N88" s="77">
        <f t="shared" ref="N88:P89" si="117">F88-J88</f>
        <v>15</v>
      </c>
      <c r="O88" s="77">
        <f t="shared" si="117"/>
        <v>0</v>
      </c>
      <c r="P88" s="77">
        <f t="shared" si="117"/>
        <v>0</v>
      </c>
      <c r="Q88" s="77">
        <f t="shared" si="84"/>
        <v>15</v>
      </c>
      <c r="R88" s="69" t="s">
        <v>107</v>
      </c>
      <c r="S88" t="str">
        <f t="shared" si="78"/>
        <v xml:space="preserve">OK </v>
      </c>
    </row>
    <row r="89" spans="2:19" ht="25.25" x14ac:dyDescent="0.75">
      <c r="B89" s="107" t="s">
        <v>202</v>
      </c>
      <c r="C89" s="65">
        <v>507</v>
      </c>
      <c r="D89" s="66" t="s">
        <v>101</v>
      </c>
      <c r="E89" s="67" t="s">
        <v>102</v>
      </c>
      <c r="F89" s="77">
        <v>1500</v>
      </c>
      <c r="G89" s="77">
        <v>1000</v>
      </c>
      <c r="H89" s="77"/>
      <c r="I89" s="77">
        <f t="shared" si="74"/>
        <v>2500</v>
      </c>
      <c r="J89" s="77"/>
      <c r="K89" s="77"/>
      <c r="L89" s="77"/>
      <c r="M89" s="77">
        <f t="shared" si="116"/>
        <v>0</v>
      </c>
      <c r="N89" s="77">
        <f t="shared" si="117"/>
        <v>1500</v>
      </c>
      <c r="O89" s="77">
        <f t="shared" si="117"/>
        <v>1000</v>
      </c>
      <c r="P89" s="77">
        <f t="shared" si="117"/>
        <v>0</v>
      </c>
      <c r="Q89" s="77">
        <f t="shared" si="84"/>
        <v>2500</v>
      </c>
      <c r="R89" s="69" t="s">
        <v>107</v>
      </c>
      <c r="S89" t="str">
        <f t="shared" si="78"/>
        <v xml:space="preserve">OK </v>
      </c>
    </row>
    <row r="90" spans="2:19" ht="25.5" customHeight="1" x14ac:dyDescent="0.75">
      <c r="B90" s="107" t="s">
        <v>201</v>
      </c>
      <c r="C90" s="65">
        <v>507</v>
      </c>
      <c r="D90" s="66" t="s">
        <v>101</v>
      </c>
      <c r="E90" s="67" t="s">
        <v>102</v>
      </c>
      <c r="F90" s="77"/>
      <c r="G90" s="77"/>
      <c r="H90" s="77">
        <v>485</v>
      </c>
      <c r="I90" s="77">
        <f>SUM(F90:H90)</f>
        <v>485</v>
      </c>
      <c r="J90" s="77"/>
      <c r="K90" s="77"/>
      <c r="L90" s="77"/>
      <c r="M90" s="77">
        <f t="shared" ref="M90" si="118">SUM(J90:L90)</f>
        <v>0</v>
      </c>
      <c r="N90" s="77">
        <f>F90-J90</f>
        <v>0</v>
      </c>
      <c r="O90" s="77">
        <f t="shared" ref="O90" si="119">G90-K90</f>
        <v>0</v>
      </c>
      <c r="P90" s="77">
        <f t="shared" ref="P90" si="120">H90-L90</f>
        <v>485</v>
      </c>
      <c r="Q90" s="77">
        <f t="shared" ref="Q90" si="121">SUM(N90:P90)</f>
        <v>485</v>
      </c>
      <c r="R90" s="69" t="s">
        <v>107</v>
      </c>
      <c r="S90" t="str">
        <f t="shared" ref="S90" si="122">IF(SUM(I90,Q90), "OK ", "-")</f>
        <v xml:space="preserve">OK </v>
      </c>
    </row>
    <row r="91" spans="2:19" ht="20.45" customHeight="1" x14ac:dyDescent="0.75">
      <c r="B91" s="156" t="s">
        <v>141</v>
      </c>
      <c r="C91" s="157"/>
      <c r="D91" s="158"/>
      <c r="E91" s="159"/>
      <c r="F91" s="160">
        <f>SUM(F92:F92)</f>
        <v>20</v>
      </c>
      <c r="G91" s="160">
        <f>SUM(G92:G92)</f>
        <v>0</v>
      </c>
      <c r="H91" s="160">
        <f>SUM(H92:H92)</f>
        <v>0</v>
      </c>
      <c r="I91" s="160">
        <f t="shared" si="74"/>
        <v>20</v>
      </c>
      <c r="J91" s="160">
        <f>SUM(J92:J92)</f>
        <v>0</v>
      </c>
      <c r="K91" s="160">
        <f>SUM(K92:K92)</f>
        <v>0</v>
      </c>
      <c r="L91" s="160">
        <f>SUM(L92:L92)</f>
        <v>0</v>
      </c>
      <c r="M91" s="160">
        <f t="shared" si="116"/>
        <v>0</v>
      </c>
      <c r="N91" s="160">
        <f>SUM(N92:N92)</f>
        <v>20</v>
      </c>
      <c r="O91" s="160">
        <f>SUM(O92:O92)</f>
        <v>0</v>
      </c>
      <c r="P91" s="160">
        <f>SUM(P92:P92)</f>
        <v>0</v>
      </c>
      <c r="Q91" s="160">
        <f t="shared" si="84"/>
        <v>20</v>
      </c>
      <c r="R91" s="161"/>
      <c r="S91" t="str">
        <f t="shared" si="78"/>
        <v xml:space="preserve">OK </v>
      </c>
    </row>
    <row r="92" spans="2:19" ht="25.25" x14ac:dyDescent="0.75">
      <c r="B92" s="107" t="s">
        <v>168</v>
      </c>
      <c r="C92" s="65">
        <v>642</v>
      </c>
      <c r="D92" s="66" t="s">
        <v>101</v>
      </c>
      <c r="E92" s="67" t="s">
        <v>102</v>
      </c>
      <c r="F92" s="77">
        <v>20</v>
      </c>
      <c r="G92" s="77"/>
      <c r="H92" s="87"/>
      <c r="I92" s="77">
        <f t="shared" si="74"/>
        <v>20</v>
      </c>
      <c r="J92" s="77"/>
      <c r="K92" s="77"/>
      <c r="L92" s="77"/>
      <c r="M92" s="77">
        <f t="shared" si="116"/>
        <v>0</v>
      </c>
      <c r="N92" s="77">
        <f t="shared" ref="N92:P92" si="123">F92-J92</f>
        <v>20</v>
      </c>
      <c r="O92" s="77">
        <f t="shared" si="123"/>
        <v>0</v>
      </c>
      <c r="P92" s="77">
        <f t="shared" si="123"/>
        <v>0</v>
      </c>
      <c r="Q92" s="77">
        <f t="shared" si="84"/>
        <v>20</v>
      </c>
      <c r="R92" s="69" t="s">
        <v>107</v>
      </c>
      <c r="S92" t="str">
        <f t="shared" si="78"/>
        <v xml:space="preserve">OK </v>
      </c>
    </row>
    <row r="93" spans="2:19" ht="20.45" customHeight="1" x14ac:dyDescent="0.75">
      <c r="B93" s="156" t="s">
        <v>142</v>
      </c>
      <c r="C93" s="157"/>
      <c r="D93" s="158"/>
      <c r="E93" s="159"/>
      <c r="F93" s="160">
        <f>SUM(F94:F94)</f>
        <v>15</v>
      </c>
      <c r="G93" s="160">
        <f>SUM(G94:G94)</f>
        <v>0</v>
      </c>
      <c r="H93" s="160">
        <f>SUM(H94:H94)</f>
        <v>0</v>
      </c>
      <c r="I93" s="160">
        <f t="shared" si="74"/>
        <v>15</v>
      </c>
      <c r="J93" s="160">
        <f>SUM(J94:J94)</f>
        <v>0</v>
      </c>
      <c r="K93" s="160">
        <f>SUM(K94:K94)</f>
        <v>0</v>
      </c>
      <c r="L93" s="160">
        <f>SUM(L94:L94)</f>
        <v>0</v>
      </c>
      <c r="M93" s="160">
        <f t="shared" si="116"/>
        <v>0</v>
      </c>
      <c r="N93" s="160">
        <f>SUM(N94:N94)</f>
        <v>15</v>
      </c>
      <c r="O93" s="160">
        <f>SUM(O94:O94)</f>
        <v>0</v>
      </c>
      <c r="P93" s="160">
        <f>SUM(P94:P94)</f>
        <v>0</v>
      </c>
      <c r="Q93" s="160">
        <f t="shared" si="84"/>
        <v>15</v>
      </c>
      <c r="R93" s="161"/>
      <c r="S93" t="str">
        <f t="shared" si="78"/>
        <v xml:space="preserve">OK </v>
      </c>
    </row>
    <row r="94" spans="2:19" ht="25.25" x14ac:dyDescent="0.75">
      <c r="B94" s="107" t="s">
        <v>210</v>
      </c>
      <c r="C94" s="65">
        <v>644</v>
      </c>
      <c r="D94" s="66" t="s">
        <v>101</v>
      </c>
      <c r="E94" s="67" t="s">
        <v>102</v>
      </c>
      <c r="F94" s="77">
        <v>15</v>
      </c>
      <c r="G94" s="77"/>
      <c r="H94" s="87"/>
      <c r="I94" s="77">
        <f t="shared" si="74"/>
        <v>15</v>
      </c>
      <c r="J94" s="77"/>
      <c r="K94" s="77"/>
      <c r="L94" s="77"/>
      <c r="M94" s="77">
        <f t="shared" si="116"/>
        <v>0</v>
      </c>
      <c r="N94" s="77">
        <f t="shared" ref="N94:P94" si="124">F94-J94</f>
        <v>15</v>
      </c>
      <c r="O94" s="77">
        <f t="shared" si="124"/>
        <v>0</v>
      </c>
      <c r="P94" s="77">
        <f t="shared" si="124"/>
        <v>0</v>
      </c>
      <c r="Q94" s="77">
        <f t="shared" si="84"/>
        <v>15</v>
      </c>
      <c r="R94" s="69" t="s">
        <v>107</v>
      </c>
      <c r="S94" t="str">
        <f t="shared" si="78"/>
        <v xml:space="preserve">OK </v>
      </c>
    </row>
    <row r="95" spans="2:19" ht="20.45" hidden="1" customHeight="1" x14ac:dyDescent="0.75">
      <c r="B95" s="81" t="s">
        <v>143</v>
      </c>
      <c r="C95" s="82"/>
      <c r="D95" s="83"/>
      <c r="E95" s="84"/>
      <c r="F95" s="85">
        <f>SUM(F96:F97)</f>
        <v>0</v>
      </c>
      <c r="G95" s="85">
        <f t="shared" ref="G95:H95" si="125">SUM(G96:G97)</f>
        <v>0</v>
      </c>
      <c r="H95" s="85">
        <f t="shared" si="125"/>
        <v>0</v>
      </c>
      <c r="I95" s="85">
        <f t="shared" si="74"/>
        <v>0</v>
      </c>
      <c r="J95" s="85">
        <f t="shared" ref="J95:L95" si="126">SUM(J96:J97)</f>
        <v>0</v>
      </c>
      <c r="K95" s="85">
        <f t="shared" si="126"/>
        <v>0</v>
      </c>
      <c r="L95" s="85">
        <f t="shared" si="126"/>
        <v>0</v>
      </c>
      <c r="M95" s="85">
        <f t="shared" si="116"/>
        <v>0</v>
      </c>
      <c r="N95" s="85">
        <f t="shared" ref="N95:P95" si="127">SUM(N96:N97)</f>
        <v>0</v>
      </c>
      <c r="O95" s="85">
        <f t="shared" si="127"/>
        <v>0</v>
      </c>
      <c r="P95" s="85">
        <f t="shared" si="127"/>
        <v>0</v>
      </c>
      <c r="Q95" s="85">
        <f t="shared" si="84"/>
        <v>0</v>
      </c>
      <c r="R95" s="86"/>
      <c r="S95" t="str">
        <f t="shared" si="78"/>
        <v>-</v>
      </c>
    </row>
    <row r="96" spans="2:19" ht="25.25" hidden="1" x14ac:dyDescent="0.75">
      <c r="B96" s="76"/>
      <c r="C96" s="65"/>
      <c r="D96" s="66"/>
      <c r="E96" s="67"/>
      <c r="F96" s="77"/>
      <c r="G96" s="77"/>
      <c r="H96" s="87"/>
      <c r="I96" s="77"/>
      <c r="J96" s="77"/>
      <c r="K96" s="77"/>
      <c r="L96" s="77"/>
      <c r="M96" s="77"/>
      <c r="N96" s="77"/>
      <c r="O96" s="77"/>
      <c r="P96" s="77"/>
      <c r="Q96" s="77"/>
      <c r="R96" s="69"/>
      <c r="S96" t="str">
        <f t="shared" si="78"/>
        <v>-</v>
      </c>
    </row>
    <row r="97" spans="2:19" ht="20.45" hidden="1" customHeight="1" x14ac:dyDescent="0.75">
      <c r="B97" s="76"/>
      <c r="C97" s="65"/>
      <c r="D97" s="66"/>
      <c r="E97" s="6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69"/>
      <c r="S97" t="str">
        <f t="shared" si="78"/>
        <v>-</v>
      </c>
    </row>
    <row r="98" spans="2:19" ht="20.45" customHeight="1" x14ac:dyDescent="0.75">
      <c r="B98" s="156" t="s">
        <v>144</v>
      </c>
      <c r="C98" s="157"/>
      <c r="D98" s="158"/>
      <c r="E98" s="159"/>
      <c r="F98" s="160">
        <f>SUM(F99:F100)</f>
        <v>180</v>
      </c>
      <c r="G98" s="160">
        <f t="shared" ref="G98:H98" si="128">SUM(G99:G100)</f>
        <v>0</v>
      </c>
      <c r="H98" s="160">
        <f t="shared" si="128"/>
        <v>0</v>
      </c>
      <c r="I98" s="160">
        <f t="shared" si="74"/>
        <v>180</v>
      </c>
      <c r="J98" s="160">
        <f t="shared" ref="J98:L98" si="129">SUM(J99:J100)</f>
        <v>0</v>
      </c>
      <c r="K98" s="160">
        <f t="shared" si="129"/>
        <v>0</v>
      </c>
      <c r="L98" s="160">
        <f t="shared" si="129"/>
        <v>0</v>
      </c>
      <c r="M98" s="160">
        <f t="shared" si="116"/>
        <v>0</v>
      </c>
      <c r="N98" s="160">
        <f t="shared" ref="N98:P98" si="130">SUM(N99:N100)</f>
        <v>180</v>
      </c>
      <c r="O98" s="160">
        <f t="shared" si="130"/>
        <v>0</v>
      </c>
      <c r="P98" s="160">
        <f t="shared" si="130"/>
        <v>0</v>
      </c>
      <c r="Q98" s="160">
        <f t="shared" si="84"/>
        <v>180</v>
      </c>
      <c r="R98" s="161"/>
      <c r="S98" t="str">
        <f t="shared" si="78"/>
        <v xml:space="preserve">OK </v>
      </c>
    </row>
    <row r="99" spans="2:19" ht="25.25" x14ac:dyDescent="0.75">
      <c r="B99" s="107" t="s">
        <v>210</v>
      </c>
      <c r="C99" s="65">
        <v>644</v>
      </c>
      <c r="D99" s="66" t="s">
        <v>101</v>
      </c>
      <c r="E99" s="67" t="s">
        <v>102</v>
      </c>
      <c r="F99" s="77">
        <v>30</v>
      </c>
      <c r="G99" s="77"/>
      <c r="H99" s="87"/>
      <c r="I99" s="77">
        <f t="shared" si="74"/>
        <v>30</v>
      </c>
      <c r="J99" s="77"/>
      <c r="K99" s="77"/>
      <c r="L99" s="77"/>
      <c r="M99" s="77">
        <f t="shared" si="116"/>
        <v>0</v>
      </c>
      <c r="N99" s="77">
        <f t="shared" ref="N99:P100" si="131">F99-J99</f>
        <v>30</v>
      </c>
      <c r="O99" s="77">
        <f t="shared" si="131"/>
        <v>0</v>
      </c>
      <c r="P99" s="77">
        <f t="shared" si="131"/>
        <v>0</v>
      </c>
      <c r="Q99" s="77">
        <f t="shared" si="84"/>
        <v>30</v>
      </c>
      <c r="R99" s="69" t="s">
        <v>107</v>
      </c>
      <c r="S99" t="str">
        <f t="shared" si="78"/>
        <v xml:space="preserve">OK </v>
      </c>
    </row>
    <row r="100" spans="2:19" ht="20.45" customHeight="1" x14ac:dyDescent="0.75">
      <c r="B100" s="107" t="s">
        <v>145</v>
      </c>
      <c r="C100" s="65">
        <v>641</v>
      </c>
      <c r="D100" s="66" t="s">
        <v>101</v>
      </c>
      <c r="E100" s="67" t="s">
        <v>102</v>
      </c>
      <c r="F100" s="77">
        <v>150</v>
      </c>
      <c r="G100" s="77"/>
      <c r="H100" s="77"/>
      <c r="I100" s="77">
        <f t="shared" si="74"/>
        <v>150</v>
      </c>
      <c r="J100" s="77"/>
      <c r="K100" s="77"/>
      <c r="L100" s="77"/>
      <c r="M100" s="77">
        <f t="shared" si="116"/>
        <v>0</v>
      </c>
      <c r="N100" s="77">
        <f t="shared" si="131"/>
        <v>150</v>
      </c>
      <c r="O100" s="77">
        <f t="shared" si="131"/>
        <v>0</v>
      </c>
      <c r="P100" s="77">
        <f t="shared" si="131"/>
        <v>0</v>
      </c>
      <c r="Q100" s="77">
        <f t="shared" si="84"/>
        <v>150</v>
      </c>
      <c r="R100" s="69" t="s">
        <v>107</v>
      </c>
      <c r="S100" t="str">
        <f t="shared" si="78"/>
        <v xml:space="preserve">OK </v>
      </c>
    </row>
    <row r="101" spans="2:19" ht="20.45" customHeight="1" x14ac:dyDescent="0.75">
      <c r="B101" s="156" t="s">
        <v>146</v>
      </c>
      <c r="C101" s="157"/>
      <c r="D101" s="158"/>
      <c r="E101" s="159"/>
      <c r="F101" s="160">
        <f>SUM(F102)</f>
        <v>25</v>
      </c>
      <c r="G101" s="160">
        <f t="shared" ref="G101:H101" si="132">SUM(G102)</f>
        <v>0</v>
      </c>
      <c r="H101" s="160">
        <f t="shared" si="132"/>
        <v>0</v>
      </c>
      <c r="I101" s="160">
        <f t="shared" si="74"/>
        <v>25</v>
      </c>
      <c r="J101" s="160">
        <f t="shared" ref="J101:L101" si="133">SUM(J102)</f>
        <v>0</v>
      </c>
      <c r="K101" s="160">
        <f t="shared" si="133"/>
        <v>0</v>
      </c>
      <c r="L101" s="160">
        <f t="shared" si="133"/>
        <v>0</v>
      </c>
      <c r="M101" s="160">
        <f t="shared" si="116"/>
        <v>0</v>
      </c>
      <c r="N101" s="160">
        <f t="shared" ref="N101:P101" si="134">SUM(N102)</f>
        <v>25</v>
      </c>
      <c r="O101" s="160">
        <f t="shared" si="134"/>
        <v>0</v>
      </c>
      <c r="P101" s="160">
        <f t="shared" si="134"/>
        <v>0</v>
      </c>
      <c r="Q101" s="160">
        <f t="shared" si="84"/>
        <v>25</v>
      </c>
      <c r="R101" s="161"/>
      <c r="S101" t="str">
        <f t="shared" si="78"/>
        <v xml:space="preserve">OK </v>
      </c>
    </row>
    <row r="102" spans="2:19" ht="25.25" x14ac:dyDescent="0.75">
      <c r="B102" s="107" t="s">
        <v>210</v>
      </c>
      <c r="C102" s="65">
        <v>644</v>
      </c>
      <c r="D102" s="66" t="s">
        <v>101</v>
      </c>
      <c r="E102" s="67" t="s">
        <v>102</v>
      </c>
      <c r="F102" s="77">
        <v>25</v>
      </c>
      <c r="G102" s="77"/>
      <c r="H102" s="88"/>
      <c r="I102" s="77">
        <f t="shared" ref="I102" si="135">SUM(F102:H102)</f>
        <v>25</v>
      </c>
      <c r="J102" s="77"/>
      <c r="K102" s="77"/>
      <c r="L102" s="77"/>
      <c r="M102" s="77">
        <f t="shared" ref="M102" si="136">SUM(J102:L102)</f>
        <v>0</v>
      </c>
      <c r="N102" s="77">
        <f t="shared" ref="N102:P102" si="137">F102-J102</f>
        <v>25</v>
      </c>
      <c r="O102" s="77">
        <f t="shared" si="137"/>
        <v>0</v>
      </c>
      <c r="P102" s="77">
        <f t="shared" si="137"/>
        <v>0</v>
      </c>
      <c r="Q102" s="77">
        <f t="shared" ref="Q102" si="138">SUM(N102:P102)</f>
        <v>25</v>
      </c>
      <c r="R102" s="69" t="s">
        <v>107</v>
      </c>
      <c r="S102" t="str">
        <f t="shared" si="78"/>
        <v xml:space="preserve">OK </v>
      </c>
    </row>
    <row r="103" spans="2:19" ht="20.45" hidden="1" customHeight="1" x14ac:dyDescent="0.75">
      <c r="B103" s="81" t="s">
        <v>147</v>
      </c>
      <c r="C103" s="82"/>
      <c r="D103" s="83"/>
      <c r="E103" s="84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6"/>
      <c r="S103" t="str">
        <f t="shared" si="78"/>
        <v>-</v>
      </c>
    </row>
    <row r="104" spans="2:19" ht="20.45" hidden="1" customHeight="1" x14ac:dyDescent="0.75">
      <c r="B104" s="76" t="s">
        <v>94</v>
      </c>
      <c r="C104" s="65"/>
      <c r="D104" s="66"/>
      <c r="E104" s="6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69"/>
      <c r="S104" t="str">
        <f t="shared" si="78"/>
        <v>-</v>
      </c>
    </row>
    <row r="105" spans="2:19" ht="20.45" customHeight="1" x14ac:dyDescent="0.75">
      <c r="B105" s="156" t="s">
        <v>148</v>
      </c>
      <c r="C105" s="157"/>
      <c r="D105" s="158"/>
      <c r="E105" s="159"/>
      <c r="F105" s="160">
        <f>SUM(F106)</f>
        <v>15</v>
      </c>
      <c r="G105" s="160">
        <f t="shared" ref="G105:H105" si="139">SUM(G106)</f>
        <v>0</v>
      </c>
      <c r="H105" s="160">
        <f t="shared" si="139"/>
        <v>0</v>
      </c>
      <c r="I105" s="160">
        <f t="shared" ref="I105:I120" si="140">SUM(F105:H105)</f>
        <v>15</v>
      </c>
      <c r="J105" s="160">
        <f t="shared" ref="J105:L105" si="141">SUM(J106)</f>
        <v>0</v>
      </c>
      <c r="K105" s="160">
        <f t="shared" si="141"/>
        <v>0</v>
      </c>
      <c r="L105" s="160">
        <f t="shared" si="141"/>
        <v>0</v>
      </c>
      <c r="M105" s="160">
        <f t="shared" ref="M105:M120" si="142">SUM(J105:L105)</f>
        <v>0</v>
      </c>
      <c r="N105" s="160">
        <f t="shared" ref="N105:P105" si="143">SUM(N106)</f>
        <v>15</v>
      </c>
      <c r="O105" s="160">
        <f t="shared" si="143"/>
        <v>0</v>
      </c>
      <c r="P105" s="160">
        <f t="shared" si="143"/>
        <v>0</v>
      </c>
      <c r="Q105" s="160">
        <f t="shared" ref="Q105:Q120" si="144">SUM(N105:P105)</f>
        <v>15</v>
      </c>
      <c r="R105" s="161"/>
      <c r="S105" t="str">
        <f t="shared" si="78"/>
        <v xml:space="preserve">OK </v>
      </c>
    </row>
    <row r="106" spans="2:19" ht="25.25" x14ac:dyDescent="0.75">
      <c r="B106" s="107" t="s">
        <v>210</v>
      </c>
      <c r="C106" s="65">
        <v>644</v>
      </c>
      <c r="D106" s="66" t="s">
        <v>101</v>
      </c>
      <c r="E106" s="67" t="s">
        <v>102</v>
      </c>
      <c r="F106" s="77">
        <v>15</v>
      </c>
      <c r="G106" s="77"/>
      <c r="H106" s="87"/>
      <c r="I106" s="77">
        <f t="shared" si="140"/>
        <v>15</v>
      </c>
      <c r="J106" s="77"/>
      <c r="K106" s="77"/>
      <c r="L106" s="77"/>
      <c r="M106" s="77">
        <f t="shared" si="142"/>
        <v>0</v>
      </c>
      <c r="N106" s="77">
        <f t="shared" ref="N106:P106" si="145">F106-J106</f>
        <v>15</v>
      </c>
      <c r="O106" s="77">
        <f t="shared" si="145"/>
        <v>0</v>
      </c>
      <c r="P106" s="77">
        <f t="shared" si="145"/>
        <v>0</v>
      </c>
      <c r="Q106" s="77">
        <f t="shared" si="144"/>
        <v>15</v>
      </c>
      <c r="R106" s="69" t="s">
        <v>107</v>
      </c>
      <c r="S106" t="str">
        <f t="shared" si="78"/>
        <v xml:space="preserve">OK </v>
      </c>
    </row>
    <row r="107" spans="2:19" ht="20.45" customHeight="1" x14ac:dyDescent="0.75">
      <c r="B107" s="156" t="s">
        <v>149</v>
      </c>
      <c r="C107" s="157"/>
      <c r="D107" s="158"/>
      <c r="E107" s="159"/>
      <c r="F107" s="160">
        <f>SUM(F108:F109)</f>
        <v>50</v>
      </c>
      <c r="G107" s="160">
        <f>SUM(G108:G109)</f>
        <v>0</v>
      </c>
      <c r="H107" s="160">
        <f>SUM(H108:H109)</f>
        <v>0</v>
      </c>
      <c r="I107" s="160">
        <f t="shared" si="140"/>
        <v>50</v>
      </c>
      <c r="J107" s="160">
        <f>SUM(J108:J109)</f>
        <v>0</v>
      </c>
      <c r="K107" s="160">
        <f>SUM(K108:K109)</f>
        <v>0</v>
      </c>
      <c r="L107" s="160">
        <f>SUM(L108:L109)</f>
        <v>0</v>
      </c>
      <c r="M107" s="160">
        <f t="shared" si="142"/>
        <v>0</v>
      </c>
      <c r="N107" s="160">
        <f>SUM(N108:N109)</f>
        <v>50</v>
      </c>
      <c r="O107" s="160">
        <f>SUM(O108:O109)</f>
        <v>0</v>
      </c>
      <c r="P107" s="160">
        <f>SUM(P108:P109)</f>
        <v>0</v>
      </c>
      <c r="Q107" s="160">
        <f t="shared" si="144"/>
        <v>50</v>
      </c>
      <c r="R107" s="161"/>
      <c r="S107" t="str">
        <f t="shared" si="78"/>
        <v xml:space="preserve">OK </v>
      </c>
    </row>
    <row r="108" spans="2:19" ht="25.25" x14ac:dyDescent="0.75">
      <c r="B108" s="107" t="s">
        <v>177</v>
      </c>
      <c r="C108" s="65">
        <v>644</v>
      </c>
      <c r="D108" s="66" t="s">
        <v>101</v>
      </c>
      <c r="E108" s="67" t="s">
        <v>102</v>
      </c>
      <c r="F108" s="77">
        <v>25</v>
      </c>
      <c r="G108" s="77"/>
      <c r="H108" s="87"/>
      <c r="I108" s="77">
        <f t="shared" si="140"/>
        <v>25</v>
      </c>
      <c r="J108" s="77"/>
      <c r="K108" s="77"/>
      <c r="L108" s="77"/>
      <c r="M108" s="77">
        <f t="shared" si="142"/>
        <v>0</v>
      </c>
      <c r="N108" s="77">
        <f t="shared" ref="N108:P109" si="146">F108-J108</f>
        <v>25</v>
      </c>
      <c r="O108" s="77">
        <f t="shared" si="146"/>
        <v>0</v>
      </c>
      <c r="P108" s="77">
        <f t="shared" si="146"/>
        <v>0</v>
      </c>
      <c r="Q108" s="77">
        <f t="shared" si="144"/>
        <v>25</v>
      </c>
      <c r="R108" s="69" t="s">
        <v>107</v>
      </c>
      <c r="S108" t="str">
        <f t="shared" si="78"/>
        <v xml:space="preserve">OK </v>
      </c>
    </row>
    <row r="109" spans="2:19" ht="20.45" customHeight="1" x14ac:dyDescent="0.75">
      <c r="B109" s="107" t="s">
        <v>182</v>
      </c>
      <c r="C109" s="65">
        <v>642</v>
      </c>
      <c r="D109" s="66" t="s">
        <v>101</v>
      </c>
      <c r="E109" s="67" t="s">
        <v>102</v>
      </c>
      <c r="F109" s="77">
        <v>25</v>
      </c>
      <c r="G109" s="77"/>
      <c r="H109" s="77"/>
      <c r="I109" s="77">
        <f t="shared" si="140"/>
        <v>25</v>
      </c>
      <c r="J109" s="77"/>
      <c r="K109" s="77"/>
      <c r="L109" s="77"/>
      <c r="M109" s="77">
        <f t="shared" si="142"/>
        <v>0</v>
      </c>
      <c r="N109" s="77">
        <f t="shared" si="146"/>
        <v>25</v>
      </c>
      <c r="O109" s="77">
        <f t="shared" si="146"/>
        <v>0</v>
      </c>
      <c r="P109" s="77">
        <f t="shared" si="146"/>
        <v>0</v>
      </c>
      <c r="Q109" s="77">
        <f t="shared" si="144"/>
        <v>25</v>
      </c>
      <c r="R109" s="69" t="s">
        <v>107</v>
      </c>
      <c r="S109" t="str">
        <f t="shared" si="78"/>
        <v xml:space="preserve">OK </v>
      </c>
    </row>
    <row r="110" spans="2:19" ht="20.45" customHeight="1" x14ac:dyDescent="0.75">
      <c r="B110" s="156" t="s">
        <v>150</v>
      </c>
      <c r="C110" s="157"/>
      <c r="D110" s="158"/>
      <c r="E110" s="159"/>
      <c r="F110" s="160">
        <f>SUM(F111:F112)</f>
        <v>395</v>
      </c>
      <c r="G110" s="160">
        <f>SUM(G111:G112)</f>
        <v>0</v>
      </c>
      <c r="H110" s="160">
        <f>SUM(H111:H112)</f>
        <v>0</v>
      </c>
      <c r="I110" s="160">
        <f t="shared" si="140"/>
        <v>395</v>
      </c>
      <c r="J110" s="160">
        <f>SUM(J111:J112)</f>
        <v>0</v>
      </c>
      <c r="K110" s="160">
        <f>SUM(K111:K112)</f>
        <v>0</v>
      </c>
      <c r="L110" s="160">
        <f>SUM(L111:L112)</f>
        <v>0</v>
      </c>
      <c r="M110" s="160">
        <f t="shared" si="142"/>
        <v>0</v>
      </c>
      <c r="N110" s="160">
        <f>SUM(N111:N112)</f>
        <v>395</v>
      </c>
      <c r="O110" s="160">
        <f>SUM(O111:O112)</f>
        <v>0</v>
      </c>
      <c r="P110" s="160">
        <f>SUM(P111:P112)</f>
        <v>0</v>
      </c>
      <c r="Q110" s="160">
        <f t="shared" si="144"/>
        <v>395</v>
      </c>
      <c r="R110" s="161"/>
      <c r="S110" t="str">
        <f t="shared" si="78"/>
        <v xml:space="preserve">OK </v>
      </c>
    </row>
    <row r="111" spans="2:19" ht="23.25" customHeight="1" x14ac:dyDescent="0.75">
      <c r="B111" s="107" t="s">
        <v>210</v>
      </c>
      <c r="C111" s="65">
        <v>644</v>
      </c>
      <c r="D111" s="66" t="s">
        <v>101</v>
      </c>
      <c r="E111" s="67" t="s">
        <v>102</v>
      </c>
      <c r="F111" s="77">
        <v>20</v>
      </c>
      <c r="G111" s="77"/>
      <c r="H111" s="77"/>
      <c r="I111" s="77">
        <f t="shared" si="140"/>
        <v>20</v>
      </c>
      <c r="J111" s="77"/>
      <c r="K111" s="77"/>
      <c r="L111" s="77"/>
      <c r="M111" s="77">
        <f t="shared" si="142"/>
        <v>0</v>
      </c>
      <c r="N111" s="77">
        <f t="shared" ref="N111:P112" si="147">F111-J111</f>
        <v>20</v>
      </c>
      <c r="O111" s="77">
        <f t="shared" si="147"/>
        <v>0</v>
      </c>
      <c r="P111" s="77">
        <f t="shared" si="147"/>
        <v>0</v>
      </c>
      <c r="Q111" s="77">
        <f t="shared" si="144"/>
        <v>20</v>
      </c>
      <c r="R111" s="69" t="s">
        <v>107</v>
      </c>
      <c r="S111" t="str">
        <f t="shared" si="78"/>
        <v xml:space="preserve">OK </v>
      </c>
    </row>
    <row r="112" spans="2:19" ht="23.25" customHeight="1" x14ac:dyDescent="0.75">
      <c r="B112" s="107" t="s">
        <v>130</v>
      </c>
      <c r="C112" s="65">
        <v>641</v>
      </c>
      <c r="D112" s="66" t="s">
        <v>101</v>
      </c>
      <c r="E112" s="67" t="s">
        <v>102</v>
      </c>
      <c r="F112" s="77">
        <v>375</v>
      </c>
      <c r="G112" s="77"/>
      <c r="H112" s="77"/>
      <c r="I112" s="77">
        <f t="shared" si="140"/>
        <v>375</v>
      </c>
      <c r="J112" s="77"/>
      <c r="K112" s="77"/>
      <c r="L112" s="77"/>
      <c r="M112" s="77">
        <f t="shared" si="142"/>
        <v>0</v>
      </c>
      <c r="N112" s="77">
        <f t="shared" si="147"/>
        <v>375</v>
      </c>
      <c r="O112" s="77">
        <f t="shared" si="147"/>
        <v>0</v>
      </c>
      <c r="P112" s="77">
        <f t="shared" si="147"/>
        <v>0</v>
      </c>
      <c r="Q112" s="77">
        <f t="shared" si="144"/>
        <v>375</v>
      </c>
      <c r="R112" s="69" t="s">
        <v>107</v>
      </c>
      <c r="S112" t="str">
        <f t="shared" si="78"/>
        <v xml:space="preserve">OK </v>
      </c>
    </row>
    <row r="113" spans="2:19" ht="27.75" customHeight="1" x14ac:dyDescent="0.75">
      <c r="B113" s="156" t="s">
        <v>151</v>
      </c>
      <c r="C113" s="157"/>
      <c r="D113" s="158"/>
      <c r="E113" s="159"/>
      <c r="F113" s="160">
        <f>SUM(F114:F116)</f>
        <v>40</v>
      </c>
      <c r="G113" s="160">
        <f t="shared" ref="G113:H113" si="148">SUM(G114:G116)</f>
        <v>0</v>
      </c>
      <c r="H113" s="160">
        <f t="shared" si="148"/>
        <v>0</v>
      </c>
      <c r="I113" s="160">
        <f t="shared" si="140"/>
        <v>40</v>
      </c>
      <c r="J113" s="160">
        <f t="shared" ref="J113:L113" si="149">SUM(J114:J116)</f>
        <v>0</v>
      </c>
      <c r="K113" s="160">
        <f t="shared" si="149"/>
        <v>0</v>
      </c>
      <c r="L113" s="160">
        <f t="shared" si="149"/>
        <v>0</v>
      </c>
      <c r="M113" s="160">
        <f t="shared" si="142"/>
        <v>0</v>
      </c>
      <c r="N113" s="160">
        <f t="shared" ref="N113:P113" si="150">SUM(N114:N116)</f>
        <v>40</v>
      </c>
      <c r="O113" s="160">
        <f t="shared" si="150"/>
        <v>0</v>
      </c>
      <c r="P113" s="160">
        <f t="shared" si="150"/>
        <v>0</v>
      </c>
      <c r="Q113" s="160">
        <f t="shared" si="144"/>
        <v>40</v>
      </c>
      <c r="R113" s="161"/>
      <c r="S113" t="str">
        <f t="shared" si="78"/>
        <v xml:space="preserve">OK </v>
      </c>
    </row>
    <row r="114" spans="2:19" ht="24" customHeight="1" x14ac:dyDescent="0.75">
      <c r="B114" s="107" t="s">
        <v>210</v>
      </c>
      <c r="C114" s="65">
        <v>644</v>
      </c>
      <c r="D114" s="66" t="s">
        <v>101</v>
      </c>
      <c r="E114" s="67" t="s">
        <v>102</v>
      </c>
      <c r="F114" s="77">
        <v>5</v>
      </c>
      <c r="G114" s="77"/>
      <c r="H114" s="77"/>
      <c r="I114" s="77">
        <f t="shared" si="140"/>
        <v>5</v>
      </c>
      <c r="J114" s="77"/>
      <c r="K114" s="77"/>
      <c r="L114" s="77"/>
      <c r="M114" s="77">
        <f t="shared" si="142"/>
        <v>0</v>
      </c>
      <c r="N114" s="77">
        <f t="shared" ref="N114:P114" si="151">F114-J114</f>
        <v>5</v>
      </c>
      <c r="O114" s="77">
        <f t="shared" si="151"/>
        <v>0</v>
      </c>
      <c r="P114" s="77">
        <f t="shared" si="151"/>
        <v>0</v>
      </c>
      <c r="Q114" s="77">
        <f t="shared" si="144"/>
        <v>5</v>
      </c>
      <c r="R114" s="69" t="s">
        <v>107</v>
      </c>
      <c r="S114" t="str">
        <f t="shared" si="78"/>
        <v xml:space="preserve">OK </v>
      </c>
    </row>
    <row r="115" spans="2:19" ht="24" customHeight="1" x14ac:dyDescent="0.75">
      <c r="B115" s="107" t="s">
        <v>182</v>
      </c>
      <c r="C115" s="65">
        <v>642</v>
      </c>
      <c r="D115" s="66" t="s">
        <v>101</v>
      </c>
      <c r="E115" s="67" t="s">
        <v>102</v>
      </c>
      <c r="F115" s="77">
        <v>15</v>
      </c>
      <c r="G115" s="77"/>
      <c r="H115" s="77"/>
      <c r="I115" s="77">
        <f t="shared" ref="I115" si="152">SUM(F115:H115)</f>
        <v>15</v>
      </c>
      <c r="J115" s="77"/>
      <c r="K115" s="77"/>
      <c r="L115" s="77"/>
      <c r="M115" s="77">
        <f t="shared" ref="M115" si="153">SUM(J115:L115)</f>
        <v>0</v>
      </c>
      <c r="N115" s="77">
        <f t="shared" ref="N115" si="154">F115-J115</f>
        <v>15</v>
      </c>
      <c r="O115" s="77">
        <f t="shared" ref="O115" si="155">G115-K115</f>
        <v>0</v>
      </c>
      <c r="P115" s="77">
        <f t="shared" ref="P115" si="156">H115-L115</f>
        <v>0</v>
      </c>
      <c r="Q115" s="77">
        <f t="shared" ref="Q115" si="157">SUM(N115:P115)</f>
        <v>15</v>
      </c>
      <c r="R115" s="69" t="s">
        <v>107</v>
      </c>
      <c r="S115" t="str">
        <f t="shared" ref="S115" si="158">IF(SUM(I115,Q115), "OK ", "-")</f>
        <v xml:space="preserve">OK </v>
      </c>
    </row>
    <row r="116" spans="2:19" ht="24" customHeight="1" x14ac:dyDescent="0.75">
      <c r="B116" s="107" t="s">
        <v>183</v>
      </c>
      <c r="C116" s="65">
        <v>642</v>
      </c>
      <c r="D116" s="66" t="s">
        <v>101</v>
      </c>
      <c r="E116" s="67" t="s">
        <v>102</v>
      </c>
      <c r="F116" s="77">
        <v>20</v>
      </c>
      <c r="G116" s="77"/>
      <c r="H116" s="77"/>
      <c r="I116" s="77">
        <f t="shared" ref="I116" si="159">SUM(F116:H116)</f>
        <v>20</v>
      </c>
      <c r="J116" s="77"/>
      <c r="K116" s="77"/>
      <c r="L116" s="77"/>
      <c r="M116" s="77">
        <f t="shared" ref="M116" si="160">SUM(J116:L116)</f>
        <v>0</v>
      </c>
      <c r="N116" s="77">
        <f t="shared" ref="N116" si="161">F116-J116</f>
        <v>20</v>
      </c>
      <c r="O116" s="77">
        <f t="shared" ref="O116" si="162">G116-K116</f>
        <v>0</v>
      </c>
      <c r="P116" s="77">
        <f t="shared" ref="P116" si="163">H116-L116</f>
        <v>0</v>
      </c>
      <c r="Q116" s="77">
        <f t="shared" ref="Q116" si="164">SUM(N116:P116)</f>
        <v>20</v>
      </c>
      <c r="R116" s="69" t="s">
        <v>107</v>
      </c>
      <c r="S116" t="str">
        <f t="shared" ref="S116" si="165">IF(SUM(I116,Q116), "OK ", "-")</f>
        <v xml:space="preserve">OK </v>
      </c>
    </row>
    <row r="117" spans="2:19" ht="20.45" customHeight="1" x14ac:dyDescent="0.75">
      <c r="B117" s="156" t="s">
        <v>152</v>
      </c>
      <c r="C117" s="157"/>
      <c r="D117" s="158"/>
      <c r="E117" s="159"/>
      <c r="F117" s="160">
        <f>SUM(F118:F119)</f>
        <v>90</v>
      </c>
      <c r="G117" s="160">
        <f>SUM(G118:G119)</f>
        <v>0</v>
      </c>
      <c r="H117" s="160">
        <f>SUM(H118:H119)</f>
        <v>0</v>
      </c>
      <c r="I117" s="160">
        <f t="shared" si="140"/>
        <v>90</v>
      </c>
      <c r="J117" s="160">
        <f>SUM(J118:J119)</f>
        <v>0</v>
      </c>
      <c r="K117" s="160">
        <f>SUM(K118:K119)</f>
        <v>0</v>
      </c>
      <c r="L117" s="160">
        <f>SUM(L118:L119)</f>
        <v>0</v>
      </c>
      <c r="M117" s="160">
        <f t="shared" si="142"/>
        <v>0</v>
      </c>
      <c r="N117" s="160">
        <f>SUM(N118:N119)</f>
        <v>90</v>
      </c>
      <c r="O117" s="160">
        <f>SUM(O118:O119)</f>
        <v>0</v>
      </c>
      <c r="P117" s="160">
        <f>SUM(P118:P119)</f>
        <v>0</v>
      </c>
      <c r="Q117" s="160">
        <f t="shared" si="144"/>
        <v>90</v>
      </c>
      <c r="R117" s="161"/>
      <c r="S117" t="str">
        <f t="shared" si="78"/>
        <v xml:space="preserve">OK </v>
      </c>
    </row>
    <row r="118" spans="2:19" ht="25.25" x14ac:dyDescent="0.75">
      <c r="B118" s="107" t="s">
        <v>168</v>
      </c>
      <c r="C118" s="65">
        <v>642</v>
      </c>
      <c r="D118" s="66" t="s">
        <v>101</v>
      </c>
      <c r="E118" s="67" t="s">
        <v>102</v>
      </c>
      <c r="F118" s="77">
        <v>15</v>
      </c>
      <c r="G118" s="77"/>
      <c r="H118" s="87"/>
      <c r="I118" s="77">
        <f t="shared" si="140"/>
        <v>15</v>
      </c>
      <c r="J118" s="77"/>
      <c r="K118" s="77"/>
      <c r="L118" s="77"/>
      <c r="M118" s="77">
        <f t="shared" si="142"/>
        <v>0</v>
      </c>
      <c r="N118" s="77">
        <f t="shared" ref="N118:P119" si="166">F118-J118</f>
        <v>15</v>
      </c>
      <c r="O118" s="77">
        <f t="shared" si="166"/>
        <v>0</v>
      </c>
      <c r="P118" s="77">
        <f t="shared" si="166"/>
        <v>0</v>
      </c>
      <c r="Q118" s="77">
        <f t="shared" si="144"/>
        <v>15</v>
      </c>
      <c r="R118" s="69" t="s">
        <v>107</v>
      </c>
      <c r="S118" t="str">
        <f t="shared" si="78"/>
        <v xml:space="preserve">OK </v>
      </c>
    </row>
    <row r="119" spans="2:19" ht="20.45" customHeight="1" x14ac:dyDescent="0.75">
      <c r="B119" s="107" t="s">
        <v>127</v>
      </c>
      <c r="C119" s="65">
        <v>642</v>
      </c>
      <c r="D119" s="66" t="s">
        <v>101</v>
      </c>
      <c r="E119" s="67" t="s">
        <v>102</v>
      </c>
      <c r="F119" s="77">
        <v>75</v>
      </c>
      <c r="G119" s="77"/>
      <c r="H119" s="77"/>
      <c r="I119" s="77">
        <f t="shared" si="140"/>
        <v>75</v>
      </c>
      <c r="J119" s="77"/>
      <c r="K119" s="77"/>
      <c r="L119" s="77"/>
      <c r="M119" s="77">
        <f t="shared" si="142"/>
        <v>0</v>
      </c>
      <c r="N119" s="77">
        <f t="shared" si="166"/>
        <v>75</v>
      </c>
      <c r="O119" s="77">
        <f t="shared" si="166"/>
        <v>0</v>
      </c>
      <c r="P119" s="77">
        <f t="shared" si="166"/>
        <v>0</v>
      </c>
      <c r="Q119" s="77">
        <f t="shared" si="144"/>
        <v>75</v>
      </c>
      <c r="R119" s="69" t="s">
        <v>107</v>
      </c>
      <c r="S119" t="str">
        <f t="shared" si="78"/>
        <v xml:space="preserve">OK </v>
      </c>
    </row>
    <row r="120" spans="2:19" ht="20.45" customHeight="1" x14ac:dyDescent="0.75">
      <c r="B120" s="156" t="s">
        <v>153</v>
      </c>
      <c r="C120" s="157"/>
      <c r="D120" s="158"/>
      <c r="E120" s="159"/>
      <c r="F120" s="160">
        <f>SUM(F121:F122)</f>
        <v>25</v>
      </c>
      <c r="G120" s="160">
        <f t="shared" ref="G120:H120" si="167">SUM(G121:G122)</f>
        <v>0</v>
      </c>
      <c r="H120" s="160">
        <f t="shared" si="167"/>
        <v>0</v>
      </c>
      <c r="I120" s="160">
        <f t="shared" si="140"/>
        <v>25</v>
      </c>
      <c r="J120" s="160">
        <f t="shared" ref="J120:L120" si="168">SUM(J121:J122)</f>
        <v>0</v>
      </c>
      <c r="K120" s="160">
        <f t="shared" si="168"/>
        <v>0</v>
      </c>
      <c r="L120" s="160">
        <f t="shared" si="168"/>
        <v>0</v>
      </c>
      <c r="M120" s="160">
        <f t="shared" si="142"/>
        <v>0</v>
      </c>
      <c r="N120" s="160">
        <f t="shared" ref="N120:P120" si="169">SUM(N121:N122)</f>
        <v>25</v>
      </c>
      <c r="O120" s="160">
        <f t="shared" si="169"/>
        <v>0</v>
      </c>
      <c r="P120" s="160">
        <f t="shared" si="169"/>
        <v>0</v>
      </c>
      <c r="Q120" s="160">
        <f t="shared" si="144"/>
        <v>25</v>
      </c>
      <c r="R120" s="161"/>
      <c r="S120" t="str">
        <f t="shared" si="78"/>
        <v xml:space="preserve">OK </v>
      </c>
    </row>
    <row r="121" spans="2:19" ht="25.25" x14ac:dyDescent="0.75">
      <c r="B121" s="107" t="s">
        <v>168</v>
      </c>
      <c r="C121" s="65">
        <v>642</v>
      </c>
      <c r="D121" s="66" t="s">
        <v>101</v>
      </c>
      <c r="E121" s="67" t="s">
        <v>102</v>
      </c>
      <c r="F121" s="77">
        <v>15</v>
      </c>
      <c r="G121" s="77"/>
      <c r="H121" s="87"/>
      <c r="I121" s="77">
        <f t="shared" ref="I121:I123" si="170">SUM(F121:H121)</f>
        <v>15</v>
      </c>
      <c r="J121" s="77"/>
      <c r="K121" s="77"/>
      <c r="L121" s="77"/>
      <c r="M121" s="77">
        <f t="shared" ref="M121:M125" si="171">SUM(J121:L121)</f>
        <v>0</v>
      </c>
      <c r="N121" s="77">
        <f t="shared" ref="N121:P121" si="172">F121-J121</f>
        <v>15</v>
      </c>
      <c r="O121" s="77">
        <f t="shared" si="172"/>
        <v>0</v>
      </c>
      <c r="P121" s="77">
        <f t="shared" si="172"/>
        <v>0</v>
      </c>
      <c r="Q121" s="77">
        <f t="shared" ref="Q121:Q125" si="173">SUM(N121:P121)</f>
        <v>15</v>
      </c>
      <c r="R121" s="69" t="s">
        <v>107</v>
      </c>
      <c r="S121" t="str">
        <f t="shared" si="78"/>
        <v xml:space="preserve">OK </v>
      </c>
    </row>
    <row r="122" spans="2:19" ht="25.25" x14ac:dyDescent="0.75">
      <c r="B122" s="107" t="s">
        <v>169</v>
      </c>
      <c r="C122" s="65">
        <v>644</v>
      </c>
      <c r="D122" s="66" t="s">
        <v>101</v>
      </c>
      <c r="E122" s="67" t="s">
        <v>102</v>
      </c>
      <c r="F122" s="77">
        <v>10</v>
      </c>
      <c r="G122" s="77"/>
      <c r="H122" s="87"/>
      <c r="I122" s="77">
        <f t="shared" ref="I122" si="174">SUM(F122:H122)</f>
        <v>10</v>
      </c>
      <c r="J122" s="77"/>
      <c r="K122" s="77"/>
      <c r="L122" s="77"/>
      <c r="M122" s="77">
        <f t="shared" ref="M122" si="175">SUM(J122:L122)</f>
        <v>0</v>
      </c>
      <c r="N122" s="77">
        <f t="shared" ref="N122" si="176">F122-J122</f>
        <v>10</v>
      </c>
      <c r="O122" s="77">
        <f t="shared" ref="O122" si="177">G122-K122</f>
        <v>0</v>
      </c>
      <c r="P122" s="77">
        <f t="shared" ref="P122" si="178">H122-L122</f>
        <v>0</v>
      </c>
      <c r="Q122" s="77">
        <f t="shared" ref="Q122" si="179">SUM(N122:P122)</f>
        <v>10</v>
      </c>
      <c r="R122" s="69" t="s">
        <v>107</v>
      </c>
      <c r="S122" t="str">
        <f t="shared" ref="S122" si="180">IF(SUM(I122,Q122), "OK ", "-")</f>
        <v xml:space="preserve">OK </v>
      </c>
    </row>
    <row r="123" spans="2:19" ht="20.45" customHeight="1" x14ac:dyDescent="0.75">
      <c r="B123" s="156" t="s">
        <v>154</v>
      </c>
      <c r="C123" s="157"/>
      <c r="D123" s="158"/>
      <c r="E123" s="159"/>
      <c r="F123" s="160">
        <f>SUM(F124:F126)</f>
        <v>70</v>
      </c>
      <c r="G123" s="160">
        <f>SUM(G124:G126)</f>
        <v>0</v>
      </c>
      <c r="H123" s="160">
        <f>SUM(H124:H126)</f>
        <v>0</v>
      </c>
      <c r="I123" s="160">
        <f t="shared" si="170"/>
        <v>70</v>
      </c>
      <c r="J123" s="160">
        <f>SUM(J124:J126)</f>
        <v>0</v>
      </c>
      <c r="K123" s="160">
        <f>SUM(K124:K126)</f>
        <v>0</v>
      </c>
      <c r="L123" s="160">
        <f>SUM(L124:L126)</f>
        <v>0</v>
      </c>
      <c r="M123" s="160">
        <f t="shared" si="171"/>
        <v>0</v>
      </c>
      <c r="N123" s="160">
        <f>SUM(N124:N126)</f>
        <v>70</v>
      </c>
      <c r="O123" s="160">
        <f>SUM(O124:O126)</f>
        <v>0</v>
      </c>
      <c r="P123" s="160">
        <f>SUM(P124:P126)</f>
        <v>0</v>
      </c>
      <c r="Q123" s="160">
        <f t="shared" si="173"/>
        <v>70</v>
      </c>
      <c r="R123" s="161"/>
      <c r="S123" t="str">
        <f t="shared" si="78"/>
        <v xml:space="preserve">OK </v>
      </c>
    </row>
    <row r="124" spans="2:19" ht="20.25" customHeight="1" x14ac:dyDescent="0.75">
      <c r="B124" s="76" t="s">
        <v>210</v>
      </c>
      <c r="C124" s="65">
        <v>644</v>
      </c>
      <c r="D124" s="66" t="s">
        <v>101</v>
      </c>
      <c r="E124" s="67" t="s">
        <v>102</v>
      </c>
      <c r="F124" s="77">
        <v>5</v>
      </c>
      <c r="G124" s="77"/>
      <c r="H124" s="87"/>
      <c r="I124" s="77">
        <f t="shared" ref="I124:I125" si="181">SUM(F124:H124)</f>
        <v>5</v>
      </c>
      <c r="J124" s="77"/>
      <c r="K124" s="77"/>
      <c r="L124" s="77"/>
      <c r="M124" s="77">
        <f t="shared" si="171"/>
        <v>0</v>
      </c>
      <c r="N124" s="77">
        <f t="shared" ref="N124:P125" si="182">F124-J124</f>
        <v>5</v>
      </c>
      <c r="O124" s="77">
        <f t="shared" si="182"/>
        <v>0</v>
      </c>
      <c r="P124" s="77">
        <f t="shared" si="182"/>
        <v>0</v>
      </c>
      <c r="Q124" s="77">
        <f t="shared" si="173"/>
        <v>5</v>
      </c>
      <c r="R124" s="69" t="s">
        <v>107</v>
      </c>
      <c r="S124" t="str">
        <f t="shared" si="78"/>
        <v xml:space="preserve">OK </v>
      </c>
    </row>
    <row r="125" spans="2:19" ht="20.25" customHeight="1" x14ac:dyDescent="0.75">
      <c r="B125" s="76" t="s">
        <v>127</v>
      </c>
      <c r="C125" s="65">
        <v>642</v>
      </c>
      <c r="D125" s="66" t="s">
        <v>101</v>
      </c>
      <c r="E125" s="67" t="s">
        <v>102</v>
      </c>
      <c r="F125" s="77">
        <v>50</v>
      </c>
      <c r="G125" s="77"/>
      <c r="H125" s="77"/>
      <c r="I125" s="77">
        <f t="shared" si="181"/>
        <v>50</v>
      </c>
      <c r="J125" s="77"/>
      <c r="K125" s="77"/>
      <c r="L125" s="77"/>
      <c r="M125" s="77">
        <f t="shared" si="171"/>
        <v>0</v>
      </c>
      <c r="N125" s="77">
        <f t="shared" si="182"/>
        <v>50</v>
      </c>
      <c r="O125" s="77">
        <f t="shared" si="182"/>
        <v>0</v>
      </c>
      <c r="P125" s="77">
        <f t="shared" si="182"/>
        <v>0</v>
      </c>
      <c r="Q125" s="77">
        <f t="shared" si="173"/>
        <v>50</v>
      </c>
      <c r="R125" s="69" t="s">
        <v>107</v>
      </c>
      <c r="S125" t="str">
        <f t="shared" si="78"/>
        <v xml:space="preserve">OK </v>
      </c>
    </row>
    <row r="126" spans="2:19" ht="20.25" customHeight="1" x14ac:dyDescent="0.75">
      <c r="B126" s="76" t="s">
        <v>178</v>
      </c>
      <c r="C126" s="65">
        <v>642</v>
      </c>
      <c r="D126" s="66" t="s">
        <v>101</v>
      </c>
      <c r="E126" s="67" t="s">
        <v>102</v>
      </c>
      <c r="F126" s="77">
        <v>15</v>
      </c>
      <c r="G126" s="77"/>
      <c r="H126" s="77"/>
      <c r="I126" s="77">
        <f t="shared" ref="I126" si="183">SUM(F126:H126)</f>
        <v>15</v>
      </c>
      <c r="J126" s="77"/>
      <c r="K126" s="77"/>
      <c r="L126" s="77"/>
      <c r="M126" s="77">
        <f t="shared" ref="M126" si="184">SUM(J126:L126)</f>
        <v>0</v>
      </c>
      <c r="N126" s="77">
        <f t="shared" ref="N126" si="185">F126-J126</f>
        <v>15</v>
      </c>
      <c r="O126" s="77">
        <f t="shared" ref="O126" si="186">G126-K126</f>
        <v>0</v>
      </c>
      <c r="P126" s="77">
        <f t="shared" ref="P126" si="187">H126-L126</f>
        <v>0</v>
      </c>
      <c r="Q126" s="77">
        <f t="shared" ref="Q126" si="188">SUM(N126:P126)</f>
        <v>15</v>
      </c>
      <c r="R126" s="69" t="s">
        <v>107</v>
      </c>
      <c r="S126" t="str">
        <f t="shared" ref="S126" si="189">IF(SUM(I126,Q126), "OK ", "-")</f>
        <v xml:space="preserve">OK </v>
      </c>
    </row>
    <row r="127" spans="2:19" ht="20.45" customHeight="1" x14ac:dyDescent="0.75">
      <c r="B127" s="79" t="s">
        <v>155</v>
      </c>
      <c r="C127" s="71"/>
      <c r="D127" s="72"/>
      <c r="E127" s="73"/>
      <c r="F127" s="74">
        <f>SUM(F128)</f>
        <v>300</v>
      </c>
      <c r="G127" s="74">
        <f t="shared" ref="G127:H127" si="190">SUM(G128)</f>
        <v>300</v>
      </c>
      <c r="H127" s="74">
        <f t="shared" si="190"/>
        <v>0</v>
      </c>
      <c r="I127" s="74">
        <f>SUM(F127:H127)</f>
        <v>600</v>
      </c>
      <c r="J127" s="74">
        <f t="shared" ref="J127:L127" si="191">SUM(J128)</f>
        <v>0</v>
      </c>
      <c r="K127" s="74">
        <f t="shared" si="191"/>
        <v>0</v>
      </c>
      <c r="L127" s="74">
        <f t="shared" si="191"/>
        <v>0</v>
      </c>
      <c r="M127" s="74">
        <f>SUM(J127:L127)</f>
        <v>0</v>
      </c>
      <c r="N127" s="74">
        <f t="shared" ref="N127:P127" si="192">SUM(N128)</f>
        <v>300</v>
      </c>
      <c r="O127" s="74">
        <f t="shared" si="192"/>
        <v>300</v>
      </c>
      <c r="P127" s="74">
        <f t="shared" si="192"/>
        <v>0</v>
      </c>
      <c r="Q127" s="74">
        <f>SUM(N127:P127)</f>
        <v>600</v>
      </c>
      <c r="R127" s="75"/>
      <c r="S127" t="str">
        <f t="shared" si="78"/>
        <v xml:space="preserve">OK </v>
      </c>
    </row>
    <row r="128" spans="2:19" ht="25.25" x14ac:dyDescent="0.75">
      <c r="B128" s="107" t="s">
        <v>196</v>
      </c>
      <c r="C128" s="65">
        <v>645</v>
      </c>
      <c r="D128" s="66" t="s">
        <v>101</v>
      </c>
      <c r="E128" s="67" t="s">
        <v>102</v>
      </c>
      <c r="F128" s="77">
        <v>300</v>
      </c>
      <c r="G128" s="77">
        <v>300</v>
      </c>
      <c r="H128" s="77">
        <v>0</v>
      </c>
      <c r="I128" s="77">
        <f>SUM(F128:H128)</f>
        <v>600</v>
      </c>
      <c r="J128" s="77">
        <v>0</v>
      </c>
      <c r="K128" s="77">
        <v>0</v>
      </c>
      <c r="L128" s="77">
        <v>0</v>
      </c>
      <c r="M128" s="77">
        <f>SUM(J128:L128)</f>
        <v>0</v>
      </c>
      <c r="N128" s="77">
        <f>F128-J128</f>
        <v>300</v>
      </c>
      <c r="O128" s="77">
        <f t="shared" ref="O128:P128" si="193">G128-K128</f>
        <v>300</v>
      </c>
      <c r="P128" s="77">
        <f t="shared" si="193"/>
        <v>0</v>
      </c>
      <c r="Q128" s="77">
        <f t="shared" ref="Q128" si="194">SUM(N128:P128)</f>
        <v>600</v>
      </c>
      <c r="R128" s="69" t="s">
        <v>119</v>
      </c>
      <c r="S128" t="str">
        <f t="shared" si="78"/>
        <v xml:space="preserve">OK </v>
      </c>
    </row>
    <row r="129" spans="2:19" ht="20.45" hidden="1" customHeight="1" x14ac:dyDescent="0.75">
      <c r="B129" s="70" t="s">
        <v>156</v>
      </c>
      <c r="C129" s="71"/>
      <c r="D129" s="72"/>
      <c r="E129" s="73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5"/>
      <c r="S129" t="str">
        <f t="shared" si="78"/>
        <v>-</v>
      </c>
    </row>
    <row r="130" spans="2:19" ht="20.45" hidden="1" customHeight="1" x14ac:dyDescent="0.75">
      <c r="B130" s="76" t="s">
        <v>94</v>
      </c>
      <c r="C130" s="65"/>
      <c r="D130" s="66"/>
      <c r="E130" s="6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69"/>
      <c r="S130" t="str">
        <f t="shared" si="78"/>
        <v>-</v>
      </c>
    </row>
    <row r="131" spans="2:19" ht="20.45" customHeight="1" x14ac:dyDescent="0.75">
      <c r="B131" s="79" t="s">
        <v>157</v>
      </c>
      <c r="C131" s="71"/>
      <c r="D131" s="72"/>
      <c r="E131" s="73"/>
      <c r="F131" s="74">
        <f>SUM(F132)</f>
        <v>830</v>
      </c>
      <c r="G131" s="74">
        <f t="shared" ref="G131:H131" si="195">SUM(G132)</f>
        <v>0</v>
      </c>
      <c r="H131" s="74">
        <f t="shared" si="195"/>
        <v>0</v>
      </c>
      <c r="I131" s="74">
        <f>SUM(F131:H131)</f>
        <v>830</v>
      </c>
      <c r="J131" s="74">
        <f t="shared" ref="J131" si="196">SUM(J132)</f>
        <v>0</v>
      </c>
      <c r="K131" s="74">
        <f t="shared" ref="K131:L131" si="197">SUM(K132)</f>
        <v>0</v>
      </c>
      <c r="L131" s="74">
        <f t="shared" si="197"/>
        <v>0</v>
      </c>
      <c r="M131" s="74">
        <f>SUM(J131:L131)</f>
        <v>0</v>
      </c>
      <c r="N131" s="74">
        <f>SUM(N132)</f>
        <v>830</v>
      </c>
      <c r="O131" s="74">
        <f t="shared" ref="O131:P131" si="198">SUM(O132)</f>
        <v>0</v>
      </c>
      <c r="P131" s="74">
        <f t="shared" si="198"/>
        <v>0</v>
      </c>
      <c r="Q131" s="74">
        <f>SUM(N131:P131)</f>
        <v>830</v>
      </c>
      <c r="R131" s="75"/>
      <c r="S131" t="str">
        <f t="shared" si="78"/>
        <v xml:space="preserve">OK </v>
      </c>
    </row>
    <row r="132" spans="2:19" ht="26" thickBot="1" x14ac:dyDescent="0.9">
      <c r="B132" s="109" t="s">
        <v>213</v>
      </c>
      <c r="C132" s="90">
        <v>506</v>
      </c>
      <c r="D132" s="91" t="s">
        <v>101</v>
      </c>
      <c r="E132" s="92" t="s">
        <v>102</v>
      </c>
      <c r="F132" s="93">
        <v>830</v>
      </c>
      <c r="G132" s="93"/>
      <c r="H132" s="93"/>
      <c r="I132" s="93">
        <f>SUM(F132:H132)</f>
        <v>830</v>
      </c>
      <c r="J132" s="93">
        <v>0</v>
      </c>
      <c r="K132" s="93">
        <v>0</v>
      </c>
      <c r="L132" s="93">
        <v>0</v>
      </c>
      <c r="M132" s="93">
        <f>SUM(J132:L132)</f>
        <v>0</v>
      </c>
      <c r="N132" s="93">
        <f>F132-J132</f>
        <v>830</v>
      </c>
      <c r="O132" s="93">
        <f t="shared" ref="O132:P132" si="199">G132-K132</f>
        <v>0</v>
      </c>
      <c r="P132" s="93">
        <f t="shared" si="199"/>
        <v>0</v>
      </c>
      <c r="Q132" s="93">
        <f t="shared" ref="Q132" si="200">SUM(N132:P132)</f>
        <v>830</v>
      </c>
      <c r="R132" s="94" t="s">
        <v>119</v>
      </c>
      <c r="S132" t="str">
        <f t="shared" si="78"/>
        <v xml:space="preserve">OK </v>
      </c>
    </row>
    <row r="133" spans="2:19" ht="20.45" hidden="1" customHeight="1" x14ac:dyDescent="0.75">
      <c r="B133" s="95" t="s">
        <v>158</v>
      </c>
      <c r="C133" s="96"/>
      <c r="D133" s="97"/>
      <c r="E133" s="98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100"/>
      <c r="S133" t="str">
        <f t="shared" si="78"/>
        <v>-</v>
      </c>
    </row>
    <row r="134" spans="2:19" ht="20.45" hidden="1" customHeight="1" thickBot="1" x14ac:dyDescent="0.9">
      <c r="B134" s="89" t="s">
        <v>94</v>
      </c>
      <c r="C134" s="90"/>
      <c r="D134" s="91"/>
      <c r="E134" s="92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4"/>
      <c r="S134" t="str">
        <f t="shared" si="78"/>
        <v>-</v>
      </c>
    </row>
  </sheetData>
  <autoFilter ref="S1:S141" xr:uid="{00000000-0009-0000-0000-000003000000}">
    <filterColumn colId="0">
      <filters>
        <filter val="OK"/>
      </filters>
    </filterColumn>
  </autoFilter>
  <mergeCells count="9">
    <mergeCell ref="A4:R4"/>
    <mergeCell ref="B6:B7"/>
    <mergeCell ref="C6:C7"/>
    <mergeCell ref="D6:D7"/>
    <mergeCell ref="E6:E7"/>
    <mergeCell ref="F6:I6"/>
    <mergeCell ref="J6:M6"/>
    <mergeCell ref="N6:Q6"/>
    <mergeCell ref="R6:R7"/>
  </mergeCells>
  <printOptions horizontalCentered="1"/>
  <pageMargins left="0.11811023622047245" right="0.15748031496062992" top="3.937007874015748E-2" bottom="0.39370078740157483" header="0.15748031496062992" footer="0.15748031496062992"/>
  <pageSetup paperSize="9" scale="66" orientation="landscape" r:id="rId1"/>
  <headerFooter>
    <oddFooter>&amp;C&amp;"Limon S1,Normal"&amp;22&amp;P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A59E-1471-4847-9544-0F57BF915DFD}">
  <sheetPr filterMode="1">
    <tabColor rgb="FF00B050"/>
  </sheetPr>
  <dimension ref="A1:AH26"/>
  <sheetViews>
    <sheetView showZeros="0" topLeftCell="A5" zoomScale="90" zoomScaleNormal="90" workbookViewId="0">
      <pane ySplit="1" topLeftCell="A6" activePane="bottomLeft" state="frozen"/>
      <selection activeCell="A5" sqref="A5"/>
      <selection pane="bottomLeft" activeCell="F10" sqref="F10:F24"/>
    </sheetView>
  </sheetViews>
  <sheetFormatPr defaultRowHeight="27.5" x14ac:dyDescent="2.5"/>
  <cols>
    <col min="1" max="1" width="4.81640625" customWidth="1"/>
    <col min="2" max="2" width="17.5" customWidth="1"/>
    <col min="3" max="3" width="17.04296875" customWidth="1"/>
    <col min="4" max="4" width="14.453125" customWidth="1"/>
    <col min="5" max="5" width="13.08984375" customWidth="1"/>
    <col min="6" max="6" width="49.36328125" customWidth="1"/>
    <col min="7" max="7" width="46.40625" customWidth="1"/>
    <col min="8" max="8" width="20.1328125" customWidth="1"/>
    <col min="9" max="10" width="53" customWidth="1"/>
    <col min="11" max="11" width="9.7265625" customWidth="1"/>
    <col min="12" max="12" width="13.76953125" customWidth="1"/>
    <col min="13" max="13" width="12.40625" customWidth="1"/>
    <col min="14" max="14" width="13.54296875" style="40" customWidth="1"/>
    <col min="15" max="15" width="20.2265625" style="41" customWidth="1"/>
    <col min="16" max="18" width="17.31640625" customWidth="1"/>
    <col min="19" max="19" width="9.26953125" customWidth="1"/>
    <col min="20" max="22" width="12.1328125" customWidth="1"/>
    <col min="23" max="23" width="14.1328125" customWidth="1"/>
    <col min="24" max="24" width="12.54296875" customWidth="1"/>
    <col min="25" max="26" width="8.54296875" customWidth="1"/>
    <col min="27" max="28" width="9.86328125" customWidth="1"/>
    <col min="29" max="29" width="14.453125" style="41" customWidth="1"/>
    <col min="34" max="34" width="20.86328125" customWidth="1"/>
  </cols>
  <sheetData>
    <row r="1" spans="1:34" ht="45.75" customHeight="1" x14ac:dyDescent="2.5"/>
    <row r="2" spans="1:34" x14ac:dyDescent="2.5">
      <c r="G2" s="42"/>
      <c r="H2" s="42"/>
      <c r="I2" s="42"/>
      <c r="J2" s="42"/>
    </row>
    <row r="3" spans="1:34" ht="29.25" customHeight="1" x14ac:dyDescent="0.75">
      <c r="K3" s="42"/>
      <c r="L3" s="42"/>
      <c r="M3" s="42"/>
      <c r="N3" s="43"/>
      <c r="O3" s="44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4"/>
    </row>
    <row r="4" spans="1:34" ht="34.5" hidden="1" customHeight="1" x14ac:dyDescent="2.75">
      <c r="A4" s="393" t="s">
        <v>256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  <c r="AA4" s="393"/>
      <c r="AB4" s="393"/>
      <c r="AC4" s="393"/>
    </row>
    <row r="5" spans="1:34" ht="25" customHeight="1" x14ac:dyDescent="2.5">
      <c r="A5" t="s">
        <v>297</v>
      </c>
      <c r="B5" t="s">
        <v>331</v>
      </c>
      <c r="C5" t="s">
        <v>317</v>
      </c>
      <c r="D5" t="s">
        <v>313</v>
      </c>
      <c r="E5" t="s">
        <v>316</v>
      </c>
      <c r="F5" t="s">
        <v>298</v>
      </c>
      <c r="G5" t="s">
        <v>299</v>
      </c>
      <c r="H5" t="s">
        <v>314</v>
      </c>
      <c r="I5" t="s">
        <v>314</v>
      </c>
      <c r="J5" t="s">
        <v>314</v>
      </c>
      <c r="K5" t="s">
        <v>300</v>
      </c>
      <c r="L5" t="s">
        <v>301</v>
      </c>
      <c r="M5" t="s">
        <v>302</v>
      </c>
      <c r="N5" s="40" t="s">
        <v>329</v>
      </c>
      <c r="O5" s="41" t="s">
        <v>330</v>
      </c>
      <c r="P5" t="s">
        <v>303</v>
      </c>
      <c r="Q5" t="s">
        <v>304</v>
      </c>
      <c r="R5" t="s">
        <v>305</v>
      </c>
      <c r="T5" t="s">
        <v>307</v>
      </c>
      <c r="U5" t="s">
        <v>306</v>
      </c>
      <c r="V5" t="s">
        <v>308</v>
      </c>
      <c r="X5" s="269" t="s">
        <v>309</v>
      </c>
      <c r="Y5" s="269" t="s">
        <v>311</v>
      </c>
      <c r="Z5" s="269" t="s">
        <v>310</v>
      </c>
      <c r="AB5" s="269" t="s">
        <v>332</v>
      </c>
      <c r="AC5" s="268" t="s">
        <v>333</v>
      </c>
    </row>
    <row r="6" spans="1:34" ht="22.5" hidden="1" customHeight="1" x14ac:dyDescent="0.75">
      <c r="C6">
        <f>MATCH(H6,[1]កម្មវិធី!$E$2:$E$6)</f>
        <v>2</v>
      </c>
      <c r="G6" s="183" t="s">
        <v>263</v>
      </c>
      <c r="H6" s="273" t="s">
        <v>31</v>
      </c>
      <c r="I6" s="273" t="s">
        <v>346</v>
      </c>
      <c r="J6" s="273" t="str">
        <f>RIGHT(G6,LEN(G6)-SEARCH("៖",G6))</f>
        <v xml:space="preserve"> ការគ្រប់គ្រងចំណូលសាធារណៈ និងទ្រព្យសម្បត្តិរដ្ឋ</v>
      </c>
      <c r="K6" s="184"/>
      <c r="L6" s="184"/>
      <c r="M6" s="184"/>
      <c r="N6" s="185"/>
      <c r="O6" s="186"/>
      <c r="P6" s="187">
        <f>P7+P9</f>
        <v>3400</v>
      </c>
      <c r="Q6" s="187">
        <f t="shared" ref="Q6:R6" si="0">Q7+Q9</f>
        <v>1050</v>
      </c>
      <c r="R6" s="187">
        <f t="shared" si="0"/>
        <v>100</v>
      </c>
      <c r="S6" s="187">
        <f>S7+S9</f>
        <v>4550</v>
      </c>
      <c r="T6" s="187">
        <f t="shared" ref="T6:V6" si="1">T7+T9</f>
        <v>0</v>
      </c>
      <c r="U6" s="187">
        <f t="shared" si="1"/>
        <v>0</v>
      </c>
      <c r="V6" s="187">
        <f t="shared" si="1"/>
        <v>0</v>
      </c>
      <c r="W6" s="187">
        <f>W7+W9</f>
        <v>0</v>
      </c>
      <c r="X6" s="187">
        <f t="shared" ref="X6:Z6" si="2">X7+X9</f>
        <v>3400</v>
      </c>
      <c r="Y6" s="187">
        <f t="shared" si="2"/>
        <v>1050</v>
      </c>
      <c r="Z6" s="187">
        <f t="shared" si="2"/>
        <v>100</v>
      </c>
      <c r="AA6" s="187">
        <f>AA7+AA9</f>
        <v>4550</v>
      </c>
      <c r="AB6" s="278"/>
      <c r="AC6" s="188"/>
      <c r="AD6" t="str">
        <f t="shared" ref="AD6:AD21" si="3">IF(SUM(S6,AA6), "OK ", "-")</f>
        <v xml:space="preserve">OK </v>
      </c>
      <c r="AH6" s="172">
        <f>800000000/4000</f>
        <v>200000</v>
      </c>
    </row>
    <row r="7" spans="1:34" ht="22.5" hidden="1" customHeight="1" x14ac:dyDescent="0.75">
      <c r="D7">
        <f>MATCH(H7,[2]អនុកម្មវិធី!$E$2:$E$33,0)</f>
        <v>13</v>
      </c>
      <c r="E7">
        <v>6</v>
      </c>
      <c r="G7" s="181" t="s">
        <v>315</v>
      </c>
      <c r="H7" s="274" t="s">
        <v>318</v>
      </c>
      <c r="I7" s="274" t="s">
        <v>341</v>
      </c>
      <c r="J7" s="274" t="str">
        <f>TRIM(RIGHT(G7,LEN(G7)-SEARCH("៖",G7)))</f>
        <v>អគ្គនាយកដ្ឋានគយនិងរដ្ឋាករកម្ពុជា</v>
      </c>
      <c r="K7" s="182"/>
      <c r="L7" s="182"/>
      <c r="M7" s="182"/>
      <c r="N7" s="66"/>
      <c r="O7" s="106"/>
      <c r="P7" s="77">
        <f>SUM(P8:P8)</f>
        <v>2000</v>
      </c>
      <c r="Q7" s="77">
        <f>SUM(Q8:Q8)</f>
        <v>1000</v>
      </c>
      <c r="R7" s="77">
        <f>SUM(R8:R8)</f>
        <v>0</v>
      </c>
      <c r="S7" s="77">
        <f t="shared" ref="S7:S11" si="4">SUM(P7:R7)</f>
        <v>3000</v>
      </c>
      <c r="T7" s="77">
        <f>SUM(T8:T8)</f>
        <v>0</v>
      </c>
      <c r="U7" s="77">
        <f>SUM(U8:U8)</f>
        <v>0</v>
      </c>
      <c r="V7" s="77">
        <f>SUM(V8:V8)</f>
        <v>0</v>
      </c>
      <c r="W7" s="77">
        <f t="shared" ref="W7:W11" si="5">SUM(T7:V7)</f>
        <v>0</v>
      </c>
      <c r="X7" s="77">
        <f>SUM(X8:X8)</f>
        <v>2000</v>
      </c>
      <c r="Y7" s="77">
        <f>SUM(Y8:Y8)</f>
        <v>1000</v>
      </c>
      <c r="Z7" s="77">
        <f>SUM(Z8:Z8)</f>
        <v>0</v>
      </c>
      <c r="AA7" s="77">
        <f>SUM(X7:Z7)</f>
        <v>3000</v>
      </c>
      <c r="AB7" s="279"/>
      <c r="AC7" s="69"/>
      <c r="AD7" t="str">
        <f t="shared" si="3"/>
        <v xml:space="preserve">OK </v>
      </c>
    </row>
    <row r="8" spans="1:34" ht="25.5" customHeight="1" x14ac:dyDescent="0.75">
      <c r="A8">
        <v>1</v>
      </c>
      <c r="C8">
        <v>2</v>
      </c>
      <c r="D8">
        <v>13</v>
      </c>
      <c r="E8">
        <v>6</v>
      </c>
      <c r="F8" s="252" t="s">
        <v>249</v>
      </c>
      <c r="G8" s="252" t="s">
        <v>249</v>
      </c>
      <c r="H8" s="275"/>
      <c r="I8" s="275"/>
      <c r="J8" s="275"/>
      <c r="K8" s="253">
        <v>659</v>
      </c>
      <c r="L8" s="253">
        <v>4</v>
      </c>
      <c r="M8" s="253">
        <v>1</v>
      </c>
      <c r="N8" s="259" t="s">
        <v>101</v>
      </c>
      <c r="O8" s="255" t="s">
        <v>102</v>
      </c>
      <c r="P8" s="256">
        <v>2000</v>
      </c>
      <c r="Q8" s="256">
        <v>1000</v>
      </c>
      <c r="R8" s="256">
        <v>0</v>
      </c>
      <c r="S8" s="256">
        <f t="shared" si="4"/>
        <v>3000</v>
      </c>
      <c r="T8" s="256"/>
      <c r="U8" s="256"/>
      <c r="V8" s="256"/>
      <c r="W8" s="256">
        <f t="shared" si="5"/>
        <v>0</v>
      </c>
      <c r="X8" s="256">
        <f>P8-T8</f>
        <v>2000</v>
      </c>
      <c r="Y8" s="256">
        <f>Q8-U8</f>
        <v>1000</v>
      </c>
      <c r="Z8" s="256">
        <f>R8-V8</f>
        <v>0</v>
      </c>
      <c r="AA8" s="256">
        <f t="shared" ref="AA8" si="6">SUM(X8:Z8)</f>
        <v>3000</v>
      </c>
      <c r="AB8" s="282">
        <v>8</v>
      </c>
      <c r="AC8" s="257" t="s">
        <v>107</v>
      </c>
      <c r="AD8" t="str">
        <f t="shared" si="3"/>
        <v xml:space="preserve">OK </v>
      </c>
    </row>
    <row r="9" spans="1:34" ht="22.5" hidden="1" customHeight="1" x14ac:dyDescent="0.75">
      <c r="D9">
        <f>MATCH(H9,[2]អនុកម្មវិធី!$E$2:$E$33,0)</f>
        <v>14</v>
      </c>
      <c r="E9">
        <v>7</v>
      </c>
      <c r="G9" s="181" t="s">
        <v>110</v>
      </c>
      <c r="H9" s="274" t="s">
        <v>319</v>
      </c>
      <c r="I9" s="274" t="s">
        <v>342</v>
      </c>
      <c r="J9" s="274" t="str">
        <f>TRIM(RIGHT(G9,LEN(G9)-SEARCH("៖",G9)))</f>
        <v>អគ្គនាយកដ្ឋានពន្ធដារ</v>
      </c>
      <c r="K9" s="182"/>
      <c r="L9" s="182"/>
      <c r="M9" s="182"/>
      <c r="N9" s="66"/>
      <c r="O9" s="106"/>
      <c r="P9" s="77">
        <f>SUM(P10:P11)</f>
        <v>1400</v>
      </c>
      <c r="Q9" s="77">
        <f>SUM(Q10:Q11)</f>
        <v>50</v>
      </c>
      <c r="R9" s="77">
        <f>SUM(R10:R11)</f>
        <v>100</v>
      </c>
      <c r="S9" s="77">
        <f t="shared" si="4"/>
        <v>1550</v>
      </c>
      <c r="T9" s="77">
        <f>SUM(T10:T11)</f>
        <v>0</v>
      </c>
      <c r="U9" s="77">
        <f>SUM(U10:U11)</f>
        <v>0</v>
      </c>
      <c r="V9" s="77">
        <f>SUM(V10:V11)</f>
        <v>0</v>
      </c>
      <c r="W9" s="77">
        <f t="shared" si="5"/>
        <v>0</v>
      </c>
      <c r="X9" s="77">
        <f>SUM(X10:X11)</f>
        <v>1400</v>
      </c>
      <c r="Y9" s="77">
        <f>SUM(Y10:Y11)</f>
        <v>50</v>
      </c>
      <c r="Z9" s="77">
        <f>SUM(Z10:Z11)</f>
        <v>100</v>
      </c>
      <c r="AA9" s="77">
        <f>SUM(X9:Z9)</f>
        <v>1550</v>
      </c>
      <c r="AB9" s="279"/>
      <c r="AC9" s="69"/>
      <c r="AD9" t="str">
        <f t="shared" si="3"/>
        <v xml:space="preserve">OK </v>
      </c>
    </row>
    <row r="10" spans="1:34" ht="50.5" x14ac:dyDescent="0.75">
      <c r="A10">
        <v>2</v>
      </c>
      <c r="C10">
        <v>2</v>
      </c>
      <c r="D10">
        <v>14</v>
      </c>
      <c r="E10">
        <v>7</v>
      </c>
      <c r="F10" s="252" t="s">
        <v>259</v>
      </c>
      <c r="G10" s="252" t="s">
        <v>259</v>
      </c>
      <c r="H10" s="275"/>
      <c r="I10" s="275"/>
      <c r="J10" s="275"/>
      <c r="K10" s="253">
        <v>492</v>
      </c>
      <c r="L10" s="253">
        <v>4</v>
      </c>
      <c r="M10" s="253">
        <v>1</v>
      </c>
      <c r="N10" s="254" t="s">
        <v>101</v>
      </c>
      <c r="O10" s="255" t="s">
        <v>102</v>
      </c>
      <c r="P10" s="256">
        <v>900</v>
      </c>
      <c r="Q10" s="256">
        <v>0</v>
      </c>
      <c r="R10" s="256">
        <v>100</v>
      </c>
      <c r="S10" s="256">
        <f t="shared" si="4"/>
        <v>1000</v>
      </c>
      <c r="T10" s="256"/>
      <c r="U10" s="256"/>
      <c r="V10" s="256"/>
      <c r="W10" s="256">
        <f t="shared" si="5"/>
        <v>0</v>
      </c>
      <c r="X10" s="256">
        <f>P10-T10</f>
        <v>900</v>
      </c>
      <c r="Y10" s="256">
        <f t="shared" ref="Y10:Z11" si="7">Q10-U10</f>
        <v>0</v>
      </c>
      <c r="Z10" s="256">
        <f t="shared" si="7"/>
        <v>100</v>
      </c>
      <c r="AA10" s="256">
        <f t="shared" ref="AA10:AA11" si="8">SUM(X10:Z10)</f>
        <v>1000</v>
      </c>
      <c r="AB10" s="282">
        <v>8</v>
      </c>
      <c r="AC10" s="257" t="s">
        <v>107</v>
      </c>
      <c r="AD10" t="str">
        <f t="shared" si="3"/>
        <v xml:space="preserve">OK </v>
      </c>
    </row>
    <row r="11" spans="1:34" ht="50.5" x14ac:dyDescent="0.75">
      <c r="A11">
        <v>3</v>
      </c>
      <c r="C11">
        <v>2</v>
      </c>
      <c r="D11">
        <v>14</v>
      </c>
      <c r="E11">
        <v>7</v>
      </c>
      <c r="F11" s="252" t="s">
        <v>262</v>
      </c>
      <c r="G11" s="252" t="s">
        <v>262</v>
      </c>
      <c r="H11" s="275"/>
      <c r="I11" s="275"/>
      <c r="J11" s="275"/>
      <c r="K11" s="253">
        <v>652</v>
      </c>
      <c r="L11" s="253">
        <v>4</v>
      </c>
      <c r="M11" s="253">
        <v>1</v>
      </c>
      <c r="N11" s="254" t="s">
        <v>101</v>
      </c>
      <c r="O11" s="255" t="s">
        <v>102</v>
      </c>
      <c r="P11" s="256">
        <v>500</v>
      </c>
      <c r="Q11" s="256">
        <v>50</v>
      </c>
      <c r="R11" s="256">
        <v>0</v>
      </c>
      <c r="S11" s="256">
        <f t="shared" si="4"/>
        <v>550</v>
      </c>
      <c r="T11" s="256"/>
      <c r="U11" s="256"/>
      <c r="V11" s="256"/>
      <c r="W11" s="256">
        <f t="shared" si="5"/>
        <v>0</v>
      </c>
      <c r="X11" s="256">
        <f>P11-T11</f>
        <v>500</v>
      </c>
      <c r="Y11" s="256">
        <f>Q11-U11</f>
        <v>50</v>
      </c>
      <c r="Z11" s="256">
        <f t="shared" si="7"/>
        <v>0</v>
      </c>
      <c r="AA11" s="256">
        <f t="shared" si="8"/>
        <v>550</v>
      </c>
      <c r="AB11" s="282">
        <v>8</v>
      </c>
      <c r="AC11" s="257" t="s">
        <v>107</v>
      </c>
      <c r="AD11" t="str">
        <f t="shared" si="3"/>
        <v xml:space="preserve">OK </v>
      </c>
    </row>
    <row r="12" spans="1:34" ht="22.5" hidden="1" customHeight="1" x14ac:dyDescent="0.75">
      <c r="C12">
        <f>MATCH(H12,[1]កម្មវិធី!$E$2:$E$6)</f>
        <v>3</v>
      </c>
      <c r="F12" s="252"/>
      <c r="G12" s="183" t="s">
        <v>264</v>
      </c>
      <c r="H12" s="273" t="s">
        <v>35</v>
      </c>
      <c r="I12" s="273" t="s">
        <v>343</v>
      </c>
      <c r="J12" s="273" t="str">
        <f>RIGHT(G12,LEN(G12)-SEARCH("៖",G12))</f>
        <v xml:space="preserve"> ការគ្រប់គ្រងចំណាយសាធារណៈ និងប្រព័ន្ធហិរញ្ញវត្ថុសាធារណៈ</v>
      </c>
      <c r="K12" s="184"/>
      <c r="L12" s="184"/>
      <c r="M12" s="184"/>
      <c r="N12" s="185"/>
      <c r="O12" s="186"/>
      <c r="P12" s="187">
        <f>P13</f>
        <v>2400</v>
      </c>
      <c r="Q12" s="187">
        <f t="shared" ref="Q12:AA12" si="9">Q13</f>
        <v>2400</v>
      </c>
      <c r="R12" s="187">
        <f t="shared" si="9"/>
        <v>1800</v>
      </c>
      <c r="S12" s="187">
        <f t="shared" si="9"/>
        <v>6600</v>
      </c>
      <c r="T12" s="187">
        <f t="shared" si="9"/>
        <v>0</v>
      </c>
      <c r="U12" s="187">
        <f t="shared" si="9"/>
        <v>0</v>
      </c>
      <c r="V12" s="187">
        <f t="shared" si="9"/>
        <v>0</v>
      </c>
      <c r="W12" s="187">
        <f t="shared" si="9"/>
        <v>0</v>
      </c>
      <c r="X12" s="187">
        <f t="shared" si="9"/>
        <v>2400</v>
      </c>
      <c r="Y12" s="187">
        <f t="shared" si="9"/>
        <v>2400</v>
      </c>
      <c r="Z12" s="187">
        <f t="shared" si="9"/>
        <v>1800</v>
      </c>
      <c r="AA12" s="187">
        <f t="shared" si="9"/>
        <v>6600</v>
      </c>
      <c r="AB12" s="278"/>
      <c r="AC12" s="188"/>
      <c r="AD12" t="str">
        <f t="shared" si="3"/>
        <v xml:space="preserve">OK </v>
      </c>
    </row>
    <row r="13" spans="1:34" ht="22.5" hidden="1" customHeight="1" x14ac:dyDescent="0.75">
      <c r="D13">
        <f>MATCH(H13,[2]អនុកម្មវិធី!$E$2:$E$33,0)</f>
        <v>21</v>
      </c>
      <c r="E13">
        <v>9</v>
      </c>
      <c r="F13" s="252"/>
      <c r="G13" s="181" t="s">
        <v>116</v>
      </c>
      <c r="H13" s="274" t="s">
        <v>320</v>
      </c>
      <c r="I13" s="274" t="s">
        <v>344</v>
      </c>
      <c r="J13" s="274" t="str">
        <f>TRIM(RIGHT(G13,LEN(G13)-SEARCH("៖",G13)))</f>
        <v>អគ្គនាយកដ្ឋានរតនាគារជាតិ</v>
      </c>
      <c r="K13" s="182"/>
      <c r="L13" s="182"/>
      <c r="M13" s="182"/>
      <c r="N13" s="66"/>
      <c r="O13" s="106"/>
      <c r="P13" s="77">
        <f>P14</f>
        <v>2400</v>
      </c>
      <c r="Q13" s="77">
        <f>Q14</f>
        <v>2400</v>
      </c>
      <c r="R13" s="77">
        <f>R14</f>
        <v>1800</v>
      </c>
      <c r="S13" s="77">
        <f>SUM(P13:R13)</f>
        <v>6600</v>
      </c>
      <c r="T13" s="77">
        <f>T14</f>
        <v>0</v>
      </c>
      <c r="U13" s="77">
        <f>U14</f>
        <v>0</v>
      </c>
      <c r="V13" s="77">
        <f>V14</f>
        <v>0</v>
      </c>
      <c r="W13" s="77">
        <f>SUM(T13:V13)</f>
        <v>0</v>
      </c>
      <c r="X13" s="77">
        <f>X14</f>
        <v>2400</v>
      </c>
      <c r="Y13" s="77">
        <f>Y14</f>
        <v>2400</v>
      </c>
      <c r="Z13" s="77">
        <f>Z14</f>
        <v>1800</v>
      </c>
      <c r="AA13" s="77">
        <f>SUM(X13:Z13)</f>
        <v>6600</v>
      </c>
      <c r="AB13" s="279"/>
      <c r="AC13" s="69"/>
      <c r="AD13" t="str">
        <f t="shared" si="3"/>
        <v xml:space="preserve">OK </v>
      </c>
    </row>
    <row r="14" spans="1:34" ht="28.5" customHeight="1" x14ac:dyDescent="0.75">
      <c r="A14">
        <v>4</v>
      </c>
      <c r="C14">
        <v>3</v>
      </c>
      <c r="D14">
        <v>21</v>
      </c>
      <c r="E14">
        <v>9</v>
      </c>
      <c r="F14" s="252" t="s">
        <v>247</v>
      </c>
      <c r="G14" s="252" t="s">
        <v>247</v>
      </c>
      <c r="H14" s="275"/>
      <c r="I14" s="275"/>
      <c r="J14" s="275"/>
      <c r="K14" s="253">
        <v>651</v>
      </c>
      <c r="L14" s="253">
        <v>4</v>
      </c>
      <c r="M14" s="253">
        <v>1</v>
      </c>
      <c r="N14" s="258" t="s">
        <v>101</v>
      </c>
      <c r="O14" s="255" t="s">
        <v>102</v>
      </c>
      <c r="P14" s="256">
        <v>2400</v>
      </c>
      <c r="Q14" s="256">
        <v>2400</v>
      </c>
      <c r="R14" s="256">
        <v>1800</v>
      </c>
      <c r="S14" s="256">
        <f>SUM(P14:R14)</f>
        <v>6600</v>
      </c>
      <c r="T14" s="256"/>
      <c r="U14" s="256"/>
      <c r="V14" s="256"/>
      <c r="W14" s="256">
        <f>SUM(T14:V14)</f>
        <v>0</v>
      </c>
      <c r="X14" s="256">
        <f>P14-T14</f>
        <v>2400</v>
      </c>
      <c r="Y14" s="256">
        <f t="shared" ref="Y14:Z14" si="10">Q14-U14</f>
        <v>2400</v>
      </c>
      <c r="Z14" s="256">
        <f t="shared" si="10"/>
        <v>1800</v>
      </c>
      <c r="AA14" s="256">
        <f t="shared" ref="AA14" si="11">SUM(X14:Z14)</f>
        <v>6600</v>
      </c>
      <c r="AB14" s="282">
        <v>8</v>
      </c>
      <c r="AC14" s="257" t="s">
        <v>107</v>
      </c>
      <c r="AD14" t="str">
        <f t="shared" si="3"/>
        <v xml:space="preserve">OK </v>
      </c>
    </row>
    <row r="15" spans="1:34" ht="22.5" hidden="1" customHeight="1" x14ac:dyDescent="0.75">
      <c r="C15">
        <f>MATCH(H15,[1]កម្មវិធី!$E$2:$E$6)</f>
        <v>4</v>
      </c>
      <c r="F15" s="252"/>
      <c r="G15" s="183" t="s">
        <v>265</v>
      </c>
      <c r="H15" s="273" t="s">
        <v>41</v>
      </c>
      <c r="I15" s="273" t="s">
        <v>345</v>
      </c>
      <c r="J15" s="273" t="str">
        <f>RIGHT(G15,LEN(G15)-SEARCH("៖",G15))</f>
        <v xml:space="preserve"> កិច្ចការរដ្ឋបាលនិងអភិវឌ្ឍស្ថាប័ន</v>
      </c>
      <c r="K15" s="184"/>
      <c r="L15" s="184"/>
      <c r="M15" s="184"/>
      <c r="N15" s="185"/>
      <c r="O15" s="186"/>
      <c r="P15" s="187">
        <f>P16</f>
        <v>4232.5</v>
      </c>
      <c r="Q15" s="187">
        <f t="shared" ref="Q15:AA15" si="12">Q16</f>
        <v>1862.5</v>
      </c>
      <c r="R15" s="187">
        <f t="shared" si="12"/>
        <v>562.5</v>
      </c>
      <c r="S15" s="187">
        <f t="shared" si="12"/>
        <v>6657.5</v>
      </c>
      <c r="T15" s="187">
        <f t="shared" si="12"/>
        <v>0</v>
      </c>
      <c r="U15" s="187">
        <f t="shared" si="12"/>
        <v>0</v>
      </c>
      <c r="V15" s="187">
        <f t="shared" si="12"/>
        <v>0</v>
      </c>
      <c r="W15" s="187">
        <f t="shared" si="12"/>
        <v>0</v>
      </c>
      <c r="X15" s="187">
        <f t="shared" si="12"/>
        <v>4232.5</v>
      </c>
      <c r="Y15" s="187">
        <f t="shared" si="12"/>
        <v>1862.5</v>
      </c>
      <c r="Z15" s="187">
        <f t="shared" si="12"/>
        <v>562.5</v>
      </c>
      <c r="AA15" s="187">
        <f t="shared" si="12"/>
        <v>6657.5</v>
      </c>
      <c r="AB15" s="278"/>
      <c r="AC15" s="188"/>
      <c r="AD15" t="str">
        <f t="shared" si="3"/>
        <v xml:space="preserve">OK </v>
      </c>
    </row>
    <row r="16" spans="1:34" s="152" customFormat="1" ht="22.5" hidden="1" customHeight="1" x14ac:dyDescent="0.75">
      <c r="C16"/>
      <c r="D16">
        <f>MATCH(H16,[2]អនុកម្មវិធី!$E$2:$E$33,0)</f>
        <v>30</v>
      </c>
      <c r="E16">
        <v>28</v>
      </c>
      <c r="F16" s="252"/>
      <c r="G16" s="181" t="s">
        <v>123</v>
      </c>
      <c r="H16" s="274" t="s">
        <v>321</v>
      </c>
      <c r="I16" s="274" t="s">
        <v>347</v>
      </c>
      <c r="J16" s="274" t="str">
        <f>TRIM(RIGHT(G16,LEN(G16)-SEARCH("៖",G16)))</f>
        <v>មន្ទីរសេដ្ឋកិច្ចនិងហិរញ្ញវត្ថុរាជធានី ខេត្ត</v>
      </c>
      <c r="K16" s="206"/>
      <c r="L16" s="206"/>
      <c r="M16" s="206"/>
      <c r="N16" s="189"/>
      <c r="O16" s="207"/>
      <c r="P16" s="68">
        <f t="shared" ref="P16:AA16" si="13">P17+P24</f>
        <v>4232.5</v>
      </c>
      <c r="Q16" s="68">
        <f t="shared" si="13"/>
        <v>1862.5</v>
      </c>
      <c r="R16" s="68">
        <f t="shared" si="13"/>
        <v>562.5</v>
      </c>
      <c r="S16" s="68">
        <f t="shared" si="13"/>
        <v>6657.5</v>
      </c>
      <c r="T16" s="68">
        <f t="shared" si="13"/>
        <v>0</v>
      </c>
      <c r="U16" s="68">
        <f t="shared" si="13"/>
        <v>0</v>
      </c>
      <c r="V16" s="68">
        <f t="shared" si="13"/>
        <v>0</v>
      </c>
      <c r="W16" s="68">
        <f t="shared" si="13"/>
        <v>0</v>
      </c>
      <c r="X16" s="68">
        <f t="shared" si="13"/>
        <v>4232.5</v>
      </c>
      <c r="Y16" s="68">
        <f t="shared" si="13"/>
        <v>1862.5</v>
      </c>
      <c r="Z16" s="68">
        <f t="shared" si="13"/>
        <v>562.5</v>
      </c>
      <c r="AA16" s="68">
        <f t="shared" si="13"/>
        <v>6657.5</v>
      </c>
      <c r="AB16" s="280"/>
      <c r="AC16" s="208"/>
      <c r="AD16" s="152" t="str">
        <f t="shared" si="3"/>
        <v xml:space="preserve">OK </v>
      </c>
    </row>
    <row r="17" spans="1:34" s="152" customFormat="1" ht="50.5" x14ac:dyDescent="0.75">
      <c r="A17" s="152">
        <v>5</v>
      </c>
      <c r="C17">
        <v>4</v>
      </c>
      <c r="D17">
        <v>30</v>
      </c>
      <c r="E17">
        <v>28</v>
      </c>
      <c r="F17" s="252" t="s">
        <v>295</v>
      </c>
      <c r="G17" s="252" t="s">
        <v>295</v>
      </c>
      <c r="H17" s="275"/>
      <c r="I17" s="275"/>
      <c r="J17" s="275"/>
      <c r="K17" s="253">
        <v>641</v>
      </c>
      <c r="L17" s="253">
        <v>4</v>
      </c>
      <c r="M17" s="253">
        <v>1</v>
      </c>
      <c r="N17" s="254" t="s">
        <v>101</v>
      </c>
      <c r="O17" s="255" t="s">
        <v>102</v>
      </c>
      <c r="P17" s="256">
        <f t="shared" ref="P17:AA17" si="14">SUM(P18:P23)</f>
        <v>1232.5</v>
      </c>
      <c r="Q17" s="256">
        <f t="shared" si="14"/>
        <v>362.5</v>
      </c>
      <c r="R17" s="256">
        <f t="shared" si="14"/>
        <v>62.5</v>
      </c>
      <c r="S17" s="256">
        <f t="shared" si="14"/>
        <v>1657.5</v>
      </c>
      <c r="T17" s="256">
        <f t="shared" si="14"/>
        <v>0</v>
      </c>
      <c r="U17" s="256">
        <f t="shared" si="14"/>
        <v>0</v>
      </c>
      <c r="V17" s="256">
        <f t="shared" si="14"/>
        <v>0</v>
      </c>
      <c r="W17" s="256">
        <f t="shared" si="14"/>
        <v>0</v>
      </c>
      <c r="X17" s="256">
        <f t="shared" si="14"/>
        <v>1232.5</v>
      </c>
      <c r="Y17" s="256">
        <f t="shared" si="14"/>
        <v>362.5</v>
      </c>
      <c r="Z17" s="256">
        <f t="shared" si="14"/>
        <v>62.5</v>
      </c>
      <c r="AA17" s="256">
        <f t="shared" si="14"/>
        <v>1657.5</v>
      </c>
      <c r="AB17" s="282">
        <v>8</v>
      </c>
      <c r="AC17" s="257" t="s">
        <v>107</v>
      </c>
      <c r="AD17" t="str">
        <f t="shared" si="3"/>
        <v xml:space="preserve">OK </v>
      </c>
    </row>
    <row r="18" spans="1:34" ht="27.75" hidden="1" customHeight="1" x14ac:dyDescent="0.75">
      <c r="B18" s="152">
        <v>5</v>
      </c>
      <c r="E18">
        <v>1</v>
      </c>
      <c r="F18" s="252"/>
      <c r="G18" s="107" t="s">
        <v>274</v>
      </c>
      <c r="H18" s="276"/>
      <c r="I18" s="276"/>
      <c r="J18" s="276"/>
      <c r="K18" s="402" t="s">
        <v>268</v>
      </c>
      <c r="L18" s="402"/>
      <c r="M18" s="402"/>
      <c r="N18" s="402"/>
      <c r="O18" s="402"/>
      <c r="P18" s="77">
        <v>62.5</v>
      </c>
      <c r="Q18" s="77">
        <v>62.5</v>
      </c>
      <c r="R18" s="77">
        <v>62.5</v>
      </c>
      <c r="S18" s="77">
        <f t="shared" ref="S18:S21" si="15">SUM(P18:R18)</f>
        <v>187.5</v>
      </c>
      <c r="T18" s="77">
        <v>0</v>
      </c>
      <c r="U18" s="77">
        <v>0</v>
      </c>
      <c r="V18" s="77">
        <v>0</v>
      </c>
      <c r="W18" s="77">
        <f>SUM(T18:V18)</f>
        <v>0</v>
      </c>
      <c r="X18" s="77">
        <f>P18-T18</f>
        <v>62.5</v>
      </c>
      <c r="Y18" s="77">
        <f t="shared" ref="Y18:Z19" si="16">Q18-U18</f>
        <v>62.5</v>
      </c>
      <c r="Z18" s="77">
        <f t="shared" si="16"/>
        <v>62.5</v>
      </c>
      <c r="AA18" s="77">
        <f t="shared" ref="AA18:AA21" si="17">SUM(X18:Z18)</f>
        <v>187.5</v>
      </c>
      <c r="AB18" s="279"/>
      <c r="AC18" s="69"/>
      <c r="AD18" t="str">
        <f t="shared" si="3"/>
        <v xml:space="preserve">OK </v>
      </c>
      <c r="AH18">
        <f>62500*3</f>
        <v>187500</v>
      </c>
    </row>
    <row r="19" spans="1:34" ht="27.75" hidden="1" customHeight="1" x14ac:dyDescent="0.75">
      <c r="B19" s="152">
        <v>5</v>
      </c>
      <c r="E19">
        <v>2</v>
      </c>
      <c r="F19" s="252"/>
      <c r="G19" s="107" t="s">
        <v>270</v>
      </c>
      <c r="H19" s="276"/>
      <c r="I19" s="276"/>
      <c r="J19" s="276"/>
      <c r="K19" s="402" t="s">
        <v>269</v>
      </c>
      <c r="L19" s="402"/>
      <c r="M19" s="402"/>
      <c r="N19" s="402"/>
      <c r="O19" s="402"/>
      <c r="P19" s="77">
        <v>300</v>
      </c>
      <c r="Q19" s="77">
        <v>300</v>
      </c>
      <c r="R19" s="77"/>
      <c r="S19" s="77">
        <f t="shared" si="15"/>
        <v>600</v>
      </c>
      <c r="T19" s="77"/>
      <c r="U19" s="77"/>
      <c r="V19" s="77"/>
      <c r="W19" s="77">
        <f t="shared" ref="W19:W21" si="18">SUM(T19:V19)</f>
        <v>0</v>
      </c>
      <c r="X19" s="77">
        <f t="shared" ref="X19:Z23" si="19">P19-T19</f>
        <v>300</v>
      </c>
      <c r="Y19" s="77">
        <f t="shared" si="16"/>
        <v>300</v>
      </c>
      <c r="Z19" s="77">
        <f t="shared" si="16"/>
        <v>0</v>
      </c>
      <c r="AA19" s="77">
        <f t="shared" si="17"/>
        <v>600</v>
      </c>
      <c r="AB19" s="279"/>
      <c r="AC19" s="69"/>
      <c r="AD19" t="str">
        <f t="shared" si="3"/>
        <v xml:space="preserve">OK </v>
      </c>
    </row>
    <row r="20" spans="1:34" ht="27.75" hidden="1" customHeight="1" x14ac:dyDescent="0.75">
      <c r="B20" s="152">
        <v>5</v>
      </c>
      <c r="E20">
        <v>3</v>
      </c>
      <c r="F20" s="252"/>
      <c r="G20" s="107" t="s">
        <v>275</v>
      </c>
      <c r="H20" s="276"/>
      <c r="I20" s="276"/>
      <c r="J20" s="276"/>
      <c r="K20" s="402" t="s">
        <v>271</v>
      </c>
      <c r="L20" s="402"/>
      <c r="M20" s="402"/>
      <c r="N20" s="402"/>
      <c r="O20" s="402"/>
      <c r="P20" s="77">
        <v>235</v>
      </c>
      <c r="Q20" s="77"/>
      <c r="R20" s="260"/>
      <c r="S20" s="77">
        <f t="shared" si="15"/>
        <v>235</v>
      </c>
      <c r="T20" s="77"/>
      <c r="U20" s="77"/>
      <c r="V20" s="77"/>
      <c r="W20" s="77">
        <f t="shared" si="18"/>
        <v>0</v>
      </c>
      <c r="X20" s="77">
        <f t="shared" si="19"/>
        <v>235</v>
      </c>
      <c r="Y20" s="77">
        <f t="shared" si="19"/>
        <v>0</v>
      </c>
      <c r="Z20" s="77">
        <f t="shared" si="19"/>
        <v>0</v>
      </c>
      <c r="AA20" s="77">
        <f t="shared" si="17"/>
        <v>235</v>
      </c>
      <c r="AB20" s="279"/>
      <c r="AC20" s="69"/>
      <c r="AD20" t="str">
        <f t="shared" si="3"/>
        <v xml:space="preserve">OK </v>
      </c>
    </row>
    <row r="21" spans="1:34" ht="27.75" hidden="1" customHeight="1" x14ac:dyDescent="0.75">
      <c r="B21" s="152">
        <v>5</v>
      </c>
      <c r="E21">
        <v>4</v>
      </c>
      <c r="F21" s="252"/>
      <c r="G21" s="107" t="s">
        <v>276</v>
      </c>
      <c r="H21" s="276"/>
      <c r="I21" s="276"/>
      <c r="J21" s="276"/>
      <c r="K21" s="402"/>
      <c r="L21" s="402"/>
      <c r="M21" s="402"/>
      <c r="N21" s="402"/>
      <c r="O21" s="402"/>
      <c r="P21" s="77">
        <v>135</v>
      </c>
      <c r="Q21" s="77"/>
      <c r="R21" s="260"/>
      <c r="S21" s="77">
        <f t="shared" si="15"/>
        <v>135</v>
      </c>
      <c r="T21" s="77"/>
      <c r="U21" s="77"/>
      <c r="V21" s="77"/>
      <c r="W21" s="77">
        <f t="shared" si="18"/>
        <v>0</v>
      </c>
      <c r="X21" s="77">
        <f t="shared" si="19"/>
        <v>135</v>
      </c>
      <c r="Y21" s="77">
        <f t="shared" si="19"/>
        <v>0</v>
      </c>
      <c r="Z21" s="77">
        <f t="shared" si="19"/>
        <v>0</v>
      </c>
      <c r="AA21" s="77">
        <f t="shared" si="17"/>
        <v>135</v>
      </c>
      <c r="AB21" s="279"/>
      <c r="AC21" s="69"/>
      <c r="AD21" t="str">
        <f t="shared" si="3"/>
        <v xml:space="preserve">OK </v>
      </c>
    </row>
    <row r="22" spans="1:34" ht="27.75" hidden="1" customHeight="1" x14ac:dyDescent="0.75">
      <c r="B22" s="152">
        <v>5</v>
      </c>
      <c r="E22">
        <v>5</v>
      </c>
      <c r="F22" s="252"/>
      <c r="G22" s="107" t="s">
        <v>282</v>
      </c>
      <c r="H22" s="276"/>
      <c r="I22" s="276"/>
      <c r="J22" s="276"/>
      <c r="K22" s="402" t="s">
        <v>272</v>
      </c>
      <c r="L22" s="402"/>
      <c r="M22" s="402"/>
      <c r="N22" s="402"/>
      <c r="O22" s="402"/>
      <c r="P22" s="77">
        <v>125</v>
      </c>
      <c r="Q22" s="77"/>
      <c r="R22" s="260"/>
      <c r="S22" s="77">
        <f>SUM(P22:R22)</f>
        <v>125</v>
      </c>
      <c r="T22" s="77"/>
      <c r="U22" s="77"/>
      <c r="V22" s="77"/>
      <c r="W22" s="77">
        <f>SUM(T22:V22)</f>
        <v>0</v>
      </c>
      <c r="X22" s="77">
        <f t="shared" si="19"/>
        <v>125</v>
      </c>
      <c r="Y22" s="77">
        <f t="shared" si="19"/>
        <v>0</v>
      </c>
      <c r="Z22" s="77">
        <f t="shared" si="19"/>
        <v>0</v>
      </c>
      <c r="AA22" s="77">
        <f>SUM(X22:Z22)</f>
        <v>125</v>
      </c>
      <c r="AB22" s="279"/>
      <c r="AC22" s="69"/>
      <c r="AD22" t="str">
        <f>IF(SUM(S22,AA22), "OK ", "-")</f>
        <v xml:space="preserve">OK </v>
      </c>
    </row>
    <row r="23" spans="1:34" ht="27.75" hidden="1" customHeight="1" x14ac:dyDescent="0.75">
      <c r="B23" s="152">
        <v>5</v>
      </c>
      <c r="E23">
        <v>6</v>
      </c>
      <c r="F23" s="252"/>
      <c r="G23" s="107" t="s">
        <v>277</v>
      </c>
      <c r="H23" s="276"/>
      <c r="I23" s="276"/>
      <c r="J23" s="276"/>
      <c r="K23" s="402" t="s">
        <v>273</v>
      </c>
      <c r="L23" s="402"/>
      <c r="M23" s="402"/>
      <c r="N23" s="402"/>
      <c r="O23" s="402"/>
      <c r="P23" s="77">
        <v>375</v>
      </c>
      <c r="Q23" s="77"/>
      <c r="R23" s="77"/>
      <c r="S23" s="77">
        <f t="shared" ref="S23" si="20">SUM(P23:R23)</f>
        <v>375</v>
      </c>
      <c r="T23" s="77"/>
      <c r="U23" s="77"/>
      <c r="V23" s="77"/>
      <c r="W23" s="77">
        <f t="shared" ref="W23" si="21">SUM(T23:V23)</f>
        <v>0</v>
      </c>
      <c r="X23" s="77">
        <f t="shared" si="19"/>
        <v>375</v>
      </c>
      <c r="Y23" s="77">
        <f t="shared" si="19"/>
        <v>0</v>
      </c>
      <c r="Z23" s="77">
        <f t="shared" si="19"/>
        <v>0</v>
      </c>
      <c r="AA23" s="77">
        <f t="shared" ref="AA23" si="22">SUM(X23:Z23)</f>
        <v>375</v>
      </c>
      <c r="AB23" s="279"/>
      <c r="AC23" s="69"/>
      <c r="AD23" t="str">
        <f>IF(SUM(S23,AA23), "OK ", "-")</f>
        <v xml:space="preserve">OK </v>
      </c>
    </row>
    <row r="24" spans="1:34" s="152" customFormat="1" ht="75.75" customHeight="1" x14ac:dyDescent="0.75">
      <c r="A24" s="152">
        <v>6</v>
      </c>
      <c r="C24">
        <v>4</v>
      </c>
      <c r="D24">
        <v>30</v>
      </c>
      <c r="E24">
        <v>28</v>
      </c>
      <c r="F24" s="252" t="s">
        <v>291</v>
      </c>
      <c r="G24" s="252" t="s">
        <v>291</v>
      </c>
      <c r="H24" s="275"/>
      <c r="I24" s="275"/>
      <c r="J24" s="275"/>
      <c r="K24" s="253">
        <v>507</v>
      </c>
      <c r="L24" s="253"/>
      <c r="M24" s="253"/>
      <c r="N24" s="254" t="s">
        <v>101</v>
      </c>
      <c r="O24" s="255" t="s">
        <v>102</v>
      </c>
      <c r="P24" s="256">
        <f>SUM(P25:P26)</f>
        <v>3000</v>
      </c>
      <c r="Q24" s="256">
        <f t="shared" ref="Q24:AA24" si="23">SUM(Q25:Q26)</f>
        <v>1500</v>
      </c>
      <c r="R24" s="256">
        <f t="shared" si="23"/>
        <v>500</v>
      </c>
      <c r="S24" s="256">
        <f t="shared" si="23"/>
        <v>5000</v>
      </c>
      <c r="T24" s="256">
        <f t="shared" si="23"/>
        <v>0</v>
      </c>
      <c r="U24" s="256">
        <f t="shared" si="23"/>
        <v>0</v>
      </c>
      <c r="V24" s="256">
        <f t="shared" si="23"/>
        <v>0</v>
      </c>
      <c r="W24" s="256">
        <f t="shared" si="23"/>
        <v>0</v>
      </c>
      <c r="X24" s="256">
        <f t="shared" si="23"/>
        <v>3000</v>
      </c>
      <c r="Y24" s="256">
        <f t="shared" si="23"/>
        <v>1500</v>
      </c>
      <c r="Z24" s="256">
        <f t="shared" si="23"/>
        <v>500</v>
      </c>
      <c r="AA24" s="256">
        <f t="shared" si="23"/>
        <v>5000</v>
      </c>
      <c r="AB24" s="282">
        <v>8</v>
      </c>
      <c r="AC24" s="257" t="s">
        <v>107</v>
      </c>
      <c r="AD24" t="str">
        <f t="shared" ref="AD24:AD26" si="24">IF(SUM(S24,AA24), "OK ", "-")</f>
        <v xml:space="preserve">OK </v>
      </c>
    </row>
    <row r="25" spans="1:34" ht="22.5" hidden="1" customHeight="1" x14ac:dyDescent="0.75">
      <c r="B25" s="152">
        <v>6</v>
      </c>
      <c r="E25">
        <v>1</v>
      </c>
      <c r="G25" s="107" t="s">
        <v>278</v>
      </c>
      <c r="H25" s="276"/>
      <c r="I25" s="276"/>
      <c r="J25" s="276"/>
      <c r="K25" s="402" t="s">
        <v>279</v>
      </c>
      <c r="L25" s="402"/>
      <c r="M25" s="402"/>
      <c r="N25" s="402"/>
      <c r="O25" s="402"/>
      <c r="P25" s="77">
        <v>2500</v>
      </c>
      <c r="Q25" s="77">
        <v>1000</v>
      </c>
      <c r="R25" s="77">
        <v>500</v>
      </c>
      <c r="S25" s="77">
        <f t="shared" ref="S25" si="25">SUM(P25:R25)</f>
        <v>4000</v>
      </c>
      <c r="T25" s="77"/>
      <c r="U25" s="77"/>
      <c r="V25" s="77"/>
      <c r="W25" s="77">
        <f t="shared" ref="W25:W26" si="26">SUM(T25:V25)</f>
        <v>0</v>
      </c>
      <c r="X25" s="77">
        <f t="shared" ref="X25:Z26" si="27">P25-T25</f>
        <v>2500</v>
      </c>
      <c r="Y25" s="77">
        <f t="shared" si="27"/>
        <v>1000</v>
      </c>
      <c r="Z25" s="77">
        <f t="shared" si="27"/>
        <v>500</v>
      </c>
      <c r="AA25" s="77">
        <f t="shared" ref="AA25:AA26" si="28">SUM(X25:Z25)</f>
        <v>4000</v>
      </c>
      <c r="AB25" s="279"/>
      <c r="AC25" s="69"/>
      <c r="AD25" t="str">
        <f t="shared" si="24"/>
        <v xml:space="preserve">OK </v>
      </c>
    </row>
    <row r="26" spans="1:34" ht="51.25" hidden="1" thickBot="1" x14ac:dyDescent="0.9">
      <c r="B26" s="152">
        <v>6</v>
      </c>
      <c r="E26">
        <v>2</v>
      </c>
      <c r="G26" s="109" t="s">
        <v>281</v>
      </c>
      <c r="H26" s="277"/>
      <c r="I26" s="277"/>
      <c r="J26" s="277"/>
      <c r="K26" s="401" t="s">
        <v>280</v>
      </c>
      <c r="L26" s="401"/>
      <c r="M26" s="401"/>
      <c r="N26" s="401"/>
      <c r="O26" s="401"/>
      <c r="P26" s="93">
        <v>500</v>
      </c>
      <c r="Q26" s="93">
        <v>500</v>
      </c>
      <c r="R26" s="93"/>
      <c r="S26" s="93">
        <f>SUM(P26:R26)</f>
        <v>1000</v>
      </c>
      <c r="T26" s="93"/>
      <c r="U26" s="93"/>
      <c r="V26" s="93"/>
      <c r="W26" s="93">
        <f t="shared" si="26"/>
        <v>0</v>
      </c>
      <c r="X26" s="93">
        <f>P26-T26</f>
        <v>500</v>
      </c>
      <c r="Y26" s="93">
        <f t="shared" si="27"/>
        <v>500</v>
      </c>
      <c r="Z26" s="93">
        <f t="shared" si="27"/>
        <v>0</v>
      </c>
      <c r="AA26" s="93">
        <f t="shared" si="28"/>
        <v>1000</v>
      </c>
      <c r="AB26" s="281"/>
      <c r="AC26" s="94"/>
      <c r="AD26" t="str">
        <f t="shared" si="24"/>
        <v xml:space="preserve">OK </v>
      </c>
    </row>
  </sheetData>
  <autoFilter ref="A5:AH26" xr:uid="{7E93A59E-1471-4847-9544-0F57BF915DFD}">
    <filterColumn colId="0">
      <customFilters>
        <customFilter operator="notEqual" val=" "/>
      </customFilters>
    </filterColumn>
  </autoFilter>
  <mergeCells count="8">
    <mergeCell ref="A4:AC4"/>
    <mergeCell ref="K26:O26"/>
    <mergeCell ref="K18:O18"/>
    <mergeCell ref="K19:O19"/>
    <mergeCell ref="K20:O21"/>
    <mergeCell ref="K22:O22"/>
    <mergeCell ref="K23:O23"/>
    <mergeCell ref="K25:O25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34AF1-A8B3-4E49-9531-C845A519F981}">
  <sheetPr filterMode="1">
    <tabColor rgb="FF00B050"/>
  </sheetPr>
  <dimension ref="A1:AG22"/>
  <sheetViews>
    <sheetView showZeros="0" zoomScale="90" zoomScaleNormal="90" workbookViewId="0">
      <selection activeCell="E22" sqref="E22"/>
    </sheetView>
  </sheetViews>
  <sheetFormatPr defaultRowHeight="27.5" x14ac:dyDescent="2.5"/>
  <cols>
    <col min="1" max="1" width="4.81640625" customWidth="1"/>
    <col min="2" max="2" width="17.5" customWidth="1"/>
    <col min="3" max="3" width="17.04296875" customWidth="1"/>
    <col min="4" max="4" width="14.453125" customWidth="1"/>
    <col min="5" max="5" width="13.08984375" customWidth="1"/>
    <col min="6" max="6" width="43.58984375" customWidth="1"/>
    <col min="7" max="7" width="46.40625" customWidth="1"/>
    <col min="8" max="8" width="20.1328125" customWidth="1"/>
    <col min="9" max="9" width="53" customWidth="1"/>
    <col min="10" max="10" width="9.7265625" customWidth="1"/>
    <col min="11" max="11" width="13.76953125" customWidth="1"/>
    <col min="12" max="12" width="12.40625" customWidth="1"/>
    <col min="13" max="13" width="13.54296875" style="40" customWidth="1"/>
    <col min="14" max="14" width="20.2265625" style="41" customWidth="1"/>
    <col min="15" max="17" width="17.31640625" customWidth="1"/>
    <col min="18" max="18" width="9.26953125" customWidth="1"/>
    <col min="19" max="21" width="12.1328125" customWidth="1"/>
    <col min="22" max="22" width="14.1328125" customWidth="1"/>
    <col min="23" max="23" width="12.54296875" customWidth="1"/>
    <col min="24" max="25" width="8.54296875" customWidth="1"/>
    <col min="26" max="27" width="9.86328125" customWidth="1"/>
    <col min="28" max="28" width="14.453125" style="41" customWidth="1"/>
    <col min="33" max="33" width="20.86328125" customWidth="1"/>
  </cols>
  <sheetData>
    <row r="1" spans="1:33" ht="25" customHeight="1" x14ac:dyDescent="2.5">
      <c r="A1" t="s">
        <v>297</v>
      </c>
      <c r="B1" t="s">
        <v>331</v>
      </c>
      <c r="C1" t="s">
        <v>317</v>
      </c>
      <c r="D1" t="s">
        <v>313</v>
      </c>
      <c r="E1" t="s">
        <v>316</v>
      </c>
      <c r="F1" t="s">
        <v>298</v>
      </c>
      <c r="G1" t="s">
        <v>299</v>
      </c>
      <c r="H1" t="s">
        <v>314</v>
      </c>
      <c r="I1" t="s">
        <v>314</v>
      </c>
      <c r="J1" t="s">
        <v>300</v>
      </c>
      <c r="K1" t="s">
        <v>301</v>
      </c>
      <c r="L1" t="s">
        <v>302</v>
      </c>
      <c r="M1" s="40" t="s">
        <v>329</v>
      </c>
      <c r="N1" s="41" t="s">
        <v>330</v>
      </c>
      <c r="O1" t="s">
        <v>303</v>
      </c>
      <c r="P1" t="s">
        <v>304</v>
      </c>
      <c r="Q1" t="s">
        <v>305</v>
      </c>
      <c r="S1" t="s">
        <v>307</v>
      </c>
      <c r="T1" t="s">
        <v>306</v>
      </c>
      <c r="U1" t="s">
        <v>308</v>
      </c>
      <c r="W1" s="269" t="s">
        <v>309</v>
      </c>
      <c r="X1" s="269" t="s">
        <v>311</v>
      </c>
      <c r="Y1" s="269" t="s">
        <v>310</v>
      </c>
      <c r="AA1" s="269" t="s">
        <v>332</v>
      </c>
      <c r="AB1" s="268" t="s">
        <v>333</v>
      </c>
    </row>
    <row r="2" spans="1:33" ht="22.5" hidden="1" customHeight="1" x14ac:dyDescent="0.75">
      <c r="C2">
        <f>MATCH(H2,[1]កម្មវិធី!$E$2:$E$6)</f>
        <v>2</v>
      </c>
      <c r="G2" s="183" t="s">
        <v>263</v>
      </c>
      <c r="H2" s="273" t="s">
        <v>31</v>
      </c>
      <c r="I2" s="273" t="str">
        <f>RIGHT(G2,LEN(G2)-SEARCH("៖",G2))</f>
        <v xml:space="preserve"> ការគ្រប់គ្រងចំណូលសាធារណៈ និងទ្រព្យសម្បត្តិរដ្ឋ</v>
      </c>
      <c r="J2" s="184"/>
      <c r="K2" s="184"/>
      <c r="L2" s="184"/>
      <c r="M2" s="185"/>
      <c r="N2" s="186"/>
      <c r="O2" s="187">
        <f t="shared" ref="O2:Z2" si="0">O3+O5</f>
        <v>3400</v>
      </c>
      <c r="P2" s="187">
        <f t="shared" si="0"/>
        <v>1050</v>
      </c>
      <c r="Q2" s="187">
        <f t="shared" si="0"/>
        <v>100</v>
      </c>
      <c r="R2" s="187">
        <f t="shared" si="0"/>
        <v>4550</v>
      </c>
      <c r="S2" s="187">
        <f t="shared" si="0"/>
        <v>0</v>
      </c>
      <c r="T2" s="187">
        <f t="shared" si="0"/>
        <v>0</v>
      </c>
      <c r="U2" s="187">
        <f t="shared" si="0"/>
        <v>0</v>
      </c>
      <c r="V2" s="187">
        <f t="shared" si="0"/>
        <v>0</v>
      </c>
      <c r="W2" s="187">
        <f t="shared" si="0"/>
        <v>3400</v>
      </c>
      <c r="X2" s="187">
        <f t="shared" si="0"/>
        <v>1050</v>
      </c>
      <c r="Y2" s="187">
        <f t="shared" si="0"/>
        <v>100</v>
      </c>
      <c r="Z2" s="187">
        <f t="shared" si="0"/>
        <v>4550</v>
      </c>
      <c r="AA2" s="278"/>
      <c r="AB2" s="188"/>
      <c r="AC2" t="str">
        <f t="shared" ref="AC2:AC17" si="1">IF(SUM(R2,Z2), "OK ", "-")</f>
        <v xml:space="preserve">OK </v>
      </c>
      <c r="AG2" s="172">
        <f>800000000/4000</f>
        <v>200000</v>
      </c>
    </row>
    <row r="3" spans="1:33" ht="22.5" hidden="1" customHeight="1" x14ac:dyDescent="0.75">
      <c r="D3">
        <f>MATCH(H3,[2]អនុកម្មវិធី!$E$2:$E$33,0)</f>
        <v>13</v>
      </c>
      <c r="G3" s="181" t="s">
        <v>315</v>
      </c>
      <c r="H3" s="274" t="s">
        <v>318</v>
      </c>
      <c r="I3" s="274" t="str">
        <f>RIGHT(G3,LEN(G3)-SEARCH("៖",G3))</f>
        <v xml:space="preserve"> អគ្គនាយកដ្ឋានគយនិងរដ្ឋាករកម្ពុជា</v>
      </c>
      <c r="J3" s="182"/>
      <c r="K3" s="182"/>
      <c r="L3" s="182"/>
      <c r="M3" s="66"/>
      <c r="N3" s="106"/>
      <c r="O3" s="77">
        <f>SUM(O4:O4)</f>
        <v>2000</v>
      </c>
      <c r="P3" s="77">
        <f>SUM(P4:P4)</f>
        <v>1000</v>
      </c>
      <c r="Q3" s="77">
        <f>SUM(Q4:Q4)</f>
        <v>0</v>
      </c>
      <c r="R3" s="77">
        <f t="shared" ref="R3:R7" si="2">SUM(O3:Q3)</f>
        <v>3000</v>
      </c>
      <c r="S3" s="77">
        <f>SUM(S4:S4)</f>
        <v>0</v>
      </c>
      <c r="T3" s="77">
        <f>SUM(T4:T4)</f>
        <v>0</v>
      </c>
      <c r="U3" s="77">
        <f>SUM(U4:U4)</f>
        <v>0</v>
      </c>
      <c r="V3" s="77">
        <f t="shared" ref="V3:V7" si="3">SUM(S3:U3)</f>
        <v>0</v>
      </c>
      <c r="W3" s="77">
        <f>SUM(W4:W4)</f>
        <v>2000</v>
      </c>
      <c r="X3" s="77">
        <f>SUM(X4:X4)</f>
        <v>1000</v>
      </c>
      <c r="Y3" s="77">
        <f>SUM(Y4:Y4)</f>
        <v>0</v>
      </c>
      <c r="Z3" s="77">
        <f>SUM(W3:Y3)</f>
        <v>3000</v>
      </c>
      <c r="AA3" s="279"/>
      <c r="AB3" s="69"/>
      <c r="AC3" t="str">
        <f t="shared" si="1"/>
        <v xml:space="preserve">OK </v>
      </c>
    </row>
    <row r="4" spans="1:33" ht="25.5" hidden="1" customHeight="1" x14ac:dyDescent="0.75">
      <c r="A4">
        <v>1</v>
      </c>
      <c r="C4">
        <v>2</v>
      </c>
      <c r="D4">
        <v>13</v>
      </c>
      <c r="F4" s="252" t="s">
        <v>249</v>
      </c>
      <c r="G4" s="252" t="s">
        <v>249</v>
      </c>
      <c r="H4" s="275"/>
      <c r="I4" s="275"/>
      <c r="J4" s="253">
        <v>659</v>
      </c>
      <c r="K4" s="253">
        <v>4</v>
      </c>
      <c r="L4" s="253">
        <v>1</v>
      </c>
      <c r="M4" s="259" t="s">
        <v>101</v>
      </c>
      <c r="N4" s="255" t="s">
        <v>102</v>
      </c>
      <c r="O4" s="256">
        <v>2000</v>
      </c>
      <c r="P4" s="256">
        <v>1000</v>
      </c>
      <c r="Q4" s="256">
        <v>0</v>
      </c>
      <c r="R4" s="256">
        <f t="shared" si="2"/>
        <v>3000</v>
      </c>
      <c r="S4" s="256"/>
      <c r="T4" s="256"/>
      <c r="U4" s="256"/>
      <c r="V4" s="256">
        <f t="shared" si="3"/>
        <v>0</v>
      </c>
      <c r="W4" s="256">
        <f>O4-S4</f>
        <v>2000</v>
      </c>
      <c r="X4" s="256">
        <f>P4-T4</f>
        <v>1000</v>
      </c>
      <c r="Y4" s="256">
        <f>Q4-U4</f>
        <v>0</v>
      </c>
      <c r="Z4" s="256">
        <f t="shared" ref="Z4" si="4">SUM(W4:Y4)</f>
        <v>3000</v>
      </c>
      <c r="AA4" s="282">
        <v>8</v>
      </c>
      <c r="AB4" s="257" t="s">
        <v>107</v>
      </c>
      <c r="AC4" t="str">
        <f t="shared" si="1"/>
        <v xml:space="preserve">OK </v>
      </c>
    </row>
    <row r="5" spans="1:33" ht="22.5" hidden="1" customHeight="1" x14ac:dyDescent="0.75">
      <c r="D5">
        <f>MATCH(H5,[2]អនុកម្មវិធី!$E$2:$E$33,0)</f>
        <v>14</v>
      </c>
      <c r="G5" s="181" t="s">
        <v>110</v>
      </c>
      <c r="H5" s="274" t="s">
        <v>319</v>
      </c>
      <c r="I5" s="274" t="str">
        <f>RIGHT(G5,LEN(G5)-SEARCH("៖",G5))</f>
        <v xml:space="preserve"> អគ្គនាយកដ្ឋានពន្ធដារ</v>
      </c>
      <c r="J5" s="182"/>
      <c r="K5" s="182"/>
      <c r="L5" s="182"/>
      <c r="M5" s="66"/>
      <c r="N5" s="106"/>
      <c r="O5" s="77">
        <f>SUM(O6:O7)</f>
        <v>1400</v>
      </c>
      <c r="P5" s="77">
        <f>SUM(P6:P7)</f>
        <v>50</v>
      </c>
      <c r="Q5" s="77">
        <f>SUM(Q6:Q7)</f>
        <v>100</v>
      </c>
      <c r="R5" s="77">
        <f t="shared" si="2"/>
        <v>1550</v>
      </c>
      <c r="S5" s="77">
        <f>SUM(S6:S7)</f>
        <v>0</v>
      </c>
      <c r="T5" s="77">
        <f>SUM(T6:T7)</f>
        <v>0</v>
      </c>
      <c r="U5" s="77">
        <f>SUM(U6:U7)</f>
        <v>0</v>
      </c>
      <c r="V5" s="77">
        <f t="shared" si="3"/>
        <v>0</v>
      </c>
      <c r="W5" s="77">
        <f>SUM(W6:W7)</f>
        <v>1400</v>
      </c>
      <c r="X5" s="77">
        <f>SUM(X6:X7)</f>
        <v>50</v>
      </c>
      <c r="Y5" s="77">
        <f>SUM(Y6:Y7)</f>
        <v>100</v>
      </c>
      <c r="Z5" s="77">
        <f>SUM(W5:Y5)</f>
        <v>1550</v>
      </c>
      <c r="AA5" s="279"/>
      <c r="AB5" s="69"/>
      <c r="AC5" t="str">
        <f t="shared" si="1"/>
        <v xml:space="preserve">OK </v>
      </c>
    </row>
    <row r="6" spans="1:33" ht="50.5" hidden="1" x14ac:dyDescent="0.75">
      <c r="A6">
        <v>2</v>
      </c>
      <c r="C6">
        <v>2</v>
      </c>
      <c r="D6">
        <v>14</v>
      </c>
      <c r="F6" s="252" t="s">
        <v>259</v>
      </c>
      <c r="G6" s="252" t="s">
        <v>259</v>
      </c>
      <c r="H6" s="275"/>
      <c r="I6" s="275"/>
      <c r="J6" s="253">
        <v>492</v>
      </c>
      <c r="K6" s="253">
        <v>4</v>
      </c>
      <c r="L6" s="253">
        <v>1</v>
      </c>
      <c r="M6" s="254" t="s">
        <v>101</v>
      </c>
      <c r="N6" s="255" t="s">
        <v>102</v>
      </c>
      <c r="O6" s="256">
        <v>900</v>
      </c>
      <c r="P6" s="256">
        <v>0</v>
      </c>
      <c r="Q6" s="256">
        <v>100</v>
      </c>
      <c r="R6" s="256">
        <f t="shared" si="2"/>
        <v>1000</v>
      </c>
      <c r="S6" s="256"/>
      <c r="T6" s="256"/>
      <c r="U6" s="256"/>
      <c r="V6" s="256">
        <f t="shared" si="3"/>
        <v>0</v>
      </c>
      <c r="W6" s="256">
        <f>O6-S6</f>
        <v>900</v>
      </c>
      <c r="X6" s="256">
        <f t="shared" ref="X6:Y7" si="5">P6-T6</f>
        <v>0</v>
      </c>
      <c r="Y6" s="256">
        <f t="shared" si="5"/>
        <v>100</v>
      </c>
      <c r="Z6" s="256">
        <f t="shared" ref="Z6:Z7" si="6">SUM(W6:Y6)</f>
        <v>1000</v>
      </c>
      <c r="AA6" s="282">
        <v>8</v>
      </c>
      <c r="AB6" s="257" t="s">
        <v>107</v>
      </c>
      <c r="AC6" t="str">
        <f t="shared" si="1"/>
        <v xml:space="preserve">OK </v>
      </c>
    </row>
    <row r="7" spans="1:33" ht="75.75" hidden="1" x14ac:dyDescent="0.75">
      <c r="A7">
        <v>3</v>
      </c>
      <c r="C7">
        <v>2</v>
      </c>
      <c r="D7">
        <v>14</v>
      </c>
      <c r="F7" s="252" t="s">
        <v>262</v>
      </c>
      <c r="G7" s="252" t="s">
        <v>262</v>
      </c>
      <c r="H7" s="275"/>
      <c r="I7" s="275"/>
      <c r="J7" s="253">
        <v>652</v>
      </c>
      <c r="K7" s="253">
        <v>4</v>
      </c>
      <c r="L7" s="253">
        <v>1</v>
      </c>
      <c r="M7" s="254" t="s">
        <v>101</v>
      </c>
      <c r="N7" s="255" t="s">
        <v>102</v>
      </c>
      <c r="O7" s="256">
        <v>500</v>
      </c>
      <c r="P7" s="256">
        <v>50</v>
      </c>
      <c r="Q7" s="256">
        <v>0</v>
      </c>
      <c r="R7" s="256">
        <f t="shared" si="2"/>
        <v>550</v>
      </c>
      <c r="S7" s="256"/>
      <c r="T7" s="256"/>
      <c r="U7" s="256"/>
      <c r="V7" s="256">
        <f t="shared" si="3"/>
        <v>0</v>
      </c>
      <c r="W7" s="256">
        <f>O7-S7</f>
        <v>500</v>
      </c>
      <c r="X7" s="256">
        <f>P7-T7</f>
        <v>50</v>
      </c>
      <c r="Y7" s="256">
        <f t="shared" si="5"/>
        <v>0</v>
      </c>
      <c r="Z7" s="256">
        <f t="shared" si="6"/>
        <v>550</v>
      </c>
      <c r="AA7" s="282">
        <v>8</v>
      </c>
      <c r="AB7" s="257" t="s">
        <v>107</v>
      </c>
      <c r="AC7" t="str">
        <f t="shared" si="1"/>
        <v xml:space="preserve">OK </v>
      </c>
    </row>
    <row r="8" spans="1:33" ht="22.5" hidden="1" customHeight="1" x14ac:dyDescent="0.75">
      <c r="C8">
        <f>MATCH(H8,[1]កម្មវិធី!$E$2:$E$6)</f>
        <v>3</v>
      </c>
      <c r="G8" s="183" t="s">
        <v>264</v>
      </c>
      <c r="H8" s="273" t="s">
        <v>35</v>
      </c>
      <c r="I8" s="273" t="str">
        <f>RIGHT(G8,LEN(G8)-SEARCH("៖",G8))</f>
        <v xml:space="preserve"> ការគ្រប់គ្រងចំណាយសាធារណៈ និងប្រព័ន្ធហិរញ្ញវត្ថុសាធារណៈ</v>
      </c>
      <c r="J8" s="184"/>
      <c r="K8" s="184"/>
      <c r="L8" s="184"/>
      <c r="M8" s="185"/>
      <c r="N8" s="186"/>
      <c r="O8" s="187">
        <f>O9</f>
        <v>2400</v>
      </c>
      <c r="P8" s="187">
        <f t="shared" ref="P8:Z8" si="7">P9</f>
        <v>2400</v>
      </c>
      <c r="Q8" s="187">
        <f t="shared" si="7"/>
        <v>1800</v>
      </c>
      <c r="R8" s="187">
        <f t="shared" si="7"/>
        <v>6600</v>
      </c>
      <c r="S8" s="187">
        <f t="shared" si="7"/>
        <v>0</v>
      </c>
      <c r="T8" s="187">
        <f t="shared" si="7"/>
        <v>0</v>
      </c>
      <c r="U8" s="187">
        <f t="shared" si="7"/>
        <v>0</v>
      </c>
      <c r="V8" s="187">
        <f t="shared" si="7"/>
        <v>0</v>
      </c>
      <c r="W8" s="187">
        <f t="shared" si="7"/>
        <v>2400</v>
      </c>
      <c r="X8" s="187">
        <f t="shared" si="7"/>
        <v>2400</v>
      </c>
      <c r="Y8" s="187">
        <f t="shared" si="7"/>
        <v>1800</v>
      </c>
      <c r="Z8" s="187">
        <f t="shared" si="7"/>
        <v>6600</v>
      </c>
      <c r="AA8" s="278"/>
      <c r="AB8" s="188"/>
      <c r="AC8" t="str">
        <f t="shared" si="1"/>
        <v xml:space="preserve">OK </v>
      </c>
    </row>
    <row r="9" spans="1:33" ht="22.5" hidden="1" customHeight="1" x14ac:dyDescent="0.75">
      <c r="D9">
        <f>MATCH(H9,[2]អនុកម្មវិធី!$E$2:$E$33,0)</f>
        <v>21</v>
      </c>
      <c r="G9" s="181" t="s">
        <v>116</v>
      </c>
      <c r="H9" s="274" t="s">
        <v>320</v>
      </c>
      <c r="I9" s="274" t="str">
        <f>RIGHT(G9,LEN(G9)-SEARCH("៖",G9))</f>
        <v xml:space="preserve"> អគ្គនាយកដ្ឋានរតនាគារជាតិ</v>
      </c>
      <c r="J9" s="182"/>
      <c r="K9" s="182"/>
      <c r="L9" s="182"/>
      <c r="M9" s="66"/>
      <c r="N9" s="106"/>
      <c r="O9" s="77">
        <f>O10</f>
        <v>2400</v>
      </c>
      <c r="P9" s="77">
        <f>P10</f>
        <v>2400</v>
      </c>
      <c r="Q9" s="77">
        <f>Q10</f>
        <v>1800</v>
      </c>
      <c r="R9" s="77">
        <f>SUM(O9:Q9)</f>
        <v>6600</v>
      </c>
      <c r="S9" s="77">
        <f>S10</f>
        <v>0</v>
      </c>
      <c r="T9" s="77">
        <f>T10</f>
        <v>0</v>
      </c>
      <c r="U9" s="77">
        <f>U10</f>
        <v>0</v>
      </c>
      <c r="V9" s="77">
        <f>SUM(S9:U9)</f>
        <v>0</v>
      </c>
      <c r="W9" s="77">
        <f>W10</f>
        <v>2400</v>
      </c>
      <c r="X9" s="77">
        <f>X10</f>
        <v>2400</v>
      </c>
      <c r="Y9" s="77">
        <f>Y10</f>
        <v>1800</v>
      </c>
      <c r="Z9" s="77">
        <f>SUM(W9:Y9)</f>
        <v>6600</v>
      </c>
      <c r="AA9" s="279"/>
      <c r="AB9" s="69"/>
      <c r="AC9" t="str">
        <f t="shared" si="1"/>
        <v xml:space="preserve">OK </v>
      </c>
    </row>
    <row r="10" spans="1:33" ht="28.5" hidden="1" customHeight="1" x14ac:dyDescent="0.75">
      <c r="A10">
        <v>4</v>
      </c>
      <c r="C10">
        <v>3</v>
      </c>
      <c r="D10">
        <v>21</v>
      </c>
      <c r="F10" s="252" t="s">
        <v>247</v>
      </c>
      <c r="G10" s="252" t="s">
        <v>247</v>
      </c>
      <c r="H10" s="275"/>
      <c r="I10" s="275"/>
      <c r="J10" s="253">
        <v>651</v>
      </c>
      <c r="K10" s="253">
        <v>4</v>
      </c>
      <c r="L10" s="253">
        <v>1</v>
      </c>
      <c r="M10" s="258" t="s">
        <v>101</v>
      </c>
      <c r="N10" s="255" t="s">
        <v>102</v>
      </c>
      <c r="O10" s="256">
        <v>2400</v>
      </c>
      <c r="P10" s="256">
        <v>2400</v>
      </c>
      <c r="Q10" s="256">
        <v>1800</v>
      </c>
      <c r="R10" s="256">
        <f>SUM(O10:Q10)</f>
        <v>6600</v>
      </c>
      <c r="S10" s="256"/>
      <c r="T10" s="256"/>
      <c r="U10" s="256"/>
      <c r="V10" s="256">
        <f>SUM(S10:U10)</f>
        <v>0</v>
      </c>
      <c r="W10" s="256">
        <f>O10-S10</f>
        <v>2400</v>
      </c>
      <c r="X10" s="256">
        <f t="shared" ref="X10:Y10" si="8">P10-T10</f>
        <v>2400</v>
      </c>
      <c r="Y10" s="256">
        <f t="shared" si="8"/>
        <v>1800</v>
      </c>
      <c r="Z10" s="256">
        <f t="shared" ref="Z10" si="9">SUM(W10:Y10)</f>
        <v>6600</v>
      </c>
      <c r="AA10" s="282">
        <v>8</v>
      </c>
      <c r="AB10" s="257" t="s">
        <v>107</v>
      </c>
      <c r="AC10" t="str">
        <f t="shared" si="1"/>
        <v xml:space="preserve">OK </v>
      </c>
    </row>
    <row r="11" spans="1:33" ht="22.5" hidden="1" customHeight="1" x14ac:dyDescent="0.75">
      <c r="C11">
        <f>MATCH(H11,[1]កម្មវិធី!$E$2:$E$6)</f>
        <v>4</v>
      </c>
      <c r="G11" s="183" t="s">
        <v>265</v>
      </c>
      <c r="H11" s="273" t="s">
        <v>41</v>
      </c>
      <c r="I11" s="273" t="str">
        <f>RIGHT(G11,LEN(G11)-SEARCH("៖",G11))</f>
        <v xml:space="preserve"> កិច្ចការរដ្ឋបាលនិងអភិវឌ្ឍស្ថាប័ន</v>
      </c>
      <c r="J11" s="184"/>
      <c r="K11" s="184"/>
      <c r="L11" s="184"/>
      <c r="M11" s="185"/>
      <c r="N11" s="186"/>
      <c r="O11" s="187">
        <f>O12</f>
        <v>4232.5</v>
      </c>
      <c r="P11" s="187">
        <f t="shared" ref="P11:Z11" si="10">P12</f>
        <v>1862.5</v>
      </c>
      <c r="Q11" s="187">
        <f t="shared" si="10"/>
        <v>562.5</v>
      </c>
      <c r="R11" s="187">
        <f t="shared" si="10"/>
        <v>6657.5</v>
      </c>
      <c r="S11" s="187">
        <f t="shared" si="10"/>
        <v>0</v>
      </c>
      <c r="T11" s="187">
        <f t="shared" si="10"/>
        <v>0</v>
      </c>
      <c r="U11" s="187">
        <f t="shared" si="10"/>
        <v>0</v>
      </c>
      <c r="V11" s="187">
        <f t="shared" si="10"/>
        <v>0</v>
      </c>
      <c r="W11" s="187">
        <f t="shared" si="10"/>
        <v>4232.5</v>
      </c>
      <c r="X11" s="187">
        <f t="shared" si="10"/>
        <v>1862.5</v>
      </c>
      <c r="Y11" s="187">
        <f t="shared" si="10"/>
        <v>562.5</v>
      </c>
      <c r="Z11" s="187">
        <f t="shared" si="10"/>
        <v>6657.5</v>
      </c>
      <c r="AA11" s="278"/>
      <c r="AB11" s="188"/>
      <c r="AC11" t="str">
        <f t="shared" si="1"/>
        <v xml:space="preserve">OK </v>
      </c>
    </row>
    <row r="12" spans="1:33" s="152" customFormat="1" ht="22.5" hidden="1" customHeight="1" x14ac:dyDescent="0.75">
      <c r="C12"/>
      <c r="D12">
        <f>MATCH(H12,[2]អនុកម្មវិធី!$E$2:$E$33,0)</f>
        <v>30</v>
      </c>
      <c r="G12" s="181" t="s">
        <v>123</v>
      </c>
      <c r="H12" s="274" t="s">
        <v>321</v>
      </c>
      <c r="I12" s="274" t="str">
        <f>RIGHT(G12,LEN(G12)-SEARCH("៖",G12))</f>
        <v>មន្ទីរសេដ្ឋកិច្ចនិងហិរញ្ញវត្ថុរាជធានី ខេត្ត</v>
      </c>
      <c r="J12" s="206"/>
      <c r="K12" s="206"/>
      <c r="L12" s="206"/>
      <c r="M12" s="189"/>
      <c r="N12" s="207"/>
      <c r="O12" s="68">
        <f t="shared" ref="O12:Z12" si="11">O13+O20</f>
        <v>4232.5</v>
      </c>
      <c r="P12" s="68">
        <f t="shared" si="11"/>
        <v>1862.5</v>
      </c>
      <c r="Q12" s="68">
        <f t="shared" si="11"/>
        <v>562.5</v>
      </c>
      <c r="R12" s="68">
        <f t="shared" si="11"/>
        <v>6657.5</v>
      </c>
      <c r="S12" s="68">
        <f t="shared" si="11"/>
        <v>0</v>
      </c>
      <c r="T12" s="68">
        <f t="shared" si="11"/>
        <v>0</v>
      </c>
      <c r="U12" s="68">
        <f t="shared" si="11"/>
        <v>0</v>
      </c>
      <c r="V12" s="68">
        <f t="shared" si="11"/>
        <v>0</v>
      </c>
      <c r="W12" s="68">
        <f t="shared" si="11"/>
        <v>4232.5</v>
      </c>
      <c r="X12" s="68">
        <f t="shared" si="11"/>
        <v>1862.5</v>
      </c>
      <c r="Y12" s="68">
        <f t="shared" si="11"/>
        <v>562.5</v>
      </c>
      <c r="Z12" s="68">
        <f t="shared" si="11"/>
        <v>6657.5</v>
      </c>
      <c r="AA12" s="280"/>
      <c r="AB12" s="208"/>
      <c r="AC12" s="152" t="str">
        <f t="shared" si="1"/>
        <v xml:space="preserve">OK </v>
      </c>
    </row>
    <row r="13" spans="1:33" s="152" customFormat="1" ht="50.5" hidden="1" x14ac:dyDescent="0.75">
      <c r="A13" s="152">
        <v>5</v>
      </c>
      <c r="C13">
        <v>4</v>
      </c>
      <c r="D13">
        <v>30</v>
      </c>
      <c r="F13" s="252" t="s">
        <v>295</v>
      </c>
      <c r="G13" s="252" t="s">
        <v>295</v>
      </c>
      <c r="H13" s="275"/>
      <c r="I13" s="275"/>
      <c r="J13" s="253">
        <v>641</v>
      </c>
      <c r="K13" s="253">
        <v>4</v>
      </c>
      <c r="L13" s="253">
        <v>1</v>
      </c>
      <c r="M13" s="254" t="s">
        <v>101</v>
      </c>
      <c r="N13" s="255" t="s">
        <v>102</v>
      </c>
      <c r="O13" s="256">
        <f t="shared" ref="O13:Z13" si="12">SUM(O14:O19)</f>
        <v>1232.5</v>
      </c>
      <c r="P13" s="256">
        <f t="shared" si="12"/>
        <v>362.5</v>
      </c>
      <c r="Q13" s="256">
        <f t="shared" si="12"/>
        <v>62.5</v>
      </c>
      <c r="R13" s="256">
        <f t="shared" si="12"/>
        <v>1657.5</v>
      </c>
      <c r="S13" s="256">
        <f t="shared" si="12"/>
        <v>0</v>
      </c>
      <c r="T13" s="256">
        <f t="shared" si="12"/>
        <v>0</v>
      </c>
      <c r="U13" s="256">
        <f t="shared" si="12"/>
        <v>0</v>
      </c>
      <c r="V13" s="256">
        <f t="shared" si="12"/>
        <v>0</v>
      </c>
      <c r="W13" s="256">
        <f t="shared" si="12"/>
        <v>1232.5</v>
      </c>
      <c r="X13" s="256">
        <f t="shared" si="12"/>
        <v>362.5</v>
      </c>
      <c r="Y13" s="256">
        <f t="shared" si="12"/>
        <v>62.5</v>
      </c>
      <c r="Z13" s="256">
        <f t="shared" si="12"/>
        <v>1657.5</v>
      </c>
      <c r="AA13" s="282">
        <v>8</v>
      </c>
      <c r="AB13" s="257" t="s">
        <v>107</v>
      </c>
      <c r="AC13" t="str">
        <f t="shared" si="1"/>
        <v xml:space="preserve">OK </v>
      </c>
    </row>
    <row r="14" spans="1:33" ht="27.75" customHeight="1" x14ac:dyDescent="0.75">
      <c r="B14" s="152">
        <v>5</v>
      </c>
      <c r="E14">
        <v>1</v>
      </c>
      <c r="F14" s="107" t="s">
        <v>274</v>
      </c>
      <c r="G14" s="107" t="s">
        <v>274</v>
      </c>
      <c r="H14" s="276"/>
      <c r="I14" s="276"/>
      <c r="J14" s="403" t="s">
        <v>268</v>
      </c>
      <c r="K14" s="404"/>
      <c r="L14" s="404"/>
      <c r="M14" s="404"/>
      <c r="N14" s="405"/>
      <c r="O14" s="77">
        <v>62.5</v>
      </c>
      <c r="P14" s="77">
        <v>62.5</v>
      </c>
      <c r="Q14" s="77">
        <v>62.5</v>
      </c>
      <c r="R14" s="77">
        <f t="shared" ref="R14:R17" si="13">SUM(O14:Q14)</f>
        <v>187.5</v>
      </c>
      <c r="S14" s="77">
        <v>0</v>
      </c>
      <c r="T14" s="77">
        <v>0</v>
      </c>
      <c r="U14" s="77">
        <v>0</v>
      </c>
      <c r="V14" s="77">
        <f>SUM(S14:U14)</f>
        <v>0</v>
      </c>
      <c r="W14" s="77">
        <f>O14-S14</f>
        <v>62.5</v>
      </c>
      <c r="X14" s="77">
        <f t="shared" ref="X14:Y15" si="14">P14-T14</f>
        <v>62.5</v>
      </c>
      <c r="Y14" s="77">
        <f t="shared" si="14"/>
        <v>62.5</v>
      </c>
      <c r="Z14" s="77">
        <f t="shared" ref="Z14:Z17" si="15">SUM(W14:Y14)</f>
        <v>187.5</v>
      </c>
      <c r="AA14" s="279"/>
      <c r="AB14" s="69"/>
      <c r="AC14" t="str">
        <f t="shared" si="1"/>
        <v xml:space="preserve">OK </v>
      </c>
      <c r="AG14">
        <f>62500*3</f>
        <v>187500</v>
      </c>
    </row>
    <row r="15" spans="1:33" ht="27.75" customHeight="1" x14ac:dyDescent="0.75">
      <c r="B15" s="152">
        <v>5</v>
      </c>
      <c r="E15">
        <v>2</v>
      </c>
      <c r="F15" s="107" t="s">
        <v>270</v>
      </c>
      <c r="G15" s="107" t="s">
        <v>270</v>
      </c>
      <c r="H15" s="276"/>
      <c r="I15" s="276"/>
      <c r="J15" s="403" t="s">
        <v>269</v>
      </c>
      <c r="K15" s="404"/>
      <c r="L15" s="404"/>
      <c r="M15" s="404"/>
      <c r="N15" s="405"/>
      <c r="O15" s="77">
        <v>300</v>
      </c>
      <c r="P15" s="77">
        <v>300</v>
      </c>
      <c r="Q15" s="77"/>
      <c r="R15" s="77">
        <f t="shared" si="13"/>
        <v>600</v>
      </c>
      <c r="S15" s="77"/>
      <c r="T15" s="77"/>
      <c r="U15" s="77"/>
      <c r="V15" s="77">
        <f t="shared" ref="V15:V17" si="16">SUM(S15:U15)</f>
        <v>0</v>
      </c>
      <c r="W15" s="77">
        <f t="shared" ref="W15:Y19" si="17">O15-S15</f>
        <v>300</v>
      </c>
      <c r="X15" s="77">
        <f t="shared" si="14"/>
        <v>300</v>
      </c>
      <c r="Y15" s="77">
        <f t="shared" si="14"/>
        <v>0</v>
      </c>
      <c r="Z15" s="77">
        <f t="shared" si="15"/>
        <v>600</v>
      </c>
      <c r="AA15" s="279"/>
      <c r="AB15" s="69"/>
      <c r="AC15" t="str">
        <f t="shared" si="1"/>
        <v xml:space="preserve">OK </v>
      </c>
    </row>
    <row r="16" spans="1:33" ht="27.75" customHeight="1" x14ac:dyDescent="0.75">
      <c r="B16" s="152">
        <v>5</v>
      </c>
      <c r="E16">
        <v>3</v>
      </c>
      <c r="F16" s="107" t="s">
        <v>275</v>
      </c>
      <c r="G16" s="107" t="s">
        <v>275</v>
      </c>
      <c r="H16" s="276"/>
      <c r="I16" s="276"/>
      <c r="J16" s="409" t="s">
        <v>271</v>
      </c>
      <c r="K16" s="410"/>
      <c r="L16" s="410"/>
      <c r="M16" s="410"/>
      <c r="N16" s="411"/>
      <c r="O16" s="77">
        <v>235</v>
      </c>
      <c r="P16" s="77"/>
      <c r="Q16" s="260"/>
      <c r="R16" s="77">
        <f t="shared" si="13"/>
        <v>235</v>
      </c>
      <c r="S16" s="77"/>
      <c r="T16" s="77"/>
      <c r="U16" s="77"/>
      <c r="V16" s="77">
        <f t="shared" si="16"/>
        <v>0</v>
      </c>
      <c r="W16" s="77">
        <f t="shared" si="17"/>
        <v>235</v>
      </c>
      <c r="X16" s="77">
        <f t="shared" si="17"/>
        <v>0</v>
      </c>
      <c r="Y16" s="77">
        <f t="shared" si="17"/>
        <v>0</v>
      </c>
      <c r="Z16" s="77">
        <f t="shared" si="15"/>
        <v>235</v>
      </c>
      <c r="AA16" s="279"/>
      <c r="AB16" s="69"/>
      <c r="AC16" t="str">
        <f t="shared" si="1"/>
        <v xml:space="preserve">OK </v>
      </c>
    </row>
    <row r="17" spans="1:29" ht="27.75" customHeight="1" x14ac:dyDescent="0.75">
      <c r="B17" s="152">
        <v>5</v>
      </c>
      <c r="E17">
        <v>4</v>
      </c>
      <c r="F17" s="107" t="s">
        <v>276</v>
      </c>
      <c r="G17" s="107" t="s">
        <v>276</v>
      </c>
      <c r="H17" s="276"/>
      <c r="I17" s="276"/>
      <c r="J17" s="412"/>
      <c r="K17" s="413"/>
      <c r="L17" s="413"/>
      <c r="M17" s="413"/>
      <c r="N17" s="414"/>
      <c r="O17" s="77">
        <v>135</v>
      </c>
      <c r="P17" s="77"/>
      <c r="Q17" s="260"/>
      <c r="R17" s="77">
        <f t="shared" si="13"/>
        <v>135</v>
      </c>
      <c r="S17" s="77"/>
      <c r="T17" s="77"/>
      <c r="U17" s="77"/>
      <c r="V17" s="77">
        <f t="shared" si="16"/>
        <v>0</v>
      </c>
      <c r="W17" s="77">
        <f t="shared" si="17"/>
        <v>135</v>
      </c>
      <c r="X17" s="77">
        <f t="shared" si="17"/>
        <v>0</v>
      </c>
      <c r="Y17" s="77">
        <f t="shared" si="17"/>
        <v>0</v>
      </c>
      <c r="Z17" s="77">
        <f t="shared" si="15"/>
        <v>135</v>
      </c>
      <c r="AA17" s="279"/>
      <c r="AB17" s="69"/>
      <c r="AC17" t="str">
        <f t="shared" si="1"/>
        <v xml:space="preserve">OK </v>
      </c>
    </row>
    <row r="18" spans="1:29" ht="27.75" customHeight="1" x14ac:dyDescent="0.75">
      <c r="B18" s="152">
        <v>5</v>
      </c>
      <c r="E18">
        <v>5</v>
      </c>
      <c r="F18" s="107" t="s">
        <v>282</v>
      </c>
      <c r="G18" s="107" t="s">
        <v>282</v>
      </c>
      <c r="H18" s="276"/>
      <c r="I18" s="276"/>
      <c r="J18" s="403" t="s">
        <v>272</v>
      </c>
      <c r="K18" s="404"/>
      <c r="L18" s="404"/>
      <c r="M18" s="404"/>
      <c r="N18" s="405"/>
      <c r="O18" s="77">
        <v>125</v>
      </c>
      <c r="P18" s="77"/>
      <c r="Q18" s="260"/>
      <c r="R18" s="77">
        <f>SUM(O18:Q18)</f>
        <v>125</v>
      </c>
      <c r="S18" s="77"/>
      <c r="T18" s="77"/>
      <c r="U18" s="77"/>
      <c r="V18" s="77">
        <f>SUM(S18:U18)</f>
        <v>0</v>
      </c>
      <c r="W18" s="77">
        <f t="shared" si="17"/>
        <v>125</v>
      </c>
      <c r="X18" s="77">
        <f t="shared" si="17"/>
        <v>0</v>
      </c>
      <c r="Y18" s="77">
        <f t="shared" si="17"/>
        <v>0</v>
      </c>
      <c r="Z18" s="77">
        <f>SUM(W18:Y18)</f>
        <v>125</v>
      </c>
      <c r="AA18" s="279"/>
      <c r="AB18" s="69"/>
      <c r="AC18" t="str">
        <f>IF(SUM(R18,Z18), "OK ", "-")</f>
        <v xml:space="preserve">OK </v>
      </c>
    </row>
    <row r="19" spans="1:29" ht="27.75" customHeight="1" x14ac:dyDescent="0.75">
      <c r="B19" s="152">
        <v>5</v>
      </c>
      <c r="E19">
        <v>6</v>
      </c>
      <c r="F19" s="107" t="s">
        <v>277</v>
      </c>
      <c r="G19" s="107" t="s">
        <v>277</v>
      </c>
      <c r="H19" s="276"/>
      <c r="I19" s="276"/>
      <c r="J19" s="403" t="s">
        <v>273</v>
      </c>
      <c r="K19" s="404"/>
      <c r="L19" s="404"/>
      <c r="M19" s="404"/>
      <c r="N19" s="405"/>
      <c r="O19" s="77">
        <v>375</v>
      </c>
      <c r="P19" s="77"/>
      <c r="Q19" s="77"/>
      <c r="R19" s="77">
        <f t="shared" ref="R19" si="18">SUM(O19:Q19)</f>
        <v>375</v>
      </c>
      <c r="S19" s="77"/>
      <c r="T19" s="77"/>
      <c r="U19" s="77"/>
      <c r="V19" s="77">
        <f t="shared" ref="V19" si="19">SUM(S19:U19)</f>
        <v>0</v>
      </c>
      <c r="W19" s="77">
        <f t="shared" si="17"/>
        <v>375</v>
      </c>
      <c r="X19" s="77">
        <f t="shared" si="17"/>
        <v>0</v>
      </c>
      <c r="Y19" s="77">
        <f t="shared" si="17"/>
        <v>0</v>
      </c>
      <c r="Z19" s="77">
        <f t="shared" ref="Z19" si="20">SUM(W19:Y19)</f>
        <v>375</v>
      </c>
      <c r="AA19" s="279"/>
      <c r="AB19" s="69"/>
      <c r="AC19" t="str">
        <f>IF(SUM(R19,Z19), "OK ", "-")</f>
        <v xml:space="preserve">OK </v>
      </c>
    </row>
    <row r="20" spans="1:29" s="152" customFormat="1" ht="75.75" hidden="1" customHeight="1" x14ac:dyDescent="0.75">
      <c r="A20" s="152">
        <v>6</v>
      </c>
      <c r="C20">
        <v>4</v>
      </c>
      <c r="D20">
        <v>30</v>
      </c>
      <c r="F20" s="252" t="s">
        <v>291</v>
      </c>
      <c r="G20" s="252" t="s">
        <v>291</v>
      </c>
      <c r="H20" s="275"/>
      <c r="I20" s="275"/>
      <c r="J20" s="253">
        <v>507</v>
      </c>
      <c r="K20" s="253"/>
      <c r="L20" s="253"/>
      <c r="M20" s="254" t="s">
        <v>101</v>
      </c>
      <c r="N20" s="255" t="s">
        <v>102</v>
      </c>
      <c r="O20" s="256">
        <f t="shared" ref="O20:Z20" si="21">SUM(O21:O22)</f>
        <v>3000</v>
      </c>
      <c r="P20" s="256">
        <f t="shared" si="21"/>
        <v>1500</v>
      </c>
      <c r="Q20" s="256">
        <f t="shared" si="21"/>
        <v>500</v>
      </c>
      <c r="R20" s="256">
        <f t="shared" si="21"/>
        <v>5000</v>
      </c>
      <c r="S20" s="256">
        <f t="shared" si="21"/>
        <v>0</v>
      </c>
      <c r="T20" s="256">
        <f t="shared" si="21"/>
        <v>0</v>
      </c>
      <c r="U20" s="256">
        <f t="shared" si="21"/>
        <v>0</v>
      </c>
      <c r="V20" s="256">
        <f t="shared" si="21"/>
        <v>0</v>
      </c>
      <c r="W20" s="256">
        <f t="shared" si="21"/>
        <v>3000</v>
      </c>
      <c r="X20" s="256">
        <f t="shared" si="21"/>
        <v>1500</v>
      </c>
      <c r="Y20" s="256">
        <f t="shared" si="21"/>
        <v>500</v>
      </c>
      <c r="Z20" s="256">
        <f t="shared" si="21"/>
        <v>5000</v>
      </c>
      <c r="AA20" s="282">
        <v>8</v>
      </c>
      <c r="AB20" s="257" t="s">
        <v>107</v>
      </c>
      <c r="AC20" t="str">
        <f t="shared" ref="AC20:AC22" si="22">IF(SUM(R20,Z20), "OK ", "-")</f>
        <v xml:space="preserve">OK </v>
      </c>
    </row>
    <row r="21" spans="1:29" ht="22.5" customHeight="1" x14ac:dyDescent="0.75">
      <c r="B21" s="152">
        <v>6</v>
      </c>
      <c r="E21">
        <v>1</v>
      </c>
      <c r="F21" s="107" t="s">
        <v>278</v>
      </c>
      <c r="G21" s="107" t="s">
        <v>278</v>
      </c>
      <c r="H21" s="276"/>
      <c r="I21" s="276"/>
      <c r="J21" s="403" t="s">
        <v>279</v>
      </c>
      <c r="K21" s="404"/>
      <c r="L21" s="404"/>
      <c r="M21" s="404"/>
      <c r="N21" s="405"/>
      <c r="O21" s="77">
        <v>2500</v>
      </c>
      <c r="P21" s="77">
        <v>1000</v>
      </c>
      <c r="Q21" s="77">
        <v>500</v>
      </c>
      <c r="R21" s="77">
        <f t="shared" ref="R21" si="23">SUM(O21:Q21)</f>
        <v>4000</v>
      </c>
      <c r="S21" s="77"/>
      <c r="T21" s="77"/>
      <c r="U21" s="77"/>
      <c r="V21" s="77">
        <f t="shared" ref="V21:V22" si="24">SUM(S21:U21)</f>
        <v>0</v>
      </c>
      <c r="W21" s="77">
        <f t="shared" ref="W21:Y22" si="25">O21-S21</f>
        <v>2500</v>
      </c>
      <c r="X21" s="77">
        <f t="shared" si="25"/>
        <v>1000</v>
      </c>
      <c r="Y21" s="77">
        <f t="shared" si="25"/>
        <v>500</v>
      </c>
      <c r="Z21" s="77">
        <f t="shared" ref="Z21:Z22" si="26">SUM(W21:Y21)</f>
        <v>4000</v>
      </c>
      <c r="AA21" s="279"/>
      <c r="AB21" s="69"/>
      <c r="AC21" t="str">
        <f t="shared" si="22"/>
        <v xml:space="preserve">OK </v>
      </c>
    </row>
    <row r="22" spans="1:29" ht="51.25" thickBot="1" x14ac:dyDescent="0.9">
      <c r="B22" s="152">
        <v>6</v>
      </c>
      <c r="E22">
        <v>2</v>
      </c>
      <c r="F22" s="109" t="s">
        <v>281</v>
      </c>
      <c r="G22" s="109" t="s">
        <v>281</v>
      </c>
      <c r="H22" s="277"/>
      <c r="I22" s="277"/>
      <c r="J22" s="406" t="s">
        <v>280</v>
      </c>
      <c r="K22" s="407"/>
      <c r="L22" s="407"/>
      <c r="M22" s="407"/>
      <c r="N22" s="408"/>
      <c r="O22" s="93">
        <v>500</v>
      </c>
      <c r="P22" s="93">
        <v>500</v>
      </c>
      <c r="Q22" s="93"/>
      <c r="R22" s="93">
        <f>SUM(O22:Q22)</f>
        <v>1000</v>
      </c>
      <c r="S22" s="93"/>
      <c r="T22" s="93"/>
      <c r="U22" s="93"/>
      <c r="V22" s="93">
        <f t="shared" si="24"/>
        <v>0</v>
      </c>
      <c r="W22" s="93">
        <f>O22-S22</f>
        <v>500</v>
      </c>
      <c r="X22" s="93">
        <f t="shared" si="25"/>
        <v>500</v>
      </c>
      <c r="Y22" s="93">
        <f t="shared" si="25"/>
        <v>0</v>
      </c>
      <c r="Z22" s="93">
        <f t="shared" si="26"/>
        <v>1000</v>
      </c>
      <c r="AA22" s="281"/>
      <c r="AB22" s="94"/>
      <c r="AC22" t="str">
        <f t="shared" si="22"/>
        <v xml:space="preserve">OK </v>
      </c>
    </row>
  </sheetData>
  <autoFilter ref="A1:AG22" xr:uid="{7E93A59E-1471-4847-9544-0F57BF915DFD}">
    <filterColumn colId="1">
      <customFilters>
        <customFilter operator="notEqual" val=" "/>
      </customFilters>
    </filterColumn>
  </autoFilter>
  <mergeCells count="7">
    <mergeCell ref="J14:N14"/>
    <mergeCell ref="J21:N21"/>
    <mergeCell ref="J22:N22"/>
    <mergeCell ref="J19:N19"/>
    <mergeCell ref="J18:N18"/>
    <mergeCell ref="J16:N17"/>
    <mergeCell ref="J15:N15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A41EE-E869-4AFD-962E-56E69FDA95B3}">
  <dimension ref="A1:D9"/>
  <sheetViews>
    <sheetView workbookViewId="0">
      <selection activeCell="D2" sqref="D2:D9"/>
    </sheetView>
  </sheetViews>
  <sheetFormatPr defaultRowHeight="14.75" x14ac:dyDescent="0.75"/>
  <cols>
    <col min="2" max="2" width="22.40625" customWidth="1"/>
    <col min="3" max="3" width="22.453125" customWidth="1"/>
  </cols>
  <sheetData>
    <row r="1" spans="1:4" x14ac:dyDescent="0.75">
      <c r="A1" t="s">
        <v>297</v>
      </c>
      <c r="B1" t="s">
        <v>322</v>
      </c>
      <c r="C1" t="s">
        <v>323</v>
      </c>
      <c r="D1" t="s">
        <v>324</v>
      </c>
    </row>
    <row r="2" spans="1:4" x14ac:dyDescent="0.75">
      <c r="A2">
        <v>1</v>
      </c>
      <c r="B2" t="s">
        <v>334</v>
      </c>
      <c r="C2" t="s">
        <v>334</v>
      </c>
      <c r="D2">
        <v>1</v>
      </c>
    </row>
    <row r="3" spans="1:4" x14ac:dyDescent="0.75">
      <c r="A3">
        <v>2</v>
      </c>
      <c r="B3" t="s">
        <v>335</v>
      </c>
      <c r="C3" t="s">
        <v>335</v>
      </c>
      <c r="D3">
        <v>2</v>
      </c>
    </row>
    <row r="4" spans="1:4" x14ac:dyDescent="0.75">
      <c r="A4">
        <v>3</v>
      </c>
      <c r="B4" t="s">
        <v>335</v>
      </c>
      <c r="C4" t="s">
        <v>335</v>
      </c>
      <c r="D4">
        <v>3</v>
      </c>
    </row>
    <row r="5" spans="1:4" x14ac:dyDescent="0.75">
      <c r="A5">
        <v>4</v>
      </c>
      <c r="B5" t="s">
        <v>336</v>
      </c>
      <c r="C5" t="s">
        <v>336</v>
      </c>
      <c r="D5">
        <v>4</v>
      </c>
    </row>
    <row r="6" spans="1:4" x14ac:dyDescent="0.75">
      <c r="A6">
        <v>5</v>
      </c>
      <c r="B6" t="s">
        <v>337</v>
      </c>
      <c r="C6" t="s">
        <v>337</v>
      </c>
      <c r="D6">
        <v>5</v>
      </c>
    </row>
    <row r="7" spans="1:4" x14ac:dyDescent="0.75">
      <c r="A7">
        <v>6</v>
      </c>
      <c r="B7" t="s">
        <v>338</v>
      </c>
      <c r="C7" t="s">
        <v>338</v>
      </c>
      <c r="D7">
        <v>6</v>
      </c>
    </row>
    <row r="8" spans="1:4" x14ac:dyDescent="0.75">
      <c r="A8">
        <v>7</v>
      </c>
      <c r="B8" t="s">
        <v>339</v>
      </c>
      <c r="C8" t="s">
        <v>339</v>
      </c>
      <c r="D8">
        <v>7</v>
      </c>
    </row>
    <row r="9" spans="1:4" x14ac:dyDescent="0.75">
      <c r="A9">
        <v>8</v>
      </c>
      <c r="B9" t="s">
        <v>340</v>
      </c>
      <c r="C9" t="s">
        <v>340</v>
      </c>
      <c r="D9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5CED-2E87-4221-848F-19440FB6DE28}">
  <dimension ref="A1:D5"/>
  <sheetViews>
    <sheetView workbookViewId="0">
      <selection activeCell="B5" sqref="B5"/>
    </sheetView>
  </sheetViews>
  <sheetFormatPr defaultRowHeight="14.75" x14ac:dyDescent="0.75"/>
  <cols>
    <col min="2" max="4" width="15.76953125" customWidth="1"/>
  </cols>
  <sheetData>
    <row r="1" spans="1:4" x14ac:dyDescent="0.75">
      <c r="A1" t="s">
        <v>297</v>
      </c>
      <c r="B1" t="s">
        <v>322</v>
      </c>
      <c r="C1" t="s">
        <v>323</v>
      </c>
      <c r="D1" t="s">
        <v>324</v>
      </c>
    </row>
    <row r="2" spans="1:4" x14ac:dyDescent="0.75">
      <c r="A2">
        <v>1</v>
      </c>
      <c r="B2" t="s">
        <v>325</v>
      </c>
      <c r="C2" t="s">
        <v>325</v>
      </c>
    </row>
    <row r="3" spans="1:4" x14ac:dyDescent="0.75">
      <c r="A3">
        <v>2</v>
      </c>
      <c r="B3" t="s">
        <v>326</v>
      </c>
      <c r="C3" t="s">
        <v>326</v>
      </c>
    </row>
    <row r="4" spans="1:4" x14ac:dyDescent="0.75">
      <c r="A4">
        <v>3</v>
      </c>
      <c r="B4" t="s">
        <v>327</v>
      </c>
      <c r="C4" t="s">
        <v>327</v>
      </c>
    </row>
    <row r="5" spans="1:4" x14ac:dyDescent="0.75">
      <c r="A5">
        <v>4</v>
      </c>
      <c r="B5" t="s">
        <v>101</v>
      </c>
      <c r="C5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7AE7-3DC6-44B4-979B-C19C753EC251}">
  <dimension ref="A1:D3"/>
  <sheetViews>
    <sheetView workbookViewId="0">
      <selection activeCell="B5" sqref="B5"/>
    </sheetView>
  </sheetViews>
  <sheetFormatPr defaultRowHeight="14.75" x14ac:dyDescent="0.75"/>
  <cols>
    <col min="2" max="2" width="22.40625" customWidth="1"/>
    <col min="3" max="3" width="22.453125" customWidth="1"/>
  </cols>
  <sheetData>
    <row r="1" spans="1:4" x14ac:dyDescent="0.75">
      <c r="A1" t="s">
        <v>297</v>
      </c>
      <c r="B1" t="s">
        <v>322</v>
      </c>
      <c r="C1" t="s">
        <v>323</v>
      </c>
      <c r="D1" t="s">
        <v>324</v>
      </c>
    </row>
    <row r="2" spans="1:4" x14ac:dyDescent="0.75">
      <c r="A2">
        <v>1</v>
      </c>
      <c r="B2" t="s">
        <v>102</v>
      </c>
      <c r="C2" t="s">
        <v>102</v>
      </c>
      <c r="D2">
        <v>1</v>
      </c>
    </row>
    <row r="3" spans="1:4" x14ac:dyDescent="0.75">
      <c r="A3">
        <v>2</v>
      </c>
      <c r="B3" t="s">
        <v>328</v>
      </c>
      <c r="C3" t="s">
        <v>328</v>
      </c>
      <c r="D3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6F3F-C8F4-48F6-9E45-BDA8F478D010}">
  <sheetPr filterMode="1">
    <tabColor rgb="FF00B050"/>
  </sheetPr>
  <dimension ref="A1:AC29"/>
  <sheetViews>
    <sheetView showZeros="0" topLeftCell="A5" zoomScale="90" zoomScaleNormal="90" workbookViewId="0">
      <pane ySplit="1" topLeftCell="A6" activePane="bottomLeft" state="frozen"/>
      <selection activeCell="A5" sqref="A5"/>
      <selection pane="bottomLeft" activeCell="A5" sqref="A1:XFD1048576"/>
    </sheetView>
  </sheetViews>
  <sheetFormatPr defaultRowHeight="27.5" x14ac:dyDescent="2.5"/>
  <cols>
    <col min="1" max="1" width="4.81640625" customWidth="1"/>
    <col min="2" max="2" width="17.04296875" customWidth="1"/>
    <col min="3" max="4" width="15.2265625" customWidth="1"/>
    <col min="5" max="5" width="19.76953125" customWidth="1"/>
    <col min="6" max="6" width="53" customWidth="1"/>
    <col min="7" max="7" width="20.1328125" customWidth="1"/>
    <col min="8" max="8" width="53" customWidth="1"/>
    <col min="9" max="9" width="9.7265625" customWidth="1"/>
    <col min="10" max="10" width="13.54296875" style="40" customWidth="1"/>
    <col min="11" max="11" width="13.1328125" style="41" customWidth="1"/>
    <col min="12" max="14" width="17.31640625" customWidth="1"/>
    <col min="15" max="15" width="9.26953125" customWidth="1"/>
    <col min="16" max="18" width="12.1328125" customWidth="1"/>
    <col min="19" max="19" width="14.1328125" customWidth="1"/>
    <col min="20" max="20" width="12.54296875" customWidth="1"/>
    <col min="21" max="22" width="8.54296875" customWidth="1"/>
    <col min="23" max="23" width="9.86328125" customWidth="1"/>
    <col min="24" max="24" width="11.40625" style="41" customWidth="1"/>
    <col min="29" max="29" width="20.86328125" customWidth="1"/>
  </cols>
  <sheetData>
    <row r="1" spans="1:29" ht="45.75" customHeight="1" x14ac:dyDescent="2.5"/>
    <row r="2" spans="1:29" x14ac:dyDescent="2.5">
      <c r="F2" s="42"/>
      <c r="G2" s="42"/>
      <c r="H2" s="42"/>
    </row>
    <row r="3" spans="1:29" ht="29.25" customHeight="1" x14ac:dyDescent="0.75">
      <c r="I3" s="42"/>
      <c r="J3" s="43"/>
      <c r="K3" s="44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4"/>
    </row>
    <row r="4" spans="1:29" ht="34.5" hidden="1" customHeight="1" x14ac:dyDescent="2.75">
      <c r="A4" s="393" t="s">
        <v>256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</row>
    <row r="5" spans="1:29" ht="25" customHeight="1" thickBot="1" x14ac:dyDescent="2.65">
      <c r="A5" t="s">
        <v>297</v>
      </c>
      <c r="B5" t="s">
        <v>317</v>
      </c>
      <c r="C5" t="s">
        <v>313</v>
      </c>
      <c r="D5" t="s">
        <v>316</v>
      </c>
      <c r="E5" t="s">
        <v>298</v>
      </c>
      <c r="F5" t="s">
        <v>299</v>
      </c>
      <c r="G5" t="s">
        <v>314</v>
      </c>
      <c r="H5" t="s">
        <v>314</v>
      </c>
      <c r="I5" t="s">
        <v>300</v>
      </c>
      <c r="J5" s="40" t="s">
        <v>301</v>
      </c>
      <c r="K5" s="41" t="s">
        <v>302</v>
      </c>
      <c r="L5" t="s">
        <v>303</v>
      </c>
      <c r="M5" t="s">
        <v>304</v>
      </c>
      <c r="N5" t="s">
        <v>305</v>
      </c>
      <c r="P5" t="s">
        <v>307</v>
      </c>
      <c r="Q5" t="s">
        <v>306</v>
      </c>
      <c r="R5" t="s">
        <v>308</v>
      </c>
      <c r="T5" s="269" t="s">
        <v>309</v>
      </c>
      <c r="U5" s="269" t="s">
        <v>311</v>
      </c>
      <c r="V5" s="269" t="s">
        <v>310</v>
      </c>
      <c r="X5" s="268" t="s">
        <v>312</v>
      </c>
    </row>
    <row r="6" spans="1:29" ht="26.25" customHeight="1" thickTop="1" x14ac:dyDescent="0.75">
      <c r="F6" s="415" t="s">
        <v>83</v>
      </c>
      <c r="G6" s="270"/>
      <c r="H6" s="270"/>
      <c r="I6" s="417" t="s">
        <v>84</v>
      </c>
      <c r="J6" s="419" t="s">
        <v>85</v>
      </c>
      <c r="K6" s="421" t="s">
        <v>86</v>
      </c>
      <c r="L6" s="417" t="s">
        <v>87</v>
      </c>
      <c r="M6" s="417"/>
      <c r="N6" s="417"/>
      <c r="O6" s="417"/>
      <c r="P6" s="417" t="s">
        <v>88</v>
      </c>
      <c r="Q6" s="417"/>
      <c r="R6" s="417"/>
      <c r="S6" s="417"/>
      <c r="T6" s="417" t="s">
        <v>89</v>
      </c>
      <c r="U6" s="417"/>
      <c r="V6" s="417"/>
      <c r="W6" s="423"/>
      <c r="X6" s="424" t="s">
        <v>90</v>
      </c>
    </row>
    <row r="7" spans="1:29" ht="26.25" customHeight="1" x14ac:dyDescent="0.75">
      <c r="F7" s="416"/>
      <c r="G7" s="271"/>
      <c r="H7" s="271"/>
      <c r="I7" s="418"/>
      <c r="J7" s="420"/>
      <c r="K7" s="422"/>
      <c r="L7" s="204">
        <v>2023</v>
      </c>
      <c r="M7" s="204">
        <v>2024</v>
      </c>
      <c r="N7" s="204">
        <v>2025</v>
      </c>
      <c r="O7" s="170" t="s">
        <v>197</v>
      </c>
      <c r="P7" s="204">
        <v>2023</v>
      </c>
      <c r="Q7" s="204">
        <v>2024</v>
      </c>
      <c r="R7" s="204">
        <v>2025</v>
      </c>
      <c r="S7" s="170" t="s">
        <v>197</v>
      </c>
      <c r="T7" s="204">
        <v>2023</v>
      </c>
      <c r="U7" s="204">
        <v>2024</v>
      </c>
      <c r="V7" s="204">
        <v>2025</v>
      </c>
      <c r="W7" s="170" t="s">
        <v>197</v>
      </c>
      <c r="X7" s="425"/>
      <c r="Y7" t="str">
        <f t="shared" ref="Y7:Y24" si="0">IF(SUM(O7,W7), "OK ", "-")</f>
        <v>-</v>
      </c>
    </row>
    <row r="8" spans="1:29" ht="51.25" hidden="1" thickTop="1" x14ac:dyDescent="0.75">
      <c r="F8" s="175" t="s">
        <v>91</v>
      </c>
      <c r="G8" s="272"/>
      <c r="H8" s="272"/>
      <c r="I8" s="176"/>
      <c r="J8" s="177"/>
      <c r="K8" s="178"/>
      <c r="L8" s="179">
        <f>+L9+L15+L18</f>
        <v>10032.5</v>
      </c>
      <c r="M8" s="179">
        <f>+M9+M15+M18</f>
        <v>5312.5</v>
      </c>
      <c r="N8" s="179">
        <f>+N9+N15+N18</f>
        <v>2462.5</v>
      </c>
      <c r="O8" s="179">
        <f>SUM(L8:N8)</f>
        <v>17807.5</v>
      </c>
      <c r="P8" s="179">
        <f>+P9+P15+P18</f>
        <v>0</v>
      </c>
      <c r="Q8" s="179">
        <f>+Q9+Q15+Q18</f>
        <v>0</v>
      </c>
      <c r="R8" s="179">
        <f>+R9+R15+R18</f>
        <v>0</v>
      </c>
      <c r="S8" s="179">
        <f>SUM(P8:R8)</f>
        <v>0</v>
      </c>
      <c r="T8" s="179">
        <f>+T9+T15+T18</f>
        <v>10032.5</v>
      </c>
      <c r="U8" s="179">
        <f>+U9+U15+U18</f>
        <v>5312.5</v>
      </c>
      <c r="V8" s="179">
        <f>+V9+V15+V18</f>
        <v>2462.5</v>
      </c>
      <c r="W8" s="179">
        <f>SUM(T8:V8)</f>
        <v>17807.5</v>
      </c>
      <c r="X8" s="180"/>
      <c r="Y8" t="str">
        <f t="shared" si="0"/>
        <v xml:space="preserve">OK </v>
      </c>
      <c r="Z8">
        <v>11267.25</v>
      </c>
      <c r="AA8">
        <v>5737.25</v>
      </c>
      <c r="AB8">
        <v>2487.5</v>
      </c>
    </row>
    <row r="9" spans="1:29" ht="22.5" hidden="1" customHeight="1" x14ac:dyDescent="0.75">
      <c r="B9">
        <f>MATCH(G9,[1]កម្មវិធី!$E$2:$E$6)</f>
        <v>2</v>
      </c>
      <c r="F9" s="183" t="s">
        <v>263</v>
      </c>
      <c r="G9" s="273" t="s">
        <v>31</v>
      </c>
      <c r="H9" s="273" t="str">
        <f>RIGHT(F9,LEN(F9)-SEARCH("៖",F9))</f>
        <v xml:space="preserve"> ការគ្រប់គ្រងចំណូលសាធារណៈ និងទ្រព្យសម្បត្តិរដ្ឋ</v>
      </c>
      <c r="I9" s="184"/>
      <c r="J9" s="185"/>
      <c r="K9" s="186"/>
      <c r="L9" s="187">
        <f>L10+L12</f>
        <v>3400</v>
      </c>
      <c r="M9" s="187">
        <f t="shared" ref="M9:N9" si="1">M10+M12</f>
        <v>1050</v>
      </c>
      <c r="N9" s="187">
        <f t="shared" si="1"/>
        <v>100</v>
      </c>
      <c r="O9" s="187">
        <f>O10+O12</f>
        <v>4550</v>
      </c>
      <c r="P9" s="187">
        <f t="shared" ref="P9:R9" si="2">P10+P12</f>
        <v>0</v>
      </c>
      <c r="Q9" s="187">
        <f t="shared" si="2"/>
        <v>0</v>
      </c>
      <c r="R9" s="187">
        <f t="shared" si="2"/>
        <v>0</v>
      </c>
      <c r="S9" s="187">
        <f>S10+S12</f>
        <v>0</v>
      </c>
      <c r="T9" s="187">
        <f t="shared" ref="T9:V9" si="3">T10+T12</f>
        <v>3400</v>
      </c>
      <c r="U9" s="187">
        <f t="shared" si="3"/>
        <v>1050</v>
      </c>
      <c r="V9" s="187">
        <f t="shared" si="3"/>
        <v>100</v>
      </c>
      <c r="W9" s="187">
        <f>W10+W12</f>
        <v>4550</v>
      </c>
      <c r="X9" s="188"/>
      <c r="Y9" t="str">
        <f t="shared" si="0"/>
        <v xml:space="preserve">OK </v>
      </c>
      <c r="AC9" s="172">
        <f>800000000/4000</f>
        <v>200000</v>
      </c>
    </row>
    <row r="10" spans="1:29" ht="22.5" hidden="1" customHeight="1" x14ac:dyDescent="0.75">
      <c r="C10">
        <f>MATCH(G10,[2]អនុកម្មវិធី!$E$2:$E$33,0)</f>
        <v>13</v>
      </c>
      <c r="F10" s="181" t="s">
        <v>315</v>
      </c>
      <c r="G10" s="274" t="s">
        <v>318</v>
      </c>
      <c r="H10" s="274" t="str">
        <f>RIGHT(F10,LEN(F10)-SEARCH("៖",F10))</f>
        <v xml:space="preserve"> អគ្គនាយកដ្ឋានគយនិងរដ្ឋាករកម្ពុជា</v>
      </c>
      <c r="I10" s="182"/>
      <c r="J10" s="66"/>
      <c r="K10" s="106"/>
      <c r="L10" s="77">
        <f>SUM(L11:L11)</f>
        <v>2000</v>
      </c>
      <c r="M10" s="77">
        <f>SUM(M11:M11)</f>
        <v>1000</v>
      </c>
      <c r="N10" s="77">
        <f>SUM(N11:N11)</f>
        <v>0</v>
      </c>
      <c r="O10" s="77">
        <f t="shared" ref="O10:O14" si="4">SUM(L10:N10)</f>
        <v>3000</v>
      </c>
      <c r="P10" s="77">
        <f>SUM(P11:P11)</f>
        <v>0</v>
      </c>
      <c r="Q10" s="77">
        <f>SUM(Q11:Q11)</f>
        <v>0</v>
      </c>
      <c r="R10" s="77">
        <f>SUM(R11:R11)</f>
        <v>0</v>
      </c>
      <c r="S10" s="77">
        <f t="shared" ref="S10:S14" si="5">SUM(P10:R10)</f>
        <v>0</v>
      </c>
      <c r="T10" s="77">
        <f>SUM(T11:T11)</f>
        <v>2000</v>
      </c>
      <c r="U10" s="77">
        <f>SUM(U11:U11)</f>
        <v>1000</v>
      </c>
      <c r="V10" s="77">
        <f>SUM(V11:V11)</f>
        <v>0</v>
      </c>
      <c r="W10" s="77">
        <f>SUM(T10:V10)</f>
        <v>3000</v>
      </c>
      <c r="X10" s="69"/>
      <c r="Y10" t="str">
        <f t="shared" si="0"/>
        <v xml:space="preserve">OK </v>
      </c>
    </row>
    <row r="11" spans="1:29" ht="25.5" customHeight="1" x14ac:dyDescent="0.75">
      <c r="A11">
        <v>1</v>
      </c>
      <c r="B11">
        <v>2</v>
      </c>
      <c r="C11">
        <v>13</v>
      </c>
      <c r="F11" s="252" t="s">
        <v>249</v>
      </c>
      <c r="G11" s="275"/>
      <c r="H11" s="275"/>
      <c r="I11" s="253">
        <v>659</v>
      </c>
      <c r="J11" s="259" t="s">
        <v>101</v>
      </c>
      <c r="K11" s="255" t="s">
        <v>102</v>
      </c>
      <c r="L11" s="256">
        <v>2000</v>
      </c>
      <c r="M11" s="256">
        <v>1000</v>
      </c>
      <c r="N11" s="256">
        <v>0</v>
      </c>
      <c r="O11" s="256">
        <f t="shared" si="4"/>
        <v>3000</v>
      </c>
      <c r="P11" s="256"/>
      <c r="Q11" s="256"/>
      <c r="R11" s="256"/>
      <c r="S11" s="256">
        <f t="shared" si="5"/>
        <v>0</v>
      </c>
      <c r="T11" s="256">
        <f>L11-P11</f>
        <v>2000</v>
      </c>
      <c r="U11" s="256">
        <f>M11-Q11</f>
        <v>1000</v>
      </c>
      <c r="V11" s="256">
        <f>N11-R11</f>
        <v>0</v>
      </c>
      <c r="W11" s="256">
        <f t="shared" ref="W11" si="6">SUM(T11:V11)</f>
        <v>3000</v>
      </c>
      <c r="X11" s="257" t="s">
        <v>107</v>
      </c>
      <c r="Y11" t="str">
        <f t="shared" si="0"/>
        <v xml:space="preserve">OK </v>
      </c>
    </row>
    <row r="12" spans="1:29" ht="22.5" hidden="1" customHeight="1" x14ac:dyDescent="0.75">
      <c r="C12">
        <f>MATCH(G12,[2]អនុកម្មវិធី!$E$2:$E$33,0)</f>
        <v>14</v>
      </c>
      <c r="F12" s="181" t="s">
        <v>110</v>
      </c>
      <c r="G12" s="274" t="s">
        <v>319</v>
      </c>
      <c r="H12" s="274" t="str">
        <f>RIGHT(F12,LEN(F12)-SEARCH("៖",F12))</f>
        <v xml:space="preserve"> អគ្គនាយកដ្ឋានពន្ធដារ</v>
      </c>
      <c r="I12" s="182"/>
      <c r="J12" s="66"/>
      <c r="K12" s="106"/>
      <c r="L12" s="77">
        <f>SUM(L13:L14)</f>
        <v>1400</v>
      </c>
      <c r="M12" s="77">
        <f>SUM(M13:M14)</f>
        <v>50</v>
      </c>
      <c r="N12" s="77">
        <f>SUM(N13:N14)</f>
        <v>100</v>
      </c>
      <c r="O12" s="77">
        <f t="shared" si="4"/>
        <v>1550</v>
      </c>
      <c r="P12" s="77">
        <f>SUM(P13:P14)</f>
        <v>0</v>
      </c>
      <c r="Q12" s="77">
        <f>SUM(Q13:Q14)</f>
        <v>0</v>
      </c>
      <c r="R12" s="77">
        <f>SUM(R13:R14)</f>
        <v>0</v>
      </c>
      <c r="S12" s="77">
        <f t="shared" si="5"/>
        <v>0</v>
      </c>
      <c r="T12" s="77">
        <f>SUM(T13:T14)</f>
        <v>1400</v>
      </c>
      <c r="U12" s="77">
        <f>SUM(U13:U14)</f>
        <v>50</v>
      </c>
      <c r="V12" s="77">
        <f>SUM(V13:V14)</f>
        <v>100</v>
      </c>
      <c r="W12" s="77">
        <f>SUM(T12:V12)</f>
        <v>1550</v>
      </c>
      <c r="X12" s="69"/>
      <c r="Y12" t="str">
        <f t="shared" si="0"/>
        <v xml:space="preserve">OK </v>
      </c>
    </row>
    <row r="13" spans="1:29" ht="50.5" x14ac:dyDescent="0.75">
      <c r="A13">
        <v>2</v>
      </c>
      <c r="B13">
        <v>2</v>
      </c>
      <c r="C13">
        <v>14</v>
      </c>
      <c r="F13" s="252" t="s">
        <v>259</v>
      </c>
      <c r="G13" s="275"/>
      <c r="H13" s="275"/>
      <c r="I13" s="253">
        <v>492</v>
      </c>
      <c r="J13" s="254" t="s">
        <v>101</v>
      </c>
      <c r="K13" s="255" t="s">
        <v>102</v>
      </c>
      <c r="L13" s="256">
        <v>900</v>
      </c>
      <c r="M13" s="256">
        <v>0</v>
      </c>
      <c r="N13" s="256">
        <v>100</v>
      </c>
      <c r="O13" s="256">
        <f t="shared" si="4"/>
        <v>1000</v>
      </c>
      <c r="P13" s="256"/>
      <c r="Q13" s="256"/>
      <c r="R13" s="256"/>
      <c r="S13" s="256">
        <f t="shared" si="5"/>
        <v>0</v>
      </c>
      <c r="T13" s="256">
        <f>L13-P13</f>
        <v>900</v>
      </c>
      <c r="U13" s="256">
        <f t="shared" ref="U13:V14" si="7">M13-Q13</f>
        <v>0</v>
      </c>
      <c r="V13" s="256">
        <f t="shared" si="7"/>
        <v>100</v>
      </c>
      <c r="W13" s="256">
        <f t="shared" ref="W13:W14" si="8">SUM(T13:V13)</f>
        <v>1000</v>
      </c>
      <c r="X13" s="257" t="s">
        <v>107</v>
      </c>
      <c r="Y13" t="str">
        <f t="shared" si="0"/>
        <v xml:space="preserve">OK </v>
      </c>
    </row>
    <row r="14" spans="1:29" ht="50.5" x14ac:dyDescent="0.75">
      <c r="A14">
        <v>3</v>
      </c>
      <c r="B14">
        <v>2</v>
      </c>
      <c r="C14">
        <v>14</v>
      </c>
      <c r="F14" s="252" t="s">
        <v>262</v>
      </c>
      <c r="G14" s="275"/>
      <c r="H14" s="275"/>
      <c r="I14" s="253">
        <v>652</v>
      </c>
      <c r="J14" s="254" t="s">
        <v>101</v>
      </c>
      <c r="K14" s="255" t="s">
        <v>102</v>
      </c>
      <c r="L14" s="256">
        <v>500</v>
      </c>
      <c r="M14" s="256">
        <v>50</v>
      </c>
      <c r="N14" s="256">
        <v>0</v>
      </c>
      <c r="O14" s="256">
        <f t="shared" si="4"/>
        <v>550</v>
      </c>
      <c r="P14" s="256"/>
      <c r="Q14" s="256"/>
      <c r="R14" s="256"/>
      <c r="S14" s="256">
        <f t="shared" si="5"/>
        <v>0</v>
      </c>
      <c r="T14" s="256">
        <f>L14-P14</f>
        <v>500</v>
      </c>
      <c r="U14" s="256">
        <f>M14-Q14</f>
        <v>50</v>
      </c>
      <c r="V14" s="256">
        <f t="shared" si="7"/>
        <v>0</v>
      </c>
      <c r="W14" s="256">
        <f t="shared" si="8"/>
        <v>550</v>
      </c>
      <c r="X14" s="257" t="s">
        <v>107</v>
      </c>
      <c r="Y14" t="str">
        <f t="shared" si="0"/>
        <v xml:space="preserve">OK </v>
      </c>
    </row>
    <row r="15" spans="1:29" ht="22.5" hidden="1" customHeight="1" x14ac:dyDescent="0.75">
      <c r="B15">
        <f>MATCH(G15,[1]កម្មវិធី!$E$2:$E$6)</f>
        <v>3</v>
      </c>
      <c r="F15" s="183" t="s">
        <v>264</v>
      </c>
      <c r="G15" s="273" t="s">
        <v>35</v>
      </c>
      <c r="H15" s="273" t="str">
        <f>RIGHT(F15,LEN(F15)-SEARCH("៖",F15))</f>
        <v xml:space="preserve"> ការគ្រប់គ្រងចំណាយសាធារណៈ និងប្រព័ន្ធហិរញ្ញវត្ថុសាធារណៈ</v>
      </c>
      <c r="I15" s="184"/>
      <c r="J15" s="185"/>
      <c r="K15" s="186"/>
      <c r="L15" s="187">
        <f>L16</f>
        <v>2400</v>
      </c>
      <c r="M15" s="187">
        <f t="shared" ref="M15:W15" si="9">M16</f>
        <v>2400</v>
      </c>
      <c r="N15" s="187">
        <f t="shared" si="9"/>
        <v>1800</v>
      </c>
      <c r="O15" s="187">
        <f t="shared" si="9"/>
        <v>6600</v>
      </c>
      <c r="P15" s="187">
        <f t="shared" si="9"/>
        <v>0</v>
      </c>
      <c r="Q15" s="187">
        <f t="shared" si="9"/>
        <v>0</v>
      </c>
      <c r="R15" s="187">
        <f t="shared" si="9"/>
        <v>0</v>
      </c>
      <c r="S15" s="187">
        <f t="shared" si="9"/>
        <v>0</v>
      </c>
      <c r="T15" s="187">
        <f t="shared" si="9"/>
        <v>2400</v>
      </c>
      <c r="U15" s="187">
        <f t="shared" si="9"/>
        <v>2400</v>
      </c>
      <c r="V15" s="187">
        <f t="shared" si="9"/>
        <v>1800</v>
      </c>
      <c r="W15" s="187">
        <f t="shared" si="9"/>
        <v>6600</v>
      </c>
      <c r="X15" s="188"/>
      <c r="Y15" t="str">
        <f t="shared" si="0"/>
        <v xml:space="preserve">OK </v>
      </c>
    </row>
    <row r="16" spans="1:29" ht="22.5" hidden="1" customHeight="1" x14ac:dyDescent="0.75">
      <c r="C16">
        <f>MATCH(G16,[2]អនុកម្មវិធី!$E$2:$E$33,0)</f>
        <v>21</v>
      </c>
      <c r="F16" s="181" t="s">
        <v>116</v>
      </c>
      <c r="G16" s="274" t="s">
        <v>320</v>
      </c>
      <c r="H16" s="274" t="str">
        <f>RIGHT(F16,LEN(F16)-SEARCH("៖",F16))</f>
        <v xml:space="preserve"> អគ្គនាយកដ្ឋានរតនាគារជាតិ</v>
      </c>
      <c r="I16" s="182"/>
      <c r="J16" s="66"/>
      <c r="K16" s="106"/>
      <c r="L16" s="77">
        <f>L17</f>
        <v>2400</v>
      </c>
      <c r="M16" s="77">
        <f>M17</f>
        <v>2400</v>
      </c>
      <c r="N16" s="77">
        <f>N17</f>
        <v>1800</v>
      </c>
      <c r="O16" s="77">
        <f>SUM(L16:N16)</f>
        <v>6600</v>
      </c>
      <c r="P16" s="77">
        <f>P17</f>
        <v>0</v>
      </c>
      <c r="Q16" s="77">
        <f>Q17</f>
        <v>0</v>
      </c>
      <c r="R16" s="77">
        <f>R17</f>
        <v>0</v>
      </c>
      <c r="S16" s="77">
        <f>SUM(P16:R16)</f>
        <v>0</v>
      </c>
      <c r="T16" s="77">
        <f>T17</f>
        <v>2400</v>
      </c>
      <c r="U16" s="77">
        <f>U17</f>
        <v>2400</v>
      </c>
      <c r="V16" s="77">
        <f>V17</f>
        <v>1800</v>
      </c>
      <c r="W16" s="77">
        <f>SUM(T16:V16)</f>
        <v>6600</v>
      </c>
      <c r="X16" s="69"/>
      <c r="Y16" t="str">
        <f t="shared" si="0"/>
        <v xml:space="preserve">OK </v>
      </c>
    </row>
    <row r="17" spans="1:29" ht="28.5" customHeight="1" x14ac:dyDescent="0.75">
      <c r="A17">
        <v>4</v>
      </c>
      <c r="B17">
        <v>3</v>
      </c>
      <c r="C17">
        <v>21</v>
      </c>
      <c r="F17" s="252" t="s">
        <v>247</v>
      </c>
      <c r="G17" s="275"/>
      <c r="H17" s="275"/>
      <c r="I17" s="253">
        <v>651</v>
      </c>
      <c r="J17" s="258" t="s">
        <v>101</v>
      </c>
      <c r="K17" s="258" t="s">
        <v>102</v>
      </c>
      <c r="L17" s="256">
        <v>2400</v>
      </c>
      <c r="M17" s="256">
        <v>2400</v>
      </c>
      <c r="N17" s="256">
        <v>1800</v>
      </c>
      <c r="O17" s="256">
        <f>SUM(L17:N17)</f>
        <v>6600</v>
      </c>
      <c r="P17" s="256"/>
      <c r="Q17" s="256"/>
      <c r="R17" s="256"/>
      <c r="S17" s="256">
        <f>SUM(P17:R17)</f>
        <v>0</v>
      </c>
      <c r="T17" s="256">
        <f>L17-P17</f>
        <v>2400</v>
      </c>
      <c r="U17" s="256">
        <f t="shared" ref="U17:V17" si="10">M17-Q17</f>
        <v>2400</v>
      </c>
      <c r="V17" s="256">
        <f t="shared" si="10"/>
        <v>1800</v>
      </c>
      <c r="W17" s="256">
        <f t="shared" ref="W17" si="11">SUM(T17:V17)</f>
        <v>6600</v>
      </c>
      <c r="X17" s="257" t="s">
        <v>107</v>
      </c>
      <c r="Y17" t="str">
        <f t="shared" si="0"/>
        <v xml:space="preserve">OK </v>
      </c>
    </row>
    <row r="18" spans="1:29" ht="22.5" hidden="1" customHeight="1" x14ac:dyDescent="0.75">
      <c r="B18">
        <f>MATCH(G18,[1]កម្មវិធី!$E$2:$E$6)</f>
        <v>4</v>
      </c>
      <c r="F18" s="183" t="s">
        <v>265</v>
      </c>
      <c r="G18" s="273" t="s">
        <v>41</v>
      </c>
      <c r="H18" s="273" t="str">
        <f>RIGHT(F18,LEN(F18)-SEARCH("៖",F18))</f>
        <v xml:space="preserve"> កិច្ចការរដ្ឋបាលនិងអភិវឌ្ឍស្ថាប័ន</v>
      </c>
      <c r="I18" s="184"/>
      <c r="J18" s="185"/>
      <c r="K18" s="186"/>
      <c r="L18" s="187">
        <f>L19</f>
        <v>4232.5</v>
      </c>
      <c r="M18" s="187">
        <f t="shared" ref="M18:W18" si="12">M19</f>
        <v>1862.5</v>
      </c>
      <c r="N18" s="187">
        <f t="shared" si="12"/>
        <v>562.5</v>
      </c>
      <c r="O18" s="187">
        <f t="shared" si="12"/>
        <v>6657.5</v>
      </c>
      <c r="P18" s="187">
        <f t="shared" si="12"/>
        <v>0</v>
      </c>
      <c r="Q18" s="187">
        <f t="shared" si="12"/>
        <v>0</v>
      </c>
      <c r="R18" s="187">
        <f t="shared" si="12"/>
        <v>0</v>
      </c>
      <c r="S18" s="187">
        <f t="shared" si="12"/>
        <v>0</v>
      </c>
      <c r="T18" s="187">
        <f t="shared" si="12"/>
        <v>4232.5</v>
      </c>
      <c r="U18" s="187">
        <f t="shared" si="12"/>
        <v>1862.5</v>
      </c>
      <c r="V18" s="187">
        <f t="shared" si="12"/>
        <v>562.5</v>
      </c>
      <c r="W18" s="187">
        <f t="shared" si="12"/>
        <v>6657.5</v>
      </c>
      <c r="X18" s="188"/>
      <c r="Y18" t="str">
        <f t="shared" si="0"/>
        <v xml:space="preserve">OK </v>
      </c>
    </row>
    <row r="19" spans="1:29" s="152" customFormat="1" ht="22.5" hidden="1" customHeight="1" x14ac:dyDescent="0.75">
      <c r="B19"/>
      <c r="C19">
        <f>MATCH(G19,[2]អនុកម្មវិធី!$E$2:$E$33,0)</f>
        <v>30</v>
      </c>
      <c r="F19" s="181" t="s">
        <v>123</v>
      </c>
      <c r="G19" s="274" t="s">
        <v>321</v>
      </c>
      <c r="H19" s="274" t="str">
        <f>RIGHT(F19,LEN(F19)-SEARCH("៖",F19))</f>
        <v>មន្ទីរសេដ្ឋកិច្ចនិងហិរញ្ញវត្ថុរាជធានី ខេត្ត</v>
      </c>
      <c r="I19" s="206"/>
      <c r="J19" s="189"/>
      <c r="K19" s="207"/>
      <c r="L19" s="68">
        <f t="shared" ref="L19:W19" si="13">L20+L27</f>
        <v>4232.5</v>
      </c>
      <c r="M19" s="68">
        <f t="shared" si="13"/>
        <v>1862.5</v>
      </c>
      <c r="N19" s="68">
        <f t="shared" si="13"/>
        <v>562.5</v>
      </c>
      <c r="O19" s="68">
        <f t="shared" si="13"/>
        <v>6657.5</v>
      </c>
      <c r="P19" s="68">
        <f t="shared" si="13"/>
        <v>0</v>
      </c>
      <c r="Q19" s="68">
        <f t="shared" si="13"/>
        <v>0</v>
      </c>
      <c r="R19" s="68">
        <f t="shared" si="13"/>
        <v>0</v>
      </c>
      <c r="S19" s="68">
        <f t="shared" si="13"/>
        <v>0</v>
      </c>
      <c r="T19" s="68">
        <f t="shared" si="13"/>
        <v>4232.5</v>
      </c>
      <c r="U19" s="68">
        <f t="shared" si="13"/>
        <v>1862.5</v>
      </c>
      <c r="V19" s="68">
        <f t="shared" si="13"/>
        <v>562.5</v>
      </c>
      <c r="W19" s="68">
        <f t="shared" si="13"/>
        <v>6657.5</v>
      </c>
      <c r="X19" s="208"/>
      <c r="Y19" s="152" t="str">
        <f t="shared" si="0"/>
        <v xml:space="preserve">OK </v>
      </c>
    </row>
    <row r="20" spans="1:29" s="152" customFormat="1" ht="50.5" x14ac:dyDescent="0.75">
      <c r="A20" s="152">
        <v>5</v>
      </c>
      <c r="B20">
        <v>4</v>
      </c>
      <c r="C20">
        <v>30</v>
      </c>
      <c r="F20" s="252" t="s">
        <v>295</v>
      </c>
      <c r="G20" s="275"/>
      <c r="H20" s="275"/>
      <c r="I20" s="253">
        <v>641</v>
      </c>
      <c r="J20" s="254" t="s">
        <v>101</v>
      </c>
      <c r="K20" s="255" t="s">
        <v>102</v>
      </c>
      <c r="L20" s="256">
        <f t="shared" ref="L20:W20" si="14">SUM(L21:L26)</f>
        <v>1232.5</v>
      </c>
      <c r="M20" s="256">
        <f t="shared" si="14"/>
        <v>362.5</v>
      </c>
      <c r="N20" s="256">
        <f t="shared" si="14"/>
        <v>62.5</v>
      </c>
      <c r="O20" s="256">
        <f t="shared" si="14"/>
        <v>1657.5</v>
      </c>
      <c r="P20" s="256">
        <f t="shared" si="14"/>
        <v>0</v>
      </c>
      <c r="Q20" s="256">
        <f t="shared" si="14"/>
        <v>0</v>
      </c>
      <c r="R20" s="256">
        <f t="shared" si="14"/>
        <v>0</v>
      </c>
      <c r="S20" s="256">
        <f t="shared" si="14"/>
        <v>0</v>
      </c>
      <c r="T20" s="256">
        <f t="shared" si="14"/>
        <v>1232.5</v>
      </c>
      <c r="U20" s="256">
        <f t="shared" si="14"/>
        <v>362.5</v>
      </c>
      <c r="V20" s="256">
        <f t="shared" si="14"/>
        <v>62.5</v>
      </c>
      <c r="W20" s="256">
        <f t="shared" si="14"/>
        <v>1657.5</v>
      </c>
      <c r="X20" s="257" t="s">
        <v>107</v>
      </c>
      <c r="Y20" t="str">
        <f t="shared" si="0"/>
        <v xml:space="preserve">OK </v>
      </c>
    </row>
    <row r="21" spans="1:29" ht="27.75" hidden="1" customHeight="1" x14ac:dyDescent="0.75">
      <c r="F21" s="107" t="s">
        <v>274</v>
      </c>
      <c r="G21" s="276"/>
      <c r="H21" s="276"/>
      <c r="I21" s="402" t="s">
        <v>268</v>
      </c>
      <c r="J21" s="402"/>
      <c r="K21" s="402"/>
      <c r="L21" s="77">
        <v>62.5</v>
      </c>
      <c r="M21" s="77">
        <v>62.5</v>
      </c>
      <c r="N21" s="77">
        <v>62.5</v>
      </c>
      <c r="O21" s="77">
        <f t="shared" ref="O21:O24" si="15">SUM(L21:N21)</f>
        <v>187.5</v>
      </c>
      <c r="P21" s="77">
        <v>0</v>
      </c>
      <c r="Q21" s="77">
        <v>0</v>
      </c>
      <c r="R21" s="77">
        <v>0</v>
      </c>
      <c r="S21" s="77">
        <f>SUM(P21:R21)</f>
        <v>0</v>
      </c>
      <c r="T21" s="77">
        <f>L21-P21</f>
        <v>62.5</v>
      </c>
      <c r="U21" s="77">
        <f t="shared" ref="U21:V22" si="16">M21-Q21</f>
        <v>62.5</v>
      </c>
      <c r="V21" s="77">
        <f t="shared" si="16"/>
        <v>62.5</v>
      </c>
      <c r="W21" s="77">
        <f t="shared" ref="W21:W24" si="17">SUM(T21:V21)</f>
        <v>187.5</v>
      </c>
      <c r="X21" s="69"/>
      <c r="Y21" t="str">
        <f t="shared" si="0"/>
        <v xml:space="preserve">OK </v>
      </c>
      <c r="AC21">
        <f>62500*3</f>
        <v>187500</v>
      </c>
    </row>
    <row r="22" spans="1:29" ht="27.75" hidden="1" customHeight="1" x14ac:dyDescent="0.75">
      <c r="F22" s="107" t="s">
        <v>270</v>
      </c>
      <c r="G22" s="276"/>
      <c r="H22" s="276"/>
      <c r="I22" s="402" t="s">
        <v>269</v>
      </c>
      <c r="J22" s="402"/>
      <c r="K22" s="402"/>
      <c r="L22" s="77">
        <v>300</v>
      </c>
      <c r="M22" s="77">
        <v>300</v>
      </c>
      <c r="N22" s="77"/>
      <c r="O22" s="77">
        <f t="shared" si="15"/>
        <v>600</v>
      </c>
      <c r="P22" s="77"/>
      <c r="Q22" s="77"/>
      <c r="R22" s="77"/>
      <c r="S22" s="77">
        <f t="shared" ref="S22:S24" si="18">SUM(P22:R22)</f>
        <v>0</v>
      </c>
      <c r="T22" s="77">
        <f t="shared" ref="T22:V26" si="19">L22-P22</f>
        <v>300</v>
      </c>
      <c r="U22" s="77">
        <f t="shared" si="16"/>
        <v>300</v>
      </c>
      <c r="V22" s="77">
        <f t="shared" si="16"/>
        <v>0</v>
      </c>
      <c r="W22" s="77">
        <f t="shared" si="17"/>
        <v>600</v>
      </c>
      <c r="X22" s="69"/>
      <c r="Y22" t="str">
        <f t="shared" si="0"/>
        <v xml:space="preserve">OK </v>
      </c>
    </row>
    <row r="23" spans="1:29" ht="27.75" hidden="1" customHeight="1" x14ac:dyDescent="0.75">
      <c r="F23" s="107" t="s">
        <v>275</v>
      </c>
      <c r="G23" s="276"/>
      <c r="H23" s="276"/>
      <c r="I23" s="402" t="s">
        <v>271</v>
      </c>
      <c r="J23" s="402"/>
      <c r="K23" s="402"/>
      <c r="L23" s="77">
        <v>235</v>
      </c>
      <c r="M23" s="77"/>
      <c r="N23" s="260"/>
      <c r="O23" s="77">
        <f t="shared" si="15"/>
        <v>235</v>
      </c>
      <c r="P23" s="77"/>
      <c r="Q23" s="77"/>
      <c r="R23" s="77"/>
      <c r="S23" s="77">
        <f t="shared" si="18"/>
        <v>0</v>
      </c>
      <c r="T23" s="77">
        <f t="shared" si="19"/>
        <v>235</v>
      </c>
      <c r="U23" s="77">
        <f t="shared" si="19"/>
        <v>0</v>
      </c>
      <c r="V23" s="77">
        <f t="shared" si="19"/>
        <v>0</v>
      </c>
      <c r="W23" s="77">
        <f t="shared" si="17"/>
        <v>235</v>
      </c>
      <c r="X23" s="69"/>
      <c r="Y23" t="str">
        <f t="shared" si="0"/>
        <v xml:space="preserve">OK </v>
      </c>
    </row>
    <row r="24" spans="1:29" ht="27.75" hidden="1" customHeight="1" x14ac:dyDescent="0.75">
      <c r="F24" s="107" t="s">
        <v>276</v>
      </c>
      <c r="G24" s="276"/>
      <c r="H24" s="276"/>
      <c r="I24" s="402"/>
      <c r="J24" s="402"/>
      <c r="K24" s="402"/>
      <c r="L24" s="77">
        <v>135</v>
      </c>
      <c r="M24" s="77"/>
      <c r="N24" s="260"/>
      <c r="O24" s="77">
        <f t="shared" si="15"/>
        <v>135</v>
      </c>
      <c r="P24" s="77"/>
      <c r="Q24" s="77"/>
      <c r="R24" s="77"/>
      <c r="S24" s="77">
        <f t="shared" si="18"/>
        <v>0</v>
      </c>
      <c r="T24" s="77">
        <f t="shared" si="19"/>
        <v>135</v>
      </c>
      <c r="U24" s="77">
        <f t="shared" si="19"/>
        <v>0</v>
      </c>
      <c r="V24" s="77">
        <f t="shared" si="19"/>
        <v>0</v>
      </c>
      <c r="W24" s="77">
        <f t="shared" si="17"/>
        <v>135</v>
      </c>
      <c r="X24" s="69"/>
      <c r="Y24" t="str">
        <f t="shared" si="0"/>
        <v xml:space="preserve">OK </v>
      </c>
    </row>
    <row r="25" spans="1:29" ht="27.75" hidden="1" customHeight="1" x14ac:dyDescent="0.75">
      <c r="F25" s="107" t="s">
        <v>282</v>
      </c>
      <c r="G25" s="276"/>
      <c r="H25" s="276"/>
      <c r="I25" s="402" t="s">
        <v>272</v>
      </c>
      <c r="J25" s="402"/>
      <c r="K25" s="402"/>
      <c r="L25" s="77">
        <v>125</v>
      </c>
      <c r="M25" s="77"/>
      <c r="N25" s="260"/>
      <c r="O25" s="77">
        <f>SUM(L25:N25)</f>
        <v>125</v>
      </c>
      <c r="P25" s="77"/>
      <c r="Q25" s="77"/>
      <c r="R25" s="77"/>
      <c r="S25" s="77">
        <f>SUM(P25:R25)</f>
        <v>0</v>
      </c>
      <c r="T25" s="77">
        <f t="shared" si="19"/>
        <v>125</v>
      </c>
      <c r="U25" s="77">
        <f t="shared" si="19"/>
        <v>0</v>
      </c>
      <c r="V25" s="77">
        <f t="shared" si="19"/>
        <v>0</v>
      </c>
      <c r="W25" s="77">
        <f>SUM(T25:V25)</f>
        <v>125</v>
      </c>
      <c r="X25" s="69"/>
      <c r="Y25" t="str">
        <f>IF(SUM(O25,W25), "OK ", "-")</f>
        <v xml:space="preserve">OK </v>
      </c>
    </row>
    <row r="26" spans="1:29" ht="27.75" hidden="1" customHeight="1" x14ac:dyDescent="0.75">
      <c r="F26" s="107" t="s">
        <v>277</v>
      </c>
      <c r="G26" s="276"/>
      <c r="H26" s="276"/>
      <c r="I26" s="402" t="s">
        <v>273</v>
      </c>
      <c r="J26" s="402"/>
      <c r="K26" s="402"/>
      <c r="L26" s="77">
        <v>375</v>
      </c>
      <c r="M26" s="77"/>
      <c r="N26" s="77"/>
      <c r="O26" s="77">
        <f t="shared" ref="O26" si="20">SUM(L26:N26)</f>
        <v>375</v>
      </c>
      <c r="P26" s="77"/>
      <c r="Q26" s="77"/>
      <c r="R26" s="77"/>
      <c r="S26" s="77">
        <f t="shared" ref="S26" si="21">SUM(P26:R26)</f>
        <v>0</v>
      </c>
      <c r="T26" s="77">
        <f t="shared" si="19"/>
        <v>375</v>
      </c>
      <c r="U26" s="77">
        <f t="shared" si="19"/>
        <v>0</v>
      </c>
      <c r="V26" s="77">
        <f t="shared" si="19"/>
        <v>0</v>
      </c>
      <c r="W26" s="77">
        <f t="shared" ref="W26" si="22">SUM(T26:V26)</f>
        <v>375</v>
      </c>
      <c r="X26" s="69"/>
      <c r="Y26" t="str">
        <f>IF(SUM(O26,W26), "OK ", "-")</f>
        <v xml:space="preserve">OK </v>
      </c>
    </row>
    <row r="27" spans="1:29" s="152" customFormat="1" ht="75.75" customHeight="1" x14ac:dyDescent="0.75">
      <c r="A27" s="152">
        <v>6</v>
      </c>
      <c r="B27">
        <v>4</v>
      </c>
      <c r="C27">
        <v>30</v>
      </c>
      <c r="F27" s="252" t="s">
        <v>291</v>
      </c>
      <c r="G27" s="275"/>
      <c r="H27" s="275"/>
      <c r="I27" s="253">
        <v>507</v>
      </c>
      <c r="J27" s="254" t="s">
        <v>101</v>
      </c>
      <c r="K27" s="255" t="s">
        <v>102</v>
      </c>
      <c r="L27" s="256">
        <f>SUM(L28:L29)</f>
        <v>3000</v>
      </c>
      <c r="M27" s="256">
        <f t="shared" ref="M27:W27" si="23">SUM(M28:M29)</f>
        <v>1500</v>
      </c>
      <c r="N27" s="256">
        <f t="shared" si="23"/>
        <v>500</v>
      </c>
      <c r="O27" s="256">
        <f t="shared" si="23"/>
        <v>5000</v>
      </c>
      <c r="P27" s="256">
        <f t="shared" si="23"/>
        <v>0</v>
      </c>
      <c r="Q27" s="256">
        <f t="shared" si="23"/>
        <v>0</v>
      </c>
      <c r="R27" s="256">
        <f t="shared" si="23"/>
        <v>0</v>
      </c>
      <c r="S27" s="256">
        <f t="shared" si="23"/>
        <v>0</v>
      </c>
      <c r="T27" s="256">
        <f t="shared" si="23"/>
        <v>3000</v>
      </c>
      <c r="U27" s="256">
        <f t="shared" si="23"/>
        <v>1500</v>
      </c>
      <c r="V27" s="256">
        <f t="shared" si="23"/>
        <v>500</v>
      </c>
      <c r="W27" s="256">
        <f t="shared" si="23"/>
        <v>5000</v>
      </c>
      <c r="X27" s="257" t="s">
        <v>107</v>
      </c>
      <c r="Y27" t="str">
        <f t="shared" ref="Y27:Y29" si="24">IF(SUM(O27,W27), "OK ", "-")</f>
        <v xml:space="preserve">OK </v>
      </c>
    </row>
    <row r="28" spans="1:29" ht="22.5" hidden="1" customHeight="1" x14ac:dyDescent="0.75">
      <c r="F28" s="107" t="s">
        <v>278</v>
      </c>
      <c r="G28" s="276"/>
      <c r="H28" s="276"/>
      <c r="I28" s="402" t="s">
        <v>279</v>
      </c>
      <c r="J28" s="402"/>
      <c r="K28" s="402"/>
      <c r="L28" s="77">
        <v>2500</v>
      </c>
      <c r="M28" s="77">
        <v>1000</v>
      </c>
      <c r="N28" s="77">
        <v>500</v>
      </c>
      <c r="O28" s="77">
        <f t="shared" ref="O28" si="25">SUM(L28:N28)</f>
        <v>4000</v>
      </c>
      <c r="P28" s="77"/>
      <c r="Q28" s="77"/>
      <c r="R28" s="77"/>
      <c r="S28" s="77">
        <f t="shared" ref="S28:S29" si="26">SUM(P28:R28)</f>
        <v>0</v>
      </c>
      <c r="T28" s="77">
        <f t="shared" ref="T28:V29" si="27">L28-P28</f>
        <v>2500</v>
      </c>
      <c r="U28" s="77">
        <f t="shared" si="27"/>
        <v>1000</v>
      </c>
      <c r="V28" s="77">
        <f t="shared" si="27"/>
        <v>500</v>
      </c>
      <c r="W28" s="77">
        <f t="shared" ref="W28:W29" si="28">SUM(T28:V28)</f>
        <v>4000</v>
      </c>
      <c r="X28" s="69"/>
      <c r="Y28" t="str">
        <f t="shared" si="24"/>
        <v xml:space="preserve">OK </v>
      </c>
    </row>
    <row r="29" spans="1:29" ht="26" hidden="1" thickBot="1" x14ac:dyDescent="0.9">
      <c r="F29" s="109" t="s">
        <v>281</v>
      </c>
      <c r="G29" s="277"/>
      <c r="H29" s="277"/>
      <c r="I29" s="401" t="s">
        <v>280</v>
      </c>
      <c r="J29" s="401"/>
      <c r="K29" s="401"/>
      <c r="L29" s="93">
        <v>500</v>
      </c>
      <c r="M29" s="93">
        <v>500</v>
      </c>
      <c r="N29" s="93"/>
      <c r="O29" s="93">
        <f>SUM(L29:N29)</f>
        <v>1000</v>
      </c>
      <c r="P29" s="93"/>
      <c r="Q29" s="93"/>
      <c r="R29" s="93"/>
      <c r="S29" s="93">
        <f t="shared" si="26"/>
        <v>0</v>
      </c>
      <c r="T29" s="93">
        <f>L29-P29</f>
        <v>500</v>
      </c>
      <c r="U29" s="93">
        <f t="shared" si="27"/>
        <v>500</v>
      </c>
      <c r="V29" s="93">
        <f t="shared" si="27"/>
        <v>0</v>
      </c>
      <c r="W29" s="93">
        <f t="shared" si="28"/>
        <v>1000</v>
      </c>
      <c r="X29" s="94"/>
      <c r="Y29" t="str">
        <f t="shared" si="24"/>
        <v xml:space="preserve">OK </v>
      </c>
    </row>
  </sheetData>
  <autoFilter ref="A7:AB29" xr:uid="{00000000-0009-0000-0000-000005000000}">
    <filterColumn colId="0">
      <customFilters>
        <customFilter operator="notEqual" val=" "/>
      </customFilters>
    </filterColumn>
  </autoFilter>
  <mergeCells count="16">
    <mergeCell ref="A4:X4"/>
    <mergeCell ref="F6:F7"/>
    <mergeCell ref="I6:I7"/>
    <mergeCell ref="J6:J7"/>
    <mergeCell ref="K6:K7"/>
    <mergeCell ref="L6:O6"/>
    <mergeCell ref="P6:S6"/>
    <mergeCell ref="T6:W6"/>
    <mergeCell ref="X6:X7"/>
    <mergeCell ref="I29:K29"/>
    <mergeCell ref="I21:K21"/>
    <mergeCell ref="I22:K22"/>
    <mergeCell ref="I23:K24"/>
    <mergeCell ref="I25:K25"/>
    <mergeCell ref="I26:K26"/>
    <mergeCell ref="I28:K28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S15"/>
  <sheetViews>
    <sheetView showZeros="0" zoomScale="80" zoomScaleNormal="80" workbookViewId="0">
      <pane xSplit="5" ySplit="8" topLeftCell="F18" activePane="bottomRight" state="frozen"/>
      <selection pane="topRight" activeCell="F1" sqref="F1"/>
      <selection pane="bottomLeft" activeCell="A9" sqref="A9"/>
      <selection pane="bottomRight" activeCell="B11" sqref="B11"/>
    </sheetView>
  </sheetViews>
  <sheetFormatPr defaultRowHeight="27.5" x14ac:dyDescent="2.5"/>
  <cols>
    <col min="1" max="1" width="2.7265625" customWidth="1"/>
    <col min="2" max="2" width="54.1328125" customWidth="1"/>
    <col min="3" max="3" width="9.7265625" customWidth="1"/>
    <col min="4" max="4" width="13.54296875" style="40" customWidth="1"/>
    <col min="5" max="5" width="13.1328125" style="41" customWidth="1"/>
    <col min="6" max="6" width="10" customWidth="1"/>
    <col min="7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26953125" customWidth="1"/>
    <col min="18" max="18" width="12" style="41" customWidth="1"/>
  </cols>
  <sheetData>
    <row r="1" spans="1:19" ht="35.25" hidden="1" customHeight="1" x14ac:dyDescent="2.5"/>
    <row r="2" spans="1:19" x14ac:dyDescent="2.5">
      <c r="B2" s="42"/>
    </row>
    <row r="3" spans="1:19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19" ht="52.5" customHeight="1" x14ac:dyDescent="2.75">
      <c r="A4" s="169"/>
      <c r="B4" s="393" t="s">
        <v>257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</row>
    <row r="5" spans="1:19" ht="25.5" customHeight="1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240" t="s">
        <v>82</v>
      </c>
    </row>
    <row r="6" spans="1:19" ht="24.75" customHeight="1" thickTop="1" x14ac:dyDescent="0.75">
      <c r="B6" s="430" t="s">
        <v>0</v>
      </c>
      <c r="C6" s="426" t="s">
        <v>84</v>
      </c>
      <c r="D6" s="433" t="s">
        <v>85</v>
      </c>
      <c r="E6" s="435" t="s">
        <v>86</v>
      </c>
      <c r="F6" s="426" t="s">
        <v>87</v>
      </c>
      <c r="G6" s="426"/>
      <c r="H6" s="426"/>
      <c r="I6" s="426"/>
      <c r="J6" s="426" t="s">
        <v>88</v>
      </c>
      <c r="K6" s="426"/>
      <c r="L6" s="426"/>
      <c r="M6" s="426"/>
      <c r="N6" s="426" t="s">
        <v>89</v>
      </c>
      <c r="O6" s="426"/>
      <c r="P6" s="426"/>
      <c r="Q6" s="427"/>
      <c r="R6" s="428" t="s">
        <v>90</v>
      </c>
    </row>
    <row r="7" spans="1:19" ht="30" customHeight="1" x14ac:dyDescent="0.75">
      <c r="B7" s="431"/>
      <c r="C7" s="432"/>
      <c r="D7" s="434"/>
      <c r="E7" s="436"/>
      <c r="F7" s="263">
        <v>2023</v>
      </c>
      <c r="G7" s="263">
        <v>2024</v>
      </c>
      <c r="H7" s="263">
        <v>2025</v>
      </c>
      <c r="I7" s="262" t="s">
        <v>197</v>
      </c>
      <c r="J7" s="263">
        <v>2023</v>
      </c>
      <c r="K7" s="263">
        <v>2024</v>
      </c>
      <c r="L7" s="263">
        <v>2025</v>
      </c>
      <c r="M7" s="262" t="s">
        <v>197</v>
      </c>
      <c r="N7" s="263">
        <v>2023</v>
      </c>
      <c r="O7" s="263">
        <v>2024</v>
      </c>
      <c r="P7" s="263">
        <v>2025</v>
      </c>
      <c r="Q7" s="262" t="s">
        <v>197</v>
      </c>
      <c r="R7" s="429"/>
      <c r="S7" t="str">
        <f t="shared" ref="S7:S9" si="0">IF(SUM(I7,Q7), "OK ", "-")</f>
        <v>-</v>
      </c>
    </row>
    <row r="8" spans="1:19" ht="15.65" customHeight="1" thickBot="1" x14ac:dyDescent="0.9">
      <c r="B8" s="51"/>
      <c r="C8" s="52"/>
      <c r="D8" s="53"/>
      <c r="E8" s="54"/>
      <c r="F8" s="52"/>
      <c r="G8" s="52"/>
      <c r="H8" s="52"/>
      <c r="I8" s="55"/>
      <c r="J8" s="52"/>
      <c r="K8" s="52"/>
      <c r="L8" s="52"/>
      <c r="M8" s="55"/>
      <c r="N8" s="52"/>
      <c r="O8" s="52"/>
      <c r="P8" s="52"/>
      <c r="Q8" s="56"/>
      <c r="R8" s="57"/>
      <c r="S8" t="str">
        <f t="shared" si="0"/>
        <v>-</v>
      </c>
    </row>
    <row r="9" spans="1:19" ht="45.75" customHeight="1" thickTop="1" x14ac:dyDescent="0.75">
      <c r="B9" s="190" t="s">
        <v>91</v>
      </c>
      <c r="C9" s="191"/>
      <c r="D9" s="192"/>
      <c r="E9" s="193"/>
      <c r="F9" s="194">
        <f>SUM(F10:F15)</f>
        <v>10032.5</v>
      </c>
      <c r="G9" s="194">
        <f>SUM(G10:G15)</f>
        <v>5312.5</v>
      </c>
      <c r="H9" s="194">
        <f>SUM(H10:H15)</f>
        <v>2462.5</v>
      </c>
      <c r="I9" s="194">
        <f>SUM(F9:H9)</f>
        <v>17807.5</v>
      </c>
      <c r="J9" s="194">
        <f>SUM(J10:J15)</f>
        <v>0</v>
      </c>
      <c r="K9" s="194">
        <f>SUM(K10:K15)</f>
        <v>0</v>
      </c>
      <c r="L9" s="194">
        <f>SUM(L10:L15)</f>
        <v>0</v>
      </c>
      <c r="M9" s="194">
        <f>SUM(J9:L9)</f>
        <v>0</v>
      </c>
      <c r="N9" s="194">
        <f>SUM(N10:N15)</f>
        <v>10032.5</v>
      </c>
      <c r="O9" s="194">
        <f>SUM(O10:O15)</f>
        <v>5312.5</v>
      </c>
      <c r="P9" s="194">
        <f>SUM(P10:P15)</f>
        <v>2462.5</v>
      </c>
      <c r="Q9" s="194">
        <f>SUM(N9:P9)</f>
        <v>17807.5</v>
      </c>
      <c r="R9" s="195"/>
      <c r="S9" t="str">
        <f t="shared" si="0"/>
        <v xml:space="preserve">OK </v>
      </c>
    </row>
    <row r="10" spans="1:19" ht="33.75" customHeight="1" x14ac:dyDescent="0.75">
      <c r="B10" s="148" t="s">
        <v>249</v>
      </c>
      <c r="C10" s="65">
        <v>659</v>
      </c>
      <c r="D10" s="105" t="s">
        <v>101</v>
      </c>
      <c r="E10" s="106" t="s">
        <v>102</v>
      </c>
      <c r="F10" s="77">
        <v>2000</v>
      </c>
      <c r="G10" s="77">
        <v>1000</v>
      </c>
      <c r="H10" s="77">
        <v>0</v>
      </c>
      <c r="I10" s="77">
        <f t="shared" ref="I10:I15" si="1">SUM(F10:H10)</f>
        <v>3000</v>
      </c>
      <c r="J10" s="77"/>
      <c r="K10" s="77"/>
      <c r="L10" s="77"/>
      <c r="M10" s="77">
        <f t="shared" ref="M10:M15" si="2">SUM(J10:L10)</f>
        <v>0</v>
      </c>
      <c r="N10" s="77">
        <f>F10-J10</f>
        <v>2000</v>
      </c>
      <c r="O10" s="77">
        <f t="shared" ref="O10:O15" si="3">G10-K10</f>
        <v>1000</v>
      </c>
      <c r="P10" s="77">
        <f t="shared" ref="P10:P15" si="4">H10-L10</f>
        <v>0</v>
      </c>
      <c r="Q10" s="77">
        <f t="shared" ref="Q10:Q15" si="5">SUM(N10:P10)</f>
        <v>3000</v>
      </c>
      <c r="R10" s="69" t="s">
        <v>107</v>
      </c>
      <c r="S10" t="str">
        <f>IF(SUM(I10,Q10), "OK ", "-")</f>
        <v xml:space="preserve">OK </v>
      </c>
    </row>
    <row r="11" spans="1:19" ht="50.5" x14ac:dyDescent="0.75">
      <c r="B11" s="107" t="s">
        <v>260</v>
      </c>
      <c r="C11" s="65">
        <v>492</v>
      </c>
      <c r="D11" s="106" t="s">
        <v>101</v>
      </c>
      <c r="E11" s="106" t="s">
        <v>102</v>
      </c>
      <c r="F11" s="77">
        <v>900</v>
      </c>
      <c r="G11" s="77">
        <v>0</v>
      </c>
      <c r="H11" s="77">
        <v>100</v>
      </c>
      <c r="I11" s="77">
        <f t="shared" si="1"/>
        <v>1000</v>
      </c>
      <c r="J11" s="77"/>
      <c r="K11" s="77"/>
      <c r="L11" s="77"/>
      <c r="M11" s="77">
        <f t="shared" si="2"/>
        <v>0</v>
      </c>
      <c r="N11" s="77">
        <f t="shared" ref="N11:N14" si="6">F11-J11</f>
        <v>900</v>
      </c>
      <c r="O11" s="77">
        <f t="shared" si="3"/>
        <v>0</v>
      </c>
      <c r="P11" s="77">
        <f t="shared" si="4"/>
        <v>100</v>
      </c>
      <c r="Q11" s="77">
        <f t="shared" si="5"/>
        <v>1000</v>
      </c>
      <c r="R11" s="69" t="s">
        <v>107</v>
      </c>
      <c r="S11" t="str">
        <f t="shared" ref="S11:S15" si="7">IF(SUM(I11,Q11), "OK ", "-")</f>
        <v xml:space="preserve">OK </v>
      </c>
    </row>
    <row r="12" spans="1:19" ht="52.5" customHeight="1" x14ac:dyDescent="0.75">
      <c r="B12" s="107" t="s">
        <v>261</v>
      </c>
      <c r="C12" s="65">
        <v>652</v>
      </c>
      <c r="D12" s="106" t="s">
        <v>101</v>
      </c>
      <c r="E12" s="106" t="s">
        <v>102</v>
      </c>
      <c r="F12" s="77">
        <v>500</v>
      </c>
      <c r="G12" s="77">
        <v>50</v>
      </c>
      <c r="H12" s="77">
        <v>0</v>
      </c>
      <c r="I12" s="77">
        <f t="shared" si="1"/>
        <v>550</v>
      </c>
      <c r="J12" s="77"/>
      <c r="K12" s="77"/>
      <c r="L12" s="77"/>
      <c r="M12" s="77">
        <f t="shared" si="2"/>
        <v>0</v>
      </c>
      <c r="N12" s="77">
        <f t="shared" si="6"/>
        <v>500</v>
      </c>
      <c r="O12" s="77">
        <f t="shared" si="3"/>
        <v>50</v>
      </c>
      <c r="P12" s="77">
        <f t="shared" si="4"/>
        <v>0</v>
      </c>
      <c r="Q12" s="77">
        <f t="shared" si="5"/>
        <v>550</v>
      </c>
      <c r="R12" s="69" t="s">
        <v>107</v>
      </c>
      <c r="S12" t="str">
        <f t="shared" si="7"/>
        <v xml:space="preserve">OK </v>
      </c>
    </row>
    <row r="13" spans="1:19" ht="36" customHeight="1" x14ac:dyDescent="0.75">
      <c r="B13" s="148" t="s">
        <v>254</v>
      </c>
      <c r="C13" s="65">
        <v>651</v>
      </c>
      <c r="D13" s="106" t="s">
        <v>101</v>
      </c>
      <c r="E13" s="106" t="s">
        <v>102</v>
      </c>
      <c r="F13" s="77">
        <v>2400</v>
      </c>
      <c r="G13" s="77">
        <v>2400</v>
      </c>
      <c r="H13" s="77">
        <v>1800</v>
      </c>
      <c r="I13" s="77">
        <f t="shared" si="1"/>
        <v>6600</v>
      </c>
      <c r="J13" s="77"/>
      <c r="K13" s="77"/>
      <c r="L13" s="77"/>
      <c r="M13" s="77">
        <f t="shared" si="2"/>
        <v>0</v>
      </c>
      <c r="N13" s="77">
        <f t="shared" si="6"/>
        <v>2400</v>
      </c>
      <c r="O13" s="77">
        <f t="shared" si="3"/>
        <v>2400</v>
      </c>
      <c r="P13" s="77">
        <f t="shared" si="4"/>
        <v>1800</v>
      </c>
      <c r="Q13" s="77">
        <f t="shared" si="5"/>
        <v>6600</v>
      </c>
      <c r="R13" s="69" t="s">
        <v>107</v>
      </c>
      <c r="S13" t="str">
        <f t="shared" si="7"/>
        <v xml:space="preserve">OK </v>
      </c>
    </row>
    <row r="14" spans="1:19" ht="50.5" x14ac:dyDescent="0.75">
      <c r="B14" s="148" t="s">
        <v>296</v>
      </c>
      <c r="C14" s="65">
        <v>641</v>
      </c>
      <c r="D14" s="106" t="s">
        <v>101</v>
      </c>
      <c r="E14" s="106" t="s">
        <v>102</v>
      </c>
      <c r="F14" s="77">
        <v>1232.5</v>
      </c>
      <c r="G14" s="77">
        <v>362.5</v>
      </c>
      <c r="H14" s="77">
        <v>62.5</v>
      </c>
      <c r="I14" s="77">
        <f t="shared" si="1"/>
        <v>1657.5</v>
      </c>
      <c r="J14" s="77"/>
      <c r="K14" s="77"/>
      <c r="L14" s="77"/>
      <c r="M14" s="77">
        <f t="shared" si="2"/>
        <v>0</v>
      </c>
      <c r="N14" s="77">
        <f t="shared" si="6"/>
        <v>1232.5</v>
      </c>
      <c r="O14" s="77">
        <f t="shared" si="3"/>
        <v>362.5</v>
      </c>
      <c r="P14" s="77">
        <f t="shared" si="4"/>
        <v>62.5</v>
      </c>
      <c r="Q14" s="77">
        <f t="shared" si="5"/>
        <v>1657.5</v>
      </c>
      <c r="R14" s="69" t="s">
        <v>107</v>
      </c>
      <c r="S14" t="str">
        <f t="shared" si="7"/>
        <v xml:space="preserve">OK </v>
      </c>
    </row>
    <row r="15" spans="1:19" ht="76.5" thickBot="1" x14ac:dyDescent="0.9">
      <c r="B15" s="173" t="s">
        <v>267</v>
      </c>
      <c r="C15" s="90">
        <v>507</v>
      </c>
      <c r="D15" s="205" t="s">
        <v>101</v>
      </c>
      <c r="E15" s="205" t="s">
        <v>102</v>
      </c>
      <c r="F15" s="93">
        <v>3000</v>
      </c>
      <c r="G15" s="93">
        <f>1000+500</f>
        <v>1500</v>
      </c>
      <c r="H15" s="93">
        <v>500</v>
      </c>
      <c r="I15" s="93">
        <f t="shared" si="1"/>
        <v>5000</v>
      </c>
      <c r="J15" s="93"/>
      <c r="K15" s="93"/>
      <c r="L15" s="93"/>
      <c r="M15" s="93">
        <f t="shared" si="2"/>
        <v>0</v>
      </c>
      <c r="N15" s="93">
        <f>F15-J15</f>
        <v>3000</v>
      </c>
      <c r="O15" s="93">
        <f t="shared" si="3"/>
        <v>1500</v>
      </c>
      <c r="P15" s="93">
        <f t="shared" si="4"/>
        <v>500</v>
      </c>
      <c r="Q15" s="93">
        <f t="shared" si="5"/>
        <v>5000</v>
      </c>
      <c r="R15" s="94" t="s">
        <v>107</v>
      </c>
      <c r="S15" t="str">
        <f t="shared" si="7"/>
        <v xml:space="preserve">OK </v>
      </c>
    </row>
  </sheetData>
  <autoFilter ref="A7:V15" xr:uid="{00000000-0009-0000-0000-000004000000}"/>
  <mergeCells count="9">
    <mergeCell ref="J6:M6"/>
    <mergeCell ref="N6:Q6"/>
    <mergeCell ref="R6:R7"/>
    <mergeCell ref="B4:R4"/>
    <mergeCell ref="B6:B7"/>
    <mergeCell ref="C6:C7"/>
    <mergeCell ref="D6:D7"/>
    <mergeCell ref="E6:E7"/>
    <mergeCell ref="F6:I6"/>
  </mergeCells>
  <printOptions horizontalCentered="1"/>
  <pageMargins left="0" right="0" top="3.9370078740157501E-2" bottom="0.39370078740157499" header="0.15748031496063" footer="0.15748031496063"/>
  <pageSetup paperSize="9" scale="68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W30"/>
  <sheetViews>
    <sheetView showZeros="0" tabSelected="1" zoomScale="90" zoomScaleNormal="90" workbookViewId="0">
      <selection activeCell="F3" sqref="F3"/>
    </sheetView>
  </sheetViews>
  <sheetFormatPr defaultRowHeight="27.5" x14ac:dyDescent="2.5"/>
  <cols>
    <col min="1" max="1" width="2.7265625" customWidth="1"/>
    <col min="2" max="2" width="53" customWidth="1"/>
    <col min="3" max="3" width="9.7265625" customWidth="1"/>
    <col min="4" max="4" width="13.54296875" style="40" customWidth="1"/>
    <col min="5" max="5" width="13.1328125" style="41" customWidth="1"/>
    <col min="6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86328125" customWidth="1"/>
    <col min="18" max="18" width="11.40625" style="41" customWidth="1"/>
    <col min="23" max="23" width="20.86328125" customWidth="1"/>
  </cols>
  <sheetData>
    <row r="1" spans="1:23" ht="45.75" customHeight="1" x14ac:dyDescent="2.5"/>
    <row r="2" spans="1:23" x14ac:dyDescent="2.5">
      <c r="B2" s="42"/>
    </row>
    <row r="3" spans="1:23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23" ht="34.5" customHeight="1" x14ac:dyDescent="2.75">
      <c r="A4" s="393" t="s">
        <v>256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</row>
    <row r="5" spans="1:23" ht="24.75" customHeight="1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48" t="s">
        <v>82</v>
      </c>
    </row>
    <row r="6" spans="1:23" ht="26.25" customHeight="1" thickTop="1" x14ac:dyDescent="0.75">
      <c r="B6" s="415" t="s">
        <v>83</v>
      </c>
      <c r="C6" s="417" t="s">
        <v>84</v>
      </c>
      <c r="D6" s="419" t="s">
        <v>85</v>
      </c>
      <c r="E6" s="421" t="s">
        <v>86</v>
      </c>
      <c r="F6" s="417" t="s">
        <v>87</v>
      </c>
      <c r="G6" s="417"/>
      <c r="H6" s="417"/>
      <c r="I6" s="417"/>
      <c r="J6" s="417" t="s">
        <v>88</v>
      </c>
      <c r="K6" s="417"/>
      <c r="L6" s="417"/>
      <c r="M6" s="417"/>
      <c r="N6" s="417" t="s">
        <v>89</v>
      </c>
      <c r="O6" s="417"/>
      <c r="P6" s="417"/>
      <c r="Q6" s="423"/>
      <c r="R6" s="424" t="s">
        <v>90</v>
      </c>
    </row>
    <row r="7" spans="1:23" ht="26.25" customHeight="1" x14ac:dyDescent="0.75">
      <c r="B7" s="416"/>
      <c r="C7" s="418"/>
      <c r="D7" s="420"/>
      <c r="E7" s="422"/>
      <c r="F7" s="204">
        <v>2023</v>
      </c>
      <c r="G7" s="204">
        <v>2024</v>
      </c>
      <c r="H7" s="204">
        <v>2025</v>
      </c>
      <c r="I7" s="170" t="s">
        <v>197</v>
      </c>
      <c r="J7" s="204">
        <v>2023</v>
      </c>
      <c r="K7" s="204">
        <v>2024</v>
      </c>
      <c r="L7" s="204">
        <v>2025</v>
      </c>
      <c r="M7" s="170" t="s">
        <v>197</v>
      </c>
      <c r="N7" s="204">
        <v>2023</v>
      </c>
      <c r="O7" s="204">
        <v>2024</v>
      </c>
      <c r="P7" s="204">
        <v>2025</v>
      </c>
      <c r="Q7" s="170" t="s">
        <v>197</v>
      </c>
      <c r="R7" s="425"/>
      <c r="S7" t="str">
        <f t="shared" ref="S7:S25" si="0">IF(SUM(I7,Q7), "OK ", "-")</f>
        <v>-</v>
      </c>
    </row>
    <row r="8" spans="1:23" ht="15.65" customHeight="1" thickBot="1" x14ac:dyDescent="0.9">
      <c r="B8" s="51">
        <v>1</v>
      </c>
      <c r="C8" s="52">
        <v>2</v>
      </c>
      <c r="D8" s="55">
        <v>3</v>
      </c>
      <c r="E8" s="55">
        <v>4</v>
      </c>
      <c r="F8" s="52">
        <v>5</v>
      </c>
      <c r="G8" s="52">
        <v>6</v>
      </c>
      <c r="H8" s="52">
        <v>7</v>
      </c>
      <c r="I8" s="55" t="s">
        <v>186</v>
      </c>
      <c r="J8" s="52">
        <v>9</v>
      </c>
      <c r="K8" s="52">
        <v>10</v>
      </c>
      <c r="L8" s="52">
        <v>11</v>
      </c>
      <c r="M8" s="55" t="s">
        <v>283</v>
      </c>
      <c r="N8" s="52" t="s">
        <v>284</v>
      </c>
      <c r="O8" s="52" t="s">
        <v>285</v>
      </c>
      <c r="P8" s="52" t="s">
        <v>286</v>
      </c>
      <c r="Q8" s="56" t="s">
        <v>287</v>
      </c>
      <c r="R8" s="56">
        <v>17</v>
      </c>
      <c r="S8" t="str">
        <f t="shared" si="0"/>
        <v>-</v>
      </c>
    </row>
    <row r="9" spans="1:23" ht="51.25" thickTop="1" x14ac:dyDescent="0.75">
      <c r="B9" s="175" t="s">
        <v>91</v>
      </c>
      <c r="C9" s="176"/>
      <c r="D9" s="177"/>
      <c r="E9" s="178"/>
      <c r="F9" s="179">
        <f>+F10+F16+F19</f>
        <v>10032.5</v>
      </c>
      <c r="G9" s="179">
        <f>+G10+G16+G19</f>
        <v>5312.5</v>
      </c>
      <c r="H9" s="179">
        <f>+H10+H16+H19</f>
        <v>2462.5</v>
      </c>
      <c r="I9" s="179">
        <f>SUM(F9:H9)</f>
        <v>17807.5</v>
      </c>
      <c r="J9" s="179">
        <f>+J10+J16+J19</f>
        <v>0</v>
      </c>
      <c r="K9" s="179">
        <f>+K10+K16+K19</f>
        <v>0</v>
      </c>
      <c r="L9" s="179">
        <f>+L10+L16+L19</f>
        <v>0</v>
      </c>
      <c r="M9" s="179">
        <f>SUM(J9:L9)</f>
        <v>0</v>
      </c>
      <c r="N9" s="179">
        <f>+N10+N16+N19</f>
        <v>10032.5</v>
      </c>
      <c r="O9" s="179">
        <f>+O10+O16+O19</f>
        <v>5312.5</v>
      </c>
      <c r="P9" s="179">
        <f>+P10+P16+P19</f>
        <v>2462.5</v>
      </c>
      <c r="Q9" s="179">
        <f>SUM(N9:P9)</f>
        <v>17807.5</v>
      </c>
      <c r="R9" s="180"/>
      <c r="S9" t="str">
        <f t="shared" si="0"/>
        <v xml:space="preserve">OK </v>
      </c>
      <c r="T9">
        <v>11267.25</v>
      </c>
      <c r="U9">
        <v>5737.25</v>
      </c>
      <c r="V9">
        <v>2487.5</v>
      </c>
    </row>
    <row r="10" spans="1:23" ht="22.5" customHeight="1" x14ac:dyDescent="0.75">
      <c r="B10" s="183" t="s">
        <v>263</v>
      </c>
      <c r="C10" s="184"/>
      <c r="D10" s="185"/>
      <c r="E10" s="186"/>
      <c r="F10" s="187">
        <f>F11+F13</f>
        <v>3400</v>
      </c>
      <c r="G10" s="187">
        <f t="shared" ref="G10:H10" si="1">G11+G13</f>
        <v>1050</v>
      </c>
      <c r="H10" s="187">
        <f t="shared" si="1"/>
        <v>100</v>
      </c>
      <c r="I10" s="187">
        <f>I11+I13</f>
        <v>4550</v>
      </c>
      <c r="J10" s="187">
        <f t="shared" ref="J10:L10" si="2">J11+J13</f>
        <v>0</v>
      </c>
      <c r="K10" s="187">
        <f t="shared" si="2"/>
        <v>0</v>
      </c>
      <c r="L10" s="187">
        <f t="shared" si="2"/>
        <v>0</v>
      </c>
      <c r="M10" s="187">
        <f>M11+M13</f>
        <v>0</v>
      </c>
      <c r="N10" s="187">
        <f t="shared" ref="N10:P10" si="3">N11+N13</f>
        <v>3400</v>
      </c>
      <c r="O10" s="187">
        <f t="shared" si="3"/>
        <v>1050</v>
      </c>
      <c r="P10" s="187">
        <f t="shared" si="3"/>
        <v>100</v>
      </c>
      <c r="Q10" s="187">
        <f>Q11+Q13</f>
        <v>4550</v>
      </c>
      <c r="R10" s="188"/>
      <c r="S10" t="str">
        <f t="shared" si="0"/>
        <v xml:space="preserve">OK </v>
      </c>
      <c r="W10" s="172">
        <f>800000000/4000</f>
        <v>200000</v>
      </c>
    </row>
    <row r="11" spans="1:23" ht="22.5" customHeight="1" x14ac:dyDescent="0.75">
      <c r="B11" s="181" t="s">
        <v>105</v>
      </c>
      <c r="C11" s="182"/>
      <c r="D11" s="66"/>
      <c r="E11" s="106"/>
      <c r="F11" s="77">
        <f>SUM(F12:F12)</f>
        <v>2000</v>
      </c>
      <c r="G11" s="77">
        <f>SUM(G12:G12)</f>
        <v>1000</v>
      </c>
      <c r="H11" s="77">
        <f>SUM(H12:H12)</f>
        <v>0</v>
      </c>
      <c r="I11" s="77">
        <f t="shared" ref="I11:I15" si="4">SUM(F11:H11)</f>
        <v>3000</v>
      </c>
      <c r="J11" s="77">
        <f>SUM(J12:J12)</f>
        <v>0</v>
      </c>
      <c r="K11" s="77">
        <f>SUM(K12:K12)</f>
        <v>0</v>
      </c>
      <c r="L11" s="77">
        <f>SUM(L12:L12)</f>
        <v>0</v>
      </c>
      <c r="M11" s="77">
        <f t="shared" ref="M11:M15" si="5">SUM(J11:L11)</f>
        <v>0</v>
      </c>
      <c r="N11" s="77">
        <f>SUM(N12:N12)</f>
        <v>2000</v>
      </c>
      <c r="O11" s="77">
        <f>SUM(O12:O12)</f>
        <v>1000</v>
      </c>
      <c r="P11" s="77">
        <f>SUM(P12:P12)</f>
        <v>0</v>
      </c>
      <c r="Q11" s="77">
        <f>SUM(N11:P11)</f>
        <v>3000</v>
      </c>
      <c r="R11" s="69"/>
      <c r="S11" t="str">
        <f t="shared" si="0"/>
        <v xml:space="preserve">OK </v>
      </c>
    </row>
    <row r="12" spans="1:23" ht="25.5" customHeight="1" x14ac:dyDescent="0.75">
      <c r="B12" s="252" t="s">
        <v>249</v>
      </c>
      <c r="C12" s="253">
        <v>659</v>
      </c>
      <c r="D12" s="259" t="s">
        <v>101</v>
      </c>
      <c r="E12" s="255" t="s">
        <v>102</v>
      </c>
      <c r="F12" s="256">
        <v>2000</v>
      </c>
      <c r="G12" s="256">
        <v>1000</v>
      </c>
      <c r="H12" s="256">
        <v>0</v>
      </c>
      <c r="I12" s="256">
        <f t="shared" si="4"/>
        <v>3000</v>
      </c>
      <c r="J12" s="256"/>
      <c r="K12" s="256"/>
      <c r="L12" s="256"/>
      <c r="M12" s="256">
        <f t="shared" si="5"/>
        <v>0</v>
      </c>
      <c r="N12" s="256">
        <f>F12-J12</f>
        <v>2000</v>
      </c>
      <c r="O12" s="256">
        <f>G12-K12</f>
        <v>1000</v>
      </c>
      <c r="P12" s="256">
        <f>H12-L12</f>
        <v>0</v>
      </c>
      <c r="Q12" s="256">
        <f t="shared" ref="Q12" si="6">SUM(N12:P12)</f>
        <v>3000</v>
      </c>
      <c r="R12" s="257" t="s">
        <v>107</v>
      </c>
      <c r="S12" t="str">
        <f t="shared" si="0"/>
        <v xml:space="preserve">OK </v>
      </c>
    </row>
    <row r="13" spans="1:23" ht="22.5" customHeight="1" x14ac:dyDescent="0.75">
      <c r="B13" s="181" t="s">
        <v>110</v>
      </c>
      <c r="C13" s="182"/>
      <c r="D13" s="66"/>
      <c r="E13" s="106"/>
      <c r="F13" s="77">
        <f>SUM(F14:F15)</f>
        <v>1400</v>
      </c>
      <c r="G13" s="77">
        <f>SUM(G14:G15)</f>
        <v>50</v>
      </c>
      <c r="H13" s="77">
        <f>SUM(H14:H15)</f>
        <v>100</v>
      </c>
      <c r="I13" s="77">
        <f t="shared" si="4"/>
        <v>1550</v>
      </c>
      <c r="J13" s="77">
        <f>SUM(J14:J15)</f>
        <v>0</v>
      </c>
      <c r="K13" s="77">
        <f>SUM(K14:K15)</f>
        <v>0</v>
      </c>
      <c r="L13" s="77">
        <f>SUM(L14:L15)</f>
        <v>0</v>
      </c>
      <c r="M13" s="77">
        <f t="shared" si="5"/>
        <v>0</v>
      </c>
      <c r="N13" s="77">
        <f>SUM(N14:N15)</f>
        <v>1400</v>
      </c>
      <c r="O13" s="77">
        <f>SUM(O14:O15)</f>
        <v>50</v>
      </c>
      <c r="P13" s="77">
        <f>SUM(P14:P15)</f>
        <v>100</v>
      </c>
      <c r="Q13" s="77">
        <f>SUM(N13:P13)</f>
        <v>1550</v>
      </c>
      <c r="R13" s="69"/>
      <c r="S13" t="str">
        <f t="shared" si="0"/>
        <v xml:space="preserve">OK </v>
      </c>
    </row>
    <row r="14" spans="1:23" ht="50.5" x14ac:dyDescent="0.75">
      <c r="B14" s="252" t="s">
        <v>259</v>
      </c>
      <c r="C14" s="253">
        <v>492</v>
      </c>
      <c r="D14" s="254" t="s">
        <v>101</v>
      </c>
      <c r="E14" s="255" t="s">
        <v>102</v>
      </c>
      <c r="F14" s="256">
        <v>900</v>
      </c>
      <c r="G14" s="256">
        <v>0</v>
      </c>
      <c r="H14" s="256">
        <v>100</v>
      </c>
      <c r="I14" s="256">
        <f t="shared" si="4"/>
        <v>1000</v>
      </c>
      <c r="J14" s="256"/>
      <c r="K14" s="256"/>
      <c r="L14" s="256"/>
      <c r="M14" s="256">
        <f t="shared" si="5"/>
        <v>0</v>
      </c>
      <c r="N14" s="256">
        <f>F14-J14</f>
        <v>900</v>
      </c>
      <c r="O14" s="256">
        <f t="shared" ref="O14:P15" si="7">G14-K14</f>
        <v>0</v>
      </c>
      <c r="P14" s="256">
        <f t="shared" si="7"/>
        <v>100</v>
      </c>
      <c r="Q14" s="256">
        <f t="shared" ref="Q14:Q15" si="8">SUM(N14:P14)</f>
        <v>1000</v>
      </c>
      <c r="R14" s="257" t="s">
        <v>107</v>
      </c>
      <c r="S14" t="str">
        <f t="shared" si="0"/>
        <v xml:space="preserve">OK </v>
      </c>
    </row>
    <row r="15" spans="1:23" ht="50.5" x14ac:dyDescent="0.75">
      <c r="B15" s="252" t="s">
        <v>262</v>
      </c>
      <c r="C15" s="253">
        <v>652</v>
      </c>
      <c r="D15" s="254" t="s">
        <v>101</v>
      </c>
      <c r="E15" s="255" t="s">
        <v>102</v>
      </c>
      <c r="F15" s="256">
        <v>500</v>
      </c>
      <c r="G15" s="256">
        <v>50</v>
      </c>
      <c r="H15" s="256">
        <v>0</v>
      </c>
      <c r="I15" s="256">
        <f t="shared" si="4"/>
        <v>550</v>
      </c>
      <c r="J15" s="256"/>
      <c r="K15" s="256"/>
      <c r="L15" s="256"/>
      <c r="M15" s="256">
        <f t="shared" si="5"/>
        <v>0</v>
      </c>
      <c r="N15" s="256">
        <f>F15-J15</f>
        <v>500</v>
      </c>
      <c r="O15" s="256">
        <f>G15-K15</f>
        <v>50</v>
      </c>
      <c r="P15" s="256">
        <f t="shared" si="7"/>
        <v>0</v>
      </c>
      <c r="Q15" s="256">
        <f t="shared" si="8"/>
        <v>550</v>
      </c>
      <c r="R15" s="257" t="s">
        <v>107</v>
      </c>
      <c r="S15" t="str">
        <f t="shared" si="0"/>
        <v xml:space="preserve">OK </v>
      </c>
    </row>
    <row r="16" spans="1:23" ht="22.5" customHeight="1" x14ac:dyDescent="0.75">
      <c r="B16" s="183" t="s">
        <v>264</v>
      </c>
      <c r="C16" s="184"/>
      <c r="D16" s="185"/>
      <c r="E16" s="186"/>
      <c r="F16" s="187">
        <f>F17</f>
        <v>2400</v>
      </c>
      <c r="G16" s="187">
        <f t="shared" ref="G16:Q16" si="9">G17</f>
        <v>2400</v>
      </c>
      <c r="H16" s="187">
        <f t="shared" si="9"/>
        <v>1800</v>
      </c>
      <c r="I16" s="187">
        <f t="shared" si="9"/>
        <v>6600</v>
      </c>
      <c r="J16" s="187">
        <f t="shared" si="9"/>
        <v>0</v>
      </c>
      <c r="K16" s="187">
        <f t="shared" si="9"/>
        <v>0</v>
      </c>
      <c r="L16" s="187">
        <f t="shared" si="9"/>
        <v>0</v>
      </c>
      <c r="M16" s="187">
        <f t="shared" si="9"/>
        <v>0</v>
      </c>
      <c r="N16" s="187">
        <f t="shared" si="9"/>
        <v>2400</v>
      </c>
      <c r="O16" s="187">
        <f t="shared" si="9"/>
        <v>2400</v>
      </c>
      <c r="P16" s="187">
        <f t="shared" si="9"/>
        <v>1800</v>
      </c>
      <c r="Q16" s="187">
        <f t="shared" si="9"/>
        <v>6600</v>
      </c>
      <c r="R16" s="188"/>
      <c r="S16" t="str">
        <f t="shared" si="0"/>
        <v xml:space="preserve">OK </v>
      </c>
    </row>
    <row r="17" spans="2:23" ht="22.5" customHeight="1" x14ac:dyDescent="0.75">
      <c r="B17" s="181" t="s">
        <v>116</v>
      </c>
      <c r="C17" s="182"/>
      <c r="D17" s="66"/>
      <c r="E17" s="106"/>
      <c r="F17" s="77">
        <f>F18</f>
        <v>2400</v>
      </c>
      <c r="G17" s="77">
        <f>G18</f>
        <v>2400</v>
      </c>
      <c r="H17" s="77">
        <f>H18</f>
        <v>1800</v>
      </c>
      <c r="I17" s="77">
        <f>SUM(F17:H17)</f>
        <v>6600</v>
      </c>
      <c r="J17" s="77">
        <f>J18</f>
        <v>0</v>
      </c>
      <c r="K17" s="77">
        <f>K18</f>
        <v>0</v>
      </c>
      <c r="L17" s="77">
        <f>L18</f>
        <v>0</v>
      </c>
      <c r="M17" s="77">
        <f>SUM(J17:L17)</f>
        <v>0</v>
      </c>
      <c r="N17" s="77">
        <f>N18</f>
        <v>2400</v>
      </c>
      <c r="O17" s="77">
        <f>O18</f>
        <v>2400</v>
      </c>
      <c r="P17" s="77">
        <f>P18</f>
        <v>1800</v>
      </c>
      <c r="Q17" s="77">
        <f>SUM(N17:P17)</f>
        <v>6600</v>
      </c>
      <c r="R17" s="69"/>
      <c r="S17" t="str">
        <f t="shared" si="0"/>
        <v xml:space="preserve">OK </v>
      </c>
    </row>
    <row r="18" spans="2:23" ht="28.5" customHeight="1" x14ac:dyDescent="0.75">
      <c r="B18" s="252" t="s">
        <v>247</v>
      </c>
      <c r="C18" s="253">
        <v>651</v>
      </c>
      <c r="D18" s="258" t="s">
        <v>101</v>
      </c>
      <c r="E18" s="258" t="s">
        <v>102</v>
      </c>
      <c r="F18" s="256">
        <v>2400</v>
      </c>
      <c r="G18" s="256">
        <v>2400</v>
      </c>
      <c r="H18" s="256">
        <v>1800</v>
      </c>
      <c r="I18" s="256">
        <f>SUM(F18:H18)</f>
        <v>6600</v>
      </c>
      <c r="J18" s="256"/>
      <c r="K18" s="256"/>
      <c r="L18" s="256"/>
      <c r="M18" s="256">
        <f>SUM(J18:L18)</f>
        <v>0</v>
      </c>
      <c r="N18" s="256">
        <f>F18-J18</f>
        <v>2400</v>
      </c>
      <c r="O18" s="256">
        <f t="shared" ref="O18:P18" si="10">G18-K18</f>
        <v>2400</v>
      </c>
      <c r="P18" s="256">
        <f t="shared" si="10"/>
        <v>1800</v>
      </c>
      <c r="Q18" s="256">
        <f t="shared" ref="Q18" si="11">SUM(N18:P18)</f>
        <v>6600</v>
      </c>
      <c r="R18" s="257" t="s">
        <v>107</v>
      </c>
      <c r="S18" t="str">
        <f t="shared" si="0"/>
        <v xml:space="preserve">OK </v>
      </c>
    </row>
    <row r="19" spans="2:23" ht="22.5" customHeight="1" x14ac:dyDescent="0.75">
      <c r="B19" s="183" t="s">
        <v>265</v>
      </c>
      <c r="C19" s="184"/>
      <c r="D19" s="185"/>
      <c r="E19" s="186"/>
      <c r="F19" s="187">
        <f>F20</f>
        <v>4232.5</v>
      </c>
      <c r="G19" s="187">
        <f t="shared" ref="G19:Q19" si="12">G20</f>
        <v>1862.5</v>
      </c>
      <c r="H19" s="187">
        <f t="shared" si="12"/>
        <v>562.5</v>
      </c>
      <c r="I19" s="187">
        <f t="shared" si="12"/>
        <v>6657.5</v>
      </c>
      <c r="J19" s="187">
        <f t="shared" si="12"/>
        <v>0</v>
      </c>
      <c r="K19" s="187">
        <f t="shared" si="12"/>
        <v>0</v>
      </c>
      <c r="L19" s="187">
        <f t="shared" si="12"/>
        <v>0</v>
      </c>
      <c r="M19" s="187">
        <f t="shared" si="12"/>
        <v>0</v>
      </c>
      <c r="N19" s="187">
        <f t="shared" si="12"/>
        <v>4232.5</v>
      </c>
      <c r="O19" s="187">
        <f t="shared" si="12"/>
        <v>1862.5</v>
      </c>
      <c r="P19" s="187">
        <f t="shared" si="12"/>
        <v>562.5</v>
      </c>
      <c r="Q19" s="187">
        <f t="shared" si="12"/>
        <v>6657.5</v>
      </c>
      <c r="R19" s="188"/>
      <c r="S19" t="str">
        <f t="shared" si="0"/>
        <v xml:space="preserve">OK </v>
      </c>
    </row>
    <row r="20" spans="2:23" s="152" customFormat="1" ht="22.5" customHeight="1" x14ac:dyDescent="0.75">
      <c r="B20" s="181" t="s">
        <v>123</v>
      </c>
      <c r="C20" s="206"/>
      <c r="D20" s="189"/>
      <c r="E20" s="207"/>
      <c r="F20" s="68">
        <f t="shared" ref="F20:Q20" si="13">F21+F28</f>
        <v>4232.5</v>
      </c>
      <c r="G20" s="68">
        <f t="shared" si="13"/>
        <v>1862.5</v>
      </c>
      <c r="H20" s="68">
        <f t="shared" si="13"/>
        <v>562.5</v>
      </c>
      <c r="I20" s="68">
        <f t="shared" si="13"/>
        <v>6657.5</v>
      </c>
      <c r="J20" s="68">
        <f t="shared" si="13"/>
        <v>0</v>
      </c>
      <c r="K20" s="68">
        <f t="shared" si="13"/>
        <v>0</v>
      </c>
      <c r="L20" s="68">
        <f t="shared" si="13"/>
        <v>0</v>
      </c>
      <c r="M20" s="68">
        <f t="shared" si="13"/>
        <v>0</v>
      </c>
      <c r="N20" s="68">
        <f t="shared" si="13"/>
        <v>4232.5</v>
      </c>
      <c r="O20" s="68">
        <f t="shared" si="13"/>
        <v>1862.5</v>
      </c>
      <c r="P20" s="68">
        <f t="shared" si="13"/>
        <v>562.5</v>
      </c>
      <c r="Q20" s="68">
        <f t="shared" si="13"/>
        <v>6657.5</v>
      </c>
      <c r="R20" s="208"/>
      <c r="S20" s="152" t="str">
        <f t="shared" si="0"/>
        <v xml:space="preserve">OK </v>
      </c>
    </row>
    <row r="21" spans="2:23" s="152" customFormat="1" ht="50.5" x14ac:dyDescent="0.75">
      <c r="B21" s="252" t="s">
        <v>295</v>
      </c>
      <c r="C21" s="253">
        <v>641</v>
      </c>
      <c r="D21" s="254" t="s">
        <v>101</v>
      </c>
      <c r="E21" s="255" t="s">
        <v>102</v>
      </c>
      <c r="F21" s="256">
        <f t="shared" ref="F21:Q21" si="14">SUM(F22:F27)</f>
        <v>1232.5</v>
      </c>
      <c r="G21" s="256">
        <f t="shared" si="14"/>
        <v>362.5</v>
      </c>
      <c r="H21" s="256">
        <f t="shared" si="14"/>
        <v>62.5</v>
      </c>
      <c r="I21" s="256">
        <f t="shared" si="14"/>
        <v>1657.5</v>
      </c>
      <c r="J21" s="256">
        <f t="shared" si="14"/>
        <v>0</v>
      </c>
      <c r="K21" s="256">
        <f t="shared" si="14"/>
        <v>0</v>
      </c>
      <c r="L21" s="256">
        <f t="shared" si="14"/>
        <v>0</v>
      </c>
      <c r="M21" s="256">
        <f t="shared" si="14"/>
        <v>0</v>
      </c>
      <c r="N21" s="256">
        <f t="shared" si="14"/>
        <v>1232.5</v>
      </c>
      <c r="O21" s="256">
        <f t="shared" si="14"/>
        <v>362.5</v>
      </c>
      <c r="P21" s="256">
        <f t="shared" si="14"/>
        <v>62.5</v>
      </c>
      <c r="Q21" s="256">
        <f t="shared" si="14"/>
        <v>1657.5</v>
      </c>
      <c r="R21" s="257" t="s">
        <v>107</v>
      </c>
      <c r="S21" t="str">
        <f t="shared" si="0"/>
        <v xml:space="preserve">OK </v>
      </c>
    </row>
    <row r="22" spans="2:23" ht="27.75" customHeight="1" x14ac:dyDescent="0.75">
      <c r="B22" s="107" t="s">
        <v>274</v>
      </c>
      <c r="C22" s="402" t="s">
        <v>268</v>
      </c>
      <c r="D22" s="402"/>
      <c r="E22" s="402"/>
      <c r="F22" s="77">
        <v>62.5</v>
      </c>
      <c r="G22" s="77">
        <v>62.5</v>
      </c>
      <c r="H22" s="77">
        <v>62.5</v>
      </c>
      <c r="I22" s="77">
        <f t="shared" ref="I22" si="15">SUM(F22:H22)</f>
        <v>187.5</v>
      </c>
      <c r="J22" s="77">
        <v>0</v>
      </c>
      <c r="K22" s="77">
        <v>0</v>
      </c>
      <c r="L22" s="77">
        <v>0</v>
      </c>
      <c r="M22" s="77">
        <f>SUM(J22:L22)</f>
        <v>0</v>
      </c>
      <c r="N22" s="77">
        <f>F22-J22</f>
        <v>62.5</v>
      </c>
      <c r="O22" s="77">
        <f t="shared" ref="O22:P22" si="16">G22-K22</f>
        <v>62.5</v>
      </c>
      <c r="P22" s="77">
        <f t="shared" si="16"/>
        <v>62.5</v>
      </c>
      <c r="Q22" s="77">
        <f t="shared" ref="Q22:Q23" si="17">SUM(N22:P22)</f>
        <v>187.5</v>
      </c>
      <c r="R22" s="69"/>
      <c r="S22" t="str">
        <f t="shared" si="0"/>
        <v xml:space="preserve">OK </v>
      </c>
      <c r="W22">
        <f>62500*3</f>
        <v>187500</v>
      </c>
    </row>
    <row r="23" spans="2:23" ht="27.75" customHeight="1" x14ac:dyDescent="0.75">
      <c r="B23" s="107" t="s">
        <v>270</v>
      </c>
      <c r="C23" s="402" t="s">
        <v>269</v>
      </c>
      <c r="D23" s="402"/>
      <c r="E23" s="402"/>
      <c r="F23" s="77">
        <v>300</v>
      </c>
      <c r="G23" s="77">
        <v>300</v>
      </c>
      <c r="H23" s="77"/>
      <c r="I23" s="77">
        <f t="shared" ref="I23" si="18">SUM(F23:H23)</f>
        <v>600</v>
      </c>
      <c r="J23" s="77"/>
      <c r="K23" s="77"/>
      <c r="L23" s="77"/>
      <c r="M23" s="77">
        <f t="shared" ref="M23" si="19">SUM(J23:L23)</f>
        <v>0</v>
      </c>
      <c r="N23" s="77">
        <f t="shared" ref="N23" si="20">F23-J23</f>
        <v>300</v>
      </c>
      <c r="O23" s="77">
        <f t="shared" ref="O23:P23" si="21">G23-K23</f>
        <v>300</v>
      </c>
      <c r="P23" s="77">
        <f t="shared" si="21"/>
        <v>0</v>
      </c>
      <c r="Q23" s="77">
        <f t="shared" si="17"/>
        <v>600</v>
      </c>
      <c r="R23" s="69"/>
      <c r="S23" t="str">
        <f t="shared" si="0"/>
        <v xml:space="preserve">OK </v>
      </c>
    </row>
    <row r="24" spans="2:23" ht="27.75" customHeight="1" x14ac:dyDescent="0.75">
      <c r="B24" s="107" t="s">
        <v>275</v>
      </c>
      <c r="C24" s="402" t="s">
        <v>271</v>
      </c>
      <c r="D24" s="402"/>
      <c r="E24" s="402"/>
      <c r="F24" s="77">
        <v>235</v>
      </c>
      <c r="G24" s="77"/>
      <c r="H24" s="260"/>
      <c r="I24" s="77">
        <f t="shared" ref="I24:I25" si="22">SUM(F24:H24)</f>
        <v>235</v>
      </c>
      <c r="J24" s="77"/>
      <c r="K24" s="77"/>
      <c r="L24" s="77"/>
      <c r="M24" s="77">
        <f t="shared" ref="M24:M25" si="23">SUM(J24:L24)</f>
        <v>0</v>
      </c>
      <c r="N24" s="77">
        <f t="shared" ref="N24:P24" si="24">F24-J24</f>
        <v>235</v>
      </c>
      <c r="O24" s="77">
        <f t="shared" si="24"/>
        <v>0</v>
      </c>
      <c r="P24" s="77">
        <f t="shared" si="24"/>
        <v>0</v>
      </c>
      <c r="Q24" s="77">
        <f t="shared" ref="Q24:Q25" si="25">SUM(N24:P24)</f>
        <v>235</v>
      </c>
      <c r="R24" s="69"/>
      <c r="S24" t="str">
        <f t="shared" si="0"/>
        <v xml:space="preserve">OK </v>
      </c>
    </row>
    <row r="25" spans="2:23" ht="27.75" customHeight="1" x14ac:dyDescent="0.75">
      <c r="B25" s="107" t="s">
        <v>276</v>
      </c>
      <c r="C25" s="402"/>
      <c r="D25" s="402"/>
      <c r="E25" s="402"/>
      <c r="F25" s="77">
        <v>135</v>
      </c>
      <c r="G25" s="77"/>
      <c r="H25" s="260"/>
      <c r="I25" s="77">
        <f t="shared" si="22"/>
        <v>135</v>
      </c>
      <c r="J25" s="77"/>
      <c r="K25" s="77"/>
      <c r="L25" s="77"/>
      <c r="M25" s="77">
        <f t="shared" si="23"/>
        <v>0</v>
      </c>
      <c r="N25" s="77">
        <f t="shared" ref="N25" si="26">F25-J25</f>
        <v>135</v>
      </c>
      <c r="O25" s="77">
        <f t="shared" ref="O25" si="27">G25-K25</f>
        <v>0</v>
      </c>
      <c r="P25" s="77">
        <f t="shared" ref="P25" si="28">H25-L25</f>
        <v>0</v>
      </c>
      <c r="Q25" s="77">
        <f t="shared" si="25"/>
        <v>135</v>
      </c>
      <c r="R25" s="69"/>
      <c r="S25" t="str">
        <f t="shared" si="0"/>
        <v xml:space="preserve">OK </v>
      </c>
    </row>
    <row r="26" spans="2:23" ht="27.75" customHeight="1" x14ac:dyDescent="0.75">
      <c r="B26" s="107" t="s">
        <v>282</v>
      </c>
      <c r="C26" s="402" t="s">
        <v>272</v>
      </c>
      <c r="D26" s="402"/>
      <c r="E26" s="402"/>
      <c r="F26" s="77">
        <v>125</v>
      </c>
      <c r="G26" s="77"/>
      <c r="H26" s="260"/>
      <c r="I26" s="77">
        <f>SUM(F26:H26)</f>
        <v>125</v>
      </c>
      <c r="J26" s="77"/>
      <c r="K26" s="77"/>
      <c r="L26" s="77"/>
      <c r="M26" s="77">
        <f>SUM(J26:L26)</f>
        <v>0</v>
      </c>
      <c r="N26" s="77">
        <f t="shared" ref="N26:P26" si="29">F26-J26</f>
        <v>125</v>
      </c>
      <c r="O26" s="77">
        <f t="shared" si="29"/>
        <v>0</v>
      </c>
      <c r="P26" s="77">
        <f t="shared" si="29"/>
        <v>0</v>
      </c>
      <c r="Q26" s="77">
        <f>SUM(N26:P26)</f>
        <v>125</v>
      </c>
      <c r="R26" s="69"/>
      <c r="S26" t="str">
        <f>IF(SUM(I26,Q26), "OK ", "-")</f>
        <v xml:space="preserve">OK </v>
      </c>
    </row>
    <row r="27" spans="2:23" ht="27.75" customHeight="1" x14ac:dyDescent="0.75">
      <c r="B27" s="107" t="s">
        <v>277</v>
      </c>
      <c r="C27" s="402" t="s">
        <v>273</v>
      </c>
      <c r="D27" s="402"/>
      <c r="E27" s="402"/>
      <c r="F27" s="77">
        <v>375</v>
      </c>
      <c r="G27" s="77"/>
      <c r="H27" s="77"/>
      <c r="I27" s="77">
        <f t="shared" ref="I27" si="30">SUM(F27:H27)</f>
        <v>375</v>
      </c>
      <c r="J27" s="77"/>
      <c r="K27" s="77"/>
      <c r="L27" s="77"/>
      <c r="M27" s="77">
        <f t="shared" ref="M27" si="31">SUM(J27:L27)</f>
        <v>0</v>
      </c>
      <c r="N27" s="77">
        <f t="shared" ref="N27" si="32">F27-J27</f>
        <v>375</v>
      </c>
      <c r="O27" s="77">
        <f t="shared" ref="O27" si="33">G27-K27</f>
        <v>0</v>
      </c>
      <c r="P27" s="77">
        <f t="shared" ref="P27" si="34">H27-L27</f>
        <v>0</v>
      </c>
      <c r="Q27" s="77">
        <f t="shared" ref="Q27" si="35">SUM(N27:P27)</f>
        <v>375</v>
      </c>
      <c r="R27" s="69"/>
      <c r="S27" t="str">
        <f>IF(SUM(I27,Q27), "OK ", "-")</f>
        <v xml:space="preserve">OK </v>
      </c>
    </row>
    <row r="28" spans="2:23" s="152" customFormat="1" ht="75.75" customHeight="1" x14ac:dyDescent="0.75">
      <c r="B28" s="252" t="s">
        <v>291</v>
      </c>
      <c r="C28" s="253">
        <v>507</v>
      </c>
      <c r="D28" s="254" t="s">
        <v>101</v>
      </c>
      <c r="E28" s="255" t="s">
        <v>102</v>
      </c>
      <c r="F28" s="256">
        <f>SUM(F29:F30)</f>
        <v>3000</v>
      </c>
      <c r="G28" s="256">
        <f t="shared" ref="G28:Q28" si="36">SUM(G29:G30)</f>
        <v>1500</v>
      </c>
      <c r="H28" s="256">
        <f t="shared" si="36"/>
        <v>500</v>
      </c>
      <c r="I28" s="256">
        <f t="shared" si="36"/>
        <v>5000</v>
      </c>
      <c r="J28" s="256">
        <f t="shared" si="36"/>
        <v>0</v>
      </c>
      <c r="K28" s="256">
        <f t="shared" si="36"/>
        <v>0</v>
      </c>
      <c r="L28" s="256">
        <f t="shared" si="36"/>
        <v>0</v>
      </c>
      <c r="M28" s="256">
        <f t="shared" si="36"/>
        <v>0</v>
      </c>
      <c r="N28" s="256">
        <f t="shared" si="36"/>
        <v>3000</v>
      </c>
      <c r="O28" s="256">
        <f t="shared" si="36"/>
        <v>1500</v>
      </c>
      <c r="P28" s="256">
        <f t="shared" si="36"/>
        <v>500</v>
      </c>
      <c r="Q28" s="256">
        <f t="shared" si="36"/>
        <v>5000</v>
      </c>
      <c r="R28" s="257" t="s">
        <v>107</v>
      </c>
      <c r="S28" t="str">
        <f t="shared" ref="S28" si="37">IF(SUM(I28,Q28), "OK ", "-")</f>
        <v xml:space="preserve">OK </v>
      </c>
    </row>
    <row r="29" spans="2:23" ht="22.5" customHeight="1" x14ac:dyDescent="0.75">
      <c r="B29" s="107" t="s">
        <v>278</v>
      </c>
      <c r="C29" s="402" t="s">
        <v>279</v>
      </c>
      <c r="D29" s="402"/>
      <c r="E29" s="402"/>
      <c r="F29" s="77">
        <v>2500</v>
      </c>
      <c r="G29" s="77">
        <v>1000</v>
      </c>
      <c r="H29" s="77">
        <v>500</v>
      </c>
      <c r="I29" s="77">
        <f t="shared" ref="I29" si="38">SUM(F29:H29)</f>
        <v>4000</v>
      </c>
      <c r="J29" s="77"/>
      <c r="K29" s="77"/>
      <c r="L29" s="77"/>
      <c r="M29" s="77">
        <f t="shared" ref="M29" si="39">SUM(J29:L29)</f>
        <v>0</v>
      </c>
      <c r="N29" s="77">
        <f t="shared" ref="N29:P29" si="40">F29-J29</f>
        <v>2500</v>
      </c>
      <c r="O29" s="77">
        <f t="shared" si="40"/>
        <v>1000</v>
      </c>
      <c r="P29" s="77">
        <f t="shared" si="40"/>
        <v>500</v>
      </c>
      <c r="Q29" s="77">
        <f t="shared" ref="Q29:Q30" si="41">SUM(N29:P29)</f>
        <v>4000</v>
      </c>
      <c r="R29" s="69"/>
      <c r="S29" t="str">
        <f t="shared" ref="S29:S30" si="42">IF(SUM(I29,Q29), "OK ", "-")</f>
        <v xml:space="preserve">OK </v>
      </c>
    </row>
    <row r="30" spans="2:23" ht="26" thickBot="1" x14ac:dyDescent="0.9">
      <c r="B30" s="109" t="s">
        <v>281</v>
      </c>
      <c r="C30" s="401" t="s">
        <v>280</v>
      </c>
      <c r="D30" s="401"/>
      <c r="E30" s="401"/>
      <c r="F30" s="93">
        <v>500</v>
      </c>
      <c r="G30" s="93">
        <v>500</v>
      </c>
      <c r="H30" s="93"/>
      <c r="I30" s="93">
        <f>SUM(F30:H30)</f>
        <v>1000</v>
      </c>
      <c r="J30" s="93"/>
      <c r="K30" s="93"/>
      <c r="L30" s="93"/>
      <c r="M30" s="93">
        <f t="shared" ref="M30" si="43">SUM(J30:L30)</f>
        <v>0</v>
      </c>
      <c r="N30" s="93">
        <f>F30-J30</f>
        <v>500</v>
      </c>
      <c r="O30" s="93">
        <f t="shared" ref="O30:P30" si="44">G30-K30</f>
        <v>500</v>
      </c>
      <c r="P30" s="93">
        <f t="shared" si="44"/>
        <v>0</v>
      </c>
      <c r="Q30" s="93">
        <f t="shared" si="41"/>
        <v>1000</v>
      </c>
      <c r="R30" s="94"/>
      <c r="S30" t="str">
        <f t="shared" si="42"/>
        <v xml:space="preserve">OK </v>
      </c>
    </row>
  </sheetData>
  <autoFilter ref="A7:V30" xr:uid="{00000000-0009-0000-0000-000005000000}"/>
  <mergeCells count="16">
    <mergeCell ref="C29:E29"/>
    <mergeCell ref="C30:E30"/>
    <mergeCell ref="C26:E26"/>
    <mergeCell ref="C27:E27"/>
    <mergeCell ref="C22:E22"/>
    <mergeCell ref="C23:E23"/>
    <mergeCell ref="C24:E25"/>
    <mergeCell ref="A4:R4"/>
    <mergeCell ref="B6:B7"/>
    <mergeCell ref="C6:C7"/>
    <mergeCell ref="D6:D7"/>
    <mergeCell ref="E6:E7"/>
    <mergeCell ref="F6:I6"/>
    <mergeCell ref="J6:M6"/>
    <mergeCell ref="N6:Q6"/>
    <mergeCell ref="R6:R7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692A-01AD-4584-87EC-A0454DD088CB}">
  <sheetPr>
    <tabColor rgb="FF00B050"/>
  </sheetPr>
  <dimension ref="A1:W30"/>
  <sheetViews>
    <sheetView showZeros="0" topLeftCell="A20" zoomScale="90" zoomScaleNormal="90" workbookViewId="0">
      <selection activeCell="C26" sqref="C26:E26"/>
    </sheetView>
  </sheetViews>
  <sheetFormatPr defaultRowHeight="27.5" x14ac:dyDescent="2.5"/>
  <cols>
    <col min="1" max="1" width="2.7265625" customWidth="1"/>
    <col min="2" max="2" width="53" customWidth="1"/>
    <col min="3" max="3" width="9.7265625" customWidth="1"/>
    <col min="4" max="4" width="13.54296875" style="40" customWidth="1"/>
    <col min="5" max="5" width="12.86328125" style="41" customWidth="1"/>
    <col min="6" max="8" width="7.86328125" customWidth="1"/>
    <col min="9" max="9" width="9.26953125" customWidth="1"/>
    <col min="10" max="12" width="8.40625" customWidth="1"/>
    <col min="13" max="13" width="9.26953125" customWidth="1"/>
    <col min="14" max="16" width="8.54296875" customWidth="1"/>
    <col min="17" max="17" width="9.86328125" customWidth="1"/>
    <col min="18" max="18" width="11.54296875" style="41" customWidth="1"/>
    <col min="23" max="23" width="20.86328125" customWidth="1"/>
  </cols>
  <sheetData>
    <row r="1" spans="1:23" ht="45.75" customHeight="1" x14ac:dyDescent="2.5"/>
    <row r="2" spans="1:23" x14ac:dyDescent="2.5">
      <c r="B2" s="42"/>
    </row>
    <row r="3" spans="1:23" ht="29.25" customHeight="1" x14ac:dyDescent="0.75">
      <c r="C3" s="42"/>
      <c r="D3" s="43"/>
      <c r="E3" s="44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4"/>
    </row>
    <row r="4" spans="1:23" ht="34.5" customHeight="1" x14ac:dyDescent="2.75">
      <c r="A4" s="393" t="s">
        <v>256</v>
      </c>
      <c r="B4" s="393"/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</row>
    <row r="5" spans="1:23" ht="24.75" customHeight="1" thickBot="1" x14ac:dyDescent="2.65">
      <c r="B5" s="45"/>
      <c r="C5" s="45"/>
      <c r="D5" s="46"/>
      <c r="E5" s="47"/>
      <c r="F5" s="45"/>
      <c r="G5" s="45"/>
      <c r="H5" s="45"/>
      <c r="J5" s="45"/>
      <c r="K5" s="45"/>
      <c r="L5" s="45"/>
      <c r="M5" s="45"/>
      <c r="N5" s="45"/>
      <c r="O5" s="45"/>
      <c r="Q5" s="45"/>
      <c r="R5" s="48" t="s">
        <v>12</v>
      </c>
    </row>
    <row r="6" spans="1:23" ht="26.25" customHeight="1" thickTop="1" x14ac:dyDescent="0.75">
      <c r="B6" s="415" t="s">
        <v>83</v>
      </c>
      <c r="C6" s="417" t="s">
        <v>84</v>
      </c>
      <c r="D6" s="419" t="s">
        <v>85</v>
      </c>
      <c r="E6" s="421" t="s">
        <v>86</v>
      </c>
      <c r="F6" s="417" t="s">
        <v>87</v>
      </c>
      <c r="G6" s="417"/>
      <c r="H6" s="417"/>
      <c r="I6" s="417"/>
      <c r="J6" s="417" t="s">
        <v>88</v>
      </c>
      <c r="K6" s="417"/>
      <c r="L6" s="417"/>
      <c r="M6" s="417"/>
      <c r="N6" s="417" t="s">
        <v>89</v>
      </c>
      <c r="O6" s="417"/>
      <c r="P6" s="417"/>
      <c r="Q6" s="423"/>
      <c r="R6" s="424" t="s">
        <v>90</v>
      </c>
    </row>
    <row r="7" spans="1:23" ht="26.25" customHeight="1" x14ac:dyDescent="0.75">
      <c r="B7" s="416"/>
      <c r="C7" s="418"/>
      <c r="D7" s="420"/>
      <c r="E7" s="422"/>
      <c r="F7" s="204">
        <v>2023</v>
      </c>
      <c r="G7" s="204">
        <v>2024</v>
      </c>
      <c r="H7" s="204">
        <v>2025</v>
      </c>
      <c r="I7" s="170" t="s">
        <v>197</v>
      </c>
      <c r="J7" s="204">
        <v>2023</v>
      </c>
      <c r="K7" s="204">
        <v>2024</v>
      </c>
      <c r="L7" s="204">
        <v>2025</v>
      </c>
      <c r="M7" s="170" t="s">
        <v>197</v>
      </c>
      <c r="N7" s="204">
        <v>2023</v>
      </c>
      <c r="O7" s="204">
        <v>2024</v>
      </c>
      <c r="P7" s="204">
        <v>2025</v>
      </c>
      <c r="Q7" s="170" t="s">
        <v>197</v>
      </c>
      <c r="R7" s="425"/>
      <c r="S7" t="str">
        <f t="shared" ref="S7:S25" si="0">IF(SUM(I7,Q7), "OK ", "-")</f>
        <v>-</v>
      </c>
    </row>
    <row r="8" spans="1:23" ht="15.65" customHeight="1" thickBot="1" x14ac:dyDescent="0.9">
      <c r="B8" s="51">
        <v>1</v>
      </c>
      <c r="C8" s="52">
        <v>2</v>
      </c>
      <c r="D8" s="55">
        <v>3</v>
      </c>
      <c r="E8" s="55">
        <v>4</v>
      </c>
      <c r="F8" s="52">
        <v>5</v>
      </c>
      <c r="G8" s="52">
        <v>6</v>
      </c>
      <c r="H8" s="52">
        <v>7</v>
      </c>
      <c r="I8" s="55" t="s">
        <v>186</v>
      </c>
      <c r="J8" s="52">
        <v>9</v>
      </c>
      <c r="K8" s="52">
        <v>10</v>
      </c>
      <c r="L8" s="52">
        <v>11</v>
      </c>
      <c r="M8" s="55" t="s">
        <v>283</v>
      </c>
      <c r="N8" s="52" t="s">
        <v>284</v>
      </c>
      <c r="O8" s="52" t="s">
        <v>285</v>
      </c>
      <c r="P8" s="52" t="s">
        <v>286</v>
      </c>
      <c r="Q8" s="56" t="s">
        <v>287</v>
      </c>
      <c r="R8" s="56">
        <v>17</v>
      </c>
      <c r="S8" t="str">
        <f t="shared" si="0"/>
        <v>-</v>
      </c>
    </row>
    <row r="9" spans="1:23" ht="51.25" thickTop="1" x14ac:dyDescent="0.75">
      <c r="B9" s="175" t="s">
        <v>91</v>
      </c>
      <c r="C9" s="176"/>
      <c r="D9" s="177"/>
      <c r="E9" s="178"/>
      <c r="F9" s="179">
        <f>+F10+F16+F19</f>
        <v>40631.625</v>
      </c>
      <c r="G9" s="179">
        <f>+G10+G16+G19</f>
        <v>21515.625</v>
      </c>
      <c r="H9" s="179">
        <f>+H10+H16+H19</f>
        <v>9973.125</v>
      </c>
      <c r="I9" s="179">
        <f>SUM(F9:H9)</f>
        <v>72120.375</v>
      </c>
      <c r="J9" s="179">
        <f>+J10+J16+J19</f>
        <v>0</v>
      </c>
      <c r="K9" s="179">
        <f>+K10+K16+K19</f>
        <v>0</v>
      </c>
      <c r="L9" s="179">
        <f>+L10+L16+L19</f>
        <v>0</v>
      </c>
      <c r="M9" s="179">
        <f>SUM(J9:L9)</f>
        <v>0</v>
      </c>
      <c r="N9" s="179">
        <f>+N10+N16+N19</f>
        <v>40631.625</v>
      </c>
      <c r="O9" s="179">
        <f>+O10+O16+O19</f>
        <v>21515.625</v>
      </c>
      <c r="P9" s="179">
        <f>+P10+P16+P19</f>
        <v>9973.125</v>
      </c>
      <c r="Q9" s="179">
        <f>SUM(N9:P9)</f>
        <v>72120.375</v>
      </c>
      <c r="R9" s="180"/>
      <c r="S9" t="str">
        <f t="shared" si="0"/>
        <v xml:space="preserve">OK </v>
      </c>
      <c r="T9">
        <v>11267.25</v>
      </c>
      <c r="U9">
        <v>5737.25</v>
      </c>
      <c r="V9">
        <v>2487.5</v>
      </c>
    </row>
    <row r="10" spans="1:23" ht="22.5" customHeight="1" x14ac:dyDescent="0.75">
      <c r="B10" s="183" t="s">
        <v>263</v>
      </c>
      <c r="C10" s="184"/>
      <c r="D10" s="185"/>
      <c r="E10" s="186"/>
      <c r="F10" s="187">
        <f>F11+F13</f>
        <v>13770</v>
      </c>
      <c r="G10" s="187">
        <f t="shared" ref="G10:H10" si="1">G11+G13</f>
        <v>4252.5</v>
      </c>
      <c r="H10" s="187">
        <f t="shared" si="1"/>
        <v>405</v>
      </c>
      <c r="I10" s="187">
        <f>I11+I13</f>
        <v>18427.5</v>
      </c>
      <c r="J10" s="187">
        <f t="shared" ref="J10:L10" si="2">J11+J13</f>
        <v>0</v>
      </c>
      <c r="K10" s="187">
        <f t="shared" si="2"/>
        <v>0</v>
      </c>
      <c r="L10" s="187">
        <f t="shared" si="2"/>
        <v>0</v>
      </c>
      <c r="M10" s="187">
        <f>M11+M13</f>
        <v>0</v>
      </c>
      <c r="N10" s="187">
        <f t="shared" ref="N10:P10" si="3">N11+N13</f>
        <v>13770</v>
      </c>
      <c r="O10" s="187">
        <f t="shared" si="3"/>
        <v>4252.5</v>
      </c>
      <c r="P10" s="187">
        <f t="shared" si="3"/>
        <v>405</v>
      </c>
      <c r="Q10" s="187">
        <f>Q11+Q13</f>
        <v>18427.5</v>
      </c>
      <c r="R10" s="188"/>
      <c r="S10" t="str">
        <f t="shared" si="0"/>
        <v xml:space="preserve">OK </v>
      </c>
      <c r="W10" s="172">
        <f>800000000/4000</f>
        <v>200000</v>
      </c>
    </row>
    <row r="11" spans="1:23" ht="22.5" customHeight="1" x14ac:dyDescent="0.75">
      <c r="B11" s="181" t="s">
        <v>105</v>
      </c>
      <c r="C11" s="182"/>
      <c r="D11" s="66"/>
      <c r="E11" s="106"/>
      <c r="F11" s="77">
        <f>SUM(F12:F12)</f>
        <v>8100</v>
      </c>
      <c r="G11" s="77">
        <f>SUM(G12:G12)</f>
        <v>4050</v>
      </c>
      <c r="H11" s="77">
        <f>SUM(H12:H12)</f>
        <v>0</v>
      </c>
      <c r="I11" s="77">
        <f t="shared" ref="I11:I15" si="4">SUM(F11:H11)</f>
        <v>12150</v>
      </c>
      <c r="J11" s="77">
        <f>SUM(J12:J12)</f>
        <v>0</v>
      </c>
      <c r="K11" s="77">
        <f>SUM(K12:K12)</f>
        <v>0</v>
      </c>
      <c r="L11" s="77">
        <f>SUM(L12:L12)</f>
        <v>0</v>
      </c>
      <c r="M11" s="77">
        <f t="shared" ref="M11:M15" si="5">SUM(J11:L11)</f>
        <v>0</v>
      </c>
      <c r="N11" s="77">
        <f>SUM(N12:N12)</f>
        <v>8100</v>
      </c>
      <c r="O11" s="77">
        <f>SUM(O12:O12)</f>
        <v>4050</v>
      </c>
      <c r="P11" s="77">
        <f>SUM(P12:P12)</f>
        <v>0</v>
      </c>
      <c r="Q11" s="77">
        <f>SUM(N11:P11)</f>
        <v>12150</v>
      </c>
      <c r="R11" s="69"/>
      <c r="S11" t="str">
        <f t="shared" si="0"/>
        <v xml:space="preserve">OK </v>
      </c>
      <c r="W11" s="261">
        <v>72120.375</v>
      </c>
    </row>
    <row r="12" spans="1:23" ht="23.25" customHeight="1" x14ac:dyDescent="0.75">
      <c r="B12" s="252" t="s">
        <v>249</v>
      </c>
      <c r="C12" s="253">
        <v>659</v>
      </c>
      <c r="D12" s="259" t="s">
        <v>101</v>
      </c>
      <c r="E12" s="255" t="s">
        <v>102</v>
      </c>
      <c r="F12" s="256">
        <f>2000*4050/1000</f>
        <v>8100</v>
      </c>
      <c r="G12" s="256">
        <f>1000*4050/1000</f>
        <v>4050</v>
      </c>
      <c r="H12" s="256">
        <f>0*4050/1000</f>
        <v>0</v>
      </c>
      <c r="I12" s="256">
        <f t="shared" si="4"/>
        <v>12150</v>
      </c>
      <c r="J12" s="256"/>
      <c r="K12" s="256"/>
      <c r="L12" s="256"/>
      <c r="M12" s="256">
        <f t="shared" si="5"/>
        <v>0</v>
      </c>
      <c r="N12" s="256">
        <f>F12-J12</f>
        <v>8100</v>
      </c>
      <c r="O12" s="256">
        <f>G12-K12</f>
        <v>4050</v>
      </c>
      <c r="P12" s="256">
        <f t="shared" ref="P12" si="6">H12-L12</f>
        <v>0</v>
      </c>
      <c r="Q12" s="256">
        <f t="shared" ref="Q12" si="7">SUM(N12:P12)</f>
        <v>12150</v>
      </c>
      <c r="R12" s="257" t="s">
        <v>107</v>
      </c>
      <c r="S12" t="str">
        <f t="shared" si="0"/>
        <v xml:space="preserve">OK </v>
      </c>
    </row>
    <row r="13" spans="1:23" ht="22.5" customHeight="1" x14ac:dyDescent="0.75">
      <c r="B13" s="181" t="s">
        <v>110</v>
      </c>
      <c r="C13" s="182"/>
      <c r="D13" s="66"/>
      <c r="E13" s="106"/>
      <c r="F13" s="77">
        <f>SUM(F14:F15)</f>
        <v>5670</v>
      </c>
      <c r="G13" s="77">
        <f>SUM(G14:G15)</f>
        <v>202.5</v>
      </c>
      <c r="H13" s="77">
        <f>SUM(H14:H15)</f>
        <v>405</v>
      </c>
      <c r="I13" s="77">
        <f t="shared" si="4"/>
        <v>6277.5</v>
      </c>
      <c r="J13" s="77">
        <f>SUM(J14:J15)</f>
        <v>0</v>
      </c>
      <c r="K13" s="77">
        <f>SUM(K14:K15)</f>
        <v>0</v>
      </c>
      <c r="L13" s="77">
        <f>SUM(L14:L15)</f>
        <v>0</v>
      </c>
      <c r="M13" s="77">
        <f t="shared" si="5"/>
        <v>0</v>
      </c>
      <c r="N13" s="77">
        <f>SUM(N14:N15)</f>
        <v>5670</v>
      </c>
      <c r="O13" s="77">
        <f>SUM(O14:O15)</f>
        <v>202.5</v>
      </c>
      <c r="P13" s="77">
        <f>SUM(P14:P15)</f>
        <v>405</v>
      </c>
      <c r="Q13" s="77">
        <f>SUM(N13:P13)</f>
        <v>6277.5</v>
      </c>
      <c r="R13" s="69"/>
      <c r="S13" t="str">
        <f t="shared" si="0"/>
        <v xml:space="preserve">OK </v>
      </c>
    </row>
    <row r="14" spans="1:23" ht="50.5" x14ac:dyDescent="0.75">
      <c r="B14" s="252" t="s">
        <v>259</v>
      </c>
      <c r="C14" s="253">
        <v>492</v>
      </c>
      <c r="D14" s="254" t="s">
        <v>101</v>
      </c>
      <c r="E14" s="255" t="s">
        <v>102</v>
      </c>
      <c r="F14" s="256">
        <f>900*4050/1000</f>
        <v>3645</v>
      </c>
      <c r="G14" s="256">
        <f>0*4050/1000</f>
        <v>0</v>
      </c>
      <c r="H14" s="256">
        <f>100*4050/1000</f>
        <v>405</v>
      </c>
      <c r="I14" s="256">
        <f t="shared" si="4"/>
        <v>4050</v>
      </c>
      <c r="J14" s="256"/>
      <c r="K14" s="256"/>
      <c r="L14" s="256"/>
      <c r="M14" s="256">
        <f t="shared" si="5"/>
        <v>0</v>
      </c>
      <c r="N14" s="256">
        <f>F14-J14</f>
        <v>3645</v>
      </c>
      <c r="O14" s="256">
        <f t="shared" ref="O14:P15" si="8">G14-K14</f>
        <v>0</v>
      </c>
      <c r="P14" s="256">
        <f t="shared" si="8"/>
        <v>405</v>
      </c>
      <c r="Q14" s="256">
        <f t="shared" ref="Q14:Q15" si="9">SUM(N14:P14)</f>
        <v>4050</v>
      </c>
      <c r="R14" s="257" t="s">
        <v>107</v>
      </c>
      <c r="S14" t="str">
        <f t="shared" si="0"/>
        <v xml:space="preserve">OK </v>
      </c>
    </row>
    <row r="15" spans="1:23" ht="50.5" x14ac:dyDescent="0.75">
      <c r="B15" s="252" t="s">
        <v>262</v>
      </c>
      <c r="C15" s="253">
        <v>652</v>
      </c>
      <c r="D15" s="254" t="s">
        <v>101</v>
      </c>
      <c r="E15" s="255" t="s">
        <v>102</v>
      </c>
      <c r="F15" s="256">
        <f>500*4050/1000</f>
        <v>2025</v>
      </c>
      <c r="G15" s="256">
        <f>50*4050/1000</f>
        <v>202.5</v>
      </c>
      <c r="H15" s="256">
        <f>0*4050/1000</f>
        <v>0</v>
      </c>
      <c r="I15" s="256">
        <f t="shared" si="4"/>
        <v>2227.5</v>
      </c>
      <c r="J15" s="256"/>
      <c r="K15" s="256"/>
      <c r="L15" s="256"/>
      <c r="M15" s="256">
        <f t="shared" si="5"/>
        <v>0</v>
      </c>
      <c r="N15" s="256">
        <f>F15-J15</f>
        <v>2025</v>
      </c>
      <c r="O15" s="256">
        <f>G15-K15</f>
        <v>202.5</v>
      </c>
      <c r="P15" s="256">
        <f t="shared" si="8"/>
        <v>0</v>
      </c>
      <c r="Q15" s="256">
        <f t="shared" si="9"/>
        <v>2227.5</v>
      </c>
      <c r="R15" s="257" t="s">
        <v>107</v>
      </c>
      <c r="S15" t="str">
        <f t="shared" si="0"/>
        <v xml:space="preserve">OK </v>
      </c>
    </row>
    <row r="16" spans="1:23" ht="24" customHeight="1" x14ac:dyDescent="0.75">
      <c r="B16" s="183" t="s">
        <v>264</v>
      </c>
      <c r="C16" s="184"/>
      <c r="D16" s="185"/>
      <c r="E16" s="186"/>
      <c r="F16" s="187">
        <f>F17</f>
        <v>9720</v>
      </c>
      <c r="G16" s="187">
        <f t="shared" ref="G16:Q16" si="10">G17</f>
        <v>9720</v>
      </c>
      <c r="H16" s="187">
        <f t="shared" si="10"/>
        <v>7290</v>
      </c>
      <c r="I16" s="187">
        <f t="shared" si="10"/>
        <v>26730</v>
      </c>
      <c r="J16" s="187">
        <f t="shared" si="10"/>
        <v>0</v>
      </c>
      <c r="K16" s="187">
        <f t="shared" si="10"/>
        <v>0</v>
      </c>
      <c r="L16" s="187">
        <f t="shared" si="10"/>
        <v>0</v>
      </c>
      <c r="M16" s="187">
        <f t="shared" si="10"/>
        <v>0</v>
      </c>
      <c r="N16" s="187">
        <f t="shared" si="10"/>
        <v>9720</v>
      </c>
      <c r="O16" s="187">
        <f t="shared" si="10"/>
        <v>9720</v>
      </c>
      <c r="P16" s="187">
        <f t="shared" si="10"/>
        <v>7290</v>
      </c>
      <c r="Q16" s="187">
        <f t="shared" si="10"/>
        <v>26730</v>
      </c>
      <c r="R16" s="188"/>
      <c r="S16" t="str">
        <f t="shared" si="0"/>
        <v xml:space="preserve">OK </v>
      </c>
    </row>
    <row r="17" spans="2:23" ht="24" customHeight="1" x14ac:dyDescent="0.75">
      <c r="B17" s="181" t="s">
        <v>116</v>
      </c>
      <c r="C17" s="182"/>
      <c r="D17" s="66"/>
      <c r="E17" s="106"/>
      <c r="F17" s="77">
        <f>F18</f>
        <v>9720</v>
      </c>
      <c r="G17" s="77">
        <f>G18</f>
        <v>9720</v>
      </c>
      <c r="H17" s="77">
        <f>H18</f>
        <v>7290</v>
      </c>
      <c r="I17" s="77">
        <f>SUM(F17:H17)</f>
        <v>26730</v>
      </c>
      <c r="J17" s="77">
        <f>J18</f>
        <v>0</v>
      </c>
      <c r="K17" s="77">
        <f>K18</f>
        <v>0</v>
      </c>
      <c r="L17" s="77">
        <f>L18</f>
        <v>0</v>
      </c>
      <c r="M17" s="77">
        <f>SUM(J17:L17)</f>
        <v>0</v>
      </c>
      <c r="N17" s="77">
        <f>N18</f>
        <v>9720</v>
      </c>
      <c r="O17" s="77">
        <f>O18</f>
        <v>9720</v>
      </c>
      <c r="P17" s="77">
        <f>P18</f>
        <v>7290</v>
      </c>
      <c r="Q17" s="77">
        <f>SUM(N17:P17)</f>
        <v>26730</v>
      </c>
      <c r="R17" s="69"/>
      <c r="S17" t="str">
        <f t="shared" si="0"/>
        <v xml:space="preserve">OK </v>
      </c>
    </row>
    <row r="18" spans="2:23" ht="25.5" customHeight="1" x14ac:dyDescent="0.75">
      <c r="B18" s="252" t="s">
        <v>247</v>
      </c>
      <c r="C18" s="253">
        <v>651</v>
      </c>
      <c r="D18" s="258" t="s">
        <v>101</v>
      </c>
      <c r="E18" s="258" t="s">
        <v>102</v>
      </c>
      <c r="F18" s="256">
        <f>2400*4050/1000</f>
        <v>9720</v>
      </c>
      <c r="G18" s="256">
        <f>2400*4050/1000</f>
        <v>9720</v>
      </c>
      <c r="H18" s="256">
        <f>1800*4050/1000</f>
        <v>7290</v>
      </c>
      <c r="I18" s="256">
        <f>SUM(F18:H18)</f>
        <v>26730</v>
      </c>
      <c r="J18" s="256"/>
      <c r="K18" s="256"/>
      <c r="L18" s="256"/>
      <c r="M18" s="256">
        <f>SUM(J18:L18)</f>
        <v>0</v>
      </c>
      <c r="N18" s="256">
        <f>F18-J18</f>
        <v>9720</v>
      </c>
      <c r="O18" s="256">
        <f t="shared" ref="O18:P18" si="11">G18-K18</f>
        <v>9720</v>
      </c>
      <c r="P18" s="256">
        <f t="shared" si="11"/>
        <v>7290</v>
      </c>
      <c r="Q18" s="256">
        <f t="shared" ref="Q18" si="12">SUM(N18:P18)</f>
        <v>26730</v>
      </c>
      <c r="R18" s="257" t="s">
        <v>107</v>
      </c>
      <c r="S18" t="str">
        <f t="shared" si="0"/>
        <v xml:space="preserve">OK </v>
      </c>
    </row>
    <row r="19" spans="2:23" ht="22.5" customHeight="1" x14ac:dyDescent="0.75">
      <c r="B19" s="183" t="s">
        <v>265</v>
      </c>
      <c r="C19" s="184"/>
      <c r="D19" s="185"/>
      <c r="E19" s="186"/>
      <c r="F19" s="187">
        <f>F20</f>
        <v>17141.625</v>
      </c>
      <c r="G19" s="187">
        <f t="shared" ref="G19:Q19" si="13">G20</f>
        <v>7543.125</v>
      </c>
      <c r="H19" s="187">
        <f t="shared" si="13"/>
        <v>2278.125</v>
      </c>
      <c r="I19" s="187">
        <f t="shared" si="13"/>
        <v>26962.875</v>
      </c>
      <c r="J19" s="187">
        <f t="shared" si="13"/>
        <v>0</v>
      </c>
      <c r="K19" s="187">
        <f t="shared" si="13"/>
        <v>0</v>
      </c>
      <c r="L19" s="187">
        <f t="shared" si="13"/>
        <v>0</v>
      </c>
      <c r="M19" s="187">
        <f t="shared" si="13"/>
        <v>0</v>
      </c>
      <c r="N19" s="187">
        <f t="shared" si="13"/>
        <v>17141.625</v>
      </c>
      <c r="O19" s="187">
        <f t="shared" si="13"/>
        <v>7543.125</v>
      </c>
      <c r="P19" s="187">
        <f t="shared" si="13"/>
        <v>2278.125</v>
      </c>
      <c r="Q19" s="187">
        <f t="shared" si="13"/>
        <v>26962.875</v>
      </c>
      <c r="R19" s="188"/>
      <c r="S19" t="str">
        <f t="shared" si="0"/>
        <v xml:space="preserve">OK </v>
      </c>
    </row>
    <row r="20" spans="2:23" s="152" customFormat="1" ht="22.5" customHeight="1" x14ac:dyDescent="0.75">
      <c r="B20" s="181" t="s">
        <v>123</v>
      </c>
      <c r="C20" s="206"/>
      <c r="D20" s="189"/>
      <c r="E20" s="207"/>
      <c r="F20" s="68">
        <f t="shared" ref="F20:Q20" si="14">F21+F28</f>
        <v>17141.625</v>
      </c>
      <c r="G20" s="68">
        <f t="shared" si="14"/>
        <v>7543.125</v>
      </c>
      <c r="H20" s="68">
        <f t="shared" si="14"/>
        <v>2278.125</v>
      </c>
      <c r="I20" s="68">
        <f t="shared" si="14"/>
        <v>26962.875</v>
      </c>
      <c r="J20" s="68">
        <f t="shared" si="14"/>
        <v>0</v>
      </c>
      <c r="K20" s="68">
        <f t="shared" si="14"/>
        <v>0</v>
      </c>
      <c r="L20" s="68">
        <f t="shared" si="14"/>
        <v>0</v>
      </c>
      <c r="M20" s="68">
        <f t="shared" si="14"/>
        <v>0</v>
      </c>
      <c r="N20" s="68">
        <f t="shared" si="14"/>
        <v>17141.625</v>
      </c>
      <c r="O20" s="68">
        <f t="shared" si="14"/>
        <v>7543.125</v>
      </c>
      <c r="P20" s="68">
        <f t="shared" si="14"/>
        <v>2278.125</v>
      </c>
      <c r="Q20" s="68">
        <f t="shared" si="14"/>
        <v>26962.875</v>
      </c>
      <c r="R20" s="208"/>
      <c r="S20" s="152" t="str">
        <f t="shared" si="0"/>
        <v xml:space="preserve">OK </v>
      </c>
    </row>
    <row r="21" spans="2:23" s="152" customFormat="1" ht="50.5" x14ac:dyDescent="0.75">
      <c r="B21" s="252" t="s">
        <v>294</v>
      </c>
      <c r="C21" s="253">
        <v>641</v>
      </c>
      <c r="D21" s="254" t="s">
        <v>101</v>
      </c>
      <c r="E21" s="255" t="s">
        <v>102</v>
      </c>
      <c r="F21" s="256">
        <f t="shared" ref="F21:Q21" si="15">SUM(F22:F27)</f>
        <v>4991.625</v>
      </c>
      <c r="G21" s="256">
        <f t="shared" si="15"/>
        <v>1468.125</v>
      </c>
      <c r="H21" s="256">
        <f t="shared" si="15"/>
        <v>253.125</v>
      </c>
      <c r="I21" s="256">
        <f t="shared" si="15"/>
        <v>6712.875</v>
      </c>
      <c r="J21" s="256">
        <f t="shared" si="15"/>
        <v>0</v>
      </c>
      <c r="K21" s="256">
        <f t="shared" si="15"/>
        <v>0</v>
      </c>
      <c r="L21" s="256">
        <f t="shared" si="15"/>
        <v>0</v>
      </c>
      <c r="M21" s="256">
        <f t="shared" si="15"/>
        <v>0</v>
      </c>
      <c r="N21" s="256">
        <f t="shared" si="15"/>
        <v>4991.625</v>
      </c>
      <c r="O21" s="256">
        <f t="shared" si="15"/>
        <v>1468.125</v>
      </c>
      <c r="P21" s="256">
        <f t="shared" si="15"/>
        <v>253.125</v>
      </c>
      <c r="Q21" s="256">
        <f t="shared" si="15"/>
        <v>6712.875</v>
      </c>
      <c r="R21" s="257" t="s">
        <v>107</v>
      </c>
    </row>
    <row r="22" spans="2:23" ht="25.5" customHeight="1" x14ac:dyDescent="0.75">
      <c r="B22" s="107" t="s">
        <v>274</v>
      </c>
      <c r="C22" s="402" t="s">
        <v>268</v>
      </c>
      <c r="D22" s="402"/>
      <c r="E22" s="402"/>
      <c r="F22" s="77">
        <f>62.5*4050/1000</f>
        <v>253.125</v>
      </c>
      <c r="G22" s="77">
        <f>62.5*4050/1000</f>
        <v>253.125</v>
      </c>
      <c r="H22" s="77">
        <f>62.5*4050/1000</f>
        <v>253.125</v>
      </c>
      <c r="I22" s="77">
        <f t="shared" ref="I22:I25" si="16">SUM(F22:H22)</f>
        <v>759.375</v>
      </c>
      <c r="J22" s="77">
        <v>0</v>
      </c>
      <c r="K22" s="77">
        <v>0</v>
      </c>
      <c r="L22" s="77">
        <v>0</v>
      </c>
      <c r="M22" s="77">
        <f>SUM(J22:L22)</f>
        <v>0</v>
      </c>
      <c r="N22" s="77">
        <f>F22-J22</f>
        <v>253.125</v>
      </c>
      <c r="O22" s="77">
        <f t="shared" ref="O22:P23" si="17">G22-K22</f>
        <v>253.125</v>
      </c>
      <c r="P22" s="77">
        <f t="shared" si="17"/>
        <v>253.125</v>
      </c>
      <c r="Q22" s="77">
        <f t="shared" ref="Q22:Q25" si="18">SUM(N22:P22)</f>
        <v>759.375</v>
      </c>
      <c r="R22" s="69"/>
      <c r="S22" t="str">
        <f t="shared" si="0"/>
        <v xml:space="preserve">OK </v>
      </c>
      <c r="W22">
        <f>62500*3</f>
        <v>187500</v>
      </c>
    </row>
    <row r="23" spans="2:23" ht="25.5" customHeight="1" x14ac:dyDescent="0.75">
      <c r="B23" s="107" t="s">
        <v>270</v>
      </c>
      <c r="C23" s="402" t="s">
        <v>269</v>
      </c>
      <c r="D23" s="402"/>
      <c r="E23" s="402"/>
      <c r="F23" s="77">
        <f>300*4050/1000</f>
        <v>1215</v>
      </c>
      <c r="G23" s="77">
        <f>300*4050/1000</f>
        <v>1215</v>
      </c>
      <c r="H23" s="77"/>
      <c r="I23" s="77">
        <f t="shared" si="16"/>
        <v>2430</v>
      </c>
      <c r="J23" s="77"/>
      <c r="K23" s="77"/>
      <c r="L23" s="77"/>
      <c r="M23" s="77">
        <f t="shared" ref="M23:M25" si="19">SUM(J23:L23)</f>
        <v>0</v>
      </c>
      <c r="N23" s="77">
        <f t="shared" ref="N23:P27" si="20">F23-J23</f>
        <v>1215</v>
      </c>
      <c r="O23" s="77">
        <f t="shared" si="17"/>
        <v>1215</v>
      </c>
      <c r="P23" s="77">
        <f t="shared" si="17"/>
        <v>0</v>
      </c>
      <c r="Q23" s="77">
        <f t="shared" si="18"/>
        <v>2430</v>
      </c>
      <c r="R23" s="69"/>
      <c r="S23" t="str">
        <f t="shared" si="0"/>
        <v xml:space="preserve">OK </v>
      </c>
    </row>
    <row r="24" spans="2:23" ht="25.5" customHeight="1" x14ac:dyDescent="0.75">
      <c r="B24" s="107" t="s">
        <v>275</v>
      </c>
      <c r="C24" s="402" t="s">
        <v>271</v>
      </c>
      <c r="D24" s="402"/>
      <c r="E24" s="402"/>
      <c r="F24" s="77">
        <f>235*4050/1000</f>
        <v>951.75</v>
      </c>
      <c r="G24" s="77"/>
      <c r="H24" s="260"/>
      <c r="I24" s="77">
        <f t="shared" si="16"/>
        <v>951.75</v>
      </c>
      <c r="J24" s="77"/>
      <c r="K24" s="77"/>
      <c r="L24" s="77"/>
      <c r="M24" s="77">
        <f t="shared" si="19"/>
        <v>0</v>
      </c>
      <c r="N24" s="77">
        <f t="shared" si="20"/>
        <v>951.75</v>
      </c>
      <c r="O24" s="77">
        <f t="shared" si="20"/>
        <v>0</v>
      </c>
      <c r="P24" s="77">
        <f t="shared" si="20"/>
        <v>0</v>
      </c>
      <c r="Q24" s="77">
        <f t="shared" si="18"/>
        <v>951.75</v>
      </c>
      <c r="R24" s="69"/>
      <c r="S24" t="str">
        <f t="shared" si="0"/>
        <v xml:space="preserve">OK </v>
      </c>
    </row>
    <row r="25" spans="2:23" ht="25.5" customHeight="1" x14ac:dyDescent="0.75">
      <c r="B25" s="107" t="s">
        <v>276</v>
      </c>
      <c r="C25" s="402"/>
      <c r="D25" s="402"/>
      <c r="E25" s="402"/>
      <c r="F25" s="77">
        <f>135*4050/1000</f>
        <v>546.75</v>
      </c>
      <c r="G25" s="77"/>
      <c r="H25" s="260"/>
      <c r="I25" s="77">
        <f t="shared" si="16"/>
        <v>546.75</v>
      </c>
      <c r="J25" s="77"/>
      <c r="K25" s="77"/>
      <c r="L25" s="77"/>
      <c r="M25" s="77">
        <f t="shared" si="19"/>
        <v>0</v>
      </c>
      <c r="N25" s="77">
        <f t="shared" si="20"/>
        <v>546.75</v>
      </c>
      <c r="O25" s="77">
        <f t="shared" si="20"/>
        <v>0</v>
      </c>
      <c r="P25" s="77">
        <f t="shared" si="20"/>
        <v>0</v>
      </c>
      <c r="Q25" s="77">
        <f t="shared" si="18"/>
        <v>546.75</v>
      </c>
      <c r="R25" s="69"/>
      <c r="S25" t="str">
        <f t="shared" si="0"/>
        <v xml:space="preserve">OK </v>
      </c>
    </row>
    <row r="26" spans="2:23" ht="25.5" customHeight="1" x14ac:dyDescent="0.75">
      <c r="B26" s="107" t="s">
        <v>282</v>
      </c>
      <c r="C26" s="402" t="s">
        <v>272</v>
      </c>
      <c r="D26" s="402"/>
      <c r="E26" s="402"/>
      <c r="F26" s="77">
        <f>125*4050/1000</f>
        <v>506.25</v>
      </c>
      <c r="G26" s="77"/>
      <c r="H26" s="260"/>
      <c r="I26" s="77">
        <f>SUM(F26:H26)</f>
        <v>506.25</v>
      </c>
      <c r="J26" s="77"/>
      <c r="K26" s="77"/>
      <c r="L26" s="77"/>
      <c r="M26" s="77">
        <f>SUM(J26:L26)</f>
        <v>0</v>
      </c>
      <c r="N26" s="77">
        <f t="shared" si="20"/>
        <v>506.25</v>
      </c>
      <c r="O26" s="77">
        <f t="shared" si="20"/>
        <v>0</v>
      </c>
      <c r="P26" s="77">
        <f t="shared" si="20"/>
        <v>0</v>
      </c>
      <c r="Q26" s="77">
        <f>SUM(N26:P26)</f>
        <v>506.25</v>
      </c>
      <c r="R26" s="69"/>
      <c r="S26" t="str">
        <f>IF(SUM(I26,Q26), "OK ", "-")</f>
        <v xml:space="preserve">OK </v>
      </c>
    </row>
    <row r="27" spans="2:23" ht="25.5" customHeight="1" x14ac:dyDescent="0.75">
      <c r="B27" s="107" t="s">
        <v>277</v>
      </c>
      <c r="C27" s="402" t="s">
        <v>273</v>
      </c>
      <c r="D27" s="402"/>
      <c r="E27" s="402"/>
      <c r="F27" s="77">
        <f>375*4050/1000</f>
        <v>1518.75</v>
      </c>
      <c r="G27" s="77"/>
      <c r="H27" s="77"/>
      <c r="I27" s="77">
        <f t="shared" ref="I27" si="21">SUM(F27:H27)</f>
        <v>1518.75</v>
      </c>
      <c r="J27" s="77"/>
      <c r="K27" s="77"/>
      <c r="L27" s="77"/>
      <c r="M27" s="77">
        <f t="shared" ref="M27" si="22">SUM(J27:L27)</f>
        <v>0</v>
      </c>
      <c r="N27" s="77">
        <f t="shared" si="20"/>
        <v>1518.75</v>
      </c>
      <c r="O27" s="77">
        <f t="shared" si="20"/>
        <v>0</v>
      </c>
      <c r="P27" s="77">
        <f t="shared" si="20"/>
        <v>0</v>
      </c>
      <c r="Q27" s="77">
        <f t="shared" ref="Q27" si="23">SUM(N27:P27)</f>
        <v>1518.75</v>
      </c>
      <c r="R27" s="69"/>
      <c r="S27" t="str">
        <f>IF(SUM(I27,Q27), "OK ", "-")</f>
        <v xml:space="preserve">OK </v>
      </c>
    </row>
    <row r="28" spans="2:23" s="152" customFormat="1" ht="75" customHeight="1" x14ac:dyDescent="0.75">
      <c r="B28" s="252" t="s">
        <v>292</v>
      </c>
      <c r="C28" s="253">
        <v>507</v>
      </c>
      <c r="D28" s="254" t="s">
        <v>101</v>
      </c>
      <c r="E28" s="255" t="s">
        <v>102</v>
      </c>
      <c r="F28" s="256">
        <f>SUM(F29:F30)</f>
        <v>12150</v>
      </c>
      <c r="G28" s="256">
        <f t="shared" ref="G28:Q28" si="24">SUM(G29:G30)</f>
        <v>6075</v>
      </c>
      <c r="H28" s="256">
        <f t="shared" si="24"/>
        <v>2025</v>
      </c>
      <c r="I28" s="256">
        <f t="shared" si="24"/>
        <v>20250</v>
      </c>
      <c r="J28" s="256">
        <f t="shared" si="24"/>
        <v>0</v>
      </c>
      <c r="K28" s="256">
        <f t="shared" si="24"/>
        <v>0</v>
      </c>
      <c r="L28" s="256">
        <f t="shared" si="24"/>
        <v>0</v>
      </c>
      <c r="M28" s="256">
        <f t="shared" si="24"/>
        <v>0</v>
      </c>
      <c r="N28" s="256">
        <f t="shared" si="24"/>
        <v>12150</v>
      </c>
      <c r="O28" s="256">
        <f t="shared" si="24"/>
        <v>6075</v>
      </c>
      <c r="P28" s="256">
        <f t="shared" si="24"/>
        <v>2025</v>
      </c>
      <c r="Q28" s="256">
        <f t="shared" si="24"/>
        <v>20250</v>
      </c>
      <c r="R28" s="257" t="s">
        <v>107</v>
      </c>
    </row>
    <row r="29" spans="2:23" ht="22.5" customHeight="1" x14ac:dyDescent="0.75">
      <c r="B29" s="107" t="s">
        <v>278</v>
      </c>
      <c r="C29" s="402" t="s">
        <v>279</v>
      </c>
      <c r="D29" s="402"/>
      <c r="E29" s="402"/>
      <c r="F29" s="77">
        <f>2500*4050/1000</f>
        <v>10125</v>
      </c>
      <c r="G29" s="77">
        <f>1000*4050/1000</f>
        <v>4050</v>
      </c>
      <c r="H29" s="77">
        <f>500*4050/1000</f>
        <v>2025</v>
      </c>
      <c r="I29" s="77">
        <f t="shared" ref="I29" si="25">SUM(F29:H29)</f>
        <v>16200</v>
      </c>
      <c r="J29" s="77"/>
      <c r="K29" s="77"/>
      <c r="L29" s="77"/>
      <c r="M29" s="77">
        <f t="shared" ref="M29:M30" si="26">SUM(J29:L29)</f>
        <v>0</v>
      </c>
      <c r="N29" s="77">
        <f t="shared" ref="N29:P30" si="27">F29-J29</f>
        <v>10125</v>
      </c>
      <c r="O29" s="77">
        <f t="shared" si="27"/>
        <v>4050</v>
      </c>
      <c r="P29" s="77">
        <f t="shared" si="27"/>
        <v>2025</v>
      </c>
      <c r="Q29" s="77">
        <f t="shared" ref="Q29:Q30" si="28">SUM(N29:P29)</f>
        <v>16200</v>
      </c>
      <c r="R29" s="69"/>
      <c r="S29" t="str">
        <f t="shared" ref="S29:S30" si="29">IF(SUM(I29,Q29), "OK ", "-")</f>
        <v xml:space="preserve">OK </v>
      </c>
    </row>
    <row r="30" spans="2:23" ht="26" thickBot="1" x14ac:dyDescent="0.9">
      <c r="B30" s="109" t="s">
        <v>281</v>
      </c>
      <c r="C30" s="401" t="s">
        <v>280</v>
      </c>
      <c r="D30" s="401"/>
      <c r="E30" s="401"/>
      <c r="F30" s="93">
        <f>500*4050/1000</f>
        <v>2025</v>
      </c>
      <c r="G30" s="93">
        <f>500*4050/1000</f>
        <v>2025</v>
      </c>
      <c r="H30" s="93"/>
      <c r="I30" s="93">
        <f>SUM(F30:H30)</f>
        <v>4050</v>
      </c>
      <c r="J30" s="93"/>
      <c r="K30" s="93"/>
      <c r="L30" s="93"/>
      <c r="M30" s="93">
        <f t="shared" si="26"/>
        <v>0</v>
      </c>
      <c r="N30" s="93">
        <f>F30-J30</f>
        <v>2025</v>
      </c>
      <c r="O30" s="93">
        <f t="shared" si="27"/>
        <v>2025</v>
      </c>
      <c r="P30" s="93">
        <f t="shared" si="27"/>
        <v>0</v>
      </c>
      <c r="Q30" s="93">
        <f t="shared" si="28"/>
        <v>4050</v>
      </c>
      <c r="R30" s="94"/>
      <c r="S30" t="str">
        <f t="shared" si="29"/>
        <v xml:space="preserve">OK </v>
      </c>
    </row>
  </sheetData>
  <autoFilter ref="A7:V30" xr:uid="{00000000-0009-0000-0000-000005000000}"/>
  <mergeCells count="16">
    <mergeCell ref="A4:R4"/>
    <mergeCell ref="B6:B7"/>
    <mergeCell ref="C6:C7"/>
    <mergeCell ref="D6:D7"/>
    <mergeCell ref="E6:E7"/>
    <mergeCell ref="F6:I6"/>
    <mergeCell ref="J6:M6"/>
    <mergeCell ref="N6:Q6"/>
    <mergeCell ref="R6:R7"/>
    <mergeCell ref="C30:E30"/>
    <mergeCell ref="C22:E22"/>
    <mergeCell ref="C23:E23"/>
    <mergeCell ref="C24:E25"/>
    <mergeCell ref="C26:E26"/>
    <mergeCell ref="C27:E27"/>
    <mergeCell ref="C29:E29"/>
  </mergeCells>
  <printOptions horizontalCentered="1"/>
  <pageMargins left="0.118110236220472" right="0.15748031496063" top="0.23622047244094499" bottom="0.34055118099999998" header="0.15748031496063" footer="0.15748031496063"/>
  <pageSetup paperSize="9" scale="70" pageOrder="overThenDown" orientation="landscape" r:id="rId1"/>
  <headerFooter>
    <oddFooter>&amp;C&amp;"Limon S1,Normal"&amp;16&amp;P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B1:H22"/>
  <sheetViews>
    <sheetView zoomScale="90" zoomScaleNormal="90" workbookViewId="0">
      <selection activeCell="J25" sqref="J25"/>
    </sheetView>
  </sheetViews>
  <sheetFormatPr defaultRowHeight="27.5" x14ac:dyDescent="2.5"/>
  <cols>
    <col min="1" max="1" width="2.7265625" customWidth="1"/>
    <col min="2" max="2" width="68.54296875" customWidth="1"/>
    <col min="3" max="3" width="20.86328125" customWidth="1"/>
    <col min="4" max="4" width="20.86328125" style="101" customWidth="1"/>
    <col min="5" max="5" width="14.26953125" style="101" customWidth="1"/>
    <col min="6" max="6" width="32.86328125" style="44" customWidth="1"/>
    <col min="7" max="7" width="18.40625" style="41" customWidth="1"/>
    <col min="8" max="8" width="19.54296875" customWidth="1"/>
  </cols>
  <sheetData>
    <row r="1" spans="2:8" ht="22.5" customHeight="1" x14ac:dyDescent="2.5"/>
    <row r="2" spans="2:8" ht="22.5" customHeight="1" x14ac:dyDescent="2.5">
      <c r="B2" s="42"/>
    </row>
    <row r="3" spans="2:8" ht="22.5" customHeight="1" x14ac:dyDescent="2.5">
      <c r="B3" s="42"/>
    </row>
    <row r="4" spans="2:8" ht="19.5" hidden="1" customHeight="1" x14ac:dyDescent="2.5">
      <c r="C4" s="42"/>
      <c r="D4" s="102"/>
      <c r="E4" s="102"/>
    </row>
    <row r="5" spans="2:8" ht="30.75" customHeight="1" x14ac:dyDescent="0.75">
      <c r="B5" s="298" t="s">
        <v>258</v>
      </c>
      <c r="C5" s="298"/>
      <c r="D5" s="298"/>
      <c r="E5" s="298"/>
      <c r="F5" s="298"/>
      <c r="G5" s="298"/>
      <c r="H5" s="298"/>
    </row>
    <row r="6" spans="2:8" ht="27.75" customHeight="1" thickBot="1" x14ac:dyDescent="2.65">
      <c r="B6" s="45"/>
      <c r="C6" s="45"/>
      <c r="E6" s="103"/>
      <c r="H6" s="48" t="s">
        <v>82</v>
      </c>
    </row>
    <row r="7" spans="2:8" ht="29.25" customHeight="1" thickTop="1" x14ac:dyDescent="0.75">
      <c r="B7" s="437" t="s">
        <v>0</v>
      </c>
      <c r="C7" s="439" t="s">
        <v>84</v>
      </c>
      <c r="D7" s="441" t="s">
        <v>159</v>
      </c>
      <c r="E7" s="441" t="s">
        <v>160</v>
      </c>
      <c r="F7" s="443" t="s">
        <v>161</v>
      </c>
      <c r="G7" s="445" t="s">
        <v>290</v>
      </c>
      <c r="H7" s="447" t="s">
        <v>11</v>
      </c>
    </row>
    <row r="8" spans="2:8" ht="22.5" customHeight="1" x14ac:dyDescent="0.75">
      <c r="B8" s="438"/>
      <c r="C8" s="440"/>
      <c r="D8" s="442"/>
      <c r="E8" s="442"/>
      <c r="F8" s="444"/>
      <c r="G8" s="446"/>
      <c r="H8" s="448"/>
    </row>
    <row r="9" spans="2:8" ht="15" customHeight="1" thickBot="1" x14ac:dyDescent="0.9">
      <c r="B9" s="51">
        <v>1</v>
      </c>
      <c r="C9" s="52">
        <v>2</v>
      </c>
      <c r="D9" s="55">
        <v>3</v>
      </c>
      <c r="E9" s="55">
        <v>4</v>
      </c>
      <c r="F9" s="196">
        <v>5</v>
      </c>
      <c r="G9" s="196">
        <v>6</v>
      </c>
      <c r="H9" s="197">
        <v>7</v>
      </c>
    </row>
    <row r="10" spans="2:8" ht="1.5" customHeight="1" thickTop="1" x14ac:dyDescent="0.75">
      <c r="B10" s="198" t="s">
        <v>162</v>
      </c>
      <c r="C10" s="199"/>
      <c r="D10" s="200">
        <f>D15</f>
        <v>17807.5</v>
      </c>
      <c r="E10" s="200">
        <f>E11</f>
        <v>0</v>
      </c>
      <c r="F10" s="202"/>
      <c r="G10" s="203"/>
      <c r="H10" s="201"/>
    </row>
    <row r="11" spans="2:8" ht="27.75" customHeight="1" x14ac:dyDescent="0.75">
      <c r="B11" s="235" t="s">
        <v>163</v>
      </c>
      <c r="C11" s="213"/>
      <c r="D11" s="214">
        <f>SUM(D12+D14)</f>
        <v>0</v>
      </c>
      <c r="E11" s="215">
        <f>SUM(E12+E14)</f>
        <v>0</v>
      </c>
      <c r="F11" s="216"/>
      <c r="G11" s="217"/>
      <c r="H11" s="218"/>
    </row>
    <row r="12" spans="2:8" ht="23.45" hidden="1" customHeight="1" x14ac:dyDescent="0.75">
      <c r="B12" s="236" t="s">
        <v>164</v>
      </c>
      <c r="C12" s="219"/>
      <c r="D12" s="215">
        <f>SUM(D13:D13)</f>
        <v>0</v>
      </c>
      <c r="E12" s="215">
        <f>SUM(E13:E13)</f>
        <v>0</v>
      </c>
      <c r="F12" s="220"/>
      <c r="G12" s="221"/>
      <c r="H12" s="222"/>
    </row>
    <row r="13" spans="2:8" ht="15.65" hidden="1" customHeight="1" x14ac:dyDescent="0.75">
      <c r="B13" s="223"/>
      <c r="C13" s="219"/>
      <c r="D13" s="214">
        <v>0</v>
      </c>
      <c r="E13" s="215"/>
      <c r="F13" s="224"/>
      <c r="G13" s="225"/>
      <c r="H13" s="226"/>
    </row>
    <row r="14" spans="2:8" ht="23.45" hidden="1" customHeight="1" x14ac:dyDescent="0.75">
      <c r="B14" s="236" t="s">
        <v>165</v>
      </c>
      <c r="C14" s="219"/>
      <c r="D14" s="215"/>
      <c r="E14" s="227"/>
      <c r="F14" s="228"/>
      <c r="G14" s="229"/>
      <c r="H14" s="230"/>
    </row>
    <row r="15" spans="2:8" ht="29.25" customHeight="1" x14ac:dyDescent="2.5">
      <c r="B15" s="237" t="s">
        <v>167</v>
      </c>
      <c r="C15" s="243"/>
      <c r="D15" s="264">
        <f>D16</f>
        <v>17807.5</v>
      </c>
      <c r="E15" s="231">
        <f>E16</f>
        <v>0</v>
      </c>
      <c r="F15" s="232"/>
      <c r="G15" s="233"/>
      <c r="H15" s="234"/>
    </row>
    <row r="16" spans="2:8" ht="29.25" customHeight="1" x14ac:dyDescent="0.75">
      <c r="B16" s="238" t="s">
        <v>164</v>
      </c>
      <c r="C16" s="244"/>
      <c r="D16" s="265">
        <f>SUM(D17:D22)</f>
        <v>17807.5</v>
      </c>
      <c r="E16" s="209"/>
      <c r="F16" s="210"/>
      <c r="G16" s="211"/>
      <c r="H16" s="212"/>
    </row>
    <row r="17" spans="2:8" ht="48" customHeight="1" x14ac:dyDescent="0.75">
      <c r="B17" s="148" t="s">
        <v>266</v>
      </c>
      <c r="C17" s="65">
        <v>507</v>
      </c>
      <c r="D17" s="266">
        <v>5000</v>
      </c>
      <c r="E17" s="171"/>
      <c r="F17" s="182" t="s">
        <v>250</v>
      </c>
      <c r="G17" s="247">
        <v>1</v>
      </c>
      <c r="H17" s="248" t="s">
        <v>107</v>
      </c>
    </row>
    <row r="18" spans="2:8" ht="48" customHeight="1" x14ac:dyDescent="0.75">
      <c r="B18" s="148" t="s">
        <v>293</v>
      </c>
      <c r="C18" s="245">
        <v>641</v>
      </c>
      <c r="D18" s="266">
        <v>1657.5</v>
      </c>
      <c r="E18" s="171"/>
      <c r="F18" s="182" t="s">
        <v>250</v>
      </c>
      <c r="G18" s="247">
        <v>2</v>
      </c>
      <c r="H18" s="248" t="s">
        <v>107</v>
      </c>
    </row>
    <row r="19" spans="2:8" ht="48.75" customHeight="1" x14ac:dyDescent="0.75">
      <c r="B19" s="148" t="s">
        <v>255</v>
      </c>
      <c r="C19" s="245">
        <v>659</v>
      </c>
      <c r="D19" s="266">
        <v>3000</v>
      </c>
      <c r="E19" s="171"/>
      <c r="F19" s="182" t="s">
        <v>251</v>
      </c>
      <c r="G19" s="247">
        <v>3</v>
      </c>
      <c r="H19" s="248" t="s">
        <v>107</v>
      </c>
    </row>
    <row r="20" spans="2:8" ht="48" customHeight="1" x14ac:dyDescent="0.75">
      <c r="B20" s="107" t="s">
        <v>288</v>
      </c>
      <c r="C20" s="65">
        <v>492</v>
      </c>
      <c r="D20" s="266">
        <v>1000</v>
      </c>
      <c r="E20" s="171"/>
      <c r="F20" s="182" t="s">
        <v>252</v>
      </c>
      <c r="G20" s="247">
        <v>4</v>
      </c>
      <c r="H20" s="248" t="s">
        <v>107</v>
      </c>
    </row>
    <row r="21" spans="2:8" ht="48" customHeight="1" x14ac:dyDescent="0.75">
      <c r="B21" s="107" t="s">
        <v>289</v>
      </c>
      <c r="C21" s="65">
        <v>652</v>
      </c>
      <c r="D21" s="266">
        <v>550</v>
      </c>
      <c r="E21" s="171"/>
      <c r="F21" s="182" t="s">
        <v>252</v>
      </c>
      <c r="G21" s="247">
        <v>5</v>
      </c>
      <c r="H21" s="248" t="s">
        <v>107</v>
      </c>
    </row>
    <row r="22" spans="2:8" ht="48" customHeight="1" x14ac:dyDescent="0.75">
      <c r="B22" s="241" t="s">
        <v>248</v>
      </c>
      <c r="C22" s="246">
        <v>651</v>
      </c>
      <c r="D22" s="267">
        <v>6600</v>
      </c>
      <c r="E22" s="242"/>
      <c r="F22" s="249" t="s">
        <v>253</v>
      </c>
      <c r="G22" s="250">
        <v>6</v>
      </c>
      <c r="H22" s="251" t="s">
        <v>107</v>
      </c>
    </row>
  </sheetData>
  <mergeCells count="8">
    <mergeCell ref="B5:H5"/>
    <mergeCell ref="B7:B8"/>
    <mergeCell ref="C7:C8"/>
    <mergeCell ref="D7:D8"/>
    <mergeCell ref="E7:E8"/>
    <mergeCell ref="F7:F8"/>
    <mergeCell ref="G7:G8"/>
    <mergeCell ref="H7:H8"/>
  </mergeCells>
  <printOptions horizontalCentered="1"/>
  <pageMargins left="0.48622047200000001" right="0.40748031499999998" top="0.289370079" bottom="0.35433070866141703" header="0.15748031496063" footer="7.8740157480315001E-2"/>
  <pageSetup paperSize="9" scale="70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8"/>
  <sheetViews>
    <sheetView workbookViewId="0">
      <selection activeCell="G19" sqref="G19"/>
    </sheetView>
  </sheetViews>
  <sheetFormatPr defaultColWidth="9.1328125" defaultRowHeight="27.5" x14ac:dyDescent="2.5"/>
  <cols>
    <col min="1" max="1" width="16.7265625" style="41" customWidth="1"/>
    <col min="2" max="4" width="14.86328125" style="41" customWidth="1"/>
    <col min="5" max="16384" width="9.1328125" style="41"/>
  </cols>
  <sheetData>
    <row r="3" spans="1:4" x14ac:dyDescent="2.5">
      <c r="B3" s="41" t="s">
        <v>219</v>
      </c>
      <c r="C3" s="41" t="s">
        <v>220</v>
      </c>
      <c r="D3" s="41" t="s">
        <v>217</v>
      </c>
    </row>
    <row r="4" spans="1:4" x14ac:dyDescent="2.5">
      <c r="A4" s="41" t="s">
        <v>215</v>
      </c>
      <c r="B4" s="162">
        <v>44862</v>
      </c>
      <c r="C4" s="162">
        <v>13624</v>
      </c>
      <c r="D4" s="162">
        <v>13624</v>
      </c>
    </row>
    <row r="5" spans="1:4" x14ac:dyDescent="2.5">
      <c r="A5" s="41" t="s">
        <v>216</v>
      </c>
      <c r="B5" s="162">
        <v>149113.4</v>
      </c>
      <c r="C5" s="162">
        <v>140446</v>
      </c>
      <c r="D5" s="162">
        <v>58177</v>
      </c>
    </row>
    <row r="6" spans="1:4" x14ac:dyDescent="2.5">
      <c r="A6" s="41" t="s">
        <v>218</v>
      </c>
      <c r="B6" s="162">
        <f>SUM(B4:B5)</f>
        <v>193975.4</v>
      </c>
      <c r="C6" s="162">
        <f>SUM(C4:C5)</f>
        <v>154070</v>
      </c>
      <c r="D6" s="163">
        <f>SUM(D4:D5)</f>
        <v>71801</v>
      </c>
    </row>
    <row r="8" spans="1:4" x14ac:dyDescent="2.5">
      <c r="C8" s="41">
        <f>D6/C6</f>
        <v>0.46602842863633415</v>
      </c>
    </row>
  </sheetData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D8"/>
  <sheetViews>
    <sheetView workbookViewId="0">
      <selection activeCell="G19" sqref="G19"/>
    </sheetView>
  </sheetViews>
  <sheetFormatPr defaultColWidth="9.1328125" defaultRowHeight="27.5" x14ac:dyDescent="2.5"/>
  <cols>
    <col min="1" max="1" width="16.7265625" style="41" customWidth="1"/>
    <col min="2" max="4" width="14.86328125" style="41" customWidth="1"/>
    <col min="5" max="16384" width="9.1328125" style="41"/>
  </cols>
  <sheetData>
    <row r="3" spans="1:4" x14ac:dyDescent="2.5">
      <c r="B3" s="41" t="s">
        <v>219</v>
      </c>
      <c r="C3" s="41" t="s">
        <v>220</v>
      </c>
    </row>
    <row r="4" spans="1:4" x14ac:dyDescent="2.5">
      <c r="A4" s="41" t="s">
        <v>215</v>
      </c>
      <c r="B4" s="162">
        <v>4797.6000000000004</v>
      </c>
      <c r="C4" s="162">
        <v>23097.599999999999</v>
      </c>
      <c r="D4" s="162"/>
    </row>
    <row r="5" spans="1:4" x14ac:dyDescent="2.5">
      <c r="A5" s="41" t="s">
        <v>216</v>
      </c>
      <c r="B5" s="162">
        <v>116757.3</v>
      </c>
      <c r="C5" s="162">
        <v>36398</v>
      </c>
      <c r="D5" s="162"/>
    </row>
    <row r="6" spans="1:4" x14ac:dyDescent="2.5">
      <c r="A6" s="41" t="s">
        <v>218</v>
      </c>
      <c r="B6" s="162">
        <f>SUM(B4:B5)</f>
        <v>121554.90000000001</v>
      </c>
      <c r="C6" s="162">
        <f>SUM(C4:C5)</f>
        <v>59495.6</v>
      </c>
      <c r="D6" s="163"/>
    </row>
    <row r="8" spans="1:4" x14ac:dyDescent="2.5">
      <c r="C8" s="41">
        <f>D6/C6</f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D8"/>
  <sheetViews>
    <sheetView topLeftCell="A7" workbookViewId="0">
      <selection activeCell="G19" sqref="G19"/>
    </sheetView>
  </sheetViews>
  <sheetFormatPr defaultColWidth="9.1328125" defaultRowHeight="27.5" x14ac:dyDescent="2.5"/>
  <cols>
    <col min="1" max="1" width="29.40625" style="41" bestFit="1" customWidth="1"/>
    <col min="2" max="2" width="14.86328125" style="41" customWidth="1"/>
    <col min="3" max="3" width="26.1328125" style="41" customWidth="1"/>
    <col min="4" max="4" width="32.7265625" style="41" customWidth="1"/>
    <col min="5" max="16384" width="9.1328125" style="41"/>
  </cols>
  <sheetData>
    <row r="3" spans="1:4" x14ac:dyDescent="2.5">
      <c r="B3" s="164" t="s">
        <v>221</v>
      </c>
      <c r="C3" s="164" t="s">
        <v>223</v>
      </c>
      <c r="D3" s="164" t="s">
        <v>224</v>
      </c>
    </row>
    <row r="4" spans="1:4" x14ac:dyDescent="2.5">
      <c r="A4" s="41" t="s">
        <v>118</v>
      </c>
      <c r="B4" s="162">
        <v>80507</v>
      </c>
      <c r="C4" s="162">
        <v>79432</v>
      </c>
      <c r="D4" s="162">
        <v>1075</v>
      </c>
    </row>
    <row r="5" spans="1:4" x14ac:dyDescent="2.5">
      <c r="A5" s="41" t="s">
        <v>222</v>
      </c>
      <c r="B5" s="162">
        <v>195310.4</v>
      </c>
      <c r="C5" s="162">
        <v>160000</v>
      </c>
      <c r="D5" s="162">
        <v>35310.400000000001</v>
      </c>
    </row>
    <row r="6" spans="1:4" x14ac:dyDescent="2.5">
      <c r="A6" s="41" t="s">
        <v>10</v>
      </c>
      <c r="B6" s="162">
        <f>SUM(B4:B5)</f>
        <v>275817.40000000002</v>
      </c>
      <c r="C6" s="162">
        <f>SUM(C4:C5)</f>
        <v>239432</v>
      </c>
      <c r="D6" s="162">
        <f>SUM(D4:D5)</f>
        <v>36385.4</v>
      </c>
    </row>
    <row r="8" spans="1:4" x14ac:dyDescent="2.5">
      <c r="C8" s="41">
        <f>D6/C6</f>
        <v>0.151965484981122</v>
      </c>
    </row>
  </sheetData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5"/>
  <sheetViews>
    <sheetView topLeftCell="A7" workbookViewId="0">
      <selection activeCell="G19" sqref="G19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398" t="s">
        <v>225</v>
      </c>
      <c r="B1" s="449"/>
      <c r="C1" s="449"/>
      <c r="D1" s="450"/>
      <c r="E1" s="165" t="s">
        <v>185</v>
      </c>
      <c r="F1" s="166"/>
      <c r="G1" s="166"/>
      <c r="H1" s="167"/>
      <c r="I1" s="398" t="s">
        <v>89</v>
      </c>
      <c r="J1" s="449"/>
      <c r="K1" s="449"/>
      <c r="L1" s="451"/>
    </row>
    <row r="2" spans="1:12" ht="33" customHeight="1" thickBot="1" x14ac:dyDescent="2.65">
      <c r="A2" s="49">
        <v>2019</v>
      </c>
      <c r="B2" s="49">
        <v>2020</v>
      </c>
      <c r="C2" s="49">
        <v>2021</v>
      </c>
      <c r="D2" s="119" t="s">
        <v>10</v>
      </c>
      <c r="E2" s="49">
        <v>2019</v>
      </c>
      <c r="F2" s="49">
        <v>2020</v>
      </c>
      <c r="G2" s="49">
        <v>2021</v>
      </c>
      <c r="H2" s="119" t="s">
        <v>10</v>
      </c>
      <c r="I2" s="49">
        <v>2019</v>
      </c>
      <c r="J2" s="49">
        <v>2020</v>
      </c>
      <c r="K2" s="49">
        <v>2021</v>
      </c>
      <c r="L2" s="119" t="s">
        <v>10</v>
      </c>
    </row>
    <row r="3" spans="1:12" ht="28.25" thickTop="1" x14ac:dyDescent="2.5">
      <c r="A3" s="149">
        <f>A4+A5</f>
        <v>31758.3</v>
      </c>
      <c r="B3" s="149">
        <f>B4+B5</f>
        <v>9924.5</v>
      </c>
      <c r="C3" s="149">
        <f>C4+C5</f>
        <v>4922</v>
      </c>
      <c r="D3" s="149">
        <f>SUM(A3:C3)</f>
        <v>46604.800000000003</v>
      </c>
      <c r="E3" s="149">
        <f>E4+E5</f>
        <v>11237.8</v>
      </c>
      <c r="F3" s="149">
        <f>F4+F5</f>
        <v>4900</v>
      </c>
      <c r="G3" s="149">
        <f>G4+G5</f>
        <v>1350</v>
      </c>
      <c r="H3" s="149">
        <f>SUM(E3:G3)</f>
        <v>17487.8</v>
      </c>
      <c r="I3" s="149">
        <f>I4+I5</f>
        <v>20520.5</v>
      </c>
      <c r="J3" s="149">
        <f>J4+J5</f>
        <v>5024.5</v>
      </c>
      <c r="K3" s="149">
        <f>K4+K5</f>
        <v>3572</v>
      </c>
      <c r="L3" s="151">
        <f>SUM(I3:K3)</f>
        <v>29117</v>
      </c>
    </row>
    <row r="4" spans="1:12" x14ac:dyDescent="2.5">
      <c r="A4" s="153">
        <v>30258.3</v>
      </c>
      <c r="B4" s="153">
        <v>8424.5</v>
      </c>
      <c r="C4" s="153">
        <v>3922</v>
      </c>
      <c r="D4" s="153">
        <f>SUM(A4:C4)</f>
        <v>42604.800000000003</v>
      </c>
      <c r="E4" s="153">
        <v>9737.7999999999993</v>
      </c>
      <c r="F4" s="153">
        <v>3400</v>
      </c>
      <c r="G4" s="153">
        <v>350</v>
      </c>
      <c r="H4" s="153">
        <f t="shared" ref="H4:H5" si="0">SUM(E4:G4)</f>
        <v>13487.8</v>
      </c>
      <c r="I4" s="153">
        <f>A4-E4</f>
        <v>20520.5</v>
      </c>
      <c r="J4" s="153">
        <f t="shared" ref="J4:K5" si="1">B4-F4</f>
        <v>5024.5</v>
      </c>
      <c r="K4" s="153">
        <f t="shared" si="1"/>
        <v>3572</v>
      </c>
      <c r="L4" s="155">
        <f>SUM(I4:K4)</f>
        <v>29117</v>
      </c>
    </row>
    <row r="5" spans="1:12" x14ac:dyDescent="2.5">
      <c r="A5" s="153">
        <v>1500</v>
      </c>
      <c r="B5" s="153">
        <v>1500</v>
      </c>
      <c r="C5" s="153">
        <v>1000</v>
      </c>
      <c r="D5" s="153">
        <f>SUM(A5:C5)</f>
        <v>4000</v>
      </c>
      <c r="E5" s="153">
        <v>1500</v>
      </c>
      <c r="F5" s="153">
        <v>1500</v>
      </c>
      <c r="G5" s="153">
        <v>1000</v>
      </c>
      <c r="H5" s="153">
        <f t="shared" si="0"/>
        <v>4000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2" x14ac:dyDescent="2.5">
      <c r="A17" s="104" t="s">
        <v>226</v>
      </c>
      <c r="B17" s="168">
        <v>3</v>
      </c>
    </row>
    <row r="18" spans="1:2" x14ac:dyDescent="2.5">
      <c r="A18" s="104" t="s">
        <v>227</v>
      </c>
      <c r="B18" s="168">
        <v>4</v>
      </c>
    </row>
    <row r="19" spans="1:2" x14ac:dyDescent="2.5">
      <c r="A19" s="104" t="s">
        <v>228</v>
      </c>
      <c r="B19" s="168">
        <v>1</v>
      </c>
    </row>
    <row r="20" spans="1:2" x14ac:dyDescent="2.5">
      <c r="A20" s="104" t="s">
        <v>233</v>
      </c>
      <c r="B20" s="168">
        <v>2</v>
      </c>
    </row>
    <row r="21" spans="1:2" x14ac:dyDescent="2.5">
      <c r="A21" s="104" t="s">
        <v>229</v>
      </c>
      <c r="B21" s="168">
        <v>1</v>
      </c>
    </row>
    <row r="22" spans="1:2" x14ac:dyDescent="2.5">
      <c r="A22" s="104" t="s">
        <v>230</v>
      </c>
      <c r="B22" s="168">
        <v>1</v>
      </c>
    </row>
    <row r="23" spans="1:2" x14ac:dyDescent="2.5">
      <c r="A23" s="41" t="s">
        <v>231</v>
      </c>
      <c r="B23" s="168">
        <v>1</v>
      </c>
    </row>
    <row r="24" spans="1:2" x14ac:dyDescent="2.5">
      <c r="A24" s="41" t="s">
        <v>232</v>
      </c>
      <c r="B24" s="168">
        <v>5</v>
      </c>
    </row>
    <row r="25" spans="1:2" x14ac:dyDescent="2.5">
      <c r="A25" s="41" t="s">
        <v>10</v>
      </c>
      <c r="B25" s="168">
        <f>SUM(B17:B24)</f>
        <v>18</v>
      </c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5"/>
  <sheetViews>
    <sheetView topLeftCell="A7" zoomScale="80" zoomScaleNormal="80" workbookViewId="0">
      <selection activeCell="G19" sqref="G19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398" t="s">
        <v>225</v>
      </c>
      <c r="B1" s="449"/>
      <c r="C1" s="449"/>
      <c r="D1" s="450"/>
      <c r="E1" s="165" t="s">
        <v>185</v>
      </c>
      <c r="F1" s="166"/>
      <c r="G1" s="166"/>
      <c r="H1" s="167"/>
      <c r="I1" s="398" t="s">
        <v>89</v>
      </c>
      <c r="J1" s="449"/>
      <c r="K1" s="449"/>
      <c r="L1" s="451"/>
    </row>
    <row r="2" spans="1:12" ht="33" customHeight="1" thickBot="1" x14ac:dyDescent="2.65">
      <c r="A2" s="49">
        <v>2020</v>
      </c>
      <c r="B2" s="49">
        <v>2021</v>
      </c>
      <c r="C2" s="49">
        <v>2022</v>
      </c>
      <c r="D2" s="119" t="s">
        <v>10</v>
      </c>
      <c r="E2" s="49">
        <v>2020</v>
      </c>
      <c r="F2" s="49">
        <v>2021</v>
      </c>
      <c r="G2" s="49">
        <v>2022</v>
      </c>
      <c r="H2" s="119" t="s">
        <v>10</v>
      </c>
      <c r="I2" s="49">
        <v>2020</v>
      </c>
      <c r="J2" s="49">
        <v>2021</v>
      </c>
      <c r="K2" s="49">
        <v>2022</v>
      </c>
      <c r="L2" s="119" t="s">
        <v>10</v>
      </c>
    </row>
    <row r="3" spans="1:12" ht="28.25" thickTop="1" x14ac:dyDescent="2.5">
      <c r="A3" s="149">
        <f>A4+A5</f>
        <v>20177</v>
      </c>
      <c r="B3" s="149">
        <f>B4+B5</f>
        <v>6920.5</v>
      </c>
      <c r="C3" s="149">
        <f>C4+C5</f>
        <v>5119</v>
      </c>
      <c r="D3" s="149">
        <f>SUM(A3:C3)</f>
        <v>32216.5</v>
      </c>
      <c r="E3" s="149">
        <f>E4+E5</f>
        <v>4050</v>
      </c>
      <c r="F3" s="149">
        <f>F4+F5</f>
        <v>0</v>
      </c>
      <c r="G3" s="149">
        <f>G4+G5</f>
        <v>0</v>
      </c>
      <c r="H3" s="149">
        <f>SUM(E3:G3)</f>
        <v>4050</v>
      </c>
      <c r="I3" s="149">
        <f>I4+I5</f>
        <v>16127</v>
      </c>
      <c r="J3" s="149">
        <f>J4+J5</f>
        <v>6920.5</v>
      </c>
      <c r="K3" s="149">
        <f>K4+K5</f>
        <v>5119</v>
      </c>
      <c r="L3" s="151">
        <f>SUM(I3:K3)</f>
        <v>28166.5</v>
      </c>
    </row>
    <row r="4" spans="1:12" x14ac:dyDescent="2.5">
      <c r="A4" s="153">
        <v>20177</v>
      </c>
      <c r="B4" s="153">
        <v>6920.5</v>
      </c>
      <c r="C4" s="153">
        <v>5119</v>
      </c>
      <c r="D4" s="153">
        <f>SUM(A4:C4)</f>
        <v>32216.5</v>
      </c>
      <c r="E4" s="153">
        <v>4050</v>
      </c>
      <c r="F4" s="153">
        <v>0</v>
      </c>
      <c r="G4" s="153">
        <v>0</v>
      </c>
      <c r="H4" s="153">
        <f t="shared" ref="H4:H5" si="0">SUM(E4:G4)</f>
        <v>4050</v>
      </c>
      <c r="I4" s="153">
        <f>A4-E4</f>
        <v>16127</v>
      </c>
      <c r="J4" s="153">
        <f t="shared" ref="J4:K5" si="1">B4-F4</f>
        <v>6920.5</v>
      </c>
      <c r="K4" s="153">
        <f t="shared" si="1"/>
        <v>5119</v>
      </c>
      <c r="L4" s="155">
        <f>SUM(I4:K4)</f>
        <v>28166.5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2" x14ac:dyDescent="2.5">
      <c r="A17" s="104" t="s">
        <v>226</v>
      </c>
      <c r="B17" s="168">
        <v>2</v>
      </c>
    </row>
    <row r="18" spans="1:2" x14ac:dyDescent="2.5">
      <c r="A18" s="104" t="s">
        <v>227</v>
      </c>
      <c r="B18" s="168">
        <v>3</v>
      </c>
    </row>
    <row r="19" spans="1:2" x14ac:dyDescent="2.5">
      <c r="A19" s="104" t="s">
        <v>228</v>
      </c>
      <c r="B19" s="168">
        <v>1</v>
      </c>
    </row>
    <row r="20" spans="1:2" x14ac:dyDescent="2.5">
      <c r="A20" s="104" t="s">
        <v>229</v>
      </c>
      <c r="B20" s="168">
        <v>1</v>
      </c>
    </row>
    <row r="21" spans="1:2" x14ac:dyDescent="2.5">
      <c r="A21" s="104" t="s">
        <v>230</v>
      </c>
      <c r="B21" s="168">
        <v>1</v>
      </c>
    </row>
    <row r="22" spans="1:2" x14ac:dyDescent="2.5">
      <c r="A22" s="41" t="s">
        <v>232</v>
      </c>
      <c r="B22" s="168">
        <v>4</v>
      </c>
    </row>
    <row r="23" spans="1:2" x14ac:dyDescent="2.5">
      <c r="A23" s="41" t="s">
        <v>10</v>
      </c>
      <c r="B23" s="168">
        <f>SUM(B15:B22)</f>
        <v>12</v>
      </c>
    </row>
    <row r="24" spans="1:2" x14ac:dyDescent="2.5">
      <c r="B24" s="168"/>
    </row>
    <row r="25" spans="1:2" x14ac:dyDescent="2.5">
      <c r="B25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4"/>
  <sheetViews>
    <sheetView zoomScaleNormal="100" workbookViewId="0">
      <selection activeCell="G19" sqref="G19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398" t="s">
        <v>225</v>
      </c>
      <c r="B1" s="449"/>
      <c r="C1" s="449"/>
      <c r="D1" s="450"/>
      <c r="E1" s="165" t="s">
        <v>185</v>
      </c>
      <c r="F1" s="166"/>
      <c r="G1" s="166"/>
      <c r="H1" s="167"/>
      <c r="I1" s="398" t="s">
        <v>89</v>
      </c>
      <c r="J1" s="449"/>
      <c r="K1" s="449"/>
      <c r="L1" s="451"/>
    </row>
    <row r="2" spans="1:12" ht="33" customHeight="1" thickBot="1" x14ac:dyDescent="2.65">
      <c r="A2" s="49">
        <v>2021</v>
      </c>
      <c r="B2" s="49">
        <v>2022</v>
      </c>
      <c r="C2" s="49">
        <v>2023</v>
      </c>
      <c r="D2" s="119" t="s">
        <v>10</v>
      </c>
      <c r="E2" s="49">
        <v>2021</v>
      </c>
      <c r="F2" s="49">
        <v>2022</v>
      </c>
      <c r="G2" s="49">
        <v>2023</v>
      </c>
      <c r="H2" s="119" t="s">
        <v>10</v>
      </c>
      <c r="I2" s="49">
        <v>2021</v>
      </c>
      <c r="J2" s="49">
        <v>2022</v>
      </c>
      <c r="K2" s="49">
        <v>2023</v>
      </c>
      <c r="L2" s="119" t="s">
        <v>10</v>
      </c>
    </row>
    <row r="3" spans="1:12" ht="28.25" thickTop="1" x14ac:dyDescent="2.5">
      <c r="A3" s="149">
        <f>A4+A5</f>
        <v>19253.3</v>
      </c>
      <c r="B3" s="149">
        <f>B4+B5</f>
        <v>7771.5</v>
      </c>
      <c r="C3" s="149">
        <f>C4+C5</f>
        <v>5495.5</v>
      </c>
      <c r="D3" s="149">
        <f>SUM(A3:C3)</f>
        <v>32520.3</v>
      </c>
      <c r="E3" s="149">
        <f>E4+E5</f>
        <v>0</v>
      </c>
      <c r="F3" s="149">
        <f>F4+F5</f>
        <v>0</v>
      </c>
      <c r="G3" s="149">
        <f>G4+G5</f>
        <v>0</v>
      </c>
      <c r="H3" s="149">
        <f>SUM(E3:G3)</f>
        <v>0</v>
      </c>
      <c r="I3" s="149">
        <f>I4+I5</f>
        <v>19253.3</v>
      </c>
      <c r="J3" s="149">
        <f>J4+J5</f>
        <v>7771.5</v>
      </c>
      <c r="K3" s="149">
        <f>K4+K5</f>
        <v>5495.5</v>
      </c>
      <c r="L3" s="151">
        <f>SUM(I3:K3)</f>
        <v>32520.3</v>
      </c>
    </row>
    <row r="4" spans="1:12" x14ac:dyDescent="2.5">
      <c r="A4" s="153">
        <v>19253.3</v>
      </c>
      <c r="B4" s="153">
        <v>7771.5</v>
      </c>
      <c r="C4" s="153">
        <v>5495.5</v>
      </c>
      <c r="D4" s="153">
        <f>SUM(A4:C4)</f>
        <v>32520.3</v>
      </c>
      <c r="E4" s="153"/>
      <c r="F4" s="153">
        <v>0</v>
      </c>
      <c r="G4" s="153">
        <v>0</v>
      </c>
      <c r="H4" s="153">
        <f t="shared" ref="H4:H5" si="0">SUM(E4:G4)</f>
        <v>0</v>
      </c>
      <c r="I4" s="153">
        <f>A4-E4</f>
        <v>19253.3</v>
      </c>
      <c r="J4" s="153">
        <f t="shared" ref="J4:K5" si="1">B4-F4</f>
        <v>7771.5</v>
      </c>
      <c r="K4" s="153">
        <f t="shared" si="1"/>
        <v>5495.5</v>
      </c>
      <c r="L4" s="155">
        <f>SUM(I4:K4)</f>
        <v>32520.3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3" x14ac:dyDescent="2.5">
      <c r="A17" s="104" t="s">
        <v>226</v>
      </c>
      <c r="B17" s="168">
        <v>2</v>
      </c>
      <c r="C17" s="168"/>
    </row>
    <row r="18" spans="1:3" x14ac:dyDescent="2.5">
      <c r="A18" s="104" t="s">
        <v>227</v>
      </c>
      <c r="B18" s="168">
        <v>3</v>
      </c>
    </row>
    <row r="19" spans="1:3" x14ac:dyDescent="2.5">
      <c r="A19" s="104" t="s">
        <v>228</v>
      </c>
      <c r="B19" s="168">
        <v>1</v>
      </c>
    </row>
    <row r="20" spans="1:3" x14ac:dyDescent="2.5">
      <c r="A20" s="104" t="s">
        <v>229</v>
      </c>
      <c r="B20" s="168">
        <v>1</v>
      </c>
    </row>
    <row r="21" spans="1:3" x14ac:dyDescent="2.5">
      <c r="A21" s="41" t="s">
        <v>232</v>
      </c>
      <c r="B21" s="168">
        <v>3</v>
      </c>
    </row>
    <row r="22" spans="1:3" x14ac:dyDescent="2.5">
      <c r="A22" s="41" t="s">
        <v>10</v>
      </c>
      <c r="B22" s="168">
        <v>10</v>
      </c>
    </row>
    <row r="23" spans="1:3" x14ac:dyDescent="2.5">
      <c r="B23" s="168"/>
    </row>
    <row r="24" spans="1:3" x14ac:dyDescent="2.5">
      <c r="B24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D2C0-99CB-4A8E-85FB-E5A953477396}">
  <dimension ref="A1:L24"/>
  <sheetViews>
    <sheetView topLeftCell="A7" zoomScale="80" zoomScaleNormal="80" workbookViewId="0">
      <selection activeCell="R26" sqref="R26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398" t="s">
        <v>225</v>
      </c>
      <c r="B1" s="449"/>
      <c r="C1" s="449"/>
      <c r="D1" s="450"/>
      <c r="E1" s="165" t="s">
        <v>185</v>
      </c>
      <c r="F1" s="166"/>
      <c r="G1" s="166"/>
      <c r="H1" s="167"/>
      <c r="I1" s="398" t="s">
        <v>89</v>
      </c>
      <c r="J1" s="449"/>
      <c r="K1" s="449"/>
      <c r="L1" s="451"/>
    </row>
    <row r="2" spans="1:12" ht="33" customHeight="1" thickBot="1" x14ac:dyDescent="2.65">
      <c r="A2" s="49">
        <v>2022</v>
      </c>
      <c r="B2" s="49">
        <v>2023</v>
      </c>
      <c r="C2" s="49">
        <v>2024</v>
      </c>
      <c r="D2" s="119" t="s">
        <v>10</v>
      </c>
      <c r="E2" s="49">
        <v>2022</v>
      </c>
      <c r="F2" s="49">
        <v>2023</v>
      </c>
      <c r="G2" s="49">
        <v>2024</v>
      </c>
      <c r="H2" s="119" t="s">
        <v>10</v>
      </c>
      <c r="I2" s="49">
        <v>2022</v>
      </c>
      <c r="J2" s="49">
        <v>2023</v>
      </c>
      <c r="K2" s="49">
        <v>2024</v>
      </c>
      <c r="L2" s="119" t="s">
        <v>10</v>
      </c>
    </row>
    <row r="3" spans="1:12" ht="28.25" thickTop="1" x14ac:dyDescent="2.5">
      <c r="A3" s="149">
        <f>A4+A5</f>
        <v>14175.5</v>
      </c>
      <c r="B3" s="149">
        <f>B4+B5</f>
        <v>6171.5</v>
      </c>
      <c r="C3" s="149">
        <f>C4+C5</f>
        <v>3920.5</v>
      </c>
      <c r="D3" s="149">
        <f>SUM(A3:C3)</f>
        <v>24267.5</v>
      </c>
      <c r="E3" s="149">
        <f>E4+E5</f>
        <v>0</v>
      </c>
      <c r="F3" s="149">
        <f>F4+F5</f>
        <v>0</v>
      </c>
      <c r="G3" s="149">
        <f>G4+G5</f>
        <v>0</v>
      </c>
      <c r="H3" s="149">
        <f>SUM(E3:G3)</f>
        <v>0</v>
      </c>
      <c r="I3" s="149">
        <f>I4+I5</f>
        <v>14175.5</v>
      </c>
      <c r="J3" s="149">
        <f>J4+J5</f>
        <v>6171.5</v>
      </c>
      <c r="K3" s="149">
        <f>K4+K5</f>
        <v>3920.5</v>
      </c>
      <c r="L3" s="151">
        <f>SUM(I3:K3)</f>
        <v>24267.5</v>
      </c>
    </row>
    <row r="4" spans="1:12" x14ac:dyDescent="2.5">
      <c r="A4" s="153">
        <v>14175.5</v>
      </c>
      <c r="B4" s="153">
        <v>6171.5</v>
      </c>
      <c r="C4" s="153">
        <v>3920.5</v>
      </c>
      <c r="D4" s="153">
        <f>SUM(A4:C4)</f>
        <v>24267.5</v>
      </c>
      <c r="E4" s="153"/>
      <c r="F4" s="153">
        <v>0</v>
      </c>
      <c r="G4" s="153">
        <v>0</v>
      </c>
      <c r="H4" s="153">
        <f t="shared" ref="H4:H5" si="0">SUM(E4:G4)</f>
        <v>0</v>
      </c>
      <c r="I4" s="153">
        <f>A4-E4</f>
        <v>14175.5</v>
      </c>
      <c r="J4" s="153">
        <f t="shared" ref="J4:K5" si="1">B4-F4</f>
        <v>6171.5</v>
      </c>
      <c r="K4" s="153">
        <f t="shared" si="1"/>
        <v>3920.5</v>
      </c>
      <c r="L4" s="155">
        <f>SUM(I4:K4)</f>
        <v>24267.5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2">A5-E5</f>
        <v>0</v>
      </c>
      <c r="J5" s="153">
        <f t="shared" si="1"/>
        <v>0</v>
      </c>
      <c r="K5" s="153">
        <f t="shared" si="1"/>
        <v>0</v>
      </c>
      <c r="L5" s="155">
        <f>SUM(I5:K5)</f>
        <v>0</v>
      </c>
    </row>
    <row r="17" spans="1:2" x14ac:dyDescent="2.5">
      <c r="A17" s="104" t="s">
        <v>226</v>
      </c>
      <c r="B17" s="174">
        <v>1</v>
      </c>
    </row>
    <row r="18" spans="1:2" x14ac:dyDescent="2.5">
      <c r="A18" s="104" t="s">
        <v>227</v>
      </c>
      <c r="B18" s="174">
        <v>2</v>
      </c>
    </row>
    <row r="19" spans="1:2" x14ac:dyDescent="2.5">
      <c r="A19" s="104" t="s">
        <v>228</v>
      </c>
      <c r="B19" s="174">
        <v>1</v>
      </c>
    </row>
    <row r="20" spans="1:2" x14ac:dyDescent="2.5">
      <c r="A20" s="104" t="s">
        <v>229</v>
      </c>
      <c r="B20" s="174">
        <v>1</v>
      </c>
    </row>
    <row r="21" spans="1:2" x14ac:dyDescent="2.5">
      <c r="A21" s="41" t="s">
        <v>232</v>
      </c>
      <c r="B21" s="174">
        <v>3</v>
      </c>
    </row>
    <row r="22" spans="1:2" x14ac:dyDescent="2.5">
      <c r="A22" s="41" t="s">
        <v>10</v>
      </c>
      <c r="B22" s="174">
        <v>8</v>
      </c>
    </row>
    <row r="23" spans="1:2" x14ac:dyDescent="2.5">
      <c r="B23" s="168"/>
    </row>
    <row r="24" spans="1:2" x14ac:dyDescent="2.5">
      <c r="B24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95FE8-F145-4CDB-AA5A-9A8ED4A935AC}">
  <dimension ref="A1:L23"/>
  <sheetViews>
    <sheetView zoomScale="80" zoomScaleNormal="80" workbookViewId="0">
      <pane ySplit="1" topLeftCell="A2" activePane="bottomLeft" state="frozen"/>
      <selection activeCell="R26" sqref="R26"/>
      <selection pane="bottomLeft" activeCell="R26" sqref="R26"/>
    </sheetView>
  </sheetViews>
  <sheetFormatPr defaultColWidth="9.1328125" defaultRowHeight="27.5" x14ac:dyDescent="2.5"/>
  <cols>
    <col min="1" max="1" width="16.26953125" style="41" customWidth="1"/>
    <col min="2" max="4" width="12.54296875" style="41" customWidth="1"/>
    <col min="5" max="16384" width="9.1328125" style="41"/>
  </cols>
  <sheetData>
    <row r="1" spans="1:12" ht="28.25" thickTop="1" x14ac:dyDescent="2.5">
      <c r="A1" s="398" t="s">
        <v>225</v>
      </c>
      <c r="B1" s="449"/>
      <c r="C1" s="449"/>
      <c r="D1" s="450"/>
      <c r="E1" s="165" t="s">
        <v>185</v>
      </c>
      <c r="F1" s="166"/>
      <c r="G1" s="166"/>
      <c r="H1" s="167"/>
      <c r="I1" s="398" t="s">
        <v>89</v>
      </c>
      <c r="J1" s="449"/>
      <c r="K1" s="449"/>
      <c r="L1" s="451"/>
    </row>
    <row r="2" spans="1:12" ht="33" customHeight="1" thickBot="1" x14ac:dyDescent="2.65">
      <c r="A2" s="49">
        <v>2023</v>
      </c>
      <c r="B2" s="49">
        <v>2024</v>
      </c>
      <c r="C2" s="49">
        <v>2025</v>
      </c>
      <c r="D2" s="119" t="s">
        <v>10</v>
      </c>
      <c r="E2" s="49">
        <v>2022</v>
      </c>
      <c r="F2" s="49">
        <v>2023</v>
      </c>
      <c r="G2" s="49">
        <v>2024</v>
      </c>
      <c r="H2" s="119" t="s">
        <v>10</v>
      </c>
      <c r="I2" s="49">
        <v>2022</v>
      </c>
      <c r="J2" s="49">
        <v>2023</v>
      </c>
      <c r="K2" s="49">
        <v>2024</v>
      </c>
      <c r="L2" s="119" t="s">
        <v>10</v>
      </c>
    </row>
    <row r="3" spans="1:12" ht="28.25" thickTop="1" x14ac:dyDescent="2.5">
      <c r="A3" s="149">
        <f>A4+A5</f>
        <v>10032.5</v>
      </c>
      <c r="B3" s="149">
        <f>B4+B5</f>
        <v>5312.5</v>
      </c>
      <c r="C3" s="149">
        <f>C4+C5</f>
        <v>2462.5</v>
      </c>
      <c r="D3" s="149">
        <f>SUM(A3:C3)</f>
        <v>17807.5</v>
      </c>
      <c r="E3" s="149">
        <f>E4+E5</f>
        <v>0</v>
      </c>
      <c r="F3" s="149">
        <f>F4+F5</f>
        <v>0</v>
      </c>
      <c r="G3" s="149">
        <f>G4+G5</f>
        <v>0</v>
      </c>
      <c r="H3" s="149">
        <f>SUM(E3:G3)</f>
        <v>0</v>
      </c>
      <c r="I3" s="149">
        <f>I4+I5</f>
        <v>10032.5</v>
      </c>
      <c r="J3" s="149">
        <f>J4+J5</f>
        <v>5312.5</v>
      </c>
      <c r="K3" s="149">
        <f>K4+K5</f>
        <v>2462.5</v>
      </c>
      <c r="L3" s="151">
        <f>SUM(I3:K3)</f>
        <v>17807.5</v>
      </c>
    </row>
    <row r="4" spans="1:12" x14ac:dyDescent="2.5">
      <c r="A4" s="153">
        <f>'PIP 2023-2025 by Projects'!F9</f>
        <v>10032.5</v>
      </c>
      <c r="B4" s="153">
        <f>'PIP 2023-2025 by Projects'!G9</f>
        <v>5312.5</v>
      </c>
      <c r="C4" s="153">
        <f>'PIP 2023-2025 by Projects'!H9</f>
        <v>2462.5</v>
      </c>
      <c r="D4" s="153">
        <f>SUM(A4:C4)</f>
        <v>17807.5</v>
      </c>
      <c r="E4" s="153">
        <f>'PIP 2023-2025 by Projects'!J9</f>
        <v>0</v>
      </c>
      <c r="F4" s="153">
        <f>'PIP 2023-2025 by Projects'!K9</f>
        <v>0</v>
      </c>
      <c r="G4" s="153">
        <f>'PIP 2023-2025 by Projects'!L9</f>
        <v>0</v>
      </c>
      <c r="H4" s="153">
        <f t="shared" ref="H4:H5" si="0">SUM(E4:G4)</f>
        <v>0</v>
      </c>
      <c r="I4" s="153">
        <f>'PIP 2023-2025 by Projects'!N9</f>
        <v>10032.5</v>
      </c>
      <c r="J4" s="153">
        <f>'PIP 2023-2025 by Projects'!O9</f>
        <v>5312.5</v>
      </c>
      <c r="K4" s="153">
        <f>'PIP 2023-2025 by Projects'!P9</f>
        <v>2462.5</v>
      </c>
      <c r="L4" s="155">
        <f>SUM(I4:K4)</f>
        <v>17807.5</v>
      </c>
    </row>
    <row r="5" spans="1:12" x14ac:dyDescent="2.5">
      <c r="A5" s="153">
        <v>0</v>
      </c>
      <c r="B5" s="153">
        <v>0</v>
      </c>
      <c r="C5" s="153">
        <v>0</v>
      </c>
      <c r="D5" s="153">
        <f>SUM(A5:C5)</f>
        <v>0</v>
      </c>
      <c r="E5" s="153">
        <v>0</v>
      </c>
      <c r="F5" s="153">
        <v>0</v>
      </c>
      <c r="G5" s="153">
        <v>0</v>
      </c>
      <c r="H5" s="153">
        <f t="shared" si="0"/>
        <v>0</v>
      </c>
      <c r="I5" s="153">
        <f t="shared" ref="I5" si="1">A5-E5</f>
        <v>0</v>
      </c>
      <c r="J5" s="153">
        <f t="shared" ref="J5:K5" si="2">B5-F5</f>
        <v>0</v>
      </c>
      <c r="K5" s="153">
        <f t="shared" si="2"/>
        <v>0</v>
      </c>
      <c r="L5" s="155">
        <f>SUM(I5:K5)</f>
        <v>0</v>
      </c>
    </row>
    <row r="13" spans="1:12" x14ac:dyDescent="2.5">
      <c r="K13" s="239"/>
    </row>
    <row r="17" spans="1:2" x14ac:dyDescent="2.5">
      <c r="A17" s="104" t="s">
        <v>226</v>
      </c>
      <c r="B17" s="174">
        <v>1</v>
      </c>
    </row>
    <row r="18" spans="1:2" x14ac:dyDescent="2.5">
      <c r="A18" s="104" t="s">
        <v>227</v>
      </c>
      <c r="B18" s="174">
        <v>2</v>
      </c>
    </row>
    <row r="19" spans="1:2" x14ac:dyDescent="2.5">
      <c r="A19" s="104" t="s">
        <v>228</v>
      </c>
      <c r="B19" s="174">
        <v>1</v>
      </c>
    </row>
    <row r="20" spans="1:2" x14ac:dyDescent="2.5">
      <c r="A20" s="41" t="s">
        <v>232</v>
      </c>
      <c r="B20" s="174">
        <v>2</v>
      </c>
    </row>
    <row r="21" spans="1:2" x14ac:dyDescent="2.5">
      <c r="A21" s="41" t="s">
        <v>10</v>
      </c>
      <c r="B21" s="174">
        <f>SUM(B17:B20)</f>
        <v>6</v>
      </c>
    </row>
    <row r="22" spans="1:2" x14ac:dyDescent="2.5">
      <c r="B22" s="168"/>
    </row>
    <row r="23" spans="1:2" x14ac:dyDescent="2.5">
      <c r="B23" s="168"/>
    </row>
  </sheetData>
  <mergeCells count="2">
    <mergeCell ref="A1:D1"/>
    <mergeCell ref="I1:L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PIP-Status 2017 (2)</vt:lpstr>
      <vt:lpstr>PIP-Status 2017-18 </vt:lpstr>
      <vt:lpstr>PIP 2019 by Fund-status</vt:lpstr>
      <vt:lpstr>PIP 2019-2021 by BEs</vt:lpstr>
      <vt:lpstr>pip_project (2)</vt:lpstr>
      <vt:lpstr>pip_project (3)</vt:lpstr>
      <vt:lpstr>Finance Resource</vt:lpstr>
      <vt:lpstr>Project Status</vt:lpstr>
      <vt:lpstr>Project Type</vt:lpstr>
      <vt:lpstr>pip_project</vt:lpstr>
      <vt:lpstr>PIP 2023-2025 by Projects</vt:lpstr>
      <vt:lpstr>PIP 2023-2025 by BEs</vt:lpstr>
      <vt:lpstr>PIP 2023-2025 by BEs (riel)</vt:lpstr>
      <vt:lpstr>PIP 2023-2025 by grading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'PIP 2019 by Fund-status'!Print_Area</vt:lpstr>
      <vt:lpstr>'PIP 2019-2021 by BEs'!Print_Area</vt:lpstr>
      <vt:lpstr>'PIP 2023-2025 by BEs'!Print_Area</vt:lpstr>
      <vt:lpstr>'PIP 2023-2025 by BEs (riel)'!Print_Area</vt:lpstr>
      <vt:lpstr>'PIP 2023-2025 by grading'!Print_Area</vt:lpstr>
      <vt:lpstr>'PIP 2023-2025 by Projects'!Print_Area</vt:lpstr>
      <vt:lpstr>pip_project!Print_Area</vt:lpstr>
      <vt:lpstr>'pip_project (2)'!Print_Area</vt:lpstr>
      <vt:lpstr>'pip_project (3)'!Print_Area</vt:lpstr>
      <vt:lpstr>'PIP-Status 2017 (2)'!Print_Area</vt:lpstr>
      <vt:lpstr>'PIP-Status 2017-18 '!Print_Area</vt:lpstr>
      <vt:lpstr>'PIP 2019 by Fund-status'!Print_Titles</vt:lpstr>
      <vt:lpstr>'PIP 2019-2021 by BEs'!Print_Titles</vt:lpstr>
      <vt:lpstr>'PIP 2023-2025 by BEs'!Print_Titles</vt:lpstr>
      <vt:lpstr>'PIP 2023-2025 by BEs (riel)'!Print_Titles</vt:lpstr>
      <vt:lpstr>'PIP 2023-2025 by grading'!Print_Titles</vt:lpstr>
      <vt:lpstr>'PIP 2023-2025 by Projects'!Print_Titles</vt:lpstr>
      <vt:lpstr>pip_project!Print_Titles</vt:lpstr>
      <vt:lpstr>'pip_project (2)'!Print_Titles</vt:lpstr>
      <vt:lpstr>'pip_project (3)'!Print_Titles</vt:lpstr>
      <vt:lpstr>'PIP-Status 2017 (2)'!Print_Titles</vt:lpstr>
      <vt:lpstr>'PIP-Status 2017-18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2024-02-05T02:20:51Z</dcterms:modified>
</cp:coreProperties>
</file>
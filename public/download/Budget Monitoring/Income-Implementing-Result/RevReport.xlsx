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MEF-BPO\documents\Master Data Setup\Budget Monitoring\Income-Implementing-Result\"/>
    </mc:Choice>
  </mc:AlternateContent>
  <xr:revisionPtr revIDLastSave="0" documentId="13_ncr:1_{FE5448CA-6815-458B-82B5-391FD861B07D}" xr6:coauthVersionLast="47" xr6:coauthVersionMax="47" xr10:uidLastSave="{00000000-0000-0000-0000-000000000000}"/>
  <bookViews>
    <workbookView xWindow="-90" yWindow="-90" windowWidth="19380" windowHeight="10260" xr2:uid="{B3F68AA8-C2F5-40D3-8AAE-906B36568A6A}"/>
  </bookViews>
  <sheets>
    <sheet name="Sheet1" sheetId="2" r:id="rId1"/>
    <sheet name="2.Total Revenue" sheetId="1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1" hidden="1">'2.Total Revenue'!$A$18:$CO$18</definedName>
    <definedName name="_xlnm._FilterDatabase" localSheetId="0" hidden="1">Sheet1!$A$1:$M$119</definedName>
    <definedName name="Budget_Entities_Name">[1]ទំព័រដើម!$B$8</definedName>
    <definedName name="_xlnm.Print_Area" localSheetId="1">'2.Total Revenue'!$J$1:$CJ$136</definedName>
    <definedName name="_xlnm.Print_Titles" localSheetId="1">'2.Total Revenue'!$J:$M,'2.Total Revenue'!$10:$12</definedName>
    <definedName name="ល.រ">'[2]Costing(ដំបូង)'!$B$283:$B$1048576</definedName>
    <definedName name="សរុប">'[2]Costing(ដំបូង)'!$K$283:$K$1048576</definedName>
    <definedName name="អនុគណនី">'[2]Costing(ដំបូង)'!$E$283:$E$1048576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9" i="2" l="1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3" i="2"/>
  <c r="C4" i="2"/>
  <c r="C5" i="2"/>
  <c r="C6" i="2"/>
  <c r="C7" i="2"/>
  <c r="C8" i="2"/>
  <c r="C2" i="2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G91" i="1" l="1"/>
  <c r="G83" i="1"/>
  <c r="G84" i="1"/>
  <c r="G85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6" i="1"/>
  <c r="G87" i="1"/>
  <c r="G88" i="1"/>
  <c r="G89" i="1"/>
  <c r="G90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9" i="1"/>
  <c r="F32" i="1"/>
  <c r="F38" i="1"/>
  <c r="F41" i="1"/>
  <c r="F44" i="1"/>
  <c r="F50" i="1"/>
  <c r="F54" i="1"/>
  <c r="F58" i="1"/>
  <c r="F66" i="1"/>
  <c r="F74" i="1"/>
  <c r="F76" i="1"/>
  <c r="F79" i="1"/>
  <c r="F83" i="1"/>
  <c r="F85" i="1"/>
  <c r="F88" i="1"/>
  <c r="F93" i="1"/>
  <c r="F96" i="1"/>
  <c r="F100" i="1"/>
  <c r="F102" i="1"/>
  <c r="F105" i="1"/>
  <c r="F112" i="1"/>
  <c r="F117" i="1"/>
  <c r="F121" i="1"/>
  <c r="F127" i="1"/>
  <c r="F130" i="1"/>
  <c r="F134" i="1"/>
  <c r="F20" i="1"/>
  <c r="F26" i="1"/>
  <c r="F19" i="1"/>
  <c r="E57" i="1"/>
  <c r="E73" i="1"/>
  <c r="E99" i="1"/>
  <c r="E104" i="1"/>
  <c r="E111" i="1"/>
  <c r="E116" i="1"/>
  <c r="E120" i="1"/>
  <c r="E126" i="1"/>
  <c r="E129" i="1"/>
  <c r="E133" i="1"/>
  <c r="E19" i="1"/>
  <c r="AA20" i="1" l="1"/>
  <c r="AD20" i="1"/>
  <c r="AG20" i="1" l="1"/>
  <c r="AF20" i="1"/>
  <c r="AI20" i="1"/>
  <c r="CJ136" i="1" l="1"/>
  <c r="CG136" i="1"/>
  <c r="CD136" i="1"/>
  <c r="CA136" i="1"/>
  <c r="BX136" i="1"/>
  <c r="BU136" i="1"/>
  <c r="BR136" i="1"/>
  <c r="BO136" i="1"/>
  <c r="BL136" i="1"/>
  <c r="BI136" i="1"/>
  <c r="BF136" i="1"/>
  <c r="BC136" i="1"/>
  <c r="AZ136" i="1"/>
  <c r="AW136" i="1"/>
  <c r="AT136" i="1"/>
  <c r="AP136" i="1"/>
  <c r="AO136" i="1"/>
  <c r="AN136" i="1"/>
  <c r="AK136" i="1"/>
  <c r="AH136" i="1"/>
  <c r="AE136" i="1"/>
  <c r="AB136" i="1"/>
  <c r="X136" i="1"/>
  <c r="W136" i="1"/>
  <c r="T136" i="1" s="1"/>
  <c r="CJ135" i="1"/>
  <c r="CG135" i="1"/>
  <c r="CD135" i="1"/>
  <c r="CA135" i="1"/>
  <c r="BX135" i="1"/>
  <c r="BU135" i="1"/>
  <c r="BR135" i="1"/>
  <c r="BO135" i="1"/>
  <c r="BL135" i="1"/>
  <c r="BI135" i="1"/>
  <c r="BF135" i="1"/>
  <c r="BC135" i="1"/>
  <c r="AZ135" i="1"/>
  <c r="AW135" i="1"/>
  <c r="AT135" i="1"/>
  <c r="AP135" i="1"/>
  <c r="AO135" i="1"/>
  <c r="AO134" i="1" s="1"/>
  <c r="AO133" i="1" s="1"/>
  <c r="AN135" i="1"/>
  <c r="AK135" i="1"/>
  <c r="AH135" i="1"/>
  <c r="AE135" i="1"/>
  <c r="AB135" i="1"/>
  <c r="X135" i="1"/>
  <c r="W135" i="1"/>
  <c r="T135" i="1" s="1"/>
  <c r="CI134" i="1"/>
  <c r="CH134" i="1"/>
  <c r="CH133" i="1" s="1"/>
  <c r="CF134" i="1"/>
  <c r="CE134" i="1"/>
  <c r="CE133" i="1" s="1"/>
  <c r="CC134" i="1"/>
  <c r="CC133" i="1" s="1"/>
  <c r="CB134" i="1"/>
  <c r="BZ134" i="1"/>
  <c r="BZ133" i="1" s="1"/>
  <c r="BY134" i="1"/>
  <c r="BY133" i="1" s="1"/>
  <c r="BW134" i="1"/>
  <c r="BW133" i="1" s="1"/>
  <c r="BV134" i="1"/>
  <c r="BV133" i="1" s="1"/>
  <c r="BT134" i="1"/>
  <c r="BT133" i="1" s="1"/>
  <c r="BS134" i="1"/>
  <c r="BQ134" i="1"/>
  <c r="BQ133" i="1" s="1"/>
  <c r="BP134" i="1"/>
  <c r="BP133" i="1" s="1"/>
  <c r="BN134" i="1"/>
  <c r="BN133" i="1" s="1"/>
  <c r="BM134" i="1"/>
  <c r="BM133" i="1" s="1"/>
  <c r="BK134" i="1"/>
  <c r="BK133" i="1" s="1"/>
  <c r="BJ134" i="1"/>
  <c r="BJ133" i="1" s="1"/>
  <c r="BH134" i="1"/>
  <c r="BG134" i="1"/>
  <c r="BG133" i="1" s="1"/>
  <c r="BE134" i="1"/>
  <c r="BE133" i="1" s="1"/>
  <c r="BD134" i="1"/>
  <c r="BD133" i="1" s="1"/>
  <c r="BB134" i="1"/>
  <c r="BB133" i="1" s="1"/>
  <c r="BA134" i="1"/>
  <c r="BA133" i="1" s="1"/>
  <c r="AY134" i="1"/>
  <c r="AX134" i="1"/>
  <c r="AV134" i="1"/>
  <c r="AV133" i="1" s="1"/>
  <c r="AU134" i="1"/>
  <c r="AU133" i="1" s="1"/>
  <c r="AS134" i="1"/>
  <c r="AS133" i="1" s="1"/>
  <c r="AR134" i="1"/>
  <c r="AR133" i="1" s="1"/>
  <c r="AM134" i="1"/>
  <c r="AM133" i="1" s="1"/>
  <c r="AL134" i="1"/>
  <c r="AL133" i="1" s="1"/>
  <c r="AJ134" i="1"/>
  <c r="AI134" i="1"/>
  <c r="AI133" i="1" s="1"/>
  <c r="AG134" i="1"/>
  <c r="AG133" i="1" s="1"/>
  <c r="AF134" i="1"/>
  <c r="AF133" i="1" s="1"/>
  <c r="AD134" i="1"/>
  <c r="AD133" i="1" s="1"/>
  <c r="AC134" i="1"/>
  <c r="AC133" i="1" s="1"/>
  <c r="AA134" i="1"/>
  <c r="Z134" i="1"/>
  <c r="Z133" i="1" s="1"/>
  <c r="CI133" i="1"/>
  <c r="BS133" i="1"/>
  <c r="AX133" i="1"/>
  <c r="CJ132" i="1"/>
  <c r="CG132" i="1"/>
  <c r="CD132" i="1"/>
  <c r="CA132" i="1"/>
  <c r="BX132" i="1"/>
  <c r="BU132" i="1"/>
  <c r="BR132" i="1"/>
  <c r="BO132" i="1"/>
  <c r="BL132" i="1"/>
  <c r="BI132" i="1"/>
  <c r="BF132" i="1"/>
  <c r="BC132" i="1"/>
  <c r="AZ132" i="1"/>
  <c r="AW132" i="1"/>
  <c r="AT132" i="1"/>
  <c r="AP132" i="1"/>
  <c r="AO132" i="1"/>
  <c r="AN132" i="1"/>
  <c r="AK132" i="1"/>
  <c r="AH132" i="1"/>
  <c r="AE132" i="1"/>
  <c r="AB132" i="1"/>
  <c r="X132" i="1"/>
  <c r="W132" i="1"/>
  <c r="T132" i="1" s="1"/>
  <c r="CJ131" i="1"/>
  <c r="CG131" i="1"/>
  <c r="CD131" i="1"/>
  <c r="CA131" i="1"/>
  <c r="BX131" i="1"/>
  <c r="BU131" i="1"/>
  <c r="BR131" i="1"/>
  <c r="BO131" i="1"/>
  <c r="BL131" i="1"/>
  <c r="BI131" i="1"/>
  <c r="BF131" i="1"/>
  <c r="BC131" i="1"/>
  <c r="AZ131" i="1"/>
  <c r="AW131" i="1"/>
  <c r="AT131" i="1"/>
  <c r="AP131" i="1"/>
  <c r="AO131" i="1"/>
  <c r="AN131" i="1"/>
  <c r="AK131" i="1"/>
  <c r="AH131" i="1"/>
  <c r="AE131" i="1"/>
  <c r="AB131" i="1"/>
  <c r="X131" i="1"/>
  <c r="W131" i="1"/>
  <c r="W130" i="1" s="1"/>
  <c r="W129" i="1" s="1"/>
  <c r="CI130" i="1"/>
  <c r="CH130" i="1"/>
  <c r="CH129" i="1" s="1"/>
  <c r="CF130" i="1"/>
  <c r="CE130" i="1"/>
  <c r="CE129" i="1" s="1"/>
  <c r="CC130" i="1"/>
  <c r="CC129" i="1" s="1"/>
  <c r="CB130" i="1"/>
  <c r="CB129" i="1" s="1"/>
  <c r="BZ130" i="1"/>
  <c r="BZ129" i="1" s="1"/>
  <c r="BY130" i="1"/>
  <c r="BW130" i="1"/>
  <c r="BV130" i="1"/>
  <c r="BT130" i="1"/>
  <c r="BT129" i="1" s="1"/>
  <c r="BS130" i="1"/>
  <c r="BS129" i="1" s="1"/>
  <c r="BQ130" i="1"/>
  <c r="BQ129" i="1" s="1"/>
  <c r="BP130" i="1"/>
  <c r="BP129" i="1" s="1"/>
  <c r="BN130" i="1"/>
  <c r="BN129" i="1" s="1"/>
  <c r="BM130" i="1"/>
  <c r="BM129" i="1" s="1"/>
  <c r="BK130" i="1"/>
  <c r="BK129" i="1" s="1"/>
  <c r="BJ130" i="1"/>
  <c r="BJ129" i="1" s="1"/>
  <c r="BH130" i="1"/>
  <c r="BG130" i="1"/>
  <c r="BG129" i="1" s="1"/>
  <c r="BE130" i="1"/>
  <c r="BD130" i="1"/>
  <c r="BD129" i="1" s="1"/>
  <c r="BB130" i="1"/>
  <c r="BB129" i="1" s="1"/>
  <c r="BA130" i="1"/>
  <c r="BA129" i="1" s="1"/>
  <c r="AY130" i="1"/>
  <c r="AY129" i="1" s="1"/>
  <c r="AX130" i="1"/>
  <c r="AX129" i="1" s="1"/>
  <c r="AV130" i="1"/>
  <c r="AU130" i="1"/>
  <c r="AU129" i="1" s="1"/>
  <c r="AS130" i="1"/>
  <c r="AS129" i="1" s="1"/>
  <c r="AR130" i="1"/>
  <c r="AR129" i="1" s="1"/>
  <c r="AM130" i="1"/>
  <c r="AM129" i="1" s="1"/>
  <c r="AL130" i="1"/>
  <c r="AL129" i="1" s="1"/>
  <c r="AJ130" i="1"/>
  <c r="AI130" i="1"/>
  <c r="AI129" i="1" s="1"/>
  <c r="AG130" i="1"/>
  <c r="AF130" i="1"/>
  <c r="AF129" i="1" s="1"/>
  <c r="AD130" i="1"/>
  <c r="AD129" i="1" s="1"/>
  <c r="AC130" i="1"/>
  <c r="AC129" i="1" s="1"/>
  <c r="AA130" i="1"/>
  <c r="AA129" i="1" s="1"/>
  <c r="Z130" i="1"/>
  <c r="Z129" i="1" s="1"/>
  <c r="BW129" i="1"/>
  <c r="BV129" i="1"/>
  <c r="CJ128" i="1"/>
  <c r="CG128" i="1"/>
  <c r="CD128" i="1"/>
  <c r="CA128" i="1"/>
  <c r="BX128" i="1"/>
  <c r="BU128" i="1"/>
  <c r="BR128" i="1"/>
  <c r="BO128" i="1"/>
  <c r="BL128" i="1"/>
  <c r="BI128" i="1"/>
  <c r="BF128" i="1"/>
  <c r="BC128" i="1"/>
  <c r="AZ128" i="1"/>
  <c r="AW128" i="1"/>
  <c r="AT128" i="1"/>
  <c r="AP128" i="1"/>
  <c r="AO128" i="1"/>
  <c r="AO127" i="1" s="1"/>
  <c r="AO126" i="1" s="1"/>
  <c r="AN128" i="1"/>
  <c r="AK128" i="1"/>
  <c r="AH128" i="1"/>
  <c r="AE128" i="1"/>
  <c r="AB128" i="1"/>
  <c r="X128" i="1"/>
  <c r="X127" i="1" s="1"/>
  <c r="W128" i="1"/>
  <c r="W127" i="1" s="1"/>
  <c r="W126" i="1" s="1"/>
  <c r="CI127" i="1"/>
  <c r="CI126" i="1" s="1"/>
  <c r="CH127" i="1"/>
  <c r="CH126" i="1" s="1"/>
  <c r="CF127" i="1"/>
  <c r="CE127" i="1"/>
  <c r="CE126" i="1" s="1"/>
  <c r="CC127" i="1"/>
  <c r="CC126" i="1" s="1"/>
  <c r="CB127" i="1"/>
  <c r="CB126" i="1" s="1"/>
  <c r="BZ127" i="1"/>
  <c r="BZ126" i="1" s="1"/>
  <c r="BY127" i="1"/>
  <c r="BY126" i="1" s="1"/>
  <c r="BW127" i="1"/>
  <c r="BV127" i="1"/>
  <c r="BV126" i="1" s="1"/>
  <c r="BT127" i="1"/>
  <c r="BS127" i="1"/>
  <c r="BS126" i="1" s="1"/>
  <c r="BQ127" i="1"/>
  <c r="BQ126" i="1" s="1"/>
  <c r="BP127" i="1"/>
  <c r="BP126" i="1" s="1"/>
  <c r="BN127" i="1"/>
  <c r="BN126" i="1" s="1"/>
  <c r="BM127" i="1"/>
  <c r="BM126" i="1" s="1"/>
  <c r="BK127" i="1"/>
  <c r="BK126" i="1" s="1"/>
  <c r="BJ127" i="1"/>
  <c r="BJ126" i="1" s="1"/>
  <c r="BH127" i="1"/>
  <c r="BG127" i="1"/>
  <c r="BG126" i="1" s="1"/>
  <c r="BE127" i="1"/>
  <c r="BE126" i="1" s="1"/>
  <c r="BD127" i="1"/>
  <c r="BD126" i="1" s="1"/>
  <c r="BB127" i="1"/>
  <c r="BB126" i="1" s="1"/>
  <c r="BA127" i="1"/>
  <c r="BA126" i="1" s="1"/>
  <c r="AY127" i="1"/>
  <c r="AX127" i="1"/>
  <c r="AX126" i="1" s="1"/>
  <c r="AV127" i="1"/>
  <c r="AU127" i="1"/>
  <c r="AU126" i="1" s="1"/>
  <c r="AS127" i="1"/>
  <c r="AS126" i="1" s="1"/>
  <c r="AR127" i="1"/>
  <c r="AM127" i="1"/>
  <c r="AL127" i="1"/>
  <c r="AL126" i="1" s="1"/>
  <c r="AJ127" i="1"/>
  <c r="AJ126" i="1" s="1"/>
  <c r="AI127" i="1"/>
  <c r="AI126" i="1" s="1"/>
  <c r="AG127" i="1"/>
  <c r="AG126" i="1" s="1"/>
  <c r="AF127" i="1"/>
  <c r="AF126" i="1" s="1"/>
  <c r="AD127" i="1"/>
  <c r="AC127" i="1"/>
  <c r="AC126" i="1" s="1"/>
  <c r="AA127" i="1"/>
  <c r="AA126" i="1" s="1"/>
  <c r="Z127" i="1"/>
  <c r="Z126" i="1" s="1"/>
  <c r="CJ123" i="1"/>
  <c r="CG123" i="1"/>
  <c r="CD123" i="1"/>
  <c r="CA123" i="1"/>
  <c r="BX123" i="1"/>
  <c r="BU123" i="1"/>
  <c r="BR123" i="1"/>
  <c r="BO123" i="1"/>
  <c r="BL123" i="1"/>
  <c r="BI123" i="1"/>
  <c r="BF123" i="1"/>
  <c r="BC123" i="1"/>
  <c r="AZ123" i="1"/>
  <c r="AW123" i="1"/>
  <c r="AT123" i="1"/>
  <c r="AP123" i="1"/>
  <c r="AO123" i="1"/>
  <c r="AN123" i="1"/>
  <c r="AK123" i="1"/>
  <c r="AH123" i="1"/>
  <c r="AE123" i="1"/>
  <c r="AB123" i="1"/>
  <c r="X123" i="1"/>
  <c r="W123" i="1"/>
  <c r="T123" i="1" s="1"/>
  <c r="CJ122" i="1"/>
  <c r="CG122" i="1"/>
  <c r="CD122" i="1"/>
  <c r="CA122" i="1"/>
  <c r="BX122" i="1"/>
  <c r="BU122" i="1"/>
  <c r="BR122" i="1"/>
  <c r="BO122" i="1"/>
  <c r="BL122" i="1"/>
  <c r="BI122" i="1"/>
  <c r="BF122" i="1"/>
  <c r="BC122" i="1"/>
  <c r="AZ122" i="1"/>
  <c r="AW122" i="1"/>
  <c r="AT122" i="1"/>
  <c r="AP122" i="1"/>
  <c r="AO122" i="1"/>
  <c r="AN122" i="1"/>
  <c r="AK122" i="1"/>
  <c r="AH122" i="1"/>
  <c r="AE122" i="1"/>
  <c r="AB122" i="1"/>
  <c r="X122" i="1"/>
  <c r="W122" i="1"/>
  <c r="T122" i="1" s="1"/>
  <c r="CI121" i="1"/>
  <c r="CI120" i="1" s="1"/>
  <c r="CH121" i="1"/>
  <c r="CH120" i="1" s="1"/>
  <c r="CF121" i="1"/>
  <c r="CE121" i="1"/>
  <c r="CE120" i="1" s="1"/>
  <c r="CC121" i="1"/>
  <c r="CC120" i="1" s="1"/>
  <c r="CB121" i="1"/>
  <c r="CB120" i="1" s="1"/>
  <c r="BZ121" i="1"/>
  <c r="BY121" i="1"/>
  <c r="BY120" i="1" s="1"/>
  <c r="BW121" i="1"/>
  <c r="BW120" i="1" s="1"/>
  <c r="BV121" i="1"/>
  <c r="BV120" i="1" s="1"/>
  <c r="BT121" i="1"/>
  <c r="BT120" i="1" s="1"/>
  <c r="BS121" i="1"/>
  <c r="BS120" i="1" s="1"/>
  <c r="BQ121" i="1"/>
  <c r="BQ120" i="1" s="1"/>
  <c r="BP121" i="1"/>
  <c r="BN121" i="1"/>
  <c r="BN120" i="1" s="1"/>
  <c r="BM121" i="1"/>
  <c r="BK121" i="1"/>
  <c r="BK120" i="1" s="1"/>
  <c r="BJ121" i="1"/>
  <c r="BJ120" i="1" s="1"/>
  <c r="BH121" i="1"/>
  <c r="BG121" i="1"/>
  <c r="BG120" i="1" s="1"/>
  <c r="BE121" i="1"/>
  <c r="BE120" i="1" s="1"/>
  <c r="BD121" i="1"/>
  <c r="BD120" i="1" s="1"/>
  <c r="BB121" i="1"/>
  <c r="BA121" i="1"/>
  <c r="BA120" i="1" s="1"/>
  <c r="AY121" i="1"/>
  <c r="AY120" i="1" s="1"/>
  <c r="AX121" i="1"/>
  <c r="AX120" i="1" s="1"/>
  <c r="AV121" i="1"/>
  <c r="AU121" i="1"/>
  <c r="AU120" i="1" s="1"/>
  <c r="AS121" i="1"/>
  <c r="AR121" i="1"/>
  <c r="AR120" i="1" s="1"/>
  <c r="AM121" i="1"/>
  <c r="AM120" i="1" s="1"/>
  <c r="AL121" i="1"/>
  <c r="AL120" i="1" s="1"/>
  <c r="AJ121" i="1"/>
  <c r="AI121" i="1"/>
  <c r="AI120" i="1" s="1"/>
  <c r="AG121" i="1"/>
  <c r="AG120" i="1" s="1"/>
  <c r="AF121" i="1"/>
  <c r="AF120" i="1" s="1"/>
  <c r="AD121" i="1"/>
  <c r="AC121" i="1"/>
  <c r="AC120" i="1" s="1"/>
  <c r="AA121" i="1"/>
  <c r="Z121" i="1"/>
  <c r="Z120" i="1" s="1"/>
  <c r="CJ119" i="1"/>
  <c r="CG119" i="1"/>
  <c r="CD119" i="1"/>
  <c r="CA119" i="1"/>
  <c r="BX119" i="1"/>
  <c r="BU119" i="1"/>
  <c r="BR119" i="1"/>
  <c r="BO119" i="1"/>
  <c r="BL119" i="1"/>
  <c r="BI119" i="1"/>
  <c r="BF119" i="1"/>
  <c r="BC119" i="1"/>
  <c r="AZ119" i="1"/>
  <c r="AW119" i="1"/>
  <c r="AT119" i="1"/>
  <c r="AP119" i="1"/>
  <c r="AO119" i="1"/>
  <c r="AN119" i="1"/>
  <c r="AK119" i="1"/>
  <c r="AH119" i="1"/>
  <c r="AE119" i="1"/>
  <c r="AB119" i="1"/>
  <c r="X119" i="1"/>
  <c r="U119" i="1" s="1"/>
  <c r="W119" i="1"/>
  <c r="CJ118" i="1"/>
  <c r="CG118" i="1"/>
  <c r="CD118" i="1"/>
  <c r="CA118" i="1"/>
  <c r="BX118" i="1"/>
  <c r="BU118" i="1"/>
  <c r="BR118" i="1"/>
  <c r="BO118" i="1"/>
  <c r="BL118" i="1"/>
  <c r="BI118" i="1"/>
  <c r="BF118" i="1"/>
  <c r="BC118" i="1"/>
  <c r="AZ118" i="1"/>
  <c r="AW118" i="1"/>
  <c r="AT118" i="1"/>
  <c r="AP118" i="1"/>
  <c r="AO118" i="1"/>
  <c r="AN118" i="1"/>
  <c r="AK118" i="1"/>
  <c r="AH118" i="1"/>
  <c r="AE118" i="1"/>
  <c r="AB118" i="1"/>
  <c r="X118" i="1"/>
  <c r="W118" i="1"/>
  <c r="T118" i="1" s="1"/>
  <c r="Q118" i="1" s="1"/>
  <c r="N118" i="1" s="1"/>
  <c r="CI117" i="1"/>
  <c r="CH117" i="1"/>
  <c r="CH116" i="1" s="1"/>
  <c r="CF117" i="1"/>
  <c r="CE117" i="1"/>
  <c r="CE116" i="1" s="1"/>
  <c r="CC117" i="1"/>
  <c r="CC116" i="1" s="1"/>
  <c r="CB117" i="1"/>
  <c r="CB116" i="1" s="1"/>
  <c r="BZ117" i="1"/>
  <c r="BY117" i="1"/>
  <c r="BY116" i="1" s="1"/>
  <c r="BW117" i="1"/>
  <c r="BV117" i="1"/>
  <c r="BV116" i="1" s="1"/>
  <c r="BT117" i="1"/>
  <c r="BT116" i="1" s="1"/>
  <c r="BS117" i="1"/>
  <c r="BQ117" i="1"/>
  <c r="BQ116" i="1" s="1"/>
  <c r="BP117" i="1"/>
  <c r="BP116" i="1" s="1"/>
  <c r="BN117" i="1"/>
  <c r="BN116" i="1" s="1"/>
  <c r="BM117" i="1"/>
  <c r="BM116" i="1" s="1"/>
  <c r="BK117" i="1"/>
  <c r="BJ117" i="1"/>
  <c r="BJ116" i="1" s="1"/>
  <c r="BH117" i="1"/>
  <c r="BH116" i="1" s="1"/>
  <c r="BG117" i="1"/>
  <c r="BG116" i="1" s="1"/>
  <c r="BE117" i="1"/>
  <c r="BE116" i="1" s="1"/>
  <c r="BD117" i="1"/>
  <c r="BD116" i="1" s="1"/>
  <c r="BB117" i="1"/>
  <c r="BA117" i="1"/>
  <c r="BA116" i="1" s="1"/>
  <c r="AY117" i="1"/>
  <c r="AY116" i="1" s="1"/>
  <c r="AX117" i="1"/>
  <c r="AX116" i="1" s="1"/>
  <c r="AV117" i="1"/>
  <c r="AV116" i="1" s="1"/>
  <c r="AU117" i="1"/>
  <c r="AS117" i="1"/>
  <c r="AS116" i="1" s="1"/>
  <c r="AR117" i="1"/>
  <c r="AR116" i="1" s="1"/>
  <c r="AM117" i="1"/>
  <c r="AL117" i="1"/>
  <c r="AL116" i="1" s="1"/>
  <c r="AJ117" i="1"/>
  <c r="AJ116" i="1" s="1"/>
  <c r="AI117" i="1"/>
  <c r="AI116" i="1" s="1"/>
  <c r="AG117" i="1"/>
  <c r="AG116" i="1" s="1"/>
  <c r="AF117" i="1"/>
  <c r="AF116" i="1" s="1"/>
  <c r="AD117" i="1"/>
  <c r="AD116" i="1" s="1"/>
  <c r="AC117" i="1"/>
  <c r="AC116" i="1" s="1"/>
  <c r="AC115" i="1" s="1"/>
  <c r="AA117" i="1"/>
  <c r="AA116" i="1" s="1"/>
  <c r="Z117" i="1"/>
  <c r="Z116" i="1" s="1"/>
  <c r="BW116" i="1"/>
  <c r="BB116" i="1"/>
  <c r="CJ114" i="1"/>
  <c r="CG114" i="1"/>
  <c r="CD114" i="1"/>
  <c r="CA114" i="1"/>
  <c r="BX114" i="1"/>
  <c r="BU114" i="1"/>
  <c r="BR114" i="1"/>
  <c r="BO114" i="1"/>
  <c r="BL114" i="1"/>
  <c r="BI114" i="1"/>
  <c r="BF114" i="1"/>
  <c r="BC114" i="1"/>
  <c r="AZ114" i="1"/>
  <c r="AW114" i="1"/>
  <c r="AT114" i="1"/>
  <c r="AP114" i="1"/>
  <c r="AO114" i="1"/>
  <c r="AN114" i="1"/>
  <c r="AK114" i="1"/>
  <c r="AH114" i="1"/>
  <c r="AE114" i="1"/>
  <c r="AB114" i="1"/>
  <c r="X114" i="1"/>
  <c r="W114" i="1"/>
  <c r="T114" i="1" s="1"/>
  <c r="CJ113" i="1"/>
  <c r="CG113" i="1"/>
  <c r="CD113" i="1"/>
  <c r="CA113" i="1"/>
  <c r="BX113" i="1"/>
  <c r="BU113" i="1"/>
  <c r="BR113" i="1"/>
  <c r="BO113" i="1"/>
  <c r="BL113" i="1"/>
  <c r="BI113" i="1"/>
  <c r="BF113" i="1"/>
  <c r="BC113" i="1"/>
  <c r="AZ113" i="1"/>
  <c r="AW113" i="1"/>
  <c r="AT113" i="1"/>
  <c r="AP113" i="1"/>
  <c r="AO113" i="1"/>
  <c r="AN113" i="1"/>
  <c r="AK113" i="1"/>
  <c r="AH113" i="1"/>
  <c r="AE113" i="1"/>
  <c r="AB113" i="1"/>
  <c r="X113" i="1"/>
  <c r="U113" i="1" s="1"/>
  <c r="W113" i="1"/>
  <c r="CI112" i="1"/>
  <c r="CI111" i="1" s="1"/>
  <c r="CH112" i="1"/>
  <c r="CF112" i="1"/>
  <c r="CF111" i="1" s="1"/>
  <c r="CF110" i="1" s="1"/>
  <c r="CE112" i="1"/>
  <c r="CC112" i="1"/>
  <c r="CB112" i="1"/>
  <c r="CB111" i="1" s="1"/>
  <c r="CB110" i="1" s="1"/>
  <c r="BZ112" i="1"/>
  <c r="BY112" i="1"/>
  <c r="BY111" i="1" s="1"/>
  <c r="BY110" i="1" s="1"/>
  <c r="BW112" i="1"/>
  <c r="BV112" i="1"/>
  <c r="BV111" i="1" s="1"/>
  <c r="BV110" i="1" s="1"/>
  <c r="BT112" i="1"/>
  <c r="BS112" i="1"/>
  <c r="BS111" i="1" s="1"/>
  <c r="BQ112" i="1"/>
  <c r="BP112" i="1"/>
  <c r="BP111" i="1" s="1"/>
  <c r="BP110" i="1" s="1"/>
  <c r="BN112" i="1"/>
  <c r="BM112" i="1"/>
  <c r="BM111" i="1" s="1"/>
  <c r="BM110" i="1" s="1"/>
  <c r="BK112" i="1"/>
  <c r="BK111" i="1" s="1"/>
  <c r="BJ112" i="1"/>
  <c r="BH112" i="1"/>
  <c r="BH111" i="1" s="1"/>
  <c r="BH110" i="1" s="1"/>
  <c r="BG112" i="1"/>
  <c r="BE112" i="1"/>
  <c r="BE111" i="1" s="1"/>
  <c r="BD112" i="1"/>
  <c r="BD111" i="1" s="1"/>
  <c r="BD110" i="1" s="1"/>
  <c r="BB112" i="1"/>
  <c r="BA112" i="1"/>
  <c r="BA111" i="1" s="1"/>
  <c r="BA110" i="1" s="1"/>
  <c r="AY112" i="1"/>
  <c r="AX112" i="1"/>
  <c r="AX111" i="1" s="1"/>
  <c r="AX110" i="1" s="1"/>
  <c r="AV112" i="1"/>
  <c r="AU112" i="1"/>
  <c r="AU111" i="1" s="1"/>
  <c r="AS112" i="1"/>
  <c r="AS111" i="1" s="1"/>
  <c r="AS110" i="1" s="1"/>
  <c r="AR112" i="1"/>
  <c r="AM112" i="1"/>
  <c r="AM111" i="1" s="1"/>
  <c r="AL112" i="1"/>
  <c r="AJ112" i="1"/>
  <c r="AJ111" i="1" s="1"/>
  <c r="AJ110" i="1" s="1"/>
  <c r="AI112" i="1"/>
  <c r="AG112" i="1"/>
  <c r="AF112" i="1"/>
  <c r="AD112" i="1"/>
  <c r="AC112" i="1"/>
  <c r="AC111" i="1" s="1"/>
  <c r="AC110" i="1" s="1"/>
  <c r="AA112" i="1"/>
  <c r="Z112" i="1"/>
  <c r="Z111" i="1" s="1"/>
  <c r="Z110" i="1" s="1"/>
  <c r="AF111" i="1"/>
  <c r="AF110" i="1" s="1"/>
  <c r="CJ106" i="1"/>
  <c r="CG106" i="1"/>
  <c r="CD106" i="1"/>
  <c r="CA106" i="1"/>
  <c r="BX106" i="1"/>
  <c r="BU106" i="1"/>
  <c r="BR106" i="1"/>
  <c r="BO106" i="1"/>
  <c r="BL106" i="1"/>
  <c r="BI106" i="1"/>
  <c r="BF106" i="1"/>
  <c r="BC106" i="1"/>
  <c r="AZ106" i="1"/>
  <c r="AW106" i="1"/>
  <c r="AT106" i="1"/>
  <c r="AP106" i="1"/>
  <c r="AO106" i="1"/>
  <c r="AO105" i="1" s="1"/>
  <c r="AN106" i="1"/>
  <c r="AK106" i="1"/>
  <c r="AH106" i="1"/>
  <c r="AE106" i="1"/>
  <c r="AB106" i="1"/>
  <c r="X106" i="1"/>
  <c r="U106" i="1" s="1"/>
  <c r="U105" i="1" s="1"/>
  <c r="U104" i="1" s="1"/>
  <c r="W106" i="1"/>
  <c r="T106" i="1" s="1"/>
  <c r="T105" i="1" s="1"/>
  <c r="T104" i="1" s="1"/>
  <c r="CI105" i="1"/>
  <c r="CI104" i="1" s="1"/>
  <c r="CH105" i="1"/>
  <c r="CH104" i="1" s="1"/>
  <c r="CF105" i="1"/>
  <c r="CE105" i="1"/>
  <c r="CE104" i="1" s="1"/>
  <c r="CC105" i="1"/>
  <c r="CC104" i="1" s="1"/>
  <c r="CB105" i="1"/>
  <c r="CB104" i="1" s="1"/>
  <c r="BZ105" i="1"/>
  <c r="BY105" i="1"/>
  <c r="BY104" i="1" s="1"/>
  <c r="BW105" i="1"/>
  <c r="BV105" i="1"/>
  <c r="BV104" i="1" s="1"/>
  <c r="BT105" i="1"/>
  <c r="BS105" i="1"/>
  <c r="BS104" i="1" s="1"/>
  <c r="BQ105" i="1"/>
  <c r="BQ104" i="1" s="1"/>
  <c r="BP105" i="1"/>
  <c r="BP104" i="1" s="1"/>
  <c r="BN105" i="1"/>
  <c r="BN104" i="1" s="1"/>
  <c r="BM105" i="1"/>
  <c r="BK105" i="1"/>
  <c r="BJ105" i="1"/>
  <c r="BJ104" i="1" s="1"/>
  <c r="BH105" i="1"/>
  <c r="BH104" i="1" s="1"/>
  <c r="BG105" i="1"/>
  <c r="BG104" i="1" s="1"/>
  <c r="BE105" i="1"/>
  <c r="BE104" i="1" s="1"/>
  <c r="BD105" i="1"/>
  <c r="BD104" i="1" s="1"/>
  <c r="BB105" i="1"/>
  <c r="BA105" i="1"/>
  <c r="BA104" i="1" s="1"/>
  <c r="AY105" i="1"/>
  <c r="AX105" i="1"/>
  <c r="AX104" i="1" s="1"/>
  <c r="AV105" i="1"/>
  <c r="AV104" i="1" s="1"/>
  <c r="AU105" i="1"/>
  <c r="AU104" i="1" s="1"/>
  <c r="AS105" i="1"/>
  <c r="AS104" i="1" s="1"/>
  <c r="AR105" i="1"/>
  <c r="AR104" i="1" s="1"/>
  <c r="AM105" i="1"/>
  <c r="AM104" i="1" s="1"/>
  <c r="AL105" i="1"/>
  <c r="AL104" i="1" s="1"/>
  <c r="AJ105" i="1"/>
  <c r="AJ104" i="1" s="1"/>
  <c r="AI105" i="1"/>
  <c r="AI104" i="1" s="1"/>
  <c r="AG105" i="1"/>
  <c r="AF105" i="1"/>
  <c r="AF104" i="1" s="1"/>
  <c r="AD105" i="1"/>
  <c r="AC105" i="1"/>
  <c r="AC104" i="1" s="1"/>
  <c r="AA105" i="1"/>
  <c r="Z105" i="1"/>
  <c r="Z104" i="1" s="1"/>
  <c r="CJ103" i="1"/>
  <c r="CG103" i="1"/>
  <c r="CD103" i="1"/>
  <c r="CA103" i="1"/>
  <c r="BX103" i="1"/>
  <c r="BU103" i="1"/>
  <c r="BR103" i="1"/>
  <c r="BO103" i="1"/>
  <c r="BL103" i="1"/>
  <c r="BI103" i="1"/>
  <c r="BF103" i="1"/>
  <c r="BC103" i="1"/>
  <c r="AZ103" i="1"/>
  <c r="AW103" i="1"/>
  <c r="AT103" i="1"/>
  <c r="AP103" i="1"/>
  <c r="AO103" i="1"/>
  <c r="AO102" i="1" s="1"/>
  <c r="AN103" i="1"/>
  <c r="AK103" i="1"/>
  <c r="AH103" i="1"/>
  <c r="AE103" i="1"/>
  <c r="AB103" i="1"/>
  <c r="X103" i="1"/>
  <c r="X102" i="1" s="1"/>
  <c r="W103" i="1"/>
  <c r="CI102" i="1"/>
  <c r="CH102" i="1"/>
  <c r="CF102" i="1"/>
  <c r="CE102" i="1"/>
  <c r="CC102" i="1"/>
  <c r="CB102" i="1"/>
  <c r="BZ102" i="1"/>
  <c r="BY102" i="1"/>
  <c r="BW102" i="1"/>
  <c r="BV102" i="1"/>
  <c r="BT102" i="1"/>
  <c r="BS102" i="1"/>
  <c r="BQ102" i="1"/>
  <c r="BP102" i="1"/>
  <c r="BN102" i="1"/>
  <c r="BM102" i="1"/>
  <c r="BK102" i="1"/>
  <c r="BJ102" i="1"/>
  <c r="BH102" i="1"/>
  <c r="BG102" i="1"/>
  <c r="BE102" i="1"/>
  <c r="BD102" i="1"/>
  <c r="BB102" i="1"/>
  <c r="BA102" i="1"/>
  <c r="AY102" i="1"/>
  <c r="AX102" i="1"/>
  <c r="AV102" i="1"/>
  <c r="AU102" i="1"/>
  <c r="AS102" i="1"/>
  <c r="AR102" i="1"/>
  <c r="AM102" i="1"/>
  <c r="AL102" i="1"/>
  <c r="AJ102" i="1"/>
  <c r="AI102" i="1"/>
  <c r="AG102" i="1"/>
  <c r="AF102" i="1"/>
  <c r="AD102" i="1"/>
  <c r="AC102" i="1"/>
  <c r="AA102" i="1"/>
  <c r="Z102" i="1"/>
  <c r="CJ101" i="1"/>
  <c r="CG101" i="1"/>
  <c r="CD101" i="1"/>
  <c r="CA101" i="1"/>
  <c r="BX101" i="1"/>
  <c r="BU101" i="1"/>
  <c r="BR101" i="1"/>
  <c r="BO101" i="1"/>
  <c r="BL101" i="1"/>
  <c r="BI101" i="1"/>
  <c r="BF101" i="1"/>
  <c r="BC101" i="1"/>
  <c r="AZ101" i="1"/>
  <c r="AW101" i="1"/>
  <c r="AT101" i="1"/>
  <c r="AP101" i="1"/>
  <c r="AP100" i="1" s="1"/>
  <c r="AO101" i="1"/>
  <c r="AO100" i="1" s="1"/>
  <c r="AN101" i="1"/>
  <c r="AK101" i="1"/>
  <c r="AH101" i="1"/>
  <c r="AE101" i="1"/>
  <c r="AB101" i="1"/>
  <c r="X101" i="1"/>
  <c r="X100" i="1" s="1"/>
  <c r="W101" i="1"/>
  <c r="T101" i="1" s="1"/>
  <c r="CI100" i="1"/>
  <c r="CH100" i="1"/>
  <c r="CF100" i="1"/>
  <c r="CE100" i="1"/>
  <c r="CE99" i="1" s="1"/>
  <c r="CC100" i="1"/>
  <c r="CB100" i="1"/>
  <c r="BZ100" i="1"/>
  <c r="BY100" i="1"/>
  <c r="BW100" i="1"/>
  <c r="BV100" i="1"/>
  <c r="BT100" i="1"/>
  <c r="BS100" i="1"/>
  <c r="BQ100" i="1"/>
  <c r="BP100" i="1"/>
  <c r="BN100" i="1"/>
  <c r="BM100" i="1"/>
  <c r="BK100" i="1"/>
  <c r="BJ100" i="1"/>
  <c r="BH100" i="1"/>
  <c r="BG100" i="1"/>
  <c r="BE100" i="1"/>
  <c r="BD100" i="1"/>
  <c r="BD99" i="1" s="1"/>
  <c r="BB100" i="1"/>
  <c r="BA100" i="1"/>
  <c r="BA99" i="1" s="1"/>
  <c r="AY100" i="1"/>
  <c r="AY99" i="1" s="1"/>
  <c r="AX100" i="1"/>
  <c r="AV100" i="1"/>
  <c r="AV99" i="1" s="1"/>
  <c r="AU100" i="1"/>
  <c r="AS100" i="1"/>
  <c r="AR100" i="1"/>
  <c r="AR99" i="1" s="1"/>
  <c r="AM100" i="1"/>
  <c r="AL100" i="1"/>
  <c r="AL99" i="1" s="1"/>
  <c r="AJ100" i="1"/>
  <c r="AI100" i="1"/>
  <c r="AI99" i="1" s="1"/>
  <c r="AG100" i="1"/>
  <c r="AF100" i="1"/>
  <c r="AD100" i="1"/>
  <c r="AD99" i="1" s="1"/>
  <c r="AC100" i="1"/>
  <c r="AE100" i="1" s="1"/>
  <c r="AA100" i="1"/>
  <c r="Z100" i="1"/>
  <c r="CJ98" i="1"/>
  <c r="CG98" i="1"/>
  <c r="CD98" i="1"/>
  <c r="CA98" i="1"/>
  <c r="BX98" i="1"/>
  <c r="BU98" i="1"/>
  <c r="BR98" i="1"/>
  <c r="BO98" i="1"/>
  <c r="BL98" i="1"/>
  <c r="BI98" i="1"/>
  <c r="BF98" i="1"/>
  <c r="BC98" i="1"/>
  <c r="AZ98" i="1"/>
  <c r="AW98" i="1"/>
  <c r="AT98" i="1"/>
  <c r="AP98" i="1"/>
  <c r="AO98" i="1"/>
  <c r="AN98" i="1"/>
  <c r="AK98" i="1"/>
  <c r="AH98" i="1"/>
  <c r="AE98" i="1"/>
  <c r="AB98" i="1"/>
  <c r="X98" i="1"/>
  <c r="U98" i="1" s="1"/>
  <c r="W98" i="1"/>
  <c r="T98" i="1" s="1"/>
  <c r="CJ97" i="1"/>
  <c r="CG97" i="1"/>
  <c r="CD97" i="1"/>
  <c r="CA97" i="1"/>
  <c r="BX97" i="1"/>
  <c r="BU97" i="1"/>
  <c r="BR97" i="1"/>
  <c r="BO97" i="1"/>
  <c r="BL97" i="1"/>
  <c r="BI97" i="1"/>
  <c r="BF97" i="1"/>
  <c r="BC97" i="1"/>
  <c r="AZ97" i="1"/>
  <c r="AW97" i="1"/>
  <c r="AT97" i="1"/>
  <c r="AP97" i="1"/>
  <c r="AP96" i="1" s="1"/>
  <c r="AO97" i="1"/>
  <c r="AO96" i="1" s="1"/>
  <c r="AN97" i="1"/>
  <c r="AK97" i="1"/>
  <c r="AH97" i="1"/>
  <c r="AE97" i="1"/>
  <c r="AB97" i="1"/>
  <c r="X97" i="1"/>
  <c r="U97" i="1" s="1"/>
  <c r="W97" i="1"/>
  <c r="T97" i="1" s="1"/>
  <c r="CI96" i="1"/>
  <c r="CH96" i="1"/>
  <c r="CF96" i="1"/>
  <c r="CE96" i="1"/>
  <c r="CC96" i="1"/>
  <c r="CB96" i="1"/>
  <c r="BZ96" i="1"/>
  <c r="BY96" i="1"/>
  <c r="BW96" i="1"/>
  <c r="BV96" i="1"/>
  <c r="BT96" i="1"/>
  <c r="BS96" i="1"/>
  <c r="BQ96" i="1"/>
  <c r="BP96" i="1"/>
  <c r="BN96" i="1"/>
  <c r="BM96" i="1"/>
  <c r="BK96" i="1"/>
  <c r="BJ96" i="1"/>
  <c r="BH96" i="1"/>
  <c r="BG96" i="1"/>
  <c r="BE96" i="1"/>
  <c r="BD96" i="1"/>
  <c r="BB96" i="1"/>
  <c r="BA96" i="1"/>
  <c r="AY96" i="1"/>
  <c r="AX96" i="1"/>
  <c r="AV96" i="1"/>
  <c r="AU96" i="1"/>
  <c r="AS96" i="1"/>
  <c r="AR96" i="1"/>
  <c r="AM96" i="1"/>
  <c r="AL96" i="1"/>
  <c r="AJ96" i="1"/>
  <c r="AI96" i="1"/>
  <c r="AG96" i="1"/>
  <c r="AF96" i="1"/>
  <c r="AD96" i="1"/>
  <c r="AC96" i="1"/>
  <c r="AA96" i="1"/>
  <c r="Z96" i="1"/>
  <c r="X96" i="1"/>
  <c r="CJ95" i="1"/>
  <c r="CG95" i="1"/>
  <c r="CD95" i="1"/>
  <c r="CA95" i="1"/>
  <c r="BX95" i="1"/>
  <c r="BU95" i="1"/>
  <c r="BR95" i="1"/>
  <c r="BO95" i="1"/>
  <c r="BL95" i="1"/>
  <c r="BI95" i="1"/>
  <c r="BF95" i="1"/>
  <c r="BC95" i="1"/>
  <c r="AZ95" i="1"/>
  <c r="AW95" i="1"/>
  <c r="AT95" i="1"/>
  <c r="AP95" i="1"/>
  <c r="AO95" i="1"/>
  <c r="AN95" i="1"/>
  <c r="AK95" i="1"/>
  <c r="AH95" i="1"/>
  <c r="AE95" i="1"/>
  <c r="AB95" i="1"/>
  <c r="X95" i="1"/>
  <c r="W95" i="1"/>
  <c r="CJ94" i="1"/>
  <c r="CG94" i="1"/>
  <c r="CD94" i="1"/>
  <c r="CA94" i="1"/>
  <c r="BX94" i="1"/>
  <c r="BU94" i="1"/>
  <c r="BR94" i="1"/>
  <c r="BO94" i="1"/>
  <c r="BL94" i="1"/>
  <c r="BI94" i="1"/>
  <c r="BF94" i="1"/>
  <c r="BC94" i="1"/>
  <c r="AZ94" i="1"/>
  <c r="AW94" i="1"/>
  <c r="AT94" i="1"/>
  <c r="AP94" i="1"/>
  <c r="AO94" i="1"/>
  <c r="AN94" i="1"/>
  <c r="AK94" i="1"/>
  <c r="AH94" i="1"/>
  <c r="AE94" i="1"/>
  <c r="AB94" i="1"/>
  <c r="X94" i="1"/>
  <c r="U94" i="1" s="1"/>
  <c r="W94" i="1"/>
  <c r="T94" i="1" s="1"/>
  <c r="CI93" i="1"/>
  <c r="CH93" i="1"/>
  <c r="CF93" i="1"/>
  <c r="CE93" i="1"/>
  <c r="CC93" i="1"/>
  <c r="CB93" i="1"/>
  <c r="BZ93" i="1"/>
  <c r="BY93" i="1"/>
  <c r="BW93" i="1"/>
  <c r="BV93" i="1"/>
  <c r="BT93" i="1"/>
  <c r="BS93" i="1"/>
  <c r="BQ93" i="1"/>
  <c r="BP93" i="1"/>
  <c r="BN93" i="1"/>
  <c r="BM93" i="1"/>
  <c r="BK93" i="1"/>
  <c r="BJ93" i="1"/>
  <c r="BH93" i="1"/>
  <c r="BG93" i="1"/>
  <c r="BE93" i="1"/>
  <c r="BD93" i="1"/>
  <c r="BB93" i="1"/>
  <c r="BA93" i="1"/>
  <c r="AY93" i="1"/>
  <c r="AX93" i="1"/>
  <c r="AV93" i="1"/>
  <c r="AU93" i="1"/>
  <c r="AS93" i="1"/>
  <c r="AR93" i="1"/>
  <c r="AM93" i="1"/>
  <c r="AL93" i="1"/>
  <c r="AJ93" i="1"/>
  <c r="AI93" i="1"/>
  <c r="AG93" i="1"/>
  <c r="AF93" i="1"/>
  <c r="AD93" i="1"/>
  <c r="AC93" i="1"/>
  <c r="AA93" i="1"/>
  <c r="Z93" i="1"/>
  <c r="CJ92" i="1"/>
  <c r="CG92" i="1"/>
  <c r="CD92" i="1"/>
  <c r="CA92" i="1"/>
  <c r="BX92" i="1"/>
  <c r="BU92" i="1"/>
  <c r="BR92" i="1"/>
  <c r="BO92" i="1"/>
  <c r="BL92" i="1"/>
  <c r="BI92" i="1"/>
  <c r="BF92" i="1"/>
  <c r="BC92" i="1"/>
  <c r="AZ92" i="1"/>
  <c r="AW92" i="1"/>
  <c r="AT92" i="1"/>
  <c r="AP92" i="1"/>
  <c r="AO92" i="1"/>
  <c r="AN92" i="1"/>
  <c r="AK92" i="1"/>
  <c r="AH92" i="1"/>
  <c r="AE92" i="1"/>
  <c r="AB92" i="1"/>
  <c r="X92" i="1"/>
  <c r="U92" i="1" s="1"/>
  <c r="W92" i="1"/>
  <c r="CJ91" i="1"/>
  <c r="CG91" i="1"/>
  <c r="CD91" i="1"/>
  <c r="CA91" i="1"/>
  <c r="BX91" i="1"/>
  <c r="BU91" i="1"/>
  <c r="BR91" i="1"/>
  <c r="BO91" i="1"/>
  <c r="BL91" i="1"/>
  <c r="BI91" i="1"/>
  <c r="BF91" i="1"/>
  <c r="BC91" i="1"/>
  <c r="AZ91" i="1"/>
  <c r="AW91" i="1"/>
  <c r="AT91" i="1"/>
  <c r="AP91" i="1"/>
  <c r="AO91" i="1"/>
  <c r="AN91" i="1"/>
  <c r="AK91" i="1"/>
  <c r="AH91" i="1"/>
  <c r="AE91" i="1"/>
  <c r="AB91" i="1"/>
  <c r="X91" i="1"/>
  <c r="U91" i="1" s="1"/>
  <c r="W91" i="1"/>
  <c r="CJ90" i="1"/>
  <c r="CG90" i="1"/>
  <c r="CD90" i="1"/>
  <c r="CA90" i="1"/>
  <c r="BX90" i="1"/>
  <c r="BU90" i="1"/>
  <c r="BR90" i="1"/>
  <c r="BO90" i="1"/>
  <c r="BL90" i="1"/>
  <c r="BI90" i="1"/>
  <c r="BF90" i="1"/>
  <c r="BC90" i="1"/>
  <c r="AZ90" i="1"/>
  <c r="AW90" i="1"/>
  <c r="AT90" i="1"/>
  <c r="AP90" i="1"/>
  <c r="AO90" i="1"/>
  <c r="AN90" i="1"/>
  <c r="AK90" i="1"/>
  <c r="AH90" i="1"/>
  <c r="AE90" i="1"/>
  <c r="AB90" i="1"/>
  <c r="X90" i="1"/>
  <c r="W90" i="1"/>
  <c r="T90" i="1" s="1"/>
  <c r="CJ89" i="1"/>
  <c r="CG89" i="1"/>
  <c r="CD89" i="1"/>
  <c r="CA89" i="1"/>
  <c r="BX89" i="1"/>
  <c r="BU89" i="1"/>
  <c r="BR89" i="1"/>
  <c r="BO89" i="1"/>
  <c r="BL89" i="1"/>
  <c r="BI89" i="1"/>
  <c r="BF89" i="1"/>
  <c r="BC89" i="1"/>
  <c r="AZ89" i="1"/>
  <c r="AW89" i="1"/>
  <c r="AT89" i="1"/>
  <c r="AP89" i="1"/>
  <c r="AO89" i="1"/>
  <c r="AN89" i="1"/>
  <c r="AK89" i="1"/>
  <c r="AH89" i="1"/>
  <c r="AE89" i="1"/>
  <c r="AB89" i="1"/>
  <c r="X89" i="1"/>
  <c r="W89" i="1"/>
  <c r="T89" i="1" s="1"/>
  <c r="CI88" i="1"/>
  <c r="CH88" i="1"/>
  <c r="CF88" i="1"/>
  <c r="CE88" i="1"/>
  <c r="CC88" i="1"/>
  <c r="CB88" i="1"/>
  <c r="BZ88" i="1"/>
  <c r="BY88" i="1"/>
  <c r="BW88" i="1"/>
  <c r="BV88" i="1"/>
  <c r="BT88" i="1"/>
  <c r="BS88" i="1"/>
  <c r="BQ88" i="1"/>
  <c r="BP88" i="1"/>
  <c r="BN88" i="1"/>
  <c r="BM88" i="1"/>
  <c r="BK88" i="1"/>
  <c r="BJ88" i="1"/>
  <c r="BH88" i="1"/>
  <c r="BG88" i="1"/>
  <c r="BE88" i="1"/>
  <c r="BD88" i="1"/>
  <c r="BB88" i="1"/>
  <c r="BA88" i="1"/>
  <c r="BC88" i="1" s="1"/>
  <c r="AY88" i="1"/>
  <c r="AX88" i="1"/>
  <c r="AV88" i="1"/>
  <c r="AU88" i="1"/>
  <c r="AS88" i="1"/>
  <c r="AR88" i="1"/>
  <c r="AM88" i="1"/>
  <c r="AL88" i="1"/>
  <c r="AJ88" i="1"/>
  <c r="AI88" i="1"/>
  <c r="AG88" i="1"/>
  <c r="AF88" i="1"/>
  <c r="AD88" i="1"/>
  <c r="AC88" i="1"/>
  <c r="AA88" i="1"/>
  <c r="Z88" i="1"/>
  <c r="CJ87" i="1"/>
  <c r="CG87" i="1"/>
  <c r="CD87" i="1"/>
  <c r="CA87" i="1"/>
  <c r="BX87" i="1"/>
  <c r="BU87" i="1"/>
  <c r="BR87" i="1"/>
  <c r="BO87" i="1"/>
  <c r="BL87" i="1"/>
  <c r="BI87" i="1"/>
  <c r="BF87" i="1"/>
  <c r="BC87" i="1"/>
  <c r="AZ87" i="1"/>
  <c r="AW87" i="1"/>
  <c r="AT87" i="1"/>
  <c r="AP87" i="1"/>
  <c r="AO87" i="1"/>
  <c r="AN87" i="1"/>
  <c r="AK87" i="1"/>
  <c r="AH87" i="1"/>
  <c r="AE87" i="1"/>
  <c r="AB87" i="1"/>
  <c r="X87" i="1"/>
  <c r="W87" i="1"/>
  <c r="CJ86" i="1"/>
  <c r="CG86" i="1"/>
  <c r="CD86" i="1"/>
  <c r="CA86" i="1"/>
  <c r="BX86" i="1"/>
  <c r="BU86" i="1"/>
  <c r="BR86" i="1"/>
  <c r="BO86" i="1"/>
  <c r="BL86" i="1"/>
  <c r="BI86" i="1"/>
  <c r="BF86" i="1"/>
  <c r="BC86" i="1"/>
  <c r="AZ86" i="1"/>
  <c r="AW86" i="1"/>
  <c r="AT86" i="1"/>
  <c r="AP86" i="1"/>
  <c r="AO86" i="1"/>
  <c r="AO85" i="1" s="1"/>
  <c r="AM86" i="1"/>
  <c r="AN86" i="1" s="1"/>
  <c r="AK86" i="1"/>
  <c r="AH86" i="1"/>
  <c r="AE86" i="1"/>
  <c r="AB86" i="1"/>
  <c r="X86" i="1"/>
  <c r="W86" i="1"/>
  <c r="T86" i="1" s="1"/>
  <c r="CI85" i="1"/>
  <c r="CH85" i="1"/>
  <c r="CF85" i="1"/>
  <c r="CE85" i="1"/>
  <c r="CC85" i="1"/>
  <c r="CB85" i="1"/>
  <c r="BZ85" i="1"/>
  <c r="BY85" i="1"/>
  <c r="BW85" i="1"/>
  <c r="BV85" i="1"/>
  <c r="BT85" i="1"/>
  <c r="BS85" i="1"/>
  <c r="BQ85" i="1"/>
  <c r="BP85" i="1"/>
  <c r="BN85" i="1"/>
  <c r="BM85" i="1"/>
  <c r="BK85" i="1"/>
  <c r="BJ85" i="1"/>
  <c r="BH85" i="1"/>
  <c r="BG85" i="1"/>
  <c r="BE85" i="1"/>
  <c r="BD85" i="1"/>
  <c r="BB85" i="1"/>
  <c r="BA85" i="1"/>
  <c r="AY85" i="1"/>
  <c r="AX85" i="1"/>
  <c r="AV85" i="1"/>
  <c r="AU85" i="1"/>
  <c r="AS85" i="1"/>
  <c r="AR85" i="1"/>
  <c r="AL85" i="1"/>
  <c r="AJ85" i="1"/>
  <c r="AI85" i="1"/>
  <c r="AG85" i="1"/>
  <c r="AF85" i="1"/>
  <c r="AD85" i="1"/>
  <c r="AC85" i="1"/>
  <c r="AA85" i="1"/>
  <c r="Z85" i="1"/>
  <c r="CJ84" i="1"/>
  <c r="CG84" i="1"/>
  <c r="CD84" i="1"/>
  <c r="CA84" i="1"/>
  <c r="BX84" i="1"/>
  <c r="BU84" i="1"/>
  <c r="BR84" i="1"/>
  <c r="BO84" i="1"/>
  <c r="BL84" i="1"/>
  <c r="BI84" i="1"/>
  <c r="BF84" i="1"/>
  <c r="BC84" i="1"/>
  <c r="AZ84" i="1"/>
  <c r="AW84" i="1"/>
  <c r="AT84" i="1"/>
  <c r="AP84" i="1"/>
  <c r="AP83" i="1" s="1"/>
  <c r="AO84" i="1"/>
  <c r="AO83" i="1" s="1"/>
  <c r="AN84" i="1"/>
  <c r="AK84" i="1"/>
  <c r="AH84" i="1"/>
  <c r="AE84" i="1"/>
  <c r="AB84" i="1"/>
  <c r="X84" i="1"/>
  <c r="U84" i="1" s="1"/>
  <c r="U83" i="1" s="1"/>
  <c r="W84" i="1"/>
  <c r="T84" i="1" s="1"/>
  <c r="T83" i="1" s="1"/>
  <c r="CI83" i="1"/>
  <c r="CH83" i="1"/>
  <c r="CF83" i="1"/>
  <c r="CE83" i="1"/>
  <c r="CC83" i="1"/>
  <c r="CB83" i="1"/>
  <c r="BZ83" i="1"/>
  <c r="BY83" i="1"/>
  <c r="BW83" i="1"/>
  <c r="BV83" i="1"/>
  <c r="BT83" i="1"/>
  <c r="BS83" i="1"/>
  <c r="BQ83" i="1"/>
  <c r="BP83" i="1"/>
  <c r="BN83" i="1"/>
  <c r="BM83" i="1"/>
  <c r="BK83" i="1"/>
  <c r="BJ83" i="1"/>
  <c r="BH83" i="1"/>
  <c r="BG83" i="1"/>
  <c r="BE83" i="1"/>
  <c r="BD83" i="1"/>
  <c r="BB83" i="1"/>
  <c r="BA83" i="1"/>
  <c r="AY83" i="1"/>
  <c r="AX83" i="1"/>
  <c r="AV83" i="1"/>
  <c r="AU83" i="1"/>
  <c r="AS83" i="1"/>
  <c r="AR83" i="1"/>
  <c r="AM83" i="1"/>
  <c r="AL83" i="1"/>
  <c r="AJ83" i="1"/>
  <c r="AI83" i="1"/>
  <c r="AG83" i="1"/>
  <c r="AF83" i="1"/>
  <c r="AD83" i="1"/>
  <c r="AC83" i="1"/>
  <c r="AA83" i="1"/>
  <c r="Z83" i="1"/>
  <c r="W83" i="1"/>
  <c r="CJ82" i="1"/>
  <c r="CG82" i="1"/>
  <c r="CD82" i="1"/>
  <c r="CA82" i="1"/>
  <c r="BX82" i="1"/>
  <c r="BU82" i="1"/>
  <c r="BR82" i="1"/>
  <c r="BO82" i="1"/>
  <c r="BL82" i="1"/>
  <c r="BI82" i="1"/>
  <c r="BF82" i="1"/>
  <c r="BC82" i="1"/>
  <c r="AZ82" i="1"/>
  <c r="AW82" i="1"/>
  <c r="AT82" i="1"/>
  <c r="AP82" i="1"/>
  <c r="AO82" i="1"/>
  <c r="AN82" i="1"/>
  <c r="AK82" i="1"/>
  <c r="AH82" i="1"/>
  <c r="AE82" i="1"/>
  <c r="AB82" i="1"/>
  <c r="X82" i="1"/>
  <c r="U82" i="1" s="1"/>
  <c r="W82" i="1"/>
  <c r="T82" i="1" s="1"/>
  <c r="CJ81" i="1"/>
  <c r="CG81" i="1"/>
  <c r="CD81" i="1"/>
  <c r="CA81" i="1"/>
  <c r="BX81" i="1"/>
  <c r="BU81" i="1"/>
  <c r="BR81" i="1"/>
  <c r="BO81" i="1"/>
  <c r="BL81" i="1"/>
  <c r="BI81" i="1"/>
  <c r="BF81" i="1"/>
  <c r="BC81" i="1"/>
  <c r="AZ81" i="1"/>
  <c r="AW81" i="1"/>
  <c r="AT81" i="1"/>
  <c r="AP81" i="1"/>
  <c r="AO81" i="1"/>
  <c r="AN81" i="1"/>
  <c r="AK81" i="1"/>
  <c r="AH81" i="1"/>
  <c r="AE81" i="1"/>
  <c r="AB81" i="1"/>
  <c r="X81" i="1"/>
  <c r="U81" i="1" s="1"/>
  <c r="W81" i="1"/>
  <c r="T81" i="1" s="1"/>
  <c r="CJ80" i="1"/>
  <c r="CG80" i="1"/>
  <c r="CD80" i="1"/>
  <c r="CA80" i="1"/>
  <c r="BX80" i="1"/>
  <c r="BU80" i="1"/>
  <c r="BR80" i="1"/>
  <c r="BO80" i="1"/>
  <c r="BL80" i="1"/>
  <c r="BI80" i="1"/>
  <c r="BF80" i="1"/>
  <c r="BC80" i="1"/>
  <c r="AZ80" i="1"/>
  <c r="AW80" i="1"/>
  <c r="AT80" i="1"/>
  <c r="AP80" i="1"/>
  <c r="AO80" i="1"/>
  <c r="AN80" i="1"/>
  <c r="AK80" i="1"/>
  <c r="AH80" i="1"/>
  <c r="AE80" i="1"/>
  <c r="AB80" i="1"/>
  <c r="X80" i="1"/>
  <c r="U80" i="1" s="1"/>
  <c r="W80" i="1"/>
  <c r="T80" i="1" s="1"/>
  <c r="CI79" i="1"/>
  <c r="CH79" i="1"/>
  <c r="CF79" i="1"/>
  <c r="CE79" i="1"/>
  <c r="CC79" i="1"/>
  <c r="CB79" i="1"/>
  <c r="BZ79" i="1"/>
  <c r="BY79" i="1"/>
  <c r="BW79" i="1"/>
  <c r="BV79" i="1"/>
  <c r="BT79" i="1"/>
  <c r="BS79" i="1"/>
  <c r="BQ79" i="1"/>
  <c r="BP79" i="1"/>
  <c r="BN79" i="1"/>
  <c r="BM79" i="1"/>
  <c r="BK79" i="1"/>
  <c r="BJ79" i="1"/>
  <c r="BH79" i="1"/>
  <c r="BG79" i="1"/>
  <c r="BE79" i="1"/>
  <c r="BD79" i="1"/>
  <c r="BB79" i="1"/>
  <c r="BA79" i="1"/>
  <c r="AY79" i="1"/>
  <c r="AX79" i="1"/>
  <c r="AV79" i="1"/>
  <c r="AU79" i="1"/>
  <c r="AS79" i="1"/>
  <c r="AR79" i="1"/>
  <c r="AM79" i="1"/>
  <c r="AL79" i="1"/>
  <c r="AJ79" i="1"/>
  <c r="AI79" i="1"/>
  <c r="AG79" i="1"/>
  <c r="AF79" i="1"/>
  <c r="AD79" i="1"/>
  <c r="AC79" i="1"/>
  <c r="AA79" i="1"/>
  <c r="Z79" i="1"/>
  <c r="CJ78" i="1"/>
  <c r="CG78" i="1"/>
  <c r="CD78" i="1"/>
  <c r="CA78" i="1"/>
  <c r="BX78" i="1"/>
  <c r="BU78" i="1"/>
  <c r="BR78" i="1"/>
  <c r="BO78" i="1"/>
  <c r="BL78" i="1"/>
  <c r="BI78" i="1"/>
  <c r="BF78" i="1"/>
  <c r="BC78" i="1"/>
  <c r="AZ78" i="1"/>
  <c r="AW78" i="1"/>
  <c r="AT78" i="1"/>
  <c r="AP78" i="1"/>
  <c r="AO78" i="1"/>
  <c r="AN78" i="1"/>
  <c r="AK78" i="1"/>
  <c r="AH78" i="1"/>
  <c r="AE78" i="1"/>
  <c r="AB78" i="1"/>
  <c r="X78" i="1"/>
  <c r="W78" i="1"/>
  <c r="T78" i="1" s="1"/>
  <c r="CJ77" i="1"/>
  <c r="CG77" i="1"/>
  <c r="CD77" i="1"/>
  <c r="CA77" i="1"/>
  <c r="BX77" i="1"/>
  <c r="BU77" i="1"/>
  <c r="BR77" i="1"/>
  <c r="BO77" i="1"/>
  <c r="BL77" i="1"/>
  <c r="BI77" i="1"/>
  <c r="BF77" i="1"/>
  <c r="BC77" i="1"/>
  <c r="AZ77" i="1"/>
  <c r="AW77" i="1"/>
  <c r="AT77" i="1"/>
  <c r="AP77" i="1"/>
  <c r="AO77" i="1"/>
  <c r="AO76" i="1" s="1"/>
  <c r="AN77" i="1"/>
  <c r="AK77" i="1"/>
  <c r="AH77" i="1"/>
  <c r="AE77" i="1"/>
  <c r="AB77" i="1"/>
  <c r="X77" i="1"/>
  <c r="W77" i="1"/>
  <c r="CI76" i="1"/>
  <c r="CH76" i="1"/>
  <c r="CF76" i="1"/>
  <c r="CE76" i="1"/>
  <c r="CC76" i="1"/>
  <c r="CB76" i="1"/>
  <c r="BZ76" i="1"/>
  <c r="BY76" i="1"/>
  <c r="BW76" i="1"/>
  <c r="BV76" i="1"/>
  <c r="BT76" i="1"/>
  <c r="BS76" i="1"/>
  <c r="BQ76" i="1"/>
  <c r="BP76" i="1"/>
  <c r="BN76" i="1"/>
  <c r="BM76" i="1"/>
  <c r="BK76" i="1"/>
  <c r="BJ76" i="1"/>
  <c r="BH76" i="1"/>
  <c r="BG76" i="1"/>
  <c r="BE76" i="1"/>
  <c r="BD76" i="1"/>
  <c r="BB76" i="1"/>
  <c r="BA76" i="1"/>
  <c r="AY76" i="1"/>
  <c r="AX76" i="1"/>
  <c r="AV76" i="1"/>
  <c r="AU76" i="1"/>
  <c r="AS76" i="1"/>
  <c r="AR76" i="1"/>
  <c r="AM76" i="1"/>
  <c r="AL76" i="1"/>
  <c r="AJ76" i="1"/>
  <c r="AI76" i="1"/>
  <c r="AG76" i="1"/>
  <c r="AF76" i="1"/>
  <c r="AD76" i="1"/>
  <c r="AC76" i="1"/>
  <c r="AA76" i="1"/>
  <c r="Z76" i="1"/>
  <c r="CJ75" i="1"/>
  <c r="CG75" i="1"/>
  <c r="CD75" i="1"/>
  <c r="CA75" i="1"/>
  <c r="BX75" i="1"/>
  <c r="BU75" i="1"/>
  <c r="BR75" i="1"/>
  <c r="BO75" i="1"/>
  <c r="BL75" i="1"/>
  <c r="BI75" i="1"/>
  <c r="BF75" i="1"/>
  <c r="BC75" i="1"/>
  <c r="AZ75" i="1"/>
  <c r="AW75" i="1"/>
  <c r="AT75" i="1"/>
  <c r="AP75" i="1"/>
  <c r="AP74" i="1" s="1"/>
  <c r="AO75" i="1"/>
  <c r="AO74" i="1" s="1"/>
  <c r="AN75" i="1"/>
  <c r="AK75" i="1"/>
  <c r="AH75" i="1"/>
  <c r="AE75" i="1"/>
  <c r="AB75" i="1"/>
  <c r="X75" i="1"/>
  <c r="U75" i="1" s="1"/>
  <c r="W75" i="1"/>
  <c r="W74" i="1" s="1"/>
  <c r="CI74" i="1"/>
  <c r="CH74" i="1"/>
  <c r="CF74" i="1"/>
  <c r="CE74" i="1"/>
  <c r="CC74" i="1"/>
  <c r="CB74" i="1"/>
  <c r="BZ74" i="1"/>
  <c r="BY74" i="1"/>
  <c r="BW74" i="1"/>
  <c r="BV74" i="1"/>
  <c r="BT74" i="1"/>
  <c r="BS74" i="1"/>
  <c r="BQ74" i="1"/>
  <c r="BP74" i="1"/>
  <c r="BN74" i="1"/>
  <c r="BM74" i="1"/>
  <c r="BK74" i="1"/>
  <c r="BJ74" i="1"/>
  <c r="BH74" i="1"/>
  <c r="BG74" i="1"/>
  <c r="BE74" i="1"/>
  <c r="BD74" i="1"/>
  <c r="BB74" i="1"/>
  <c r="BA74" i="1"/>
  <c r="AY74" i="1"/>
  <c r="AX74" i="1"/>
  <c r="AV74" i="1"/>
  <c r="AU74" i="1"/>
  <c r="AS74" i="1"/>
  <c r="AR74" i="1"/>
  <c r="AM74" i="1"/>
  <c r="AL74" i="1"/>
  <c r="AJ74" i="1"/>
  <c r="AI74" i="1"/>
  <c r="AG74" i="1"/>
  <c r="AF74" i="1"/>
  <c r="AD74" i="1"/>
  <c r="AC74" i="1"/>
  <c r="AA74" i="1"/>
  <c r="Z74" i="1"/>
  <c r="CJ71" i="1"/>
  <c r="CG71" i="1"/>
  <c r="CD71" i="1"/>
  <c r="CA71" i="1"/>
  <c r="BX71" i="1"/>
  <c r="BU71" i="1"/>
  <c r="BR71" i="1"/>
  <c r="BO71" i="1"/>
  <c r="BL71" i="1"/>
  <c r="BI71" i="1"/>
  <c r="BF71" i="1"/>
  <c r="BC71" i="1"/>
  <c r="AZ71" i="1"/>
  <c r="AW71" i="1"/>
  <c r="AT71" i="1"/>
  <c r="AP71" i="1"/>
  <c r="AO71" i="1"/>
  <c r="AN71" i="1"/>
  <c r="AK71" i="1"/>
  <c r="AH71" i="1"/>
  <c r="AE71" i="1"/>
  <c r="AB71" i="1"/>
  <c r="X71" i="1"/>
  <c r="U71" i="1" s="1"/>
  <c r="W71" i="1"/>
  <c r="CJ70" i="1"/>
  <c r="CG70" i="1"/>
  <c r="CD70" i="1"/>
  <c r="CA70" i="1"/>
  <c r="BX70" i="1"/>
  <c r="BU70" i="1"/>
  <c r="BR70" i="1"/>
  <c r="BO70" i="1"/>
  <c r="BL70" i="1"/>
  <c r="BI70" i="1"/>
  <c r="BF70" i="1"/>
  <c r="BC70" i="1"/>
  <c r="AZ70" i="1"/>
  <c r="AW70" i="1"/>
  <c r="AT70" i="1"/>
  <c r="AP70" i="1"/>
  <c r="AO70" i="1"/>
  <c r="AN70" i="1"/>
  <c r="AK70" i="1"/>
  <c r="AH70" i="1"/>
  <c r="AE70" i="1"/>
  <c r="AB70" i="1"/>
  <c r="X70" i="1"/>
  <c r="W70" i="1"/>
  <c r="T70" i="1" s="1"/>
  <c r="CJ69" i="1"/>
  <c r="CG69" i="1"/>
  <c r="CD69" i="1"/>
  <c r="CA69" i="1"/>
  <c r="BX69" i="1"/>
  <c r="BU69" i="1"/>
  <c r="BR69" i="1"/>
  <c r="BO69" i="1"/>
  <c r="BL69" i="1"/>
  <c r="BI69" i="1"/>
  <c r="BF69" i="1"/>
  <c r="BC69" i="1"/>
  <c r="AZ69" i="1"/>
  <c r="AW69" i="1"/>
  <c r="AT69" i="1"/>
  <c r="AP69" i="1"/>
  <c r="AO69" i="1"/>
  <c r="AN69" i="1"/>
  <c r="AK69" i="1"/>
  <c r="AH69" i="1"/>
  <c r="AE69" i="1"/>
  <c r="AB69" i="1"/>
  <c r="X69" i="1"/>
  <c r="U69" i="1" s="1"/>
  <c r="W69" i="1"/>
  <c r="T69" i="1" s="1"/>
  <c r="CJ68" i="1"/>
  <c r="CG68" i="1"/>
  <c r="CD68" i="1"/>
  <c r="CA68" i="1"/>
  <c r="BX68" i="1"/>
  <c r="BU68" i="1"/>
  <c r="BR68" i="1"/>
  <c r="BO68" i="1"/>
  <c r="BL68" i="1"/>
  <c r="BI68" i="1"/>
  <c r="BF68" i="1"/>
  <c r="BC68" i="1"/>
  <c r="AZ68" i="1"/>
  <c r="AW68" i="1"/>
  <c r="AT68" i="1"/>
  <c r="AP68" i="1"/>
  <c r="AO68" i="1"/>
  <c r="AN68" i="1"/>
  <c r="AK68" i="1"/>
  <c r="AH68" i="1"/>
  <c r="AE68" i="1"/>
  <c r="AB68" i="1"/>
  <c r="X68" i="1"/>
  <c r="W68" i="1"/>
  <c r="T68" i="1" s="1"/>
  <c r="CJ67" i="1"/>
  <c r="CG67" i="1"/>
  <c r="CD67" i="1"/>
  <c r="CA67" i="1"/>
  <c r="BX67" i="1"/>
  <c r="BU67" i="1"/>
  <c r="BR67" i="1"/>
  <c r="BO67" i="1"/>
  <c r="BL67" i="1"/>
  <c r="BI67" i="1"/>
  <c r="BF67" i="1"/>
  <c r="BC67" i="1"/>
  <c r="AZ67" i="1"/>
  <c r="AW67" i="1"/>
  <c r="AT67" i="1"/>
  <c r="AP67" i="1"/>
  <c r="AO67" i="1"/>
  <c r="AN67" i="1"/>
  <c r="AK67" i="1"/>
  <c r="AH67" i="1"/>
  <c r="AE67" i="1"/>
  <c r="AB67" i="1"/>
  <c r="X67" i="1"/>
  <c r="U67" i="1" s="1"/>
  <c r="W67" i="1"/>
  <c r="T67" i="1" s="1"/>
  <c r="CI66" i="1"/>
  <c r="CH66" i="1"/>
  <c r="CF66" i="1"/>
  <c r="CE66" i="1"/>
  <c r="CC66" i="1"/>
  <c r="CB66" i="1"/>
  <c r="BZ66" i="1"/>
  <c r="BY66" i="1"/>
  <c r="BW66" i="1"/>
  <c r="BV66" i="1"/>
  <c r="BT66" i="1"/>
  <c r="BS66" i="1"/>
  <c r="BQ66" i="1"/>
  <c r="BP66" i="1"/>
  <c r="BN66" i="1"/>
  <c r="BM66" i="1"/>
  <c r="BK66" i="1"/>
  <c r="BJ66" i="1"/>
  <c r="BH66" i="1"/>
  <c r="BG66" i="1"/>
  <c r="BE66" i="1"/>
  <c r="BD66" i="1"/>
  <c r="BB66" i="1"/>
  <c r="BA66" i="1"/>
  <c r="AY66" i="1"/>
  <c r="AX66" i="1"/>
  <c r="AV66" i="1"/>
  <c r="AU66" i="1"/>
  <c r="AS66" i="1"/>
  <c r="AR66" i="1"/>
  <c r="AM66" i="1"/>
  <c r="AL66" i="1"/>
  <c r="AJ66" i="1"/>
  <c r="AI66" i="1"/>
  <c r="AG66" i="1"/>
  <c r="AF66" i="1"/>
  <c r="AD66" i="1"/>
  <c r="AC66" i="1"/>
  <c r="AA66" i="1"/>
  <c r="Z66" i="1"/>
  <c r="CJ65" i="1"/>
  <c r="CG65" i="1"/>
  <c r="CD65" i="1"/>
  <c r="CA65" i="1"/>
  <c r="BX65" i="1"/>
  <c r="BU65" i="1"/>
  <c r="BR65" i="1"/>
  <c r="BO65" i="1"/>
  <c r="BL65" i="1"/>
  <c r="BI65" i="1"/>
  <c r="BF65" i="1"/>
  <c r="BC65" i="1"/>
  <c r="AZ65" i="1"/>
  <c r="AW65" i="1"/>
  <c r="AT65" i="1"/>
  <c r="AP65" i="1"/>
  <c r="AO65" i="1"/>
  <c r="AN65" i="1"/>
  <c r="AK65" i="1"/>
  <c r="AH65" i="1"/>
  <c r="AE65" i="1"/>
  <c r="AB65" i="1"/>
  <c r="X65" i="1"/>
  <c r="U65" i="1" s="1"/>
  <c r="W65" i="1"/>
  <c r="T65" i="1" s="1"/>
  <c r="CJ64" i="1"/>
  <c r="CG64" i="1"/>
  <c r="CD64" i="1"/>
  <c r="CA64" i="1"/>
  <c r="BX64" i="1"/>
  <c r="BU64" i="1"/>
  <c r="BR64" i="1"/>
  <c r="BO64" i="1"/>
  <c r="BL64" i="1"/>
  <c r="BI64" i="1"/>
  <c r="BF64" i="1"/>
  <c r="BC64" i="1"/>
  <c r="AZ64" i="1"/>
  <c r="AW64" i="1"/>
  <c r="AT64" i="1"/>
  <c r="AP64" i="1"/>
  <c r="AO64" i="1"/>
  <c r="AN64" i="1"/>
  <c r="AK64" i="1"/>
  <c r="AH64" i="1"/>
  <c r="AE64" i="1"/>
  <c r="AB64" i="1"/>
  <c r="X64" i="1"/>
  <c r="W64" i="1"/>
  <c r="T64" i="1" s="1"/>
  <c r="CJ63" i="1"/>
  <c r="CG63" i="1"/>
  <c r="CD63" i="1"/>
  <c r="CA63" i="1"/>
  <c r="BX63" i="1"/>
  <c r="BU63" i="1"/>
  <c r="BR63" i="1"/>
  <c r="BO63" i="1"/>
  <c r="BL63" i="1"/>
  <c r="BI63" i="1"/>
  <c r="BF63" i="1"/>
  <c r="BC63" i="1"/>
  <c r="AZ63" i="1"/>
  <c r="AW63" i="1"/>
  <c r="AT63" i="1"/>
  <c r="AP63" i="1"/>
  <c r="AO63" i="1"/>
  <c r="AN63" i="1"/>
  <c r="AK63" i="1"/>
  <c r="AH63" i="1"/>
  <c r="AE63" i="1"/>
  <c r="AB63" i="1"/>
  <c r="X63" i="1"/>
  <c r="U63" i="1" s="1"/>
  <c r="W63" i="1"/>
  <c r="T63" i="1" s="1"/>
  <c r="CJ62" i="1"/>
  <c r="CG62" i="1"/>
  <c r="CD62" i="1"/>
  <c r="CA62" i="1"/>
  <c r="BX62" i="1"/>
  <c r="BU62" i="1"/>
  <c r="BR62" i="1"/>
  <c r="BO62" i="1"/>
  <c r="BL62" i="1"/>
  <c r="BI62" i="1"/>
  <c r="BF62" i="1"/>
  <c r="BC62" i="1"/>
  <c r="AZ62" i="1"/>
  <c r="AW62" i="1"/>
  <c r="AT62" i="1"/>
  <c r="AP62" i="1"/>
  <c r="AO62" i="1"/>
  <c r="AN62" i="1"/>
  <c r="AK62" i="1"/>
  <c r="AH62" i="1"/>
  <c r="AE62" i="1"/>
  <c r="AB62" i="1"/>
  <c r="X62" i="1"/>
  <c r="U62" i="1" s="1"/>
  <c r="W62" i="1"/>
  <c r="T62" i="1" s="1"/>
  <c r="CJ61" i="1"/>
  <c r="CG61" i="1"/>
  <c r="CD61" i="1"/>
  <c r="CA61" i="1"/>
  <c r="BX61" i="1"/>
  <c r="BU61" i="1"/>
  <c r="BR61" i="1"/>
  <c r="BO61" i="1"/>
  <c r="BL61" i="1"/>
  <c r="BI61" i="1"/>
  <c r="BF61" i="1"/>
  <c r="BC61" i="1"/>
  <c r="AZ61" i="1"/>
  <c r="AW61" i="1"/>
  <c r="AT61" i="1"/>
  <c r="AP61" i="1"/>
  <c r="AO61" i="1"/>
  <c r="AN61" i="1"/>
  <c r="AK61" i="1"/>
  <c r="AH61" i="1"/>
  <c r="AE61" i="1"/>
  <c r="AB61" i="1"/>
  <c r="X61" i="1"/>
  <c r="W61" i="1"/>
  <c r="T61" i="1" s="1"/>
  <c r="CJ60" i="1"/>
  <c r="CG60" i="1"/>
  <c r="CD60" i="1"/>
  <c r="CA60" i="1"/>
  <c r="BX60" i="1"/>
  <c r="BU60" i="1"/>
  <c r="BR60" i="1"/>
  <c r="BO60" i="1"/>
  <c r="BL60" i="1"/>
  <c r="BI60" i="1"/>
  <c r="BF60" i="1"/>
  <c r="BC60" i="1"/>
  <c r="AZ60" i="1"/>
  <c r="AW60" i="1"/>
  <c r="AT60" i="1"/>
  <c r="AP60" i="1"/>
  <c r="AO60" i="1"/>
  <c r="AN60" i="1"/>
  <c r="AK60" i="1"/>
  <c r="AH60" i="1"/>
  <c r="AE60" i="1"/>
  <c r="AB60" i="1"/>
  <c r="X60" i="1"/>
  <c r="U60" i="1" s="1"/>
  <c r="W60" i="1"/>
  <c r="T60" i="1" s="1"/>
  <c r="CJ59" i="1"/>
  <c r="CG59" i="1"/>
  <c r="CD59" i="1"/>
  <c r="CA59" i="1"/>
  <c r="BX59" i="1"/>
  <c r="BU59" i="1"/>
  <c r="BR59" i="1"/>
  <c r="BO59" i="1"/>
  <c r="BL59" i="1"/>
  <c r="BI59" i="1"/>
  <c r="BF59" i="1"/>
  <c r="BC59" i="1"/>
  <c r="AZ59" i="1"/>
  <c r="AW59" i="1"/>
  <c r="AT59" i="1"/>
  <c r="AP59" i="1"/>
  <c r="AO59" i="1"/>
  <c r="AN59" i="1"/>
  <c r="AK59" i="1"/>
  <c r="AH59" i="1"/>
  <c r="AE59" i="1"/>
  <c r="AB59" i="1"/>
  <c r="X59" i="1"/>
  <c r="W59" i="1"/>
  <c r="T59" i="1" s="1"/>
  <c r="CI58" i="1"/>
  <c r="CH58" i="1"/>
  <c r="CF58" i="1"/>
  <c r="CE58" i="1"/>
  <c r="CE57" i="1" s="1"/>
  <c r="CC58" i="1"/>
  <c r="CB58" i="1"/>
  <c r="CB57" i="1" s="1"/>
  <c r="BZ58" i="1"/>
  <c r="BY58" i="1"/>
  <c r="BW58" i="1"/>
  <c r="BW57" i="1" s="1"/>
  <c r="BV58" i="1"/>
  <c r="BT58" i="1"/>
  <c r="BS58" i="1"/>
  <c r="BS57" i="1" s="1"/>
  <c r="BQ58" i="1"/>
  <c r="BP58" i="1"/>
  <c r="BP57" i="1" s="1"/>
  <c r="BN58" i="1"/>
  <c r="BM58" i="1"/>
  <c r="BK58" i="1"/>
  <c r="BK57" i="1" s="1"/>
  <c r="BJ58" i="1"/>
  <c r="BH58" i="1"/>
  <c r="BG58" i="1"/>
  <c r="BG57" i="1" s="1"/>
  <c r="BE58" i="1"/>
  <c r="BE57" i="1" s="1"/>
  <c r="BD58" i="1"/>
  <c r="BD57" i="1" s="1"/>
  <c r="BB58" i="1"/>
  <c r="BA58" i="1"/>
  <c r="AY58" i="1"/>
  <c r="AY57" i="1" s="1"/>
  <c r="AX58" i="1"/>
  <c r="AV58" i="1"/>
  <c r="AV57" i="1" s="1"/>
  <c r="AU58" i="1"/>
  <c r="AU57" i="1" s="1"/>
  <c r="AS58" i="1"/>
  <c r="AR58" i="1"/>
  <c r="AR57" i="1" s="1"/>
  <c r="AM58" i="1"/>
  <c r="AL58" i="1"/>
  <c r="AJ58" i="1"/>
  <c r="AI58" i="1"/>
  <c r="AG58" i="1"/>
  <c r="AF58" i="1"/>
  <c r="AF57" i="1" s="1"/>
  <c r="AD58" i="1"/>
  <c r="AD57" i="1" s="1"/>
  <c r="AC58" i="1"/>
  <c r="AA58" i="1"/>
  <c r="AA57" i="1" s="1"/>
  <c r="Z58" i="1"/>
  <c r="CI57" i="1"/>
  <c r="CJ56" i="1"/>
  <c r="CG56" i="1"/>
  <c r="CD56" i="1"/>
  <c r="CA56" i="1"/>
  <c r="BX56" i="1"/>
  <c r="BU56" i="1"/>
  <c r="BR56" i="1"/>
  <c r="BO56" i="1"/>
  <c r="BL56" i="1"/>
  <c r="BI56" i="1"/>
  <c r="BF56" i="1"/>
  <c r="BC56" i="1"/>
  <c r="AZ56" i="1"/>
  <c r="AW56" i="1"/>
  <c r="AT56" i="1"/>
  <c r="AP56" i="1"/>
  <c r="AO56" i="1"/>
  <c r="AN56" i="1"/>
  <c r="AK56" i="1"/>
  <c r="AH56" i="1"/>
  <c r="AE56" i="1"/>
  <c r="AB56" i="1"/>
  <c r="X56" i="1"/>
  <c r="W56" i="1"/>
  <c r="T56" i="1" s="1"/>
  <c r="CJ55" i="1"/>
  <c r="CG55" i="1"/>
  <c r="CD55" i="1"/>
  <c r="CA55" i="1"/>
  <c r="BX55" i="1"/>
  <c r="BU55" i="1"/>
  <c r="BR55" i="1"/>
  <c r="BO55" i="1"/>
  <c r="BL55" i="1"/>
  <c r="BI55" i="1"/>
  <c r="BF55" i="1"/>
  <c r="BC55" i="1"/>
  <c r="AZ55" i="1"/>
  <c r="AW55" i="1"/>
  <c r="AT55" i="1"/>
  <c r="AP55" i="1"/>
  <c r="AO55" i="1"/>
  <c r="AO54" i="1" s="1"/>
  <c r="AN55" i="1"/>
  <c r="AK55" i="1"/>
  <c r="AH55" i="1"/>
  <c r="AE55" i="1"/>
  <c r="AB55" i="1"/>
  <c r="X55" i="1"/>
  <c r="U55" i="1" s="1"/>
  <c r="W55" i="1"/>
  <c r="W54" i="1" s="1"/>
  <c r="CI54" i="1"/>
  <c r="CH54" i="1"/>
  <c r="CF54" i="1"/>
  <c r="CE54" i="1"/>
  <c r="CC54" i="1"/>
  <c r="CB54" i="1"/>
  <c r="BZ54" i="1"/>
  <c r="BY54" i="1"/>
  <c r="BW54" i="1"/>
  <c r="BV54" i="1"/>
  <c r="BT54" i="1"/>
  <c r="BS54" i="1"/>
  <c r="BQ54" i="1"/>
  <c r="BP54" i="1"/>
  <c r="BN54" i="1"/>
  <c r="BM54" i="1"/>
  <c r="BK54" i="1"/>
  <c r="BJ54" i="1"/>
  <c r="BH54" i="1"/>
  <c r="BG54" i="1"/>
  <c r="BE54" i="1"/>
  <c r="BD54" i="1"/>
  <c r="BB54" i="1"/>
  <c r="BA54" i="1"/>
  <c r="AY54" i="1"/>
  <c r="AX54" i="1"/>
  <c r="AV54" i="1"/>
  <c r="AU54" i="1"/>
  <c r="AS54" i="1"/>
  <c r="AR54" i="1"/>
  <c r="AM54" i="1"/>
  <c r="AL54" i="1"/>
  <c r="AJ54" i="1"/>
  <c r="AI54" i="1"/>
  <c r="AG54" i="1"/>
  <c r="AF54" i="1"/>
  <c r="AD54" i="1"/>
  <c r="AC54" i="1"/>
  <c r="AA54" i="1"/>
  <c r="Z54" i="1"/>
  <c r="CJ53" i="1"/>
  <c r="CG53" i="1"/>
  <c r="CD53" i="1"/>
  <c r="CA53" i="1"/>
  <c r="BX53" i="1"/>
  <c r="BU53" i="1"/>
  <c r="BR53" i="1"/>
  <c r="BO53" i="1"/>
  <c r="BL53" i="1"/>
  <c r="BI53" i="1"/>
  <c r="BF53" i="1"/>
  <c r="BC53" i="1"/>
  <c r="AZ53" i="1"/>
  <c r="AW53" i="1"/>
  <c r="AT53" i="1"/>
  <c r="AP53" i="1"/>
  <c r="AO53" i="1"/>
  <c r="AN53" i="1"/>
  <c r="AK53" i="1"/>
  <c r="AH53" i="1"/>
  <c r="AE53" i="1"/>
  <c r="AB53" i="1"/>
  <c r="X53" i="1"/>
  <c r="W53" i="1"/>
  <c r="T53" i="1" s="1"/>
  <c r="CJ52" i="1"/>
  <c r="CG52" i="1"/>
  <c r="CD52" i="1"/>
  <c r="CA52" i="1"/>
  <c r="BX52" i="1"/>
  <c r="BU52" i="1"/>
  <c r="BR52" i="1"/>
  <c r="BO52" i="1"/>
  <c r="BL52" i="1"/>
  <c r="BI52" i="1"/>
  <c r="BF52" i="1"/>
  <c r="BC52" i="1"/>
  <c r="AZ52" i="1"/>
  <c r="AW52" i="1"/>
  <c r="AT52" i="1"/>
  <c r="AP52" i="1"/>
  <c r="AO52" i="1"/>
  <c r="AN52" i="1"/>
  <c r="AK52" i="1"/>
  <c r="AH52" i="1"/>
  <c r="AE52" i="1"/>
  <c r="AB52" i="1"/>
  <c r="X52" i="1"/>
  <c r="U52" i="1" s="1"/>
  <c r="W52" i="1"/>
  <c r="CJ51" i="1"/>
  <c r="CG51" i="1"/>
  <c r="CD51" i="1"/>
  <c r="CA51" i="1"/>
  <c r="BX51" i="1"/>
  <c r="BU51" i="1"/>
  <c r="BR51" i="1"/>
  <c r="BO51" i="1"/>
  <c r="BL51" i="1"/>
  <c r="BI51" i="1"/>
  <c r="BF51" i="1"/>
  <c r="BC51" i="1"/>
  <c r="AZ51" i="1"/>
  <c r="AW51" i="1"/>
  <c r="AT51" i="1"/>
  <c r="AP51" i="1"/>
  <c r="AO51" i="1"/>
  <c r="AN51" i="1"/>
  <c r="AK51" i="1"/>
  <c r="AH51" i="1"/>
  <c r="AE51" i="1"/>
  <c r="AB51" i="1"/>
  <c r="X51" i="1"/>
  <c r="U51" i="1" s="1"/>
  <c r="W51" i="1"/>
  <c r="CI50" i="1"/>
  <c r="CH50" i="1"/>
  <c r="CF50" i="1"/>
  <c r="CE50" i="1"/>
  <c r="CC50" i="1"/>
  <c r="CB50" i="1"/>
  <c r="BZ50" i="1"/>
  <c r="BY50" i="1"/>
  <c r="BW50" i="1"/>
  <c r="BV50" i="1"/>
  <c r="BT50" i="1"/>
  <c r="BS50" i="1"/>
  <c r="BQ50" i="1"/>
  <c r="BP50" i="1"/>
  <c r="BN50" i="1"/>
  <c r="BM50" i="1"/>
  <c r="BK50" i="1"/>
  <c r="BJ50" i="1"/>
  <c r="BH50" i="1"/>
  <c r="BG50" i="1"/>
  <c r="BE50" i="1"/>
  <c r="BD50" i="1"/>
  <c r="BB50" i="1"/>
  <c r="BA50" i="1"/>
  <c r="AY50" i="1"/>
  <c r="AX50" i="1"/>
  <c r="AV50" i="1"/>
  <c r="AU50" i="1"/>
  <c r="AS50" i="1"/>
  <c r="AR50" i="1"/>
  <c r="AM50" i="1"/>
  <c r="AL50" i="1"/>
  <c r="AJ50" i="1"/>
  <c r="AI50" i="1"/>
  <c r="AG50" i="1"/>
  <c r="AF50" i="1"/>
  <c r="AD50" i="1"/>
  <c r="AC50" i="1"/>
  <c r="AA50" i="1"/>
  <c r="Z50" i="1"/>
  <c r="CJ49" i="1"/>
  <c r="CG49" i="1"/>
  <c r="CD49" i="1"/>
  <c r="CA49" i="1"/>
  <c r="BX49" i="1"/>
  <c r="BU49" i="1"/>
  <c r="BR49" i="1"/>
  <c r="BO49" i="1"/>
  <c r="BL49" i="1"/>
  <c r="BI49" i="1"/>
  <c r="BF49" i="1"/>
  <c r="BC49" i="1"/>
  <c r="AZ49" i="1"/>
  <c r="AW49" i="1"/>
  <c r="AT49" i="1"/>
  <c r="AP49" i="1"/>
  <c r="AO49" i="1"/>
  <c r="AN49" i="1"/>
  <c r="AK49" i="1"/>
  <c r="AH49" i="1"/>
  <c r="AE49" i="1"/>
  <c r="AB49" i="1"/>
  <c r="X49" i="1"/>
  <c r="U49" i="1" s="1"/>
  <c r="W49" i="1"/>
  <c r="T49" i="1" s="1"/>
  <c r="Q49" i="1" s="1"/>
  <c r="N49" i="1" s="1"/>
  <c r="CJ48" i="1"/>
  <c r="CG48" i="1"/>
  <c r="CD48" i="1"/>
  <c r="CA48" i="1"/>
  <c r="BX48" i="1"/>
  <c r="BU48" i="1"/>
  <c r="BR48" i="1"/>
  <c r="BO48" i="1"/>
  <c r="BL48" i="1"/>
  <c r="BI48" i="1"/>
  <c r="BF48" i="1"/>
  <c r="BC48" i="1"/>
  <c r="AZ48" i="1"/>
  <c r="AW48" i="1"/>
  <c r="AT48" i="1"/>
  <c r="AP48" i="1"/>
  <c r="AO48" i="1"/>
  <c r="AN48" i="1"/>
  <c r="AK48" i="1"/>
  <c r="AH48" i="1"/>
  <c r="AE48" i="1"/>
  <c r="AB48" i="1"/>
  <c r="X48" i="1"/>
  <c r="W48" i="1"/>
  <c r="T48" i="1" s="1"/>
  <c r="Q48" i="1" s="1"/>
  <c r="N48" i="1" s="1"/>
  <c r="CJ47" i="1"/>
  <c r="CG47" i="1"/>
  <c r="CD47" i="1"/>
  <c r="CA47" i="1"/>
  <c r="BX47" i="1"/>
  <c r="BU47" i="1"/>
  <c r="BR47" i="1"/>
  <c r="BO47" i="1"/>
  <c r="BL47" i="1"/>
  <c r="BI47" i="1"/>
  <c r="BF47" i="1"/>
  <c r="BC47" i="1"/>
  <c r="AZ47" i="1"/>
  <c r="AW47" i="1"/>
  <c r="AT47" i="1"/>
  <c r="AP47" i="1"/>
  <c r="AO47" i="1"/>
  <c r="AN47" i="1"/>
  <c r="AK47" i="1"/>
  <c r="AH47" i="1"/>
  <c r="AE47" i="1"/>
  <c r="AB47" i="1"/>
  <c r="X47" i="1"/>
  <c r="U47" i="1" s="1"/>
  <c r="W47" i="1"/>
  <c r="T47" i="1" s="1"/>
  <c r="CJ46" i="1"/>
  <c r="CG46" i="1"/>
  <c r="CD46" i="1"/>
  <c r="CA46" i="1"/>
  <c r="BX46" i="1"/>
  <c r="BU46" i="1"/>
  <c r="BR46" i="1"/>
  <c r="BO46" i="1"/>
  <c r="BL46" i="1"/>
  <c r="BI46" i="1"/>
  <c r="BF46" i="1"/>
  <c r="BC46" i="1"/>
  <c r="AZ46" i="1"/>
  <c r="AW46" i="1"/>
  <c r="AT46" i="1"/>
  <c r="AP46" i="1"/>
  <c r="AO46" i="1"/>
  <c r="AN46" i="1"/>
  <c r="AK46" i="1"/>
  <c r="AH46" i="1"/>
  <c r="AE46" i="1"/>
  <c r="AB46" i="1"/>
  <c r="X46" i="1"/>
  <c r="U46" i="1" s="1"/>
  <c r="W46" i="1"/>
  <c r="T46" i="1" s="1"/>
  <c r="CJ45" i="1"/>
  <c r="CG45" i="1"/>
  <c r="CD45" i="1"/>
  <c r="CA45" i="1"/>
  <c r="BX45" i="1"/>
  <c r="BU45" i="1"/>
  <c r="BR45" i="1"/>
  <c r="BO45" i="1"/>
  <c r="BL45" i="1"/>
  <c r="BI45" i="1"/>
  <c r="BF45" i="1"/>
  <c r="BC45" i="1"/>
  <c r="AZ45" i="1"/>
  <c r="AW45" i="1"/>
  <c r="AT45" i="1"/>
  <c r="AP45" i="1"/>
  <c r="AO45" i="1"/>
  <c r="AN45" i="1"/>
  <c r="AK45" i="1"/>
  <c r="AH45" i="1"/>
  <c r="AE45" i="1"/>
  <c r="AB45" i="1"/>
  <c r="X45" i="1"/>
  <c r="W45" i="1"/>
  <c r="CI44" i="1"/>
  <c r="CH44" i="1"/>
  <c r="CF44" i="1"/>
  <c r="CE44" i="1"/>
  <c r="CC44" i="1"/>
  <c r="CB44" i="1"/>
  <c r="BZ44" i="1"/>
  <c r="BY44" i="1"/>
  <c r="BW44" i="1"/>
  <c r="BV44" i="1"/>
  <c r="BT44" i="1"/>
  <c r="BS44" i="1"/>
  <c r="BQ44" i="1"/>
  <c r="BP44" i="1"/>
  <c r="BN44" i="1"/>
  <c r="BM44" i="1"/>
  <c r="BK44" i="1"/>
  <c r="BJ44" i="1"/>
  <c r="BH44" i="1"/>
  <c r="BG44" i="1"/>
  <c r="BE44" i="1"/>
  <c r="BD44" i="1"/>
  <c r="BB44" i="1"/>
  <c r="BA44" i="1"/>
  <c r="AY44" i="1"/>
  <c r="AX44" i="1"/>
  <c r="AV44" i="1"/>
  <c r="AU44" i="1"/>
  <c r="AS44" i="1"/>
  <c r="AR44" i="1"/>
  <c r="AM44" i="1"/>
  <c r="AL44" i="1"/>
  <c r="AJ44" i="1"/>
  <c r="AI44" i="1"/>
  <c r="AG44" i="1"/>
  <c r="AF44" i="1"/>
  <c r="AD44" i="1"/>
  <c r="AC44" i="1"/>
  <c r="AA44" i="1"/>
  <c r="Z44" i="1"/>
  <c r="CJ43" i="1"/>
  <c r="CG43" i="1"/>
  <c r="CD43" i="1"/>
  <c r="CA43" i="1"/>
  <c r="BX43" i="1"/>
  <c r="BU43" i="1"/>
  <c r="BR43" i="1"/>
  <c r="BO43" i="1"/>
  <c r="BL43" i="1"/>
  <c r="BI43" i="1"/>
  <c r="BF43" i="1"/>
  <c r="BC43" i="1"/>
  <c r="AZ43" i="1"/>
  <c r="AW43" i="1"/>
  <c r="AT43" i="1"/>
  <c r="AP43" i="1"/>
  <c r="AQ43" i="1" s="1"/>
  <c r="AO43" i="1"/>
  <c r="AN43" i="1"/>
  <c r="AK43" i="1"/>
  <c r="AH43" i="1"/>
  <c r="AE43" i="1"/>
  <c r="AB43" i="1"/>
  <c r="X43" i="1"/>
  <c r="U43" i="1" s="1"/>
  <c r="W43" i="1"/>
  <c r="T43" i="1" s="1"/>
  <c r="Q43" i="1" s="1"/>
  <c r="N43" i="1" s="1"/>
  <c r="CJ42" i="1"/>
  <c r="CG42" i="1"/>
  <c r="CD42" i="1"/>
  <c r="CA42" i="1"/>
  <c r="BX42" i="1"/>
  <c r="BU42" i="1"/>
  <c r="BR42" i="1"/>
  <c r="BO42" i="1"/>
  <c r="BL42" i="1"/>
  <c r="BI42" i="1"/>
  <c r="BF42" i="1"/>
  <c r="BC42" i="1"/>
  <c r="AZ42" i="1"/>
  <c r="AW42" i="1"/>
  <c r="AT42" i="1"/>
  <c r="AP42" i="1"/>
  <c r="AO42" i="1"/>
  <c r="AN42" i="1"/>
  <c r="AK42" i="1"/>
  <c r="AH42" i="1"/>
  <c r="AE42" i="1"/>
  <c r="AB42" i="1"/>
  <c r="X42" i="1"/>
  <c r="W42" i="1"/>
  <c r="W41" i="1" s="1"/>
  <c r="CI41" i="1"/>
  <c r="CH41" i="1"/>
  <c r="CF41" i="1"/>
  <c r="CE41" i="1"/>
  <c r="CC41" i="1"/>
  <c r="CB41" i="1"/>
  <c r="BZ41" i="1"/>
  <c r="BY41" i="1"/>
  <c r="BW41" i="1"/>
  <c r="BV41" i="1"/>
  <c r="BT41" i="1"/>
  <c r="BS41" i="1"/>
  <c r="BQ41" i="1"/>
  <c r="BP41" i="1"/>
  <c r="BN41" i="1"/>
  <c r="BM41" i="1"/>
  <c r="BK41" i="1"/>
  <c r="BJ41" i="1"/>
  <c r="BH41" i="1"/>
  <c r="BG41" i="1"/>
  <c r="BE41" i="1"/>
  <c r="BD41" i="1"/>
  <c r="BB41" i="1"/>
  <c r="BA41" i="1"/>
  <c r="AY41" i="1"/>
  <c r="AX41" i="1"/>
  <c r="AV41" i="1"/>
  <c r="AU41" i="1"/>
  <c r="AS41" i="1"/>
  <c r="AR41" i="1"/>
  <c r="AM41" i="1"/>
  <c r="AL41" i="1"/>
  <c r="AJ41" i="1"/>
  <c r="AI41" i="1"/>
  <c r="AG41" i="1"/>
  <c r="AF41" i="1"/>
  <c r="AD41" i="1"/>
  <c r="AC41" i="1"/>
  <c r="AA41" i="1"/>
  <c r="Z41" i="1"/>
  <c r="CJ40" i="1"/>
  <c r="CG40" i="1"/>
  <c r="CD40" i="1"/>
  <c r="CA40" i="1"/>
  <c r="BX40" i="1"/>
  <c r="BU40" i="1"/>
  <c r="BR40" i="1"/>
  <c r="BO40" i="1"/>
  <c r="BL40" i="1"/>
  <c r="BI40" i="1"/>
  <c r="BF40" i="1"/>
  <c r="BC40" i="1"/>
  <c r="AZ40" i="1"/>
  <c r="AW40" i="1"/>
  <c r="AT40" i="1"/>
  <c r="AP40" i="1"/>
  <c r="AO40" i="1"/>
  <c r="AN40" i="1"/>
  <c r="AK40" i="1"/>
  <c r="AH40" i="1"/>
  <c r="AE40" i="1"/>
  <c r="AB40" i="1"/>
  <c r="X40" i="1"/>
  <c r="W40" i="1"/>
  <c r="T40" i="1" s="1"/>
  <c r="CJ39" i="1"/>
  <c r="CG39" i="1"/>
  <c r="CD39" i="1"/>
  <c r="CA39" i="1"/>
  <c r="BX39" i="1"/>
  <c r="BU39" i="1"/>
  <c r="BR39" i="1"/>
  <c r="BO39" i="1"/>
  <c r="BL39" i="1"/>
  <c r="BI39" i="1"/>
  <c r="BF39" i="1"/>
  <c r="BC39" i="1"/>
  <c r="AZ39" i="1"/>
  <c r="AW39" i="1"/>
  <c r="AT39" i="1"/>
  <c r="AP39" i="1"/>
  <c r="AP38" i="1" s="1"/>
  <c r="AO39" i="1"/>
  <c r="AN39" i="1"/>
  <c r="AK39" i="1"/>
  <c r="AH39" i="1"/>
  <c r="AE39" i="1"/>
  <c r="AB39" i="1"/>
  <c r="X39" i="1"/>
  <c r="W39" i="1"/>
  <c r="W38" i="1" s="1"/>
  <c r="CI38" i="1"/>
  <c r="CH38" i="1"/>
  <c r="CF38" i="1"/>
  <c r="CE38" i="1"/>
  <c r="CC38" i="1"/>
  <c r="CB38" i="1"/>
  <c r="BZ38" i="1"/>
  <c r="BY38" i="1"/>
  <c r="BW38" i="1"/>
  <c r="BV38" i="1"/>
  <c r="BT38" i="1"/>
  <c r="BS38" i="1"/>
  <c r="BQ38" i="1"/>
  <c r="BP38" i="1"/>
  <c r="BN38" i="1"/>
  <c r="BM38" i="1"/>
  <c r="BK38" i="1"/>
  <c r="BJ38" i="1"/>
  <c r="BH38" i="1"/>
  <c r="BG38" i="1"/>
  <c r="BE38" i="1"/>
  <c r="BD38" i="1"/>
  <c r="BB38" i="1"/>
  <c r="BA38" i="1"/>
  <c r="AY38" i="1"/>
  <c r="AX38" i="1"/>
  <c r="AV38" i="1"/>
  <c r="AU38" i="1"/>
  <c r="AS38" i="1"/>
  <c r="AR38" i="1"/>
  <c r="AM38" i="1"/>
  <c r="AL38" i="1"/>
  <c r="AJ38" i="1"/>
  <c r="AI38" i="1"/>
  <c r="AG38" i="1"/>
  <c r="AF38" i="1"/>
  <c r="AD38" i="1"/>
  <c r="AC38" i="1"/>
  <c r="AA38" i="1"/>
  <c r="Z38" i="1"/>
  <c r="CJ37" i="1"/>
  <c r="CG37" i="1"/>
  <c r="CD37" i="1"/>
  <c r="CA37" i="1"/>
  <c r="BX37" i="1"/>
  <c r="BU37" i="1"/>
  <c r="BR37" i="1"/>
  <c r="BO37" i="1"/>
  <c r="BL37" i="1"/>
  <c r="BI37" i="1"/>
  <c r="BF37" i="1"/>
  <c r="BC37" i="1"/>
  <c r="AZ37" i="1"/>
  <c r="AW37" i="1"/>
  <c r="AT37" i="1"/>
  <c r="AP37" i="1"/>
  <c r="AO37" i="1"/>
  <c r="AN37" i="1"/>
  <c r="AK37" i="1"/>
  <c r="AH37" i="1"/>
  <c r="AE37" i="1"/>
  <c r="AB37" i="1"/>
  <c r="X37" i="1"/>
  <c r="U37" i="1" s="1"/>
  <c r="W37" i="1"/>
  <c r="T37" i="1" s="1"/>
  <c r="CJ36" i="1"/>
  <c r="CG36" i="1"/>
  <c r="CD36" i="1"/>
  <c r="CA36" i="1"/>
  <c r="BX36" i="1"/>
  <c r="BU36" i="1"/>
  <c r="BR36" i="1"/>
  <c r="BO36" i="1"/>
  <c r="BL36" i="1"/>
  <c r="BI36" i="1"/>
  <c r="BF36" i="1"/>
  <c r="BC36" i="1"/>
  <c r="AZ36" i="1"/>
  <c r="AW36" i="1"/>
  <c r="AT36" i="1"/>
  <c r="AP36" i="1"/>
  <c r="AO36" i="1"/>
  <c r="AN36" i="1"/>
  <c r="AK36" i="1"/>
  <c r="AH36" i="1"/>
  <c r="AE36" i="1"/>
  <c r="AB36" i="1"/>
  <c r="X36" i="1"/>
  <c r="U36" i="1" s="1"/>
  <c r="W36" i="1"/>
  <c r="T36" i="1" s="1"/>
  <c r="CJ35" i="1"/>
  <c r="CG35" i="1"/>
  <c r="CD35" i="1"/>
  <c r="CA35" i="1"/>
  <c r="BX35" i="1"/>
  <c r="BU35" i="1"/>
  <c r="BR35" i="1"/>
  <c r="BO35" i="1"/>
  <c r="BL35" i="1"/>
  <c r="BI35" i="1"/>
  <c r="BF35" i="1"/>
  <c r="BC35" i="1"/>
  <c r="AZ35" i="1"/>
  <c r="AW35" i="1"/>
  <c r="AT35" i="1"/>
  <c r="AP35" i="1"/>
  <c r="AO35" i="1"/>
  <c r="AN35" i="1"/>
  <c r="AK35" i="1"/>
  <c r="AH35" i="1"/>
  <c r="AE35" i="1"/>
  <c r="AB35" i="1"/>
  <c r="X35" i="1"/>
  <c r="W35" i="1"/>
  <c r="T35" i="1" s="1"/>
  <c r="CJ34" i="1"/>
  <c r="CG34" i="1"/>
  <c r="CD34" i="1"/>
  <c r="CA34" i="1"/>
  <c r="BX34" i="1"/>
  <c r="BU34" i="1"/>
  <c r="BR34" i="1"/>
  <c r="BO34" i="1"/>
  <c r="BL34" i="1"/>
  <c r="BI34" i="1"/>
  <c r="BF34" i="1"/>
  <c r="BC34" i="1"/>
  <c r="AZ34" i="1"/>
  <c r="AW34" i="1"/>
  <c r="AT34" i="1"/>
  <c r="AP34" i="1"/>
  <c r="AO34" i="1"/>
  <c r="AN34" i="1"/>
  <c r="AK34" i="1"/>
  <c r="AH34" i="1"/>
  <c r="AE34" i="1"/>
  <c r="AB34" i="1"/>
  <c r="X34" i="1"/>
  <c r="U34" i="1" s="1"/>
  <c r="W34" i="1"/>
  <c r="T34" i="1" s="1"/>
  <c r="CJ33" i="1"/>
  <c r="CG33" i="1"/>
  <c r="CD33" i="1"/>
  <c r="CA33" i="1"/>
  <c r="BX33" i="1"/>
  <c r="BU33" i="1"/>
  <c r="BR33" i="1"/>
  <c r="BO33" i="1"/>
  <c r="BL33" i="1"/>
  <c r="BI33" i="1"/>
  <c r="BF33" i="1"/>
  <c r="BC33" i="1"/>
  <c r="AZ33" i="1"/>
  <c r="AW33" i="1"/>
  <c r="AT33" i="1"/>
  <c r="AP33" i="1"/>
  <c r="AO33" i="1"/>
  <c r="AM33" i="1"/>
  <c r="AK33" i="1"/>
  <c r="AH33" i="1"/>
  <c r="AE33" i="1"/>
  <c r="AB33" i="1"/>
  <c r="X33" i="1"/>
  <c r="W33" i="1"/>
  <c r="T33" i="1" s="1"/>
  <c r="CI32" i="1"/>
  <c r="CH32" i="1"/>
  <c r="CF32" i="1"/>
  <c r="CE32" i="1"/>
  <c r="CC32" i="1"/>
  <c r="CB32" i="1"/>
  <c r="BZ32" i="1"/>
  <c r="BY32" i="1"/>
  <c r="BW32" i="1"/>
  <c r="BV32" i="1"/>
  <c r="BT32" i="1"/>
  <c r="BS32" i="1"/>
  <c r="BQ32" i="1"/>
  <c r="BP32" i="1"/>
  <c r="BN32" i="1"/>
  <c r="BM32" i="1"/>
  <c r="BK32" i="1"/>
  <c r="BJ32" i="1"/>
  <c r="BH32" i="1"/>
  <c r="BG32" i="1"/>
  <c r="BE32" i="1"/>
  <c r="BD32" i="1"/>
  <c r="BB32" i="1"/>
  <c r="BA32" i="1"/>
  <c r="AY32" i="1"/>
  <c r="AX32" i="1"/>
  <c r="AV32" i="1"/>
  <c r="AU32" i="1"/>
  <c r="AS32" i="1"/>
  <c r="AR32" i="1"/>
  <c r="AL32" i="1"/>
  <c r="AJ32" i="1"/>
  <c r="AI32" i="1"/>
  <c r="AG32" i="1"/>
  <c r="AF32" i="1"/>
  <c r="AD32" i="1"/>
  <c r="AC32" i="1"/>
  <c r="AA32" i="1"/>
  <c r="Z32" i="1"/>
  <c r="CJ31" i="1"/>
  <c r="CG31" i="1"/>
  <c r="CD31" i="1"/>
  <c r="CA31" i="1"/>
  <c r="BX31" i="1"/>
  <c r="BU31" i="1"/>
  <c r="BR31" i="1"/>
  <c r="BO31" i="1"/>
  <c r="BL31" i="1"/>
  <c r="BI31" i="1"/>
  <c r="BF31" i="1"/>
  <c r="BC31" i="1"/>
  <c r="AZ31" i="1"/>
  <c r="AW31" i="1"/>
  <c r="AT31" i="1"/>
  <c r="AP31" i="1"/>
  <c r="AO31" i="1"/>
  <c r="AN31" i="1"/>
  <c r="AK31" i="1"/>
  <c r="AH31" i="1"/>
  <c r="AE31" i="1"/>
  <c r="AB31" i="1"/>
  <c r="X31" i="1"/>
  <c r="U31" i="1" s="1"/>
  <c r="W31" i="1"/>
  <c r="T31" i="1" s="1"/>
  <c r="CJ30" i="1"/>
  <c r="CG30" i="1"/>
  <c r="CD30" i="1"/>
  <c r="CA30" i="1"/>
  <c r="BX30" i="1"/>
  <c r="BU30" i="1"/>
  <c r="BR30" i="1"/>
  <c r="BO30" i="1"/>
  <c r="BL30" i="1"/>
  <c r="BI30" i="1"/>
  <c r="BF30" i="1"/>
  <c r="BC30" i="1"/>
  <c r="AZ30" i="1"/>
  <c r="AW30" i="1"/>
  <c r="AT30" i="1"/>
  <c r="AP30" i="1"/>
  <c r="AO30" i="1"/>
  <c r="AN30" i="1"/>
  <c r="AK30" i="1"/>
  <c r="AH30" i="1"/>
  <c r="AE30" i="1"/>
  <c r="AB30" i="1"/>
  <c r="X30" i="1"/>
  <c r="W30" i="1"/>
  <c r="T30" i="1" s="1"/>
  <c r="CJ29" i="1"/>
  <c r="CG29" i="1"/>
  <c r="CD29" i="1"/>
  <c r="CA29" i="1"/>
  <c r="BX29" i="1"/>
  <c r="BU29" i="1"/>
  <c r="BR29" i="1"/>
  <c r="BO29" i="1"/>
  <c r="BL29" i="1"/>
  <c r="BI29" i="1"/>
  <c r="BF29" i="1"/>
  <c r="BC29" i="1"/>
  <c r="AZ29" i="1"/>
  <c r="AW29" i="1"/>
  <c r="AT29" i="1"/>
  <c r="AP29" i="1"/>
  <c r="AO29" i="1"/>
  <c r="AN29" i="1"/>
  <c r="AK29" i="1"/>
  <c r="AH29" i="1"/>
  <c r="AE29" i="1"/>
  <c r="AB29" i="1"/>
  <c r="X29" i="1"/>
  <c r="U29" i="1" s="1"/>
  <c r="W29" i="1"/>
  <c r="T29" i="1" s="1"/>
  <c r="CJ28" i="1"/>
  <c r="CG28" i="1"/>
  <c r="CD28" i="1"/>
  <c r="CA28" i="1"/>
  <c r="BX28" i="1"/>
  <c r="BU28" i="1"/>
  <c r="BR28" i="1"/>
  <c r="BO28" i="1"/>
  <c r="BL28" i="1"/>
  <c r="BI28" i="1"/>
  <c r="BF28" i="1"/>
  <c r="BC28" i="1"/>
  <c r="AZ28" i="1"/>
  <c r="AW28" i="1"/>
  <c r="AT28" i="1"/>
  <c r="AP28" i="1"/>
  <c r="AO28" i="1"/>
  <c r="AN28" i="1"/>
  <c r="AK28" i="1"/>
  <c r="AH28" i="1"/>
  <c r="AE28" i="1"/>
  <c r="AB28" i="1"/>
  <c r="X28" i="1"/>
  <c r="U28" i="1" s="1"/>
  <c r="W28" i="1"/>
  <c r="T28" i="1" s="1"/>
  <c r="CJ27" i="1"/>
  <c r="CG27" i="1"/>
  <c r="CD27" i="1"/>
  <c r="CA27" i="1"/>
  <c r="BX27" i="1"/>
  <c r="BU27" i="1"/>
  <c r="BR27" i="1"/>
  <c r="BO27" i="1"/>
  <c r="BL27" i="1"/>
  <c r="BI27" i="1"/>
  <c r="BF27" i="1"/>
  <c r="BC27" i="1"/>
  <c r="AZ27" i="1"/>
  <c r="AW27" i="1"/>
  <c r="AT27" i="1"/>
  <c r="AP27" i="1"/>
  <c r="AO27" i="1"/>
  <c r="AN27" i="1"/>
  <c r="AK27" i="1"/>
  <c r="AH27" i="1"/>
  <c r="AE27" i="1"/>
  <c r="AB27" i="1"/>
  <c r="X27" i="1"/>
  <c r="W27" i="1"/>
  <c r="T27" i="1" s="1"/>
  <c r="CI26" i="1"/>
  <c r="CH26" i="1"/>
  <c r="CF26" i="1"/>
  <c r="CE26" i="1"/>
  <c r="CC26" i="1"/>
  <c r="CB26" i="1"/>
  <c r="BZ26" i="1"/>
  <c r="BY26" i="1"/>
  <c r="BW26" i="1"/>
  <c r="BV26" i="1"/>
  <c r="BT26" i="1"/>
  <c r="BS26" i="1"/>
  <c r="BQ26" i="1"/>
  <c r="BP26" i="1"/>
  <c r="BN26" i="1"/>
  <c r="BM26" i="1"/>
  <c r="BK26" i="1"/>
  <c r="BJ26" i="1"/>
  <c r="BH26" i="1"/>
  <c r="BG26" i="1"/>
  <c r="BE26" i="1"/>
  <c r="BD26" i="1"/>
  <c r="BB26" i="1"/>
  <c r="BA26" i="1"/>
  <c r="AY26" i="1"/>
  <c r="AX26" i="1"/>
  <c r="AV26" i="1"/>
  <c r="AU26" i="1"/>
  <c r="AS26" i="1"/>
  <c r="AT26" i="1" s="1"/>
  <c r="AR26" i="1"/>
  <c r="AM26" i="1"/>
  <c r="AL26" i="1"/>
  <c r="AJ26" i="1"/>
  <c r="AI26" i="1"/>
  <c r="AG26" i="1"/>
  <c r="AF26" i="1"/>
  <c r="AD26" i="1"/>
  <c r="AC26" i="1"/>
  <c r="AA26" i="1"/>
  <c r="Z26" i="1"/>
  <c r="CJ25" i="1"/>
  <c r="CG25" i="1"/>
  <c r="CD25" i="1"/>
  <c r="CA25" i="1"/>
  <c r="BX25" i="1"/>
  <c r="BU25" i="1"/>
  <c r="BR25" i="1"/>
  <c r="BO25" i="1"/>
  <c r="BL25" i="1"/>
  <c r="BI25" i="1"/>
  <c r="BF25" i="1"/>
  <c r="BC25" i="1"/>
  <c r="AZ25" i="1"/>
  <c r="AW25" i="1"/>
  <c r="AT25" i="1"/>
  <c r="AP25" i="1"/>
  <c r="AO25" i="1"/>
  <c r="AN25" i="1"/>
  <c r="AK25" i="1"/>
  <c r="AH25" i="1"/>
  <c r="AE25" i="1"/>
  <c r="AB25" i="1"/>
  <c r="X25" i="1"/>
  <c r="U25" i="1" s="1"/>
  <c r="W25" i="1"/>
  <c r="T25" i="1" s="1"/>
  <c r="CJ24" i="1"/>
  <c r="CG24" i="1"/>
  <c r="CD24" i="1"/>
  <c r="CA24" i="1"/>
  <c r="BX24" i="1"/>
  <c r="BU24" i="1"/>
  <c r="BR24" i="1"/>
  <c r="BO24" i="1"/>
  <c r="BL24" i="1"/>
  <c r="BI24" i="1"/>
  <c r="BF24" i="1"/>
  <c r="BC24" i="1"/>
  <c r="AZ24" i="1"/>
  <c r="AW24" i="1"/>
  <c r="AT24" i="1"/>
  <c r="AP24" i="1"/>
  <c r="AO24" i="1"/>
  <c r="AN24" i="1"/>
  <c r="AK24" i="1"/>
  <c r="AH24" i="1"/>
  <c r="AE24" i="1"/>
  <c r="AB24" i="1"/>
  <c r="X24" i="1"/>
  <c r="U24" i="1" s="1"/>
  <c r="W24" i="1"/>
  <c r="T24" i="1" s="1"/>
  <c r="CJ23" i="1"/>
  <c r="CG23" i="1"/>
  <c r="CD23" i="1"/>
  <c r="CA23" i="1"/>
  <c r="BX23" i="1"/>
  <c r="BU23" i="1"/>
  <c r="BR23" i="1"/>
  <c r="BO23" i="1"/>
  <c r="BL23" i="1"/>
  <c r="BI23" i="1"/>
  <c r="BF23" i="1"/>
  <c r="BC23" i="1"/>
  <c r="AZ23" i="1"/>
  <c r="AW23" i="1"/>
  <c r="AT23" i="1"/>
  <c r="AP23" i="1"/>
  <c r="AO23" i="1"/>
  <c r="AN23" i="1"/>
  <c r="AK23" i="1"/>
  <c r="AH23" i="1"/>
  <c r="AE23" i="1"/>
  <c r="AB23" i="1"/>
  <c r="X23" i="1"/>
  <c r="U23" i="1" s="1"/>
  <c r="W23" i="1"/>
  <c r="T23" i="1" s="1"/>
  <c r="CJ22" i="1"/>
  <c r="CG22" i="1"/>
  <c r="CD22" i="1"/>
  <c r="CA22" i="1"/>
  <c r="BX22" i="1"/>
  <c r="BU22" i="1"/>
  <c r="BR22" i="1"/>
  <c r="BO22" i="1"/>
  <c r="BL22" i="1"/>
  <c r="BI22" i="1"/>
  <c r="BF22" i="1"/>
  <c r="BC22" i="1"/>
  <c r="AZ22" i="1"/>
  <c r="AW22" i="1"/>
  <c r="AT22" i="1"/>
  <c r="AP22" i="1"/>
  <c r="AO22" i="1"/>
  <c r="AN22" i="1"/>
  <c r="AK22" i="1"/>
  <c r="AH22" i="1"/>
  <c r="AE22" i="1"/>
  <c r="AB22" i="1"/>
  <c r="X22" i="1"/>
  <c r="U22" i="1" s="1"/>
  <c r="W22" i="1"/>
  <c r="T22" i="1" s="1"/>
  <c r="CJ21" i="1"/>
  <c r="CG21" i="1"/>
  <c r="CD21" i="1"/>
  <c r="CA21" i="1"/>
  <c r="BX21" i="1"/>
  <c r="BU21" i="1"/>
  <c r="BR21" i="1"/>
  <c r="BO21" i="1"/>
  <c r="BL21" i="1"/>
  <c r="BI21" i="1"/>
  <c r="BF21" i="1"/>
  <c r="BC21" i="1"/>
  <c r="AZ21" i="1"/>
  <c r="AW21" i="1"/>
  <c r="AT21" i="1"/>
  <c r="AP21" i="1"/>
  <c r="AO21" i="1"/>
  <c r="AN21" i="1"/>
  <c r="AK21" i="1"/>
  <c r="AH21" i="1"/>
  <c r="AE21" i="1"/>
  <c r="AB21" i="1"/>
  <c r="X21" i="1"/>
  <c r="W21" i="1"/>
  <c r="CI20" i="1"/>
  <c r="CH20" i="1"/>
  <c r="CF20" i="1"/>
  <c r="CF19" i="1" s="1"/>
  <c r="CE20" i="1"/>
  <c r="CC20" i="1"/>
  <c r="CB20" i="1"/>
  <c r="BZ20" i="1"/>
  <c r="BY20" i="1"/>
  <c r="BW20" i="1"/>
  <c r="BV20" i="1"/>
  <c r="BT20" i="1"/>
  <c r="BT19" i="1" s="1"/>
  <c r="BS20" i="1"/>
  <c r="BQ20" i="1"/>
  <c r="BP20" i="1"/>
  <c r="BN20" i="1"/>
  <c r="BM20" i="1"/>
  <c r="BK20" i="1"/>
  <c r="BJ20" i="1"/>
  <c r="BH20" i="1"/>
  <c r="BG20" i="1"/>
  <c r="BE20" i="1"/>
  <c r="BE19" i="1" s="1"/>
  <c r="BD20" i="1"/>
  <c r="BB20" i="1"/>
  <c r="BA20" i="1"/>
  <c r="AY20" i="1"/>
  <c r="AX20" i="1"/>
  <c r="AV20" i="1"/>
  <c r="AU20" i="1"/>
  <c r="AS20" i="1"/>
  <c r="AR20" i="1"/>
  <c r="AM20" i="1"/>
  <c r="AL20" i="1"/>
  <c r="AJ20" i="1"/>
  <c r="AK20" i="1" s="1"/>
  <c r="AC20" i="1"/>
  <c r="Z20" i="1"/>
  <c r="BO133" i="1" l="1"/>
  <c r="BU96" i="1"/>
  <c r="AE38" i="1"/>
  <c r="CJ66" i="1"/>
  <c r="CD134" i="1"/>
  <c r="Q98" i="1"/>
  <c r="N98" i="1" s="1"/>
  <c r="Q67" i="1"/>
  <c r="Q69" i="1"/>
  <c r="N69" i="1" s="1"/>
  <c r="BU105" i="1"/>
  <c r="AE85" i="1"/>
  <c r="AN129" i="1"/>
  <c r="AX19" i="1"/>
  <c r="BX41" i="1"/>
  <c r="BL76" i="1"/>
  <c r="Q70" i="1"/>
  <c r="N70" i="1" s="1"/>
  <c r="CD96" i="1"/>
  <c r="CD26" i="1"/>
  <c r="Q29" i="1"/>
  <c r="N29" i="1" s="1"/>
  <c r="Q30" i="1"/>
  <c r="N30" i="1" s="1"/>
  <c r="Q31" i="1"/>
  <c r="N31" i="1" s="1"/>
  <c r="AB41" i="1"/>
  <c r="AT121" i="1"/>
  <c r="AN134" i="1"/>
  <c r="AR115" i="1"/>
  <c r="Q81" i="1"/>
  <c r="N81" i="1" s="1"/>
  <c r="AK83" i="1"/>
  <c r="AZ83" i="1"/>
  <c r="BL83" i="1"/>
  <c r="BX83" i="1"/>
  <c r="AK85" i="1"/>
  <c r="Q86" i="1"/>
  <c r="AQ87" i="1"/>
  <c r="Q90" i="1"/>
  <c r="N90" i="1" s="1"/>
  <c r="BU133" i="1"/>
  <c r="AE74" i="1"/>
  <c r="CJ133" i="1"/>
  <c r="BX105" i="1"/>
  <c r="CJ104" i="1"/>
  <c r="Y30" i="1"/>
  <c r="V31" i="1"/>
  <c r="BO44" i="1"/>
  <c r="AN54" i="1"/>
  <c r="BO54" i="1"/>
  <c r="BI79" i="1"/>
  <c r="CG79" i="1"/>
  <c r="Y119" i="1"/>
  <c r="BS125" i="1"/>
  <c r="BS124" i="1" s="1"/>
  <c r="AT20" i="1"/>
  <c r="AK93" i="1"/>
  <c r="BF102" i="1"/>
  <c r="BU26" i="1"/>
  <c r="AT112" i="1"/>
  <c r="AW117" i="1"/>
  <c r="CA88" i="1"/>
  <c r="BX32" i="1"/>
  <c r="Q37" i="1"/>
  <c r="N37" i="1" s="1"/>
  <c r="AQ37" i="1"/>
  <c r="Q40" i="1"/>
  <c r="N40" i="1" s="1"/>
  <c r="AQ40" i="1"/>
  <c r="CJ41" i="1"/>
  <c r="CJ50" i="1"/>
  <c r="AZ54" i="1"/>
  <c r="CJ54" i="1"/>
  <c r="BU112" i="1"/>
  <c r="AB134" i="1"/>
  <c r="AZ134" i="1"/>
  <c r="AE50" i="1"/>
  <c r="R92" i="1"/>
  <c r="O92" i="1" s="1"/>
  <c r="AB93" i="1"/>
  <c r="BI102" i="1"/>
  <c r="BT104" i="1"/>
  <c r="AE93" i="1"/>
  <c r="BB125" i="1"/>
  <c r="BB124" i="1" s="1"/>
  <c r="BB73" i="1"/>
  <c r="AF19" i="1"/>
  <c r="BL20" i="1"/>
  <c r="BL41" i="1"/>
  <c r="AW44" i="1"/>
  <c r="BU44" i="1"/>
  <c r="BU54" i="1"/>
  <c r="CG54" i="1"/>
  <c r="Q59" i="1"/>
  <c r="N59" i="1" s="1"/>
  <c r="Q60" i="1"/>
  <c r="N60" i="1" s="1"/>
  <c r="Q63" i="1"/>
  <c r="N63" i="1" s="1"/>
  <c r="AK76" i="1"/>
  <c r="CB115" i="1"/>
  <c r="CB109" i="1" s="1"/>
  <c r="CB108" i="1" s="1"/>
  <c r="X74" i="1"/>
  <c r="AJ73" i="1"/>
  <c r="AZ88" i="1"/>
  <c r="BX88" i="1"/>
  <c r="AR19" i="1"/>
  <c r="CA76" i="1"/>
  <c r="AQ92" i="1"/>
  <c r="AG115" i="1"/>
  <c r="CG117" i="1"/>
  <c r="BX130" i="1"/>
  <c r="AN133" i="1"/>
  <c r="BX134" i="1"/>
  <c r="BE18" i="1"/>
  <c r="BL74" i="1"/>
  <c r="BT115" i="1"/>
  <c r="CJ20" i="1"/>
  <c r="AZ32" i="1"/>
  <c r="AW38" i="1"/>
  <c r="BH19" i="1"/>
  <c r="CG38" i="1"/>
  <c r="AX57" i="1"/>
  <c r="AZ57" i="1" s="1"/>
  <c r="AZ79" i="1"/>
  <c r="AW88" i="1"/>
  <c r="BI88" i="1"/>
  <c r="BU88" i="1"/>
  <c r="CD93" i="1"/>
  <c r="AN96" i="1"/>
  <c r="AH100" i="1"/>
  <c r="CG100" i="1"/>
  <c r="AF99" i="1"/>
  <c r="Q122" i="1"/>
  <c r="Q123" i="1"/>
  <c r="N123" i="1" s="1"/>
  <c r="AO79" i="1"/>
  <c r="AQ98" i="1"/>
  <c r="CF116" i="1"/>
  <c r="CG116" i="1" s="1"/>
  <c r="CA121" i="1"/>
  <c r="AE41" i="1"/>
  <c r="AQ106" i="1"/>
  <c r="Q114" i="1"/>
  <c r="N114" i="1" s="1"/>
  <c r="AT102" i="1"/>
  <c r="AN20" i="1"/>
  <c r="AN26" i="1"/>
  <c r="AK32" i="1"/>
  <c r="Q33" i="1"/>
  <c r="N33" i="1" s="1"/>
  <c r="AK38" i="1"/>
  <c r="AK41" i="1"/>
  <c r="BX50" i="1"/>
  <c r="AQ63" i="1"/>
  <c r="BC66" i="1"/>
  <c r="BO66" i="1"/>
  <c r="AZ85" i="1"/>
  <c r="BL85" i="1"/>
  <c r="BX85" i="1"/>
  <c r="BT99" i="1"/>
  <c r="CF99" i="1"/>
  <c r="BY115" i="1"/>
  <c r="CA130" i="1"/>
  <c r="T131" i="1"/>
  <c r="Q131" i="1" s="1"/>
  <c r="N131" i="1" s="1"/>
  <c r="AY133" i="1"/>
  <c r="Q94" i="1"/>
  <c r="N94" i="1" s="1"/>
  <c r="AP105" i="1"/>
  <c r="AP104" i="1" s="1"/>
  <c r="BO112" i="1"/>
  <c r="AO41" i="1"/>
  <c r="BN57" i="1"/>
  <c r="BZ57" i="1"/>
  <c r="AQ69" i="1"/>
  <c r="U79" i="1"/>
  <c r="BM99" i="1"/>
  <c r="U101" i="1"/>
  <c r="CD38" i="1"/>
  <c r="AQ94" i="1"/>
  <c r="CG32" i="1"/>
  <c r="CG66" i="1"/>
  <c r="AN74" i="1"/>
  <c r="R113" i="1"/>
  <c r="O113" i="1" s="1"/>
  <c r="AB32" i="1"/>
  <c r="AN38" i="1"/>
  <c r="AB44" i="1"/>
  <c r="AN44" i="1"/>
  <c r="BC50" i="1"/>
  <c r="Y51" i="1"/>
  <c r="CF73" i="1"/>
  <c r="AB83" i="1"/>
  <c r="BO83" i="1"/>
  <c r="BB99" i="1"/>
  <c r="BZ99" i="1"/>
  <c r="R119" i="1"/>
  <c r="O119" i="1" s="1"/>
  <c r="AQ119" i="1"/>
  <c r="AF115" i="1"/>
  <c r="AF109" i="1" s="1"/>
  <c r="AF108" i="1" s="1"/>
  <c r="CJ134" i="1"/>
  <c r="AS120" i="1"/>
  <c r="AS115" i="1" s="1"/>
  <c r="BV115" i="1"/>
  <c r="BV109" i="1" s="1"/>
  <c r="BV108" i="1" s="1"/>
  <c r="AB129" i="1"/>
  <c r="AH26" i="1"/>
  <c r="AW26" i="1"/>
  <c r="CG26" i="1"/>
  <c r="X32" i="1"/>
  <c r="CA41" i="1"/>
  <c r="T42" i="1"/>
  <c r="Q42" i="1" s="1"/>
  <c r="N42" i="1" s="1"/>
  <c r="N41" i="1" s="1"/>
  <c r="Q53" i="1"/>
  <c r="N53" i="1" s="1"/>
  <c r="CA54" i="1"/>
  <c r="T55" i="1"/>
  <c r="T54" i="1" s="1"/>
  <c r="Y63" i="1"/>
  <c r="Q64" i="1"/>
  <c r="N64" i="1" s="1"/>
  <c r="AI73" i="1"/>
  <c r="AI72" i="1" s="1"/>
  <c r="AU73" i="1"/>
  <c r="BQ73" i="1"/>
  <c r="AB79" i="1"/>
  <c r="V83" i="1"/>
  <c r="CG85" i="1"/>
  <c r="X93" i="1"/>
  <c r="AZ96" i="1"/>
  <c r="BJ99" i="1"/>
  <c r="BV99" i="1"/>
  <c r="CH99" i="1"/>
  <c r="CD121" i="1"/>
  <c r="AT127" i="1"/>
  <c r="BR127" i="1"/>
  <c r="BC133" i="1"/>
  <c r="BR79" i="1"/>
  <c r="BZ120" i="1"/>
  <c r="CA120" i="1" s="1"/>
  <c r="BX129" i="1"/>
  <c r="Q24" i="1"/>
  <c r="N24" i="1" s="1"/>
  <c r="AQ24" i="1"/>
  <c r="Q25" i="1"/>
  <c r="N25" i="1" s="1"/>
  <c r="Q28" i="1"/>
  <c r="N28" i="1" s="1"/>
  <c r="AQ28" i="1"/>
  <c r="BU32" i="1"/>
  <c r="Y37" i="1"/>
  <c r="BL38" i="1"/>
  <c r="AH41" i="1"/>
  <c r="Y43" i="1"/>
  <c r="AZ44" i="1"/>
  <c r="BL44" i="1"/>
  <c r="BF54" i="1"/>
  <c r="CH57" i="1"/>
  <c r="CJ57" i="1" s="1"/>
  <c r="BJ57" i="1"/>
  <c r="BL57" i="1" s="1"/>
  <c r="AW76" i="1"/>
  <c r="AB85" i="1"/>
  <c r="AM85" i="1"/>
  <c r="AN85" i="1" s="1"/>
  <c r="CA85" i="1"/>
  <c r="AH93" i="1"/>
  <c r="BF112" i="1"/>
  <c r="CD120" i="1"/>
  <c r="BI127" i="1"/>
  <c r="BY129" i="1"/>
  <c r="BY125" i="1" s="1"/>
  <c r="BY124" i="1" s="1"/>
  <c r="AZ133" i="1"/>
  <c r="AQ23" i="1"/>
  <c r="AZ26" i="1"/>
  <c r="BI58" i="1"/>
  <c r="AB66" i="1"/>
  <c r="AK102" i="1"/>
  <c r="AN130" i="1"/>
  <c r="BN19" i="1"/>
  <c r="BN18" i="1" s="1"/>
  <c r="AQ29" i="1"/>
  <c r="BO38" i="1"/>
  <c r="CA38" i="1"/>
  <c r="T39" i="1"/>
  <c r="Q39" i="1" s="1"/>
  <c r="N39" i="1" s="1"/>
  <c r="AQ39" i="1"/>
  <c r="AW41" i="1"/>
  <c r="BI41" i="1"/>
  <c r="Q47" i="1"/>
  <c r="N47" i="1" s="1"/>
  <c r="AQ47" i="1"/>
  <c r="AZ50" i="1"/>
  <c r="BL50" i="1"/>
  <c r="AK58" i="1"/>
  <c r="BL58" i="1"/>
  <c r="BR66" i="1"/>
  <c r="CD66" i="1"/>
  <c r="AX73" i="1"/>
  <c r="AH79" i="1"/>
  <c r="U86" i="1"/>
  <c r="V86" i="1" s="1"/>
  <c r="Y97" i="1"/>
  <c r="AQ97" i="1"/>
  <c r="CH125" i="1"/>
  <c r="CH124" i="1" s="1"/>
  <c r="Y132" i="1"/>
  <c r="AA133" i="1"/>
  <c r="AB133" i="1" s="1"/>
  <c r="BU134" i="1"/>
  <c r="Q23" i="1"/>
  <c r="N23" i="1" s="1"/>
  <c r="AK26" i="1"/>
  <c r="Y42" i="1"/>
  <c r="AH50" i="1"/>
  <c r="AB130" i="1"/>
  <c r="AC19" i="1"/>
  <c r="AU19" i="1"/>
  <c r="AU18" i="1" s="1"/>
  <c r="BQ19" i="1"/>
  <c r="CC19" i="1"/>
  <c r="U30" i="1"/>
  <c r="R30" i="1" s="1"/>
  <c r="Z57" i="1"/>
  <c r="AB57" i="1" s="1"/>
  <c r="AL57" i="1"/>
  <c r="Y69" i="1"/>
  <c r="Z73" i="1"/>
  <c r="AN76" i="1"/>
  <c r="AT83" i="1"/>
  <c r="BR85" i="1"/>
  <c r="AH96" i="1"/>
  <c r="AE102" i="1"/>
  <c r="BN111" i="1"/>
  <c r="BN110" i="1" s="1"/>
  <c r="BU117" i="1"/>
  <c r="W121" i="1"/>
  <c r="W120" i="1" s="1"/>
  <c r="CJ121" i="1"/>
  <c r="AL125" i="1"/>
  <c r="AL124" i="1" s="1"/>
  <c r="BL129" i="1"/>
  <c r="BL134" i="1"/>
  <c r="AF125" i="1"/>
  <c r="AF124" i="1" s="1"/>
  <c r="CG58" i="1"/>
  <c r="AH76" i="1"/>
  <c r="CD76" i="1"/>
  <c r="Y106" i="1"/>
  <c r="BS19" i="1"/>
  <c r="BS18" i="1" s="1"/>
  <c r="CE19" i="1"/>
  <c r="CE18" i="1" s="1"/>
  <c r="AQ31" i="1"/>
  <c r="AN41" i="1"/>
  <c r="AZ41" i="1"/>
  <c r="Y48" i="1"/>
  <c r="AB50" i="1"/>
  <c r="T51" i="1"/>
  <c r="Q51" i="1" s="1"/>
  <c r="N51" i="1" s="1"/>
  <c r="AB58" i="1"/>
  <c r="Y71" i="1"/>
  <c r="AR73" i="1"/>
  <c r="AR72" i="1" s="1"/>
  <c r="BD73" i="1"/>
  <c r="BD72" i="1" s="1"/>
  <c r="BC76" i="1"/>
  <c r="BU85" i="1"/>
  <c r="R94" i="1"/>
  <c r="O94" i="1" s="1"/>
  <c r="AK96" i="1"/>
  <c r="AN104" i="1"/>
  <c r="X105" i="1"/>
  <c r="X104" i="1" s="1"/>
  <c r="AR111" i="1"/>
  <c r="AR110" i="1" s="1"/>
  <c r="BX116" i="1"/>
  <c r="AH117" i="1"/>
  <c r="BO121" i="1"/>
  <c r="BA125" i="1"/>
  <c r="BA124" i="1" s="1"/>
  <c r="T128" i="1"/>
  <c r="Q128" i="1" s="1"/>
  <c r="BO126" i="1"/>
  <c r="BN125" i="1"/>
  <c r="BN124" i="1" s="1"/>
  <c r="AO104" i="1"/>
  <c r="V98" i="1"/>
  <c r="R98" i="1"/>
  <c r="O98" i="1" s="1"/>
  <c r="P98" i="1" s="1"/>
  <c r="AD19" i="1"/>
  <c r="AD18" i="1" s="1"/>
  <c r="AP58" i="1"/>
  <c r="U95" i="1"/>
  <c r="U93" i="1" s="1"/>
  <c r="AJ99" i="1"/>
  <c r="AK99" i="1" s="1"/>
  <c r="AT116" i="1"/>
  <c r="CJ120" i="1"/>
  <c r="BQ125" i="1"/>
  <c r="U132" i="1"/>
  <c r="V132" i="1" s="1"/>
  <c r="BR20" i="1"/>
  <c r="CB19" i="1"/>
  <c r="Y24" i="1"/>
  <c r="BI26" i="1"/>
  <c r="BR32" i="1"/>
  <c r="CA32" i="1"/>
  <c r="BX38" i="1"/>
  <c r="CJ38" i="1"/>
  <c r="BC44" i="1"/>
  <c r="CA44" i="1"/>
  <c r="AN50" i="1"/>
  <c r="BO50" i="1"/>
  <c r="CA50" i="1"/>
  <c r="Q56" i="1"/>
  <c r="N56" i="1" s="1"/>
  <c r="AQ56" i="1"/>
  <c r="AI57" i="1"/>
  <c r="Y64" i="1"/>
  <c r="AK66" i="1"/>
  <c r="BL66" i="1"/>
  <c r="AQ71" i="1"/>
  <c r="AT74" i="1"/>
  <c r="BP73" i="1"/>
  <c r="AZ76" i="1"/>
  <c r="CJ76" i="1"/>
  <c r="Q82" i="1"/>
  <c r="N82" i="1" s="1"/>
  <c r="AQ82" i="1"/>
  <c r="CG83" i="1"/>
  <c r="AK88" i="1"/>
  <c r="CJ88" i="1"/>
  <c r="AW93" i="1"/>
  <c r="BU93" i="1"/>
  <c r="CG93" i="1"/>
  <c r="Y94" i="1"/>
  <c r="AP93" i="1"/>
  <c r="W96" i="1"/>
  <c r="Y96" i="1" s="1"/>
  <c r="BR96" i="1"/>
  <c r="AK100" i="1"/>
  <c r="BL100" i="1"/>
  <c r="AW102" i="1"/>
  <c r="CG102" i="1"/>
  <c r="BC117" i="1"/>
  <c r="AZ120" i="1"/>
  <c r="AB127" i="1"/>
  <c r="BL127" i="1"/>
  <c r="CJ127" i="1"/>
  <c r="BG19" i="1"/>
  <c r="BG18" i="1" s="1"/>
  <c r="Y29" i="1"/>
  <c r="AT50" i="1"/>
  <c r="BV57" i="1"/>
  <c r="BX57" i="1" s="1"/>
  <c r="AD73" i="1"/>
  <c r="BI96" i="1"/>
  <c r="W134" i="1"/>
  <c r="W133" i="1" s="1"/>
  <c r="W125" i="1" s="1"/>
  <c r="W124" i="1" s="1"/>
  <c r="BJ19" i="1"/>
  <c r="AB26" i="1"/>
  <c r="BX26" i="1"/>
  <c r="CJ26" i="1"/>
  <c r="AQ30" i="1"/>
  <c r="BI32" i="1"/>
  <c r="AT41" i="1"/>
  <c r="U42" i="1"/>
  <c r="U41" i="1" s="1"/>
  <c r="BF44" i="1"/>
  <c r="BR44" i="1"/>
  <c r="Y47" i="1"/>
  <c r="BI50" i="1"/>
  <c r="AK54" i="1"/>
  <c r="AN58" i="1"/>
  <c r="BB57" i="1"/>
  <c r="CJ58" i="1"/>
  <c r="AE66" i="1"/>
  <c r="AQ67" i="1"/>
  <c r="BU74" i="1"/>
  <c r="AT76" i="1"/>
  <c r="W79" i="1"/>
  <c r="AK79" i="1"/>
  <c r="CA83" i="1"/>
  <c r="Q84" i="1"/>
  <c r="N84" i="1" s="1"/>
  <c r="BI85" i="1"/>
  <c r="AT88" i="1"/>
  <c r="CD88" i="1"/>
  <c r="BC102" i="1"/>
  <c r="CJ102" i="1"/>
  <c r="AW104" i="1"/>
  <c r="AH115" i="1"/>
  <c r="BG125" i="1"/>
  <c r="BG124" i="1" s="1"/>
  <c r="Y128" i="1"/>
  <c r="AZ130" i="1"/>
  <c r="BL130" i="1"/>
  <c r="W26" i="1"/>
  <c r="BK19" i="1"/>
  <c r="AQ35" i="1"/>
  <c r="AW54" i="1"/>
  <c r="Y87" i="1"/>
  <c r="Y89" i="1"/>
  <c r="BX120" i="1"/>
  <c r="BX121" i="1"/>
  <c r="AI125" i="1"/>
  <c r="AI124" i="1" s="1"/>
  <c r="AL19" i="1"/>
  <c r="AY19" i="1"/>
  <c r="AY18" i="1" s="1"/>
  <c r="AO26" i="1"/>
  <c r="BL32" i="1"/>
  <c r="Y39" i="1"/>
  <c r="BI44" i="1"/>
  <c r="U48" i="1"/>
  <c r="R48" i="1" s="1"/>
  <c r="CG50" i="1"/>
  <c r="AJ57" i="1"/>
  <c r="BM57" i="1"/>
  <c r="BO57" i="1" s="1"/>
  <c r="BJ73" i="1"/>
  <c r="U103" i="1"/>
  <c r="R103" i="1" s="1"/>
  <c r="BT111" i="1"/>
  <c r="BT110" i="1" s="1"/>
  <c r="BT109" i="1" s="1"/>
  <c r="BT108" i="1" s="1"/>
  <c r="BM120" i="1"/>
  <c r="BM115" i="1" s="1"/>
  <c r="BM109" i="1" s="1"/>
  <c r="BM108" i="1" s="1"/>
  <c r="BH126" i="1"/>
  <c r="BI126" i="1" s="1"/>
  <c r="BO129" i="1"/>
  <c r="CA133" i="1"/>
  <c r="Q35" i="1"/>
  <c r="N35" i="1" s="1"/>
  <c r="BC41" i="1"/>
  <c r="BR50" i="1"/>
  <c r="Y60" i="1"/>
  <c r="CD105" i="1"/>
  <c r="AX125" i="1"/>
  <c r="AX124" i="1" s="1"/>
  <c r="BV125" i="1"/>
  <c r="BV124" i="1" s="1"/>
  <c r="BW19" i="1"/>
  <c r="AP26" i="1"/>
  <c r="AI19" i="1"/>
  <c r="AB54" i="1"/>
  <c r="BX54" i="1"/>
  <c r="BW73" i="1"/>
  <c r="BX79" i="1"/>
  <c r="BF83" i="1"/>
  <c r="AL73" i="1"/>
  <c r="AL72" i="1" s="1"/>
  <c r="AH88" i="1"/>
  <c r="BS73" i="1"/>
  <c r="BC96" i="1"/>
  <c r="Y98" i="1"/>
  <c r="AU99" i="1"/>
  <c r="AW99" i="1" s="1"/>
  <c r="BO102" i="1"/>
  <c r="CE125" i="1"/>
  <c r="CE124" i="1" s="1"/>
  <c r="BC129" i="1"/>
  <c r="AO130" i="1"/>
  <c r="AO129" i="1" s="1"/>
  <c r="AO125" i="1" s="1"/>
  <c r="AO124" i="1" s="1"/>
  <c r="CB133" i="1"/>
  <c r="CB125" i="1" s="1"/>
  <c r="CB124" i="1" s="1"/>
  <c r="BI20" i="1"/>
  <c r="CD32" i="1"/>
  <c r="AQ34" i="1"/>
  <c r="BF50" i="1"/>
  <c r="CD54" i="1"/>
  <c r="AO66" i="1"/>
  <c r="CJ83" i="1"/>
  <c r="AN88" i="1"/>
  <c r="AW96" i="1"/>
  <c r="V104" i="1"/>
  <c r="BY109" i="1"/>
  <c r="BY108" i="1" s="1"/>
  <c r="AT117" i="1"/>
  <c r="BY19" i="1"/>
  <c r="R24" i="1"/>
  <c r="BR26" i="1"/>
  <c r="X26" i="1"/>
  <c r="Y31" i="1"/>
  <c r="CJ32" i="1"/>
  <c r="AZ38" i="1"/>
  <c r="BV19" i="1"/>
  <c r="BC54" i="1"/>
  <c r="BH57" i="1"/>
  <c r="BI57" i="1" s="1"/>
  <c r="T75" i="1"/>
  <c r="Q75" i="1" s="1"/>
  <c r="BU76" i="1"/>
  <c r="AE79" i="1"/>
  <c r="BC79" i="1"/>
  <c r="BO79" i="1"/>
  <c r="AQ80" i="1"/>
  <c r="AW83" i="1"/>
  <c r="BI83" i="1"/>
  <c r="BC85" i="1"/>
  <c r="BO85" i="1"/>
  <c r="BR93" i="1"/>
  <c r="CA96" i="1"/>
  <c r="BP99" i="1"/>
  <c r="CB99" i="1"/>
  <c r="AQ114" i="1"/>
  <c r="Z115" i="1"/>
  <c r="Z109" i="1" s="1"/>
  <c r="Z108" i="1" s="1"/>
  <c r="CH115" i="1"/>
  <c r="AR126" i="1"/>
  <c r="AR125" i="1" s="1"/>
  <c r="AR124" i="1" s="1"/>
  <c r="BP125" i="1"/>
  <c r="BP124" i="1" s="1"/>
  <c r="Q132" i="1"/>
  <c r="N132" i="1" s="1"/>
  <c r="AE134" i="1"/>
  <c r="Q27" i="1"/>
  <c r="T26" i="1"/>
  <c r="AR18" i="1"/>
  <c r="AR17" i="1" s="1"/>
  <c r="AR16" i="1" s="1"/>
  <c r="V29" i="1"/>
  <c r="R29" i="1"/>
  <c r="S29" i="1" s="1"/>
  <c r="AP32" i="1"/>
  <c r="U53" i="1"/>
  <c r="U50" i="1" s="1"/>
  <c r="Y53" i="1"/>
  <c r="U59" i="1"/>
  <c r="R59" i="1" s="1"/>
  <c r="X58" i="1"/>
  <c r="AT100" i="1"/>
  <c r="AS99" i="1"/>
  <c r="AT99" i="1" s="1"/>
  <c r="BE99" i="1"/>
  <c r="BF99" i="1" s="1"/>
  <c r="BF100" i="1"/>
  <c r="CF104" i="1"/>
  <c r="CG105" i="1"/>
  <c r="BE110" i="1"/>
  <c r="BF110" i="1" s="1"/>
  <c r="BF111" i="1"/>
  <c r="AH112" i="1"/>
  <c r="AG111" i="1"/>
  <c r="BQ111" i="1"/>
  <c r="BR112" i="1"/>
  <c r="BA115" i="1"/>
  <c r="BA109" i="1" s="1"/>
  <c r="BA108" i="1" s="1"/>
  <c r="BZ116" i="1"/>
  <c r="CA117" i="1"/>
  <c r="AK121" i="1"/>
  <c r="AJ120" i="1"/>
  <c r="AK120" i="1" s="1"/>
  <c r="AN127" i="1"/>
  <c r="AM126" i="1"/>
  <c r="BW126" i="1"/>
  <c r="BX127" i="1"/>
  <c r="Q136" i="1"/>
  <c r="N136" i="1" s="1"/>
  <c r="T134" i="1"/>
  <c r="T133" i="1" s="1"/>
  <c r="BP19" i="1"/>
  <c r="BP18" i="1" s="1"/>
  <c r="CI19" i="1"/>
  <c r="CI18" i="1" s="1"/>
  <c r="AZ20" i="1"/>
  <c r="CG20" i="1"/>
  <c r="V24" i="1"/>
  <c r="BC26" i="1"/>
  <c r="BO26" i="1"/>
  <c r="Y27" i="1"/>
  <c r="AQ27" i="1"/>
  <c r="Y33" i="1"/>
  <c r="AQ33" i="1"/>
  <c r="T32" i="1"/>
  <c r="AB38" i="1"/>
  <c r="X44" i="1"/>
  <c r="AK44" i="1"/>
  <c r="AE54" i="1"/>
  <c r="BL54" i="1"/>
  <c r="AZ58" i="1"/>
  <c r="CF57" i="1"/>
  <c r="CG57" i="1" s="1"/>
  <c r="Y59" i="1"/>
  <c r="AQ59" i="1"/>
  <c r="U64" i="1"/>
  <c r="R64" i="1" s="1"/>
  <c r="AH66" i="1"/>
  <c r="AQ70" i="1"/>
  <c r="R95" i="1"/>
  <c r="O95" i="1" s="1"/>
  <c r="AQ95" i="1"/>
  <c r="AV111" i="1"/>
  <c r="AV110" i="1" s="1"/>
  <c r="AW112" i="1"/>
  <c r="AZ121" i="1"/>
  <c r="Y40" i="1"/>
  <c r="U40" i="1"/>
  <c r="R40" i="1" s="1"/>
  <c r="U114" i="1"/>
  <c r="X112" i="1"/>
  <c r="X111" i="1" s="1"/>
  <c r="X110" i="1" s="1"/>
  <c r="AA19" i="1"/>
  <c r="AA18" i="1" s="1"/>
  <c r="AQ36" i="1"/>
  <c r="AP117" i="1"/>
  <c r="AP116" i="1" s="1"/>
  <c r="AQ118" i="1"/>
  <c r="AW133" i="1"/>
  <c r="BO20" i="1"/>
  <c r="AT32" i="1"/>
  <c r="AT38" i="1"/>
  <c r="BF41" i="1"/>
  <c r="AW50" i="1"/>
  <c r="U61" i="1"/>
  <c r="V61" i="1" s="1"/>
  <c r="Y61" i="1"/>
  <c r="Q62" i="1"/>
  <c r="N62" i="1" s="1"/>
  <c r="AQ62" i="1"/>
  <c r="AZ66" i="1"/>
  <c r="Y67" i="1"/>
  <c r="AQ68" i="1"/>
  <c r="CH73" i="1"/>
  <c r="U77" i="1"/>
  <c r="R77" i="1" s="1"/>
  <c r="X76" i="1"/>
  <c r="U78" i="1"/>
  <c r="Y78" i="1"/>
  <c r="R91" i="1"/>
  <c r="O91" i="1" s="1"/>
  <c r="AB100" i="1"/>
  <c r="AA99" i="1"/>
  <c r="BX100" i="1"/>
  <c r="BW99" i="1"/>
  <c r="CJ100" i="1"/>
  <c r="X117" i="1"/>
  <c r="X116" i="1" s="1"/>
  <c r="U118" i="1"/>
  <c r="Y118" i="1"/>
  <c r="BF57" i="1"/>
  <c r="Q65" i="1"/>
  <c r="N65" i="1" s="1"/>
  <c r="Y70" i="1"/>
  <c r="U70" i="1"/>
  <c r="V70" i="1" s="1"/>
  <c r="BO105" i="1"/>
  <c r="BM104" i="1"/>
  <c r="BO104" i="1" s="1"/>
  <c r="AE127" i="1"/>
  <c r="AD126" i="1"/>
  <c r="AD125" i="1" s="1"/>
  <c r="AD124" i="1" s="1"/>
  <c r="AH130" i="1"/>
  <c r="AG129" i="1"/>
  <c r="AH129" i="1" s="1"/>
  <c r="BX20" i="1"/>
  <c r="BF26" i="1"/>
  <c r="Q36" i="1"/>
  <c r="N36" i="1" s="1"/>
  <c r="AQ61" i="1"/>
  <c r="AQ78" i="1"/>
  <c r="CD102" i="1"/>
  <c r="Y114" i="1"/>
  <c r="BF120" i="1"/>
  <c r="BD115" i="1"/>
  <c r="BD109" i="1" s="1"/>
  <c r="BD108" i="1" s="1"/>
  <c r="CJ126" i="1"/>
  <c r="AO20" i="1"/>
  <c r="AQ21" i="1"/>
  <c r="Q22" i="1"/>
  <c r="N22" i="1" s="1"/>
  <c r="AQ22" i="1"/>
  <c r="R28" i="1"/>
  <c r="V28" i="1"/>
  <c r="BF32" i="1"/>
  <c r="AH38" i="1"/>
  <c r="BX44" i="1"/>
  <c r="CJ44" i="1"/>
  <c r="AO44" i="1"/>
  <c r="AQ49" i="1"/>
  <c r="X50" i="1"/>
  <c r="BO58" i="1"/>
  <c r="AN66" i="1"/>
  <c r="BH73" i="1"/>
  <c r="BC74" i="1"/>
  <c r="BA73" i="1"/>
  <c r="CJ74" i="1"/>
  <c r="BX93" i="1"/>
  <c r="CG96" i="1"/>
  <c r="AJ115" i="1"/>
  <c r="AJ109" i="1" s="1"/>
  <c r="AJ108" i="1" s="1"/>
  <c r="AX115" i="1"/>
  <c r="AX109" i="1" s="1"/>
  <c r="AX108" i="1" s="1"/>
  <c r="BR121" i="1"/>
  <c r="BP120" i="1"/>
  <c r="BR120" i="1" s="1"/>
  <c r="AQ123" i="1"/>
  <c r="BZ125" i="1"/>
  <c r="BZ124" i="1" s="1"/>
  <c r="CI129" i="1"/>
  <c r="CJ129" i="1" s="1"/>
  <c r="CJ130" i="1"/>
  <c r="CG44" i="1"/>
  <c r="AM57" i="1"/>
  <c r="AQ65" i="1"/>
  <c r="BI66" i="1"/>
  <c r="BR102" i="1"/>
  <c r="BQ99" i="1"/>
  <c r="BD19" i="1"/>
  <c r="BF19" i="1" s="1"/>
  <c r="AF18" i="1"/>
  <c r="CA20" i="1"/>
  <c r="BZ19" i="1"/>
  <c r="AV19" i="1"/>
  <c r="AV18" i="1" s="1"/>
  <c r="AQ25" i="1"/>
  <c r="U27" i="1"/>
  <c r="V27" i="1" s="1"/>
  <c r="Y28" i="1"/>
  <c r="AH32" i="1"/>
  <c r="AW32" i="1"/>
  <c r="U33" i="1"/>
  <c r="AN33" i="1"/>
  <c r="AM32" i="1"/>
  <c r="AM19" i="1" s="1"/>
  <c r="BI38" i="1"/>
  <c r="BU41" i="1"/>
  <c r="T45" i="1"/>
  <c r="W44" i="1"/>
  <c r="AP44" i="1"/>
  <c r="AQ45" i="1"/>
  <c r="AK50" i="1"/>
  <c r="CD50" i="1"/>
  <c r="T52" i="1"/>
  <c r="Q52" i="1" s="1"/>
  <c r="N52" i="1" s="1"/>
  <c r="W50" i="1"/>
  <c r="AQ52" i="1"/>
  <c r="Y56" i="1"/>
  <c r="U56" i="1"/>
  <c r="U54" i="1" s="1"/>
  <c r="X54" i="1"/>
  <c r="Y54" i="1" s="1"/>
  <c r="AW57" i="1"/>
  <c r="T58" i="1"/>
  <c r="AH58" i="1"/>
  <c r="AG57" i="1"/>
  <c r="AH57" i="1" s="1"/>
  <c r="BX66" i="1"/>
  <c r="AN79" i="1"/>
  <c r="AM73" i="1"/>
  <c r="AN73" i="1" s="1"/>
  <c r="BL79" i="1"/>
  <c r="BK73" i="1"/>
  <c r="AP112" i="1"/>
  <c r="AP111" i="1" s="1"/>
  <c r="AP110" i="1" s="1"/>
  <c r="BQ115" i="1"/>
  <c r="BR116" i="1"/>
  <c r="AK117" i="1"/>
  <c r="BJ125" i="1"/>
  <c r="BJ124" i="1" s="1"/>
  <c r="CG127" i="1"/>
  <c r="CF126" i="1"/>
  <c r="BC20" i="1"/>
  <c r="U35" i="1"/>
  <c r="V35" i="1" s="1"/>
  <c r="Y35" i="1"/>
  <c r="BX58" i="1"/>
  <c r="Q61" i="1"/>
  <c r="N61" i="1" s="1"/>
  <c r="Q78" i="1"/>
  <c r="N78" i="1" s="1"/>
  <c r="BU104" i="1"/>
  <c r="BL26" i="1"/>
  <c r="AO32" i="1"/>
  <c r="U39" i="1"/>
  <c r="V39" i="1" s="1"/>
  <c r="X38" i="1"/>
  <c r="Y38" i="1" s="1"/>
  <c r="U45" i="1"/>
  <c r="Y45" i="1"/>
  <c r="Q46" i="1"/>
  <c r="N46" i="1" s="1"/>
  <c r="AQ46" i="1"/>
  <c r="AQ53" i="1"/>
  <c r="BI54" i="1"/>
  <c r="W58" i="1"/>
  <c r="CD58" i="1"/>
  <c r="CC57" i="1"/>
  <c r="AC73" i="1"/>
  <c r="AF73" i="1"/>
  <c r="AF72" i="1" s="1"/>
  <c r="BN73" i="1"/>
  <c r="BO93" i="1"/>
  <c r="X99" i="1"/>
  <c r="AB102" i="1"/>
  <c r="CJ117" i="1"/>
  <c r="AY126" i="1"/>
  <c r="AZ127" i="1"/>
  <c r="BC32" i="1"/>
  <c r="BO32" i="1"/>
  <c r="BF38" i="1"/>
  <c r="BR41" i="1"/>
  <c r="AH44" i="1"/>
  <c r="AT44" i="1"/>
  <c r="AQ48" i="1"/>
  <c r="Y52" i="1"/>
  <c r="BR54" i="1"/>
  <c r="BU58" i="1"/>
  <c r="AO58" i="1"/>
  <c r="AO57" i="1" s="1"/>
  <c r="AQ64" i="1"/>
  <c r="BU66" i="1"/>
  <c r="CA74" i="1"/>
  <c r="W76" i="1"/>
  <c r="T77" i="1"/>
  <c r="Q77" i="1" s="1"/>
  <c r="AP76" i="1"/>
  <c r="AQ76" i="1" s="1"/>
  <c r="CJ79" i="1"/>
  <c r="AE88" i="1"/>
  <c r="CA100" i="1"/>
  <c r="BY99" i="1"/>
  <c r="BL105" i="1"/>
  <c r="BK104" i="1"/>
  <c r="BL104" i="1" s="1"/>
  <c r="AC109" i="1"/>
  <c r="AC108" i="1" s="1"/>
  <c r="AZ116" i="1"/>
  <c r="AW121" i="1"/>
  <c r="BI121" i="1"/>
  <c r="BH120" i="1"/>
  <c r="BI120" i="1" s="1"/>
  <c r="BL126" i="1"/>
  <c r="BK125" i="1"/>
  <c r="Y136" i="1"/>
  <c r="U136" i="1"/>
  <c r="V136" i="1" s="1"/>
  <c r="CA26" i="1"/>
  <c r="Y36" i="1"/>
  <c r="BR38" i="1"/>
  <c r="X41" i="1"/>
  <c r="Y41" i="1" s="1"/>
  <c r="CD41" i="1"/>
  <c r="AQ42" i="1"/>
  <c r="Y46" i="1"/>
  <c r="BU50" i="1"/>
  <c r="AO50" i="1"/>
  <c r="AP54" i="1"/>
  <c r="AQ54" i="1" s="1"/>
  <c r="BF58" i="1"/>
  <c r="Y62" i="1"/>
  <c r="AT66" i="1"/>
  <c r="AH83" i="1"/>
  <c r="BC93" i="1"/>
  <c r="BL96" i="1"/>
  <c r="BV73" i="1"/>
  <c r="CG99" i="1"/>
  <c r="AN102" i="1"/>
  <c r="AH105" i="1"/>
  <c r="AG104" i="1"/>
  <c r="AH104" i="1" s="1"/>
  <c r="AT104" i="1"/>
  <c r="AK116" i="1"/>
  <c r="CC115" i="1"/>
  <c r="BE115" i="1"/>
  <c r="AA120" i="1"/>
  <c r="AB120" i="1" s="1"/>
  <c r="AB121" i="1"/>
  <c r="AN121" i="1"/>
  <c r="Z125" i="1"/>
  <c r="Z124" i="1" s="1"/>
  <c r="AZ129" i="1"/>
  <c r="BO130" i="1"/>
  <c r="BX133" i="1"/>
  <c r="W32" i="1"/>
  <c r="Y49" i="1"/>
  <c r="AP50" i="1"/>
  <c r="AH54" i="1"/>
  <c r="AT54" i="1"/>
  <c r="Y55" i="1"/>
  <c r="AQ55" i="1"/>
  <c r="BT57" i="1"/>
  <c r="BU57" i="1" s="1"/>
  <c r="AW58" i="1"/>
  <c r="AQ60" i="1"/>
  <c r="Y65" i="1"/>
  <c r="BF66" i="1"/>
  <c r="CA66" i="1"/>
  <c r="AV73" i="1"/>
  <c r="AB76" i="1"/>
  <c r="CG76" i="1"/>
  <c r="Y82" i="1"/>
  <c r="BL88" i="1"/>
  <c r="AW100" i="1"/>
  <c r="BG99" i="1"/>
  <c r="BF104" i="1"/>
  <c r="V105" i="1"/>
  <c r="AK104" i="1"/>
  <c r="AT105" i="1"/>
  <c r="V106" i="1"/>
  <c r="R106" i="1"/>
  <c r="O106" i="1" s="1"/>
  <c r="AT111" i="1"/>
  <c r="BF117" i="1"/>
  <c r="BR117" i="1"/>
  <c r="AB126" i="1"/>
  <c r="BD125" i="1"/>
  <c r="BD124" i="1" s="1"/>
  <c r="AE32" i="1"/>
  <c r="Y34" i="1"/>
  <c r="BC38" i="1"/>
  <c r="BU38" i="1"/>
  <c r="AO38" i="1"/>
  <c r="AQ38" i="1" s="1"/>
  <c r="BO41" i="1"/>
  <c r="CG41" i="1"/>
  <c r="AE44" i="1"/>
  <c r="CD44" i="1"/>
  <c r="AQ51" i="1"/>
  <c r="AW66" i="1"/>
  <c r="AE76" i="1"/>
  <c r="T87" i="1"/>
  <c r="Q87" i="1" s="1"/>
  <c r="N87" i="1" s="1"/>
  <c r="W85" i="1"/>
  <c r="AB88" i="1"/>
  <c r="AQ89" i="1"/>
  <c r="AP88" i="1"/>
  <c r="AQ91" i="1"/>
  <c r="AT93" i="1"/>
  <c r="AO93" i="1"/>
  <c r="AQ93" i="1" s="1"/>
  <c r="AQ96" i="1"/>
  <c r="Z99" i="1"/>
  <c r="BH99" i="1"/>
  <c r="T103" i="1"/>
  <c r="W102" i="1"/>
  <c r="Y102" i="1" s="1"/>
  <c r="AQ103" i="1"/>
  <c r="AK105" i="1"/>
  <c r="BI116" i="1"/>
  <c r="CD117" i="1"/>
  <c r="AN120" i="1"/>
  <c r="AO121" i="1"/>
  <c r="AO120" i="1" s="1"/>
  <c r="AT129" i="1"/>
  <c r="BF130" i="1"/>
  <c r="BE129" i="1"/>
  <c r="BE125" i="1" s="1"/>
  <c r="BF133" i="1"/>
  <c r="BL133" i="1"/>
  <c r="AU125" i="1"/>
  <c r="AU124" i="1" s="1"/>
  <c r="BR83" i="1"/>
  <c r="AT85" i="1"/>
  <c r="CJ85" i="1"/>
  <c r="CG88" i="1"/>
  <c r="BF93" i="1"/>
  <c r="AT96" i="1"/>
  <c r="BO96" i="1"/>
  <c r="BR100" i="1"/>
  <c r="V101" i="1"/>
  <c r="AZ102" i="1"/>
  <c r="BF105" i="1"/>
  <c r="CD112" i="1"/>
  <c r="AL115" i="1"/>
  <c r="BU120" i="1"/>
  <c r="BL120" i="1"/>
  <c r="BU121" i="1"/>
  <c r="BC127" i="1"/>
  <c r="BM125" i="1"/>
  <c r="BM124" i="1" s="1"/>
  <c r="AE129" i="1"/>
  <c r="BR129" i="1"/>
  <c r="AW130" i="1"/>
  <c r="BR130" i="1"/>
  <c r="AH133" i="1"/>
  <c r="AH134" i="1"/>
  <c r="BG73" i="1"/>
  <c r="BR74" i="1"/>
  <c r="CB73" i="1"/>
  <c r="AQ75" i="1"/>
  <c r="BO76" i="1"/>
  <c r="BX76" i="1"/>
  <c r="AW79" i="1"/>
  <c r="BF79" i="1"/>
  <c r="Q80" i="1"/>
  <c r="N80" i="1" s="1"/>
  <c r="AP79" i="1"/>
  <c r="AQ79" i="1" s="1"/>
  <c r="BU83" i="1"/>
  <c r="CD83" i="1"/>
  <c r="AQ83" i="1"/>
  <c r="AH85" i="1"/>
  <c r="AW85" i="1"/>
  <c r="BF85" i="1"/>
  <c r="BI93" i="1"/>
  <c r="BF96" i="1"/>
  <c r="CJ96" i="1"/>
  <c r="BC99" i="1"/>
  <c r="AN100" i="1"/>
  <c r="AX99" i="1"/>
  <c r="AZ99" i="1" s="1"/>
  <c r="BS99" i="1"/>
  <c r="CC99" i="1"/>
  <c r="AP102" i="1"/>
  <c r="AQ102" i="1" s="1"/>
  <c r="BU102" i="1"/>
  <c r="Y103" i="1"/>
  <c r="AB105" i="1"/>
  <c r="BI104" i="1"/>
  <c r="BR104" i="1"/>
  <c r="AE117" i="1"/>
  <c r="AN117" i="1"/>
  <c r="BI117" i="1"/>
  <c r="CG121" i="1"/>
  <c r="CD130" i="1"/>
  <c r="BF134" i="1"/>
  <c r="BO134" i="1"/>
  <c r="Y84" i="1"/>
  <c r="AQ84" i="1"/>
  <c r="BI100" i="1"/>
  <c r="Y101" i="1"/>
  <c r="AQ101" i="1"/>
  <c r="AH102" i="1"/>
  <c r="BL102" i="1"/>
  <c r="CD104" i="1"/>
  <c r="AN105" i="1"/>
  <c r="AW105" i="1"/>
  <c r="BR105" i="1"/>
  <c r="CC111" i="1"/>
  <c r="CF120" i="1"/>
  <c r="CA127" i="1"/>
  <c r="AV129" i="1"/>
  <c r="AW129" i="1" s="1"/>
  <c r="BU129" i="1"/>
  <c r="BU130" i="1"/>
  <c r="AQ132" i="1"/>
  <c r="AW134" i="1"/>
  <c r="CA134" i="1"/>
  <c r="Q135" i="1"/>
  <c r="Q134" i="1" s="1"/>
  <c r="Q133" i="1" s="1"/>
  <c r="CE73" i="1"/>
  <c r="CE72" i="1" s="1"/>
  <c r="BF76" i="1"/>
  <c r="BU79" i="1"/>
  <c r="CD79" i="1"/>
  <c r="AQ81" i="1"/>
  <c r="AE83" i="1"/>
  <c r="AN83" i="1"/>
  <c r="CD85" i="1"/>
  <c r="BF88" i="1"/>
  <c r="BO88" i="1"/>
  <c r="AN93" i="1"/>
  <c r="AE96" i="1"/>
  <c r="W100" i="1"/>
  <c r="Y100" i="1" s="1"/>
  <c r="BC100" i="1"/>
  <c r="BU100" i="1"/>
  <c r="BI105" i="1"/>
  <c r="W117" i="1"/>
  <c r="W116" i="1" s="1"/>
  <c r="BL117" i="1"/>
  <c r="AH121" i="1"/>
  <c r="AK127" i="1"/>
  <c r="AQ128" i="1"/>
  <c r="AE130" i="1"/>
  <c r="AA73" i="1"/>
  <c r="AY73" i="1"/>
  <c r="BI76" i="1"/>
  <c r="BR76" i="1"/>
  <c r="AQ77" i="1"/>
  <c r="Y81" i="1"/>
  <c r="BC83" i="1"/>
  <c r="Y86" i="1"/>
  <c r="BR88" i="1"/>
  <c r="AQ90" i="1"/>
  <c r="AZ93" i="1"/>
  <c r="BL93" i="1"/>
  <c r="AC99" i="1"/>
  <c r="CA102" i="1"/>
  <c r="AZ105" i="1"/>
  <c r="BJ115" i="1"/>
  <c r="AH120" i="1"/>
  <c r="BF121" i="1"/>
  <c r="BC130" i="1"/>
  <c r="AQ136" i="1"/>
  <c r="Y80" i="1"/>
  <c r="AE20" i="1"/>
  <c r="Y21" i="1"/>
  <c r="X20" i="1"/>
  <c r="AB20" i="1"/>
  <c r="W20" i="1"/>
  <c r="T21" i="1"/>
  <c r="Q21" i="1" s="1"/>
  <c r="Z19" i="1"/>
  <c r="AJ19" i="1"/>
  <c r="AJ18" i="1" s="1"/>
  <c r="CB18" i="1"/>
  <c r="V22" i="1"/>
  <c r="R22" i="1"/>
  <c r="V25" i="1"/>
  <c r="R25" i="1"/>
  <c r="BX19" i="1"/>
  <c r="BW18" i="1"/>
  <c r="V23" i="1"/>
  <c r="R23" i="1"/>
  <c r="AS19" i="1"/>
  <c r="BA19" i="1"/>
  <c r="AW20" i="1"/>
  <c r="BU20" i="1"/>
  <c r="U21" i="1"/>
  <c r="Y22" i="1"/>
  <c r="Y23" i="1"/>
  <c r="Y25" i="1"/>
  <c r="R36" i="1"/>
  <c r="V36" i="1"/>
  <c r="R46" i="1"/>
  <c r="V46" i="1"/>
  <c r="R55" i="1"/>
  <c r="AT79" i="1"/>
  <c r="AS73" i="1"/>
  <c r="CA79" i="1"/>
  <c r="BY73" i="1"/>
  <c r="U90" i="1"/>
  <c r="Y90" i="1"/>
  <c r="X88" i="1"/>
  <c r="T91" i="1"/>
  <c r="W88" i="1"/>
  <c r="Y91" i="1"/>
  <c r="V48" i="1"/>
  <c r="BB19" i="1"/>
  <c r="BR19" i="1"/>
  <c r="CH19" i="1"/>
  <c r="AH20" i="1"/>
  <c r="AP20" i="1"/>
  <c r="BF20" i="1"/>
  <c r="CD20" i="1"/>
  <c r="R34" i="1"/>
  <c r="V34" i="1"/>
  <c r="R52" i="1"/>
  <c r="BQ57" i="1"/>
  <c r="BR58" i="1"/>
  <c r="V65" i="1"/>
  <c r="R65" i="1"/>
  <c r="V67" i="1"/>
  <c r="R67" i="1"/>
  <c r="AP66" i="1"/>
  <c r="V43" i="1"/>
  <c r="R43" i="1"/>
  <c r="AC57" i="1"/>
  <c r="AE58" i="1"/>
  <c r="V63" i="1"/>
  <c r="R63" i="1"/>
  <c r="BY57" i="1"/>
  <c r="CA58" i="1"/>
  <c r="R31" i="1"/>
  <c r="V49" i="1"/>
  <c r="R49" i="1"/>
  <c r="BA57" i="1"/>
  <c r="BC58" i="1"/>
  <c r="Q68" i="1"/>
  <c r="N68" i="1" s="1"/>
  <c r="N86" i="1"/>
  <c r="AG19" i="1"/>
  <c r="BM19" i="1"/>
  <c r="BM18" i="1" s="1"/>
  <c r="AE26" i="1"/>
  <c r="V37" i="1"/>
  <c r="R37" i="1"/>
  <c r="Q38" i="1"/>
  <c r="V47" i="1"/>
  <c r="R47" i="1"/>
  <c r="V59" i="1"/>
  <c r="U68" i="1"/>
  <c r="Y68" i="1"/>
  <c r="R53" i="1"/>
  <c r="AS57" i="1"/>
  <c r="AT57" i="1" s="1"/>
  <c r="AT58" i="1"/>
  <c r="R60" i="1"/>
  <c r="V60" i="1"/>
  <c r="O28" i="1"/>
  <c r="R51" i="1"/>
  <c r="R62" i="1"/>
  <c r="V62" i="1"/>
  <c r="N67" i="1"/>
  <c r="AP41" i="1"/>
  <c r="AQ41" i="1" s="1"/>
  <c r="T71" i="1"/>
  <c r="Q71" i="1" s="1"/>
  <c r="N71" i="1" s="1"/>
  <c r="V82" i="1"/>
  <c r="R82" i="1"/>
  <c r="T92" i="1"/>
  <c r="Q92" i="1" s="1"/>
  <c r="N92" i="1" s="1"/>
  <c r="Y92" i="1"/>
  <c r="CJ93" i="1"/>
  <c r="CI73" i="1"/>
  <c r="W66" i="1"/>
  <c r="R71" i="1"/>
  <c r="BM73" i="1"/>
  <c r="BO74" i="1"/>
  <c r="T79" i="1"/>
  <c r="V79" i="1" s="1"/>
  <c r="R86" i="1"/>
  <c r="AD104" i="1"/>
  <c r="AE105" i="1"/>
  <c r="X66" i="1"/>
  <c r="AG73" i="1"/>
  <c r="AH74" i="1"/>
  <c r="V80" i="1"/>
  <c r="R80" i="1"/>
  <c r="AP85" i="1"/>
  <c r="AQ85" i="1" s="1"/>
  <c r="AQ86" i="1"/>
  <c r="CA93" i="1"/>
  <c r="BZ73" i="1"/>
  <c r="Q34" i="1"/>
  <c r="BE73" i="1"/>
  <c r="BF74" i="1"/>
  <c r="Q83" i="1"/>
  <c r="R69" i="1"/>
  <c r="V69" i="1"/>
  <c r="Y74" i="1"/>
  <c r="Q89" i="1"/>
  <c r="AO88" i="1"/>
  <c r="AW74" i="1"/>
  <c r="CC73" i="1"/>
  <c r="CD74" i="1"/>
  <c r="R75" i="1"/>
  <c r="U74" i="1"/>
  <c r="R78" i="1"/>
  <c r="R81" i="1"/>
  <c r="V81" i="1"/>
  <c r="V84" i="1"/>
  <c r="R84" i="1"/>
  <c r="BT73" i="1"/>
  <c r="AQ74" i="1"/>
  <c r="Q97" i="1"/>
  <c r="T96" i="1"/>
  <c r="V97" i="1"/>
  <c r="U87" i="1"/>
  <c r="U89" i="1"/>
  <c r="W93" i="1"/>
  <c r="Y93" i="1" s="1"/>
  <c r="BX96" i="1"/>
  <c r="BN99" i="1"/>
  <c r="BO100" i="1"/>
  <c r="BK110" i="1"/>
  <c r="BO116" i="1"/>
  <c r="BN115" i="1"/>
  <c r="AB74" i="1"/>
  <c r="AZ74" i="1"/>
  <c r="BX74" i="1"/>
  <c r="X79" i="1"/>
  <c r="X83" i="1"/>
  <c r="Y83" i="1" s="1"/>
  <c r="X85" i="1"/>
  <c r="AB96" i="1"/>
  <c r="BB104" i="1"/>
  <c r="BC105" i="1"/>
  <c r="AK74" i="1"/>
  <c r="BI74" i="1"/>
  <c r="CG74" i="1"/>
  <c r="Y75" i="1"/>
  <c r="Y77" i="1"/>
  <c r="V94" i="1"/>
  <c r="T95" i="1"/>
  <c r="T93" i="1" s="1"/>
  <c r="V93" i="1" s="1"/>
  <c r="Y95" i="1"/>
  <c r="AO99" i="1"/>
  <c r="AZ100" i="1"/>
  <c r="CD100" i="1"/>
  <c r="R101" i="1"/>
  <c r="U100" i="1"/>
  <c r="BX102" i="1"/>
  <c r="CJ105" i="1"/>
  <c r="R97" i="1"/>
  <c r="U96" i="1"/>
  <c r="AG99" i="1"/>
  <c r="AH99" i="1" s="1"/>
  <c r="AQ100" i="1"/>
  <c r="BZ104" i="1"/>
  <c r="CA104" i="1" s="1"/>
  <c r="CA105" i="1"/>
  <c r="Q106" i="1"/>
  <c r="BB111" i="1"/>
  <c r="BC112" i="1"/>
  <c r="CH111" i="1"/>
  <c r="CH110" i="1" s="1"/>
  <c r="CJ112" i="1"/>
  <c r="Q101" i="1"/>
  <c r="T100" i="1"/>
  <c r="BX112" i="1"/>
  <c r="BW111" i="1"/>
  <c r="AM99" i="1"/>
  <c r="AN99" i="1" s="1"/>
  <c r="BK99" i="1"/>
  <c r="CI99" i="1"/>
  <c r="AA104" i="1"/>
  <c r="AB104" i="1" s="1"/>
  <c r="AY104" i="1"/>
  <c r="AZ104" i="1" s="1"/>
  <c r="BW104" i="1"/>
  <c r="BX104" i="1" s="1"/>
  <c r="W105" i="1"/>
  <c r="BO111" i="1"/>
  <c r="AK112" i="1"/>
  <c r="AI111" i="1"/>
  <c r="AM110" i="1"/>
  <c r="BI112" i="1"/>
  <c r="BG111" i="1"/>
  <c r="BZ111" i="1"/>
  <c r="CA112" i="1"/>
  <c r="AL111" i="1"/>
  <c r="AL110" i="1" s="1"/>
  <c r="AN112" i="1"/>
  <c r="AQ113" i="1"/>
  <c r="AO112" i="1"/>
  <c r="BS110" i="1"/>
  <c r="AB112" i="1"/>
  <c r="AA111" i="1"/>
  <c r="BJ111" i="1"/>
  <c r="BJ110" i="1" s="1"/>
  <c r="BL112" i="1"/>
  <c r="Y113" i="1"/>
  <c r="T113" i="1"/>
  <c r="W112" i="1"/>
  <c r="AB116" i="1"/>
  <c r="CI110" i="1"/>
  <c r="AZ112" i="1"/>
  <c r="AY111" i="1"/>
  <c r="CG112" i="1"/>
  <c r="CE111" i="1"/>
  <c r="AU110" i="1"/>
  <c r="AD111" i="1"/>
  <c r="AE112" i="1"/>
  <c r="Y122" i="1"/>
  <c r="U122" i="1"/>
  <c r="X126" i="1"/>
  <c r="Y127" i="1"/>
  <c r="BF126" i="1"/>
  <c r="T127" i="1"/>
  <c r="T126" i="1" s="1"/>
  <c r="AJ129" i="1"/>
  <c r="AK129" i="1" s="1"/>
  <c r="AK130" i="1"/>
  <c r="AC125" i="1"/>
  <c r="AC124" i="1" s="1"/>
  <c r="AE133" i="1"/>
  <c r="AI115" i="1"/>
  <c r="AY115" i="1"/>
  <c r="BG115" i="1"/>
  <c r="BW115" i="1"/>
  <c r="CE115" i="1"/>
  <c r="AE116" i="1"/>
  <c r="AM116" i="1"/>
  <c r="AU116" i="1"/>
  <c r="BC116" i="1"/>
  <c r="BK116" i="1"/>
  <c r="BS116" i="1"/>
  <c r="CI116" i="1"/>
  <c r="BO117" i="1"/>
  <c r="T121" i="1"/>
  <c r="T120" i="1" s="1"/>
  <c r="AD120" i="1"/>
  <c r="AE120" i="1" s="1"/>
  <c r="AE121" i="1"/>
  <c r="BL121" i="1"/>
  <c r="AK126" i="1"/>
  <c r="AV126" i="1"/>
  <c r="AW127" i="1"/>
  <c r="CD129" i="1"/>
  <c r="BH129" i="1"/>
  <c r="BI129" i="1" s="1"/>
  <c r="BI130" i="1"/>
  <c r="AQ131" i="1"/>
  <c r="AP130" i="1"/>
  <c r="CF133" i="1"/>
  <c r="CG133" i="1" s="1"/>
  <c r="CG134" i="1"/>
  <c r="AB117" i="1"/>
  <c r="AZ117" i="1"/>
  <c r="BX117" i="1"/>
  <c r="T119" i="1"/>
  <c r="BB120" i="1"/>
  <c r="BC120" i="1" s="1"/>
  <c r="BC121" i="1"/>
  <c r="U123" i="1"/>
  <c r="Y123" i="1"/>
  <c r="CG126" i="1"/>
  <c r="CC125" i="1"/>
  <c r="CD126" i="1"/>
  <c r="U131" i="1"/>
  <c r="X130" i="1"/>
  <c r="Y131" i="1"/>
  <c r="BT126" i="1"/>
  <c r="BU127" i="1"/>
  <c r="CF129" i="1"/>
  <c r="CG129" i="1" s="1"/>
  <c r="CG130" i="1"/>
  <c r="AS125" i="1"/>
  <c r="AT133" i="1"/>
  <c r="AH116" i="1"/>
  <c r="BF116" i="1"/>
  <c r="CD116" i="1"/>
  <c r="X121" i="1"/>
  <c r="BQ124" i="1"/>
  <c r="AJ133" i="1"/>
  <c r="AK133" i="1" s="1"/>
  <c r="AK134" i="1"/>
  <c r="N122" i="1"/>
  <c r="Q121" i="1"/>
  <c r="Q120" i="1" s="1"/>
  <c r="AT130" i="1"/>
  <c r="BH133" i="1"/>
  <c r="BI133" i="1" s="1"/>
  <c r="BI134" i="1"/>
  <c r="BR133" i="1"/>
  <c r="AQ135" i="1"/>
  <c r="AP134" i="1"/>
  <c r="AO117" i="1"/>
  <c r="AO116" i="1" s="1"/>
  <c r="AV120" i="1"/>
  <c r="AQ122" i="1"/>
  <c r="AP121" i="1"/>
  <c r="AH126" i="1"/>
  <c r="U135" i="1"/>
  <c r="X134" i="1"/>
  <c r="Y135" i="1"/>
  <c r="U128" i="1"/>
  <c r="BR126" i="1"/>
  <c r="AH127" i="1"/>
  <c r="AP127" i="1"/>
  <c r="BF127" i="1"/>
  <c r="CD127" i="1"/>
  <c r="AT134" i="1"/>
  <c r="BR134" i="1"/>
  <c r="BC126" i="1"/>
  <c r="CA126" i="1"/>
  <c r="BO127" i="1"/>
  <c r="BC134" i="1"/>
  <c r="R42" i="1" l="1"/>
  <c r="BX99" i="1"/>
  <c r="R132" i="1"/>
  <c r="S132" i="1" s="1"/>
  <c r="BU19" i="1"/>
  <c r="BU99" i="1"/>
  <c r="AQ50" i="1"/>
  <c r="BF129" i="1"/>
  <c r="R35" i="1"/>
  <c r="AR109" i="1"/>
  <c r="AR108" i="1" s="1"/>
  <c r="BR125" i="1"/>
  <c r="BI19" i="1"/>
  <c r="AT126" i="1"/>
  <c r="BL73" i="1"/>
  <c r="AQ26" i="1"/>
  <c r="AK73" i="1"/>
  <c r="AF107" i="1"/>
  <c r="AX18" i="1"/>
  <c r="BC124" i="1"/>
  <c r="AT120" i="1"/>
  <c r="CD133" i="1"/>
  <c r="BC125" i="1"/>
  <c r="AQ105" i="1"/>
  <c r="S30" i="1"/>
  <c r="AC72" i="1"/>
  <c r="CH109" i="1"/>
  <c r="CH108" i="1" s="1"/>
  <c r="CH107" i="1" s="1"/>
  <c r="BE109" i="1"/>
  <c r="BF109" i="1" s="1"/>
  <c r="CK92" i="1"/>
  <c r="Z18" i="1"/>
  <c r="AE126" i="1"/>
  <c r="CA99" i="1"/>
  <c r="AQ104" i="1"/>
  <c r="V75" i="1"/>
  <c r="BC57" i="1"/>
  <c r="BL19" i="1"/>
  <c r="AW19" i="1"/>
  <c r="AA125" i="1"/>
  <c r="T74" i="1"/>
  <c r="CA129" i="1"/>
  <c r="P28" i="1"/>
  <c r="O29" i="1"/>
  <c r="P29" i="1" s="1"/>
  <c r="AZ19" i="1"/>
  <c r="AB73" i="1"/>
  <c r="V103" i="1"/>
  <c r="BF115" i="1"/>
  <c r="BV72" i="1"/>
  <c r="T38" i="1"/>
  <c r="AT110" i="1"/>
  <c r="U102" i="1"/>
  <c r="V55" i="1"/>
  <c r="CD115" i="1"/>
  <c r="BA107" i="1"/>
  <c r="BK18" i="1"/>
  <c r="BQ72" i="1"/>
  <c r="AE19" i="1"/>
  <c r="BX115" i="1"/>
  <c r="AZ73" i="1"/>
  <c r="Y32" i="1"/>
  <c r="BJ18" i="1"/>
  <c r="BG72" i="1"/>
  <c r="BG17" i="1" s="1"/>
  <c r="BG16" i="1" s="1"/>
  <c r="BC73" i="1"/>
  <c r="BJ72" i="1"/>
  <c r="S94" i="1"/>
  <c r="S98" i="1"/>
  <c r="AW111" i="1"/>
  <c r="V92" i="1"/>
  <c r="V51" i="1"/>
  <c r="R39" i="1"/>
  <c r="O39" i="1" s="1"/>
  <c r="CK39" i="1" s="1"/>
  <c r="CD99" i="1"/>
  <c r="AO73" i="1"/>
  <c r="AO72" i="1" s="1"/>
  <c r="AE124" i="1"/>
  <c r="CJ99" i="1"/>
  <c r="BR73" i="1"/>
  <c r="V42" i="1"/>
  <c r="Q41" i="1"/>
  <c r="Z72" i="1"/>
  <c r="Z17" i="1" s="1"/>
  <c r="Z16" i="1" s="1"/>
  <c r="BZ115" i="1"/>
  <c r="CA115" i="1" s="1"/>
  <c r="S24" i="1"/>
  <c r="AJ72" i="1"/>
  <c r="AK72" i="1" s="1"/>
  <c r="T130" i="1"/>
  <c r="T129" i="1" s="1"/>
  <c r="T125" i="1" s="1"/>
  <c r="T124" i="1" s="1"/>
  <c r="CB72" i="1"/>
  <c r="CB17" i="1" s="1"/>
  <c r="CB16" i="1" s="1"/>
  <c r="BL99" i="1"/>
  <c r="AQ44" i="1"/>
  <c r="AX107" i="1"/>
  <c r="CH72" i="1"/>
  <c r="T41" i="1"/>
  <c r="V41" i="1" s="1"/>
  <c r="CF72" i="1"/>
  <c r="CG72" i="1" s="1"/>
  <c r="CG73" i="1"/>
  <c r="AR107" i="1"/>
  <c r="AR14" i="1" s="1"/>
  <c r="BH72" i="1"/>
  <c r="CD19" i="1"/>
  <c r="BX73" i="1"/>
  <c r="AK57" i="1"/>
  <c r="AT115" i="1"/>
  <c r="AS109" i="1"/>
  <c r="AS108" i="1" s="1"/>
  <c r="BO125" i="1"/>
  <c r="S28" i="1"/>
  <c r="AN32" i="1"/>
  <c r="BV107" i="1"/>
  <c r="AN57" i="1"/>
  <c r="U76" i="1"/>
  <c r="AQ32" i="1"/>
  <c r="R70" i="1"/>
  <c r="O70" i="1" s="1"/>
  <c r="BA72" i="1"/>
  <c r="O30" i="1"/>
  <c r="P30" i="1" s="1"/>
  <c r="CE17" i="1"/>
  <c r="CE16" i="1" s="1"/>
  <c r="BP115" i="1"/>
  <c r="BP109" i="1" s="1"/>
  <c r="BP108" i="1" s="1"/>
  <c r="BP107" i="1" s="1"/>
  <c r="Q55" i="1"/>
  <c r="V54" i="1"/>
  <c r="CG19" i="1"/>
  <c r="AZ115" i="1"/>
  <c r="Y85" i="1"/>
  <c r="V77" i="1"/>
  <c r="BR99" i="1"/>
  <c r="AI18" i="1"/>
  <c r="AI17" i="1" s="1"/>
  <c r="AI16" i="1" s="1"/>
  <c r="AQ58" i="1"/>
  <c r="Q20" i="1"/>
  <c r="R61" i="1"/>
  <c r="R58" i="1" s="1"/>
  <c r="Y44" i="1"/>
  <c r="AA115" i="1"/>
  <c r="AB115" i="1" s="1"/>
  <c r="BU111" i="1"/>
  <c r="R105" i="1"/>
  <c r="R104" i="1" s="1"/>
  <c r="S106" i="1"/>
  <c r="V30" i="1"/>
  <c r="V40" i="1"/>
  <c r="AL18" i="1"/>
  <c r="AL17" i="1" s="1"/>
  <c r="AL16" i="1" s="1"/>
  <c r="AL15" i="1" s="1"/>
  <c r="AE73" i="1"/>
  <c r="BM107" i="1"/>
  <c r="V96" i="1"/>
  <c r="AO19" i="1"/>
  <c r="AO18" i="1" s="1"/>
  <c r="Y76" i="1"/>
  <c r="AX72" i="1"/>
  <c r="AX17" i="1" s="1"/>
  <c r="AX16" i="1" s="1"/>
  <c r="N135" i="1"/>
  <c r="N134" i="1" s="1"/>
  <c r="BR124" i="1"/>
  <c r="U38" i="1"/>
  <c r="V38" i="1" s="1"/>
  <c r="O24" i="1"/>
  <c r="P24" i="1" s="1"/>
  <c r="CG104" i="1"/>
  <c r="U58" i="1"/>
  <c r="V58" i="1" s="1"/>
  <c r="Y26" i="1"/>
  <c r="V78" i="1"/>
  <c r="AG125" i="1"/>
  <c r="AH125" i="1" s="1"/>
  <c r="BO115" i="1"/>
  <c r="BD107" i="1"/>
  <c r="BH18" i="1"/>
  <c r="BI18" i="1" s="1"/>
  <c r="AU72" i="1"/>
  <c r="AU17" i="1" s="1"/>
  <c r="AU16" i="1" s="1"/>
  <c r="AU15" i="1" s="1"/>
  <c r="CA116" i="1"/>
  <c r="V56" i="1"/>
  <c r="BA18" i="1"/>
  <c r="T85" i="1"/>
  <c r="T50" i="1"/>
  <c r="V50" i="1" s="1"/>
  <c r="AQ88" i="1"/>
  <c r="Q130" i="1"/>
  <c r="Q129" i="1" s="1"/>
  <c r="V64" i="1"/>
  <c r="Q85" i="1"/>
  <c r="R56" i="1"/>
  <c r="R54" i="1" s="1"/>
  <c r="AQ66" i="1"/>
  <c r="V52" i="1"/>
  <c r="T88" i="1"/>
  <c r="CB107" i="1"/>
  <c r="CA124" i="1"/>
  <c r="BV18" i="1"/>
  <c r="Y79" i="1"/>
  <c r="Y117" i="1"/>
  <c r="U44" i="1"/>
  <c r="BO120" i="1"/>
  <c r="BP72" i="1"/>
  <c r="BR72" i="1" s="1"/>
  <c r="R27" i="1"/>
  <c r="O27" i="1" s="1"/>
  <c r="BI99" i="1"/>
  <c r="AE99" i="1"/>
  <c r="BL125" i="1"/>
  <c r="BK124" i="1"/>
  <c r="BL124" i="1" s="1"/>
  <c r="N77" i="1"/>
  <c r="N76" i="1" s="1"/>
  <c r="Q76" i="1"/>
  <c r="BO124" i="1"/>
  <c r="AJ125" i="1"/>
  <c r="AK125" i="1" s="1"/>
  <c r="V45" i="1"/>
  <c r="X19" i="1"/>
  <c r="CG120" i="1"/>
  <c r="CF115" i="1"/>
  <c r="CF109" i="1" s="1"/>
  <c r="CF108" i="1" s="1"/>
  <c r="AZ126" i="1"/>
  <c r="AY125" i="1"/>
  <c r="AM18" i="1"/>
  <c r="AN19" i="1"/>
  <c r="BY107" i="1"/>
  <c r="CI125" i="1"/>
  <c r="BH115" i="1"/>
  <c r="BH109" i="1" s="1"/>
  <c r="BH108" i="1" s="1"/>
  <c r="V53" i="1"/>
  <c r="W19" i="1"/>
  <c r="R118" i="1"/>
  <c r="V118" i="1"/>
  <c r="U117" i="1"/>
  <c r="U116" i="1" s="1"/>
  <c r="R136" i="1"/>
  <c r="O136" i="1" s="1"/>
  <c r="T102" i="1"/>
  <c r="AP73" i="1"/>
  <c r="AR15" i="1"/>
  <c r="BS72" i="1"/>
  <c r="BS17" i="1" s="1"/>
  <c r="BS16" i="1" s="1"/>
  <c r="BS15" i="1" s="1"/>
  <c r="Q103" i="1"/>
  <c r="N103" i="1" s="1"/>
  <c r="AB125" i="1"/>
  <c r="AA124" i="1"/>
  <c r="AB124" i="1" s="1"/>
  <c r="V33" i="1"/>
  <c r="R33" i="1"/>
  <c r="U32" i="1"/>
  <c r="V32" i="1" s="1"/>
  <c r="CA19" i="1"/>
  <c r="BZ18" i="1"/>
  <c r="Y50" i="1"/>
  <c r="Y58" i="1"/>
  <c r="AM125" i="1"/>
  <c r="AN126" i="1"/>
  <c r="BR111" i="1"/>
  <c r="BQ110" i="1"/>
  <c r="Z107" i="1"/>
  <c r="AH111" i="1"/>
  <c r="AG110" i="1"/>
  <c r="CJ111" i="1"/>
  <c r="R45" i="1"/>
  <c r="O45" i="1" s="1"/>
  <c r="Q50" i="1"/>
  <c r="N27" i="1"/>
  <c r="N26" i="1" s="1"/>
  <c r="Q26" i="1"/>
  <c r="BY72" i="1"/>
  <c r="AK115" i="1"/>
  <c r="W57" i="1"/>
  <c r="Q79" i="1"/>
  <c r="BD18" i="1"/>
  <c r="BF18" i="1" s="1"/>
  <c r="W99" i="1"/>
  <c r="Y99" i="1" s="1"/>
  <c r="CD111" i="1"/>
  <c r="CC110" i="1"/>
  <c r="R93" i="1"/>
  <c r="R114" i="1"/>
  <c r="V114" i="1"/>
  <c r="U112" i="1"/>
  <c r="U111" i="1" s="1"/>
  <c r="U110" i="1" s="1"/>
  <c r="CD57" i="1"/>
  <c r="CC18" i="1"/>
  <c r="CD18" i="1" s="1"/>
  <c r="BI73" i="1"/>
  <c r="U26" i="1"/>
  <c r="V26" i="1" s="1"/>
  <c r="CA125" i="1"/>
  <c r="Q58" i="1"/>
  <c r="AO115" i="1"/>
  <c r="AP99" i="1"/>
  <c r="AQ99" i="1" s="1"/>
  <c r="T76" i="1"/>
  <c r="CK98" i="1"/>
  <c r="AP57" i="1"/>
  <c r="AQ57" i="1" s="1"/>
  <c r="BT18" i="1"/>
  <c r="BU18" i="1" s="1"/>
  <c r="AW73" i="1"/>
  <c r="AV72" i="1"/>
  <c r="Q45" i="1"/>
  <c r="T44" i="1"/>
  <c r="AF17" i="1"/>
  <c r="AF16" i="1" s="1"/>
  <c r="AB99" i="1"/>
  <c r="BW125" i="1"/>
  <c r="BX126" i="1"/>
  <c r="CF18" i="1"/>
  <c r="T20" i="1"/>
  <c r="N21" i="1"/>
  <c r="N20" i="1" s="1"/>
  <c r="AB19" i="1"/>
  <c r="Y20" i="1"/>
  <c r="AK19" i="1"/>
  <c r="Q119" i="1"/>
  <c r="T117" i="1"/>
  <c r="BE124" i="1"/>
  <c r="BF124" i="1" s="1"/>
  <c r="BF125" i="1"/>
  <c r="R89" i="1"/>
  <c r="U88" i="1"/>
  <c r="V89" i="1"/>
  <c r="O53" i="1"/>
  <c r="S53" i="1"/>
  <c r="N50" i="1"/>
  <c r="O55" i="1"/>
  <c r="AP133" i="1"/>
  <c r="AQ133" i="1" s="1"/>
  <c r="AQ134" i="1"/>
  <c r="N130" i="1"/>
  <c r="AW110" i="1"/>
  <c r="CG111" i="1"/>
  <c r="CE110" i="1"/>
  <c r="Y112" i="1"/>
  <c r="W111" i="1"/>
  <c r="AL109" i="1"/>
  <c r="AL108" i="1" s="1"/>
  <c r="AL107" i="1" s="1"/>
  <c r="R87" i="1"/>
  <c r="R85" i="1" s="1"/>
  <c r="V87" i="1"/>
  <c r="U85" i="1"/>
  <c r="W73" i="1"/>
  <c r="X73" i="1"/>
  <c r="AH73" i="1"/>
  <c r="AG72" i="1"/>
  <c r="AH72" i="1" s="1"/>
  <c r="AE104" i="1"/>
  <c r="AD72" i="1"/>
  <c r="CI72" i="1"/>
  <c r="CJ73" i="1"/>
  <c r="O51" i="1"/>
  <c r="R50" i="1"/>
  <c r="S51" i="1"/>
  <c r="V68" i="1"/>
  <c r="R68" i="1"/>
  <c r="U66" i="1"/>
  <c r="O49" i="1"/>
  <c r="S49" i="1"/>
  <c r="BK72" i="1"/>
  <c r="O43" i="1"/>
  <c r="S43" i="1"/>
  <c r="N58" i="1"/>
  <c r="S48" i="1"/>
  <c r="O48" i="1"/>
  <c r="V90" i="1"/>
  <c r="R90" i="1"/>
  <c r="AS18" i="1"/>
  <c r="AT19" i="1"/>
  <c r="CK30" i="1"/>
  <c r="AB18" i="1"/>
  <c r="U127" i="1"/>
  <c r="V128" i="1"/>
  <c r="R128" i="1"/>
  <c r="AE125" i="1"/>
  <c r="BU126" i="1"/>
  <c r="BT125" i="1"/>
  <c r="CF125" i="1"/>
  <c r="BS115" i="1"/>
  <c r="BU115" i="1" s="1"/>
  <c r="BU116" i="1"/>
  <c r="Y126" i="1"/>
  <c r="Q113" i="1"/>
  <c r="T112" i="1"/>
  <c r="BZ110" i="1"/>
  <c r="CA111" i="1"/>
  <c r="BU73" i="1"/>
  <c r="BT72" i="1"/>
  <c r="AM72" i="1"/>
  <c r="BO73" i="1"/>
  <c r="BM72" i="1"/>
  <c r="BM17" i="1" s="1"/>
  <c r="BM16" i="1" s="1"/>
  <c r="BW72" i="1"/>
  <c r="BX72" i="1" s="1"/>
  <c r="S64" i="1"/>
  <c r="O64" i="1"/>
  <c r="N38" i="1"/>
  <c r="O63" i="1"/>
  <c r="S63" i="1"/>
  <c r="N79" i="1"/>
  <c r="P92" i="1"/>
  <c r="R21" i="1"/>
  <c r="U20" i="1"/>
  <c r="V21" i="1"/>
  <c r="O25" i="1"/>
  <c r="S25" i="1"/>
  <c r="N121" i="1"/>
  <c r="AD110" i="1"/>
  <c r="AE111" i="1"/>
  <c r="BF73" i="1"/>
  <c r="BE72" i="1"/>
  <c r="T66" i="1"/>
  <c r="T57" i="1" s="1"/>
  <c r="S34" i="1"/>
  <c r="O34" i="1"/>
  <c r="O23" i="1"/>
  <c r="S23" i="1"/>
  <c r="BK115" i="1"/>
  <c r="BL115" i="1" s="1"/>
  <c r="BL116" i="1"/>
  <c r="AZ111" i="1"/>
  <c r="AY110" i="1"/>
  <c r="BI111" i="1"/>
  <c r="BG110" i="1"/>
  <c r="AK111" i="1"/>
  <c r="AI110" i="1"/>
  <c r="O105" i="1"/>
  <c r="BB110" i="1"/>
  <c r="BC111" i="1"/>
  <c r="S97" i="1"/>
  <c r="O97" i="1"/>
  <c r="R96" i="1"/>
  <c r="BC104" i="1"/>
  <c r="BB72" i="1"/>
  <c r="BL110" i="1"/>
  <c r="V74" i="1"/>
  <c r="N89" i="1"/>
  <c r="O80" i="1"/>
  <c r="R79" i="1"/>
  <c r="S80" i="1"/>
  <c r="V71" i="1"/>
  <c r="Q66" i="1"/>
  <c r="O37" i="1"/>
  <c r="S37" i="1"/>
  <c r="BR57" i="1"/>
  <c r="BQ18" i="1"/>
  <c r="AP19" i="1"/>
  <c r="AQ20" i="1"/>
  <c r="S92" i="1"/>
  <c r="Y121" i="1"/>
  <c r="X120" i="1"/>
  <c r="CI115" i="1"/>
  <c r="CJ115" i="1" s="1"/>
  <c r="CJ116" i="1"/>
  <c r="AQ121" i="1"/>
  <c r="AP120" i="1"/>
  <c r="U121" i="1"/>
  <c r="V122" i="1"/>
  <c r="R122" i="1"/>
  <c r="V119" i="1"/>
  <c r="T99" i="1"/>
  <c r="N106" i="1"/>
  <c r="P106" i="1" s="1"/>
  <c r="Q105" i="1"/>
  <c r="Q104" i="1" s="1"/>
  <c r="Q95" i="1"/>
  <c r="V95" i="1"/>
  <c r="BL111" i="1"/>
  <c r="BO99" i="1"/>
  <c r="BN72" i="1"/>
  <c r="N97" i="1"/>
  <c r="Q96" i="1"/>
  <c r="O84" i="1"/>
  <c r="CK84" i="1" s="1"/>
  <c r="R83" i="1"/>
  <c r="S83" i="1" s="1"/>
  <c r="S84" i="1"/>
  <c r="S75" i="1"/>
  <c r="O75" i="1"/>
  <c r="R74" i="1"/>
  <c r="S69" i="1"/>
  <c r="O69" i="1"/>
  <c r="N34" i="1"/>
  <c r="Q32" i="1"/>
  <c r="O86" i="1"/>
  <c r="CK86" i="1" s="1"/>
  <c r="S86" i="1"/>
  <c r="S71" i="1"/>
  <c r="O71" i="1"/>
  <c r="P71" i="1" s="1"/>
  <c r="N66" i="1"/>
  <c r="AH19" i="1"/>
  <c r="AG18" i="1"/>
  <c r="O31" i="1"/>
  <c r="S31" i="1"/>
  <c r="S40" i="1"/>
  <c r="O40" i="1"/>
  <c r="O67" i="1"/>
  <c r="CK67" i="1" s="1"/>
  <c r="S67" i="1"/>
  <c r="AS72" i="1"/>
  <c r="AT72" i="1" s="1"/>
  <c r="AT73" i="1"/>
  <c r="S46" i="1"/>
  <c r="O46" i="1"/>
  <c r="BO19" i="1"/>
  <c r="O22" i="1"/>
  <c r="S22" i="1"/>
  <c r="BH125" i="1"/>
  <c r="Y130" i="1"/>
  <c r="X129" i="1"/>
  <c r="Y129" i="1" s="1"/>
  <c r="R123" i="1"/>
  <c r="V123" i="1"/>
  <c r="AU115" i="1"/>
  <c r="AU109" i="1" s="1"/>
  <c r="AU108" i="1" s="1"/>
  <c r="AU107" i="1" s="1"/>
  <c r="AW116" i="1"/>
  <c r="CJ110" i="1"/>
  <c r="BJ109" i="1"/>
  <c r="BJ108" i="1" s="1"/>
  <c r="BJ107" i="1" s="1"/>
  <c r="AO111" i="1"/>
  <c r="AQ112" i="1"/>
  <c r="AN110" i="1"/>
  <c r="N101" i="1"/>
  <c r="Q100" i="1"/>
  <c r="BE108" i="1"/>
  <c r="O82" i="1"/>
  <c r="S82" i="1"/>
  <c r="S60" i="1"/>
  <c r="O60" i="1"/>
  <c r="O59" i="1"/>
  <c r="S59" i="1"/>
  <c r="AE57" i="1"/>
  <c r="AC18" i="1"/>
  <c r="S52" i="1"/>
  <c r="O52" i="1"/>
  <c r="CH18" i="1"/>
  <c r="CJ19" i="1"/>
  <c r="BO18" i="1"/>
  <c r="AW18" i="1"/>
  <c r="CK28" i="1"/>
  <c r="W115" i="1"/>
  <c r="Y116" i="1"/>
  <c r="BU110" i="1"/>
  <c r="O78" i="1"/>
  <c r="S78" i="1"/>
  <c r="Y134" i="1"/>
  <c r="X133" i="1"/>
  <c r="Y133" i="1" s="1"/>
  <c r="AW120" i="1"/>
  <c r="AV115" i="1"/>
  <c r="AS124" i="1"/>
  <c r="AT124" i="1" s="1"/>
  <c r="AT125" i="1"/>
  <c r="R131" i="1"/>
  <c r="U130" i="1"/>
  <c r="V131" i="1"/>
  <c r="AW126" i="1"/>
  <c r="AV125" i="1"/>
  <c r="AM115" i="1"/>
  <c r="AN115" i="1" s="1"/>
  <c r="AN116" i="1"/>
  <c r="N128" i="1"/>
  <c r="Q127" i="1"/>
  <c r="Q126" i="1" s="1"/>
  <c r="AD115" i="1"/>
  <c r="AE115" i="1" s="1"/>
  <c r="AQ116" i="1"/>
  <c r="AB111" i="1"/>
  <c r="AA110" i="1"/>
  <c r="BB115" i="1"/>
  <c r="BC115" i="1" s="1"/>
  <c r="AN111" i="1"/>
  <c r="BO110" i="1"/>
  <c r="BN109" i="1"/>
  <c r="BX111" i="1"/>
  <c r="BW110" i="1"/>
  <c r="V100" i="1"/>
  <c r="U99" i="1"/>
  <c r="V102" i="1"/>
  <c r="P94" i="1"/>
  <c r="O93" i="1"/>
  <c r="CK94" i="1"/>
  <c r="CD73" i="1"/>
  <c r="CC72" i="1"/>
  <c r="N75" i="1"/>
  <c r="Q74" i="1"/>
  <c r="N83" i="1"/>
  <c r="BZ72" i="1"/>
  <c r="CA73" i="1"/>
  <c r="X57" i="1"/>
  <c r="Y66" i="1"/>
  <c r="S62" i="1"/>
  <c r="O62" i="1"/>
  <c r="AY72" i="1"/>
  <c r="N85" i="1"/>
  <c r="R32" i="1"/>
  <c r="O65" i="1"/>
  <c r="S65" i="1"/>
  <c r="V91" i="1"/>
  <c r="Q91" i="1"/>
  <c r="Q88" i="1" s="1"/>
  <c r="S36" i="1"/>
  <c r="O36" i="1"/>
  <c r="CK29" i="1"/>
  <c r="CC124" i="1"/>
  <c r="CD124" i="1" s="1"/>
  <c r="CD125" i="1"/>
  <c r="AQ127" i="1"/>
  <c r="AP126" i="1"/>
  <c r="R135" i="1"/>
  <c r="U134" i="1"/>
  <c r="V135" i="1"/>
  <c r="AP129" i="1"/>
  <c r="AQ129" i="1" s="1"/>
  <c r="AQ130" i="1"/>
  <c r="AQ117" i="1"/>
  <c r="V113" i="1"/>
  <c r="W104" i="1"/>
  <c r="Y104" i="1" s="1"/>
  <c r="Y105" i="1"/>
  <c r="S101" i="1"/>
  <c r="O101" i="1"/>
  <c r="R100" i="1"/>
  <c r="O103" i="1"/>
  <c r="R102" i="1"/>
  <c r="S81" i="1"/>
  <c r="O81" i="1"/>
  <c r="S77" i="1"/>
  <c r="O77" i="1"/>
  <c r="R76" i="1"/>
  <c r="AC107" i="1"/>
  <c r="S42" i="1"/>
  <c r="O42" i="1"/>
  <c r="R41" i="1"/>
  <c r="O35" i="1"/>
  <c r="S35" i="1"/>
  <c r="AA72" i="1"/>
  <c r="O47" i="1"/>
  <c r="S47" i="1"/>
  <c r="CA57" i="1"/>
  <c r="BY18" i="1"/>
  <c r="BB18" i="1"/>
  <c r="BC19" i="1"/>
  <c r="Y88" i="1"/>
  <c r="AZ18" i="1"/>
  <c r="O132" i="1" l="1"/>
  <c r="BD17" i="1"/>
  <c r="BD16" i="1" s="1"/>
  <c r="AT109" i="1"/>
  <c r="BV17" i="1"/>
  <c r="BV16" i="1" s="1"/>
  <c r="BV15" i="1" s="1"/>
  <c r="Z14" i="1"/>
  <c r="BL18" i="1"/>
  <c r="S41" i="1"/>
  <c r="AB72" i="1"/>
  <c r="CK24" i="1"/>
  <c r="AJ124" i="1"/>
  <c r="AK124" i="1" s="1"/>
  <c r="AJ17" i="1"/>
  <c r="AJ16" i="1" s="1"/>
  <c r="BA17" i="1"/>
  <c r="BA16" i="1" s="1"/>
  <c r="AX14" i="1"/>
  <c r="S39" i="1"/>
  <c r="R38" i="1"/>
  <c r="S38" i="1" s="1"/>
  <c r="S27" i="1"/>
  <c r="BC72" i="1"/>
  <c r="W18" i="1"/>
  <c r="R26" i="1"/>
  <c r="S26" i="1" s="1"/>
  <c r="BX18" i="1"/>
  <c r="S85" i="1"/>
  <c r="AQ73" i="1"/>
  <c r="BJ17" i="1"/>
  <c r="BJ16" i="1" s="1"/>
  <c r="BJ15" i="1" s="1"/>
  <c r="AG124" i="1"/>
  <c r="AH124" i="1" s="1"/>
  <c r="BI72" i="1"/>
  <c r="Q57" i="1"/>
  <c r="AN18" i="1"/>
  <c r="O56" i="1"/>
  <c r="CK56" i="1" s="1"/>
  <c r="S61" i="1"/>
  <c r="V85" i="1"/>
  <c r="O61" i="1"/>
  <c r="S56" i="1"/>
  <c r="P34" i="1"/>
  <c r="R66" i="1"/>
  <c r="S66" i="1" s="1"/>
  <c r="S70" i="1"/>
  <c r="N55" i="1"/>
  <c r="N54" i="1" s="1"/>
  <c r="Q54" i="1"/>
  <c r="S54" i="1" s="1"/>
  <c r="BR115" i="1"/>
  <c r="AO17" i="1"/>
  <c r="AO16" i="1" s="1"/>
  <c r="AZ72" i="1"/>
  <c r="S136" i="1"/>
  <c r="V88" i="1"/>
  <c r="Y19" i="1"/>
  <c r="AK18" i="1"/>
  <c r="S103" i="1"/>
  <c r="CI109" i="1"/>
  <c r="CJ109" i="1" s="1"/>
  <c r="R44" i="1"/>
  <c r="S55" i="1"/>
  <c r="V76" i="1"/>
  <c r="AK17" i="1"/>
  <c r="S76" i="1"/>
  <c r="S79" i="1"/>
  <c r="S50" i="1"/>
  <c r="BI115" i="1"/>
  <c r="Z15" i="1"/>
  <c r="Q102" i="1"/>
  <c r="Q99" i="1" s="1"/>
  <c r="BW17" i="1"/>
  <c r="V44" i="1"/>
  <c r="Q125" i="1"/>
  <c r="Q124" i="1" s="1"/>
  <c r="AU14" i="1"/>
  <c r="AL14" i="1"/>
  <c r="AW72" i="1"/>
  <c r="AX15" i="1"/>
  <c r="BH17" i="1"/>
  <c r="U73" i="1"/>
  <c r="BS109" i="1"/>
  <c r="BS108" i="1" s="1"/>
  <c r="S45" i="1"/>
  <c r="BP17" i="1"/>
  <c r="BP16" i="1" s="1"/>
  <c r="BP15" i="1" s="1"/>
  <c r="BU72" i="1"/>
  <c r="BQ109" i="1"/>
  <c r="BR110" i="1"/>
  <c r="R117" i="1"/>
  <c r="R116" i="1" s="1"/>
  <c r="S118" i="1"/>
  <c r="O118" i="1"/>
  <c r="T19" i="1"/>
  <c r="T18" i="1" s="1"/>
  <c r="S33" i="1"/>
  <c r="O33" i="1"/>
  <c r="O32" i="1" s="1"/>
  <c r="AY124" i="1"/>
  <c r="AZ124" i="1" s="1"/>
  <c r="AZ125" i="1"/>
  <c r="CC109" i="1"/>
  <c r="CD110" i="1"/>
  <c r="S32" i="1"/>
  <c r="V99" i="1"/>
  <c r="S104" i="1"/>
  <c r="CG18" i="1"/>
  <c r="CF17" i="1"/>
  <c r="BK109" i="1"/>
  <c r="BL109" i="1" s="1"/>
  <c r="AN125" i="1"/>
  <c r="AM124" i="1"/>
  <c r="AN124" i="1" s="1"/>
  <c r="T73" i="1"/>
  <c r="T72" i="1" s="1"/>
  <c r="AP72" i="1"/>
  <c r="AQ72" i="1" s="1"/>
  <c r="BX125" i="1"/>
  <c r="BW124" i="1"/>
  <c r="BX124" i="1" s="1"/>
  <c r="N45" i="1"/>
  <c r="P45" i="1" s="1"/>
  <c r="Q44" i="1"/>
  <c r="AV17" i="1"/>
  <c r="AW17" i="1" s="1"/>
  <c r="R112" i="1"/>
  <c r="R111" i="1" s="1"/>
  <c r="R110" i="1" s="1"/>
  <c r="S114" i="1"/>
  <c r="O114" i="1"/>
  <c r="AH110" i="1"/>
  <c r="AG109" i="1"/>
  <c r="CG115" i="1"/>
  <c r="CJ125" i="1"/>
  <c r="CI124" i="1"/>
  <c r="CJ124" i="1" s="1"/>
  <c r="BT17" i="1"/>
  <c r="BT16" i="1" s="1"/>
  <c r="AF15" i="1"/>
  <c r="AF14" i="1"/>
  <c r="BM15" i="1"/>
  <c r="BM14" i="1"/>
  <c r="O76" i="1"/>
  <c r="P77" i="1"/>
  <c r="CK77" i="1"/>
  <c r="P78" i="1"/>
  <c r="CK78" i="1"/>
  <c r="BY17" i="1"/>
  <c r="BY16" i="1" s="1"/>
  <c r="CA18" i="1"/>
  <c r="R99" i="1"/>
  <c r="S100" i="1"/>
  <c r="CA72" i="1"/>
  <c r="BZ17" i="1"/>
  <c r="N127" i="1"/>
  <c r="AO110" i="1"/>
  <c r="AQ111" i="1"/>
  <c r="S123" i="1"/>
  <c r="O123" i="1"/>
  <c r="AG17" i="1"/>
  <c r="AH18" i="1"/>
  <c r="P86" i="1"/>
  <c r="P132" i="1"/>
  <c r="CK132" i="1"/>
  <c r="P39" i="1"/>
  <c r="O38" i="1"/>
  <c r="P38" i="1" s="1"/>
  <c r="P37" i="1"/>
  <c r="CK37" i="1"/>
  <c r="P80" i="1"/>
  <c r="O79" i="1"/>
  <c r="P79" i="1" s="1"/>
  <c r="AI109" i="1"/>
  <c r="AK110" i="1"/>
  <c r="AI15" i="1"/>
  <c r="AZ110" i="1"/>
  <c r="AY109" i="1"/>
  <c r="V20" i="1"/>
  <c r="U19" i="1"/>
  <c r="S105" i="1"/>
  <c r="O90" i="1"/>
  <c r="S90" i="1"/>
  <c r="BL72" i="1"/>
  <c r="BK17" i="1"/>
  <c r="CG110" i="1"/>
  <c r="CE109" i="1"/>
  <c r="CE15" i="1"/>
  <c r="AY17" i="1"/>
  <c r="P81" i="1"/>
  <c r="CK81" i="1"/>
  <c r="O100" i="1"/>
  <c r="P101" i="1"/>
  <c r="P65" i="1"/>
  <c r="CK65" i="1"/>
  <c r="P62" i="1"/>
  <c r="CK62" i="1"/>
  <c r="BF108" i="1"/>
  <c r="BE107" i="1"/>
  <c r="BF107" i="1" s="1"/>
  <c r="AK16" i="1"/>
  <c r="AJ15" i="1"/>
  <c r="S96" i="1"/>
  <c r="P136" i="1"/>
  <c r="CK136" i="1"/>
  <c r="AD109" i="1"/>
  <c r="AE110" i="1"/>
  <c r="S21" i="1"/>
  <c r="O21" i="1"/>
  <c r="R20" i="1"/>
  <c r="CG125" i="1"/>
  <c r="CF124" i="1"/>
  <c r="Y73" i="1"/>
  <c r="X72" i="1"/>
  <c r="P35" i="1"/>
  <c r="CK35" i="1"/>
  <c r="BN108" i="1"/>
  <c r="BO109" i="1"/>
  <c r="P53" i="1"/>
  <c r="CK53" i="1"/>
  <c r="U133" i="1"/>
  <c r="V133" i="1" s="1"/>
  <c r="V134" i="1"/>
  <c r="BD15" i="1"/>
  <c r="BD14" i="1"/>
  <c r="AW115" i="1"/>
  <c r="AV109" i="1"/>
  <c r="S58" i="1"/>
  <c r="R57" i="1"/>
  <c r="CK34" i="1"/>
  <c r="N32" i="1"/>
  <c r="P84" i="1"/>
  <c r="O83" i="1"/>
  <c r="P83" i="1" s="1"/>
  <c r="O122" i="1"/>
  <c r="R121" i="1"/>
  <c r="S122" i="1"/>
  <c r="CK71" i="1"/>
  <c r="O96" i="1"/>
  <c r="P97" i="1"/>
  <c r="BG109" i="1"/>
  <c r="BI110" i="1"/>
  <c r="BG15" i="1"/>
  <c r="CK70" i="1"/>
  <c r="P70" i="1"/>
  <c r="BZ109" i="1"/>
  <c r="CA110" i="1"/>
  <c r="BT124" i="1"/>
  <c r="BU125" i="1"/>
  <c r="CB14" i="1"/>
  <c r="CB15" i="1"/>
  <c r="P48" i="1"/>
  <c r="CK48" i="1"/>
  <c r="P49" i="1"/>
  <c r="CK49" i="1"/>
  <c r="P51" i="1"/>
  <c r="O50" i="1"/>
  <c r="P50" i="1" s="1"/>
  <c r="W72" i="1"/>
  <c r="S89" i="1"/>
  <c r="O89" i="1"/>
  <c r="CK89" i="1" s="1"/>
  <c r="R88" i="1"/>
  <c r="S88" i="1" s="1"/>
  <c r="P31" i="1"/>
  <c r="CK31" i="1"/>
  <c r="N133" i="1"/>
  <c r="N102" i="1"/>
  <c r="CK103" i="1"/>
  <c r="O41" i="1"/>
  <c r="P42" i="1"/>
  <c r="CK42" i="1"/>
  <c r="S135" i="1"/>
  <c r="O135" i="1"/>
  <c r="R134" i="1"/>
  <c r="P56" i="1"/>
  <c r="AB110" i="1"/>
  <c r="AA109" i="1"/>
  <c r="AV124" i="1"/>
  <c r="AW124" i="1" s="1"/>
  <c r="AW125" i="1"/>
  <c r="CH17" i="1"/>
  <c r="CH16" i="1" s="1"/>
  <c r="CJ18" i="1"/>
  <c r="P59" i="1"/>
  <c r="O58" i="1"/>
  <c r="CK58" i="1" s="1"/>
  <c r="BI125" i="1"/>
  <c r="BH124" i="1"/>
  <c r="P67" i="1"/>
  <c r="P69" i="1"/>
  <c r="CK69" i="1"/>
  <c r="N95" i="1"/>
  <c r="Q93" i="1"/>
  <c r="S93" i="1" s="1"/>
  <c r="S95" i="1"/>
  <c r="Y120" i="1"/>
  <c r="X115" i="1"/>
  <c r="AQ19" i="1"/>
  <c r="AP18" i="1"/>
  <c r="P27" i="1"/>
  <c r="O26" i="1"/>
  <c r="CK27" i="1"/>
  <c r="U72" i="1"/>
  <c r="CK80" i="1"/>
  <c r="O44" i="1"/>
  <c r="AN72" i="1"/>
  <c r="AM17" i="1"/>
  <c r="T111" i="1"/>
  <c r="V112" i="1"/>
  <c r="BC18" i="1"/>
  <c r="BB17" i="1"/>
  <c r="P47" i="1"/>
  <c r="CK47" i="1"/>
  <c r="AP125" i="1"/>
  <c r="AQ126" i="1"/>
  <c r="P36" i="1"/>
  <c r="CK36" i="1"/>
  <c r="N74" i="1"/>
  <c r="CK75" i="1"/>
  <c r="P52" i="1"/>
  <c r="CK52" i="1"/>
  <c r="P60" i="1"/>
  <c r="CK60" i="1"/>
  <c r="N100" i="1"/>
  <c r="CK101" i="1"/>
  <c r="P40" i="1"/>
  <c r="CK40" i="1"/>
  <c r="N96" i="1"/>
  <c r="CK97" i="1"/>
  <c r="U120" i="1"/>
  <c r="V121" i="1"/>
  <c r="BR18" i="1"/>
  <c r="BQ17" i="1"/>
  <c r="P23" i="1"/>
  <c r="CK23" i="1"/>
  <c r="BF72" i="1"/>
  <c r="BE17" i="1"/>
  <c r="N120" i="1"/>
  <c r="P25" i="1"/>
  <c r="CK25" i="1"/>
  <c r="P64" i="1"/>
  <c r="CK64" i="1"/>
  <c r="N113" i="1"/>
  <c r="Q112" i="1"/>
  <c r="S113" i="1"/>
  <c r="AA17" i="1"/>
  <c r="CK59" i="1"/>
  <c r="P61" i="1"/>
  <c r="CK61" i="1"/>
  <c r="CJ72" i="1"/>
  <c r="CI17" i="1"/>
  <c r="N129" i="1"/>
  <c r="CK51" i="1"/>
  <c r="S131" i="1"/>
  <c r="O131" i="1"/>
  <c r="R130" i="1"/>
  <c r="U126" i="1"/>
  <c r="V127" i="1"/>
  <c r="AT18" i="1"/>
  <c r="AS17" i="1"/>
  <c r="P43" i="1"/>
  <c r="CK43" i="1"/>
  <c r="Y57" i="1"/>
  <c r="X18" i="1"/>
  <c r="CD72" i="1"/>
  <c r="CC17" i="1"/>
  <c r="BX110" i="1"/>
  <c r="BW109" i="1"/>
  <c r="P22" i="1"/>
  <c r="CK22" i="1"/>
  <c r="P46" i="1"/>
  <c r="CK46" i="1"/>
  <c r="S74" i="1"/>
  <c r="BO72" i="1"/>
  <c r="BN17" i="1"/>
  <c r="CK106" i="1"/>
  <c r="N105" i="1"/>
  <c r="P105" i="1" s="1"/>
  <c r="AQ120" i="1"/>
  <c r="AP115" i="1"/>
  <c r="AS107" i="1"/>
  <c r="AT107" i="1" s="1"/>
  <c r="AT108" i="1"/>
  <c r="BK108" i="1"/>
  <c r="BB109" i="1"/>
  <c r="BC110" i="1"/>
  <c r="X125" i="1"/>
  <c r="O128" i="1"/>
  <c r="CK128" i="1" s="1"/>
  <c r="R127" i="1"/>
  <c r="S128" i="1"/>
  <c r="N57" i="1"/>
  <c r="V66" i="1"/>
  <c r="U57" i="1"/>
  <c r="V57" i="1" s="1"/>
  <c r="AE72" i="1"/>
  <c r="AD17" i="1"/>
  <c r="S87" i="1"/>
  <c r="O87" i="1"/>
  <c r="Y111" i="1"/>
  <c r="W110" i="1"/>
  <c r="T116" i="1"/>
  <c r="V117" i="1"/>
  <c r="P82" i="1"/>
  <c r="CK82" i="1"/>
  <c r="O102" i="1"/>
  <c r="P103" i="1"/>
  <c r="N91" i="1"/>
  <c r="N88" i="1" s="1"/>
  <c r="S91" i="1"/>
  <c r="U129" i="1"/>
  <c r="V129" i="1" s="1"/>
  <c r="V130" i="1"/>
  <c r="AC17" i="1"/>
  <c r="AC16" i="1" s="1"/>
  <c r="AE18" i="1"/>
  <c r="AM109" i="1"/>
  <c r="O74" i="1"/>
  <c r="P75" i="1"/>
  <c r="O104" i="1"/>
  <c r="BX17" i="1"/>
  <c r="BW16" i="1"/>
  <c r="P63" i="1"/>
  <c r="CK63" i="1"/>
  <c r="S68" i="1"/>
  <c r="O68" i="1"/>
  <c r="O66" i="1" s="1"/>
  <c r="Q117" i="1"/>
  <c r="N119" i="1"/>
  <c r="S119" i="1"/>
  <c r="BV14" i="1" l="1"/>
  <c r="CK55" i="1"/>
  <c r="P55" i="1"/>
  <c r="O54" i="1"/>
  <c r="P54" i="1" s="1"/>
  <c r="BU17" i="1"/>
  <c r="AO15" i="1"/>
  <c r="W17" i="1"/>
  <c r="W16" i="1" s="1"/>
  <c r="W15" i="1" s="1"/>
  <c r="R73" i="1"/>
  <c r="R72" i="1" s="1"/>
  <c r="AJ107" i="1"/>
  <c r="AJ14" i="1" s="1"/>
  <c r="BA15" i="1"/>
  <c r="BA14" i="1"/>
  <c r="T17" i="1"/>
  <c r="T16" i="1" s="1"/>
  <c r="S57" i="1"/>
  <c r="Q19" i="1"/>
  <c r="Q18" i="1" s="1"/>
  <c r="BJ14" i="1"/>
  <c r="S102" i="1"/>
  <c r="BP14" i="1"/>
  <c r="CI108" i="1"/>
  <c r="CJ108" i="1" s="1"/>
  <c r="S99" i="1"/>
  <c r="P32" i="1"/>
  <c r="CK96" i="1"/>
  <c r="BU109" i="1"/>
  <c r="BI17" i="1"/>
  <c r="BH16" i="1"/>
  <c r="CK38" i="1"/>
  <c r="AV16" i="1"/>
  <c r="AV15" i="1" s="1"/>
  <c r="AW15" i="1" s="1"/>
  <c r="AH109" i="1"/>
  <c r="AG108" i="1"/>
  <c r="CK45" i="1"/>
  <c r="N44" i="1"/>
  <c r="P44" i="1" s="1"/>
  <c r="CF16" i="1"/>
  <c r="CG17" i="1"/>
  <c r="P114" i="1"/>
  <c r="CK114" i="1"/>
  <c r="O112" i="1"/>
  <c r="O111" i="1" s="1"/>
  <c r="O110" i="1" s="1"/>
  <c r="P33" i="1"/>
  <c r="CK33" i="1"/>
  <c r="BQ108" i="1"/>
  <c r="BR109" i="1"/>
  <c r="CK118" i="1"/>
  <c r="O117" i="1"/>
  <c r="O116" i="1" s="1"/>
  <c r="P118" i="1"/>
  <c r="V73" i="1"/>
  <c r="S44" i="1"/>
  <c r="CD109" i="1"/>
  <c r="CC108" i="1"/>
  <c r="V72" i="1"/>
  <c r="CK102" i="1"/>
  <c r="Y72" i="1"/>
  <c r="AK15" i="1"/>
  <c r="P66" i="1"/>
  <c r="CK66" i="1"/>
  <c r="U125" i="1"/>
  <c r="V126" i="1"/>
  <c r="AA16" i="1"/>
  <c r="AB17" i="1"/>
  <c r="BY14" i="1"/>
  <c r="BY15" i="1"/>
  <c r="AM108" i="1"/>
  <c r="AN109" i="1"/>
  <c r="CK91" i="1"/>
  <c r="P91" i="1"/>
  <c r="CK50" i="1"/>
  <c r="BC109" i="1"/>
  <c r="BB108" i="1"/>
  <c r="Y115" i="1"/>
  <c r="X109" i="1"/>
  <c r="O57" i="1"/>
  <c r="P57" i="1" s="1"/>
  <c r="P58" i="1"/>
  <c r="Q73" i="1"/>
  <c r="Q72" i="1" s="1"/>
  <c r="Q17" i="1" s="1"/>
  <c r="Q16" i="1" s="1"/>
  <c r="BU124" i="1"/>
  <c r="BT107" i="1"/>
  <c r="U18" i="1"/>
  <c r="V19" i="1"/>
  <c r="N126" i="1"/>
  <c r="W109" i="1"/>
  <c r="W108" i="1" s="1"/>
  <c r="W107" i="1" s="1"/>
  <c r="Y110" i="1"/>
  <c r="N104" i="1"/>
  <c r="CK104" i="1" s="1"/>
  <c r="CK105" i="1"/>
  <c r="Q111" i="1"/>
  <c r="S112" i="1"/>
  <c r="V120" i="1"/>
  <c r="U115" i="1"/>
  <c r="AQ125" i="1"/>
  <c r="AP124" i="1"/>
  <c r="AQ124" i="1" s="1"/>
  <c r="T110" i="1"/>
  <c r="V111" i="1"/>
  <c r="CG124" i="1"/>
  <c r="CF107" i="1"/>
  <c r="P100" i="1"/>
  <c r="O99" i="1"/>
  <c r="P123" i="1"/>
  <c r="CK123" i="1"/>
  <c r="BW15" i="1"/>
  <c r="BX15" i="1" s="1"/>
  <c r="BX16" i="1"/>
  <c r="AC14" i="1"/>
  <c r="AC15" i="1"/>
  <c r="P102" i="1"/>
  <c r="BK107" i="1"/>
  <c r="BL107" i="1" s="1"/>
  <c r="BL108" i="1"/>
  <c r="CI16" i="1"/>
  <c r="CJ17" i="1"/>
  <c r="CK113" i="1"/>
  <c r="N112" i="1"/>
  <c r="P113" i="1"/>
  <c r="BF17" i="1"/>
  <c r="BE16" i="1"/>
  <c r="AM16" i="1"/>
  <c r="AN17" i="1"/>
  <c r="BT15" i="1"/>
  <c r="BU15" i="1" s="1"/>
  <c r="BU16" i="1"/>
  <c r="BT14" i="1"/>
  <c r="CA109" i="1"/>
  <c r="BZ108" i="1"/>
  <c r="S121" i="1"/>
  <c r="R120" i="1"/>
  <c r="AW109" i="1"/>
  <c r="AV108" i="1"/>
  <c r="BK16" i="1"/>
  <c r="BL17" i="1"/>
  <c r="AY108" i="1"/>
  <c r="AZ109" i="1"/>
  <c r="AO109" i="1"/>
  <c r="AO108" i="1" s="1"/>
  <c r="AO107" i="1" s="1"/>
  <c r="AO14" i="1" s="1"/>
  <c r="AQ110" i="1"/>
  <c r="BZ16" i="1"/>
  <c r="CA17" i="1"/>
  <c r="P87" i="1"/>
  <c r="CK87" i="1"/>
  <c r="BO17" i="1"/>
  <c r="BN16" i="1"/>
  <c r="BX109" i="1"/>
  <c r="BW108" i="1"/>
  <c r="CH14" i="1"/>
  <c r="CH15" i="1"/>
  <c r="BG108" i="1"/>
  <c r="BI109" i="1"/>
  <c r="O121" i="1"/>
  <c r="P122" i="1"/>
  <c r="CK122" i="1"/>
  <c r="R19" i="1"/>
  <c r="S20" i="1"/>
  <c r="BS107" i="1"/>
  <c r="BS14" i="1" s="1"/>
  <c r="BU108" i="1"/>
  <c r="O85" i="1"/>
  <c r="P74" i="1"/>
  <c r="T115" i="1"/>
  <c r="V116" i="1"/>
  <c r="AQ115" i="1"/>
  <c r="AP109" i="1"/>
  <c r="CK100" i="1"/>
  <c r="N99" i="1"/>
  <c r="AD108" i="1"/>
  <c r="AE109" i="1"/>
  <c r="CK119" i="1"/>
  <c r="N117" i="1"/>
  <c r="P119" i="1"/>
  <c r="S127" i="1"/>
  <c r="R126" i="1"/>
  <c r="AS16" i="1"/>
  <c r="AT17" i="1"/>
  <c r="R129" i="1"/>
  <c r="S129" i="1" s="1"/>
  <c r="S130" i="1"/>
  <c r="BB16" i="1"/>
  <c r="BC17" i="1"/>
  <c r="P26" i="1"/>
  <c r="CK26" i="1"/>
  <c r="CK95" i="1"/>
  <c r="P95" i="1"/>
  <c r="N93" i="1"/>
  <c r="BI124" i="1"/>
  <c r="BH107" i="1"/>
  <c r="P41" i="1"/>
  <c r="CK41" i="1"/>
  <c r="O88" i="1"/>
  <c r="P88" i="1" s="1"/>
  <c r="P89" i="1"/>
  <c r="CK83" i="1"/>
  <c r="BO108" i="1"/>
  <c r="BN107" i="1"/>
  <c r="BO107" i="1" s="1"/>
  <c r="O20" i="1"/>
  <c r="P21" i="1"/>
  <c r="CK21" i="1"/>
  <c r="CK54" i="1"/>
  <c r="P76" i="1"/>
  <c r="CK76" i="1"/>
  <c r="X17" i="1"/>
  <c r="Y18" i="1"/>
  <c r="Q116" i="1"/>
  <c r="S117" i="1"/>
  <c r="AD16" i="1"/>
  <c r="AE17" i="1"/>
  <c r="P128" i="1"/>
  <c r="O127" i="1"/>
  <c r="CD17" i="1"/>
  <c r="CC16" i="1"/>
  <c r="O130" i="1"/>
  <c r="P131" i="1"/>
  <c r="CK131" i="1"/>
  <c r="CK79" i="1"/>
  <c r="CK74" i="1"/>
  <c r="R133" i="1"/>
  <c r="S133" i="1" s="1"/>
  <c r="S134" i="1"/>
  <c r="P96" i="1"/>
  <c r="AZ17" i="1"/>
  <c r="AY16" i="1"/>
  <c r="P90" i="1"/>
  <c r="CK90" i="1"/>
  <c r="CE108" i="1"/>
  <c r="CG109" i="1"/>
  <c r="P68" i="1"/>
  <c r="CK68" i="1"/>
  <c r="X124" i="1"/>
  <c r="Y124" i="1" s="1"/>
  <c r="Y125" i="1"/>
  <c r="BQ16" i="1"/>
  <c r="BR17" i="1"/>
  <c r="AP17" i="1"/>
  <c r="AQ18" i="1"/>
  <c r="AB109" i="1"/>
  <c r="AA108" i="1"/>
  <c r="O134" i="1"/>
  <c r="P135" i="1"/>
  <c r="CK135" i="1"/>
  <c r="CK32" i="1"/>
  <c r="AI108" i="1"/>
  <c r="AK109" i="1"/>
  <c r="AH17" i="1"/>
  <c r="AG16" i="1"/>
  <c r="W14" i="1" l="1"/>
  <c r="CI107" i="1"/>
  <c r="CJ107" i="1" s="1"/>
  <c r="AW16" i="1"/>
  <c r="CK57" i="1"/>
  <c r="O73" i="1"/>
  <c r="O72" i="1" s="1"/>
  <c r="S72" i="1"/>
  <c r="P104" i="1"/>
  <c r="BH15" i="1"/>
  <c r="BI15" i="1" s="1"/>
  <c r="BI16" i="1"/>
  <c r="CG16" i="1"/>
  <c r="CF15" i="1"/>
  <c r="CG15" i="1" s="1"/>
  <c r="CK99" i="1"/>
  <c r="N19" i="1"/>
  <c r="N18" i="1" s="1"/>
  <c r="CD108" i="1"/>
  <c r="CC107" i="1"/>
  <c r="CD107" i="1" s="1"/>
  <c r="CK44" i="1"/>
  <c r="AG107" i="1"/>
  <c r="AH107" i="1" s="1"/>
  <c r="AH108" i="1"/>
  <c r="BR108" i="1"/>
  <c r="BQ107" i="1"/>
  <c r="BR107" i="1" s="1"/>
  <c r="S73" i="1"/>
  <c r="S19" i="1"/>
  <c r="R18" i="1"/>
  <c r="S120" i="1"/>
  <c r="R115" i="1"/>
  <c r="V18" i="1"/>
  <c r="U17" i="1"/>
  <c r="CC15" i="1"/>
  <c r="CD15" i="1" s="1"/>
  <c r="CD16" i="1"/>
  <c r="Q115" i="1"/>
  <c r="S116" i="1"/>
  <c r="P20" i="1"/>
  <c r="O19" i="1"/>
  <c r="CK20" i="1"/>
  <c r="BH14" i="1"/>
  <c r="BC16" i="1"/>
  <c r="BB15" i="1"/>
  <c r="BC15" i="1" s="1"/>
  <c r="CK117" i="1"/>
  <c r="N116" i="1"/>
  <c r="P117" i="1"/>
  <c r="AW108" i="1"/>
  <c r="AV107" i="1"/>
  <c r="N125" i="1"/>
  <c r="CA16" i="1"/>
  <c r="BZ15" i="1"/>
  <c r="CA15" i="1" s="1"/>
  <c r="CJ16" i="1"/>
  <c r="CI15" i="1"/>
  <c r="CJ15" i="1" s="1"/>
  <c r="Y109" i="1"/>
  <c r="X108" i="1"/>
  <c r="AA15" i="1"/>
  <c r="AB15" i="1" s="1"/>
  <c r="AB16" i="1"/>
  <c r="CK93" i="1"/>
  <c r="P93" i="1"/>
  <c r="N73" i="1"/>
  <c r="P73" i="1" s="1"/>
  <c r="AE108" i="1"/>
  <c r="AD107" i="1"/>
  <c r="AE107" i="1" s="1"/>
  <c r="BE15" i="1"/>
  <c r="BF15" i="1" s="1"/>
  <c r="BF16" i="1"/>
  <c r="BE14" i="1"/>
  <c r="BF14" i="1" s="1"/>
  <c r="AN108" i="1"/>
  <c r="AM107" i="1"/>
  <c r="AN107" i="1" s="1"/>
  <c r="U124" i="1"/>
  <c r="V124" i="1" s="1"/>
  <c r="V125" i="1"/>
  <c r="AG15" i="1"/>
  <c r="AH15" i="1" s="1"/>
  <c r="AH16" i="1"/>
  <c r="Y17" i="1"/>
  <c r="X16" i="1"/>
  <c r="AQ17" i="1"/>
  <c r="AP16" i="1"/>
  <c r="AY15" i="1"/>
  <c r="AZ15" i="1" s="1"/>
  <c r="AZ16" i="1"/>
  <c r="AT16" i="1"/>
  <c r="AS14" i="1"/>
  <c r="AT14" i="1" s="1"/>
  <c r="AS15" i="1"/>
  <c r="AT15" i="1" s="1"/>
  <c r="P85" i="1"/>
  <c r="CK85" i="1"/>
  <c r="BN15" i="1"/>
  <c r="BO15" i="1" s="1"/>
  <c r="BO16" i="1"/>
  <c r="BN14" i="1"/>
  <c r="BO14" i="1" s="1"/>
  <c r="BZ107" i="1"/>
  <c r="CA107" i="1" s="1"/>
  <c r="CA108" i="1"/>
  <c r="T109" i="1"/>
  <c r="T108" i="1" s="1"/>
  <c r="T107" i="1" s="1"/>
  <c r="T14" i="1" s="1"/>
  <c r="V110" i="1"/>
  <c r="T15" i="1"/>
  <c r="BU107" i="1"/>
  <c r="AE16" i="1"/>
  <c r="AD14" i="1"/>
  <c r="AE14" i="1" s="1"/>
  <c r="AD15" i="1"/>
  <c r="AE15" i="1" s="1"/>
  <c r="R125" i="1"/>
  <c r="S126" i="1"/>
  <c r="O120" i="1"/>
  <c r="P121" i="1"/>
  <c r="CK121" i="1"/>
  <c r="AZ108" i="1"/>
  <c r="AY107" i="1"/>
  <c r="AZ107" i="1" s="1"/>
  <c r="P99" i="1"/>
  <c r="BB107" i="1"/>
  <c r="BC107" i="1" s="1"/>
  <c r="BC108" i="1"/>
  <c r="O126" i="1"/>
  <c r="P127" i="1"/>
  <c r="P134" i="1"/>
  <c r="O133" i="1"/>
  <c r="CK134" i="1"/>
  <c r="BR16" i="1"/>
  <c r="BQ14" i="1"/>
  <c r="BR14" i="1" s="1"/>
  <c r="BQ15" i="1"/>
  <c r="BR15" i="1" s="1"/>
  <c r="CE107" i="1"/>
  <c r="CE14" i="1" s="1"/>
  <c r="CG108" i="1"/>
  <c r="AP108" i="1"/>
  <c r="AQ109" i="1"/>
  <c r="BU14" i="1"/>
  <c r="N111" i="1"/>
  <c r="CK112" i="1"/>
  <c r="P112" i="1"/>
  <c r="CK88" i="1"/>
  <c r="BW107" i="1"/>
  <c r="BX108" i="1"/>
  <c r="AN16" i="1"/>
  <c r="AM15" i="1"/>
  <c r="AN15" i="1" s="1"/>
  <c r="Q110" i="1"/>
  <c r="S111" i="1"/>
  <c r="AI107" i="1"/>
  <c r="AK108" i="1"/>
  <c r="AA107" i="1"/>
  <c r="AB107" i="1" s="1"/>
  <c r="AB108" i="1"/>
  <c r="P130" i="1"/>
  <c r="O129" i="1"/>
  <c r="CK130" i="1"/>
  <c r="BG107" i="1"/>
  <c r="BG14" i="1" s="1"/>
  <c r="BI108" i="1"/>
  <c r="BK14" i="1"/>
  <c r="BL14" i="1" s="1"/>
  <c r="BK15" i="1"/>
  <c r="BL15" i="1" s="1"/>
  <c r="BL16" i="1"/>
  <c r="CF14" i="1"/>
  <c r="V115" i="1"/>
  <c r="U109" i="1"/>
  <c r="CK127" i="1"/>
  <c r="AM14" i="1" l="1"/>
  <c r="AN14" i="1" s="1"/>
  <c r="CI14" i="1"/>
  <c r="CJ14" i="1" s="1"/>
  <c r="CC14" i="1"/>
  <c r="CD14" i="1" s="1"/>
  <c r="AG14" i="1"/>
  <c r="AH14" i="1" s="1"/>
  <c r="CG14" i="1"/>
  <c r="BI107" i="1"/>
  <c r="BI14" i="1"/>
  <c r="CG107" i="1"/>
  <c r="BX107" i="1"/>
  <c r="BW14" i="1"/>
  <c r="BX14" i="1" s="1"/>
  <c r="P133" i="1"/>
  <c r="CK133" i="1"/>
  <c r="U16" i="1"/>
  <c r="V17" i="1"/>
  <c r="AI14" i="1"/>
  <c r="AK14" i="1" s="1"/>
  <c r="AK107" i="1"/>
  <c r="AP107" i="1"/>
  <c r="AQ107" i="1" s="1"/>
  <c r="AQ108" i="1"/>
  <c r="N115" i="1"/>
  <c r="CK116" i="1"/>
  <c r="P116" i="1"/>
  <c r="O18" i="1"/>
  <c r="P19" i="1"/>
  <c r="CK19" i="1"/>
  <c r="CK111" i="1"/>
  <c r="N110" i="1"/>
  <c r="P111" i="1"/>
  <c r="AY14" i="1"/>
  <c r="AZ14" i="1" s="1"/>
  <c r="V109" i="1"/>
  <c r="U108" i="1"/>
  <c r="AP15" i="1"/>
  <c r="AQ15" i="1" s="1"/>
  <c r="AQ16" i="1"/>
  <c r="Y108" i="1"/>
  <c r="X107" i="1"/>
  <c r="Y107" i="1" s="1"/>
  <c r="BZ14" i="1"/>
  <c r="CA14" i="1" s="1"/>
  <c r="S115" i="1"/>
  <c r="R109" i="1"/>
  <c r="Q109" i="1"/>
  <c r="Q108" i="1" s="1"/>
  <c r="Q107" i="1" s="1"/>
  <c r="Q14" i="1" s="1"/>
  <c r="S110" i="1"/>
  <c r="Q15" i="1"/>
  <c r="P126" i="1"/>
  <c r="O125" i="1"/>
  <c r="CK125" i="1" s="1"/>
  <c r="P120" i="1"/>
  <c r="CK120" i="1"/>
  <c r="O115" i="1"/>
  <c r="AW107" i="1"/>
  <c r="AV14" i="1"/>
  <c r="AW14" i="1" s="1"/>
  <c r="AA14" i="1"/>
  <c r="AB14" i="1" s="1"/>
  <c r="P129" i="1"/>
  <c r="CK129" i="1"/>
  <c r="X15" i="1"/>
  <c r="Y15" i="1" s="1"/>
  <c r="Y16" i="1"/>
  <c r="N72" i="1"/>
  <c r="P72" i="1" s="1"/>
  <c r="CK73" i="1"/>
  <c r="N124" i="1"/>
  <c r="BB14" i="1"/>
  <c r="BC14" i="1" s="1"/>
  <c r="R17" i="1"/>
  <c r="S18" i="1"/>
  <c r="S125" i="1"/>
  <c r="R124" i="1"/>
  <c r="S124" i="1" s="1"/>
  <c r="CK126" i="1"/>
  <c r="AP14" i="1" l="1"/>
  <c r="AQ14" i="1" s="1"/>
  <c r="X14" i="1"/>
  <c r="Y14" i="1" s="1"/>
  <c r="P115" i="1"/>
  <c r="O109" i="1"/>
  <c r="R108" i="1"/>
  <c r="S109" i="1"/>
  <c r="V108" i="1"/>
  <c r="U107" i="1"/>
  <c r="V107" i="1" s="1"/>
  <c r="O17" i="1"/>
  <c r="P18" i="1"/>
  <c r="CK18" i="1"/>
  <c r="S17" i="1"/>
  <c r="R16" i="1"/>
  <c r="V16" i="1"/>
  <c r="U15" i="1"/>
  <c r="V15" i="1" s="1"/>
  <c r="O124" i="1"/>
  <c r="P124" i="1" s="1"/>
  <c r="P125" i="1"/>
  <c r="CK115" i="1"/>
  <c r="N109" i="1"/>
  <c r="CK110" i="1"/>
  <c r="P110" i="1"/>
  <c r="CK72" i="1"/>
  <c r="N17" i="1"/>
  <c r="CK124" i="1" l="1"/>
  <c r="U14" i="1"/>
  <c r="V14" i="1" s="1"/>
  <c r="O16" i="1"/>
  <c r="P17" i="1"/>
  <c r="N16" i="1"/>
  <c r="CK17" i="1"/>
  <c r="R15" i="1"/>
  <c r="S15" i="1" s="1"/>
  <c r="S16" i="1"/>
  <c r="S108" i="1"/>
  <c r="R107" i="1"/>
  <c r="S107" i="1" s="1"/>
  <c r="CK109" i="1"/>
  <c r="N108" i="1"/>
  <c r="O108" i="1"/>
  <c r="P109" i="1"/>
  <c r="R14" i="1" l="1"/>
  <c r="S14" i="1" s="1"/>
  <c r="P108" i="1"/>
  <c r="O107" i="1"/>
  <c r="CK108" i="1"/>
  <c r="N107" i="1"/>
  <c r="CK107" i="1" s="1"/>
  <c r="N15" i="1"/>
  <c r="CK16" i="1"/>
  <c r="O15" i="1"/>
  <c r="P16" i="1"/>
  <c r="CK15" i="1" l="1"/>
  <c r="N14" i="1"/>
  <c r="P107" i="1"/>
  <c r="P15" i="1"/>
  <c r="O14" i="1"/>
  <c r="CK14" i="1" l="1"/>
  <c r="P14" i="1"/>
</calcChain>
</file>

<file path=xl/sharedStrings.xml><?xml version="1.0" encoding="utf-8"?>
<sst xmlns="http://schemas.openxmlformats.org/spreadsheetml/2006/main" count="508" uniqueCount="166">
  <si>
    <t>ឧបសម្ព័ន្ធទី២៖ របាយការណ៍អនុវត្តចំណូលថវិកា  ប្រចាំឆ្នាំ​២០២១ របស់ក្រសួងសេដ្ឋកិច្ចនិងហិរញ្ញវត្ថុ</t>
  </si>
  <si>
    <t>តួលេខគិតត្រឹមថ្ងៃទី១០ ខែកុម្ភៈ ឆ្នាំ២០២២</t>
  </si>
  <si>
    <t>ឯកតា៖ លានរៀល</t>
  </si>
  <si>
    <t>ជំពូក</t>
  </si>
  <si>
    <t>គណនី</t>
  </si>
  <si>
    <t>អនុគណនី</t>
  </si>
  <si>
    <t>ចំណាត់ថ្នាក់ចំណូល</t>
  </si>
  <si>
    <t>សរុបទាំងពន្ធដារថ្នាក់ក្រោមជាតិ</t>
  </si>
  <si>
    <t>សរុបរួម</t>
  </si>
  <si>
    <t>សរុបរដ្ឋបាលកណ្ដាល</t>
  </si>
  <si>
    <t>ផ្នែកទី១ ទីស្ដីការក្រសួង</t>
  </si>
  <si>
    <t>ផ្នែកទី២ គយនិងរដ្ឋាករ</t>
  </si>
  <si>
    <t>ផ្នែកទី៣ ពន្ធដារ</t>
  </si>
  <si>
    <t>ផ្នែកទី៩ មន្ទីរ សហវ. រាជធានី ខេត្ត</t>
  </si>
  <si>
    <t>ផ្សេងៗ៖ ពន្ធដារថ្នាក់ក្រោមជាតិ</t>
  </si>
  <si>
    <t>(សរុបរួម+ពន្ធដារថ្នាក់ក្រោមជាតិ)</t>
  </si>
  <si>
    <t>(រដ្ឋបាលកណ្ដាល+មន្ទីរ សហវ.)</t>
  </si>
  <si>
    <t>(ផ្នែកទី១+២+៣)</t>
  </si>
  <si>
    <t>សរុបទីស្ដីការក្រសួង</t>
  </si>
  <si>
    <t>១.១ អគ្គ.ឧស្សាហកម្មហិរញ្ញវត្ថុ​</t>
  </si>
  <si>
    <t>១.២ អគ្គ.សហប្រតិ.អន្តរ.គ្រប់.បំណុល</t>
  </si>
  <si>
    <t>១.៣ និយ័តករគណនេយ្យនិងសវនកម្ម</t>
  </si>
  <si>
    <t>សរុបមន្ទីរ សហវ. រាជធានី ខេត្ត</t>
  </si>
  <si>
    <t>៩.៤ មន្ទីរ សហវ. ខេត្តកំពង់ឆ្នាំង</t>
  </si>
  <si>
    <t>៩.៥ មន្ទីរ សហវ. ខេត្តកំពង់ស្ពឺ</t>
  </si>
  <si>
    <t>៩.៧ មន្ទីរ សហវ. ខេត្តកំពត</t>
  </si>
  <si>
    <t>៩.៨ មន្ទីរ សហវ. ខេត្តកណ្តាល</t>
  </si>
  <si>
    <t>៩.១២ មន្ទីរ សហវ. ភ្នំពេញ</t>
  </si>
  <si>
    <t>៩.១៣ មន្ទីរ សហវ. ខេត្តព្រះវិហារ</t>
  </si>
  <si>
    <t>៩.១៥ មន្ទីរ សហវ. ខេត្តពោធិ៍សាត់</t>
  </si>
  <si>
    <t>៩.១៦ មន្ទីរ សហវ. ខេត្តរតនគិរី</t>
  </si>
  <si>
    <t>៩.១៧ មន្ទីរ សហវ. ខេត្តសៀមរាប</t>
  </si>
  <si>
    <t>៩.១៨ មន្ទីរ សហវ. ខេត្តព្រះសីហនុ</t>
  </si>
  <si>
    <t>៩.២០ មន្ទីរ សហវ. ខេត្តស្វាយរៀង</t>
  </si>
  <si>
    <t>៩.២១ មន្ទីរ សហវ. ខេត្តតាកែវ</t>
  </si>
  <si>
    <t>៩.២៣ មន្ទីរ សហវ. ខេត្តកែប</t>
  </si>
  <si>
    <t>៩.២៤ មន្ទីរ សហវ. ខេត្តប៉ៃលិន</t>
  </si>
  <si>
    <t>ច្បាប់ហិរញ្ញវត្ថុ</t>
  </si>
  <si>
    <t>អនុវត្ត</t>
  </si>
  <si>
    <t>អនុ/ច្បាប់</t>
  </si>
  <si>
    <t>សរុបរួមចំណូល (ក+ខ)</t>
  </si>
  <si>
    <t>ក្នុងនោះចំណូលក្នុងប្រទេស</t>
  </si>
  <si>
    <t>ក. សរុបចំណូលចរន្ត (ក្រុមទី១+ក្រុមទី២)</t>
  </si>
  <si>
    <t>ក្រុមទី១: ចំណូលពិត (ប្រភេទទី១+ប្រភេទទី២)</t>
  </si>
  <si>
    <t>ប្រភេទទី១: ចំណូលសារពើពន្ធ</t>
  </si>
  <si>
    <t>ចំណូលសារពើពន្ធក្នុងស្រុក</t>
  </si>
  <si>
    <t>ពន្ធផ្ទាល់ (ពន្ធលើផលទុន ប្រាក់ចំណូល)</t>
  </si>
  <si>
    <t>ពន្ធលើប្រាក់ចំណូល (រូបវន្តបុគ្គល)</t>
  </si>
  <si>
    <t>ពន្ធលើប្រាក់ចំណូល (នីតិបុគ្គល)</t>
  </si>
  <si>
    <t>ពន្ធលើប្រាក់បៀវត្ស</t>
  </si>
  <si>
    <t>ពន្ធលើឈ្នួលចលននិងអចលនទ្រព្យ (រូបវន្ដបុគ្គល)</t>
  </si>
  <si>
    <t>ពន្ធលើឈ្នួលចលននិងអចលនទ្រព្យ (នីតិបុគ្គល)</t>
  </si>
  <si>
    <t>ពន្ធប្រយោល</t>
  </si>
  <si>
    <t>អាករលើផលរបរ</t>
  </si>
  <si>
    <t xml:space="preserve">អាករលើតម្លៃបន្ថែម </t>
  </si>
  <si>
    <t>អាករលើតម្លៃបន្ថែម (របបនាំចូល) សហគ្រាសប្រេងឥន្ធនៈ</t>
  </si>
  <si>
    <t>អាករលើតម្លៃបន្ថែម (របបនាំចូល) សហគ្រាសផ្សេងៗទៀត</t>
  </si>
  <si>
    <t>អាករលើតម្លៃបន្ថែម (របបនាំចូល) ទំនិញជាសម្ភារៈកសិកម្ម (ជាបន្ទុករបស់រដ្ឋ)</t>
  </si>
  <si>
    <t>អាករពិសេស</t>
  </si>
  <si>
    <t>អាករពិសេសលើទំនិញមួយចំនួន៖ របបផ្ទៃក្នុង</t>
  </si>
  <si>
    <t>អាករពិសេសលើទំនិញមួយចំនួន (របបនាំចូល) សហគ្រាសប្រេងឥន្ធនៈ</t>
  </si>
  <si>
    <t>អាករពិសេសលើទំនិញមួយចំនួន (របបនាំចូល) សហគ្រាសផ្សេងៗទៀត</t>
  </si>
  <si>
    <t>អាករពិសេសលើសេវាមួយចំនួន</t>
  </si>
  <si>
    <t>អាករសម្រាប់បំភ្លឺសាធារណៈ</t>
  </si>
  <si>
    <t>អាករលើសេវាដែលបានកំណត់</t>
  </si>
  <si>
    <t>អាករលើការស្នាក់នៅ</t>
  </si>
  <si>
    <t>ពន្ធសត្តឃាត</t>
  </si>
  <si>
    <t>អាករលើការប្រើប្រាស់ទ្រព្យសម្បត្តិឬការអនុវត្តសកម្មភាព</t>
  </si>
  <si>
    <t>ពន្ធប៉ាតង់</t>
  </si>
  <si>
    <t>ពន្ធលើមធ្យោបាយដឹកជញ្ជូននិងយានយន្តគ្រប់ប្រភេទ</t>
  </si>
  <si>
    <t>ពន្ធប្រថាប់ត្រា</t>
  </si>
  <si>
    <t>ពន្ធប្រថាប់ត្រាលើតម្លៃអចលនទ្រព្យចំពោះការផ្ទេរកម្មសិទ្ធឬសិទ្ធកាន់កាប់</t>
  </si>
  <si>
    <t>ពន្ធប្រថាប់ត្រាលើតម្លៃមធ្យោបាយដឹកជញ្ជូនឫយានយន្តចំពោះការផ្ទេរកម្មសិទ្ធឬសិទ្ធកាន់កាប់</t>
  </si>
  <si>
    <t>ពន្ធប្រថាប់ត្រាលើតម្លៃភាគហ៊ុនចំពោះការផ្ទេរ</t>
  </si>
  <si>
    <t>ពន្ធប្រថាប់ត្រាលើតម្លៃកិច្ចសន្យាផ្គត់ផ្គង់ទំនិញឬសេវា</t>
  </si>
  <si>
    <t>ពន្ធប្រថាប់ត្រាលើលិខិតមានលក្ខណៈគតិយុត្តិ</t>
  </si>
  <si>
    <t>ពន្ធលើអចលនទ្រព្យ</t>
  </si>
  <si>
    <t>ពន្ធលើអចលនទ្រព្យ (រូបវន្តបុគ្គល)</t>
  </si>
  <si>
    <t>ពន្ធលើអចលនទ្រព្យ (នីតិបុគ្គល)</t>
  </si>
  <si>
    <t>ពន្ធលើដីធ្លីមិនបានប្រើប្រាស់</t>
  </si>
  <si>
    <t>ចំណូលសារពើពន្ធផ្សេងៗទៀត</t>
  </si>
  <si>
    <t>ពន្ធតែមប្រ៏</t>
  </si>
  <si>
    <t>ប្រាក់ទោសទណ្ឌសារពើពន្ធ</t>
  </si>
  <si>
    <t>ចំណូលពន្ធលើពាណិជ្ជកម្មក្រៅប្រទេស</t>
  </si>
  <si>
    <t>ពន្ធនិងអាករលើការនាំចូល</t>
  </si>
  <si>
    <t>ពន្ធគយពីការនាំចូល</t>
  </si>
  <si>
    <t>កម្រៃពីការងារគយ</t>
  </si>
  <si>
    <t>ពន្ធគយលើផលិតផលតេលសីលា</t>
  </si>
  <si>
    <t>អាករបន្ថែមលើផលិតផលតែលសិលាសម្រាប់ថែទាំផ្លូវថ្នល់</t>
  </si>
  <si>
    <t>ផលនៃការលក់ផ្នែកគយ</t>
  </si>
  <si>
    <t>ពិន័យផ្សេងៗលើការនាំចូល</t>
  </si>
  <si>
    <t>ពន្ធនាំចូលទំនិញជាវត្ថុធាតុដើមសម្រាប់ផលិតឱសថ (ជាបន្ទុករបស់រដ្ឋ)</t>
  </si>
  <si>
    <t>ពន្ធនិងអាករលើការនាំចេញ</t>
  </si>
  <si>
    <t>អាករលើការនាំចេញឈើ</t>
  </si>
  <si>
    <t>អាករលើការនាំចេញកៅស៊ូ</t>
  </si>
  <si>
    <t>អាករលើការនាំចេញទំនិញផ្សេងៗ</t>
  </si>
  <si>
    <t>កម្រៃគ្រប់គ្រង និង​ទិដ្ឋាការនាំចេញ</t>
  </si>
  <si>
    <t>ពិន័យផ្សេងៗលើការនាំចេញ</t>
  </si>
  <si>
    <t>ប្រភេទទី២: ចំណូលមិនមែនសារពើពន្ធ</t>
  </si>
  <si>
    <t>ផលទុនពីការលក់ ជួលទ្រព្យសម្បត្តិ និងសេវា</t>
  </si>
  <si>
    <t>ផលទុនតាមវិស័យ</t>
  </si>
  <si>
    <t>ផលទុនអាកាសចរស៊ីវិល</t>
  </si>
  <si>
    <t>ការលក់ទ្រព្យសម្បត្តិនៃរដ្ឋបាលសាធារណៈ</t>
  </si>
  <si>
    <t>ការលក់សម្ភារៈបរិក្ខារ សម្ភារៈខូចខាត សម្ភារៈសិក្សា</t>
  </si>
  <si>
    <t>លក់ឯកសារ លតាប័ត្រ និង លិខិតបោះពុម្ភផ្សេងៗ</t>
  </si>
  <si>
    <t>ផលពីការគ្រប់គ្រងរដ្ឋបាល (1)</t>
  </si>
  <si>
    <t>ផលពីការបង្កើតសហគ្រាស (សេវាចុះបញ្ជី)</t>
  </si>
  <si>
    <t>ផលពីការបង់សិទ្ធិប្រឡង</t>
  </si>
  <si>
    <t>ចំណូលពីការអនុញ្ញាតរដ្ឋបាល ទម្រង់ការរដ្ឋបាល និងការគ្រប់គ្រងរដ្ឋបាលផ្សេងៗ</t>
  </si>
  <si>
    <t>ការជួលទ្រព្យសម្បត្តិអចល័ត</t>
  </si>
  <si>
    <t>ការជួលអចលនវត្ថុ (អសង្ហារឹម)</t>
  </si>
  <si>
    <t>ការផ្តល់សេវាកម្ម</t>
  </si>
  <si>
    <t>សេវាលើពន្ធប្រថាប់ត្រា</t>
  </si>
  <si>
    <t>ផលពីសេវាផ្សេងៗទៀត</t>
  </si>
  <si>
    <t>កម្រៃប្រតិបត្តិការផ្សេងៗទៀត</t>
  </si>
  <si>
    <t>ចំណូលកាតព្វកិច្ចពីកាស៊ីណូ</t>
  </si>
  <si>
    <t>ចំណូលកាតព្វកិច្ចពីឆ្នោត</t>
  </si>
  <si>
    <t>ចំណូលកាតព្វកិច្ចពីល្បែងភ្នាល់ផ្សេងៗ</t>
  </si>
  <si>
    <t>ចំណូលពីអាជ្ញាប័ណ្ណក្នុងស្រុក</t>
  </si>
  <si>
    <t>ការជួលទ្រព្យសម្បត្តិរដ្ឋ</t>
  </si>
  <si>
    <t>ការជួលដីទំនេរ</t>
  </si>
  <si>
    <t>ការជួលដីមានអគារ</t>
  </si>
  <si>
    <t>ផលពីការគ្រប់គ្រងរដ្ឋបាល (2)</t>
  </si>
  <si>
    <t>ចំណូលពីការចុះបញ្ជីយានយន្ត និងជលយាន</t>
  </si>
  <si>
    <t>ផលពីការត្រួតពិនិត្យគុណភាពផលិតផល និងការគោរពបទដ្ឋាន</t>
  </si>
  <si>
    <t>ផលហិរញ្ញវត្ថុ</t>
  </si>
  <si>
    <t>ការប្រាក់នៃការឱ្យខ្ចី</t>
  </si>
  <si>
    <t>ការប្រាក់លើការឱ្យខ្ចី</t>
  </si>
  <si>
    <t>ផលហិរ​ញ្ញវត្ថុផ្សេងទៀត</t>
  </si>
  <si>
    <t>ផលហិរញ្ញ​វត្ថុផ្សេងទៀត</t>
  </si>
  <si>
    <t>ផលផ្សេងៗ និង​ផលពិសេស</t>
  </si>
  <si>
    <t>ផលពិសេសផ្សេងៗទៀត</t>
  </si>
  <si>
    <t>ខ. សរុបចំណូលមូលធន</t>
  </si>
  <si>
    <t>សរុបចំណូលមូលធនឆ្លងកាត់អគ្គនាយកដ្ឋានរតនាគារជាតិ (ក្រុមទី១+ក្រុមទី២)</t>
  </si>
  <si>
    <t>ប្រភេទទី១: ចំណូលពីប្រភពផ្ទាល់</t>
  </si>
  <si>
    <t>អចលកម្មហិរញ្ញវត្ថុផ្សេងៗ</t>
  </si>
  <si>
    <t>ការឱ្យខ្ចី (ការសងវិញនូវមូលធន)</t>
  </si>
  <si>
    <t>ការឱ្យខ្ចីទៅសហគ្រាសសាធារណៈ</t>
  </si>
  <si>
    <t>ប្រភេទទី២: ចំណូលពីប្រភពខាងក្រៅ</t>
  </si>
  <si>
    <t>ការឧបត្ថម្ភ និងអំណោយ</t>
  </si>
  <si>
    <t>ឧបត្ថម្ភធនពីក្រៅប្រទេសសម្រាប់ចំណាយវិនិយោគ</t>
  </si>
  <si>
    <t>ឧបត្ថម្ភធនពីក្រៅប្រទេស-ទ្វេភាគី សម្រាប់ចំណាយវិនិយោគ</t>
  </si>
  <si>
    <t>ឧបត្ថម្ភធនពីក្រៅប្រទេស-ពហុភាគី សម្រាប់ចំណាយវិនិយោគ</t>
  </si>
  <si>
    <t>ការខ្ចីប្រាក់ និងបំណុលប្រហាក់ប្រហែល</t>
  </si>
  <si>
    <t>ការខ្ចីក្រៅប្រទេស</t>
  </si>
  <si>
    <t>ការខ្ចីក្រៅប្រទេស-ពហុភាគី</t>
  </si>
  <si>
    <t>ការខ្ចីក្រៅប្រទេស-ទ្វេភាគី</t>
  </si>
  <si>
    <t>សរុបចំណូលមូលធនមិនឆ្លងកាត់អគ្គនាយកដ្ឋានរតនាគារជាតិ
(វិនិយោគសាធារណៈ​ដោយ​ហិរញ្ញប្បទាន​ក្រៅប្រទេស)</t>
  </si>
  <si>
    <t>ចំណូលពីការផាកពិន័យ និងការដាក់ទណ្ឌកម្ម</t>
  </si>
  <si>
    <t>ផលពីការផាកពិន័យ និងការដាក់ទណ្ឌកម្ម</t>
  </si>
  <si>
    <t>ការពិន័យ និងការដាក់ទណ្ឌកម្មពិន័យជាសាច់ប្រាក់</t>
  </si>
  <si>
    <t>id</t>
  </si>
  <si>
    <t>entity_id</t>
  </si>
  <si>
    <t>account_group_id</t>
  </si>
  <si>
    <t>sub_account_id</t>
  </si>
  <si>
    <t>account_id</t>
  </si>
  <si>
    <t>-</t>
  </si>
  <si>
    <t/>
  </si>
  <si>
    <t>finance_rule</t>
  </si>
  <si>
    <t>actual_imple_budget</t>
  </si>
  <si>
    <t>percentage_imple_budget</t>
  </si>
  <si>
    <t>account_type</t>
  </si>
  <si>
    <t>account_type_group_id</t>
  </si>
  <si>
    <t>acc_group_id</t>
  </si>
  <si>
    <t>acc_id</t>
  </si>
  <si>
    <t>g_id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</si>
</sst>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-* #,##0.0_-;\-* #,##0.0_-;_-* &quot;-&quot;??_-;_-@_-"/>
    <numFmt numFmtId="165" formatCode="0.0%"/>
    <numFmt numFmtId="166" formatCode="_(* #,##0.0_);_(* \(#,##0.0\);_(* &quot;-&quot;?_);_(@_)"/>
    <numFmt numFmtId="167" formatCode="_(* #,##0.00_);_(* \(#,##0.00\);_(* &quot;-&quot;??_);_(@_)"/>
    <numFmt numFmtId="168" formatCode="[$-12000425]0"/>
    <numFmt numFmtId="169" formatCode="#,##0.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Khmer OS Siemreap"/>
    </font>
    <font>
      <sz val="10"/>
      <name val="Arial"/>
      <family val="2"/>
    </font>
    <font>
      <sz val="11"/>
      <color theme="1"/>
      <name val="Khmer OS Muol Light"/>
    </font>
    <font>
      <sz val="12"/>
      <color theme="1"/>
      <name val="Khmer MEF2"/>
    </font>
    <font>
      <i/>
      <sz val="10"/>
      <color theme="1"/>
      <name val="Khmer MEF1"/>
    </font>
    <font>
      <u/>
      <sz val="10"/>
      <color theme="1"/>
      <name val="Khmer MEF1"/>
    </font>
    <font>
      <sz val="10"/>
      <color theme="1"/>
      <name val="Khmer MEF1"/>
    </font>
    <font>
      <sz val="11"/>
      <color theme="1"/>
      <name val="Khmer MEF2"/>
    </font>
    <font>
      <sz val="10"/>
      <color theme="1"/>
      <name val="Khmer MEF2"/>
    </font>
    <font>
      <b/>
      <u/>
      <sz val="10"/>
      <color theme="1"/>
      <name val="Khmer MEF1"/>
    </font>
    <font>
      <sz val="8"/>
      <color theme="1"/>
      <name val="Khmer MEF1"/>
    </font>
    <font>
      <sz val="9"/>
      <color theme="1"/>
      <name val="Khmer MEF1"/>
    </font>
    <font>
      <sz val="10"/>
      <color rgb="FF008000"/>
      <name val="Khmer MEF2"/>
    </font>
    <font>
      <sz val="10"/>
      <color rgb="FF008000"/>
      <name val="Arial Narrow"/>
      <family val="2"/>
    </font>
    <font>
      <sz val="10"/>
      <name val="Times New Roman"/>
      <family val="1"/>
    </font>
    <font>
      <sz val="9"/>
      <color rgb="FF008000"/>
      <name val="Khmer MEF2"/>
    </font>
    <font>
      <b/>
      <sz val="10"/>
      <color rgb="FF008000"/>
      <name val="Arial Narrow"/>
      <family val="2"/>
    </font>
    <font>
      <b/>
      <sz val="10"/>
      <color rgb="FF008000"/>
      <name val="Khmer OS Siemreap"/>
    </font>
    <font>
      <sz val="10"/>
      <color rgb="FFC00000"/>
      <name val="Khmer MEF2"/>
    </font>
    <font>
      <sz val="10"/>
      <color rgb="FFC00000"/>
      <name val="Arial Narrow"/>
      <family val="2"/>
    </font>
    <font>
      <sz val="9"/>
      <color rgb="FFC00000"/>
      <name val="Khmer MEF2"/>
    </font>
    <font>
      <b/>
      <sz val="10"/>
      <color rgb="FFC00000"/>
      <name val="Arial Narrow"/>
      <family val="2"/>
    </font>
    <font>
      <b/>
      <sz val="10"/>
      <color rgb="FFC00000"/>
      <name val="Khmer OS Siemreap"/>
    </font>
    <font>
      <sz val="10"/>
      <color rgb="FF002060"/>
      <name val="Khmer MEF2"/>
    </font>
    <font>
      <sz val="10"/>
      <color rgb="FF002060"/>
      <name val="Arial Narrow"/>
      <family val="2"/>
    </font>
    <font>
      <sz val="9"/>
      <color rgb="FF002060"/>
      <name val="Khmer MEF2"/>
    </font>
    <font>
      <b/>
      <sz val="10"/>
      <color rgb="FF002060"/>
      <name val="Arial Narrow"/>
      <family val="2"/>
    </font>
    <font>
      <b/>
      <sz val="10"/>
      <color rgb="FF002060"/>
      <name val="Khmer OS Siemreap"/>
    </font>
    <font>
      <b/>
      <sz val="10"/>
      <color rgb="FFFF0000"/>
      <name val="Arial Narrow"/>
      <family val="2"/>
    </font>
    <font>
      <sz val="10"/>
      <color rgb="FFFF0000"/>
      <name val="Khmer MEF2"/>
    </font>
    <font>
      <sz val="8"/>
      <color rgb="FFFF0000"/>
      <name val="Arial"/>
      <family val="2"/>
    </font>
    <font>
      <b/>
      <sz val="10"/>
      <color rgb="FFFF0000"/>
      <name val="Khmer OS Siemreap"/>
    </font>
    <font>
      <sz val="10"/>
      <color rgb="FF0000CC"/>
      <name val="Arial Narrow"/>
      <family val="2"/>
    </font>
    <font>
      <b/>
      <sz val="10"/>
      <color rgb="FF0000CC"/>
      <name val="Arial Narrow"/>
      <family val="2"/>
    </font>
    <font>
      <b/>
      <sz val="10"/>
      <color rgb="FF0000CC"/>
      <name val="Khmer MEF1"/>
    </font>
    <font>
      <sz val="8"/>
      <color rgb="FF0000CC"/>
      <name val="Arial"/>
      <family val="2"/>
    </font>
    <font>
      <b/>
      <sz val="10"/>
      <color rgb="FF0000CC"/>
      <name val="Khmer OS Siemreap"/>
    </font>
    <font>
      <sz val="10"/>
      <name val="Arial Narrow"/>
      <family val="2"/>
    </font>
    <font>
      <sz val="10"/>
      <name val="Khmer MEF1"/>
    </font>
    <font>
      <b/>
      <sz val="10"/>
      <name val="Khmer OS Siemreap"/>
    </font>
    <font>
      <sz val="10"/>
      <name val="Khmer OS Siemreap"/>
    </font>
    <font>
      <sz val="10"/>
      <color rgb="FF0000CC"/>
      <name val="Khmer OS Siemreap"/>
    </font>
    <font>
      <sz val="10"/>
      <color theme="1"/>
      <name val="Arial Narrow"/>
      <family val="2"/>
    </font>
    <font>
      <sz val="11"/>
      <color theme="1"/>
      <name val="Khmer MEF1"/>
    </font>
    <font>
      <sz val="8"/>
      <name val="Arial"/>
      <family val="2"/>
    </font>
    <font>
      <b/>
      <sz val="10"/>
      <name val="Arial Narrow"/>
      <family val="2"/>
    </font>
    <font>
      <b/>
      <sz val="11"/>
      <color rgb="FF0000CC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7" tint="0.79998168889431442"/>
        <bgColor indexed="64"/>
      </patternFill>
    </fill>
  </fills>
  <borders count="48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0"/>
    <xf numFmtId="0" fontId="16" fillId="0" borderId="0"/>
    <xf numFmtId="43" fontId="1" fillId="0" borderId="0" applyFont="0" applyFill="0" applyBorder="0" applyAlignment="0" applyProtection="0"/>
  </cellStyleXfs>
  <cellXfs count="26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2" applyFont="1" applyAlignme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Continuous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8" fillId="2" borderId="13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15" fillId="0" borderId="16" xfId="3" applyNumberFormat="1" applyFont="1" applyBorder="1" applyAlignment="1" applyProtection="1">
      <alignment horizontal="centerContinuous" vertical="center"/>
      <protection locked="0"/>
    </xf>
    <xf numFmtId="0" fontId="15" fillId="0" borderId="16" xfId="0" applyFont="1" applyBorder="1" applyAlignment="1" applyProtection="1">
      <alignment horizontal="centerContinuous" vertical="center"/>
      <protection locked="0"/>
    </xf>
    <xf numFmtId="0" fontId="17" fillId="0" borderId="17" xfId="4" applyFont="1" applyBorder="1" applyAlignment="1">
      <alignment horizontal="centerContinuous" vertical="center"/>
    </xf>
    <xf numFmtId="164" fontId="18" fillId="2" borderId="9" xfId="5" applyNumberFormat="1" applyFont="1" applyFill="1" applyBorder="1" applyAlignment="1">
      <alignment horizontal="right" vertical="center"/>
    </xf>
    <xf numFmtId="165" fontId="18" fillId="2" borderId="9" xfId="1" applyNumberFormat="1" applyFont="1" applyFill="1" applyBorder="1" applyAlignment="1">
      <alignment horizontal="right" vertical="center"/>
    </xf>
    <xf numFmtId="164" fontId="18" fillId="3" borderId="9" xfId="5" applyNumberFormat="1" applyFont="1" applyFill="1" applyBorder="1" applyAlignment="1">
      <alignment horizontal="right" vertical="center"/>
    </xf>
    <xf numFmtId="165" fontId="18" fillId="3" borderId="9" xfId="1" applyNumberFormat="1" applyFont="1" applyFill="1" applyBorder="1" applyAlignment="1">
      <alignment horizontal="right" vertical="center"/>
    </xf>
    <xf numFmtId="164" fontId="18" fillId="0" borderId="9" xfId="5" applyNumberFormat="1" applyFont="1" applyFill="1" applyBorder="1" applyAlignment="1">
      <alignment horizontal="right" vertical="center"/>
    </xf>
    <xf numFmtId="165" fontId="18" fillId="0" borderId="9" xfId="1" applyNumberFormat="1" applyFont="1" applyFill="1" applyBorder="1" applyAlignment="1">
      <alignment horizontal="right" vertical="center"/>
    </xf>
    <xf numFmtId="164" fontId="18" fillId="0" borderId="17" xfId="5" applyNumberFormat="1" applyFont="1" applyFill="1" applyBorder="1" applyAlignment="1">
      <alignment horizontal="right" vertical="center"/>
    </xf>
    <xf numFmtId="165" fontId="18" fillId="0" borderId="18" xfId="1" applyNumberFormat="1" applyFont="1" applyFill="1" applyBorder="1" applyAlignment="1">
      <alignment horizontal="right" vertical="center"/>
    </xf>
    <xf numFmtId="165" fontId="18" fillId="0" borderId="0" xfId="1" applyNumberFormat="1" applyFont="1" applyFill="1" applyBorder="1" applyAlignment="1">
      <alignment vertical="center"/>
    </xf>
    <xf numFmtId="0" fontId="19" fillId="0" borderId="0" xfId="0" applyFont="1" applyAlignment="1">
      <alignment vertical="center"/>
    </xf>
    <xf numFmtId="49" fontId="15" fillId="0" borderId="20" xfId="3" applyNumberFormat="1" applyFont="1" applyBorder="1" applyAlignment="1" applyProtection="1">
      <alignment horizontal="centerContinuous" vertical="center"/>
      <protection locked="0"/>
    </xf>
    <xf numFmtId="0" fontId="15" fillId="0" borderId="20" xfId="0" applyFont="1" applyBorder="1" applyAlignment="1" applyProtection="1">
      <alignment horizontal="centerContinuous" vertical="center"/>
      <protection locked="0"/>
    </xf>
    <xf numFmtId="0" fontId="17" fillId="0" borderId="20" xfId="4" applyFont="1" applyBorder="1" applyAlignment="1">
      <alignment horizontal="centerContinuous" vertical="center"/>
    </xf>
    <xf numFmtId="164" fontId="18" fillId="2" borderId="20" xfId="5" applyNumberFormat="1" applyFont="1" applyFill="1" applyBorder="1" applyAlignment="1">
      <alignment horizontal="right" vertical="center"/>
    </xf>
    <xf numFmtId="165" fontId="18" fillId="2" borderId="20" xfId="1" applyNumberFormat="1" applyFont="1" applyFill="1" applyBorder="1" applyAlignment="1">
      <alignment horizontal="right" vertical="center"/>
    </xf>
    <xf numFmtId="164" fontId="18" fillId="3" borderId="20" xfId="5" applyNumberFormat="1" applyFont="1" applyFill="1" applyBorder="1" applyAlignment="1">
      <alignment horizontal="right" vertical="center"/>
    </xf>
    <xf numFmtId="165" fontId="18" fillId="3" borderId="20" xfId="1" applyNumberFormat="1" applyFont="1" applyFill="1" applyBorder="1" applyAlignment="1">
      <alignment horizontal="right" vertical="center"/>
    </xf>
    <xf numFmtId="164" fontId="18" fillId="0" borderId="20" xfId="5" applyNumberFormat="1" applyFont="1" applyFill="1" applyBorder="1" applyAlignment="1">
      <alignment horizontal="right" vertical="center"/>
    </xf>
    <xf numFmtId="165" fontId="18" fillId="0" borderId="20" xfId="1" applyNumberFormat="1" applyFont="1" applyFill="1" applyBorder="1" applyAlignment="1">
      <alignment horizontal="right" vertical="center"/>
    </xf>
    <xf numFmtId="164" fontId="18" fillId="0" borderId="21" xfId="5" applyNumberFormat="1" applyFont="1" applyFill="1" applyBorder="1" applyAlignment="1">
      <alignment horizontal="right" vertical="center"/>
    </xf>
    <xf numFmtId="165" fontId="18" fillId="0" borderId="22" xfId="1" applyNumberFormat="1" applyFont="1" applyFill="1" applyBorder="1" applyAlignment="1">
      <alignment horizontal="right" vertical="center"/>
    </xf>
    <xf numFmtId="166" fontId="19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0" fontId="19" fillId="0" borderId="0" xfId="0" applyNumberFormat="1" applyFont="1" applyAlignment="1">
      <alignment vertical="center"/>
    </xf>
    <xf numFmtId="49" fontId="15" fillId="0" borderId="24" xfId="3" applyNumberFormat="1" applyFont="1" applyBorder="1" applyAlignment="1" applyProtection="1">
      <alignment horizontal="centerContinuous" vertical="center"/>
      <protection locked="0"/>
    </xf>
    <xf numFmtId="0" fontId="15" fillId="0" borderId="24" xfId="0" applyFont="1" applyBorder="1" applyAlignment="1" applyProtection="1">
      <alignment horizontal="centerContinuous" vertical="center"/>
      <protection locked="0"/>
    </xf>
    <xf numFmtId="0" fontId="17" fillId="0" borderId="24" xfId="4" applyFont="1" applyBorder="1" applyAlignment="1">
      <alignment horizontal="centerContinuous" vertical="center"/>
    </xf>
    <xf numFmtId="164" fontId="18" fillId="2" borderId="24" xfId="5" applyNumberFormat="1" applyFont="1" applyFill="1" applyBorder="1" applyAlignment="1">
      <alignment horizontal="right" vertical="center"/>
    </xf>
    <xf numFmtId="165" fontId="18" fillId="2" borderId="24" xfId="1" applyNumberFormat="1" applyFont="1" applyFill="1" applyBorder="1" applyAlignment="1">
      <alignment horizontal="right" vertical="center"/>
    </xf>
    <xf numFmtId="164" fontId="18" fillId="3" borderId="24" xfId="5" applyNumberFormat="1" applyFont="1" applyFill="1" applyBorder="1" applyAlignment="1">
      <alignment horizontal="right" vertical="center"/>
    </xf>
    <xf numFmtId="165" fontId="18" fillId="3" borderId="24" xfId="1" applyNumberFormat="1" applyFont="1" applyFill="1" applyBorder="1" applyAlignment="1">
      <alignment horizontal="right" vertical="center"/>
    </xf>
    <xf numFmtId="164" fontId="18" fillId="0" borderId="24" xfId="5" applyNumberFormat="1" applyFont="1" applyFill="1" applyBorder="1" applyAlignment="1">
      <alignment horizontal="right" vertical="center"/>
    </xf>
    <xf numFmtId="165" fontId="18" fillId="0" borderId="24" xfId="1" applyNumberFormat="1" applyFont="1" applyFill="1" applyBorder="1" applyAlignment="1">
      <alignment horizontal="right" vertical="center"/>
    </xf>
    <xf numFmtId="164" fontId="18" fillId="0" borderId="25" xfId="5" applyNumberFormat="1" applyFont="1" applyFill="1" applyBorder="1" applyAlignment="1">
      <alignment horizontal="right" vertical="center"/>
    </xf>
    <xf numFmtId="165" fontId="18" fillId="0" borderId="26" xfId="1" applyNumberFormat="1" applyFont="1" applyFill="1" applyBorder="1" applyAlignment="1">
      <alignment horizontal="right" vertical="center"/>
    </xf>
    <xf numFmtId="49" fontId="21" fillId="0" borderId="28" xfId="3" applyNumberFormat="1" applyFont="1" applyBorder="1" applyAlignment="1" applyProtection="1">
      <alignment horizontal="centerContinuous" vertical="center"/>
      <protection locked="0"/>
    </xf>
    <xf numFmtId="0" fontId="21" fillId="0" borderId="28" xfId="0" applyFont="1" applyBorder="1" applyAlignment="1" applyProtection="1">
      <alignment horizontal="centerContinuous" vertical="center"/>
      <protection locked="0"/>
    </xf>
    <xf numFmtId="0" fontId="22" fillId="0" borderId="28" xfId="4" applyFont="1" applyBorder="1" applyAlignment="1">
      <alignment horizontal="centerContinuous" vertical="center"/>
    </xf>
    <xf numFmtId="164" fontId="23" fillId="2" borderId="28" xfId="5" applyNumberFormat="1" applyFont="1" applyFill="1" applyBorder="1" applyAlignment="1">
      <alignment horizontal="right" vertical="center"/>
    </xf>
    <xf numFmtId="165" fontId="23" fillId="2" borderId="28" xfId="1" applyNumberFormat="1" applyFont="1" applyFill="1" applyBorder="1" applyAlignment="1">
      <alignment horizontal="right" vertical="center"/>
    </xf>
    <xf numFmtId="164" fontId="23" fillId="3" borderId="28" xfId="5" applyNumberFormat="1" applyFont="1" applyFill="1" applyBorder="1" applyAlignment="1">
      <alignment horizontal="right" vertical="center"/>
    </xf>
    <xf numFmtId="165" fontId="23" fillId="3" borderId="28" xfId="1" applyNumberFormat="1" applyFont="1" applyFill="1" applyBorder="1" applyAlignment="1">
      <alignment horizontal="right" vertical="center"/>
    </xf>
    <xf numFmtId="164" fontId="23" fillId="0" borderId="28" xfId="5" applyNumberFormat="1" applyFont="1" applyFill="1" applyBorder="1" applyAlignment="1">
      <alignment horizontal="right" vertical="center"/>
    </xf>
    <xf numFmtId="165" fontId="23" fillId="0" borderId="28" xfId="1" applyNumberFormat="1" applyFont="1" applyFill="1" applyBorder="1" applyAlignment="1">
      <alignment horizontal="right" vertical="center"/>
    </xf>
    <xf numFmtId="164" fontId="23" fillId="0" borderId="29" xfId="5" applyNumberFormat="1" applyFont="1" applyFill="1" applyBorder="1" applyAlignment="1">
      <alignment horizontal="right" vertical="center"/>
    </xf>
    <xf numFmtId="165" fontId="23" fillId="0" borderId="30" xfId="1" applyNumberFormat="1" applyFont="1" applyFill="1" applyBorder="1" applyAlignment="1">
      <alignment horizontal="right" vertical="center"/>
    </xf>
    <xf numFmtId="165" fontId="23" fillId="0" borderId="0" xfId="1" applyNumberFormat="1" applyFont="1" applyFill="1" applyBorder="1" applyAlignment="1">
      <alignment vertical="center"/>
    </xf>
    <xf numFmtId="0" fontId="24" fillId="0" borderId="0" xfId="0" applyFont="1" applyAlignment="1">
      <alignment vertical="center"/>
    </xf>
    <xf numFmtId="49" fontId="26" fillId="0" borderId="32" xfId="3" applyNumberFormat="1" applyFont="1" applyBorder="1" applyAlignment="1" applyProtection="1">
      <alignment horizontal="centerContinuous" vertical="center"/>
      <protection locked="0"/>
    </xf>
    <xf numFmtId="0" fontId="26" fillId="0" borderId="32" xfId="0" applyFont="1" applyBorder="1" applyAlignment="1" applyProtection="1">
      <alignment horizontal="centerContinuous" vertical="center"/>
      <protection locked="0"/>
    </xf>
    <xf numFmtId="0" fontId="27" fillId="0" borderId="32" xfId="4" applyFont="1" applyBorder="1" applyAlignment="1">
      <alignment horizontal="centerContinuous" vertical="center"/>
    </xf>
    <xf numFmtId="164" fontId="28" fillId="2" borderId="32" xfId="5" applyNumberFormat="1" applyFont="1" applyFill="1" applyBorder="1" applyAlignment="1">
      <alignment horizontal="right" vertical="center"/>
    </xf>
    <xf numFmtId="165" fontId="28" fillId="2" borderId="32" xfId="1" applyNumberFormat="1" applyFont="1" applyFill="1" applyBorder="1" applyAlignment="1">
      <alignment horizontal="right" vertical="center"/>
    </xf>
    <xf numFmtId="164" fontId="28" fillId="3" borderId="32" xfId="5" applyNumberFormat="1" applyFont="1" applyFill="1" applyBorder="1" applyAlignment="1">
      <alignment horizontal="right" vertical="center"/>
    </xf>
    <xf numFmtId="165" fontId="28" fillId="3" borderId="32" xfId="1" applyNumberFormat="1" applyFont="1" applyFill="1" applyBorder="1" applyAlignment="1">
      <alignment horizontal="right" vertical="center"/>
    </xf>
    <xf numFmtId="164" fontId="28" fillId="0" borderId="32" xfId="5" applyNumberFormat="1" applyFont="1" applyFill="1" applyBorder="1" applyAlignment="1">
      <alignment horizontal="right" vertical="center"/>
    </xf>
    <xf numFmtId="165" fontId="28" fillId="0" borderId="32" xfId="1" applyNumberFormat="1" applyFont="1" applyFill="1" applyBorder="1" applyAlignment="1">
      <alignment horizontal="right" vertical="center"/>
    </xf>
    <xf numFmtId="164" fontId="28" fillId="0" borderId="33" xfId="5" applyNumberFormat="1" applyFont="1" applyFill="1" applyBorder="1" applyAlignment="1">
      <alignment horizontal="right" vertical="center"/>
    </xf>
    <xf numFmtId="165" fontId="28" fillId="0" borderId="34" xfId="1" applyNumberFormat="1" applyFont="1" applyFill="1" applyBorder="1" applyAlignment="1">
      <alignment horizontal="right" vertical="center"/>
    </xf>
    <xf numFmtId="165" fontId="28" fillId="0" borderId="0" xfId="1" applyNumberFormat="1" applyFont="1" applyFill="1" applyBorder="1" applyAlignment="1">
      <alignment vertical="center"/>
    </xf>
    <xf numFmtId="0" fontId="29" fillId="0" borderId="0" xfId="0" applyFont="1" applyAlignment="1">
      <alignment vertical="center"/>
    </xf>
    <xf numFmtId="49" fontId="30" fillId="0" borderId="20" xfId="3" applyNumberFormat="1" applyFont="1" applyBorder="1" applyAlignment="1" applyProtection="1">
      <alignment horizontal="center" vertical="center"/>
      <protection locked="0"/>
    </xf>
    <xf numFmtId="0" fontId="30" fillId="0" borderId="20" xfId="0" applyFont="1" applyBorder="1" applyAlignment="1" applyProtection="1">
      <alignment horizontal="center" vertical="center"/>
      <protection locked="0"/>
    </xf>
    <xf numFmtId="0" fontId="31" fillId="0" borderId="20" xfId="4" applyFont="1" applyBorder="1" applyAlignment="1">
      <alignment horizontal="left" vertical="center"/>
    </xf>
    <xf numFmtId="164" fontId="30" fillId="2" borderId="20" xfId="5" applyNumberFormat="1" applyFont="1" applyFill="1" applyBorder="1" applyAlignment="1">
      <alignment horizontal="right" vertical="center"/>
    </xf>
    <xf numFmtId="165" fontId="30" fillId="2" borderId="20" xfId="1" applyNumberFormat="1" applyFont="1" applyFill="1" applyBorder="1" applyAlignment="1">
      <alignment horizontal="right" vertical="center"/>
    </xf>
    <xf numFmtId="164" fontId="30" fillId="3" borderId="20" xfId="5" applyNumberFormat="1" applyFont="1" applyFill="1" applyBorder="1" applyAlignment="1">
      <alignment horizontal="right" vertical="center"/>
    </xf>
    <xf numFmtId="165" fontId="30" fillId="3" borderId="20" xfId="1" applyNumberFormat="1" applyFont="1" applyFill="1" applyBorder="1" applyAlignment="1">
      <alignment horizontal="right" vertical="center"/>
    </xf>
    <xf numFmtId="164" fontId="30" fillId="0" borderId="20" xfId="5" applyNumberFormat="1" applyFont="1" applyFill="1" applyBorder="1" applyAlignment="1">
      <alignment horizontal="right" vertical="center"/>
    </xf>
    <xf numFmtId="165" fontId="30" fillId="0" borderId="20" xfId="1" applyNumberFormat="1" applyFont="1" applyFill="1" applyBorder="1" applyAlignment="1">
      <alignment horizontal="right" vertical="center"/>
    </xf>
    <xf numFmtId="164" fontId="30" fillId="0" borderId="21" xfId="5" applyNumberFormat="1" applyFont="1" applyFill="1" applyBorder="1" applyAlignment="1">
      <alignment horizontal="right" vertical="center"/>
    </xf>
    <xf numFmtId="165" fontId="30" fillId="0" borderId="22" xfId="1" applyNumberFormat="1" applyFont="1" applyFill="1" applyBorder="1" applyAlignment="1">
      <alignment horizontal="right" vertical="center"/>
    </xf>
    <xf numFmtId="165" fontId="30" fillId="0" borderId="0" xfId="1" applyNumberFormat="1" applyFont="1" applyFill="1" applyBorder="1" applyAlignment="1">
      <alignment vertical="center"/>
    </xf>
    <xf numFmtId="3" fontId="32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49" fontId="35" fillId="0" borderId="24" xfId="3" applyNumberFormat="1" applyFont="1" applyBorder="1" applyAlignment="1" applyProtection="1">
      <alignment horizontal="center" vertical="center"/>
      <protection locked="0"/>
    </xf>
    <xf numFmtId="0" fontId="35" fillId="0" borderId="24" xfId="0" applyFont="1" applyBorder="1" applyAlignment="1" applyProtection="1">
      <alignment horizontal="center" vertical="center"/>
      <protection locked="0"/>
    </xf>
    <xf numFmtId="0" fontId="36" fillId="0" borderId="24" xfId="4" applyFont="1" applyBorder="1" applyAlignment="1">
      <alignment horizontal="left" vertical="center"/>
    </xf>
    <xf numFmtId="164" fontId="35" fillId="2" borderId="24" xfId="5" applyNumberFormat="1" applyFont="1" applyFill="1" applyBorder="1" applyAlignment="1">
      <alignment horizontal="right" vertical="center"/>
    </xf>
    <xf numFmtId="165" fontId="35" fillId="2" borderId="24" xfId="1" applyNumberFormat="1" applyFont="1" applyFill="1" applyBorder="1" applyAlignment="1">
      <alignment horizontal="right" vertical="center"/>
    </xf>
    <xf numFmtId="164" fontId="35" fillId="3" borderId="24" xfId="5" applyNumberFormat="1" applyFont="1" applyFill="1" applyBorder="1" applyAlignment="1">
      <alignment horizontal="right" vertical="center"/>
    </xf>
    <xf numFmtId="165" fontId="35" fillId="3" borderId="24" xfId="1" applyNumberFormat="1" applyFont="1" applyFill="1" applyBorder="1" applyAlignment="1">
      <alignment horizontal="right" vertical="center"/>
    </xf>
    <xf numFmtId="164" fontId="35" fillId="0" borderId="24" xfId="5" applyNumberFormat="1" applyFont="1" applyFill="1" applyBorder="1" applyAlignment="1">
      <alignment horizontal="right" vertical="center"/>
    </xf>
    <xf numFmtId="165" fontId="35" fillId="0" borderId="24" xfId="1" applyNumberFormat="1" applyFont="1" applyFill="1" applyBorder="1" applyAlignment="1">
      <alignment horizontal="right" vertical="center"/>
    </xf>
    <xf numFmtId="164" fontId="35" fillId="0" borderId="25" xfId="5" applyNumberFormat="1" applyFont="1" applyFill="1" applyBorder="1" applyAlignment="1">
      <alignment horizontal="right" vertical="center"/>
    </xf>
    <xf numFmtId="165" fontId="35" fillId="0" borderId="26" xfId="1" applyNumberFormat="1" applyFont="1" applyFill="1" applyBorder="1" applyAlignment="1">
      <alignment horizontal="right" vertical="center"/>
    </xf>
    <xf numFmtId="165" fontId="35" fillId="0" borderId="0" xfId="1" applyNumberFormat="1" applyFont="1" applyFill="1" applyBorder="1" applyAlignment="1">
      <alignment vertical="center"/>
    </xf>
    <xf numFmtId="3" fontId="37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49" fontId="39" fillId="0" borderId="24" xfId="3" applyNumberFormat="1" applyFont="1" applyBorder="1" applyAlignment="1" applyProtection="1">
      <alignment horizontal="center" vertical="center"/>
      <protection locked="0"/>
    </xf>
    <xf numFmtId="0" fontId="39" fillId="0" borderId="24" xfId="0" applyFont="1" applyBorder="1" applyAlignment="1" applyProtection="1">
      <alignment horizontal="center" vertical="center"/>
      <protection locked="0"/>
    </xf>
    <xf numFmtId="0" fontId="40" fillId="0" borderId="24" xfId="4" applyFont="1" applyBorder="1" applyAlignment="1">
      <alignment horizontal="left" vertical="center"/>
    </xf>
    <xf numFmtId="164" fontId="39" fillId="2" borderId="24" xfId="5" applyNumberFormat="1" applyFont="1" applyFill="1" applyBorder="1" applyAlignment="1">
      <alignment horizontal="right" vertical="center"/>
    </xf>
    <xf numFmtId="165" fontId="39" fillId="2" borderId="24" xfId="1" applyNumberFormat="1" applyFont="1" applyFill="1" applyBorder="1" applyAlignment="1">
      <alignment horizontal="right" vertical="center"/>
    </xf>
    <xf numFmtId="164" fontId="39" fillId="3" borderId="24" xfId="5" applyNumberFormat="1" applyFont="1" applyFill="1" applyBorder="1" applyAlignment="1">
      <alignment horizontal="right" vertical="center"/>
    </xf>
    <xf numFmtId="165" fontId="39" fillId="3" borderId="24" xfId="1" applyNumberFormat="1" applyFont="1" applyFill="1" applyBorder="1" applyAlignment="1">
      <alignment horizontal="right" vertical="center"/>
    </xf>
    <xf numFmtId="164" fontId="39" fillId="0" borderId="24" xfId="5" applyNumberFormat="1" applyFont="1" applyFill="1" applyBorder="1" applyAlignment="1">
      <alignment horizontal="right" vertical="center"/>
    </xf>
    <xf numFmtId="165" fontId="39" fillId="0" borderId="24" xfId="1" applyNumberFormat="1" applyFont="1" applyFill="1" applyBorder="1" applyAlignment="1">
      <alignment horizontal="right" vertical="center"/>
    </xf>
    <xf numFmtId="164" fontId="39" fillId="0" borderId="25" xfId="5" applyNumberFormat="1" applyFont="1" applyFill="1" applyBorder="1" applyAlignment="1">
      <alignment horizontal="right" vertical="center"/>
    </xf>
    <xf numFmtId="165" fontId="39" fillId="0" borderId="26" xfId="1" applyNumberFormat="1" applyFont="1" applyFill="1" applyBorder="1" applyAlignment="1">
      <alignment horizontal="right" vertical="center"/>
    </xf>
    <xf numFmtId="165" fontId="39" fillId="0" borderId="0" xfId="1" applyNumberFormat="1" applyFont="1" applyFill="1" applyBorder="1" applyAlignment="1">
      <alignment vertical="center"/>
    </xf>
    <xf numFmtId="0" fontId="41" fillId="0" borderId="0" xfId="0" applyFont="1" applyAlignment="1">
      <alignment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vertical="center"/>
    </xf>
    <xf numFmtId="49" fontId="30" fillId="0" borderId="24" xfId="3" applyNumberFormat="1" applyFont="1" applyBorder="1" applyAlignment="1" applyProtection="1">
      <alignment horizontal="center" vertical="center"/>
      <protection locked="0"/>
    </xf>
    <xf numFmtId="0" fontId="30" fillId="0" borderId="24" xfId="0" applyFont="1" applyBorder="1" applyAlignment="1" applyProtection="1">
      <alignment horizontal="center" vertical="center"/>
      <protection locked="0"/>
    </xf>
    <xf numFmtId="0" fontId="31" fillId="0" borderId="24" xfId="4" applyFont="1" applyBorder="1" applyAlignment="1">
      <alignment horizontal="left" vertical="center"/>
    </xf>
    <xf numFmtId="164" fontId="30" fillId="2" borderId="24" xfId="5" applyNumberFormat="1" applyFont="1" applyFill="1" applyBorder="1" applyAlignment="1">
      <alignment horizontal="right" vertical="center"/>
    </xf>
    <xf numFmtId="165" fontId="30" fillId="2" borderId="24" xfId="1" applyNumberFormat="1" applyFont="1" applyFill="1" applyBorder="1" applyAlignment="1">
      <alignment horizontal="right" vertical="center"/>
    </xf>
    <xf numFmtId="164" fontId="30" fillId="3" borderId="24" xfId="5" applyNumberFormat="1" applyFont="1" applyFill="1" applyBorder="1" applyAlignment="1">
      <alignment horizontal="right" vertical="center"/>
    </xf>
    <xf numFmtId="165" fontId="30" fillId="3" borderId="24" xfId="1" applyNumberFormat="1" applyFont="1" applyFill="1" applyBorder="1" applyAlignment="1">
      <alignment horizontal="right" vertical="center"/>
    </xf>
    <xf numFmtId="164" fontId="30" fillId="0" borderId="24" xfId="5" applyNumberFormat="1" applyFont="1" applyFill="1" applyBorder="1" applyAlignment="1">
      <alignment horizontal="right" vertical="center"/>
    </xf>
    <xf numFmtId="165" fontId="30" fillId="0" borderId="24" xfId="1" applyNumberFormat="1" applyFont="1" applyFill="1" applyBorder="1" applyAlignment="1">
      <alignment horizontal="right" vertical="center"/>
    </xf>
    <xf numFmtId="164" fontId="30" fillId="0" borderId="25" xfId="5" applyNumberFormat="1" applyFont="1" applyFill="1" applyBorder="1" applyAlignment="1">
      <alignment horizontal="right" vertical="center"/>
    </xf>
    <xf numFmtId="165" fontId="30" fillId="0" borderId="26" xfId="1" applyNumberFormat="1" applyFont="1" applyFill="1" applyBorder="1" applyAlignment="1">
      <alignment horizontal="right" vertical="center"/>
    </xf>
    <xf numFmtId="49" fontId="39" fillId="0" borderId="36" xfId="3" applyNumberFormat="1" applyFont="1" applyBorder="1" applyAlignment="1" applyProtection="1">
      <alignment horizontal="center" vertical="center"/>
      <protection locked="0"/>
    </xf>
    <xf numFmtId="0" fontId="39" fillId="0" borderId="36" xfId="0" applyFont="1" applyBorder="1" applyAlignment="1" applyProtection="1">
      <alignment horizontal="center" vertical="center"/>
      <protection locked="0"/>
    </xf>
    <xf numFmtId="0" fontId="40" fillId="0" borderId="36" xfId="4" applyFont="1" applyBorder="1" applyAlignment="1">
      <alignment horizontal="left" vertical="center"/>
    </xf>
    <xf numFmtId="164" fontId="39" fillId="2" borderId="36" xfId="5" applyNumberFormat="1" applyFont="1" applyFill="1" applyBorder="1" applyAlignment="1">
      <alignment horizontal="right" vertical="center"/>
    </xf>
    <xf numFmtId="165" fontId="39" fillId="2" borderId="36" xfId="1" applyNumberFormat="1" applyFont="1" applyFill="1" applyBorder="1" applyAlignment="1">
      <alignment horizontal="right" vertical="center"/>
    </xf>
    <xf numFmtId="164" fontId="39" fillId="3" borderId="36" xfId="5" applyNumberFormat="1" applyFont="1" applyFill="1" applyBorder="1" applyAlignment="1">
      <alignment horizontal="right" vertical="center"/>
    </xf>
    <xf numFmtId="165" fontId="39" fillId="3" borderId="36" xfId="1" applyNumberFormat="1" applyFont="1" applyFill="1" applyBorder="1" applyAlignment="1">
      <alignment horizontal="right" vertical="center"/>
    </xf>
    <xf numFmtId="164" fontId="39" fillId="0" borderId="36" xfId="5" applyNumberFormat="1" applyFont="1" applyFill="1" applyBorder="1" applyAlignment="1">
      <alignment horizontal="right" vertical="center"/>
    </xf>
    <xf numFmtId="165" fontId="39" fillId="0" borderId="36" xfId="1" applyNumberFormat="1" applyFont="1" applyFill="1" applyBorder="1" applyAlignment="1">
      <alignment horizontal="right" vertical="center"/>
    </xf>
    <xf numFmtId="164" fontId="39" fillId="0" borderId="37" xfId="5" applyNumberFormat="1" applyFont="1" applyFill="1" applyBorder="1" applyAlignment="1">
      <alignment horizontal="right" vertical="center"/>
    </xf>
    <xf numFmtId="165" fontId="39" fillId="0" borderId="38" xfId="1" applyNumberFormat="1" applyFont="1" applyFill="1" applyBorder="1" applyAlignment="1">
      <alignment horizontal="right" vertical="center"/>
    </xf>
    <xf numFmtId="0" fontId="40" fillId="0" borderId="24" xfId="4" applyFont="1" applyBorder="1" applyAlignment="1">
      <alignment horizontal="left" vertical="center" wrapText="1"/>
    </xf>
    <xf numFmtId="164" fontId="39" fillId="0" borderId="24" xfId="5" applyNumberFormat="1" applyFont="1" applyFill="1" applyBorder="1" applyAlignment="1" applyProtection="1">
      <alignment horizontal="right" vertical="center"/>
    </xf>
    <xf numFmtId="165" fontId="39" fillId="0" borderId="24" xfId="1" applyNumberFormat="1" applyFont="1" applyFill="1" applyBorder="1" applyAlignment="1" applyProtection="1">
      <alignment horizontal="right" vertical="center"/>
    </xf>
    <xf numFmtId="165" fontId="39" fillId="0" borderId="26" xfId="1" applyNumberFormat="1" applyFont="1" applyFill="1" applyBorder="1" applyAlignment="1" applyProtection="1">
      <alignment horizontal="right" vertical="center"/>
    </xf>
    <xf numFmtId="165" fontId="39" fillId="0" borderId="0" xfId="1" applyNumberFormat="1" applyFont="1" applyFill="1" applyBorder="1" applyAlignment="1" applyProtection="1">
      <alignment vertical="center"/>
    </xf>
    <xf numFmtId="49" fontId="34" fillId="0" borderId="24" xfId="3" applyNumberFormat="1" applyFont="1" applyBorder="1" applyAlignment="1" applyProtection="1">
      <alignment horizontal="center" vertical="center"/>
      <protection locked="0"/>
    </xf>
    <xf numFmtId="0" fontId="44" fillId="0" borderId="24" xfId="0" applyFont="1" applyBorder="1" applyAlignment="1" applyProtection="1">
      <alignment horizontal="center" vertical="center"/>
      <protection locked="0"/>
    </xf>
    <xf numFmtId="0" fontId="8" fillId="0" borderId="24" xfId="4" applyFont="1" applyBorder="1" applyAlignment="1">
      <alignment horizontal="left" vertical="center"/>
    </xf>
    <xf numFmtId="164" fontId="44" fillId="0" borderId="24" xfId="5" applyNumberFormat="1" applyFont="1" applyFill="1" applyBorder="1" applyAlignment="1">
      <alignment horizontal="right" vertical="center"/>
    </xf>
    <xf numFmtId="165" fontId="44" fillId="0" borderId="24" xfId="1" applyNumberFormat="1" applyFont="1" applyFill="1" applyBorder="1" applyAlignment="1">
      <alignment horizontal="right" vertical="center"/>
    </xf>
    <xf numFmtId="165" fontId="44" fillId="0" borderId="26" xfId="1" applyNumberFormat="1" applyFont="1" applyFill="1" applyBorder="1" applyAlignment="1">
      <alignment horizontal="right" vertical="center"/>
    </xf>
    <xf numFmtId="165" fontId="44" fillId="0" borderId="0" xfId="1" applyNumberFormat="1" applyFont="1" applyFill="1" applyBorder="1" applyAlignment="1">
      <alignment vertical="center"/>
    </xf>
    <xf numFmtId="0" fontId="45" fillId="0" borderId="0" xfId="0" applyFont="1"/>
    <xf numFmtId="168" fontId="41" fillId="0" borderId="0" xfId="0" applyNumberFormat="1" applyFont="1" applyAlignment="1">
      <alignment vertical="center"/>
    </xf>
    <xf numFmtId="3" fontId="46" fillId="0" borderId="0" xfId="0" applyNumberFormat="1" applyFont="1" applyAlignment="1">
      <alignment vertical="center"/>
    </xf>
    <xf numFmtId="49" fontId="34" fillId="0" borderId="36" xfId="3" applyNumberFormat="1" applyFont="1" applyBorder="1" applyAlignment="1" applyProtection="1">
      <alignment horizontal="center" vertical="center"/>
      <protection locked="0"/>
    </xf>
    <xf numFmtId="0" fontId="44" fillId="0" borderId="36" xfId="0" applyFont="1" applyBorder="1" applyAlignment="1" applyProtection="1">
      <alignment horizontal="center" vertical="center"/>
      <protection locked="0"/>
    </xf>
    <xf numFmtId="0" fontId="8" fillId="0" borderId="36" xfId="4" applyFont="1" applyBorder="1" applyAlignment="1">
      <alignment horizontal="left" vertical="center"/>
    </xf>
    <xf numFmtId="164" fontId="44" fillId="0" borderId="36" xfId="5" applyNumberFormat="1" applyFont="1" applyFill="1" applyBorder="1" applyAlignment="1">
      <alignment horizontal="right" vertical="center"/>
    </xf>
    <xf numFmtId="165" fontId="44" fillId="0" borderId="36" xfId="1" applyNumberFormat="1" applyFont="1" applyFill="1" applyBorder="1" applyAlignment="1">
      <alignment horizontal="right" vertical="center"/>
    </xf>
    <xf numFmtId="165" fontId="44" fillId="0" borderId="38" xfId="1" applyNumberFormat="1" applyFont="1" applyFill="1" applyBorder="1" applyAlignment="1">
      <alignment horizontal="right" vertical="center"/>
    </xf>
    <xf numFmtId="49" fontId="15" fillId="0" borderId="40" xfId="3" applyNumberFormat="1" applyFont="1" applyBorder="1" applyAlignment="1" applyProtection="1">
      <alignment horizontal="centerContinuous" vertical="center"/>
      <protection locked="0"/>
    </xf>
    <xf numFmtId="0" fontId="15" fillId="0" borderId="40" xfId="0" applyFont="1" applyBorder="1" applyAlignment="1" applyProtection="1">
      <alignment horizontal="centerContinuous" vertical="center"/>
      <protection locked="0"/>
    </xf>
    <xf numFmtId="0" fontId="17" fillId="0" borderId="40" xfId="4" applyFont="1" applyBorder="1" applyAlignment="1">
      <alignment horizontal="centerContinuous" vertical="center"/>
    </xf>
    <xf numFmtId="164" fontId="18" fillId="2" borderId="40" xfId="5" applyNumberFormat="1" applyFont="1" applyFill="1" applyBorder="1" applyAlignment="1">
      <alignment horizontal="right" vertical="center"/>
    </xf>
    <xf numFmtId="165" fontId="18" fillId="2" borderId="40" xfId="1" applyNumberFormat="1" applyFont="1" applyFill="1" applyBorder="1" applyAlignment="1">
      <alignment horizontal="right" vertical="center"/>
    </xf>
    <xf numFmtId="164" fontId="18" fillId="3" borderId="40" xfId="5" applyNumberFormat="1" applyFont="1" applyFill="1" applyBorder="1" applyAlignment="1">
      <alignment horizontal="right" vertical="center"/>
    </xf>
    <xf numFmtId="165" fontId="18" fillId="3" borderId="40" xfId="1" applyNumberFormat="1" applyFont="1" applyFill="1" applyBorder="1" applyAlignment="1">
      <alignment horizontal="right" vertical="center"/>
    </xf>
    <xf numFmtId="164" fontId="18" fillId="0" borderId="40" xfId="5" applyNumberFormat="1" applyFont="1" applyFill="1" applyBorder="1" applyAlignment="1">
      <alignment horizontal="right" vertical="center"/>
    </xf>
    <xf numFmtId="165" fontId="18" fillId="0" borderId="40" xfId="1" applyNumberFormat="1" applyFont="1" applyFill="1" applyBorder="1" applyAlignment="1">
      <alignment horizontal="right" vertical="center"/>
    </xf>
    <xf numFmtId="164" fontId="18" fillId="0" borderId="41" xfId="5" applyNumberFormat="1" applyFont="1" applyFill="1" applyBorder="1" applyAlignment="1">
      <alignment horizontal="right" vertical="center"/>
    </xf>
    <xf numFmtId="165" fontId="18" fillId="0" borderId="42" xfId="1" applyNumberFormat="1" applyFont="1" applyFill="1" applyBorder="1" applyAlignment="1">
      <alignment horizontal="right" vertical="center"/>
    </xf>
    <xf numFmtId="49" fontId="47" fillId="0" borderId="36" xfId="3" applyNumberFormat="1" applyFont="1" applyBorder="1" applyAlignment="1" applyProtection="1">
      <alignment horizontal="center" vertical="center"/>
      <protection locked="0"/>
    </xf>
    <xf numFmtId="0" fontId="40" fillId="0" borderId="36" xfId="4" applyFont="1" applyBorder="1" applyAlignment="1">
      <alignment horizontal="left" vertical="center" wrapText="1"/>
    </xf>
    <xf numFmtId="164" fontId="39" fillId="0" borderId="36" xfId="5" applyNumberFormat="1" applyFont="1" applyFill="1" applyBorder="1" applyAlignment="1" applyProtection="1">
      <alignment horizontal="right" vertical="center"/>
    </xf>
    <xf numFmtId="165" fontId="39" fillId="0" borderId="36" xfId="1" applyNumberFormat="1" applyFont="1" applyFill="1" applyBorder="1" applyAlignment="1" applyProtection="1">
      <alignment horizontal="right" vertical="center"/>
    </xf>
    <xf numFmtId="165" fontId="39" fillId="0" borderId="38" xfId="1" applyNumberFormat="1" applyFont="1" applyFill="1" applyBorder="1" applyAlignment="1" applyProtection="1">
      <alignment horizontal="right" vertical="center"/>
    </xf>
    <xf numFmtId="0" fontId="36" fillId="0" borderId="24" xfId="4" applyFont="1" applyBorder="1" applyAlignment="1">
      <alignment horizontal="left" vertical="center" wrapText="1"/>
    </xf>
    <xf numFmtId="164" fontId="35" fillId="2" borderId="24" xfId="5" applyNumberFormat="1" applyFont="1" applyFill="1" applyBorder="1" applyAlignment="1" applyProtection="1">
      <alignment horizontal="right" vertical="center"/>
    </xf>
    <xf numFmtId="165" fontId="35" fillId="2" borderId="24" xfId="1" applyNumberFormat="1" applyFont="1" applyFill="1" applyBorder="1" applyAlignment="1" applyProtection="1">
      <alignment horizontal="right" vertical="center"/>
    </xf>
    <xf numFmtId="164" fontId="35" fillId="3" borderId="24" xfId="5" applyNumberFormat="1" applyFont="1" applyFill="1" applyBorder="1" applyAlignment="1" applyProtection="1">
      <alignment horizontal="right" vertical="center"/>
    </xf>
    <xf numFmtId="165" fontId="35" fillId="3" borderId="24" xfId="1" applyNumberFormat="1" applyFont="1" applyFill="1" applyBorder="1" applyAlignment="1" applyProtection="1">
      <alignment horizontal="right" vertical="center"/>
    </xf>
    <xf numFmtId="164" fontId="35" fillId="0" borderId="24" xfId="5" applyNumberFormat="1" applyFont="1" applyFill="1" applyBorder="1" applyAlignment="1" applyProtection="1">
      <alignment horizontal="right" vertical="center"/>
    </xf>
    <xf numFmtId="165" fontId="35" fillId="0" borderId="24" xfId="1" applyNumberFormat="1" applyFont="1" applyFill="1" applyBorder="1" applyAlignment="1" applyProtection="1">
      <alignment horizontal="right" vertical="center"/>
    </xf>
    <xf numFmtId="164" fontId="35" fillId="0" borderId="25" xfId="5" applyNumberFormat="1" applyFont="1" applyFill="1" applyBorder="1" applyAlignment="1" applyProtection="1">
      <alignment horizontal="right" vertical="center"/>
    </xf>
    <xf numFmtId="165" fontId="35" fillId="0" borderId="26" xfId="1" applyNumberFormat="1" applyFont="1" applyFill="1" applyBorder="1" applyAlignment="1" applyProtection="1">
      <alignment horizontal="right" vertical="center"/>
    </xf>
    <xf numFmtId="165" fontId="35" fillId="0" borderId="0" xfId="1" applyNumberFormat="1" applyFont="1" applyFill="1" applyBorder="1" applyAlignment="1" applyProtection="1">
      <alignment vertical="center"/>
    </xf>
    <xf numFmtId="0" fontId="48" fillId="0" borderId="0" xfId="0" applyFont="1"/>
    <xf numFmtId="49" fontId="15" fillId="0" borderId="9" xfId="3" applyNumberFormat="1" applyFont="1" applyBorder="1" applyAlignment="1" applyProtection="1">
      <alignment horizontal="centerContinuous" vertical="center"/>
      <protection locked="0"/>
    </xf>
    <xf numFmtId="0" fontId="15" fillId="0" borderId="9" xfId="0" applyFont="1" applyBorder="1" applyAlignment="1" applyProtection="1">
      <alignment horizontal="centerContinuous" vertical="center"/>
      <protection locked="0"/>
    </xf>
    <xf numFmtId="0" fontId="17" fillId="0" borderId="9" xfId="4" applyFont="1" applyBorder="1" applyAlignment="1">
      <alignment horizontal="centerContinuous" vertical="center"/>
    </xf>
    <xf numFmtId="49" fontId="34" fillId="0" borderId="45" xfId="3" applyNumberFormat="1" applyFont="1" applyBorder="1" applyAlignment="1" applyProtection="1">
      <alignment horizontal="center" vertical="center"/>
      <protection locked="0"/>
    </xf>
    <xf numFmtId="0" fontId="44" fillId="0" borderId="45" xfId="0" applyFont="1" applyBorder="1" applyAlignment="1" applyProtection="1">
      <alignment horizontal="center" vertical="center"/>
      <protection locked="0"/>
    </xf>
    <xf numFmtId="0" fontId="8" fillId="0" borderId="45" xfId="4" applyFont="1" applyBorder="1" applyAlignment="1">
      <alignment horizontal="left" vertical="center"/>
    </xf>
    <xf numFmtId="164" fontId="39" fillId="2" borderId="45" xfId="5" applyNumberFormat="1" applyFont="1" applyFill="1" applyBorder="1" applyAlignment="1">
      <alignment horizontal="right" vertical="center"/>
    </xf>
    <xf numFmtId="165" fontId="39" fillId="2" borderId="45" xfId="1" applyNumberFormat="1" applyFont="1" applyFill="1" applyBorder="1" applyAlignment="1">
      <alignment horizontal="right" vertical="center"/>
    </xf>
    <xf numFmtId="164" fontId="39" fillId="3" borderId="45" xfId="5" applyNumberFormat="1" applyFont="1" applyFill="1" applyBorder="1" applyAlignment="1">
      <alignment horizontal="right" vertical="center"/>
    </xf>
    <xf numFmtId="165" fontId="39" fillId="3" borderId="45" xfId="1" applyNumberFormat="1" applyFont="1" applyFill="1" applyBorder="1" applyAlignment="1">
      <alignment horizontal="right" vertical="center"/>
    </xf>
    <xf numFmtId="164" fontId="39" fillId="0" borderId="45" xfId="5" applyNumberFormat="1" applyFont="1" applyFill="1" applyBorder="1" applyAlignment="1">
      <alignment horizontal="right" vertical="center"/>
    </xf>
    <xf numFmtId="165" fontId="39" fillId="0" borderId="45" xfId="1" applyNumberFormat="1" applyFont="1" applyFill="1" applyBorder="1" applyAlignment="1">
      <alignment horizontal="right" vertical="center"/>
    </xf>
    <xf numFmtId="164" fontId="39" fillId="0" borderId="46" xfId="5" applyNumberFormat="1" applyFont="1" applyFill="1" applyBorder="1" applyAlignment="1">
      <alignment horizontal="right" vertical="center"/>
    </xf>
    <xf numFmtId="164" fontId="44" fillId="0" borderId="45" xfId="5" applyNumberFormat="1" applyFont="1" applyFill="1" applyBorder="1" applyAlignment="1">
      <alignment horizontal="right" vertical="center"/>
    </xf>
    <xf numFmtId="165" fontId="44" fillId="0" borderId="45" xfId="1" applyNumberFormat="1" applyFont="1" applyFill="1" applyBorder="1" applyAlignment="1">
      <alignment horizontal="right" vertical="center"/>
    </xf>
    <xf numFmtId="165" fontId="44" fillId="0" borderId="47" xfId="1" applyNumberFormat="1" applyFont="1" applyFill="1" applyBorder="1" applyAlignment="1">
      <alignment horizontal="right" vertical="center"/>
    </xf>
    <xf numFmtId="169" fontId="44" fillId="0" borderId="0" xfId="0" applyNumberFormat="1" applyFont="1" applyAlignment="1">
      <alignment vertical="center"/>
    </xf>
    <xf numFmtId="0" fontId="30" fillId="0" borderId="19" xfId="3" applyFont="1" applyBorder="1" applyAlignment="1" applyProtection="1">
      <alignment horizontal="center" vertical="center"/>
      <protection locked="0"/>
    </xf>
    <xf numFmtId="1" fontId="2" fillId="0" borderId="0" xfId="0" applyNumberFormat="1" applyFont="1" applyAlignment="1">
      <alignment horizontal="center" vertical="center"/>
    </xf>
    <xf numFmtId="1" fontId="4" fillId="0" borderId="0" xfId="2" applyNumberFormat="1" applyFont="1" applyAlignment="1">
      <alignment horizontal="left" vertical="center"/>
    </xf>
    <xf numFmtId="1" fontId="4" fillId="0" borderId="0" xfId="2" applyNumberFormat="1" applyFont="1" applyAlignment="1">
      <alignment vertical="center"/>
    </xf>
    <xf numFmtId="1" fontId="5" fillId="0" borderId="0" xfId="0" applyNumberFormat="1" applyFont="1" applyAlignment="1">
      <alignment horizontal="centerContinuous" vertical="center"/>
    </xf>
    <xf numFmtId="1" fontId="5" fillId="0" borderId="0" xfId="0" applyNumberFormat="1" applyFont="1" applyAlignment="1">
      <alignment vertical="center"/>
    </xf>
    <xf numFmtId="1" fontId="6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vertical="center"/>
    </xf>
    <xf numFmtId="1" fontId="14" fillId="0" borderId="15" xfId="3" applyNumberFormat="1" applyFont="1" applyBorder="1" applyAlignment="1" applyProtection="1">
      <alignment horizontal="centerContinuous" vertical="center"/>
      <protection locked="0"/>
    </xf>
    <xf numFmtId="1" fontId="14" fillId="0" borderId="19" xfId="3" applyNumberFormat="1" applyFont="1" applyBorder="1" applyAlignment="1" applyProtection="1">
      <alignment horizontal="centerContinuous" vertical="center"/>
      <protection locked="0"/>
    </xf>
    <xf numFmtId="1" fontId="14" fillId="0" borderId="23" xfId="3" applyNumberFormat="1" applyFont="1" applyBorder="1" applyAlignment="1" applyProtection="1">
      <alignment horizontal="centerContinuous" vertical="center"/>
      <protection locked="0"/>
    </xf>
    <xf numFmtId="1" fontId="20" fillId="0" borderId="27" xfId="3" applyNumberFormat="1" applyFont="1" applyBorder="1" applyAlignment="1" applyProtection="1">
      <alignment horizontal="centerContinuous" vertical="center"/>
      <protection locked="0"/>
    </xf>
    <xf numFmtId="1" fontId="25" fillId="0" borderId="31" xfId="3" applyNumberFormat="1" applyFont="1" applyBorder="1" applyAlignment="1" applyProtection="1">
      <alignment horizontal="centerContinuous" vertical="center"/>
      <protection locked="0"/>
    </xf>
    <xf numFmtId="1" fontId="30" fillId="0" borderId="19" xfId="3" applyNumberFormat="1" applyFont="1" applyBorder="1" applyAlignment="1" applyProtection="1">
      <alignment horizontal="center" vertical="center"/>
      <protection locked="0"/>
    </xf>
    <xf numFmtId="1" fontId="34" fillId="0" borderId="23" xfId="3" applyNumberFormat="1" applyFont="1" applyBorder="1" applyAlignment="1" applyProtection="1">
      <alignment horizontal="center" vertical="center"/>
      <protection locked="0"/>
    </xf>
    <xf numFmtId="1" fontId="39" fillId="0" borderId="23" xfId="3" applyNumberFormat="1" applyFont="1" applyBorder="1" applyAlignment="1" applyProtection="1">
      <alignment horizontal="center" vertical="center"/>
      <protection locked="0"/>
    </xf>
    <xf numFmtId="1" fontId="30" fillId="0" borderId="23" xfId="3" applyNumberFormat="1" applyFont="1" applyBorder="1" applyAlignment="1" applyProtection="1">
      <alignment horizontal="center" vertical="center"/>
      <protection locked="0"/>
    </xf>
    <xf numFmtId="1" fontId="39" fillId="0" borderId="35" xfId="3" applyNumberFormat="1" applyFont="1" applyBorder="1" applyAlignment="1" applyProtection="1">
      <alignment horizontal="center" vertical="center"/>
      <protection locked="0"/>
    </xf>
    <xf numFmtId="1" fontId="35" fillId="0" borderId="23" xfId="3" applyNumberFormat="1" applyFont="1" applyBorder="1" applyAlignment="1" applyProtection="1">
      <alignment horizontal="center" vertical="center"/>
      <protection locked="0"/>
    </xf>
    <xf numFmtId="1" fontId="34" fillId="0" borderId="35" xfId="3" applyNumberFormat="1" applyFont="1" applyBorder="1" applyAlignment="1" applyProtection="1">
      <alignment horizontal="center" vertical="center"/>
      <protection locked="0"/>
    </xf>
    <xf numFmtId="1" fontId="14" fillId="0" borderId="39" xfId="3" applyNumberFormat="1" applyFont="1" applyBorder="1" applyAlignment="1" applyProtection="1">
      <alignment horizontal="centerContinuous" vertical="center"/>
      <protection locked="0"/>
    </xf>
    <xf numFmtId="1" fontId="47" fillId="0" borderId="35" xfId="4" applyNumberFormat="1" applyFont="1" applyBorder="1" applyAlignment="1">
      <alignment horizontal="center" vertical="center" wrapText="1"/>
    </xf>
    <xf numFmtId="1" fontId="14" fillId="0" borderId="43" xfId="3" applyNumberFormat="1" applyFont="1" applyBorder="1" applyAlignment="1" applyProtection="1">
      <alignment horizontal="centerContinuous" vertical="center" wrapText="1"/>
      <protection locked="0"/>
    </xf>
    <xf numFmtId="1" fontId="34" fillId="0" borderId="44" xfId="3" applyNumberFormat="1" applyFont="1" applyBorder="1" applyAlignment="1" applyProtection="1">
      <alignment horizontal="center" vertical="center"/>
      <protection locked="0"/>
    </xf>
    <xf numFmtId="0" fontId="35" fillId="0" borderId="24" xfId="3" applyFont="1" applyBorder="1" applyAlignment="1" applyProtection="1">
      <alignment horizontal="center" vertical="center"/>
      <protection locked="0"/>
    </xf>
    <xf numFmtId="0" fontId="30" fillId="0" borderId="23" xfId="3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right" vertical="center"/>
    </xf>
    <xf numFmtId="0" fontId="8" fillId="0" borderId="9" xfId="0" applyFont="1" applyBorder="1" applyAlignment="1">
      <alignment horizontal="center" vertical="top" wrapText="1"/>
    </xf>
    <xf numFmtId="0" fontId="11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1" fillId="0" borderId="6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top" wrapText="1"/>
    </xf>
    <xf numFmtId="0" fontId="11" fillId="0" borderId="3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textRotation="90"/>
    </xf>
    <xf numFmtId="1" fontId="8" fillId="0" borderId="8" xfId="0" applyNumberFormat="1" applyFont="1" applyBorder="1" applyAlignment="1">
      <alignment horizontal="center" vertical="center" textRotation="90"/>
    </xf>
    <xf numFmtId="1" fontId="8" fillId="0" borderId="11" xfId="0" applyNumberFormat="1" applyFont="1" applyBorder="1" applyAlignment="1">
      <alignment horizontal="center" vertical="center" textRotation="90"/>
    </xf>
    <xf numFmtId="0" fontId="8" fillId="0" borderId="2" xfId="0" applyFont="1" applyBorder="1" applyAlignment="1">
      <alignment horizontal="center" vertical="center" textRotation="90"/>
    </xf>
    <xf numFmtId="0" fontId="8" fillId="0" borderId="9" xfId="0" applyFont="1" applyBorder="1" applyAlignment="1">
      <alignment horizontal="center" vertical="center" textRotation="90"/>
    </xf>
    <xf numFmtId="0" fontId="8" fillId="0" borderId="12" xfId="0" applyFont="1" applyBorder="1" applyAlignment="1">
      <alignment horizontal="center" vertical="center" textRotation="90"/>
    </xf>
    <xf numFmtId="0" fontId="9" fillId="0" borderId="2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top" wrapText="1"/>
    </xf>
    <xf numFmtId="0" fontId="10" fillId="3" borderId="2" xfId="0" applyFont="1" applyFill="1" applyBorder="1" applyAlignment="1">
      <alignment horizontal="center" vertical="top" wrapText="1"/>
    </xf>
  </cellXfs>
  <cellStyles count="6">
    <cellStyle name="Comma 3 4" xfId="5" xr:uid="{36D876FD-2EB8-4AB4-ABF2-A9138FF71AA8}"/>
    <cellStyle name="Normal" xfId="0" builtinId="0"/>
    <cellStyle name="Normal 2" xfId="2" xr:uid="{85463980-7543-4747-852A-229C6A9700C4}"/>
    <cellStyle name="Normal_annex 2" xfId="4" xr:uid="{D4CBAAA3-7861-4703-8960-CB392A85D895}"/>
    <cellStyle name="Normal_Report Revenue Al Ministry update - 2005xls" xfId="3" xr:uid="{8E75242D-8C32-4E2A-8189-0134ADC626D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297178</xdr:colOff>
      <xdr:row>136</xdr:row>
      <xdr:rowOff>163151</xdr:rowOff>
    </xdr:from>
    <xdr:to>
      <xdr:col>79</xdr:col>
      <xdr:colOff>134471</xdr:colOff>
      <xdr:row>139</xdr:row>
      <xdr:rowOff>279090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5D0F50-CB7B-423D-B871-00B581DCDCF8}"/>
            </a:ext>
          </a:extLst>
        </xdr:cNvPr>
        <xdr:cNvSpPr txBox="1"/>
      </xdr:nvSpPr>
      <xdr:spPr>
        <a:xfrm>
          <a:off x="21109303" y="35939051"/>
          <a:ext cx="29621968" cy="1058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5000"/>
            </a:lnSpc>
          </a:pPr>
          <a:r>
            <a:rPr lang="km-KH" sz="1100">
              <a:latin typeface="Javanese Text" panose="02000000000000000000" pitchFamily="2" charset="0"/>
              <a:cs typeface="Khmer MEF1" panose="02000506000000020004" pitchFamily="2" charset="0"/>
            </a:rPr>
            <a:t>បានឃើញ និងពិនិត្យត្រឹមត្រូវ</a:t>
          </a:r>
        </a:p>
        <a:p>
          <a:pPr algn="ctr">
            <a:lnSpc>
              <a:spcPct val="85000"/>
            </a:lnSpc>
          </a:pPr>
          <a:r>
            <a:rPr lang="km-KH" sz="1100">
              <a:latin typeface="Javanese Text" panose="02000000000000000000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100" baseline="0">
              <a:latin typeface="Javanese Text" panose="02000000000000000000" pitchFamily="2" charset="0"/>
              <a:cs typeface="Khmer MEF1" panose="02000506000000020004" pitchFamily="2" charset="0"/>
            </a:rPr>
            <a:t> ថ្ងៃទី          ខែ         ឆ្នាំ២០១៩</a:t>
          </a:r>
        </a:p>
        <a:p>
          <a:pPr algn="ctr">
            <a:lnSpc>
              <a:spcPct val="85000"/>
            </a:lnSpc>
          </a:pP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ប្រធាននាយកដ្ឋានរដ្ឋបាលនិងហិរញ្ញវត្ថុ</a:t>
          </a:r>
          <a:endParaRPr lang="en-US" sz="1100">
            <a:latin typeface="Javanese Text" panose="02000000000000000000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12</xdr:col>
      <xdr:colOff>97267</xdr:colOff>
      <xdr:row>136</xdr:row>
      <xdr:rowOff>299417</xdr:rowOff>
    </xdr:from>
    <xdr:to>
      <xdr:col>12</xdr:col>
      <xdr:colOff>2922495</xdr:colOff>
      <xdr:row>140</xdr:row>
      <xdr:rowOff>206187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DABC30-DEF7-47B0-888D-22B784E61039}"/>
            </a:ext>
          </a:extLst>
        </xdr:cNvPr>
        <xdr:cNvSpPr txBox="1"/>
      </xdr:nvSpPr>
      <xdr:spPr>
        <a:xfrm>
          <a:off x="1002142" y="36075317"/>
          <a:ext cx="2825228" cy="1164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0000"/>
            </a:lnSpc>
          </a:pPr>
          <a:r>
            <a:rPr lang="km-KH" sz="1100">
              <a:latin typeface="Javanese Text" panose="02000000000000000000" pitchFamily="2" charset="0"/>
              <a:cs typeface="Khmer MEF1" panose="02000506000000020004" pitchFamily="2" charset="0"/>
            </a:rPr>
            <a:t>បានឃើញ និងឯកភាព</a:t>
          </a:r>
        </a:p>
        <a:p>
          <a:pPr algn="ctr">
            <a:lnSpc>
              <a:spcPct val="80000"/>
            </a:lnSpc>
          </a:pPr>
          <a:r>
            <a:rPr lang="km-KH" sz="1100">
              <a:latin typeface="Javanese Text" panose="02000000000000000000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100" baseline="0">
              <a:latin typeface="Javanese Text" panose="02000000000000000000" pitchFamily="2" charset="0"/>
              <a:cs typeface="Khmer MEF1" panose="02000506000000020004" pitchFamily="2" charset="0"/>
            </a:rPr>
            <a:t> ថ្ងៃទី          ខែ         ឆ្នាំ២០១៩</a:t>
          </a:r>
        </a:p>
        <a:p>
          <a:pPr algn="ctr">
            <a:lnSpc>
              <a:spcPct val="80000"/>
            </a:lnSpc>
          </a:pP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</a:t>
          </a:r>
        </a:p>
        <a:p>
          <a:pPr algn="ctr">
            <a:lnSpc>
              <a:spcPct val="80000"/>
            </a:lnSpc>
          </a:pP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  <a:endParaRPr lang="en-US" sz="1100">
            <a:latin typeface="Javanese Text" panose="02000000000000000000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9</xdr:col>
      <xdr:colOff>86062</xdr:colOff>
      <xdr:row>0</xdr:row>
      <xdr:rowOff>82474</xdr:rowOff>
    </xdr:from>
    <xdr:to>
      <xdr:col>12</xdr:col>
      <xdr:colOff>1613723</xdr:colOff>
      <xdr:row>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CEF0F5B-2126-4FEF-91E7-BDBAA27EE8C6}"/>
            </a:ext>
          </a:extLst>
        </xdr:cNvPr>
        <xdr:cNvSpPr txBox="1"/>
      </xdr:nvSpPr>
      <xdr:spPr>
        <a:xfrm>
          <a:off x="86062" y="82474"/>
          <a:ext cx="2432536" cy="104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82</xdr:col>
      <xdr:colOff>546847</xdr:colOff>
      <xdr:row>136</xdr:row>
      <xdr:rowOff>146570</xdr:rowOff>
    </xdr:from>
    <xdr:to>
      <xdr:col>86</xdr:col>
      <xdr:colOff>584948</xdr:colOff>
      <xdr:row>139</xdr:row>
      <xdr:rowOff>262508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F50816-1147-49C4-A64C-6D98628C32E2}"/>
            </a:ext>
          </a:extLst>
        </xdr:cNvPr>
        <xdr:cNvSpPr txBox="1"/>
      </xdr:nvSpPr>
      <xdr:spPr>
        <a:xfrm>
          <a:off x="53353447" y="35922470"/>
          <a:ext cx="3105151" cy="10589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ct val="85000"/>
            </a:lnSpc>
          </a:pPr>
          <a:r>
            <a:rPr lang="km-KH" sz="1100">
              <a:latin typeface="Javanese Text" panose="02000000000000000000" pitchFamily="2" charset="0"/>
              <a:cs typeface="Khmer MEF1" panose="02000506000000020004" pitchFamily="2" charset="0"/>
            </a:rPr>
            <a:t>រាជធានីភ្នំពេញ</a:t>
          </a:r>
          <a:r>
            <a:rPr lang="km-KH" sz="1100" baseline="0">
              <a:latin typeface="Javanese Text" panose="02000000000000000000" pitchFamily="2" charset="0"/>
              <a:cs typeface="Khmer MEF1" panose="02000506000000020004" pitchFamily="2" charset="0"/>
            </a:rPr>
            <a:t> ថ្ងៃទី          ខែ         ឆ្នាំ២០១៩</a:t>
          </a:r>
        </a:p>
        <a:p>
          <a:pPr algn="ctr">
            <a:lnSpc>
              <a:spcPct val="85000"/>
            </a:lnSpc>
          </a:pPr>
          <a:r>
            <a:rPr lang="km-KH" sz="1100" baseline="0">
              <a:latin typeface="Khmer MEF2" panose="02000506000000020004" pitchFamily="2" charset="0"/>
              <a:cs typeface="Khmer MEF2" panose="02000506000000020004" pitchFamily="2" charset="0"/>
            </a:rPr>
            <a:t>ប្រធានការិយាល័យផែនការថវិកា</a:t>
          </a:r>
          <a:endParaRPr lang="en-US" sz="1100">
            <a:latin typeface="Javanese Text" panose="02000000000000000000" pitchFamily="2" charset="0"/>
            <a:cs typeface="Khmer MEF1" panose="02000506000000020004" pitchFamily="2" charset="0"/>
          </a:endParaRPr>
        </a:p>
      </xdr:txBody>
    </xdr:sp>
    <xdr:clientData/>
  </xdr:twoCellAnchor>
  <xdr:twoCellAnchor>
    <xdr:from>
      <xdr:col>9</xdr:col>
      <xdr:colOff>86062</xdr:colOff>
      <xdr:row>0</xdr:row>
      <xdr:rowOff>82474</xdr:rowOff>
    </xdr:from>
    <xdr:to>
      <xdr:col>12</xdr:col>
      <xdr:colOff>1613723</xdr:colOff>
      <xdr:row>5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062F1A9-2169-4A25-BE43-1BE5A36DB3FB}"/>
            </a:ext>
          </a:extLst>
        </xdr:cNvPr>
        <xdr:cNvSpPr txBox="1"/>
      </xdr:nvSpPr>
      <xdr:spPr>
        <a:xfrm>
          <a:off x="86062" y="82474"/>
          <a:ext cx="2432536" cy="104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>
            <a:lnSpc>
              <a:spcPct val="80000"/>
            </a:lnSpc>
          </a:pPr>
          <a:r>
            <a:rPr lang="km-KH" sz="110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10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9</xdr:col>
      <xdr:colOff>86062</xdr:colOff>
      <xdr:row>0</xdr:row>
      <xdr:rowOff>82474</xdr:rowOff>
    </xdr:from>
    <xdr:to>
      <xdr:col>12</xdr:col>
      <xdr:colOff>1613723</xdr:colOff>
      <xdr:row>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34B2946-78BD-45AE-BD8F-6FF2AF36B2A5}"/>
            </a:ext>
          </a:extLst>
        </xdr:cNvPr>
        <xdr:cNvSpPr txBox="1"/>
      </xdr:nvSpPr>
      <xdr:spPr>
        <a:xfrm>
          <a:off x="86062" y="82474"/>
          <a:ext cx="2432536" cy="10414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>
            <a:lnSpc>
              <a:spcPct val="80000"/>
            </a:lnSpc>
          </a:pPr>
          <a:r>
            <a:rPr lang="km-KH" sz="1100" b="0">
              <a:latin typeface="Khmer MEF2" panose="02000506000000020004" pitchFamily="2" charset="0"/>
              <a:cs typeface="Khmer MEF2" panose="02000506000000020004" pitchFamily="2" charset="0"/>
            </a:rPr>
            <a:t>ក្រសួងសេដ្ឋកិច្ចនិងហិរញ្ញវត្ថុ</a:t>
          </a:r>
          <a:endParaRPr lang="en-US" sz="1100" b="0">
            <a:latin typeface="Khmer MEF2" panose="02000506000000020004" pitchFamily="2" charset="0"/>
            <a:cs typeface="Khmer MEF2" panose="02000506000000020004" pitchFamily="2" charset="0"/>
          </a:endParaRPr>
        </a:p>
        <a:p>
          <a:pPr algn="l">
            <a:lnSpc>
              <a:spcPct val="80000"/>
            </a:lnSpc>
          </a:pPr>
          <a:r>
            <a:rPr lang="km-KH" sz="1100" b="0">
              <a:latin typeface="Khmer MEF2" panose="02000506000000020004" pitchFamily="2" charset="0"/>
              <a:cs typeface="Khmer MEF2" panose="02000506000000020004" pitchFamily="2" charset="0"/>
            </a:rPr>
            <a:t>អគ្គលេខាធិការដ្ឋាន</a:t>
          </a:r>
        </a:p>
        <a:p>
          <a:pPr algn="l">
            <a:lnSpc>
              <a:spcPct val="80000"/>
            </a:lnSpc>
          </a:pPr>
          <a:r>
            <a:rPr lang="km-KH" sz="1100" b="0">
              <a:latin typeface="Khmer MEF2" panose="02000506000000020004" pitchFamily="2" charset="0"/>
              <a:cs typeface="Khmer MEF2" panose="02000506000000020004" pitchFamily="2" charset="0"/>
            </a:rPr>
            <a:t>នាយកដ្ឋានរដ្ឋបាលនិងហិរញ្ញវត្ថុ</a:t>
          </a:r>
        </a:p>
        <a:p>
          <a:pPr algn="l">
            <a:lnSpc>
              <a:spcPct val="80000"/>
            </a:lnSpc>
          </a:pPr>
          <a:r>
            <a:rPr lang="km-KH" sz="1100" b="0">
              <a:latin typeface="Khmer MEF2" panose="02000506000000020004" pitchFamily="2" charset="0"/>
              <a:cs typeface="Khmer MEF2" panose="02000506000000020004" pitchFamily="2" charset="0"/>
            </a:rPr>
            <a:t>ការិយាល័យផែនការថវិកា</a:t>
          </a:r>
          <a:endParaRPr lang="en-US" sz="1100" b="0">
            <a:latin typeface="Khmer MEF2" panose="02000506000000020004" pitchFamily="2" charset="0"/>
            <a:cs typeface="Khmer MEF2" panose="02000506000000020004" pitchFamily="2" charset="0"/>
          </a:endParaRPr>
        </a:p>
      </xdr:txBody>
    </xdr:sp>
    <xdr:clientData/>
  </xdr:twoCellAnchor>
  <xdr:twoCellAnchor>
    <xdr:from>
      <xdr:col>30</xdr:col>
      <xdr:colOff>114300</xdr:colOff>
      <xdr:row>0</xdr:row>
      <xdr:rowOff>17930</xdr:rowOff>
    </xdr:from>
    <xdr:to>
      <xdr:col>33</xdr:col>
      <xdr:colOff>173095</xdr:colOff>
      <xdr:row>4</xdr:row>
      <xdr:rowOff>139850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F425677-D8C1-44C1-B833-ABD08F4A6636}"/>
            </a:ext>
          </a:extLst>
        </xdr:cNvPr>
        <xdr:cNvSpPr txBox="1"/>
      </xdr:nvSpPr>
      <xdr:spPr>
        <a:xfrm>
          <a:off x="15440025" y="17930"/>
          <a:ext cx="1963795" cy="9124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>
            <a:lnSpc>
              <a:spcPts val="2000"/>
            </a:lnSpc>
          </a:pPr>
          <a:r>
            <a:rPr lang="km-KH" sz="1200">
              <a:latin typeface="Khmer MEF2" panose="02000506000000020004" pitchFamily="2" charset="0"/>
              <a:cs typeface="Khmer MEF2" panose="02000506000000020004" pitchFamily="2" charset="0"/>
            </a:rPr>
            <a:t>ព្រះរាជាណាចក្រកម្ពុជា</a:t>
          </a:r>
        </a:p>
        <a:p>
          <a:pPr algn="ctr">
            <a:lnSpc>
              <a:spcPts val="2000"/>
            </a:lnSpc>
          </a:pPr>
          <a:r>
            <a:rPr lang="km-KH" sz="1050">
              <a:latin typeface="Khmer MEF1" pitchFamily="2" charset="0"/>
              <a:cs typeface="Khmer MEF1" pitchFamily="2" charset="0"/>
            </a:rPr>
            <a:t>ជាតិ</a:t>
          </a:r>
          <a:r>
            <a:rPr lang="km-KH" sz="1050" baseline="0">
              <a:latin typeface="Khmer MEF1" pitchFamily="2" charset="0"/>
              <a:cs typeface="Khmer MEF1" pitchFamily="2" charset="0"/>
            </a:rPr>
            <a:t> សាសនា ព្រះមហាក្សត្រ</a:t>
          </a:r>
          <a:endParaRPr lang="km-KH" sz="1050">
            <a:latin typeface="Khmer MEF1" pitchFamily="2" charset="0"/>
            <a:cs typeface="Khmer MEF1" pitchFamily="2" charset="0"/>
          </a:endParaRPr>
        </a:p>
        <a:p>
          <a:pPr algn="ctr">
            <a:lnSpc>
              <a:spcPts val="2000"/>
            </a:lnSpc>
          </a:pPr>
          <a:r>
            <a:rPr lang="en-US" sz="1800">
              <a:latin typeface="Tacteing" pitchFamily="2" charset="0"/>
              <a:cs typeface="Khmer MEF2" panose="02000506000000020004" pitchFamily="2" charset="0"/>
            </a:rPr>
            <a:t>3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2019/&#6031;&#6070;&#6040;&#6026;&#6070;&#6035;&#6016;&#6070;&#6042;&#6050;&#6035;&#6075;&#6044;&#6031;&#6098;&#6031;&#6032;&#6044;&#6071;&#6016;&#6070;&#6022;&#6098;&#6035;&#6070;&#6086;&#6114;&#6112;&#6113;&#6121;/01.Suivi-Monti_2019-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udget%20Plane%20%20Office\PB%202016\&#6032;&#6098;&#6035;&#6070;&#6016;&#6091;&#6016;&#6030;&#6098;&#6031;&#6070;&#6043;\Costing%20Province-2016-2018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Group.xlsx" TargetMode="External"/><Relationship Id="rId1" Type="http://schemas.openxmlformats.org/officeDocument/2006/relationships/externalLinkPath" Target="/Project/MEF-BPO/documents/Master%20Data%20Setup/General%20Setup/AccountGroup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Account.xlsx" TargetMode="External"/><Relationship Id="rId1" Type="http://schemas.openxmlformats.org/officeDocument/2006/relationships/externalLinkPath" Target="/Project/MEF-BPO/documents/Master%20Data%20Setup/General%20Setup/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\MEF-BPO\documents\Master%20Data%20Setup\General%20Setup\SubAccount.xlsx" TargetMode="External"/><Relationship Id="rId1" Type="http://schemas.openxmlformats.org/officeDocument/2006/relationships/externalLinkPath" Target="/Project/MEF-BPO/documents/Master%20Data%20Setup/General%20Setup/SubAccou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ទំព័រដើម"/>
      <sheetName val="បញ្ជី"/>
      <sheetName val="ច្បាប់ហិរញ្ញវត្ថុ"/>
      <sheetName val="ចង្កោមសកម្មភាព"/>
      <sheetName val="និយ័តភាព"/>
      <sheetName val="ប្រើប្រាស់ឥណទាន"/>
      <sheetName val="របាយការណ៍ហិរញ្ញវត្ថុ"/>
      <sheetName val="សលាកបត្រ"/>
      <sheetName val="អនុវត្តឆមាសទី១"/>
      <sheetName val="អនុវត្តឆមាសទី២"/>
      <sheetName val="ត្រួតពិនិត្យ"/>
    </sheetNames>
    <sheetDataSet>
      <sheetData sheetId="0">
        <row r="8">
          <cell r="B8">
            <v>0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ing Central"/>
      <sheetName val="Costing Province"/>
      <sheetName val="Costing(ដំបូង)"/>
      <sheetName val="Costing(កាត់កន្ទុយ)"/>
      <sheetName val="គំរូរ"/>
      <sheetName val="គំរូរ (ថ្នាក់ក្រោមជាតិ)"/>
      <sheetName val="របាយការណ៍ហិរញ្ញវត្ថុ"/>
      <sheetName val="បញ្ជី"/>
    </sheetNames>
    <sheetDataSet>
      <sheetData sheetId="0" refreshError="1"/>
      <sheetData sheetId="1" refreshError="1"/>
      <sheetData sheetId="2" refreshError="1">
        <row r="283">
          <cell r="B283" t="str">
            <v>ល.រ</v>
          </cell>
          <cell r="E283" t="str">
            <v>អនុគណនី</v>
          </cell>
        </row>
        <row r="285">
          <cell r="K285" t="str">
            <v>ទឹកប្រាក់</v>
          </cell>
        </row>
        <row r="288">
          <cell r="K288">
            <v>1546997950</v>
          </cell>
        </row>
        <row r="289">
          <cell r="K289">
            <v>551516600</v>
          </cell>
        </row>
        <row r="290">
          <cell r="B290">
            <v>1</v>
          </cell>
          <cell r="K290">
            <v>211078200</v>
          </cell>
        </row>
        <row r="291">
          <cell r="B291">
            <v>1</v>
          </cell>
          <cell r="K291">
            <v>14238250</v>
          </cell>
        </row>
        <row r="292">
          <cell r="B292">
            <v>1</v>
          </cell>
          <cell r="E292">
            <v>60021</v>
          </cell>
          <cell r="K292">
            <v>1002500</v>
          </cell>
        </row>
        <row r="293">
          <cell r="B293">
            <v>1</v>
          </cell>
          <cell r="E293">
            <v>60021</v>
          </cell>
          <cell r="K293">
            <v>172200</v>
          </cell>
        </row>
        <row r="294">
          <cell r="B294">
            <v>1</v>
          </cell>
          <cell r="E294">
            <v>60021</v>
          </cell>
          <cell r="K294">
            <v>12500</v>
          </cell>
        </row>
        <row r="295">
          <cell r="B295">
            <v>1</v>
          </cell>
          <cell r="E295">
            <v>60021</v>
          </cell>
          <cell r="K295">
            <v>18000</v>
          </cell>
        </row>
        <row r="296">
          <cell r="B296">
            <v>1</v>
          </cell>
          <cell r="E296">
            <v>60021</v>
          </cell>
          <cell r="K296">
            <v>51750</v>
          </cell>
        </row>
        <row r="297">
          <cell r="B297">
            <v>1</v>
          </cell>
          <cell r="E297">
            <v>60021</v>
          </cell>
          <cell r="K297">
            <v>64650</v>
          </cell>
        </row>
        <row r="298">
          <cell r="B298">
            <v>1</v>
          </cell>
          <cell r="E298">
            <v>60021</v>
          </cell>
          <cell r="K298">
            <v>69750</v>
          </cell>
        </row>
        <row r="299">
          <cell r="B299">
            <v>1</v>
          </cell>
          <cell r="E299">
            <v>60021</v>
          </cell>
          <cell r="K299">
            <v>46500</v>
          </cell>
        </row>
        <row r="300">
          <cell r="B300">
            <v>1</v>
          </cell>
          <cell r="E300">
            <v>60021</v>
          </cell>
          <cell r="K300">
            <v>32400</v>
          </cell>
        </row>
        <row r="301">
          <cell r="B301">
            <v>1</v>
          </cell>
          <cell r="E301">
            <v>60021</v>
          </cell>
          <cell r="K301">
            <v>810000</v>
          </cell>
        </row>
        <row r="302">
          <cell r="B302">
            <v>1</v>
          </cell>
          <cell r="E302">
            <v>60021</v>
          </cell>
          <cell r="K302">
            <v>3969000</v>
          </cell>
        </row>
        <row r="303">
          <cell r="B303">
            <v>1</v>
          </cell>
          <cell r="E303">
            <v>60021</v>
          </cell>
          <cell r="K303">
            <v>344500</v>
          </cell>
        </row>
        <row r="304">
          <cell r="B304">
            <v>1</v>
          </cell>
          <cell r="E304">
            <v>60021</v>
          </cell>
          <cell r="K304">
            <v>344500</v>
          </cell>
        </row>
        <row r="305">
          <cell r="B305">
            <v>1</v>
          </cell>
          <cell r="E305">
            <v>60051</v>
          </cell>
          <cell r="K305">
            <v>4000000</v>
          </cell>
        </row>
        <row r="306">
          <cell r="B306">
            <v>1</v>
          </cell>
          <cell r="E306">
            <v>60051</v>
          </cell>
          <cell r="K306">
            <v>1500000</v>
          </cell>
        </row>
        <row r="307">
          <cell r="B307">
            <v>1</v>
          </cell>
          <cell r="E307">
            <v>61103</v>
          </cell>
          <cell r="K307">
            <v>300000</v>
          </cell>
        </row>
        <row r="308">
          <cell r="B308">
            <v>1</v>
          </cell>
          <cell r="E308">
            <v>60015</v>
          </cell>
          <cell r="K308">
            <v>1500000</v>
          </cell>
        </row>
        <row r="309">
          <cell r="B309">
            <v>1</v>
          </cell>
          <cell r="K309">
            <v>110456500</v>
          </cell>
        </row>
        <row r="310">
          <cell r="B310">
            <v>1</v>
          </cell>
          <cell r="E310">
            <v>60021</v>
          </cell>
          <cell r="K310">
            <v>401000</v>
          </cell>
        </row>
        <row r="311">
          <cell r="B311">
            <v>1</v>
          </cell>
          <cell r="E311">
            <v>60021</v>
          </cell>
          <cell r="K311">
            <v>172200</v>
          </cell>
        </row>
        <row r="312">
          <cell r="B312">
            <v>1</v>
          </cell>
          <cell r="E312">
            <v>60021</v>
          </cell>
          <cell r="K312">
            <v>27500</v>
          </cell>
        </row>
        <row r="313">
          <cell r="B313">
            <v>1</v>
          </cell>
          <cell r="E313">
            <v>60021</v>
          </cell>
          <cell r="K313">
            <v>26000</v>
          </cell>
        </row>
        <row r="314">
          <cell r="B314">
            <v>1</v>
          </cell>
          <cell r="E314">
            <v>60021</v>
          </cell>
          <cell r="K314">
            <v>43800</v>
          </cell>
        </row>
        <row r="315">
          <cell r="B315">
            <v>1</v>
          </cell>
          <cell r="E315">
            <v>61121</v>
          </cell>
          <cell r="K315">
            <v>8160000</v>
          </cell>
        </row>
        <row r="316">
          <cell r="B316">
            <v>1</v>
          </cell>
          <cell r="E316">
            <v>61122</v>
          </cell>
          <cell r="K316">
            <v>13226000</v>
          </cell>
        </row>
        <row r="317">
          <cell r="B317">
            <v>1</v>
          </cell>
          <cell r="E317">
            <v>61123</v>
          </cell>
          <cell r="K317">
            <v>37998400</v>
          </cell>
        </row>
        <row r="318">
          <cell r="B318">
            <v>1</v>
          </cell>
          <cell r="E318">
            <v>61123</v>
          </cell>
          <cell r="K318">
            <v>50401600</v>
          </cell>
        </row>
        <row r="319">
          <cell r="B319">
            <v>1</v>
          </cell>
          <cell r="K319">
            <v>43407100</v>
          </cell>
        </row>
        <row r="320">
          <cell r="B320">
            <v>1</v>
          </cell>
          <cell r="E320">
            <v>60011</v>
          </cell>
          <cell r="K320">
            <v>64800</v>
          </cell>
        </row>
        <row r="321">
          <cell r="B321">
            <v>1</v>
          </cell>
          <cell r="E321">
            <v>60021</v>
          </cell>
          <cell r="K321">
            <v>1002500</v>
          </cell>
        </row>
        <row r="322">
          <cell r="B322">
            <v>1</v>
          </cell>
          <cell r="E322">
            <v>60021</v>
          </cell>
          <cell r="K322">
            <v>8600</v>
          </cell>
        </row>
        <row r="323">
          <cell r="B323">
            <v>1</v>
          </cell>
          <cell r="E323">
            <v>60021</v>
          </cell>
          <cell r="K323">
            <v>5000</v>
          </cell>
        </row>
        <row r="324">
          <cell r="B324">
            <v>1</v>
          </cell>
          <cell r="E324">
            <v>60021</v>
          </cell>
          <cell r="K324">
            <v>5400</v>
          </cell>
        </row>
        <row r="325">
          <cell r="B325">
            <v>1</v>
          </cell>
          <cell r="E325">
            <v>60021</v>
          </cell>
          <cell r="K325">
            <v>16200</v>
          </cell>
        </row>
        <row r="326">
          <cell r="B326">
            <v>1</v>
          </cell>
          <cell r="E326">
            <v>60021</v>
          </cell>
          <cell r="K326">
            <v>45400</v>
          </cell>
        </row>
        <row r="327">
          <cell r="B327">
            <v>1</v>
          </cell>
          <cell r="E327">
            <v>60021</v>
          </cell>
          <cell r="K327">
            <v>27500</v>
          </cell>
        </row>
        <row r="328">
          <cell r="B328">
            <v>1</v>
          </cell>
          <cell r="E328">
            <v>60021</v>
          </cell>
          <cell r="K328">
            <v>26000</v>
          </cell>
        </row>
        <row r="329">
          <cell r="B329">
            <v>1</v>
          </cell>
          <cell r="E329">
            <v>60021</v>
          </cell>
          <cell r="K329">
            <v>43800</v>
          </cell>
        </row>
        <row r="330">
          <cell r="B330">
            <v>1</v>
          </cell>
          <cell r="E330">
            <v>60021</v>
          </cell>
          <cell r="K330">
            <v>170100</v>
          </cell>
        </row>
        <row r="331">
          <cell r="B331">
            <v>1</v>
          </cell>
          <cell r="E331">
            <v>60021</v>
          </cell>
          <cell r="K331">
            <v>139800</v>
          </cell>
        </row>
        <row r="332">
          <cell r="B332">
            <v>1</v>
          </cell>
          <cell r="E332">
            <v>60021</v>
          </cell>
          <cell r="K332">
            <v>11000</v>
          </cell>
        </row>
        <row r="333">
          <cell r="B333">
            <v>1</v>
          </cell>
          <cell r="E333">
            <v>60021</v>
          </cell>
          <cell r="K333">
            <v>6250</v>
          </cell>
        </row>
        <row r="334">
          <cell r="B334">
            <v>1</v>
          </cell>
          <cell r="E334">
            <v>60021</v>
          </cell>
          <cell r="K334">
            <v>18000</v>
          </cell>
        </row>
        <row r="335">
          <cell r="B335">
            <v>1</v>
          </cell>
          <cell r="E335">
            <v>60021</v>
          </cell>
          <cell r="K335">
            <v>164000</v>
          </cell>
        </row>
        <row r="336">
          <cell r="B336">
            <v>1</v>
          </cell>
          <cell r="E336">
            <v>60021</v>
          </cell>
          <cell r="K336">
            <v>24300</v>
          </cell>
        </row>
        <row r="337">
          <cell r="B337">
            <v>1</v>
          </cell>
          <cell r="E337">
            <v>60021</v>
          </cell>
          <cell r="K337">
            <v>103500</v>
          </cell>
        </row>
        <row r="338">
          <cell r="B338">
            <v>1</v>
          </cell>
          <cell r="E338">
            <v>60021</v>
          </cell>
          <cell r="K338">
            <v>86250</v>
          </cell>
        </row>
        <row r="339">
          <cell r="B339">
            <v>1</v>
          </cell>
          <cell r="E339">
            <v>60021</v>
          </cell>
          <cell r="K339">
            <v>107750</v>
          </cell>
        </row>
        <row r="340">
          <cell r="B340">
            <v>1</v>
          </cell>
          <cell r="E340">
            <v>60021</v>
          </cell>
          <cell r="K340">
            <v>116250</v>
          </cell>
        </row>
        <row r="341">
          <cell r="B341">
            <v>1</v>
          </cell>
          <cell r="E341">
            <v>60021</v>
          </cell>
          <cell r="K341">
            <v>77500</v>
          </cell>
        </row>
        <row r="342">
          <cell r="B342">
            <v>1</v>
          </cell>
          <cell r="E342">
            <v>60021</v>
          </cell>
          <cell r="K342">
            <v>43200</v>
          </cell>
        </row>
        <row r="343">
          <cell r="B343">
            <v>1</v>
          </cell>
          <cell r="E343">
            <v>60021</v>
          </cell>
          <cell r="K343">
            <v>689000</v>
          </cell>
        </row>
        <row r="344">
          <cell r="B344">
            <v>1</v>
          </cell>
          <cell r="E344">
            <v>60021</v>
          </cell>
          <cell r="K344">
            <v>405000</v>
          </cell>
        </row>
        <row r="345">
          <cell r="B345">
            <v>1</v>
          </cell>
          <cell r="E345">
            <v>60051</v>
          </cell>
          <cell r="K345">
            <v>40000000</v>
          </cell>
        </row>
        <row r="346">
          <cell r="B346">
            <v>1</v>
          </cell>
          <cell r="K346">
            <v>42976350</v>
          </cell>
        </row>
        <row r="347">
          <cell r="B347">
            <v>1</v>
          </cell>
          <cell r="E347">
            <v>60021</v>
          </cell>
          <cell r="K347">
            <v>401000</v>
          </cell>
        </row>
        <row r="348">
          <cell r="B348">
            <v>1</v>
          </cell>
          <cell r="E348">
            <v>60021</v>
          </cell>
          <cell r="K348">
            <v>13750</v>
          </cell>
        </row>
        <row r="349">
          <cell r="B349">
            <v>1</v>
          </cell>
          <cell r="E349">
            <v>61121</v>
          </cell>
          <cell r="K349">
            <v>2880000</v>
          </cell>
        </row>
        <row r="350">
          <cell r="B350">
            <v>1</v>
          </cell>
          <cell r="E350">
            <v>61122</v>
          </cell>
          <cell r="K350">
            <v>5200800</v>
          </cell>
        </row>
        <row r="351">
          <cell r="B351">
            <v>1</v>
          </cell>
          <cell r="E351">
            <v>61123</v>
          </cell>
          <cell r="K351">
            <v>15400800</v>
          </cell>
        </row>
        <row r="352">
          <cell r="B352">
            <v>1</v>
          </cell>
          <cell r="E352">
            <v>61123</v>
          </cell>
          <cell r="K352">
            <v>19080000</v>
          </cell>
        </row>
        <row r="353">
          <cell r="B353">
            <v>2</v>
          </cell>
          <cell r="K353">
            <v>217583150</v>
          </cell>
        </row>
        <row r="354">
          <cell r="B354">
            <v>2</v>
          </cell>
          <cell r="K354">
            <v>10751200</v>
          </cell>
        </row>
        <row r="355">
          <cell r="B355">
            <v>2</v>
          </cell>
          <cell r="E355">
            <v>60021</v>
          </cell>
          <cell r="K355">
            <v>401000</v>
          </cell>
        </row>
        <row r="356">
          <cell r="B356">
            <v>2</v>
          </cell>
          <cell r="E356">
            <v>60021</v>
          </cell>
          <cell r="K356">
            <v>22000</v>
          </cell>
        </row>
        <row r="357">
          <cell r="B357">
            <v>2</v>
          </cell>
          <cell r="E357">
            <v>60021</v>
          </cell>
          <cell r="K357">
            <v>26000</v>
          </cell>
        </row>
        <row r="358">
          <cell r="B358">
            <v>2</v>
          </cell>
          <cell r="E358">
            <v>60021</v>
          </cell>
          <cell r="K358">
            <v>103500</v>
          </cell>
        </row>
        <row r="359">
          <cell r="B359">
            <v>2</v>
          </cell>
          <cell r="E359">
            <v>60021</v>
          </cell>
          <cell r="K359">
            <v>12500</v>
          </cell>
        </row>
        <row r="360">
          <cell r="B360">
            <v>2</v>
          </cell>
          <cell r="E360">
            <v>60021</v>
          </cell>
          <cell r="K360">
            <v>18000</v>
          </cell>
        </row>
        <row r="361">
          <cell r="B361">
            <v>2</v>
          </cell>
          <cell r="E361">
            <v>60021</v>
          </cell>
          <cell r="K361">
            <v>24300</v>
          </cell>
        </row>
        <row r="362">
          <cell r="B362">
            <v>2</v>
          </cell>
          <cell r="E362">
            <v>60021</v>
          </cell>
          <cell r="K362">
            <v>6800</v>
          </cell>
        </row>
        <row r="363">
          <cell r="B363">
            <v>2</v>
          </cell>
          <cell r="E363">
            <v>60021</v>
          </cell>
          <cell r="K363">
            <v>34500</v>
          </cell>
        </row>
        <row r="364">
          <cell r="B364">
            <v>2</v>
          </cell>
          <cell r="E364">
            <v>60021</v>
          </cell>
          <cell r="K364">
            <v>43100</v>
          </cell>
        </row>
        <row r="365">
          <cell r="B365">
            <v>2</v>
          </cell>
          <cell r="E365">
            <v>60021</v>
          </cell>
          <cell r="K365">
            <v>46500</v>
          </cell>
        </row>
        <row r="366">
          <cell r="B366">
            <v>2</v>
          </cell>
          <cell r="E366">
            <v>60021</v>
          </cell>
          <cell r="K366">
            <v>31000</v>
          </cell>
        </row>
        <row r="367">
          <cell r="B367">
            <v>2</v>
          </cell>
          <cell r="E367">
            <v>60021</v>
          </cell>
          <cell r="K367">
            <v>108000</v>
          </cell>
        </row>
        <row r="368">
          <cell r="B368">
            <v>2</v>
          </cell>
          <cell r="E368">
            <v>60021</v>
          </cell>
          <cell r="K368">
            <v>405000</v>
          </cell>
        </row>
        <row r="369">
          <cell r="B369">
            <v>2</v>
          </cell>
          <cell r="E369">
            <v>60021</v>
          </cell>
          <cell r="K369">
            <v>3969000</v>
          </cell>
        </row>
        <row r="370">
          <cell r="B370">
            <v>2</v>
          </cell>
          <cell r="E370">
            <v>60051</v>
          </cell>
          <cell r="K370">
            <v>1500000</v>
          </cell>
        </row>
        <row r="371">
          <cell r="B371">
            <v>2</v>
          </cell>
          <cell r="E371">
            <v>60051</v>
          </cell>
          <cell r="K371">
            <v>4000000</v>
          </cell>
        </row>
        <row r="372">
          <cell r="B372">
            <v>2</v>
          </cell>
          <cell r="K372">
            <v>5773500</v>
          </cell>
        </row>
        <row r="373">
          <cell r="B373">
            <v>2</v>
          </cell>
          <cell r="E373">
            <v>60021</v>
          </cell>
          <cell r="K373">
            <v>2406000</v>
          </cell>
        </row>
        <row r="374">
          <cell r="B374">
            <v>2</v>
          </cell>
          <cell r="E374">
            <v>60021</v>
          </cell>
          <cell r="K374">
            <v>27500</v>
          </cell>
        </row>
        <row r="375">
          <cell r="B375">
            <v>2</v>
          </cell>
          <cell r="E375">
            <v>60021</v>
          </cell>
          <cell r="K375">
            <v>648000</v>
          </cell>
        </row>
        <row r="376">
          <cell r="B376">
            <v>2</v>
          </cell>
          <cell r="E376">
            <v>60021</v>
          </cell>
          <cell r="K376">
            <v>689000</v>
          </cell>
        </row>
        <row r="377">
          <cell r="B377">
            <v>2</v>
          </cell>
          <cell r="E377">
            <v>60021</v>
          </cell>
          <cell r="K377">
            <v>8100</v>
          </cell>
        </row>
        <row r="378">
          <cell r="B378">
            <v>2</v>
          </cell>
          <cell r="E378">
            <v>60021</v>
          </cell>
          <cell r="K378">
            <v>22700</v>
          </cell>
        </row>
        <row r="379">
          <cell r="B379">
            <v>2</v>
          </cell>
          <cell r="E379">
            <v>60021</v>
          </cell>
          <cell r="K379">
            <v>86100</v>
          </cell>
        </row>
        <row r="380">
          <cell r="B380">
            <v>2</v>
          </cell>
          <cell r="E380">
            <v>60021</v>
          </cell>
          <cell r="K380">
            <v>86100</v>
          </cell>
        </row>
        <row r="381">
          <cell r="B381">
            <v>2</v>
          </cell>
          <cell r="E381">
            <v>61103</v>
          </cell>
          <cell r="K381">
            <v>300000</v>
          </cell>
        </row>
        <row r="382">
          <cell r="B382">
            <v>2</v>
          </cell>
          <cell r="E382">
            <v>60015</v>
          </cell>
          <cell r="K382">
            <v>1500000</v>
          </cell>
        </row>
        <row r="383">
          <cell r="B383">
            <v>2</v>
          </cell>
          <cell r="K383">
            <v>110214500</v>
          </cell>
        </row>
        <row r="384">
          <cell r="B384">
            <v>2</v>
          </cell>
          <cell r="E384">
            <v>60021</v>
          </cell>
          <cell r="K384">
            <v>401000</v>
          </cell>
        </row>
        <row r="385">
          <cell r="B385">
            <v>2</v>
          </cell>
          <cell r="E385">
            <v>60021</v>
          </cell>
          <cell r="K385">
            <v>27500</v>
          </cell>
        </row>
        <row r="386">
          <cell r="B386">
            <v>2</v>
          </cell>
          <cell r="E386">
            <v>61121</v>
          </cell>
          <cell r="K386">
            <v>8160000</v>
          </cell>
        </row>
        <row r="387">
          <cell r="B387">
            <v>2</v>
          </cell>
          <cell r="E387">
            <v>61122</v>
          </cell>
          <cell r="K387">
            <v>13226000</v>
          </cell>
        </row>
        <row r="388">
          <cell r="B388">
            <v>2</v>
          </cell>
          <cell r="E388">
            <v>61123</v>
          </cell>
          <cell r="K388">
            <v>37998400</v>
          </cell>
        </row>
        <row r="389">
          <cell r="B389">
            <v>2</v>
          </cell>
          <cell r="E389">
            <v>61123</v>
          </cell>
          <cell r="K389">
            <v>50401600</v>
          </cell>
        </row>
        <row r="390">
          <cell r="B390">
            <v>2</v>
          </cell>
          <cell r="K390">
            <v>87310900</v>
          </cell>
        </row>
        <row r="391">
          <cell r="B391">
            <v>2</v>
          </cell>
          <cell r="E391">
            <v>60021</v>
          </cell>
          <cell r="K391">
            <v>2406000</v>
          </cell>
        </row>
        <row r="392">
          <cell r="B392">
            <v>2</v>
          </cell>
          <cell r="E392">
            <v>60021</v>
          </cell>
          <cell r="K392">
            <v>55000</v>
          </cell>
        </row>
        <row r="393">
          <cell r="B393">
            <v>2</v>
          </cell>
          <cell r="E393">
            <v>60021</v>
          </cell>
          <cell r="K393">
            <v>32500</v>
          </cell>
        </row>
        <row r="394">
          <cell r="B394">
            <v>2</v>
          </cell>
          <cell r="E394">
            <v>60021</v>
          </cell>
          <cell r="K394">
            <v>43800</v>
          </cell>
        </row>
        <row r="395">
          <cell r="B395">
            <v>2</v>
          </cell>
          <cell r="E395">
            <v>60021</v>
          </cell>
          <cell r="K395">
            <v>1944000</v>
          </cell>
        </row>
        <row r="396">
          <cell r="B396">
            <v>2</v>
          </cell>
          <cell r="E396">
            <v>60021</v>
          </cell>
          <cell r="K396">
            <v>689000</v>
          </cell>
        </row>
        <row r="397">
          <cell r="B397">
            <v>2</v>
          </cell>
          <cell r="E397">
            <v>60021</v>
          </cell>
          <cell r="K397">
            <v>12500</v>
          </cell>
        </row>
        <row r="398">
          <cell r="B398">
            <v>2</v>
          </cell>
          <cell r="E398">
            <v>60021</v>
          </cell>
          <cell r="K398">
            <v>18000</v>
          </cell>
        </row>
        <row r="399">
          <cell r="B399">
            <v>2</v>
          </cell>
          <cell r="E399">
            <v>60021</v>
          </cell>
          <cell r="K399">
            <v>567000</v>
          </cell>
        </row>
        <row r="400">
          <cell r="B400">
            <v>2</v>
          </cell>
          <cell r="E400">
            <v>60021</v>
          </cell>
          <cell r="K400">
            <v>34500</v>
          </cell>
        </row>
        <row r="401">
          <cell r="B401">
            <v>2</v>
          </cell>
          <cell r="E401">
            <v>60021</v>
          </cell>
          <cell r="K401">
            <v>43100</v>
          </cell>
        </row>
        <row r="402">
          <cell r="B402">
            <v>2</v>
          </cell>
          <cell r="E402">
            <v>60021</v>
          </cell>
          <cell r="K402">
            <v>46500</v>
          </cell>
        </row>
        <row r="403">
          <cell r="B403">
            <v>2</v>
          </cell>
          <cell r="E403">
            <v>60021</v>
          </cell>
          <cell r="K403">
            <v>31000</v>
          </cell>
        </row>
        <row r="404">
          <cell r="B404">
            <v>2</v>
          </cell>
          <cell r="E404">
            <v>60021</v>
          </cell>
          <cell r="K404">
            <v>108000</v>
          </cell>
        </row>
        <row r="405">
          <cell r="B405">
            <v>2</v>
          </cell>
          <cell r="E405">
            <v>61103</v>
          </cell>
          <cell r="K405">
            <v>1200000</v>
          </cell>
        </row>
        <row r="406">
          <cell r="B406">
            <v>2</v>
          </cell>
          <cell r="E406">
            <v>61103</v>
          </cell>
          <cell r="K406">
            <v>3200000</v>
          </cell>
        </row>
        <row r="407">
          <cell r="B407">
            <v>2</v>
          </cell>
          <cell r="E407">
            <v>61103</v>
          </cell>
          <cell r="K407">
            <v>9920000</v>
          </cell>
        </row>
        <row r="408">
          <cell r="B408">
            <v>2</v>
          </cell>
          <cell r="E408">
            <v>61103</v>
          </cell>
          <cell r="K408">
            <v>66960000</v>
          </cell>
        </row>
        <row r="409">
          <cell r="B409">
            <v>2</v>
          </cell>
          <cell r="K409">
            <v>3533050</v>
          </cell>
        </row>
        <row r="410">
          <cell r="B410">
            <v>2</v>
          </cell>
          <cell r="E410">
            <v>60021</v>
          </cell>
          <cell r="K410">
            <v>2005000</v>
          </cell>
        </row>
        <row r="411">
          <cell r="B411">
            <v>2</v>
          </cell>
          <cell r="E411">
            <v>60021</v>
          </cell>
          <cell r="K411">
            <v>648000</v>
          </cell>
        </row>
        <row r="412">
          <cell r="B412">
            <v>2</v>
          </cell>
          <cell r="E412">
            <v>60021</v>
          </cell>
          <cell r="K412">
            <v>283500</v>
          </cell>
        </row>
        <row r="413">
          <cell r="B413">
            <v>2</v>
          </cell>
          <cell r="E413">
            <v>60021</v>
          </cell>
          <cell r="K413">
            <v>34500</v>
          </cell>
        </row>
        <row r="414">
          <cell r="B414">
            <v>2</v>
          </cell>
          <cell r="E414">
            <v>60021</v>
          </cell>
          <cell r="K414">
            <v>43100</v>
          </cell>
        </row>
        <row r="415">
          <cell r="B415">
            <v>2</v>
          </cell>
          <cell r="E415">
            <v>60021</v>
          </cell>
          <cell r="K415">
            <v>46500</v>
          </cell>
        </row>
        <row r="416">
          <cell r="B416">
            <v>2</v>
          </cell>
          <cell r="E416">
            <v>60021</v>
          </cell>
          <cell r="K416">
            <v>31000</v>
          </cell>
        </row>
        <row r="417">
          <cell r="B417">
            <v>2</v>
          </cell>
          <cell r="E417">
            <v>60021</v>
          </cell>
          <cell r="K417">
            <v>54000</v>
          </cell>
        </row>
        <row r="418">
          <cell r="B418">
            <v>2</v>
          </cell>
          <cell r="E418">
            <v>60021</v>
          </cell>
          <cell r="K418">
            <v>387450</v>
          </cell>
        </row>
        <row r="419">
          <cell r="B419">
            <v>3</v>
          </cell>
          <cell r="K419">
            <v>122855250</v>
          </cell>
        </row>
        <row r="420">
          <cell r="B420">
            <v>3</v>
          </cell>
          <cell r="K420">
            <v>3391800</v>
          </cell>
        </row>
        <row r="421">
          <cell r="B421">
            <v>3</v>
          </cell>
          <cell r="E421">
            <v>60021</v>
          </cell>
          <cell r="K421">
            <v>802000</v>
          </cell>
        </row>
        <row r="422">
          <cell r="B422">
            <v>3</v>
          </cell>
          <cell r="E422">
            <v>60021</v>
          </cell>
          <cell r="K422">
            <v>16500</v>
          </cell>
        </row>
        <row r="423">
          <cell r="B423">
            <v>3</v>
          </cell>
          <cell r="E423">
            <v>60021</v>
          </cell>
          <cell r="K423">
            <v>13000</v>
          </cell>
        </row>
        <row r="424">
          <cell r="B424">
            <v>3</v>
          </cell>
          <cell r="E424">
            <v>60021</v>
          </cell>
          <cell r="K424">
            <v>51750</v>
          </cell>
        </row>
        <row r="425">
          <cell r="B425">
            <v>3</v>
          </cell>
          <cell r="E425">
            <v>60021</v>
          </cell>
          <cell r="K425">
            <v>2500</v>
          </cell>
        </row>
        <row r="426">
          <cell r="B426">
            <v>3</v>
          </cell>
          <cell r="E426">
            <v>60021</v>
          </cell>
          <cell r="K426">
            <v>4500</v>
          </cell>
        </row>
        <row r="427">
          <cell r="B427">
            <v>3</v>
          </cell>
          <cell r="E427">
            <v>60021</v>
          </cell>
          <cell r="K427">
            <v>34500</v>
          </cell>
        </row>
        <row r="428">
          <cell r="B428">
            <v>3</v>
          </cell>
          <cell r="E428">
            <v>60021</v>
          </cell>
          <cell r="K428">
            <v>43100</v>
          </cell>
        </row>
        <row r="429">
          <cell r="B429">
            <v>3</v>
          </cell>
          <cell r="E429">
            <v>60021</v>
          </cell>
          <cell r="K429">
            <v>46500</v>
          </cell>
        </row>
        <row r="430">
          <cell r="B430">
            <v>3</v>
          </cell>
          <cell r="E430">
            <v>60021</v>
          </cell>
          <cell r="K430">
            <v>31000</v>
          </cell>
        </row>
        <row r="431">
          <cell r="B431">
            <v>3</v>
          </cell>
          <cell r="E431">
            <v>60021</v>
          </cell>
          <cell r="K431">
            <v>54000</v>
          </cell>
        </row>
        <row r="432">
          <cell r="B432">
            <v>3</v>
          </cell>
          <cell r="E432">
            <v>60021</v>
          </cell>
          <cell r="K432">
            <v>387450</v>
          </cell>
        </row>
        <row r="433">
          <cell r="B433">
            <v>3</v>
          </cell>
          <cell r="E433">
            <v>60021</v>
          </cell>
          <cell r="K433">
            <v>405000</v>
          </cell>
        </row>
        <row r="434">
          <cell r="B434">
            <v>3</v>
          </cell>
          <cell r="E434">
            <v>60051</v>
          </cell>
          <cell r="K434">
            <v>1500000</v>
          </cell>
        </row>
        <row r="435">
          <cell r="B435">
            <v>3</v>
          </cell>
          <cell r="K435">
            <v>3058700</v>
          </cell>
        </row>
        <row r="436">
          <cell r="B436">
            <v>3</v>
          </cell>
          <cell r="E436">
            <v>60021</v>
          </cell>
          <cell r="K436">
            <v>1604000</v>
          </cell>
        </row>
        <row r="437">
          <cell r="B437">
            <v>3</v>
          </cell>
          <cell r="E437">
            <v>60021</v>
          </cell>
          <cell r="K437">
            <v>4300</v>
          </cell>
        </row>
        <row r="438">
          <cell r="B438">
            <v>3</v>
          </cell>
          <cell r="E438">
            <v>60021</v>
          </cell>
          <cell r="K438">
            <v>2500</v>
          </cell>
        </row>
        <row r="439">
          <cell r="B439">
            <v>3</v>
          </cell>
          <cell r="E439">
            <v>60021</v>
          </cell>
          <cell r="K439">
            <v>2700</v>
          </cell>
        </row>
        <row r="440">
          <cell r="B440">
            <v>3</v>
          </cell>
          <cell r="E440">
            <v>60021</v>
          </cell>
          <cell r="K440">
            <v>16200</v>
          </cell>
        </row>
        <row r="441">
          <cell r="B441">
            <v>3</v>
          </cell>
          <cell r="E441">
            <v>60021</v>
          </cell>
          <cell r="K441">
            <v>45400</v>
          </cell>
        </row>
        <row r="442">
          <cell r="B442">
            <v>3</v>
          </cell>
          <cell r="E442">
            <v>60021</v>
          </cell>
          <cell r="K442">
            <v>22000</v>
          </cell>
        </row>
        <row r="443">
          <cell r="B443">
            <v>3</v>
          </cell>
          <cell r="E443">
            <v>60021</v>
          </cell>
          <cell r="K443">
            <v>86100</v>
          </cell>
        </row>
        <row r="444">
          <cell r="B444">
            <v>3</v>
          </cell>
          <cell r="E444">
            <v>60021</v>
          </cell>
          <cell r="K444">
            <v>170100</v>
          </cell>
        </row>
        <row r="445">
          <cell r="B445">
            <v>3</v>
          </cell>
          <cell r="E445">
            <v>60021</v>
          </cell>
          <cell r="K445">
            <v>139800</v>
          </cell>
        </row>
        <row r="446">
          <cell r="B446">
            <v>3</v>
          </cell>
          <cell r="E446">
            <v>60021</v>
          </cell>
          <cell r="K446">
            <v>2500</v>
          </cell>
        </row>
        <row r="447">
          <cell r="B447">
            <v>3</v>
          </cell>
          <cell r="E447">
            <v>60021</v>
          </cell>
          <cell r="K447">
            <v>4500</v>
          </cell>
        </row>
        <row r="448">
          <cell r="B448">
            <v>3</v>
          </cell>
          <cell r="E448">
            <v>60021</v>
          </cell>
          <cell r="K448">
            <v>34500</v>
          </cell>
        </row>
        <row r="449">
          <cell r="B449">
            <v>3</v>
          </cell>
          <cell r="E449">
            <v>60021</v>
          </cell>
          <cell r="K449">
            <v>43100</v>
          </cell>
        </row>
        <row r="450">
          <cell r="B450">
            <v>3</v>
          </cell>
          <cell r="E450">
            <v>60021</v>
          </cell>
          <cell r="K450">
            <v>46500</v>
          </cell>
        </row>
        <row r="451">
          <cell r="B451">
            <v>3</v>
          </cell>
          <cell r="E451">
            <v>60021</v>
          </cell>
          <cell r="K451">
            <v>31000</v>
          </cell>
        </row>
        <row r="452">
          <cell r="B452">
            <v>3</v>
          </cell>
          <cell r="E452">
            <v>60021</v>
          </cell>
          <cell r="K452">
            <v>54000</v>
          </cell>
        </row>
        <row r="453">
          <cell r="B453">
            <v>3</v>
          </cell>
          <cell r="E453">
            <v>60021</v>
          </cell>
          <cell r="K453">
            <v>344500</v>
          </cell>
        </row>
        <row r="454">
          <cell r="B454">
            <v>3</v>
          </cell>
          <cell r="E454">
            <v>60021</v>
          </cell>
          <cell r="K454">
            <v>405000</v>
          </cell>
        </row>
        <row r="455">
          <cell r="B455">
            <v>3</v>
          </cell>
          <cell r="K455">
            <v>5423500</v>
          </cell>
        </row>
        <row r="456">
          <cell r="B456">
            <v>3</v>
          </cell>
          <cell r="E456">
            <v>60021</v>
          </cell>
          <cell r="K456">
            <v>2406000</v>
          </cell>
        </row>
        <row r="457">
          <cell r="B457">
            <v>3</v>
          </cell>
          <cell r="E457">
            <v>60021</v>
          </cell>
          <cell r="K457">
            <v>22000</v>
          </cell>
        </row>
        <row r="458">
          <cell r="B458">
            <v>3</v>
          </cell>
          <cell r="E458">
            <v>60021</v>
          </cell>
          <cell r="K458">
            <v>344500</v>
          </cell>
        </row>
        <row r="459">
          <cell r="B459">
            <v>3</v>
          </cell>
          <cell r="E459">
            <v>60021</v>
          </cell>
          <cell r="K459">
            <v>648000</v>
          </cell>
        </row>
        <row r="460">
          <cell r="B460">
            <v>3</v>
          </cell>
          <cell r="E460">
            <v>60021</v>
          </cell>
          <cell r="K460">
            <v>8100</v>
          </cell>
        </row>
        <row r="461">
          <cell r="B461">
            <v>3</v>
          </cell>
          <cell r="E461">
            <v>60021</v>
          </cell>
          <cell r="K461">
            <v>22700</v>
          </cell>
        </row>
        <row r="462">
          <cell r="B462">
            <v>3</v>
          </cell>
          <cell r="E462">
            <v>60021</v>
          </cell>
          <cell r="K462">
            <v>86100</v>
          </cell>
        </row>
        <row r="463">
          <cell r="B463">
            <v>3</v>
          </cell>
          <cell r="E463">
            <v>60021</v>
          </cell>
          <cell r="K463">
            <v>86100</v>
          </cell>
        </row>
        <row r="464">
          <cell r="B464">
            <v>3</v>
          </cell>
          <cell r="E464">
            <v>61103</v>
          </cell>
          <cell r="K464">
            <v>300000</v>
          </cell>
        </row>
        <row r="465">
          <cell r="B465">
            <v>3</v>
          </cell>
          <cell r="E465">
            <v>60015</v>
          </cell>
          <cell r="K465">
            <v>1500000</v>
          </cell>
        </row>
        <row r="466">
          <cell r="B466">
            <v>3</v>
          </cell>
          <cell r="K466">
            <v>110311000</v>
          </cell>
        </row>
        <row r="467">
          <cell r="B467">
            <v>3</v>
          </cell>
          <cell r="E467">
            <v>60021</v>
          </cell>
          <cell r="K467">
            <v>401000</v>
          </cell>
        </row>
        <row r="468">
          <cell r="B468">
            <v>3</v>
          </cell>
          <cell r="E468">
            <v>60021</v>
          </cell>
          <cell r="K468">
            <v>124000</v>
          </cell>
        </row>
        <row r="469">
          <cell r="B469">
            <v>3</v>
          </cell>
          <cell r="E469">
            <v>61121</v>
          </cell>
          <cell r="K469">
            <v>8160000</v>
          </cell>
        </row>
        <row r="470">
          <cell r="B470">
            <v>3</v>
          </cell>
          <cell r="E470">
            <v>61122</v>
          </cell>
          <cell r="K470">
            <v>13226000</v>
          </cell>
        </row>
        <row r="471">
          <cell r="B471">
            <v>3</v>
          </cell>
          <cell r="E471">
            <v>61123</v>
          </cell>
          <cell r="K471">
            <v>37998400</v>
          </cell>
        </row>
        <row r="472">
          <cell r="B472">
            <v>3</v>
          </cell>
          <cell r="E472">
            <v>61123</v>
          </cell>
          <cell r="K472">
            <v>50401600</v>
          </cell>
        </row>
        <row r="473">
          <cell r="B473">
            <v>3</v>
          </cell>
          <cell r="K473">
            <v>670250</v>
          </cell>
        </row>
        <row r="474">
          <cell r="B474">
            <v>3</v>
          </cell>
          <cell r="E474">
            <v>60021</v>
          </cell>
          <cell r="K474">
            <v>401000</v>
          </cell>
        </row>
        <row r="475">
          <cell r="B475">
            <v>3</v>
          </cell>
          <cell r="E475">
            <v>60021</v>
          </cell>
          <cell r="K475">
            <v>11000</v>
          </cell>
        </row>
        <row r="476">
          <cell r="B476">
            <v>3</v>
          </cell>
          <cell r="E476">
            <v>60021</v>
          </cell>
          <cell r="K476">
            <v>123000</v>
          </cell>
        </row>
        <row r="477">
          <cell r="B477">
            <v>3</v>
          </cell>
          <cell r="E477">
            <v>60021</v>
          </cell>
          <cell r="K477">
            <v>12500</v>
          </cell>
        </row>
        <row r="478">
          <cell r="B478">
            <v>3</v>
          </cell>
          <cell r="E478">
            <v>60021</v>
          </cell>
          <cell r="K478">
            <v>24250</v>
          </cell>
        </row>
        <row r="479">
          <cell r="B479">
            <v>3</v>
          </cell>
          <cell r="E479">
            <v>60021</v>
          </cell>
          <cell r="K479">
            <v>29200</v>
          </cell>
        </row>
        <row r="480">
          <cell r="B480">
            <v>3</v>
          </cell>
          <cell r="E480">
            <v>60021</v>
          </cell>
          <cell r="K480">
            <v>24300</v>
          </cell>
        </row>
        <row r="481">
          <cell r="B481">
            <v>3</v>
          </cell>
          <cell r="E481">
            <v>60021</v>
          </cell>
          <cell r="K481">
            <v>45000</v>
          </cell>
        </row>
        <row r="482">
          <cell r="B482">
            <v>3</v>
          </cell>
          <cell r="K482">
            <v>140628700</v>
          </cell>
        </row>
        <row r="483">
          <cell r="B483">
            <v>4</v>
          </cell>
          <cell r="K483">
            <v>15007850</v>
          </cell>
        </row>
        <row r="484">
          <cell r="B484">
            <v>4</v>
          </cell>
          <cell r="K484">
            <v>11363000</v>
          </cell>
        </row>
        <row r="485">
          <cell r="B485">
            <v>4</v>
          </cell>
          <cell r="E485">
            <v>60011</v>
          </cell>
          <cell r="K485">
            <v>81000</v>
          </cell>
        </row>
        <row r="486">
          <cell r="B486">
            <v>4</v>
          </cell>
          <cell r="E486">
            <v>60021</v>
          </cell>
          <cell r="K486">
            <v>802000</v>
          </cell>
        </row>
        <row r="487">
          <cell r="B487">
            <v>4</v>
          </cell>
          <cell r="E487">
            <v>60021</v>
          </cell>
          <cell r="K487">
            <v>172200</v>
          </cell>
        </row>
        <row r="488">
          <cell r="B488">
            <v>4</v>
          </cell>
          <cell r="E488">
            <v>60021</v>
          </cell>
          <cell r="K488">
            <v>689000</v>
          </cell>
        </row>
        <row r="489">
          <cell r="B489">
            <v>4</v>
          </cell>
          <cell r="E489">
            <v>60021</v>
          </cell>
          <cell r="K489">
            <v>8600</v>
          </cell>
        </row>
        <row r="490">
          <cell r="B490">
            <v>4</v>
          </cell>
          <cell r="E490">
            <v>60021</v>
          </cell>
          <cell r="K490">
            <v>5000</v>
          </cell>
        </row>
        <row r="491">
          <cell r="B491">
            <v>4</v>
          </cell>
          <cell r="E491">
            <v>60021</v>
          </cell>
          <cell r="K491">
            <v>5400</v>
          </cell>
        </row>
        <row r="492">
          <cell r="B492">
            <v>4</v>
          </cell>
          <cell r="E492">
            <v>60021</v>
          </cell>
          <cell r="K492">
            <v>16200</v>
          </cell>
        </row>
        <row r="493">
          <cell r="B493">
            <v>4</v>
          </cell>
          <cell r="E493">
            <v>60021</v>
          </cell>
          <cell r="K493">
            <v>45400</v>
          </cell>
        </row>
        <row r="494">
          <cell r="B494">
            <v>4</v>
          </cell>
          <cell r="E494">
            <v>60021</v>
          </cell>
          <cell r="K494">
            <v>33000</v>
          </cell>
        </row>
        <row r="495">
          <cell r="B495">
            <v>4</v>
          </cell>
          <cell r="E495">
            <v>60021</v>
          </cell>
          <cell r="K495">
            <v>26000</v>
          </cell>
        </row>
        <row r="496">
          <cell r="B496">
            <v>4</v>
          </cell>
          <cell r="E496">
            <v>60021</v>
          </cell>
          <cell r="K496">
            <v>87600</v>
          </cell>
        </row>
        <row r="497">
          <cell r="B497">
            <v>4</v>
          </cell>
          <cell r="E497">
            <v>60021</v>
          </cell>
          <cell r="K497">
            <v>103500</v>
          </cell>
        </row>
        <row r="498">
          <cell r="B498">
            <v>4</v>
          </cell>
          <cell r="E498">
            <v>60021</v>
          </cell>
          <cell r="K498">
            <v>28000</v>
          </cell>
        </row>
        <row r="499">
          <cell r="B499">
            <v>4</v>
          </cell>
          <cell r="E499">
            <v>60021</v>
          </cell>
          <cell r="K499">
            <v>124000</v>
          </cell>
        </row>
        <row r="500">
          <cell r="B500">
            <v>4</v>
          </cell>
          <cell r="E500">
            <v>60021</v>
          </cell>
          <cell r="K500">
            <v>24300</v>
          </cell>
        </row>
        <row r="501">
          <cell r="B501">
            <v>4</v>
          </cell>
          <cell r="E501">
            <v>60021</v>
          </cell>
          <cell r="K501">
            <v>170100</v>
          </cell>
        </row>
        <row r="502">
          <cell r="B502">
            <v>4</v>
          </cell>
          <cell r="E502">
            <v>60021</v>
          </cell>
          <cell r="K502">
            <v>139800</v>
          </cell>
        </row>
        <row r="503">
          <cell r="B503">
            <v>4</v>
          </cell>
          <cell r="E503">
            <v>60021</v>
          </cell>
          <cell r="K503">
            <v>18300</v>
          </cell>
        </row>
        <row r="504">
          <cell r="B504">
            <v>4</v>
          </cell>
          <cell r="E504">
            <v>60021</v>
          </cell>
          <cell r="K504">
            <v>11000</v>
          </cell>
        </row>
        <row r="505">
          <cell r="B505">
            <v>4</v>
          </cell>
          <cell r="E505">
            <v>60021</v>
          </cell>
          <cell r="K505">
            <v>24600</v>
          </cell>
        </row>
        <row r="506">
          <cell r="B506">
            <v>4</v>
          </cell>
          <cell r="E506">
            <v>60021</v>
          </cell>
          <cell r="K506">
            <v>45000</v>
          </cell>
        </row>
        <row r="507">
          <cell r="B507">
            <v>4</v>
          </cell>
          <cell r="E507">
            <v>60021</v>
          </cell>
          <cell r="K507">
            <v>12500</v>
          </cell>
        </row>
        <row r="508">
          <cell r="B508">
            <v>4</v>
          </cell>
          <cell r="E508">
            <v>60021</v>
          </cell>
          <cell r="K508">
            <v>19400</v>
          </cell>
        </row>
        <row r="509">
          <cell r="B509">
            <v>4</v>
          </cell>
          <cell r="E509">
            <v>60021</v>
          </cell>
          <cell r="K509">
            <v>24300</v>
          </cell>
        </row>
        <row r="510">
          <cell r="B510">
            <v>4</v>
          </cell>
          <cell r="E510">
            <v>60021</v>
          </cell>
          <cell r="K510">
            <v>13600</v>
          </cell>
        </row>
        <row r="511">
          <cell r="B511">
            <v>4</v>
          </cell>
          <cell r="E511">
            <v>60021</v>
          </cell>
          <cell r="K511">
            <v>12500</v>
          </cell>
        </row>
        <row r="512">
          <cell r="B512">
            <v>4</v>
          </cell>
          <cell r="E512">
            <v>60021</v>
          </cell>
          <cell r="K512">
            <v>18000</v>
          </cell>
        </row>
        <row r="513">
          <cell r="B513">
            <v>4</v>
          </cell>
          <cell r="E513">
            <v>60021</v>
          </cell>
          <cell r="K513">
            <v>69000</v>
          </cell>
        </row>
        <row r="514">
          <cell r="B514">
            <v>4</v>
          </cell>
          <cell r="E514">
            <v>60021</v>
          </cell>
          <cell r="K514">
            <v>86200</v>
          </cell>
        </row>
        <row r="515">
          <cell r="B515">
            <v>4</v>
          </cell>
          <cell r="E515">
            <v>60021</v>
          </cell>
          <cell r="K515">
            <v>93000</v>
          </cell>
        </row>
        <row r="516">
          <cell r="B516">
            <v>4</v>
          </cell>
          <cell r="E516">
            <v>60021</v>
          </cell>
          <cell r="K516">
            <v>62000</v>
          </cell>
        </row>
        <row r="517">
          <cell r="B517">
            <v>4</v>
          </cell>
          <cell r="E517">
            <v>60021</v>
          </cell>
          <cell r="K517">
            <v>108000</v>
          </cell>
        </row>
        <row r="518">
          <cell r="B518">
            <v>4</v>
          </cell>
          <cell r="E518">
            <v>60021</v>
          </cell>
          <cell r="K518">
            <v>3200</v>
          </cell>
        </row>
        <row r="519">
          <cell r="B519">
            <v>4</v>
          </cell>
          <cell r="E519">
            <v>60021</v>
          </cell>
          <cell r="K519">
            <v>11200</v>
          </cell>
        </row>
        <row r="520">
          <cell r="B520">
            <v>4</v>
          </cell>
          <cell r="E520">
            <v>60021</v>
          </cell>
          <cell r="K520">
            <v>164000</v>
          </cell>
        </row>
        <row r="521">
          <cell r="B521">
            <v>4</v>
          </cell>
          <cell r="E521">
            <v>60021</v>
          </cell>
          <cell r="K521">
            <v>6100</v>
          </cell>
        </row>
        <row r="522">
          <cell r="B522">
            <v>4</v>
          </cell>
          <cell r="E522">
            <v>60051</v>
          </cell>
          <cell r="K522">
            <v>1500000</v>
          </cell>
        </row>
        <row r="523">
          <cell r="B523">
            <v>4</v>
          </cell>
          <cell r="E523">
            <v>60051</v>
          </cell>
          <cell r="K523">
            <v>1000000</v>
          </cell>
        </row>
        <row r="524">
          <cell r="B524">
            <v>4</v>
          </cell>
          <cell r="E524">
            <v>60051</v>
          </cell>
          <cell r="K524">
            <v>4000000</v>
          </cell>
        </row>
        <row r="525">
          <cell r="B525">
            <v>4</v>
          </cell>
          <cell r="E525">
            <v>60015</v>
          </cell>
          <cell r="K525">
            <v>1500000</v>
          </cell>
        </row>
        <row r="526">
          <cell r="B526">
            <v>4</v>
          </cell>
          <cell r="K526">
            <v>1897650</v>
          </cell>
        </row>
        <row r="527">
          <cell r="B527">
            <v>4</v>
          </cell>
          <cell r="E527">
            <v>60021</v>
          </cell>
          <cell r="K527">
            <v>802000</v>
          </cell>
        </row>
        <row r="528">
          <cell r="B528">
            <v>4</v>
          </cell>
          <cell r="E528">
            <v>60021</v>
          </cell>
          <cell r="K528">
            <v>16200</v>
          </cell>
        </row>
        <row r="529">
          <cell r="B529">
            <v>4</v>
          </cell>
          <cell r="E529">
            <v>60021</v>
          </cell>
          <cell r="K529">
            <v>45400</v>
          </cell>
        </row>
        <row r="530">
          <cell r="B530">
            <v>4</v>
          </cell>
          <cell r="E530">
            <v>60021</v>
          </cell>
          <cell r="K530">
            <v>87600</v>
          </cell>
        </row>
        <row r="531">
          <cell r="B531">
            <v>4</v>
          </cell>
          <cell r="E531">
            <v>60021</v>
          </cell>
          <cell r="K531">
            <v>33000</v>
          </cell>
        </row>
        <row r="532">
          <cell r="B532">
            <v>4</v>
          </cell>
          <cell r="E532">
            <v>60021</v>
          </cell>
          <cell r="K532">
            <v>387450</v>
          </cell>
        </row>
        <row r="533">
          <cell r="B533">
            <v>4</v>
          </cell>
          <cell r="E533">
            <v>60021</v>
          </cell>
          <cell r="K533">
            <v>26000</v>
          </cell>
        </row>
        <row r="534">
          <cell r="B534">
            <v>4</v>
          </cell>
          <cell r="E534">
            <v>61103</v>
          </cell>
          <cell r="K534">
            <v>500000</v>
          </cell>
        </row>
        <row r="535">
          <cell r="B535">
            <v>4</v>
          </cell>
          <cell r="K535">
            <v>1747200</v>
          </cell>
        </row>
        <row r="536">
          <cell r="B536">
            <v>4</v>
          </cell>
          <cell r="E536">
            <v>60021</v>
          </cell>
          <cell r="K536">
            <v>802000</v>
          </cell>
        </row>
        <row r="537">
          <cell r="B537">
            <v>4</v>
          </cell>
          <cell r="E537">
            <v>60021</v>
          </cell>
          <cell r="K537">
            <v>16200</v>
          </cell>
        </row>
        <row r="538">
          <cell r="B538">
            <v>4</v>
          </cell>
          <cell r="E538">
            <v>60021</v>
          </cell>
          <cell r="K538">
            <v>45400</v>
          </cell>
        </row>
        <row r="539">
          <cell r="B539">
            <v>4</v>
          </cell>
          <cell r="E539">
            <v>60021</v>
          </cell>
          <cell r="K539">
            <v>27500</v>
          </cell>
        </row>
        <row r="540">
          <cell r="B540">
            <v>4</v>
          </cell>
          <cell r="E540">
            <v>60021</v>
          </cell>
          <cell r="K540">
            <v>689000</v>
          </cell>
        </row>
        <row r="541">
          <cell r="B541">
            <v>4</v>
          </cell>
          <cell r="E541">
            <v>60021</v>
          </cell>
          <cell r="K541">
            <v>81000</v>
          </cell>
        </row>
        <row r="542">
          <cell r="B542">
            <v>4</v>
          </cell>
          <cell r="E542">
            <v>60021</v>
          </cell>
          <cell r="K542">
            <v>86100</v>
          </cell>
        </row>
        <row r="543">
          <cell r="B543">
            <v>5</v>
          </cell>
          <cell r="K543">
            <v>46531500</v>
          </cell>
        </row>
        <row r="544">
          <cell r="B544">
            <v>5</v>
          </cell>
          <cell r="K544">
            <v>1167400</v>
          </cell>
        </row>
        <row r="545">
          <cell r="B545">
            <v>5</v>
          </cell>
          <cell r="E545">
            <v>60021</v>
          </cell>
          <cell r="K545">
            <v>802000</v>
          </cell>
        </row>
        <row r="546">
          <cell r="B546">
            <v>5</v>
          </cell>
          <cell r="E546">
            <v>60021</v>
          </cell>
          <cell r="K546">
            <v>4300</v>
          </cell>
        </row>
        <row r="547">
          <cell r="B547">
            <v>5</v>
          </cell>
          <cell r="E547">
            <v>60021</v>
          </cell>
          <cell r="K547">
            <v>2500</v>
          </cell>
        </row>
        <row r="548">
          <cell r="B548">
            <v>5</v>
          </cell>
          <cell r="E548">
            <v>60021</v>
          </cell>
          <cell r="K548">
            <v>2700</v>
          </cell>
        </row>
        <row r="549">
          <cell r="B549">
            <v>5</v>
          </cell>
          <cell r="E549">
            <v>60021</v>
          </cell>
          <cell r="K549">
            <v>8100</v>
          </cell>
        </row>
        <row r="550">
          <cell r="B550">
            <v>5</v>
          </cell>
          <cell r="E550">
            <v>60021</v>
          </cell>
          <cell r="K550">
            <v>22700</v>
          </cell>
        </row>
        <row r="551">
          <cell r="B551">
            <v>5</v>
          </cell>
          <cell r="E551">
            <v>60021</v>
          </cell>
          <cell r="K551">
            <v>22000</v>
          </cell>
        </row>
        <row r="552">
          <cell r="B552">
            <v>5</v>
          </cell>
          <cell r="E552">
            <v>60021</v>
          </cell>
          <cell r="K552">
            <v>26000</v>
          </cell>
        </row>
        <row r="553">
          <cell r="B553">
            <v>5</v>
          </cell>
          <cell r="E553">
            <v>60021</v>
          </cell>
          <cell r="K553">
            <v>5000</v>
          </cell>
        </row>
        <row r="554">
          <cell r="B554">
            <v>5</v>
          </cell>
          <cell r="E554">
            <v>60021</v>
          </cell>
          <cell r="K554">
            <v>9000</v>
          </cell>
        </row>
        <row r="555">
          <cell r="B555">
            <v>5</v>
          </cell>
          <cell r="E555">
            <v>60021</v>
          </cell>
          <cell r="K555">
            <v>34500</v>
          </cell>
        </row>
        <row r="556">
          <cell r="B556">
            <v>5</v>
          </cell>
          <cell r="E556">
            <v>60021</v>
          </cell>
          <cell r="K556">
            <v>43100</v>
          </cell>
        </row>
        <row r="557">
          <cell r="B557">
            <v>5</v>
          </cell>
          <cell r="E557">
            <v>60021</v>
          </cell>
          <cell r="K557">
            <v>46500</v>
          </cell>
        </row>
        <row r="558">
          <cell r="B558">
            <v>5</v>
          </cell>
          <cell r="E558">
            <v>60021</v>
          </cell>
          <cell r="K558">
            <v>31000</v>
          </cell>
        </row>
        <row r="559">
          <cell r="B559">
            <v>5</v>
          </cell>
          <cell r="E559">
            <v>60021</v>
          </cell>
          <cell r="K559">
            <v>108000</v>
          </cell>
        </row>
        <row r="560">
          <cell r="B560">
            <v>5</v>
          </cell>
          <cell r="K560">
            <v>42962600</v>
          </cell>
        </row>
        <row r="561">
          <cell r="B561">
            <v>5</v>
          </cell>
          <cell r="E561">
            <v>60021</v>
          </cell>
          <cell r="K561">
            <v>401000</v>
          </cell>
        </row>
        <row r="562">
          <cell r="B562">
            <v>5</v>
          </cell>
          <cell r="E562">
            <v>61121</v>
          </cell>
          <cell r="K562">
            <v>2880000</v>
          </cell>
        </row>
        <row r="563">
          <cell r="B563">
            <v>5</v>
          </cell>
          <cell r="E563">
            <v>61122</v>
          </cell>
          <cell r="K563">
            <v>5200800</v>
          </cell>
        </row>
        <row r="564">
          <cell r="B564">
            <v>5</v>
          </cell>
          <cell r="E564">
            <v>61123</v>
          </cell>
          <cell r="K564">
            <v>15400800</v>
          </cell>
        </row>
        <row r="565">
          <cell r="B565">
            <v>5</v>
          </cell>
          <cell r="E565">
            <v>61123</v>
          </cell>
          <cell r="K565">
            <v>19080000</v>
          </cell>
        </row>
        <row r="566">
          <cell r="B566">
            <v>5</v>
          </cell>
          <cell r="K566">
            <v>2401500</v>
          </cell>
        </row>
        <row r="567">
          <cell r="B567">
            <v>5</v>
          </cell>
          <cell r="E567">
            <v>60021</v>
          </cell>
          <cell r="K567">
            <v>401000</v>
          </cell>
        </row>
        <row r="568">
          <cell r="B568">
            <v>5</v>
          </cell>
          <cell r="E568">
            <v>60021</v>
          </cell>
          <cell r="K568">
            <v>22000</v>
          </cell>
        </row>
        <row r="569">
          <cell r="B569">
            <v>5</v>
          </cell>
          <cell r="E569">
            <v>60021</v>
          </cell>
          <cell r="K569">
            <v>26000</v>
          </cell>
        </row>
        <row r="570">
          <cell r="B570">
            <v>5</v>
          </cell>
          <cell r="E570">
            <v>60021</v>
          </cell>
          <cell r="K570">
            <v>344500</v>
          </cell>
        </row>
        <row r="571">
          <cell r="B571">
            <v>5</v>
          </cell>
          <cell r="E571">
            <v>60021</v>
          </cell>
          <cell r="K571">
            <v>108000</v>
          </cell>
        </row>
        <row r="572">
          <cell r="B572">
            <v>5</v>
          </cell>
          <cell r="E572">
            <v>60015</v>
          </cell>
          <cell r="K572">
            <v>1500000</v>
          </cell>
        </row>
        <row r="573">
          <cell r="B573">
            <v>6</v>
          </cell>
          <cell r="K573">
            <v>79089350</v>
          </cell>
        </row>
        <row r="574">
          <cell r="B574">
            <v>6</v>
          </cell>
          <cell r="K574">
            <v>1223800</v>
          </cell>
        </row>
        <row r="575">
          <cell r="B575">
            <v>6</v>
          </cell>
          <cell r="E575">
            <v>60021</v>
          </cell>
          <cell r="K575">
            <v>401000</v>
          </cell>
        </row>
        <row r="576">
          <cell r="B576">
            <v>6</v>
          </cell>
          <cell r="E576">
            <v>60021</v>
          </cell>
          <cell r="K576">
            <v>4300</v>
          </cell>
        </row>
        <row r="577">
          <cell r="B577">
            <v>6</v>
          </cell>
          <cell r="E577">
            <v>60021</v>
          </cell>
          <cell r="K577">
            <v>2500</v>
          </cell>
        </row>
        <row r="578">
          <cell r="B578">
            <v>6</v>
          </cell>
          <cell r="E578">
            <v>60021</v>
          </cell>
          <cell r="K578">
            <v>2700</v>
          </cell>
        </row>
        <row r="579">
          <cell r="B579">
            <v>6</v>
          </cell>
          <cell r="E579">
            <v>60021</v>
          </cell>
          <cell r="K579">
            <v>8100</v>
          </cell>
        </row>
        <row r="580">
          <cell r="B580">
            <v>6</v>
          </cell>
          <cell r="E580">
            <v>60021</v>
          </cell>
          <cell r="K580">
            <v>22700</v>
          </cell>
        </row>
        <row r="581">
          <cell r="B581">
            <v>6</v>
          </cell>
          <cell r="E581">
            <v>60021</v>
          </cell>
          <cell r="K581">
            <v>26000</v>
          </cell>
        </row>
        <row r="582">
          <cell r="B582">
            <v>6</v>
          </cell>
          <cell r="E582">
            <v>60021</v>
          </cell>
          <cell r="K582">
            <v>2500</v>
          </cell>
        </row>
        <row r="583">
          <cell r="B583">
            <v>6</v>
          </cell>
          <cell r="E583">
            <v>60021</v>
          </cell>
          <cell r="K583">
            <v>4500</v>
          </cell>
        </row>
        <row r="584">
          <cell r="B584">
            <v>6</v>
          </cell>
          <cell r="E584">
            <v>60021</v>
          </cell>
          <cell r="K584">
            <v>344500</v>
          </cell>
        </row>
        <row r="585">
          <cell r="B585">
            <v>6</v>
          </cell>
          <cell r="E585">
            <v>60021</v>
          </cell>
          <cell r="K585">
            <v>405000</v>
          </cell>
        </row>
        <row r="586">
          <cell r="B586">
            <v>6</v>
          </cell>
          <cell r="K586">
            <v>4853600</v>
          </cell>
        </row>
        <row r="587">
          <cell r="B587">
            <v>6</v>
          </cell>
          <cell r="E587">
            <v>60021</v>
          </cell>
          <cell r="K587">
            <v>401000</v>
          </cell>
        </row>
        <row r="588">
          <cell r="B588">
            <v>6</v>
          </cell>
          <cell r="E588">
            <v>60021</v>
          </cell>
          <cell r="K588">
            <v>22000</v>
          </cell>
        </row>
        <row r="589">
          <cell r="B589">
            <v>6</v>
          </cell>
          <cell r="E589">
            <v>60021</v>
          </cell>
          <cell r="K589">
            <v>86100</v>
          </cell>
        </row>
        <row r="590">
          <cell r="B590">
            <v>6</v>
          </cell>
          <cell r="E590">
            <v>60021</v>
          </cell>
          <cell r="K590">
            <v>344500</v>
          </cell>
        </row>
        <row r="591">
          <cell r="B591">
            <v>6</v>
          </cell>
          <cell r="E591">
            <v>60051</v>
          </cell>
          <cell r="K591">
            <v>4000000</v>
          </cell>
        </row>
        <row r="592">
          <cell r="B592">
            <v>6</v>
          </cell>
          <cell r="K592">
            <v>67500000</v>
          </cell>
        </row>
        <row r="593">
          <cell r="B593">
            <v>6</v>
          </cell>
          <cell r="E593">
            <v>60021</v>
          </cell>
          <cell r="K593">
            <v>401000</v>
          </cell>
        </row>
        <row r="594">
          <cell r="B594">
            <v>6</v>
          </cell>
          <cell r="E594">
            <v>60021</v>
          </cell>
          <cell r="K594">
            <v>22000</v>
          </cell>
        </row>
        <row r="595">
          <cell r="B595">
            <v>6</v>
          </cell>
          <cell r="E595">
            <v>61121</v>
          </cell>
          <cell r="K595">
            <v>6960000</v>
          </cell>
        </row>
        <row r="596">
          <cell r="B596">
            <v>6</v>
          </cell>
          <cell r="E596">
            <v>61122</v>
          </cell>
          <cell r="K596">
            <v>8035900</v>
          </cell>
        </row>
        <row r="597">
          <cell r="B597">
            <v>6</v>
          </cell>
          <cell r="E597">
            <v>61123</v>
          </cell>
          <cell r="K597">
            <v>23521900</v>
          </cell>
        </row>
        <row r="598">
          <cell r="B598">
            <v>6</v>
          </cell>
          <cell r="E598">
            <v>61123</v>
          </cell>
          <cell r="K598">
            <v>28559200</v>
          </cell>
        </row>
        <row r="599">
          <cell r="B599">
            <v>6</v>
          </cell>
          <cell r="K599">
            <v>5511950</v>
          </cell>
        </row>
        <row r="600">
          <cell r="B600">
            <v>6</v>
          </cell>
          <cell r="E600">
            <v>60021</v>
          </cell>
          <cell r="K600">
            <v>2406000</v>
          </cell>
        </row>
        <row r="601">
          <cell r="B601">
            <v>6</v>
          </cell>
          <cell r="E601">
            <v>60021</v>
          </cell>
          <cell r="K601">
            <v>86100</v>
          </cell>
        </row>
        <row r="602">
          <cell r="B602">
            <v>6</v>
          </cell>
          <cell r="E602">
            <v>60021</v>
          </cell>
          <cell r="K602">
            <v>689000</v>
          </cell>
        </row>
        <row r="603">
          <cell r="B603">
            <v>6</v>
          </cell>
          <cell r="E603">
            <v>60021</v>
          </cell>
          <cell r="K603">
            <v>4300</v>
          </cell>
        </row>
        <row r="604">
          <cell r="B604">
            <v>6</v>
          </cell>
          <cell r="E604">
            <v>60021</v>
          </cell>
          <cell r="K604">
            <v>2500</v>
          </cell>
        </row>
        <row r="605">
          <cell r="B605">
            <v>6</v>
          </cell>
          <cell r="E605">
            <v>60021</v>
          </cell>
          <cell r="K605">
            <v>2700</v>
          </cell>
        </row>
        <row r="606">
          <cell r="B606">
            <v>6</v>
          </cell>
          <cell r="E606">
            <v>60021</v>
          </cell>
          <cell r="K606">
            <v>22000</v>
          </cell>
        </row>
        <row r="607">
          <cell r="B607">
            <v>6</v>
          </cell>
          <cell r="E607">
            <v>60021</v>
          </cell>
          <cell r="K607">
            <v>26000</v>
          </cell>
        </row>
        <row r="608">
          <cell r="B608">
            <v>6</v>
          </cell>
          <cell r="E608">
            <v>60021</v>
          </cell>
          <cell r="K608">
            <v>43800</v>
          </cell>
        </row>
        <row r="609">
          <cell r="B609">
            <v>6</v>
          </cell>
          <cell r="E609">
            <v>60021</v>
          </cell>
          <cell r="K609">
            <v>103500</v>
          </cell>
        </row>
        <row r="610">
          <cell r="B610">
            <v>6</v>
          </cell>
          <cell r="E610">
            <v>60021</v>
          </cell>
          <cell r="K610">
            <v>85250</v>
          </cell>
        </row>
        <row r="611">
          <cell r="B611">
            <v>6</v>
          </cell>
          <cell r="E611">
            <v>60021</v>
          </cell>
          <cell r="K611">
            <v>124000</v>
          </cell>
        </row>
        <row r="612">
          <cell r="B612">
            <v>6</v>
          </cell>
          <cell r="E612">
            <v>60021</v>
          </cell>
          <cell r="K612">
            <v>24300</v>
          </cell>
        </row>
        <row r="613">
          <cell r="B613">
            <v>6</v>
          </cell>
          <cell r="E613">
            <v>60021</v>
          </cell>
          <cell r="K613">
            <v>24300</v>
          </cell>
        </row>
        <row r="614">
          <cell r="B614">
            <v>6</v>
          </cell>
          <cell r="E614">
            <v>60021</v>
          </cell>
          <cell r="K614">
            <v>20250</v>
          </cell>
        </row>
        <row r="615">
          <cell r="B615">
            <v>6</v>
          </cell>
          <cell r="E615">
            <v>60021</v>
          </cell>
          <cell r="K615">
            <v>24600</v>
          </cell>
        </row>
        <row r="616">
          <cell r="B616">
            <v>6</v>
          </cell>
          <cell r="E616">
            <v>60021</v>
          </cell>
          <cell r="K616">
            <v>45000</v>
          </cell>
        </row>
        <row r="617">
          <cell r="B617">
            <v>6</v>
          </cell>
          <cell r="E617">
            <v>60021</v>
          </cell>
          <cell r="K617">
            <v>6250</v>
          </cell>
        </row>
        <row r="618">
          <cell r="B618">
            <v>6</v>
          </cell>
          <cell r="E618">
            <v>60021</v>
          </cell>
          <cell r="K618">
            <v>9000</v>
          </cell>
        </row>
        <row r="619">
          <cell r="B619">
            <v>6</v>
          </cell>
          <cell r="E619">
            <v>60021</v>
          </cell>
          <cell r="K619">
            <v>34500</v>
          </cell>
        </row>
        <row r="620">
          <cell r="B620">
            <v>6</v>
          </cell>
          <cell r="E620">
            <v>60021</v>
          </cell>
          <cell r="K620">
            <v>43100</v>
          </cell>
        </row>
        <row r="621">
          <cell r="B621">
            <v>6</v>
          </cell>
          <cell r="E621">
            <v>60021</v>
          </cell>
          <cell r="K621">
            <v>46500</v>
          </cell>
        </row>
        <row r="622">
          <cell r="B622">
            <v>6</v>
          </cell>
          <cell r="E622">
            <v>60021</v>
          </cell>
          <cell r="K622">
            <v>31000</v>
          </cell>
        </row>
        <row r="623">
          <cell r="B623">
            <v>6</v>
          </cell>
          <cell r="E623">
            <v>60021</v>
          </cell>
          <cell r="K623">
            <v>108000</v>
          </cell>
        </row>
        <row r="624">
          <cell r="B624">
            <v>6</v>
          </cell>
          <cell r="E624">
            <v>60015</v>
          </cell>
          <cell r="K624">
            <v>1500000</v>
          </cell>
        </row>
        <row r="625">
          <cell r="B625">
            <v>6</v>
          </cell>
          <cell r="K625">
            <v>90294050</v>
          </cell>
        </row>
        <row r="626">
          <cell r="B626">
            <v>7</v>
          </cell>
          <cell r="K626">
            <v>78695900</v>
          </cell>
        </row>
        <row r="627">
          <cell r="B627">
            <v>7</v>
          </cell>
          <cell r="K627">
            <v>7775750</v>
          </cell>
        </row>
        <row r="628">
          <cell r="B628">
            <v>7</v>
          </cell>
          <cell r="E628">
            <v>60021</v>
          </cell>
          <cell r="K628">
            <v>802000</v>
          </cell>
        </row>
        <row r="629">
          <cell r="B629">
            <v>7</v>
          </cell>
          <cell r="E629">
            <v>60021</v>
          </cell>
          <cell r="K629">
            <v>86100</v>
          </cell>
        </row>
        <row r="630">
          <cell r="B630">
            <v>7</v>
          </cell>
          <cell r="E630">
            <v>60021</v>
          </cell>
          <cell r="K630">
            <v>2500</v>
          </cell>
        </row>
        <row r="631">
          <cell r="B631">
            <v>7</v>
          </cell>
          <cell r="E631">
            <v>60021</v>
          </cell>
          <cell r="K631">
            <v>4500</v>
          </cell>
        </row>
        <row r="632">
          <cell r="B632">
            <v>7</v>
          </cell>
          <cell r="E632">
            <v>60021</v>
          </cell>
          <cell r="K632">
            <v>51750</v>
          </cell>
        </row>
        <row r="633">
          <cell r="B633">
            <v>7</v>
          </cell>
          <cell r="E633">
            <v>60021</v>
          </cell>
          <cell r="K633">
            <v>64650</v>
          </cell>
        </row>
        <row r="634">
          <cell r="B634">
            <v>7</v>
          </cell>
          <cell r="E634">
            <v>60021</v>
          </cell>
          <cell r="K634">
            <v>69750</v>
          </cell>
        </row>
        <row r="635">
          <cell r="B635">
            <v>7</v>
          </cell>
          <cell r="E635">
            <v>60021</v>
          </cell>
          <cell r="K635">
            <v>46500</v>
          </cell>
        </row>
        <row r="636">
          <cell r="B636">
            <v>7</v>
          </cell>
          <cell r="E636">
            <v>60021</v>
          </cell>
          <cell r="K636">
            <v>54000</v>
          </cell>
        </row>
        <row r="637">
          <cell r="B637">
            <v>7</v>
          </cell>
          <cell r="E637">
            <v>60021</v>
          </cell>
          <cell r="K637">
            <v>405000</v>
          </cell>
        </row>
        <row r="638">
          <cell r="B638">
            <v>7</v>
          </cell>
          <cell r="E638">
            <v>60021</v>
          </cell>
          <cell r="K638">
            <v>344500</v>
          </cell>
        </row>
        <row r="639">
          <cell r="B639">
            <v>7</v>
          </cell>
          <cell r="E639">
            <v>60021</v>
          </cell>
          <cell r="K639">
            <v>344500</v>
          </cell>
        </row>
        <row r="640">
          <cell r="B640">
            <v>7</v>
          </cell>
          <cell r="E640">
            <v>60051</v>
          </cell>
          <cell r="K640">
            <v>4000000</v>
          </cell>
        </row>
        <row r="641">
          <cell r="B641">
            <v>7</v>
          </cell>
          <cell r="E641">
            <v>60051</v>
          </cell>
          <cell r="K641">
            <v>1500000</v>
          </cell>
        </row>
        <row r="642">
          <cell r="B642">
            <v>7</v>
          </cell>
          <cell r="K642">
            <v>3334050</v>
          </cell>
        </row>
        <row r="643">
          <cell r="B643">
            <v>7</v>
          </cell>
          <cell r="E643">
            <v>60021</v>
          </cell>
          <cell r="K643">
            <v>401000</v>
          </cell>
        </row>
        <row r="644">
          <cell r="B644">
            <v>7</v>
          </cell>
          <cell r="E644">
            <v>60021</v>
          </cell>
          <cell r="K644">
            <v>20250</v>
          </cell>
        </row>
        <row r="645">
          <cell r="B645">
            <v>7</v>
          </cell>
          <cell r="E645">
            <v>60021</v>
          </cell>
          <cell r="K645">
            <v>22700</v>
          </cell>
        </row>
        <row r="646">
          <cell r="B646">
            <v>7</v>
          </cell>
          <cell r="E646">
            <v>60021</v>
          </cell>
          <cell r="K646">
            <v>11000</v>
          </cell>
        </row>
        <row r="647">
          <cell r="B647">
            <v>7</v>
          </cell>
          <cell r="E647">
            <v>60021</v>
          </cell>
          <cell r="K647">
            <v>344500</v>
          </cell>
        </row>
        <row r="648">
          <cell r="B648">
            <v>7</v>
          </cell>
          <cell r="E648">
            <v>60021</v>
          </cell>
          <cell r="K648">
            <v>48600</v>
          </cell>
        </row>
        <row r="649">
          <cell r="B649">
            <v>7</v>
          </cell>
          <cell r="E649">
            <v>60021</v>
          </cell>
          <cell r="K649">
            <v>26000</v>
          </cell>
        </row>
        <row r="650">
          <cell r="B650">
            <v>7</v>
          </cell>
          <cell r="E650">
            <v>61103</v>
          </cell>
          <cell r="K650">
            <v>960000</v>
          </cell>
        </row>
        <row r="651">
          <cell r="B651">
            <v>7</v>
          </cell>
          <cell r="E651">
            <v>60015</v>
          </cell>
          <cell r="K651">
            <v>1500000</v>
          </cell>
        </row>
        <row r="652">
          <cell r="B652">
            <v>7</v>
          </cell>
          <cell r="K652">
            <v>67586100</v>
          </cell>
        </row>
        <row r="653">
          <cell r="B653">
            <v>7</v>
          </cell>
          <cell r="E653">
            <v>60021</v>
          </cell>
          <cell r="K653">
            <v>401000</v>
          </cell>
        </row>
        <row r="654">
          <cell r="B654">
            <v>7</v>
          </cell>
          <cell r="E654">
            <v>60021</v>
          </cell>
          <cell r="K654">
            <v>86100</v>
          </cell>
        </row>
        <row r="655">
          <cell r="B655">
            <v>7</v>
          </cell>
          <cell r="E655">
            <v>60021</v>
          </cell>
          <cell r="K655">
            <v>22000</v>
          </cell>
        </row>
        <row r="656">
          <cell r="B656">
            <v>7</v>
          </cell>
          <cell r="E656">
            <v>61121</v>
          </cell>
          <cell r="K656">
            <v>6960000</v>
          </cell>
        </row>
        <row r="657">
          <cell r="B657">
            <v>7</v>
          </cell>
          <cell r="E657">
            <v>61122</v>
          </cell>
          <cell r="K657">
            <v>8035900</v>
          </cell>
        </row>
        <row r="658">
          <cell r="B658">
            <v>7</v>
          </cell>
          <cell r="E658">
            <v>61123</v>
          </cell>
          <cell r="K658">
            <v>23521900</v>
          </cell>
        </row>
        <row r="659">
          <cell r="B659">
            <v>7</v>
          </cell>
          <cell r="E659">
            <v>61123</v>
          </cell>
          <cell r="K659">
            <v>28559200</v>
          </cell>
        </row>
        <row r="660">
          <cell r="B660">
            <v>8</v>
          </cell>
          <cell r="K660">
            <v>5691150</v>
          </cell>
        </row>
        <row r="661">
          <cell r="B661">
            <v>8</v>
          </cell>
          <cell r="K661">
            <v>2137550</v>
          </cell>
        </row>
        <row r="662">
          <cell r="B662">
            <v>8</v>
          </cell>
          <cell r="E662">
            <v>60021</v>
          </cell>
          <cell r="K662">
            <v>601500</v>
          </cell>
        </row>
        <row r="663">
          <cell r="B663">
            <v>8</v>
          </cell>
          <cell r="E663">
            <v>60021</v>
          </cell>
          <cell r="K663">
            <v>86100</v>
          </cell>
        </row>
        <row r="664">
          <cell r="B664">
            <v>8</v>
          </cell>
          <cell r="E664">
            <v>60021</v>
          </cell>
          <cell r="K664">
            <v>689000</v>
          </cell>
        </row>
        <row r="665">
          <cell r="B665">
            <v>8</v>
          </cell>
          <cell r="E665">
            <v>60021</v>
          </cell>
          <cell r="K665">
            <v>8600</v>
          </cell>
        </row>
        <row r="666">
          <cell r="B666">
            <v>8</v>
          </cell>
          <cell r="E666">
            <v>60021</v>
          </cell>
          <cell r="K666">
            <v>5000</v>
          </cell>
        </row>
        <row r="667">
          <cell r="B667">
            <v>8</v>
          </cell>
          <cell r="E667">
            <v>60021</v>
          </cell>
          <cell r="K667">
            <v>5400</v>
          </cell>
        </row>
        <row r="668">
          <cell r="B668">
            <v>8</v>
          </cell>
          <cell r="E668">
            <v>60021</v>
          </cell>
          <cell r="K668">
            <v>11000</v>
          </cell>
        </row>
        <row r="669">
          <cell r="B669">
            <v>8</v>
          </cell>
          <cell r="E669">
            <v>60021</v>
          </cell>
          <cell r="K669">
            <v>26000</v>
          </cell>
        </row>
        <row r="670">
          <cell r="B670">
            <v>8</v>
          </cell>
          <cell r="E670">
            <v>60021</v>
          </cell>
          <cell r="K670">
            <v>103500</v>
          </cell>
        </row>
        <row r="671">
          <cell r="B671">
            <v>8</v>
          </cell>
          <cell r="E671">
            <v>60021</v>
          </cell>
          <cell r="K671">
            <v>85250</v>
          </cell>
        </row>
        <row r="672">
          <cell r="B672">
            <v>8</v>
          </cell>
          <cell r="E672">
            <v>60021</v>
          </cell>
          <cell r="K672">
            <v>124000</v>
          </cell>
        </row>
        <row r="673">
          <cell r="B673">
            <v>8</v>
          </cell>
          <cell r="E673">
            <v>60021</v>
          </cell>
          <cell r="K673">
            <v>24300</v>
          </cell>
        </row>
        <row r="674">
          <cell r="B674">
            <v>8</v>
          </cell>
          <cell r="E674">
            <v>60021</v>
          </cell>
          <cell r="K674">
            <v>24300</v>
          </cell>
        </row>
        <row r="675">
          <cell r="B675">
            <v>8</v>
          </cell>
          <cell r="E675">
            <v>60021</v>
          </cell>
          <cell r="K675">
            <v>20250</v>
          </cell>
        </row>
        <row r="676">
          <cell r="B676">
            <v>8</v>
          </cell>
          <cell r="E676">
            <v>60021</v>
          </cell>
          <cell r="K676">
            <v>45000</v>
          </cell>
        </row>
        <row r="677">
          <cell r="B677">
            <v>8</v>
          </cell>
          <cell r="E677">
            <v>60021</v>
          </cell>
          <cell r="K677">
            <v>6250</v>
          </cell>
        </row>
        <row r="678">
          <cell r="B678">
            <v>8</v>
          </cell>
          <cell r="E678">
            <v>60021</v>
          </cell>
          <cell r="K678">
            <v>9000</v>
          </cell>
        </row>
        <row r="679">
          <cell r="B679">
            <v>8</v>
          </cell>
          <cell r="E679">
            <v>60021</v>
          </cell>
          <cell r="K679">
            <v>34500</v>
          </cell>
        </row>
        <row r="680">
          <cell r="B680">
            <v>8</v>
          </cell>
          <cell r="E680">
            <v>60021</v>
          </cell>
          <cell r="K680">
            <v>43100</v>
          </cell>
        </row>
        <row r="681">
          <cell r="B681">
            <v>8</v>
          </cell>
          <cell r="E681">
            <v>60021</v>
          </cell>
          <cell r="K681">
            <v>46500</v>
          </cell>
        </row>
        <row r="682">
          <cell r="B682">
            <v>8</v>
          </cell>
          <cell r="E682">
            <v>60021</v>
          </cell>
          <cell r="K682">
            <v>31000</v>
          </cell>
        </row>
        <row r="683">
          <cell r="B683">
            <v>8</v>
          </cell>
          <cell r="E683">
            <v>60021</v>
          </cell>
          <cell r="K683">
            <v>108000</v>
          </cell>
        </row>
        <row r="684">
          <cell r="B684">
            <v>8</v>
          </cell>
          <cell r="K684">
            <v>3553600</v>
          </cell>
        </row>
        <row r="685">
          <cell r="B685">
            <v>8</v>
          </cell>
          <cell r="E685">
            <v>60021</v>
          </cell>
          <cell r="K685">
            <v>802000</v>
          </cell>
        </row>
        <row r="686">
          <cell r="B686">
            <v>8</v>
          </cell>
          <cell r="E686">
            <v>60021</v>
          </cell>
          <cell r="K686">
            <v>11000</v>
          </cell>
        </row>
        <row r="687">
          <cell r="B687">
            <v>8</v>
          </cell>
          <cell r="E687">
            <v>60021</v>
          </cell>
          <cell r="K687">
            <v>344500</v>
          </cell>
        </row>
        <row r="688">
          <cell r="B688">
            <v>8</v>
          </cell>
          <cell r="E688">
            <v>60021</v>
          </cell>
          <cell r="K688">
            <v>86100</v>
          </cell>
        </row>
        <row r="689">
          <cell r="B689">
            <v>8</v>
          </cell>
          <cell r="E689">
            <v>60021</v>
          </cell>
          <cell r="K689">
            <v>810000</v>
          </cell>
        </row>
        <row r="690">
          <cell r="B690">
            <v>8</v>
          </cell>
          <cell r="E690">
            <v>60015</v>
          </cell>
          <cell r="K690">
            <v>1500000</v>
          </cell>
        </row>
        <row r="691">
          <cell r="B691">
            <v>9</v>
          </cell>
          <cell r="K691">
            <v>5907000</v>
          </cell>
        </row>
        <row r="692">
          <cell r="B692">
            <v>9</v>
          </cell>
          <cell r="K692">
            <v>1249600</v>
          </cell>
        </row>
        <row r="693">
          <cell r="B693">
            <v>9</v>
          </cell>
          <cell r="E693">
            <v>60021</v>
          </cell>
          <cell r="K693">
            <v>601500</v>
          </cell>
        </row>
        <row r="694">
          <cell r="B694">
            <v>9</v>
          </cell>
          <cell r="E694">
            <v>60021</v>
          </cell>
          <cell r="K694">
            <v>4300</v>
          </cell>
        </row>
        <row r="695">
          <cell r="B695">
            <v>9</v>
          </cell>
          <cell r="E695">
            <v>60021</v>
          </cell>
          <cell r="K695">
            <v>2500</v>
          </cell>
        </row>
        <row r="696">
          <cell r="B696">
            <v>9</v>
          </cell>
          <cell r="E696">
            <v>60021</v>
          </cell>
          <cell r="K696">
            <v>2700</v>
          </cell>
        </row>
        <row r="697">
          <cell r="B697">
            <v>9</v>
          </cell>
          <cell r="E697">
            <v>60021</v>
          </cell>
          <cell r="K697">
            <v>11000</v>
          </cell>
        </row>
        <row r="698">
          <cell r="B698">
            <v>9</v>
          </cell>
          <cell r="E698">
            <v>60021</v>
          </cell>
          <cell r="K698">
            <v>13000</v>
          </cell>
        </row>
        <row r="699">
          <cell r="B699">
            <v>9</v>
          </cell>
          <cell r="E699">
            <v>60021</v>
          </cell>
          <cell r="K699">
            <v>2500</v>
          </cell>
        </row>
        <row r="700">
          <cell r="B700">
            <v>9</v>
          </cell>
          <cell r="E700">
            <v>60021</v>
          </cell>
          <cell r="K700">
            <v>4500</v>
          </cell>
        </row>
        <row r="701">
          <cell r="B701">
            <v>9</v>
          </cell>
          <cell r="E701">
            <v>60021</v>
          </cell>
          <cell r="K701">
            <v>34500</v>
          </cell>
        </row>
        <row r="702">
          <cell r="B702">
            <v>9</v>
          </cell>
          <cell r="E702">
            <v>60021</v>
          </cell>
          <cell r="K702">
            <v>43100</v>
          </cell>
        </row>
        <row r="703">
          <cell r="B703">
            <v>9</v>
          </cell>
          <cell r="E703">
            <v>60021</v>
          </cell>
          <cell r="K703">
            <v>46500</v>
          </cell>
        </row>
        <row r="704">
          <cell r="B704">
            <v>9</v>
          </cell>
          <cell r="E704">
            <v>60021</v>
          </cell>
          <cell r="K704">
            <v>31000</v>
          </cell>
        </row>
        <row r="705">
          <cell r="B705">
            <v>9</v>
          </cell>
          <cell r="E705">
            <v>60021</v>
          </cell>
          <cell r="K705">
            <v>108000</v>
          </cell>
        </row>
        <row r="706">
          <cell r="B706">
            <v>9</v>
          </cell>
          <cell r="E706">
            <v>60021</v>
          </cell>
          <cell r="K706">
            <v>344500</v>
          </cell>
        </row>
        <row r="707">
          <cell r="B707">
            <v>9</v>
          </cell>
          <cell r="K707">
            <v>2287300</v>
          </cell>
        </row>
        <row r="708">
          <cell r="B708">
            <v>9</v>
          </cell>
          <cell r="E708">
            <v>60021</v>
          </cell>
          <cell r="K708">
            <v>401000</v>
          </cell>
        </row>
        <row r="709">
          <cell r="B709">
            <v>9</v>
          </cell>
          <cell r="E709">
            <v>60021</v>
          </cell>
          <cell r="K709">
            <v>8100</v>
          </cell>
        </row>
        <row r="710">
          <cell r="B710">
            <v>9</v>
          </cell>
          <cell r="E710">
            <v>60021</v>
          </cell>
          <cell r="K710">
            <v>22700</v>
          </cell>
        </row>
        <row r="711">
          <cell r="B711">
            <v>9</v>
          </cell>
          <cell r="E711">
            <v>60021</v>
          </cell>
          <cell r="K711">
            <v>11000</v>
          </cell>
        </row>
        <row r="712">
          <cell r="B712">
            <v>9</v>
          </cell>
          <cell r="E712">
            <v>60021</v>
          </cell>
          <cell r="K712">
            <v>344500</v>
          </cell>
        </row>
        <row r="713">
          <cell r="B713">
            <v>9</v>
          </cell>
          <cell r="E713">
            <v>60015</v>
          </cell>
          <cell r="K713">
            <v>1500000</v>
          </cell>
        </row>
        <row r="714">
          <cell r="B714">
            <v>9</v>
          </cell>
          <cell r="K714">
            <v>2370100</v>
          </cell>
        </row>
        <row r="715">
          <cell r="B715">
            <v>9</v>
          </cell>
          <cell r="E715">
            <v>60021</v>
          </cell>
          <cell r="K715">
            <v>401000</v>
          </cell>
        </row>
        <row r="716">
          <cell r="B716">
            <v>9</v>
          </cell>
          <cell r="E716">
            <v>60021</v>
          </cell>
          <cell r="K716">
            <v>87600</v>
          </cell>
        </row>
        <row r="717">
          <cell r="B717">
            <v>9</v>
          </cell>
          <cell r="E717">
            <v>60021</v>
          </cell>
          <cell r="K717">
            <v>26000</v>
          </cell>
        </row>
        <row r="718">
          <cell r="B718">
            <v>9</v>
          </cell>
          <cell r="E718">
            <v>60021</v>
          </cell>
          <cell r="K718">
            <v>344500</v>
          </cell>
        </row>
        <row r="719">
          <cell r="B719">
            <v>9</v>
          </cell>
          <cell r="E719">
            <v>60021</v>
          </cell>
          <cell r="K719">
            <v>11000</v>
          </cell>
        </row>
        <row r="720">
          <cell r="B720">
            <v>9</v>
          </cell>
          <cell r="E720">
            <v>60051</v>
          </cell>
          <cell r="K720">
            <v>1500000</v>
          </cell>
        </row>
        <row r="721">
          <cell r="B721">
            <v>9</v>
          </cell>
          <cell r="K721">
            <v>764558600</v>
          </cell>
        </row>
        <row r="722">
          <cell r="B722">
            <v>10</v>
          </cell>
          <cell r="K722">
            <v>375692500</v>
          </cell>
        </row>
        <row r="723">
          <cell r="B723">
            <v>10</v>
          </cell>
          <cell r="K723">
            <v>6496200</v>
          </cell>
        </row>
        <row r="724">
          <cell r="B724">
            <v>10</v>
          </cell>
          <cell r="E724">
            <v>60021</v>
          </cell>
          <cell r="K724">
            <v>802000</v>
          </cell>
        </row>
        <row r="725">
          <cell r="B725">
            <v>10</v>
          </cell>
          <cell r="E725">
            <v>60021</v>
          </cell>
          <cell r="K725">
            <v>22000</v>
          </cell>
        </row>
        <row r="726">
          <cell r="B726">
            <v>10</v>
          </cell>
          <cell r="E726">
            <v>60021</v>
          </cell>
          <cell r="K726">
            <v>172200</v>
          </cell>
        </row>
        <row r="727">
          <cell r="B727">
            <v>10</v>
          </cell>
          <cell r="E727">
            <v>60051</v>
          </cell>
          <cell r="K727">
            <v>1500000</v>
          </cell>
        </row>
        <row r="728">
          <cell r="B728">
            <v>10</v>
          </cell>
          <cell r="E728">
            <v>60051</v>
          </cell>
          <cell r="K728">
            <v>4000000</v>
          </cell>
        </row>
        <row r="729">
          <cell r="B729">
            <v>10</v>
          </cell>
          <cell r="K729">
            <v>369196300</v>
          </cell>
        </row>
        <row r="730">
          <cell r="B730">
            <v>10</v>
          </cell>
          <cell r="E730">
            <v>60021</v>
          </cell>
          <cell r="K730">
            <v>1604000</v>
          </cell>
        </row>
        <row r="731">
          <cell r="B731">
            <v>10</v>
          </cell>
          <cell r="E731">
            <v>60021</v>
          </cell>
          <cell r="K731">
            <v>33450</v>
          </cell>
        </row>
        <row r="732">
          <cell r="B732">
            <v>10</v>
          </cell>
          <cell r="E732">
            <v>60021</v>
          </cell>
          <cell r="K732">
            <v>13400</v>
          </cell>
        </row>
        <row r="733">
          <cell r="B733">
            <v>10</v>
          </cell>
          <cell r="E733">
            <v>60021</v>
          </cell>
          <cell r="K733">
            <v>8600</v>
          </cell>
        </row>
        <row r="734">
          <cell r="B734">
            <v>10</v>
          </cell>
          <cell r="E734">
            <v>60021</v>
          </cell>
          <cell r="K734">
            <v>5000</v>
          </cell>
        </row>
        <row r="735">
          <cell r="B735">
            <v>10</v>
          </cell>
          <cell r="E735">
            <v>60021</v>
          </cell>
          <cell r="K735">
            <v>5400</v>
          </cell>
        </row>
        <row r="736">
          <cell r="B736">
            <v>10</v>
          </cell>
          <cell r="E736">
            <v>60021</v>
          </cell>
          <cell r="K736">
            <v>40500</v>
          </cell>
        </row>
        <row r="737">
          <cell r="B737">
            <v>10</v>
          </cell>
          <cell r="E737">
            <v>60021</v>
          </cell>
          <cell r="K737">
            <v>45400</v>
          </cell>
        </row>
        <row r="738">
          <cell r="B738">
            <v>10</v>
          </cell>
          <cell r="E738">
            <v>60021</v>
          </cell>
          <cell r="K738">
            <v>44000</v>
          </cell>
        </row>
        <row r="739">
          <cell r="B739">
            <v>10</v>
          </cell>
          <cell r="E739">
            <v>60021</v>
          </cell>
          <cell r="K739">
            <v>65000</v>
          </cell>
        </row>
        <row r="740">
          <cell r="B740">
            <v>10</v>
          </cell>
          <cell r="E740">
            <v>60021</v>
          </cell>
          <cell r="K740">
            <v>109500</v>
          </cell>
        </row>
        <row r="741">
          <cell r="B741">
            <v>10</v>
          </cell>
          <cell r="E741">
            <v>60021</v>
          </cell>
          <cell r="K741">
            <v>207000</v>
          </cell>
        </row>
        <row r="742">
          <cell r="B742">
            <v>10</v>
          </cell>
          <cell r="E742">
            <v>60021</v>
          </cell>
          <cell r="K742">
            <v>170500</v>
          </cell>
        </row>
        <row r="743">
          <cell r="B743">
            <v>10</v>
          </cell>
          <cell r="E743">
            <v>60021</v>
          </cell>
          <cell r="K743">
            <v>62000</v>
          </cell>
        </row>
        <row r="744">
          <cell r="B744">
            <v>10</v>
          </cell>
          <cell r="E744">
            <v>60021</v>
          </cell>
          <cell r="K744">
            <v>12150</v>
          </cell>
        </row>
        <row r="745">
          <cell r="B745">
            <v>10</v>
          </cell>
          <cell r="E745">
            <v>60021</v>
          </cell>
          <cell r="K745">
            <v>12150</v>
          </cell>
        </row>
        <row r="746">
          <cell r="B746">
            <v>10</v>
          </cell>
          <cell r="E746">
            <v>60021</v>
          </cell>
          <cell r="K746">
            <v>20250</v>
          </cell>
        </row>
        <row r="747">
          <cell r="B747">
            <v>10</v>
          </cell>
          <cell r="E747">
            <v>60021</v>
          </cell>
          <cell r="K747">
            <v>29200</v>
          </cell>
        </row>
        <row r="748">
          <cell r="B748">
            <v>10</v>
          </cell>
          <cell r="E748">
            <v>60021</v>
          </cell>
          <cell r="K748">
            <v>172200</v>
          </cell>
        </row>
        <row r="749">
          <cell r="B749">
            <v>10</v>
          </cell>
          <cell r="E749">
            <v>60021</v>
          </cell>
          <cell r="K749">
            <v>172200</v>
          </cell>
        </row>
        <row r="750">
          <cell r="B750">
            <v>10</v>
          </cell>
          <cell r="E750">
            <v>60021</v>
          </cell>
          <cell r="K750">
            <v>164000</v>
          </cell>
        </row>
        <row r="751">
          <cell r="B751">
            <v>10</v>
          </cell>
          <cell r="E751">
            <v>60021</v>
          </cell>
          <cell r="K751">
            <v>164000</v>
          </cell>
        </row>
        <row r="752">
          <cell r="B752">
            <v>10</v>
          </cell>
          <cell r="E752">
            <v>60021</v>
          </cell>
          <cell r="K752">
            <v>170100</v>
          </cell>
        </row>
        <row r="753">
          <cell r="B753">
            <v>10</v>
          </cell>
          <cell r="E753">
            <v>60021</v>
          </cell>
          <cell r="K753">
            <v>139800</v>
          </cell>
        </row>
        <row r="754">
          <cell r="B754">
            <v>10</v>
          </cell>
          <cell r="E754">
            <v>60021</v>
          </cell>
          <cell r="K754">
            <v>18300</v>
          </cell>
        </row>
        <row r="755">
          <cell r="B755">
            <v>10</v>
          </cell>
          <cell r="E755">
            <v>60021</v>
          </cell>
          <cell r="K755">
            <v>11000</v>
          </cell>
        </row>
        <row r="756">
          <cell r="B756">
            <v>10</v>
          </cell>
          <cell r="E756">
            <v>60021</v>
          </cell>
          <cell r="K756">
            <v>123000</v>
          </cell>
        </row>
        <row r="757">
          <cell r="B757">
            <v>10</v>
          </cell>
          <cell r="E757">
            <v>60021</v>
          </cell>
          <cell r="K757">
            <v>45000</v>
          </cell>
        </row>
        <row r="758">
          <cell r="B758">
            <v>10</v>
          </cell>
          <cell r="E758">
            <v>60021</v>
          </cell>
          <cell r="K758">
            <v>5000</v>
          </cell>
        </row>
        <row r="759">
          <cell r="B759">
            <v>10</v>
          </cell>
          <cell r="E759">
            <v>60021</v>
          </cell>
          <cell r="K759">
            <v>9700</v>
          </cell>
        </row>
        <row r="760">
          <cell r="B760">
            <v>10</v>
          </cell>
          <cell r="E760">
            <v>60021</v>
          </cell>
          <cell r="K760">
            <v>7300</v>
          </cell>
        </row>
        <row r="761">
          <cell r="B761">
            <v>10</v>
          </cell>
          <cell r="E761">
            <v>60021</v>
          </cell>
          <cell r="K761">
            <v>25000</v>
          </cell>
        </row>
        <row r="762">
          <cell r="B762">
            <v>10</v>
          </cell>
          <cell r="E762">
            <v>60021</v>
          </cell>
          <cell r="K762">
            <v>36000</v>
          </cell>
        </row>
        <row r="763">
          <cell r="B763">
            <v>10</v>
          </cell>
          <cell r="E763">
            <v>60021</v>
          </cell>
          <cell r="K763">
            <v>283500</v>
          </cell>
        </row>
        <row r="764">
          <cell r="B764">
            <v>10</v>
          </cell>
          <cell r="E764">
            <v>60021</v>
          </cell>
          <cell r="K764">
            <v>86250</v>
          </cell>
        </row>
        <row r="765">
          <cell r="B765">
            <v>10</v>
          </cell>
          <cell r="E765">
            <v>60021</v>
          </cell>
          <cell r="K765">
            <v>107750</v>
          </cell>
        </row>
        <row r="766">
          <cell r="B766">
            <v>10</v>
          </cell>
          <cell r="E766">
            <v>60021</v>
          </cell>
          <cell r="K766">
            <v>116250</v>
          </cell>
        </row>
        <row r="767">
          <cell r="B767">
            <v>10</v>
          </cell>
          <cell r="E767">
            <v>60021</v>
          </cell>
          <cell r="K767">
            <v>77500</v>
          </cell>
        </row>
        <row r="768">
          <cell r="B768">
            <v>10</v>
          </cell>
          <cell r="E768">
            <v>60021</v>
          </cell>
          <cell r="K768">
            <v>216000</v>
          </cell>
        </row>
        <row r="769">
          <cell r="B769">
            <v>10</v>
          </cell>
          <cell r="E769">
            <v>60021</v>
          </cell>
          <cell r="K769">
            <v>6400</v>
          </cell>
        </row>
        <row r="770">
          <cell r="B770">
            <v>10</v>
          </cell>
          <cell r="E770">
            <v>60021</v>
          </cell>
          <cell r="K770">
            <v>11200</v>
          </cell>
        </row>
        <row r="771">
          <cell r="B771">
            <v>10</v>
          </cell>
          <cell r="E771">
            <v>60021</v>
          </cell>
          <cell r="K771">
            <v>30400</v>
          </cell>
        </row>
        <row r="772">
          <cell r="B772">
            <v>10</v>
          </cell>
          <cell r="E772">
            <v>60021</v>
          </cell>
          <cell r="K772">
            <v>82000</v>
          </cell>
        </row>
        <row r="773">
          <cell r="B773">
            <v>10</v>
          </cell>
          <cell r="E773">
            <v>60021</v>
          </cell>
          <cell r="K773">
            <v>648000</v>
          </cell>
        </row>
        <row r="774">
          <cell r="B774">
            <v>10</v>
          </cell>
          <cell r="E774">
            <v>60021</v>
          </cell>
          <cell r="K774">
            <v>387450</v>
          </cell>
        </row>
        <row r="775">
          <cell r="B775">
            <v>10</v>
          </cell>
          <cell r="E775">
            <v>60021</v>
          </cell>
          <cell r="K775">
            <v>93500</v>
          </cell>
        </row>
        <row r="776">
          <cell r="B776">
            <v>10</v>
          </cell>
          <cell r="E776">
            <v>60021</v>
          </cell>
          <cell r="K776">
            <v>85000000</v>
          </cell>
        </row>
        <row r="777">
          <cell r="B777">
            <v>10</v>
          </cell>
          <cell r="E777">
            <v>60021</v>
          </cell>
          <cell r="K777">
            <v>276800000</v>
          </cell>
        </row>
        <row r="778">
          <cell r="B778">
            <v>10</v>
          </cell>
          <cell r="E778">
            <v>60015</v>
          </cell>
          <cell r="K778">
            <v>1500000</v>
          </cell>
        </row>
        <row r="779">
          <cell r="B779">
            <v>11</v>
          </cell>
          <cell r="K779">
            <v>7814700</v>
          </cell>
        </row>
        <row r="780">
          <cell r="B780">
            <v>11</v>
          </cell>
          <cell r="K780">
            <v>1138800</v>
          </cell>
        </row>
        <row r="781">
          <cell r="B781">
            <v>11</v>
          </cell>
          <cell r="E781">
            <v>60021</v>
          </cell>
          <cell r="K781">
            <v>401000</v>
          </cell>
        </row>
        <row r="782">
          <cell r="B782">
            <v>11</v>
          </cell>
          <cell r="E782">
            <v>60021</v>
          </cell>
          <cell r="K782">
            <v>86100</v>
          </cell>
        </row>
        <row r="783">
          <cell r="B783">
            <v>11</v>
          </cell>
          <cell r="E783">
            <v>60021</v>
          </cell>
          <cell r="K783">
            <v>344500</v>
          </cell>
        </row>
        <row r="784">
          <cell r="B784">
            <v>11</v>
          </cell>
          <cell r="E784">
            <v>60021</v>
          </cell>
          <cell r="K784">
            <v>4300</v>
          </cell>
        </row>
        <row r="785">
          <cell r="B785">
            <v>11</v>
          </cell>
          <cell r="E785">
            <v>60021</v>
          </cell>
          <cell r="K785">
            <v>2500</v>
          </cell>
        </row>
        <row r="786">
          <cell r="B786">
            <v>11</v>
          </cell>
          <cell r="E786">
            <v>60021</v>
          </cell>
          <cell r="K786">
            <v>2700</v>
          </cell>
        </row>
        <row r="787">
          <cell r="B787">
            <v>11</v>
          </cell>
          <cell r="E787">
            <v>60021</v>
          </cell>
          <cell r="K787">
            <v>16200</v>
          </cell>
        </row>
        <row r="788">
          <cell r="B788">
            <v>11</v>
          </cell>
          <cell r="E788">
            <v>60021</v>
          </cell>
          <cell r="K788">
            <v>22700</v>
          </cell>
        </row>
        <row r="789">
          <cell r="B789">
            <v>11</v>
          </cell>
          <cell r="E789">
            <v>60021</v>
          </cell>
          <cell r="K789">
            <v>11000</v>
          </cell>
        </row>
        <row r="790">
          <cell r="B790">
            <v>11</v>
          </cell>
          <cell r="E790">
            <v>60021</v>
          </cell>
          <cell r="K790">
            <v>13000</v>
          </cell>
        </row>
        <row r="791">
          <cell r="B791">
            <v>11</v>
          </cell>
          <cell r="E791">
            <v>60021</v>
          </cell>
          <cell r="K791">
            <v>103500</v>
          </cell>
        </row>
        <row r="792">
          <cell r="B792">
            <v>11</v>
          </cell>
          <cell r="E792">
            <v>60021</v>
          </cell>
          <cell r="K792">
            <v>62000</v>
          </cell>
        </row>
        <row r="793">
          <cell r="B793">
            <v>11</v>
          </cell>
          <cell r="E793">
            <v>60021</v>
          </cell>
          <cell r="K793">
            <v>12150</v>
          </cell>
        </row>
        <row r="794">
          <cell r="B794">
            <v>11</v>
          </cell>
          <cell r="E794">
            <v>60021</v>
          </cell>
          <cell r="K794">
            <v>12150</v>
          </cell>
        </row>
        <row r="795">
          <cell r="B795">
            <v>11</v>
          </cell>
          <cell r="E795">
            <v>60021</v>
          </cell>
          <cell r="K795">
            <v>45000</v>
          </cell>
        </row>
        <row r="796">
          <cell r="B796">
            <v>11</v>
          </cell>
          <cell r="K796">
            <v>6675900</v>
          </cell>
        </row>
        <row r="797">
          <cell r="B797">
            <v>11</v>
          </cell>
          <cell r="E797">
            <v>60021</v>
          </cell>
          <cell r="K797">
            <v>401000</v>
          </cell>
        </row>
        <row r="798">
          <cell r="B798">
            <v>11</v>
          </cell>
          <cell r="E798">
            <v>60021</v>
          </cell>
          <cell r="K798">
            <v>774900</v>
          </cell>
        </row>
        <row r="799">
          <cell r="B799">
            <v>11</v>
          </cell>
          <cell r="E799">
            <v>60051</v>
          </cell>
          <cell r="K799">
            <v>4000000</v>
          </cell>
        </row>
        <row r="800">
          <cell r="B800">
            <v>11</v>
          </cell>
          <cell r="E800">
            <v>60051</v>
          </cell>
          <cell r="K800">
            <v>1500000</v>
          </cell>
        </row>
        <row r="801">
          <cell r="B801">
            <v>12</v>
          </cell>
          <cell r="K801">
            <v>125190300</v>
          </cell>
        </row>
        <row r="802">
          <cell r="B802">
            <v>12</v>
          </cell>
          <cell r="K802">
            <v>11607600</v>
          </cell>
        </row>
        <row r="803">
          <cell r="B803">
            <v>12</v>
          </cell>
          <cell r="E803">
            <v>60021</v>
          </cell>
          <cell r="K803">
            <v>1604000</v>
          </cell>
        </row>
        <row r="804">
          <cell r="B804">
            <v>12</v>
          </cell>
          <cell r="E804">
            <v>60021</v>
          </cell>
          <cell r="K804">
            <v>66900</v>
          </cell>
        </row>
        <row r="805">
          <cell r="B805">
            <v>12</v>
          </cell>
          <cell r="E805">
            <v>60021</v>
          </cell>
          <cell r="K805">
            <v>689000</v>
          </cell>
        </row>
        <row r="806">
          <cell r="B806">
            <v>12</v>
          </cell>
          <cell r="E806">
            <v>60021</v>
          </cell>
          <cell r="K806">
            <v>13400</v>
          </cell>
        </row>
        <row r="807">
          <cell r="B807">
            <v>12</v>
          </cell>
          <cell r="E807">
            <v>60021</v>
          </cell>
          <cell r="K807">
            <v>8600</v>
          </cell>
        </row>
        <row r="808">
          <cell r="B808">
            <v>12</v>
          </cell>
          <cell r="E808">
            <v>60021</v>
          </cell>
          <cell r="K808">
            <v>5000</v>
          </cell>
        </row>
        <row r="809">
          <cell r="B809">
            <v>12</v>
          </cell>
          <cell r="E809">
            <v>60021</v>
          </cell>
          <cell r="K809">
            <v>5400</v>
          </cell>
        </row>
        <row r="810">
          <cell r="B810">
            <v>12</v>
          </cell>
          <cell r="E810">
            <v>60021</v>
          </cell>
          <cell r="K810">
            <v>16200</v>
          </cell>
        </row>
        <row r="811">
          <cell r="B811">
            <v>12</v>
          </cell>
          <cell r="E811">
            <v>60021</v>
          </cell>
          <cell r="K811">
            <v>27500</v>
          </cell>
        </row>
        <row r="812">
          <cell r="B812">
            <v>12</v>
          </cell>
          <cell r="E812">
            <v>60021</v>
          </cell>
          <cell r="K812">
            <v>48000</v>
          </cell>
        </row>
        <row r="813">
          <cell r="B813">
            <v>12</v>
          </cell>
          <cell r="E813">
            <v>60021</v>
          </cell>
          <cell r="K813">
            <v>87600</v>
          </cell>
        </row>
        <row r="814">
          <cell r="B814">
            <v>12</v>
          </cell>
          <cell r="E814">
            <v>60021</v>
          </cell>
          <cell r="K814">
            <v>207000</v>
          </cell>
        </row>
        <row r="815">
          <cell r="B815">
            <v>12</v>
          </cell>
          <cell r="E815">
            <v>60021</v>
          </cell>
          <cell r="K815">
            <v>170500</v>
          </cell>
        </row>
        <row r="816">
          <cell r="B816">
            <v>12</v>
          </cell>
          <cell r="E816">
            <v>60021</v>
          </cell>
          <cell r="K816">
            <v>62000</v>
          </cell>
        </row>
        <row r="817">
          <cell r="B817">
            <v>12</v>
          </cell>
          <cell r="E817">
            <v>60021</v>
          </cell>
          <cell r="K817">
            <v>24300</v>
          </cell>
        </row>
        <row r="818">
          <cell r="B818">
            <v>12</v>
          </cell>
          <cell r="E818">
            <v>60021</v>
          </cell>
          <cell r="K818">
            <v>24300</v>
          </cell>
        </row>
        <row r="819">
          <cell r="B819">
            <v>12</v>
          </cell>
          <cell r="E819">
            <v>60021</v>
          </cell>
          <cell r="K819">
            <v>20250</v>
          </cell>
        </row>
        <row r="820">
          <cell r="B820">
            <v>12</v>
          </cell>
          <cell r="E820">
            <v>60021</v>
          </cell>
          <cell r="K820">
            <v>29200</v>
          </cell>
        </row>
        <row r="821">
          <cell r="B821">
            <v>12</v>
          </cell>
          <cell r="E821">
            <v>60021</v>
          </cell>
          <cell r="K821">
            <v>86100</v>
          </cell>
        </row>
        <row r="822">
          <cell r="B822">
            <v>12</v>
          </cell>
          <cell r="E822">
            <v>60021</v>
          </cell>
          <cell r="K822">
            <v>86100</v>
          </cell>
        </row>
        <row r="823">
          <cell r="B823">
            <v>12</v>
          </cell>
          <cell r="E823">
            <v>60021</v>
          </cell>
          <cell r="K823">
            <v>170100</v>
          </cell>
        </row>
        <row r="824">
          <cell r="B824">
            <v>12</v>
          </cell>
          <cell r="E824">
            <v>60021</v>
          </cell>
          <cell r="K824">
            <v>139800</v>
          </cell>
        </row>
        <row r="825">
          <cell r="B825">
            <v>12</v>
          </cell>
          <cell r="E825">
            <v>60021</v>
          </cell>
          <cell r="K825">
            <v>20250</v>
          </cell>
        </row>
        <row r="826">
          <cell r="B826">
            <v>12</v>
          </cell>
          <cell r="E826">
            <v>60021</v>
          </cell>
          <cell r="K826">
            <v>4100</v>
          </cell>
        </row>
        <row r="827">
          <cell r="B827">
            <v>12</v>
          </cell>
          <cell r="E827">
            <v>60021</v>
          </cell>
          <cell r="K827">
            <v>123000</v>
          </cell>
        </row>
        <row r="828">
          <cell r="B828">
            <v>12</v>
          </cell>
          <cell r="E828">
            <v>60021</v>
          </cell>
          <cell r="K828">
            <v>45000</v>
          </cell>
        </row>
        <row r="829">
          <cell r="B829">
            <v>12</v>
          </cell>
          <cell r="E829">
            <v>60021</v>
          </cell>
          <cell r="K829">
            <v>6250</v>
          </cell>
        </row>
        <row r="830">
          <cell r="B830">
            <v>12</v>
          </cell>
          <cell r="E830">
            <v>60021</v>
          </cell>
          <cell r="K830">
            <v>24250</v>
          </cell>
        </row>
        <row r="831">
          <cell r="B831">
            <v>12</v>
          </cell>
          <cell r="E831">
            <v>60021</v>
          </cell>
          <cell r="K831">
            <v>7300</v>
          </cell>
        </row>
        <row r="832">
          <cell r="B832">
            <v>12</v>
          </cell>
          <cell r="E832">
            <v>60021</v>
          </cell>
          <cell r="K832">
            <v>12150</v>
          </cell>
        </row>
        <row r="833">
          <cell r="B833">
            <v>12</v>
          </cell>
          <cell r="E833">
            <v>60021</v>
          </cell>
          <cell r="K833">
            <v>12500</v>
          </cell>
        </row>
        <row r="834">
          <cell r="B834">
            <v>12</v>
          </cell>
          <cell r="E834">
            <v>60021</v>
          </cell>
          <cell r="K834">
            <v>9000</v>
          </cell>
        </row>
        <row r="835">
          <cell r="B835">
            <v>12</v>
          </cell>
          <cell r="E835">
            <v>60021</v>
          </cell>
          <cell r="K835">
            <v>69000</v>
          </cell>
        </row>
        <row r="836">
          <cell r="B836">
            <v>12</v>
          </cell>
          <cell r="E836">
            <v>60021</v>
          </cell>
          <cell r="K836">
            <v>86200</v>
          </cell>
        </row>
        <row r="837">
          <cell r="B837">
            <v>12</v>
          </cell>
          <cell r="E837">
            <v>60021</v>
          </cell>
          <cell r="K837">
            <v>93000</v>
          </cell>
        </row>
        <row r="838">
          <cell r="B838">
            <v>12</v>
          </cell>
          <cell r="E838">
            <v>60021</v>
          </cell>
          <cell r="K838">
            <v>62000</v>
          </cell>
        </row>
        <row r="839">
          <cell r="B839">
            <v>12</v>
          </cell>
          <cell r="E839">
            <v>60021</v>
          </cell>
          <cell r="K839">
            <v>54000</v>
          </cell>
        </row>
        <row r="840">
          <cell r="B840">
            <v>12</v>
          </cell>
          <cell r="E840">
            <v>60021</v>
          </cell>
          <cell r="K840">
            <v>12300</v>
          </cell>
        </row>
        <row r="841">
          <cell r="B841">
            <v>12</v>
          </cell>
          <cell r="E841">
            <v>60021</v>
          </cell>
          <cell r="K841">
            <v>164000</v>
          </cell>
        </row>
        <row r="842">
          <cell r="B842">
            <v>12</v>
          </cell>
          <cell r="E842">
            <v>60021</v>
          </cell>
          <cell r="K842">
            <v>9800</v>
          </cell>
        </row>
        <row r="843">
          <cell r="B843">
            <v>12</v>
          </cell>
          <cell r="E843">
            <v>60021</v>
          </cell>
          <cell r="K843">
            <v>3200</v>
          </cell>
        </row>
        <row r="844">
          <cell r="B844">
            <v>12</v>
          </cell>
          <cell r="E844">
            <v>60021</v>
          </cell>
          <cell r="K844">
            <v>3050</v>
          </cell>
        </row>
        <row r="845">
          <cell r="B845">
            <v>12</v>
          </cell>
          <cell r="E845">
            <v>60021</v>
          </cell>
          <cell r="K845">
            <v>1296000</v>
          </cell>
        </row>
        <row r="846">
          <cell r="B846">
            <v>12</v>
          </cell>
          <cell r="E846">
            <v>60051</v>
          </cell>
          <cell r="K846">
            <v>4000000</v>
          </cell>
        </row>
        <row r="847">
          <cell r="B847">
            <v>12</v>
          </cell>
          <cell r="E847">
            <v>61103</v>
          </cell>
          <cell r="K847">
            <v>400000</v>
          </cell>
        </row>
        <row r="848">
          <cell r="B848">
            <v>12</v>
          </cell>
          <cell r="E848">
            <v>60015</v>
          </cell>
          <cell r="K848">
            <v>1500000</v>
          </cell>
        </row>
        <row r="849">
          <cell r="B849">
            <v>12</v>
          </cell>
          <cell r="K849">
            <v>110296600</v>
          </cell>
        </row>
        <row r="850">
          <cell r="B850">
            <v>12</v>
          </cell>
          <cell r="E850">
            <v>60021</v>
          </cell>
          <cell r="K850">
            <v>401000</v>
          </cell>
        </row>
        <row r="851">
          <cell r="B851">
            <v>12</v>
          </cell>
          <cell r="E851">
            <v>60021</v>
          </cell>
          <cell r="K851">
            <v>22000</v>
          </cell>
        </row>
        <row r="852">
          <cell r="B852">
            <v>12</v>
          </cell>
          <cell r="E852">
            <v>60021</v>
          </cell>
          <cell r="K852">
            <v>87600</v>
          </cell>
        </row>
        <row r="853">
          <cell r="B853">
            <v>12</v>
          </cell>
          <cell r="E853">
            <v>61121</v>
          </cell>
          <cell r="K853">
            <v>8160000</v>
          </cell>
        </row>
        <row r="854">
          <cell r="B854">
            <v>12</v>
          </cell>
          <cell r="E854">
            <v>61122</v>
          </cell>
          <cell r="K854">
            <v>13226000</v>
          </cell>
        </row>
        <row r="855">
          <cell r="B855">
            <v>12</v>
          </cell>
          <cell r="E855">
            <v>61123</v>
          </cell>
          <cell r="K855">
            <v>37998400</v>
          </cell>
        </row>
        <row r="856">
          <cell r="B856">
            <v>12</v>
          </cell>
          <cell r="E856">
            <v>61123</v>
          </cell>
          <cell r="K856">
            <v>50401600</v>
          </cell>
        </row>
        <row r="857">
          <cell r="B857">
            <v>12</v>
          </cell>
          <cell r="K857">
            <v>1506950</v>
          </cell>
        </row>
        <row r="858">
          <cell r="B858">
            <v>12</v>
          </cell>
          <cell r="E858">
            <v>60011</v>
          </cell>
          <cell r="K858">
            <v>48600</v>
          </cell>
        </row>
        <row r="859">
          <cell r="B859">
            <v>12</v>
          </cell>
          <cell r="E859">
            <v>60021</v>
          </cell>
          <cell r="K859">
            <v>401000</v>
          </cell>
        </row>
        <row r="860">
          <cell r="B860">
            <v>12</v>
          </cell>
          <cell r="E860">
            <v>60021</v>
          </cell>
          <cell r="K860">
            <v>13400</v>
          </cell>
        </row>
        <row r="861">
          <cell r="B861">
            <v>12</v>
          </cell>
          <cell r="E861">
            <v>60021</v>
          </cell>
          <cell r="K861">
            <v>344500</v>
          </cell>
        </row>
        <row r="862">
          <cell r="B862">
            <v>12</v>
          </cell>
          <cell r="E862">
            <v>60021</v>
          </cell>
          <cell r="K862">
            <v>12150</v>
          </cell>
        </row>
        <row r="863">
          <cell r="B863">
            <v>12</v>
          </cell>
          <cell r="E863">
            <v>60021</v>
          </cell>
          <cell r="K863">
            <v>27500</v>
          </cell>
        </row>
        <row r="864">
          <cell r="B864">
            <v>12</v>
          </cell>
          <cell r="E864">
            <v>60021</v>
          </cell>
          <cell r="K864">
            <v>26000</v>
          </cell>
        </row>
        <row r="865">
          <cell r="B865">
            <v>12</v>
          </cell>
          <cell r="E865">
            <v>60021</v>
          </cell>
          <cell r="K865">
            <v>103500</v>
          </cell>
        </row>
        <row r="866">
          <cell r="B866">
            <v>12</v>
          </cell>
          <cell r="E866">
            <v>60021</v>
          </cell>
          <cell r="K866">
            <v>170500</v>
          </cell>
        </row>
        <row r="867">
          <cell r="B867">
            <v>12</v>
          </cell>
          <cell r="E867">
            <v>60021</v>
          </cell>
          <cell r="K867">
            <v>62000</v>
          </cell>
        </row>
        <row r="868">
          <cell r="B868">
            <v>12</v>
          </cell>
          <cell r="E868">
            <v>60021</v>
          </cell>
          <cell r="K868">
            <v>24300</v>
          </cell>
        </row>
        <row r="869">
          <cell r="B869">
            <v>12</v>
          </cell>
          <cell r="E869">
            <v>60021</v>
          </cell>
          <cell r="K869">
            <v>24300</v>
          </cell>
        </row>
        <row r="870">
          <cell r="B870">
            <v>12</v>
          </cell>
          <cell r="E870">
            <v>60021</v>
          </cell>
          <cell r="K870">
            <v>40500</v>
          </cell>
        </row>
        <row r="871">
          <cell r="B871">
            <v>12</v>
          </cell>
          <cell r="E871">
            <v>60021</v>
          </cell>
          <cell r="K871">
            <v>29200</v>
          </cell>
        </row>
        <row r="872">
          <cell r="B872">
            <v>12</v>
          </cell>
          <cell r="E872">
            <v>60021</v>
          </cell>
          <cell r="K872">
            <v>86100</v>
          </cell>
        </row>
        <row r="873">
          <cell r="B873">
            <v>12</v>
          </cell>
          <cell r="E873">
            <v>60021</v>
          </cell>
          <cell r="K873">
            <v>86100</v>
          </cell>
        </row>
        <row r="874">
          <cell r="B874">
            <v>12</v>
          </cell>
          <cell r="E874">
            <v>60021</v>
          </cell>
          <cell r="K874">
            <v>7300</v>
          </cell>
        </row>
        <row r="875">
          <cell r="B875">
            <v>12</v>
          </cell>
          <cell r="K875">
            <v>1779150</v>
          </cell>
        </row>
        <row r="876">
          <cell r="B876">
            <v>12</v>
          </cell>
          <cell r="E876">
            <v>60021</v>
          </cell>
          <cell r="K876">
            <v>401000</v>
          </cell>
        </row>
        <row r="877">
          <cell r="B877">
            <v>12</v>
          </cell>
          <cell r="E877">
            <v>60021</v>
          </cell>
          <cell r="K877">
            <v>387450</v>
          </cell>
        </row>
        <row r="878">
          <cell r="B878">
            <v>12</v>
          </cell>
          <cell r="E878">
            <v>60021</v>
          </cell>
          <cell r="K878">
            <v>13400</v>
          </cell>
        </row>
        <row r="879">
          <cell r="B879">
            <v>12</v>
          </cell>
          <cell r="E879">
            <v>60021</v>
          </cell>
          <cell r="K879">
            <v>27500</v>
          </cell>
        </row>
        <row r="880">
          <cell r="B880">
            <v>12</v>
          </cell>
          <cell r="E880">
            <v>60021</v>
          </cell>
          <cell r="K880">
            <v>26000</v>
          </cell>
        </row>
        <row r="881">
          <cell r="B881">
            <v>12</v>
          </cell>
          <cell r="E881">
            <v>60021</v>
          </cell>
          <cell r="K881">
            <v>43800</v>
          </cell>
        </row>
        <row r="882">
          <cell r="B882">
            <v>12</v>
          </cell>
          <cell r="E882">
            <v>60021</v>
          </cell>
          <cell r="K882">
            <v>103500</v>
          </cell>
        </row>
        <row r="883">
          <cell r="B883">
            <v>12</v>
          </cell>
          <cell r="E883">
            <v>60021</v>
          </cell>
          <cell r="K883">
            <v>170500</v>
          </cell>
        </row>
        <row r="884">
          <cell r="B884">
            <v>12</v>
          </cell>
          <cell r="E884">
            <v>60021</v>
          </cell>
          <cell r="K884">
            <v>62000</v>
          </cell>
        </row>
        <row r="885">
          <cell r="B885">
            <v>12</v>
          </cell>
          <cell r="E885">
            <v>60021</v>
          </cell>
          <cell r="K885">
            <v>24300</v>
          </cell>
        </row>
        <row r="886">
          <cell r="B886">
            <v>12</v>
          </cell>
          <cell r="E886">
            <v>60021</v>
          </cell>
          <cell r="K886">
            <v>24300</v>
          </cell>
        </row>
        <row r="887">
          <cell r="B887">
            <v>12</v>
          </cell>
          <cell r="E887">
            <v>60021</v>
          </cell>
          <cell r="K887">
            <v>40500</v>
          </cell>
        </row>
        <row r="888">
          <cell r="B888">
            <v>12</v>
          </cell>
          <cell r="E888">
            <v>60021</v>
          </cell>
          <cell r="K888">
            <v>29200</v>
          </cell>
        </row>
        <row r="889">
          <cell r="B889">
            <v>12</v>
          </cell>
          <cell r="E889">
            <v>60021</v>
          </cell>
          <cell r="K889">
            <v>6700</v>
          </cell>
        </row>
        <row r="890">
          <cell r="B890">
            <v>12</v>
          </cell>
          <cell r="E890">
            <v>60021</v>
          </cell>
          <cell r="K890">
            <v>8600</v>
          </cell>
        </row>
        <row r="891">
          <cell r="B891">
            <v>12</v>
          </cell>
          <cell r="E891">
            <v>60021</v>
          </cell>
          <cell r="K891">
            <v>5000</v>
          </cell>
        </row>
        <row r="892">
          <cell r="B892">
            <v>12</v>
          </cell>
          <cell r="E892">
            <v>60021</v>
          </cell>
          <cell r="K892">
            <v>5400</v>
          </cell>
        </row>
        <row r="893">
          <cell r="B893">
            <v>12</v>
          </cell>
          <cell r="E893">
            <v>61103</v>
          </cell>
          <cell r="K893">
            <v>400000</v>
          </cell>
        </row>
        <row r="894">
          <cell r="B894">
            <v>13</v>
          </cell>
          <cell r="K894">
            <v>5865900</v>
          </cell>
        </row>
        <row r="895">
          <cell r="B895">
            <v>13</v>
          </cell>
          <cell r="E895">
            <v>60021</v>
          </cell>
          <cell r="K895">
            <v>802000</v>
          </cell>
        </row>
        <row r="896">
          <cell r="B896">
            <v>13</v>
          </cell>
          <cell r="E896">
            <v>60021</v>
          </cell>
          <cell r="K896">
            <v>103500</v>
          </cell>
        </row>
        <row r="897">
          <cell r="B897">
            <v>13</v>
          </cell>
          <cell r="E897">
            <v>60021</v>
          </cell>
          <cell r="K897">
            <v>85250</v>
          </cell>
        </row>
        <row r="898">
          <cell r="B898">
            <v>13</v>
          </cell>
          <cell r="E898">
            <v>60021</v>
          </cell>
          <cell r="K898">
            <v>11000</v>
          </cell>
        </row>
        <row r="899">
          <cell r="B899">
            <v>13</v>
          </cell>
          <cell r="E899">
            <v>60021</v>
          </cell>
          <cell r="K899">
            <v>13000</v>
          </cell>
        </row>
        <row r="900">
          <cell r="B900">
            <v>13</v>
          </cell>
          <cell r="E900">
            <v>60021</v>
          </cell>
          <cell r="K900">
            <v>62000</v>
          </cell>
        </row>
        <row r="901">
          <cell r="B901">
            <v>13</v>
          </cell>
          <cell r="E901">
            <v>60021</v>
          </cell>
          <cell r="K901">
            <v>24300</v>
          </cell>
        </row>
        <row r="902">
          <cell r="B902">
            <v>13</v>
          </cell>
          <cell r="E902">
            <v>60021</v>
          </cell>
          <cell r="K902">
            <v>86100</v>
          </cell>
        </row>
        <row r="903">
          <cell r="B903">
            <v>13</v>
          </cell>
          <cell r="E903">
            <v>60021</v>
          </cell>
          <cell r="K903">
            <v>85050</v>
          </cell>
        </row>
        <row r="904">
          <cell r="B904">
            <v>13</v>
          </cell>
          <cell r="E904">
            <v>60021</v>
          </cell>
          <cell r="K904">
            <v>69900</v>
          </cell>
        </row>
        <row r="905">
          <cell r="B905">
            <v>13</v>
          </cell>
          <cell r="E905">
            <v>60021</v>
          </cell>
          <cell r="K905">
            <v>12150</v>
          </cell>
        </row>
        <row r="906">
          <cell r="B906">
            <v>13</v>
          </cell>
          <cell r="E906">
            <v>60021</v>
          </cell>
          <cell r="K906">
            <v>6700</v>
          </cell>
        </row>
        <row r="907">
          <cell r="B907">
            <v>13</v>
          </cell>
          <cell r="E907">
            <v>60021</v>
          </cell>
          <cell r="K907">
            <v>6250</v>
          </cell>
        </row>
        <row r="908">
          <cell r="B908">
            <v>13</v>
          </cell>
          <cell r="E908">
            <v>60021</v>
          </cell>
          <cell r="K908">
            <v>4500</v>
          </cell>
        </row>
        <row r="909">
          <cell r="B909">
            <v>13</v>
          </cell>
          <cell r="E909">
            <v>60021</v>
          </cell>
          <cell r="K909">
            <v>2500</v>
          </cell>
        </row>
        <row r="910">
          <cell r="B910">
            <v>13</v>
          </cell>
          <cell r="E910">
            <v>60021</v>
          </cell>
          <cell r="K910">
            <v>9700</v>
          </cell>
        </row>
        <row r="911">
          <cell r="B911">
            <v>13</v>
          </cell>
          <cell r="E911">
            <v>60021</v>
          </cell>
          <cell r="K911">
            <v>82000</v>
          </cell>
        </row>
        <row r="912">
          <cell r="B912">
            <v>13</v>
          </cell>
          <cell r="E912">
            <v>60051</v>
          </cell>
          <cell r="K912">
            <v>4000000</v>
          </cell>
        </row>
        <row r="913">
          <cell r="B913">
            <v>13</v>
          </cell>
          <cell r="E913">
            <v>61103</v>
          </cell>
          <cell r="K913">
            <v>400000</v>
          </cell>
        </row>
        <row r="914">
          <cell r="B914">
            <v>14</v>
          </cell>
          <cell r="K914">
            <v>197251200</v>
          </cell>
        </row>
        <row r="915">
          <cell r="B915">
            <v>14</v>
          </cell>
          <cell r="K915">
            <v>77446300</v>
          </cell>
        </row>
        <row r="916">
          <cell r="B916">
            <v>14</v>
          </cell>
          <cell r="E916">
            <v>60021</v>
          </cell>
          <cell r="K916">
            <v>802000</v>
          </cell>
        </row>
        <row r="917">
          <cell r="B917">
            <v>14</v>
          </cell>
          <cell r="E917">
            <v>60021</v>
          </cell>
          <cell r="K917">
            <v>4300</v>
          </cell>
        </row>
        <row r="918">
          <cell r="B918">
            <v>14</v>
          </cell>
          <cell r="E918">
            <v>60021</v>
          </cell>
          <cell r="K918">
            <v>2500</v>
          </cell>
        </row>
        <row r="919">
          <cell r="B919">
            <v>14</v>
          </cell>
          <cell r="E919">
            <v>60021</v>
          </cell>
          <cell r="K919">
            <v>2700</v>
          </cell>
        </row>
        <row r="920">
          <cell r="B920">
            <v>14</v>
          </cell>
          <cell r="E920">
            <v>60021</v>
          </cell>
          <cell r="K920">
            <v>8100</v>
          </cell>
        </row>
        <row r="921">
          <cell r="B921">
            <v>14</v>
          </cell>
          <cell r="E921">
            <v>60021</v>
          </cell>
          <cell r="K921">
            <v>22700</v>
          </cell>
        </row>
        <row r="922">
          <cell r="B922">
            <v>14</v>
          </cell>
          <cell r="E922">
            <v>60021</v>
          </cell>
          <cell r="K922">
            <v>22000</v>
          </cell>
        </row>
        <row r="923">
          <cell r="B923">
            <v>14</v>
          </cell>
          <cell r="E923">
            <v>60021</v>
          </cell>
          <cell r="K923">
            <v>26000</v>
          </cell>
        </row>
        <row r="924">
          <cell r="B924">
            <v>14</v>
          </cell>
          <cell r="E924">
            <v>60021</v>
          </cell>
          <cell r="K924">
            <v>43800</v>
          </cell>
        </row>
        <row r="925">
          <cell r="B925">
            <v>14</v>
          </cell>
          <cell r="E925">
            <v>60021</v>
          </cell>
          <cell r="K925">
            <v>207000</v>
          </cell>
        </row>
        <row r="926">
          <cell r="B926">
            <v>14</v>
          </cell>
          <cell r="E926">
            <v>60021</v>
          </cell>
          <cell r="K926">
            <v>123000</v>
          </cell>
        </row>
        <row r="927">
          <cell r="B927">
            <v>14</v>
          </cell>
          <cell r="E927">
            <v>60021</v>
          </cell>
          <cell r="K927">
            <v>164000</v>
          </cell>
        </row>
        <row r="928">
          <cell r="B928">
            <v>14</v>
          </cell>
          <cell r="E928">
            <v>60021</v>
          </cell>
          <cell r="K928">
            <v>62000</v>
          </cell>
        </row>
        <row r="929">
          <cell r="B929">
            <v>14</v>
          </cell>
          <cell r="E929">
            <v>60021</v>
          </cell>
          <cell r="K929">
            <v>12150</v>
          </cell>
        </row>
        <row r="930">
          <cell r="B930">
            <v>14</v>
          </cell>
          <cell r="E930">
            <v>60021</v>
          </cell>
          <cell r="K930">
            <v>29200</v>
          </cell>
        </row>
        <row r="931">
          <cell r="B931">
            <v>14</v>
          </cell>
          <cell r="E931">
            <v>60021</v>
          </cell>
          <cell r="K931">
            <v>20250</v>
          </cell>
        </row>
        <row r="932">
          <cell r="B932">
            <v>14</v>
          </cell>
          <cell r="E932">
            <v>60021</v>
          </cell>
          <cell r="K932">
            <v>405000</v>
          </cell>
        </row>
        <row r="933">
          <cell r="B933">
            <v>14</v>
          </cell>
          <cell r="E933">
            <v>60021</v>
          </cell>
          <cell r="K933">
            <v>774900</v>
          </cell>
        </row>
        <row r="934">
          <cell r="B934">
            <v>14</v>
          </cell>
          <cell r="E934">
            <v>61057</v>
          </cell>
          <cell r="K934">
            <v>6000000</v>
          </cell>
        </row>
        <row r="935">
          <cell r="B935">
            <v>14</v>
          </cell>
          <cell r="E935">
            <v>61057</v>
          </cell>
          <cell r="K935">
            <v>1800000</v>
          </cell>
        </row>
        <row r="936">
          <cell r="B936">
            <v>14</v>
          </cell>
          <cell r="E936">
            <v>61057</v>
          </cell>
          <cell r="K936">
            <v>960000</v>
          </cell>
        </row>
        <row r="937">
          <cell r="B937">
            <v>14</v>
          </cell>
          <cell r="E937">
            <v>61057</v>
          </cell>
          <cell r="K937">
            <v>6400000</v>
          </cell>
        </row>
        <row r="938">
          <cell r="B938">
            <v>14</v>
          </cell>
          <cell r="E938">
            <v>61057</v>
          </cell>
          <cell r="K938">
            <v>5600000</v>
          </cell>
        </row>
        <row r="939">
          <cell r="B939">
            <v>14</v>
          </cell>
          <cell r="E939">
            <v>61057</v>
          </cell>
          <cell r="K939">
            <v>3600000</v>
          </cell>
        </row>
        <row r="940">
          <cell r="B940">
            <v>14</v>
          </cell>
          <cell r="E940">
            <v>61057</v>
          </cell>
          <cell r="K940">
            <v>2800000</v>
          </cell>
        </row>
        <row r="941">
          <cell r="B941">
            <v>14</v>
          </cell>
          <cell r="E941">
            <v>60051</v>
          </cell>
          <cell r="K941">
            <v>4000000</v>
          </cell>
        </row>
        <row r="942">
          <cell r="B942">
            <v>14</v>
          </cell>
          <cell r="E942">
            <v>60051</v>
          </cell>
          <cell r="K942">
            <v>13770000</v>
          </cell>
        </row>
        <row r="943">
          <cell r="B943">
            <v>14</v>
          </cell>
          <cell r="E943">
            <v>60051</v>
          </cell>
          <cell r="K943">
            <v>1000000</v>
          </cell>
        </row>
        <row r="944">
          <cell r="B944">
            <v>14</v>
          </cell>
          <cell r="E944">
            <v>60052</v>
          </cell>
          <cell r="K944">
            <v>5600000</v>
          </cell>
        </row>
        <row r="945">
          <cell r="B945">
            <v>14</v>
          </cell>
          <cell r="E945">
            <v>60052</v>
          </cell>
          <cell r="K945">
            <v>2430000</v>
          </cell>
        </row>
        <row r="946">
          <cell r="B946">
            <v>14</v>
          </cell>
          <cell r="E946">
            <v>60052</v>
          </cell>
          <cell r="K946">
            <v>3198000</v>
          </cell>
        </row>
        <row r="947">
          <cell r="B947">
            <v>14</v>
          </cell>
          <cell r="E947">
            <v>60052</v>
          </cell>
          <cell r="K947">
            <v>4000000</v>
          </cell>
        </row>
        <row r="948">
          <cell r="B948">
            <v>14</v>
          </cell>
          <cell r="E948">
            <v>60052</v>
          </cell>
          <cell r="K948">
            <v>4762800</v>
          </cell>
        </row>
        <row r="949">
          <cell r="B949">
            <v>14</v>
          </cell>
          <cell r="E949">
            <v>60052</v>
          </cell>
          <cell r="K949">
            <v>1944000</v>
          </cell>
        </row>
        <row r="950">
          <cell r="B950">
            <v>14</v>
          </cell>
          <cell r="E950">
            <v>60052</v>
          </cell>
          <cell r="K950">
            <v>2430000</v>
          </cell>
        </row>
        <row r="951">
          <cell r="B951">
            <v>14</v>
          </cell>
          <cell r="E951">
            <v>60053</v>
          </cell>
          <cell r="K951">
            <v>60750</v>
          </cell>
        </row>
        <row r="952">
          <cell r="B952">
            <v>14</v>
          </cell>
          <cell r="E952">
            <v>60053</v>
          </cell>
          <cell r="K952">
            <v>60750</v>
          </cell>
        </row>
        <row r="953">
          <cell r="B953">
            <v>14</v>
          </cell>
          <cell r="E953">
            <v>61111</v>
          </cell>
          <cell r="K953">
            <v>343200</v>
          </cell>
        </row>
        <row r="954">
          <cell r="B954">
            <v>14</v>
          </cell>
          <cell r="E954">
            <v>61111</v>
          </cell>
          <cell r="K954">
            <v>369600</v>
          </cell>
        </row>
        <row r="955">
          <cell r="B955">
            <v>14</v>
          </cell>
          <cell r="E955">
            <v>61142</v>
          </cell>
          <cell r="K955">
            <v>486000</v>
          </cell>
        </row>
        <row r="956">
          <cell r="B956">
            <v>14</v>
          </cell>
          <cell r="E956">
            <v>61142</v>
          </cell>
          <cell r="K956">
            <v>3099600</v>
          </cell>
        </row>
        <row r="957">
          <cell r="B957">
            <v>14</v>
          </cell>
          <cell r="K957">
            <v>67586100</v>
          </cell>
        </row>
        <row r="958">
          <cell r="B958">
            <v>14</v>
          </cell>
          <cell r="E958">
            <v>60021</v>
          </cell>
          <cell r="K958">
            <v>401000</v>
          </cell>
        </row>
        <row r="959">
          <cell r="B959">
            <v>14</v>
          </cell>
          <cell r="E959">
            <v>60021</v>
          </cell>
          <cell r="K959">
            <v>86100</v>
          </cell>
        </row>
        <row r="960">
          <cell r="B960">
            <v>14</v>
          </cell>
          <cell r="E960">
            <v>60021</v>
          </cell>
          <cell r="K960">
            <v>22000</v>
          </cell>
        </row>
        <row r="961">
          <cell r="B961">
            <v>14</v>
          </cell>
          <cell r="E961">
            <v>61121</v>
          </cell>
          <cell r="K961">
            <v>6960000</v>
          </cell>
        </row>
        <row r="962">
          <cell r="B962">
            <v>14</v>
          </cell>
          <cell r="E962">
            <v>61122</v>
          </cell>
          <cell r="K962">
            <v>8035900</v>
          </cell>
        </row>
        <row r="963">
          <cell r="B963">
            <v>14</v>
          </cell>
          <cell r="E963">
            <v>61123</v>
          </cell>
          <cell r="K963">
            <v>23521900</v>
          </cell>
        </row>
        <row r="964">
          <cell r="B964">
            <v>14</v>
          </cell>
          <cell r="E964">
            <v>61123</v>
          </cell>
          <cell r="K964">
            <v>28559200</v>
          </cell>
        </row>
        <row r="965">
          <cell r="B965">
            <v>14</v>
          </cell>
          <cell r="K965">
            <v>40068800</v>
          </cell>
        </row>
        <row r="966">
          <cell r="B966">
            <v>14</v>
          </cell>
          <cell r="E966">
            <v>60021</v>
          </cell>
          <cell r="K966">
            <v>401000</v>
          </cell>
        </row>
        <row r="967">
          <cell r="B967">
            <v>14</v>
          </cell>
          <cell r="E967">
            <v>60021</v>
          </cell>
          <cell r="K967">
            <v>22000</v>
          </cell>
        </row>
        <row r="968">
          <cell r="B968">
            <v>14</v>
          </cell>
          <cell r="E968">
            <v>60021</v>
          </cell>
          <cell r="K968">
            <v>26000</v>
          </cell>
        </row>
        <row r="969">
          <cell r="B969">
            <v>14</v>
          </cell>
          <cell r="E969">
            <v>60021</v>
          </cell>
          <cell r="K969">
            <v>43800</v>
          </cell>
        </row>
        <row r="970">
          <cell r="B970">
            <v>14</v>
          </cell>
          <cell r="E970">
            <v>61121</v>
          </cell>
          <cell r="K970">
            <v>9600000</v>
          </cell>
        </row>
        <row r="971">
          <cell r="B971">
            <v>14</v>
          </cell>
          <cell r="E971">
            <v>61122</v>
          </cell>
          <cell r="K971">
            <v>4536000</v>
          </cell>
        </row>
        <row r="972">
          <cell r="B972">
            <v>14</v>
          </cell>
          <cell r="E972">
            <v>61123</v>
          </cell>
          <cell r="K972">
            <v>12960000</v>
          </cell>
        </row>
        <row r="973">
          <cell r="B973">
            <v>14</v>
          </cell>
          <cell r="E973">
            <v>61123</v>
          </cell>
          <cell r="K973">
            <v>12480000</v>
          </cell>
        </row>
        <row r="974">
          <cell r="B974">
            <v>14</v>
          </cell>
          <cell r="K974">
            <v>12150000</v>
          </cell>
        </row>
        <row r="975">
          <cell r="B975">
            <v>14</v>
          </cell>
          <cell r="E975">
            <v>61122</v>
          </cell>
          <cell r="K975">
            <v>12150000</v>
          </cell>
        </row>
        <row r="976">
          <cell r="B976">
            <v>15</v>
          </cell>
          <cell r="K976">
            <v>52744000</v>
          </cell>
        </row>
        <row r="977">
          <cell r="B977">
            <v>15</v>
          </cell>
          <cell r="K977">
            <v>44701650</v>
          </cell>
        </row>
        <row r="978">
          <cell r="B978">
            <v>15</v>
          </cell>
          <cell r="E978">
            <v>60021</v>
          </cell>
          <cell r="K978">
            <v>802000</v>
          </cell>
        </row>
        <row r="979">
          <cell r="B979">
            <v>15</v>
          </cell>
          <cell r="E979">
            <v>60021</v>
          </cell>
          <cell r="K979">
            <v>10750</v>
          </cell>
        </row>
        <row r="980">
          <cell r="B980">
            <v>15</v>
          </cell>
          <cell r="E980">
            <v>60021</v>
          </cell>
          <cell r="K980">
            <v>16200</v>
          </cell>
        </row>
        <row r="981">
          <cell r="B981">
            <v>15</v>
          </cell>
          <cell r="E981">
            <v>60021</v>
          </cell>
          <cell r="K981">
            <v>22700</v>
          </cell>
        </row>
        <row r="982">
          <cell r="B982">
            <v>15</v>
          </cell>
          <cell r="E982">
            <v>60021</v>
          </cell>
          <cell r="K982">
            <v>22000</v>
          </cell>
        </row>
        <row r="983">
          <cell r="B983">
            <v>15</v>
          </cell>
          <cell r="E983">
            <v>60021</v>
          </cell>
          <cell r="K983">
            <v>26000</v>
          </cell>
        </row>
        <row r="984">
          <cell r="B984">
            <v>15</v>
          </cell>
          <cell r="E984">
            <v>60021</v>
          </cell>
          <cell r="K984">
            <v>109500</v>
          </cell>
        </row>
        <row r="985">
          <cell r="B985">
            <v>15</v>
          </cell>
          <cell r="E985">
            <v>60021</v>
          </cell>
          <cell r="K985">
            <v>124000</v>
          </cell>
        </row>
        <row r="986">
          <cell r="B986">
            <v>15</v>
          </cell>
          <cell r="E986">
            <v>60021</v>
          </cell>
          <cell r="K986">
            <v>2916000</v>
          </cell>
        </row>
        <row r="987">
          <cell r="B987">
            <v>15</v>
          </cell>
          <cell r="E987">
            <v>60021</v>
          </cell>
          <cell r="K987">
            <v>3645000</v>
          </cell>
        </row>
        <row r="988">
          <cell r="B988">
            <v>15</v>
          </cell>
          <cell r="E988">
            <v>61103</v>
          </cell>
          <cell r="K988">
            <v>34000000</v>
          </cell>
        </row>
        <row r="989">
          <cell r="B989">
            <v>15</v>
          </cell>
          <cell r="E989">
            <v>61103</v>
          </cell>
          <cell r="K989">
            <v>607500</v>
          </cell>
        </row>
        <row r="990">
          <cell r="B990">
            <v>15</v>
          </cell>
          <cell r="E990">
            <v>61103</v>
          </cell>
          <cell r="K990">
            <v>2400000</v>
          </cell>
        </row>
        <row r="991">
          <cell r="B991">
            <v>15</v>
          </cell>
          <cell r="K991">
            <v>5073900</v>
          </cell>
        </row>
        <row r="992">
          <cell r="B992">
            <v>15</v>
          </cell>
          <cell r="E992">
            <v>60021</v>
          </cell>
          <cell r="K992">
            <v>1002500</v>
          </cell>
        </row>
        <row r="993">
          <cell r="B993">
            <v>15</v>
          </cell>
          <cell r="E993">
            <v>60021</v>
          </cell>
          <cell r="K993">
            <v>170100</v>
          </cell>
        </row>
        <row r="994">
          <cell r="B994">
            <v>15</v>
          </cell>
          <cell r="E994">
            <v>60021</v>
          </cell>
          <cell r="K994">
            <v>139800</v>
          </cell>
        </row>
        <row r="995">
          <cell r="B995">
            <v>15</v>
          </cell>
          <cell r="E995">
            <v>60021</v>
          </cell>
          <cell r="K995">
            <v>2500</v>
          </cell>
        </row>
        <row r="996">
          <cell r="B996">
            <v>15</v>
          </cell>
          <cell r="E996">
            <v>60021</v>
          </cell>
          <cell r="K996">
            <v>9000</v>
          </cell>
        </row>
        <row r="997">
          <cell r="B997">
            <v>15</v>
          </cell>
          <cell r="E997">
            <v>60021</v>
          </cell>
          <cell r="K997">
            <v>69000</v>
          </cell>
        </row>
        <row r="998">
          <cell r="B998">
            <v>15</v>
          </cell>
          <cell r="E998">
            <v>60021</v>
          </cell>
          <cell r="K998">
            <v>86200</v>
          </cell>
        </row>
        <row r="999">
          <cell r="B999">
            <v>15</v>
          </cell>
          <cell r="E999">
            <v>60021</v>
          </cell>
          <cell r="K999">
            <v>93000</v>
          </cell>
        </row>
        <row r="1000">
          <cell r="B1000">
            <v>15</v>
          </cell>
          <cell r="E1000">
            <v>60021</v>
          </cell>
          <cell r="K1000">
            <v>62000</v>
          </cell>
        </row>
        <row r="1001">
          <cell r="B1001">
            <v>15</v>
          </cell>
          <cell r="E1001">
            <v>60021</v>
          </cell>
          <cell r="K1001">
            <v>108000</v>
          </cell>
        </row>
        <row r="1002">
          <cell r="B1002">
            <v>15</v>
          </cell>
          <cell r="E1002">
            <v>60021</v>
          </cell>
          <cell r="K1002">
            <v>11000</v>
          </cell>
        </row>
        <row r="1003">
          <cell r="B1003">
            <v>15</v>
          </cell>
          <cell r="E1003">
            <v>60021</v>
          </cell>
          <cell r="K1003">
            <v>26000</v>
          </cell>
        </row>
        <row r="1004">
          <cell r="B1004">
            <v>15</v>
          </cell>
          <cell r="E1004">
            <v>60021</v>
          </cell>
          <cell r="K1004">
            <v>87600</v>
          </cell>
        </row>
        <row r="1005">
          <cell r="B1005">
            <v>15</v>
          </cell>
          <cell r="E1005">
            <v>60021</v>
          </cell>
          <cell r="K1005">
            <v>103500</v>
          </cell>
        </row>
        <row r="1006">
          <cell r="B1006">
            <v>15</v>
          </cell>
          <cell r="E1006">
            <v>60021</v>
          </cell>
          <cell r="K1006">
            <v>62000</v>
          </cell>
        </row>
        <row r="1007">
          <cell r="B1007">
            <v>15</v>
          </cell>
          <cell r="E1007">
            <v>60021</v>
          </cell>
          <cell r="K1007">
            <v>24300</v>
          </cell>
        </row>
        <row r="1008">
          <cell r="B1008">
            <v>15</v>
          </cell>
          <cell r="E1008">
            <v>60021</v>
          </cell>
          <cell r="K1008">
            <v>29200</v>
          </cell>
        </row>
        <row r="1009">
          <cell r="B1009">
            <v>15</v>
          </cell>
          <cell r="E1009">
            <v>60021</v>
          </cell>
          <cell r="K1009">
            <v>172200</v>
          </cell>
        </row>
        <row r="1010">
          <cell r="B1010">
            <v>15</v>
          </cell>
          <cell r="E1010">
            <v>60021</v>
          </cell>
          <cell r="K1010">
            <v>86100</v>
          </cell>
        </row>
        <row r="1011">
          <cell r="B1011">
            <v>15</v>
          </cell>
          <cell r="E1011">
            <v>60021</v>
          </cell>
          <cell r="K1011">
            <v>40000</v>
          </cell>
        </row>
        <row r="1012">
          <cell r="B1012">
            <v>15</v>
          </cell>
          <cell r="E1012">
            <v>60021</v>
          </cell>
          <cell r="K1012">
            <v>774900</v>
          </cell>
        </row>
        <row r="1013">
          <cell r="B1013">
            <v>15</v>
          </cell>
          <cell r="E1013">
            <v>60021</v>
          </cell>
          <cell r="K1013">
            <v>500000</v>
          </cell>
        </row>
        <row r="1014">
          <cell r="B1014">
            <v>15</v>
          </cell>
          <cell r="E1014">
            <v>60052</v>
          </cell>
          <cell r="K1014">
            <v>1215000</v>
          </cell>
        </row>
        <row r="1015">
          <cell r="B1015">
            <v>15</v>
          </cell>
          <cell r="E1015">
            <v>61103</v>
          </cell>
          <cell r="K1015">
            <v>200000</v>
          </cell>
        </row>
        <row r="1016">
          <cell r="B1016">
            <v>15</v>
          </cell>
          <cell r="K1016">
            <v>2968450</v>
          </cell>
        </row>
        <row r="1017">
          <cell r="B1017">
            <v>15</v>
          </cell>
          <cell r="E1017">
            <v>60011</v>
          </cell>
          <cell r="K1017">
            <v>48600</v>
          </cell>
        </row>
        <row r="1018">
          <cell r="B1018">
            <v>15</v>
          </cell>
          <cell r="E1018">
            <v>60021</v>
          </cell>
          <cell r="K1018">
            <v>401000</v>
          </cell>
        </row>
        <row r="1019">
          <cell r="B1019">
            <v>15</v>
          </cell>
          <cell r="E1019">
            <v>60021</v>
          </cell>
          <cell r="K1019">
            <v>26000</v>
          </cell>
        </row>
        <row r="1020">
          <cell r="B1020">
            <v>15</v>
          </cell>
          <cell r="E1020">
            <v>60021</v>
          </cell>
          <cell r="K1020">
            <v>87600</v>
          </cell>
        </row>
        <row r="1021">
          <cell r="B1021">
            <v>15</v>
          </cell>
          <cell r="E1021">
            <v>60021</v>
          </cell>
          <cell r="K1021">
            <v>45000</v>
          </cell>
        </row>
        <row r="1022">
          <cell r="B1022">
            <v>15</v>
          </cell>
          <cell r="E1022">
            <v>60021</v>
          </cell>
          <cell r="K1022">
            <v>6250</v>
          </cell>
        </row>
        <row r="1023">
          <cell r="B1023">
            <v>15</v>
          </cell>
          <cell r="E1023">
            <v>60021</v>
          </cell>
          <cell r="K1023">
            <v>61500</v>
          </cell>
        </row>
        <row r="1024">
          <cell r="B1024">
            <v>15</v>
          </cell>
          <cell r="E1024">
            <v>60021</v>
          </cell>
          <cell r="K1024">
            <v>689000</v>
          </cell>
        </row>
        <row r="1025">
          <cell r="B1025">
            <v>15</v>
          </cell>
          <cell r="E1025">
            <v>60021</v>
          </cell>
          <cell r="K1025">
            <v>103500</v>
          </cell>
        </row>
        <row r="1026">
          <cell r="B1026">
            <v>15</v>
          </cell>
          <cell r="E1026">
            <v>60015</v>
          </cell>
          <cell r="K1026">
            <v>1500000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 Group"/>
    </sheetNames>
    <sheetDataSet>
      <sheetData sheetId="0">
        <row r="1">
          <cell r="A1" t="str">
            <v>id</v>
          </cell>
          <cell r="B1" t="str">
            <v>code</v>
          </cell>
        </row>
        <row r="2">
          <cell r="A2">
            <v>1</v>
          </cell>
          <cell r="B2">
            <v>20</v>
          </cell>
        </row>
        <row r="3">
          <cell r="A3">
            <v>2</v>
          </cell>
          <cell r="B3">
            <v>21</v>
          </cell>
        </row>
        <row r="4">
          <cell r="A4">
            <v>3</v>
          </cell>
          <cell r="B4">
            <v>22</v>
          </cell>
        </row>
        <row r="5">
          <cell r="A5">
            <v>4</v>
          </cell>
          <cell r="B5">
            <v>23</v>
          </cell>
        </row>
        <row r="6">
          <cell r="A6">
            <v>5</v>
          </cell>
          <cell r="B6">
            <v>26</v>
          </cell>
        </row>
        <row r="7">
          <cell r="A7">
            <v>6</v>
          </cell>
          <cell r="B7">
            <v>27</v>
          </cell>
        </row>
        <row r="8">
          <cell r="A8">
            <v>7</v>
          </cell>
          <cell r="B8">
            <v>50</v>
          </cell>
        </row>
        <row r="9">
          <cell r="A9">
            <v>8</v>
          </cell>
          <cell r="B9">
            <v>60</v>
          </cell>
        </row>
        <row r="10">
          <cell r="A10">
            <v>9</v>
          </cell>
          <cell r="B10">
            <v>61</v>
          </cell>
        </row>
        <row r="11">
          <cell r="A11">
            <v>10</v>
          </cell>
          <cell r="B11">
            <v>62</v>
          </cell>
        </row>
        <row r="12">
          <cell r="A12">
            <v>11</v>
          </cell>
          <cell r="B12">
            <v>63</v>
          </cell>
        </row>
        <row r="13">
          <cell r="A13">
            <v>12</v>
          </cell>
          <cell r="B13">
            <v>64</v>
          </cell>
        </row>
        <row r="14">
          <cell r="A14">
            <v>13</v>
          </cell>
          <cell r="B14">
            <v>65</v>
          </cell>
        </row>
        <row r="15">
          <cell r="A15">
            <v>14</v>
          </cell>
          <cell r="B15">
            <v>66</v>
          </cell>
        </row>
        <row r="16">
          <cell r="A16">
            <v>15</v>
          </cell>
          <cell r="B16">
            <v>67</v>
          </cell>
        </row>
        <row r="17">
          <cell r="A17">
            <v>16</v>
          </cell>
          <cell r="B17">
            <v>68</v>
          </cell>
        </row>
        <row r="18">
          <cell r="A18">
            <v>17</v>
          </cell>
          <cell r="B18">
            <v>69</v>
          </cell>
        </row>
        <row r="19">
          <cell r="A19">
            <v>18</v>
          </cell>
          <cell r="B19">
            <v>70</v>
          </cell>
        </row>
        <row r="20">
          <cell r="A20">
            <v>19</v>
          </cell>
          <cell r="B20">
            <v>71</v>
          </cell>
        </row>
        <row r="21">
          <cell r="A21">
            <v>20</v>
          </cell>
          <cell r="B21">
            <v>72</v>
          </cell>
        </row>
        <row r="22">
          <cell r="A22">
            <v>21</v>
          </cell>
          <cell r="B22">
            <v>73</v>
          </cell>
        </row>
        <row r="23">
          <cell r="A23">
            <v>22</v>
          </cell>
          <cell r="B23">
            <v>74</v>
          </cell>
        </row>
        <row r="24">
          <cell r="A24">
            <v>23</v>
          </cell>
          <cell r="B24">
            <v>75</v>
          </cell>
        </row>
        <row r="25">
          <cell r="A25">
            <v>24</v>
          </cell>
          <cell r="B25">
            <v>76</v>
          </cell>
        </row>
        <row r="26">
          <cell r="A26">
            <v>25</v>
          </cell>
          <cell r="B26">
            <v>77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ccount"/>
    </sheetNames>
    <sheetDataSet>
      <sheetData sheetId="0">
        <row r="1">
          <cell r="A1" t="str">
            <v>id</v>
          </cell>
          <cell r="D1" t="str">
            <v>code</v>
          </cell>
        </row>
        <row r="2">
          <cell r="A2">
            <v>1</v>
          </cell>
          <cell r="D2">
            <v>2003</v>
          </cell>
        </row>
        <row r="3">
          <cell r="A3">
            <v>2</v>
          </cell>
          <cell r="D3">
            <v>2005</v>
          </cell>
        </row>
        <row r="4">
          <cell r="A4">
            <v>3</v>
          </cell>
          <cell r="D4">
            <v>2101</v>
          </cell>
        </row>
        <row r="5">
          <cell r="A5">
            <v>4</v>
          </cell>
          <cell r="D5">
            <v>2102</v>
          </cell>
        </row>
        <row r="6">
          <cell r="A6">
            <v>5</v>
          </cell>
          <cell r="D6">
            <v>2103</v>
          </cell>
        </row>
        <row r="7">
          <cell r="A7">
            <v>6</v>
          </cell>
          <cell r="D7">
            <v>2104</v>
          </cell>
        </row>
        <row r="8">
          <cell r="A8">
            <v>7</v>
          </cell>
          <cell r="D8">
            <v>2105</v>
          </cell>
        </row>
        <row r="9">
          <cell r="A9">
            <v>8</v>
          </cell>
          <cell r="D9">
            <v>2106</v>
          </cell>
        </row>
        <row r="10">
          <cell r="A10">
            <v>9</v>
          </cell>
          <cell r="D10">
            <v>2108</v>
          </cell>
        </row>
        <row r="11">
          <cell r="A11">
            <v>10</v>
          </cell>
          <cell r="D11">
            <v>2109</v>
          </cell>
        </row>
        <row r="12">
          <cell r="A12">
            <v>11</v>
          </cell>
          <cell r="D12">
            <v>2201</v>
          </cell>
        </row>
        <row r="13">
          <cell r="A13">
            <v>12</v>
          </cell>
          <cell r="D13">
            <v>2300</v>
          </cell>
        </row>
        <row r="14">
          <cell r="A14">
            <v>13</v>
          </cell>
          <cell r="D14">
            <v>2302</v>
          </cell>
        </row>
        <row r="15">
          <cell r="A15">
            <v>14</v>
          </cell>
          <cell r="D15">
            <v>2303</v>
          </cell>
        </row>
        <row r="16">
          <cell r="A16">
            <v>15</v>
          </cell>
          <cell r="D16">
            <v>2304</v>
          </cell>
        </row>
        <row r="17">
          <cell r="A17">
            <v>16</v>
          </cell>
          <cell r="D17">
            <v>2305</v>
          </cell>
        </row>
        <row r="18">
          <cell r="A18">
            <v>17</v>
          </cell>
          <cell r="D18">
            <v>2601</v>
          </cell>
        </row>
        <row r="19">
          <cell r="A19">
            <v>18</v>
          </cell>
          <cell r="D19">
            <v>2602</v>
          </cell>
        </row>
        <row r="20">
          <cell r="A20">
            <v>19</v>
          </cell>
          <cell r="D20">
            <v>2701</v>
          </cell>
        </row>
        <row r="21">
          <cell r="A21">
            <v>20</v>
          </cell>
          <cell r="D21">
            <v>2702</v>
          </cell>
        </row>
        <row r="22">
          <cell r="A22">
            <v>21</v>
          </cell>
          <cell r="D22">
            <v>5001</v>
          </cell>
        </row>
        <row r="23">
          <cell r="A23">
            <v>22</v>
          </cell>
          <cell r="D23">
            <v>5002</v>
          </cell>
        </row>
        <row r="24">
          <cell r="A24">
            <v>23</v>
          </cell>
          <cell r="D24">
            <v>5004</v>
          </cell>
        </row>
        <row r="25">
          <cell r="A25">
            <v>24</v>
          </cell>
          <cell r="D25">
            <v>6001</v>
          </cell>
        </row>
        <row r="26">
          <cell r="A26">
            <v>25</v>
          </cell>
          <cell r="D26">
            <v>6002</v>
          </cell>
        </row>
        <row r="27">
          <cell r="A27">
            <v>26</v>
          </cell>
          <cell r="D27">
            <v>6003</v>
          </cell>
        </row>
        <row r="28">
          <cell r="A28">
            <v>27</v>
          </cell>
          <cell r="D28">
            <v>6004</v>
          </cell>
        </row>
        <row r="29">
          <cell r="A29">
            <v>28</v>
          </cell>
          <cell r="D29">
            <v>6005</v>
          </cell>
        </row>
        <row r="30">
          <cell r="A30">
            <v>29</v>
          </cell>
          <cell r="D30">
            <v>6006</v>
          </cell>
        </row>
        <row r="31">
          <cell r="A31">
            <v>30</v>
          </cell>
          <cell r="D31">
            <v>6007</v>
          </cell>
        </row>
        <row r="32">
          <cell r="A32">
            <v>31</v>
          </cell>
          <cell r="D32">
            <v>6098</v>
          </cell>
        </row>
        <row r="33">
          <cell r="A33">
            <v>32</v>
          </cell>
          <cell r="D33">
            <v>6101</v>
          </cell>
        </row>
        <row r="34">
          <cell r="A34">
            <v>33</v>
          </cell>
          <cell r="D34">
            <v>6102</v>
          </cell>
        </row>
        <row r="35">
          <cell r="A35">
            <v>34</v>
          </cell>
          <cell r="D35">
            <v>6103</v>
          </cell>
        </row>
        <row r="36">
          <cell r="A36">
            <v>35</v>
          </cell>
          <cell r="D36">
            <v>6104</v>
          </cell>
        </row>
        <row r="37">
          <cell r="A37">
            <v>36</v>
          </cell>
          <cell r="D37">
            <v>6105</v>
          </cell>
        </row>
        <row r="38">
          <cell r="A38">
            <v>37</v>
          </cell>
          <cell r="D38">
            <v>6106</v>
          </cell>
        </row>
        <row r="39">
          <cell r="A39">
            <v>38</v>
          </cell>
          <cell r="D39">
            <v>6107</v>
          </cell>
        </row>
        <row r="40">
          <cell r="A40">
            <v>39</v>
          </cell>
          <cell r="D40">
            <v>6108</v>
          </cell>
        </row>
        <row r="41">
          <cell r="A41">
            <v>40</v>
          </cell>
          <cell r="D41">
            <v>6109</v>
          </cell>
        </row>
        <row r="42">
          <cell r="A42">
            <v>41</v>
          </cell>
          <cell r="D42">
            <v>6110</v>
          </cell>
        </row>
        <row r="43">
          <cell r="A43">
            <v>42</v>
          </cell>
          <cell r="D43">
            <v>6111</v>
          </cell>
        </row>
        <row r="44">
          <cell r="A44">
            <v>43</v>
          </cell>
          <cell r="D44">
            <v>6112</v>
          </cell>
        </row>
        <row r="45">
          <cell r="A45">
            <v>44</v>
          </cell>
          <cell r="D45">
            <v>6113</v>
          </cell>
        </row>
        <row r="46">
          <cell r="A46">
            <v>45</v>
          </cell>
          <cell r="D46">
            <v>6114</v>
          </cell>
        </row>
        <row r="47">
          <cell r="A47">
            <v>46</v>
          </cell>
          <cell r="D47">
            <v>6115</v>
          </cell>
        </row>
        <row r="48">
          <cell r="A48">
            <v>47</v>
          </cell>
          <cell r="D48">
            <v>6116</v>
          </cell>
        </row>
        <row r="49">
          <cell r="A49">
            <v>48</v>
          </cell>
          <cell r="D49">
            <v>6198</v>
          </cell>
        </row>
        <row r="50">
          <cell r="A50">
            <v>49</v>
          </cell>
          <cell r="D50">
            <v>6201</v>
          </cell>
        </row>
        <row r="51">
          <cell r="A51">
            <v>50</v>
          </cell>
          <cell r="D51">
            <v>6202</v>
          </cell>
        </row>
        <row r="52">
          <cell r="A52">
            <v>51</v>
          </cell>
          <cell r="D52">
            <v>6203</v>
          </cell>
        </row>
        <row r="53">
          <cell r="A53">
            <v>52</v>
          </cell>
          <cell r="D53">
            <v>6204</v>
          </cell>
        </row>
        <row r="54">
          <cell r="A54">
            <v>53</v>
          </cell>
          <cell r="D54">
            <v>6205</v>
          </cell>
        </row>
        <row r="55">
          <cell r="A55">
            <v>54</v>
          </cell>
          <cell r="D55">
            <v>6206</v>
          </cell>
        </row>
        <row r="56">
          <cell r="A56">
            <v>55</v>
          </cell>
          <cell r="D56">
            <v>6298</v>
          </cell>
        </row>
        <row r="57">
          <cell r="A57">
            <v>56</v>
          </cell>
          <cell r="D57">
            <v>6301</v>
          </cell>
        </row>
        <row r="58">
          <cell r="A58">
            <v>57</v>
          </cell>
          <cell r="D58">
            <v>6302</v>
          </cell>
        </row>
        <row r="59">
          <cell r="A59">
            <v>58</v>
          </cell>
          <cell r="D59">
            <v>6303</v>
          </cell>
        </row>
        <row r="60">
          <cell r="A60">
            <v>59</v>
          </cell>
          <cell r="D60">
            <v>6304</v>
          </cell>
        </row>
        <row r="61">
          <cell r="A61">
            <v>60</v>
          </cell>
          <cell r="D61">
            <v>6305</v>
          </cell>
        </row>
        <row r="62">
          <cell r="A62">
            <v>61</v>
          </cell>
          <cell r="D62">
            <v>6306</v>
          </cell>
        </row>
        <row r="63">
          <cell r="A63">
            <v>62</v>
          </cell>
          <cell r="D63">
            <v>6398</v>
          </cell>
        </row>
        <row r="64">
          <cell r="A64">
            <v>63</v>
          </cell>
          <cell r="D64">
            <v>6401</v>
          </cell>
        </row>
        <row r="65">
          <cell r="A65">
            <v>64</v>
          </cell>
          <cell r="D65">
            <v>6402</v>
          </cell>
        </row>
        <row r="66">
          <cell r="A66">
            <v>65</v>
          </cell>
          <cell r="D66">
            <v>6403</v>
          </cell>
        </row>
        <row r="67">
          <cell r="A67">
            <v>66</v>
          </cell>
          <cell r="D67">
            <v>6404</v>
          </cell>
        </row>
        <row r="68">
          <cell r="A68">
            <v>67</v>
          </cell>
          <cell r="D68">
            <v>6405</v>
          </cell>
        </row>
        <row r="69">
          <cell r="A69">
            <v>68</v>
          </cell>
          <cell r="D69">
            <v>6406</v>
          </cell>
        </row>
        <row r="70">
          <cell r="A70">
            <v>69</v>
          </cell>
          <cell r="D70">
            <v>6407</v>
          </cell>
        </row>
        <row r="71">
          <cell r="A71">
            <v>70</v>
          </cell>
          <cell r="D71">
            <v>6498</v>
          </cell>
        </row>
        <row r="72">
          <cell r="A72">
            <v>71</v>
          </cell>
          <cell r="D72">
            <v>6501</v>
          </cell>
        </row>
        <row r="73">
          <cell r="A73">
            <v>72</v>
          </cell>
          <cell r="D73">
            <v>6502</v>
          </cell>
        </row>
        <row r="74">
          <cell r="A74">
            <v>73</v>
          </cell>
          <cell r="D74">
            <v>6503</v>
          </cell>
        </row>
        <row r="75">
          <cell r="A75">
            <v>74</v>
          </cell>
          <cell r="D75">
            <v>6504</v>
          </cell>
        </row>
        <row r="76">
          <cell r="A76">
            <v>75</v>
          </cell>
          <cell r="D76">
            <v>6505</v>
          </cell>
        </row>
        <row r="77">
          <cell r="A77">
            <v>76</v>
          </cell>
          <cell r="D77">
            <v>6506</v>
          </cell>
        </row>
        <row r="78">
          <cell r="A78">
            <v>77</v>
          </cell>
          <cell r="D78">
            <v>6507</v>
          </cell>
        </row>
        <row r="79">
          <cell r="A79">
            <v>78</v>
          </cell>
          <cell r="D79">
            <v>6508</v>
          </cell>
        </row>
        <row r="80">
          <cell r="A80">
            <v>79</v>
          </cell>
          <cell r="D80">
            <v>6598</v>
          </cell>
        </row>
        <row r="81">
          <cell r="A81">
            <v>80</v>
          </cell>
          <cell r="D81">
            <v>6601</v>
          </cell>
        </row>
        <row r="82">
          <cell r="A82">
            <v>81</v>
          </cell>
          <cell r="D82">
            <v>6602</v>
          </cell>
        </row>
        <row r="83">
          <cell r="A83">
            <v>82</v>
          </cell>
          <cell r="D83">
            <v>6698</v>
          </cell>
        </row>
        <row r="84">
          <cell r="A84">
            <v>83</v>
          </cell>
          <cell r="D84">
            <v>6701</v>
          </cell>
        </row>
        <row r="85">
          <cell r="A85">
            <v>84</v>
          </cell>
          <cell r="D85">
            <v>6705</v>
          </cell>
        </row>
        <row r="86">
          <cell r="A86">
            <v>85</v>
          </cell>
          <cell r="D86">
            <v>6801</v>
          </cell>
        </row>
        <row r="87">
          <cell r="A87">
            <v>86</v>
          </cell>
          <cell r="D87">
            <v>6901</v>
          </cell>
        </row>
        <row r="88">
          <cell r="A88">
            <v>87</v>
          </cell>
          <cell r="D88">
            <v>6902</v>
          </cell>
        </row>
        <row r="89">
          <cell r="A89">
            <v>88</v>
          </cell>
          <cell r="D89">
            <v>6908</v>
          </cell>
        </row>
        <row r="90">
          <cell r="A90">
            <v>89</v>
          </cell>
          <cell r="D90">
            <v>7009</v>
          </cell>
        </row>
        <row r="91">
          <cell r="A91">
            <v>90</v>
          </cell>
          <cell r="D91">
            <v>7001</v>
          </cell>
        </row>
        <row r="92">
          <cell r="A92">
            <v>91</v>
          </cell>
          <cell r="D92">
            <v>7002</v>
          </cell>
        </row>
        <row r="93">
          <cell r="A93">
            <v>92</v>
          </cell>
          <cell r="D93">
            <v>7003</v>
          </cell>
        </row>
        <row r="94">
          <cell r="A94">
            <v>93</v>
          </cell>
          <cell r="D94">
            <v>7004</v>
          </cell>
        </row>
        <row r="95">
          <cell r="A95">
            <v>94</v>
          </cell>
          <cell r="D95">
            <v>7005</v>
          </cell>
        </row>
        <row r="96">
          <cell r="A96">
            <v>95</v>
          </cell>
          <cell r="D96">
            <v>7006</v>
          </cell>
        </row>
        <row r="97">
          <cell r="A97">
            <v>96</v>
          </cell>
          <cell r="D97">
            <v>7007</v>
          </cell>
        </row>
        <row r="98">
          <cell r="A98">
            <v>97</v>
          </cell>
          <cell r="D98">
            <v>7008</v>
          </cell>
        </row>
        <row r="99">
          <cell r="A99">
            <v>98</v>
          </cell>
          <cell r="D99">
            <v>7100</v>
          </cell>
        </row>
        <row r="100">
          <cell r="A100">
            <v>99</v>
          </cell>
          <cell r="D100">
            <v>7101</v>
          </cell>
        </row>
        <row r="101">
          <cell r="A101">
            <v>100</v>
          </cell>
          <cell r="D101">
            <v>7200</v>
          </cell>
        </row>
        <row r="102">
          <cell r="A102">
            <v>101</v>
          </cell>
          <cell r="D102">
            <v>7201</v>
          </cell>
        </row>
        <row r="103">
          <cell r="A103">
            <v>102</v>
          </cell>
          <cell r="D103">
            <v>7300</v>
          </cell>
        </row>
        <row r="104">
          <cell r="A104">
            <v>103</v>
          </cell>
          <cell r="D104">
            <v>7301</v>
          </cell>
        </row>
        <row r="105">
          <cell r="A105">
            <v>104</v>
          </cell>
          <cell r="D105">
            <v>7302</v>
          </cell>
        </row>
        <row r="106">
          <cell r="A106">
            <v>105</v>
          </cell>
          <cell r="D106">
            <v>7304</v>
          </cell>
        </row>
        <row r="107">
          <cell r="A107">
            <v>106</v>
          </cell>
          <cell r="D107">
            <v>7305</v>
          </cell>
        </row>
        <row r="108">
          <cell r="A108">
            <v>107</v>
          </cell>
          <cell r="D108">
            <v>7306</v>
          </cell>
        </row>
        <row r="109">
          <cell r="A109">
            <v>108</v>
          </cell>
          <cell r="D109">
            <v>7307</v>
          </cell>
        </row>
        <row r="110">
          <cell r="A110">
            <v>109</v>
          </cell>
          <cell r="D110">
            <v>7308</v>
          </cell>
        </row>
        <row r="111">
          <cell r="A111">
            <v>110</v>
          </cell>
          <cell r="D111">
            <v>7401</v>
          </cell>
        </row>
        <row r="112">
          <cell r="A112">
            <v>111</v>
          </cell>
          <cell r="D112">
            <v>7403</v>
          </cell>
        </row>
        <row r="113">
          <cell r="A113">
            <v>112</v>
          </cell>
          <cell r="D113">
            <v>7408</v>
          </cell>
        </row>
        <row r="114">
          <cell r="A114">
            <v>113</v>
          </cell>
          <cell r="D114">
            <v>7501</v>
          </cell>
        </row>
        <row r="115">
          <cell r="A115">
            <v>114</v>
          </cell>
          <cell r="D115">
            <v>7502</v>
          </cell>
        </row>
        <row r="116">
          <cell r="A116">
            <v>115</v>
          </cell>
          <cell r="D116">
            <v>7503</v>
          </cell>
        </row>
        <row r="117">
          <cell r="A117">
            <v>116</v>
          </cell>
          <cell r="D117">
            <v>7504</v>
          </cell>
        </row>
        <row r="118">
          <cell r="A118">
            <v>117</v>
          </cell>
          <cell r="D118">
            <v>7506</v>
          </cell>
        </row>
        <row r="119">
          <cell r="A119">
            <v>118</v>
          </cell>
          <cell r="D119">
            <v>7507</v>
          </cell>
        </row>
        <row r="120">
          <cell r="A120">
            <v>119</v>
          </cell>
          <cell r="D120">
            <v>7508</v>
          </cell>
        </row>
        <row r="121">
          <cell r="A121">
            <v>120</v>
          </cell>
          <cell r="D121">
            <v>7510</v>
          </cell>
        </row>
        <row r="122">
          <cell r="A122">
            <v>121</v>
          </cell>
          <cell r="D122">
            <v>7511</v>
          </cell>
        </row>
        <row r="123">
          <cell r="A123">
            <v>122</v>
          </cell>
          <cell r="D123">
            <v>7512</v>
          </cell>
        </row>
        <row r="124">
          <cell r="A124">
            <v>123</v>
          </cell>
          <cell r="D124">
            <v>7513</v>
          </cell>
        </row>
        <row r="125">
          <cell r="A125">
            <v>124</v>
          </cell>
          <cell r="D125">
            <v>7514</v>
          </cell>
        </row>
        <row r="126">
          <cell r="A126">
            <v>125</v>
          </cell>
          <cell r="D126">
            <v>7517</v>
          </cell>
        </row>
        <row r="127">
          <cell r="A127">
            <v>126</v>
          </cell>
          <cell r="D127">
            <v>7518</v>
          </cell>
        </row>
        <row r="128">
          <cell r="A128">
            <v>127</v>
          </cell>
          <cell r="D128">
            <v>7601</v>
          </cell>
        </row>
        <row r="129">
          <cell r="A129">
            <v>128</v>
          </cell>
          <cell r="D129">
            <v>7602</v>
          </cell>
        </row>
        <row r="130">
          <cell r="A130">
            <v>129</v>
          </cell>
          <cell r="D130">
            <v>7603</v>
          </cell>
        </row>
        <row r="131">
          <cell r="A131">
            <v>130</v>
          </cell>
          <cell r="D131">
            <v>7606</v>
          </cell>
        </row>
        <row r="132">
          <cell r="A132">
            <v>131</v>
          </cell>
          <cell r="D132">
            <v>7698</v>
          </cell>
        </row>
        <row r="133">
          <cell r="A133">
            <v>132</v>
          </cell>
          <cell r="D133">
            <v>7701</v>
          </cell>
        </row>
        <row r="134">
          <cell r="A134">
            <v>133</v>
          </cell>
          <cell r="D134">
            <v>7702</v>
          </cell>
        </row>
        <row r="135">
          <cell r="A135">
            <v>134</v>
          </cell>
          <cell r="D135">
            <v>7703</v>
          </cell>
        </row>
        <row r="136">
          <cell r="A136">
            <v>135</v>
          </cell>
          <cell r="D136">
            <v>7704</v>
          </cell>
        </row>
        <row r="137">
          <cell r="A137">
            <v>136</v>
          </cell>
          <cell r="D137">
            <v>7705</v>
          </cell>
        </row>
        <row r="138">
          <cell r="A138">
            <v>137</v>
          </cell>
          <cell r="D138">
            <v>7798</v>
          </cell>
        </row>
        <row r="139">
          <cell r="A139">
            <v>138</v>
          </cell>
          <cell r="D139">
            <v>7303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b Account"/>
    </sheetNames>
    <sheetDataSet>
      <sheetData sheetId="0">
        <row r="1">
          <cell r="A1" t="str">
            <v>id</v>
          </cell>
          <cell r="D1" t="str">
            <v>code</v>
          </cell>
        </row>
        <row r="2">
          <cell r="A2">
            <v>139</v>
          </cell>
          <cell r="D2">
            <v>20038</v>
          </cell>
        </row>
        <row r="3">
          <cell r="A3">
            <v>140</v>
          </cell>
          <cell r="D3">
            <v>20051</v>
          </cell>
        </row>
        <row r="4">
          <cell r="A4">
            <v>141</v>
          </cell>
          <cell r="D4">
            <v>20052</v>
          </cell>
        </row>
        <row r="5">
          <cell r="A5">
            <v>142</v>
          </cell>
          <cell r="D5">
            <v>20053</v>
          </cell>
        </row>
        <row r="6">
          <cell r="A6">
            <v>143</v>
          </cell>
          <cell r="D6">
            <v>20054</v>
          </cell>
        </row>
        <row r="7">
          <cell r="A7">
            <v>144</v>
          </cell>
          <cell r="D7">
            <v>20058</v>
          </cell>
        </row>
        <row r="8">
          <cell r="A8">
            <v>145</v>
          </cell>
          <cell r="D8">
            <v>21011</v>
          </cell>
        </row>
        <row r="9">
          <cell r="A9">
            <v>146</v>
          </cell>
          <cell r="D9">
            <v>21012</v>
          </cell>
        </row>
        <row r="10">
          <cell r="A10">
            <v>147</v>
          </cell>
          <cell r="D10">
            <v>21018</v>
          </cell>
        </row>
        <row r="11">
          <cell r="A11">
            <v>148</v>
          </cell>
          <cell r="D11">
            <v>21021</v>
          </cell>
        </row>
        <row r="12">
          <cell r="A12">
            <v>149</v>
          </cell>
          <cell r="D12">
            <v>21022</v>
          </cell>
        </row>
        <row r="13">
          <cell r="A13">
            <v>150</v>
          </cell>
          <cell r="D13">
            <v>21028</v>
          </cell>
        </row>
        <row r="14">
          <cell r="A14">
            <v>151</v>
          </cell>
          <cell r="D14">
            <v>21031</v>
          </cell>
        </row>
        <row r="15">
          <cell r="A15">
            <v>152</v>
          </cell>
          <cell r="D15">
            <v>21032</v>
          </cell>
        </row>
        <row r="16">
          <cell r="A16">
            <v>153</v>
          </cell>
          <cell r="D16">
            <v>21038</v>
          </cell>
        </row>
        <row r="17">
          <cell r="A17">
            <v>154</v>
          </cell>
          <cell r="D17">
            <v>21041</v>
          </cell>
        </row>
        <row r="18">
          <cell r="A18">
            <v>155</v>
          </cell>
          <cell r="D18">
            <v>21042</v>
          </cell>
        </row>
        <row r="19">
          <cell r="A19">
            <v>156</v>
          </cell>
          <cell r="D19">
            <v>21043</v>
          </cell>
        </row>
        <row r="20">
          <cell r="A20">
            <v>157</v>
          </cell>
          <cell r="D20">
            <v>21044</v>
          </cell>
        </row>
        <row r="21">
          <cell r="A21">
            <v>158</v>
          </cell>
          <cell r="D21">
            <v>21045</v>
          </cell>
        </row>
        <row r="22">
          <cell r="A22">
            <v>159</v>
          </cell>
          <cell r="D22">
            <v>21046</v>
          </cell>
        </row>
        <row r="23">
          <cell r="A23">
            <v>160</v>
          </cell>
          <cell r="D23">
            <v>21047</v>
          </cell>
        </row>
        <row r="24">
          <cell r="A24">
            <v>161</v>
          </cell>
          <cell r="D24">
            <v>21048</v>
          </cell>
        </row>
        <row r="25">
          <cell r="A25">
            <v>162</v>
          </cell>
          <cell r="D25">
            <v>21051</v>
          </cell>
        </row>
        <row r="26">
          <cell r="A26">
            <v>163</v>
          </cell>
          <cell r="D26">
            <v>21052</v>
          </cell>
        </row>
        <row r="27">
          <cell r="A27">
            <v>164</v>
          </cell>
          <cell r="D27">
            <v>21053</v>
          </cell>
        </row>
        <row r="28">
          <cell r="A28">
            <v>165</v>
          </cell>
          <cell r="D28">
            <v>21058</v>
          </cell>
        </row>
        <row r="29">
          <cell r="A29">
            <v>166</v>
          </cell>
          <cell r="D29">
            <v>21061</v>
          </cell>
        </row>
        <row r="30">
          <cell r="A30">
            <v>167</v>
          </cell>
          <cell r="D30">
            <v>21081</v>
          </cell>
        </row>
        <row r="31">
          <cell r="A31">
            <v>168</v>
          </cell>
          <cell r="D31">
            <v>21082</v>
          </cell>
        </row>
        <row r="32">
          <cell r="A32">
            <v>169</v>
          </cell>
          <cell r="D32">
            <v>21083</v>
          </cell>
        </row>
        <row r="33">
          <cell r="A33">
            <v>170</v>
          </cell>
          <cell r="D33">
            <v>21084</v>
          </cell>
        </row>
        <row r="34">
          <cell r="A34">
            <v>171</v>
          </cell>
          <cell r="D34">
            <v>21088</v>
          </cell>
        </row>
        <row r="35">
          <cell r="A35">
            <v>172</v>
          </cell>
          <cell r="D35">
            <v>21091</v>
          </cell>
        </row>
        <row r="36">
          <cell r="A36">
            <v>173</v>
          </cell>
          <cell r="D36">
            <v>21092</v>
          </cell>
        </row>
        <row r="37">
          <cell r="A37">
            <v>174</v>
          </cell>
          <cell r="D37">
            <v>21093</v>
          </cell>
        </row>
        <row r="38">
          <cell r="A38">
            <v>175</v>
          </cell>
          <cell r="D38">
            <v>21094</v>
          </cell>
        </row>
        <row r="39">
          <cell r="A39">
            <v>176</v>
          </cell>
          <cell r="D39">
            <v>21095</v>
          </cell>
        </row>
        <row r="40">
          <cell r="A40">
            <v>177</v>
          </cell>
          <cell r="D40">
            <v>21096</v>
          </cell>
        </row>
        <row r="41">
          <cell r="A41">
            <v>178</v>
          </cell>
          <cell r="D41">
            <v>21097</v>
          </cell>
        </row>
        <row r="42">
          <cell r="A42">
            <v>179</v>
          </cell>
          <cell r="D42">
            <v>21098</v>
          </cell>
        </row>
        <row r="43">
          <cell r="A43">
            <v>180</v>
          </cell>
          <cell r="D43">
            <v>22011</v>
          </cell>
        </row>
        <row r="44">
          <cell r="A44">
            <v>181</v>
          </cell>
          <cell r="D44">
            <v>22012</v>
          </cell>
        </row>
        <row r="45">
          <cell r="A45">
            <v>182</v>
          </cell>
          <cell r="D45">
            <v>23003</v>
          </cell>
        </row>
        <row r="46">
          <cell r="A46">
            <v>183</v>
          </cell>
          <cell r="D46">
            <v>23005</v>
          </cell>
        </row>
        <row r="47">
          <cell r="A47">
            <v>184</v>
          </cell>
          <cell r="D47">
            <v>23021</v>
          </cell>
        </row>
        <row r="48">
          <cell r="A48">
            <v>185</v>
          </cell>
          <cell r="D48">
            <v>23022</v>
          </cell>
        </row>
        <row r="49">
          <cell r="A49">
            <v>186</v>
          </cell>
          <cell r="D49">
            <v>23028</v>
          </cell>
        </row>
        <row r="50">
          <cell r="A50">
            <v>187</v>
          </cell>
          <cell r="D50">
            <v>23031</v>
          </cell>
        </row>
        <row r="51">
          <cell r="A51">
            <v>188</v>
          </cell>
          <cell r="D51">
            <v>23032</v>
          </cell>
        </row>
        <row r="52">
          <cell r="A52">
            <v>189</v>
          </cell>
          <cell r="D52">
            <v>23038</v>
          </cell>
        </row>
        <row r="53">
          <cell r="A53">
            <v>190</v>
          </cell>
          <cell r="D53">
            <v>23041</v>
          </cell>
        </row>
        <row r="54">
          <cell r="A54">
            <v>191</v>
          </cell>
          <cell r="D54">
            <v>23042</v>
          </cell>
        </row>
        <row r="55">
          <cell r="A55">
            <v>192</v>
          </cell>
          <cell r="D55">
            <v>23043</v>
          </cell>
        </row>
        <row r="56">
          <cell r="A56">
            <v>193</v>
          </cell>
          <cell r="D56">
            <v>23044</v>
          </cell>
        </row>
        <row r="57">
          <cell r="A57">
            <v>194</v>
          </cell>
          <cell r="D57">
            <v>23045</v>
          </cell>
        </row>
        <row r="58">
          <cell r="A58">
            <v>195</v>
          </cell>
          <cell r="D58">
            <v>23046</v>
          </cell>
        </row>
        <row r="59">
          <cell r="A59">
            <v>196</v>
          </cell>
          <cell r="D59">
            <v>23047</v>
          </cell>
        </row>
        <row r="60">
          <cell r="A60">
            <v>197</v>
          </cell>
          <cell r="D60">
            <v>23048</v>
          </cell>
        </row>
        <row r="61">
          <cell r="A61">
            <v>198</v>
          </cell>
          <cell r="D61">
            <v>23051</v>
          </cell>
        </row>
        <row r="62">
          <cell r="A62">
            <v>199</v>
          </cell>
          <cell r="D62">
            <v>23052</v>
          </cell>
        </row>
        <row r="63">
          <cell r="A63">
            <v>200</v>
          </cell>
          <cell r="D63">
            <v>23053</v>
          </cell>
        </row>
        <row r="64">
          <cell r="A64">
            <v>201</v>
          </cell>
          <cell r="D64">
            <v>23058</v>
          </cell>
        </row>
        <row r="65">
          <cell r="A65">
            <v>202</v>
          </cell>
          <cell r="D65">
            <v>26011</v>
          </cell>
        </row>
        <row r="66">
          <cell r="A66">
            <v>203</v>
          </cell>
          <cell r="D66">
            <v>26012</v>
          </cell>
        </row>
        <row r="67">
          <cell r="A67">
            <v>204</v>
          </cell>
          <cell r="D67">
            <v>26013</v>
          </cell>
        </row>
        <row r="68">
          <cell r="A68">
            <v>205</v>
          </cell>
          <cell r="D68">
            <v>26021</v>
          </cell>
        </row>
        <row r="69">
          <cell r="A69">
            <v>206</v>
          </cell>
          <cell r="D69">
            <v>26022</v>
          </cell>
        </row>
        <row r="70">
          <cell r="A70">
            <v>207</v>
          </cell>
          <cell r="D70">
            <v>26023</v>
          </cell>
        </row>
        <row r="71">
          <cell r="A71">
            <v>208</v>
          </cell>
          <cell r="D71">
            <v>27011</v>
          </cell>
        </row>
        <row r="72">
          <cell r="A72">
            <v>209</v>
          </cell>
          <cell r="D72">
            <v>27012</v>
          </cell>
        </row>
        <row r="73">
          <cell r="A73">
            <v>210</v>
          </cell>
          <cell r="D73">
            <v>27013</v>
          </cell>
        </row>
        <row r="74">
          <cell r="A74">
            <v>211</v>
          </cell>
          <cell r="D74">
            <v>27018</v>
          </cell>
        </row>
        <row r="75">
          <cell r="A75">
            <v>212</v>
          </cell>
          <cell r="D75">
            <v>27022</v>
          </cell>
        </row>
        <row r="76">
          <cell r="A76">
            <v>213</v>
          </cell>
          <cell r="D76">
            <v>27028</v>
          </cell>
        </row>
        <row r="77">
          <cell r="A77">
            <v>214</v>
          </cell>
          <cell r="D77">
            <v>50011</v>
          </cell>
        </row>
        <row r="78">
          <cell r="A78">
            <v>215</v>
          </cell>
          <cell r="D78">
            <v>50012</v>
          </cell>
        </row>
        <row r="79">
          <cell r="A79">
            <v>216</v>
          </cell>
          <cell r="D79">
            <v>50018</v>
          </cell>
        </row>
        <row r="80">
          <cell r="A80">
            <v>217</v>
          </cell>
          <cell r="D80">
            <v>50021</v>
          </cell>
        </row>
        <row r="81">
          <cell r="A81">
            <v>218</v>
          </cell>
          <cell r="D81">
            <v>50022</v>
          </cell>
        </row>
        <row r="82">
          <cell r="A82">
            <v>219</v>
          </cell>
          <cell r="D82">
            <v>50041</v>
          </cell>
        </row>
        <row r="83">
          <cell r="A83">
            <v>220</v>
          </cell>
          <cell r="D83">
            <v>50042</v>
          </cell>
        </row>
        <row r="84">
          <cell r="A84">
            <v>221</v>
          </cell>
          <cell r="D84">
            <v>60011</v>
          </cell>
        </row>
        <row r="85">
          <cell r="A85">
            <v>222</v>
          </cell>
          <cell r="D85">
            <v>60012</v>
          </cell>
        </row>
        <row r="86">
          <cell r="A86">
            <v>223</v>
          </cell>
          <cell r="D86">
            <v>60013</v>
          </cell>
        </row>
        <row r="87">
          <cell r="A87">
            <v>224</v>
          </cell>
          <cell r="D87">
            <v>60014</v>
          </cell>
        </row>
        <row r="88">
          <cell r="A88">
            <v>225</v>
          </cell>
          <cell r="D88">
            <v>60015</v>
          </cell>
        </row>
        <row r="89">
          <cell r="A89">
            <v>226</v>
          </cell>
          <cell r="D89">
            <v>60018</v>
          </cell>
        </row>
        <row r="90">
          <cell r="A90">
            <v>227</v>
          </cell>
          <cell r="D90">
            <v>60021</v>
          </cell>
        </row>
        <row r="91">
          <cell r="A91">
            <v>228</v>
          </cell>
          <cell r="D91">
            <v>60022</v>
          </cell>
        </row>
        <row r="92">
          <cell r="A92">
            <v>229</v>
          </cell>
          <cell r="D92">
            <v>60023</v>
          </cell>
        </row>
        <row r="93">
          <cell r="A93">
            <v>230</v>
          </cell>
          <cell r="D93">
            <v>60028</v>
          </cell>
        </row>
        <row r="94">
          <cell r="A94">
            <v>231</v>
          </cell>
          <cell r="D94">
            <v>60031</v>
          </cell>
        </row>
        <row r="95">
          <cell r="A95">
            <v>232</v>
          </cell>
          <cell r="D95">
            <v>60032</v>
          </cell>
        </row>
        <row r="96">
          <cell r="A96">
            <v>233</v>
          </cell>
          <cell r="D96">
            <v>60033</v>
          </cell>
        </row>
        <row r="97">
          <cell r="A97">
            <v>234</v>
          </cell>
          <cell r="D97">
            <v>60034</v>
          </cell>
        </row>
        <row r="98">
          <cell r="A98">
            <v>235</v>
          </cell>
          <cell r="D98">
            <v>60035</v>
          </cell>
        </row>
        <row r="99">
          <cell r="A99">
            <v>236</v>
          </cell>
          <cell r="D99">
            <v>60036</v>
          </cell>
        </row>
        <row r="100">
          <cell r="A100">
            <v>237</v>
          </cell>
          <cell r="D100">
            <v>60037</v>
          </cell>
        </row>
        <row r="101">
          <cell r="A101">
            <v>238</v>
          </cell>
          <cell r="D101">
            <v>60038</v>
          </cell>
        </row>
        <row r="102">
          <cell r="A102">
            <v>239</v>
          </cell>
          <cell r="D102">
            <v>60041</v>
          </cell>
        </row>
        <row r="103">
          <cell r="A103">
            <v>240</v>
          </cell>
          <cell r="D103">
            <v>60042</v>
          </cell>
        </row>
        <row r="104">
          <cell r="A104">
            <v>241</v>
          </cell>
          <cell r="D104">
            <v>60043</v>
          </cell>
        </row>
        <row r="105">
          <cell r="A105">
            <v>242</v>
          </cell>
          <cell r="D105">
            <v>60048</v>
          </cell>
        </row>
        <row r="106">
          <cell r="A106">
            <v>243</v>
          </cell>
          <cell r="D106">
            <v>60051</v>
          </cell>
        </row>
        <row r="107">
          <cell r="A107">
            <v>244</v>
          </cell>
          <cell r="D107">
            <v>60052</v>
          </cell>
        </row>
        <row r="108">
          <cell r="A108">
            <v>245</v>
          </cell>
          <cell r="D108">
            <v>60053</v>
          </cell>
        </row>
        <row r="109">
          <cell r="A109">
            <v>246</v>
          </cell>
          <cell r="D109">
            <v>60054</v>
          </cell>
        </row>
        <row r="110">
          <cell r="A110">
            <v>247</v>
          </cell>
          <cell r="D110">
            <v>60055</v>
          </cell>
        </row>
        <row r="111">
          <cell r="A111">
            <v>248</v>
          </cell>
          <cell r="D111">
            <v>60058</v>
          </cell>
        </row>
        <row r="112">
          <cell r="A112">
            <v>249</v>
          </cell>
          <cell r="D112">
            <v>60061</v>
          </cell>
        </row>
        <row r="113">
          <cell r="A113">
            <v>250</v>
          </cell>
          <cell r="D113">
            <v>60062</v>
          </cell>
        </row>
        <row r="114">
          <cell r="A114">
            <v>251</v>
          </cell>
          <cell r="D114">
            <v>60068</v>
          </cell>
        </row>
        <row r="115">
          <cell r="A115">
            <v>252</v>
          </cell>
          <cell r="D115">
            <v>60071</v>
          </cell>
        </row>
        <row r="116">
          <cell r="A116">
            <v>253</v>
          </cell>
          <cell r="D116">
            <v>60072</v>
          </cell>
        </row>
        <row r="117">
          <cell r="A117">
            <v>254</v>
          </cell>
          <cell r="D117">
            <v>60078</v>
          </cell>
        </row>
        <row r="118">
          <cell r="A118">
            <v>255</v>
          </cell>
          <cell r="D118">
            <v>60981</v>
          </cell>
        </row>
        <row r="119">
          <cell r="A119">
            <v>256</v>
          </cell>
          <cell r="D119">
            <v>61011</v>
          </cell>
        </row>
        <row r="120">
          <cell r="A120">
            <v>257</v>
          </cell>
          <cell r="D120">
            <v>61012</v>
          </cell>
        </row>
        <row r="121">
          <cell r="A121">
            <v>258</v>
          </cell>
          <cell r="D121">
            <v>61018</v>
          </cell>
        </row>
        <row r="122">
          <cell r="A122">
            <v>259</v>
          </cell>
          <cell r="D122">
            <v>61021</v>
          </cell>
        </row>
        <row r="123">
          <cell r="A123">
            <v>260</v>
          </cell>
          <cell r="D123">
            <v>61028</v>
          </cell>
        </row>
        <row r="124">
          <cell r="A124">
            <v>261</v>
          </cell>
          <cell r="D124">
            <v>61031</v>
          </cell>
        </row>
        <row r="125">
          <cell r="A125">
            <v>262</v>
          </cell>
          <cell r="D125">
            <v>61032</v>
          </cell>
        </row>
        <row r="126">
          <cell r="A126">
            <v>263</v>
          </cell>
          <cell r="D126">
            <v>61038</v>
          </cell>
        </row>
        <row r="127">
          <cell r="A127">
            <v>264</v>
          </cell>
          <cell r="D127">
            <v>61041</v>
          </cell>
        </row>
        <row r="128">
          <cell r="A128">
            <v>265</v>
          </cell>
          <cell r="D128">
            <v>61048</v>
          </cell>
        </row>
        <row r="129">
          <cell r="A129">
            <v>266</v>
          </cell>
          <cell r="D129">
            <v>61051</v>
          </cell>
        </row>
        <row r="130">
          <cell r="A130">
            <v>267</v>
          </cell>
          <cell r="D130">
            <v>61052</v>
          </cell>
        </row>
        <row r="131">
          <cell r="A131">
            <v>268</v>
          </cell>
          <cell r="D131">
            <v>61053</v>
          </cell>
        </row>
        <row r="132">
          <cell r="A132">
            <v>269</v>
          </cell>
          <cell r="D132">
            <v>61054</v>
          </cell>
        </row>
        <row r="133">
          <cell r="A133">
            <v>270</v>
          </cell>
          <cell r="D133">
            <v>61055</v>
          </cell>
        </row>
        <row r="134">
          <cell r="A134">
            <v>271</v>
          </cell>
          <cell r="D134">
            <v>61056</v>
          </cell>
        </row>
        <row r="135">
          <cell r="A135">
            <v>272</v>
          </cell>
          <cell r="D135">
            <v>61057</v>
          </cell>
        </row>
        <row r="136">
          <cell r="A136">
            <v>273</v>
          </cell>
          <cell r="D136">
            <v>61058</v>
          </cell>
        </row>
        <row r="137">
          <cell r="A137">
            <v>274</v>
          </cell>
          <cell r="D137">
            <v>61061</v>
          </cell>
        </row>
        <row r="138">
          <cell r="A138">
            <v>275</v>
          </cell>
          <cell r="D138">
            <v>61062</v>
          </cell>
        </row>
        <row r="139">
          <cell r="A139">
            <v>276</v>
          </cell>
          <cell r="D139">
            <v>61063</v>
          </cell>
        </row>
        <row r="140">
          <cell r="A140">
            <v>277</v>
          </cell>
          <cell r="D140">
            <v>61068</v>
          </cell>
        </row>
        <row r="141">
          <cell r="A141">
            <v>278</v>
          </cell>
          <cell r="D141">
            <v>61071</v>
          </cell>
        </row>
        <row r="142">
          <cell r="A142">
            <v>279</v>
          </cell>
          <cell r="D142">
            <v>61072</v>
          </cell>
        </row>
        <row r="143">
          <cell r="A143">
            <v>280</v>
          </cell>
          <cell r="D143">
            <v>61073</v>
          </cell>
        </row>
        <row r="144">
          <cell r="A144">
            <v>281</v>
          </cell>
          <cell r="D144">
            <v>61074</v>
          </cell>
        </row>
        <row r="145">
          <cell r="A145">
            <v>282</v>
          </cell>
          <cell r="D145">
            <v>61078</v>
          </cell>
        </row>
        <row r="146">
          <cell r="A146">
            <v>283</v>
          </cell>
          <cell r="D146">
            <v>61081</v>
          </cell>
        </row>
        <row r="147">
          <cell r="A147">
            <v>284</v>
          </cell>
          <cell r="D147">
            <v>61088</v>
          </cell>
        </row>
        <row r="148">
          <cell r="A148">
            <v>285</v>
          </cell>
          <cell r="D148">
            <v>61091</v>
          </cell>
        </row>
        <row r="149">
          <cell r="A149">
            <v>286</v>
          </cell>
          <cell r="D149">
            <v>61092</v>
          </cell>
        </row>
        <row r="150">
          <cell r="A150">
            <v>287</v>
          </cell>
          <cell r="D150">
            <v>61093</v>
          </cell>
        </row>
        <row r="151">
          <cell r="A151">
            <v>288</v>
          </cell>
          <cell r="D151">
            <v>61094</v>
          </cell>
        </row>
        <row r="152">
          <cell r="A152">
            <v>289</v>
          </cell>
          <cell r="D152">
            <v>61098</v>
          </cell>
        </row>
        <row r="153">
          <cell r="A153">
            <v>290</v>
          </cell>
          <cell r="D153">
            <v>61101</v>
          </cell>
        </row>
        <row r="154">
          <cell r="A154">
            <v>291</v>
          </cell>
          <cell r="D154">
            <v>61102</v>
          </cell>
        </row>
        <row r="155">
          <cell r="A155">
            <v>292</v>
          </cell>
          <cell r="D155">
            <v>61103</v>
          </cell>
        </row>
        <row r="156">
          <cell r="A156">
            <v>293</v>
          </cell>
          <cell r="D156">
            <v>61104</v>
          </cell>
        </row>
        <row r="157">
          <cell r="A157">
            <v>294</v>
          </cell>
          <cell r="D157">
            <v>61105</v>
          </cell>
        </row>
        <row r="158">
          <cell r="A158">
            <v>295</v>
          </cell>
          <cell r="D158">
            <v>61106</v>
          </cell>
        </row>
        <row r="159">
          <cell r="A159">
            <v>296</v>
          </cell>
          <cell r="D159">
            <v>61107</v>
          </cell>
        </row>
        <row r="160">
          <cell r="A160">
            <v>297</v>
          </cell>
          <cell r="D160">
            <v>61108</v>
          </cell>
        </row>
        <row r="161">
          <cell r="A161">
            <v>298</v>
          </cell>
          <cell r="D161">
            <v>61111</v>
          </cell>
        </row>
        <row r="162">
          <cell r="A162">
            <v>299</v>
          </cell>
          <cell r="D162">
            <v>61112</v>
          </cell>
        </row>
        <row r="163">
          <cell r="A163">
            <v>300</v>
          </cell>
          <cell r="D163">
            <v>61113</v>
          </cell>
        </row>
        <row r="164">
          <cell r="A164">
            <v>301</v>
          </cell>
          <cell r="D164">
            <v>61118</v>
          </cell>
        </row>
        <row r="165">
          <cell r="A165">
            <v>302</v>
          </cell>
          <cell r="D165">
            <v>61121</v>
          </cell>
        </row>
        <row r="166">
          <cell r="A166">
            <v>303</v>
          </cell>
          <cell r="D166">
            <v>61122</v>
          </cell>
        </row>
        <row r="167">
          <cell r="A167">
            <v>304</v>
          </cell>
          <cell r="D167">
            <v>61123</v>
          </cell>
        </row>
        <row r="168">
          <cell r="A168">
            <v>305</v>
          </cell>
          <cell r="D168">
            <v>61128</v>
          </cell>
        </row>
        <row r="169">
          <cell r="A169">
            <v>306</v>
          </cell>
          <cell r="D169">
            <v>61131</v>
          </cell>
        </row>
        <row r="170">
          <cell r="A170">
            <v>307</v>
          </cell>
          <cell r="D170">
            <v>61132</v>
          </cell>
        </row>
        <row r="171">
          <cell r="A171">
            <v>308</v>
          </cell>
          <cell r="D171">
            <v>61133</v>
          </cell>
        </row>
        <row r="172">
          <cell r="A172">
            <v>309</v>
          </cell>
          <cell r="D172">
            <v>61138</v>
          </cell>
        </row>
        <row r="173">
          <cell r="A173">
            <v>310</v>
          </cell>
          <cell r="D173">
            <v>61141</v>
          </cell>
        </row>
        <row r="174">
          <cell r="A174">
            <v>311</v>
          </cell>
          <cell r="D174">
            <v>61142</v>
          </cell>
        </row>
        <row r="175">
          <cell r="A175">
            <v>312</v>
          </cell>
          <cell r="D175">
            <v>61148</v>
          </cell>
        </row>
        <row r="176">
          <cell r="A176">
            <v>313</v>
          </cell>
          <cell r="D176">
            <v>61151</v>
          </cell>
        </row>
        <row r="177">
          <cell r="A177">
            <v>314</v>
          </cell>
          <cell r="D177">
            <v>61161</v>
          </cell>
        </row>
        <row r="178">
          <cell r="A178">
            <v>315</v>
          </cell>
          <cell r="D178">
            <v>61162</v>
          </cell>
        </row>
        <row r="179">
          <cell r="A179">
            <v>316</v>
          </cell>
          <cell r="D179">
            <v>61163</v>
          </cell>
        </row>
        <row r="180">
          <cell r="A180">
            <v>317</v>
          </cell>
          <cell r="D180">
            <v>61164</v>
          </cell>
        </row>
        <row r="181">
          <cell r="A181">
            <v>318</v>
          </cell>
          <cell r="D181">
            <v>61165</v>
          </cell>
        </row>
        <row r="182">
          <cell r="A182">
            <v>319</v>
          </cell>
          <cell r="D182">
            <v>61166</v>
          </cell>
        </row>
        <row r="183">
          <cell r="A183">
            <v>320</v>
          </cell>
          <cell r="D183">
            <v>61167</v>
          </cell>
        </row>
        <row r="184">
          <cell r="A184">
            <v>321</v>
          </cell>
          <cell r="D184">
            <v>61168</v>
          </cell>
        </row>
        <row r="185">
          <cell r="A185">
            <v>322</v>
          </cell>
          <cell r="D185">
            <v>61981</v>
          </cell>
        </row>
        <row r="186">
          <cell r="A186">
            <v>323</v>
          </cell>
          <cell r="D186">
            <v>62011</v>
          </cell>
        </row>
        <row r="187">
          <cell r="A187">
            <v>324</v>
          </cell>
          <cell r="D187">
            <v>62021</v>
          </cell>
        </row>
        <row r="188">
          <cell r="A188">
            <v>325</v>
          </cell>
          <cell r="D188">
            <v>62022</v>
          </cell>
        </row>
        <row r="189">
          <cell r="A189">
            <v>326</v>
          </cell>
          <cell r="D189">
            <v>62023</v>
          </cell>
        </row>
        <row r="190">
          <cell r="A190">
            <v>327</v>
          </cell>
          <cell r="D190">
            <v>62024</v>
          </cell>
        </row>
        <row r="191">
          <cell r="A191">
            <v>328</v>
          </cell>
          <cell r="D191">
            <v>62025</v>
          </cell>
        </row>
        <row r="192">
          <cell r="A192">
            <v>329</v>
          </cell>
          <cell r="D192">
            <v>62026</v>
          </cell>
        </row>
        <row r="193">
          <cell r="A193">
            <v>330</v>
          </cell>
          <cell r="D193">
            <v>62027</v>
          </cell>
        </row>
        <row r="194">
          <cell r="A194">
            <v>331</v>
          </cell>
          <cell r="D194">
            <v>62028</v>
          </cell>
        </row>
        <row r="195">
          <cell r="A195">
            <v>332</v>
          </cell>
          <cell r="D195">
            <v>62031</v>
          </cell>
        </row>
        <row r="196">
          <cell r="A196">
            <v>333</v>
          </cell>
          <cell r="D196">
            <v>62032</v>
          </cell>
        </row>
        <row r="197">
          <cell r="A197">
            <v>334</v>
          </cell>
          <cell r="D197">
            <v>62033</v>
          </cell>
        </row>
        <row r="198">
          <cell r="A198">
            <v>335</v>
          </cell>
          <cell r="D198">
            <v>62034</v>
          </cell>
        </row>
        <row r="199">
          <cell r="A199">
            <v>336</v>
          </cell>
          <cell r="D199">
            <v>62035</v>
          </cell>
        </row>
        <row r="200">
          <cell r="A200">
            <v>337</v>
          </cell>
          <cell r="D200">
            <v>62036</v>
          </cell>
        </row>
        <row r="201">
          <cell r="A201">
            <v>338</v>
          </cell>
          <cell r="D201">
            <v>62037</v>
          </cell>
        </row>
        <row r="202">
          <cell r="A202">
            <v>339</v>
          </cell>
          <cell r="D202">
            <v>62038</v>
          </cell>
        </row>
        <row r="203">
          <cell r="A203">
            <v>340</v>
          </cell>
          <cell r="D203">
            <v>62041</v>
          </cell>
        </row>
        <row r="204">
          <cell r="A204">
            <v>341</v>
          </cell>
          <cell r="D204">
            <v>62051</v>
          </cell>
        </row>
        <row r="205">
          <cell r="A205">
            <v>342</v>
          </cell>
          <cell r="D205">
            <v>62061</v>
          </cell>
        </row>
        <row r="206">
          <cell r="A206">
            <v>343</v>
          </cell>
          <cell r="D206">
            <v>62068</v>
          </cell>
        </row>
        <row r="207">
          <cell r="A207">
            <v>344</v>
          </cell>
          <cell r="D207">
            <v>62981</v>
          </cell>
        </row>
        <row r="208">
          <cell r="A208">
            <v>345</v>
          </cell>
          <cell r="D208">
            <v>63011</v>
          </cell>
        </row>
        <row r="209">
          <cell r="A209">
            <v>346</v>
          </cell>
          <cell r="D209">
            <v>63021</v>
          </cell>
        </row>
        <row r="210">
          <cell r="A210">
            <v>347</v>
          </cell>
          <cell r="D210">
            <v>63022</v>
          </cell>
        </row>
        <row r="211">
          <cell r="A211">
            <v>348</v>
          </cell>
          <cell r="D211">
            <v>63023</v>
          </cell>
        </row>
        <row r="212">
          <cell r="A212">
            <v>349</v>
          </cell>
          <cell r="D212">
            <v>63028</v>
          </cell>
        </row>
        <row r="213">
          <cell r="A213">
            <v>350</v>
          </cell>
          <cell r="D213">
            <v>63031</v>
          </cell>
        </row>
        <row r="214">
          <cell r="A214">
            <v>351</v>
          </cell>
          <cell r="D214">
            <v>63032</v>
          </cell>
        </row>
        <row r="215">
          <cell r="A215">
            <v>352</v>
          </cell>
          <cell r="D215">
            <v>63038</v>
          </cell>
        </row>
        <row r="216">
          <cell r="A216">
            <v>353</v>
          </cell>
          <cell r="D216">
            <v>63041</v>
          </cell>
        </row>
        <row r="217">
          <cell r="A217">
            <v>354</v>
          </cell>
          <cell r="D217">
            <v>63051</v>
          </cell>
        </row>
        <row r="218">
          <cell r="A218">
            <v>355</v>
          </cell>
          <cell r="D218">
            <v>63052</v>
          </cell>
        </row>
        <row r="219">
          <cell r="A219">
            <v>356</v>
          </cell>
          <cell r="D219">
            <v>63058</v>
          </cell>
        </row>
        <row r="220">
          <cell r="A220">
            <v>357</v>
          </cell>
          <cell r="D220">
            <v>63061</v>
          </cell>
        </row>
        <row r="221">
          <cell r="A221">
            <v>358</v>
          </cell>
          <cell r="D221">
            <v>63062</v>
          </cell>
        </row>
        <row r="222">
          <cell r="A222">
            <v>359</v>
          </cell>
          <cell r="D222">
            <v>63063</v>
          </cell>
        </row>
        <row r="223">
          <cell r="A223">
            <v>360</v>
          </cell>
          <cell r="D223">
            <v>63068</v>
          </cell>
        </row>
        <row r="224">
          <cell r="A224">
            <v>361</v>
          </cell>
          <cell r="D224">
            <v>63981</v>
          </cell>
        </row>
        <row r="225">
          <cell r="A225">
            <v>362</v>
          </cell>
          <cell r="D225">
            <v>64011</v>
          </cell>
        </row>
        <row r="226">
          <cell r="A226">
            <v>363</v>
          </cell>
          <cell r="D226">
            <v>64012</v>
          </cell>
        </row>
        <row r="227">
          <cell r="A227">
            <v>364</v>
          </cell>
          <cell r="D227">
            <v>64013</v>
          </cell>
        </row>
        <row r="228">
          <cell r="A228">
            <v>365</v>
          </cell>
          <cell r="D228">
            <v>64014</v>
          </cell>
        </row>
        <row r="229">
          <cell r="A229">
            <v>366</v>
          </cell>
          <cell r="D229">
            <v>64015</v>
          </cell>
        </row>
        <row r="230">
          <cell r="A230">
            <v>367</v>
          </cell>
          <cell r="D230">
            <v>64016</v>
          </cell>
        </row>
        <row r="231">
          <cell r="A231">
            <v>368</v>
          </cell>
          <cell r="D231">
            <v>64017</v>
          </cell>
        </row>
        <row r="232">
          <cell r="A232">
            <v>369</v>
          </cell>
          <cell r="D232">
            <v>64018</v>
          </cell>
        </row>
        <row r="233">
          <cell r="A233">
            <v>370</v>
          </cell>
          <cell r="D233">
            <v>64021</v>
          </cell>
        </row>
        <row r="234">
          <cell r="A234">
            <v>371</v>
          </cell>
          <cell r="D234">
            <v>64022</v>
          </cell>
        </row>
        <row r="235">
          <cell r="A235">
            <v>372</v>
          </cell>
          <cell r="D235">
            <v>64023</v>
          </cell>
        </row>
        <row r="236">
          <cell r="A236">
            <v>373</v>
          </cell>
          <cell r="D236">
            <v>64024</v>
          </cell>
        </row>
        <row r="237">
          <cell r="A237">
            <v>374</v>
          </cell>
          <cell r="D237">
            <v>64025</v>
          </cell>
        </row>
        <row r="238">
          <cell r="A238">
            <v>375</v>
          </cell>
          <cell r="D238">
            <v>64026</v>
          </cell>
        </row>
        <row r="239">
          <cell r="A239">
            <v>376</v>
          </cell>
          <cell r="D239">
            <v>64027</v>
          </cell>
        </row>
        <row r="240">
          <cell r="A240">
            <v>377</v>
          </cell>
          <cell r="D240">
            <v>64028</v>
          </cell>
        </row>
        <row r="241">
          <cell r="A241">
            <v>378</v>
          </cell>
          <cell r="D241">
            <v>64033</v>
          </cell>
        </row>
        <row r="242">
          <cell r="A242">
            <v>379</v>
          </cell>
          <cell r="D242">
            <v>64034</v>
          </cell>
        </row>
        <row r="243">
          <cell r="A243">
            <v>380</v>
          </cell>
          <cell r="D243">
            <v>64035</v>
          </cell>
        </row>
        <row r="244">
          <cell r="A244">
            <v>381</v>
          </cell>
          <cell r="D244">
            <v>64037</v>
          </cell>
        </row>
        <row r="245">
          <cell r="A245">
            <v>382</v>
          </cell>
          <cell r="D245">
            <v>64038</v>
          </cell>
        </row>
        <row r="246">
          <cell r="A246">
            <v>383</v>
          </cell>
          <cell r="D246">
            <v>64041</v>
          </cell>
        </row>
        <row r="247">
          <cell r="A247">
            <v>384</v>
          </cell>
          <cell r="D247">
            <v>64042</v>
          </cell>
        </row>
        <row r="248">
          <cell r="A248">
            <v>385</v>
          </cell>
          <cell r="D248">
            <v>64048</v>
          </cell>
        </row>
        <row r="249">
          <cell r="A249">
            <v>386</v>
          </cell>
          <cell r="D249">
            <v>64051</v>
          </cell>
        </row>
        <row r="250">
          <cell r="A250">
            <v>387</v>
          </cell>
          <cell r="D250">
            <v>64052</v>
          </cell>
        </row>
        <row r="251">
          <cell r="A251">
            <v>388</v>
          </cell>
          <cell r="D251">
            <v>64053</v>
          </cell>
        </row>
        <row r="252">
          <cell r="A252">
            <v>389</v>
          </cell>
          <cell r="D252">
            <v>64054</v>
          </cell>
        </row>
        <row r="253">
          <cell r="A253">
            <v>390</v>
          </cell>
          <cell r="D253">
            <v>64055</v>
          </cell>
        </row>
        <row r="254">
          <cell r="A254">
            <v>391</v>
          </cell>
          <cell r="D254">
            <v>64056</v>
          </cell>
        </row>
        <row r="255">
          <cell r="A255">
            <v>392</v>
          </cell>
          <cell r="D255">
            <v>64058</v>
          </cell>
        </row>
        <row r="256">
          <cell r="A256">
            <v>393</v>
          </cell>
          <cell r="D256">
            <v>64061</v>
          </cell>
        </row>
        <row r="257">
          <cell r="A257">
            <v>394</v>
          </cell>
          <cell r="D257">
            <v>64063</v>
          </cell>
        </row>
        <row r="258">
          <cell r="A258">
            <v>395</v>
          </cell>
          <cell r="D258">
            <v>64064</v>
          </cell>
        </row>
        <row r="259">
          <cell r="A259">
            <v>396</v>
          </cell>
          <cell r="D259">
            <v>64068</v>
          </cell>
        </row>
        <row r="260">
          <cell r="A260">
            <v>397</v>
          </cell>
          <cell r="D260">
            <v>64071</v>
          </cell>
        </row>
        <row r="261">
          <cell r="A261">
            <v>398</v>
          </cell>
          <cell r="D261">
            <v>64072</v>
          </cell>
        </row>
        <row r="262">
          <cell r="A262">
            <v>399</v>
          </cell>
          <cell r="D262">
            <v>64073</v>
          </cell>
        </row>
        <row r="263">
          <cell r="A263">
            <v>400</v>
          </cell>
          <cell r="D263">
            <v>64074</v>
          </cell>
        </row>
        <row r="264">
          <cell r="A264">
            <v>401</v>
          </cell>
          <cell r="D264">
            <v>64075</v>
          </cell>
        </row>
        <row r="265">
          <cell r="A265">
            <v>402</v>
          </cell>
          <cell r="D265">
            <v>64076</v>
          </cell>
        </row>
        <row r="266">
          <cell r="A266">
            <v>403</v>
          </cell>
          <cell r="D266">
            <v>64077</v>
          </cell>
        </row>
        <row r="267">
          <cell r="A267">
            <v>404</v>
          </cell>
          <cell r="D267">
            <v>64078</v>
          </cell>
        </row>
        <row r="268">
          <cell r="A268">
            <v>405</v>
          </cell>
          <cell r="D268">
            <v>64981</v>
          </cell>
        </row>
        <row r="269">
          <cell r="A269">
            <v>406</v>
          </cell>
          <cell r="D269">
            <v>65011</v>
          </cell>
        </row>
        <row r="270">
          <cell r="A270">
            <v>407</v>
          </cell>
          <cell r="D270">
            <v>65012</v>
          </cell>
        </row>
        <row r="271">
          <cell r="A271">
            <v>408</v>
          </cell>
          <cell r="D271">
            <v>65013</v>
          </cell>
        </row>
        <row r="272">
          <cell r="A272">
            <v>409</v>
          </cell>
          <cell r="D272">
            <v>65014</v>
          </cell>
        </row>
        <row r="273">
          <cell r="A273">
            <v>410</v>
          </cell>
          <cell r="D273">
            <v>65018</v>
          </cell>
        </row>
        <row r="274">
          <cell r="A274">
            <v>411</v>
          </cell>
          <cell r="D274">
            <v>65021</v>
          </cell>
        </row>
        <row r="275">
          <cell r="A275">
            <v>412</v>
          </cell>
          <cell r="D275">
            <v>65022</v>
          </cell>
        </row>
        <row r="276">
          <cell r="A276">
            <v>413</v>
          </cell>
          <cell r="D276">
            <v>65023</v>
          </cell>
        </row>
        <row r="277">
          <cell r="A277">
            <v>414</v>
          </cell>
          <cell r="D277">
            <v>65024</v>
          </cell>
        </row>
        <row r="278">
          <cell r="A278">
            <v>415</v>
          </cell>
          <cell r="D278">
            <v>65025</v>
          </cell>
        </row>
        <row r="279">
          <cell r="A279">
            <v>416</v>
          </cell>
          <cell r="D279">
            <v>65026</v>
          </cell>
        </row>
        <row r="280">
          <cell r="A280">
            <v>417</v>
          </cell>
          <cell r="D280">
            <v>65027</v>
          </cell>
        </row>
        <row r="281">
          <cell r="A281">
            <v>418</v>
          </cell>
          <cell r="D281">
            <v>65028</v>
          </cell>
        </row>
        <row r="282">
          <cell r="A282">
            <v>419</v>
          </cell>
          <cell r="D282">
            <v>65031</v>
          </cell>
        </row>
        <row r="283">
          <cell r="A283">
            <v>420</v>
          </cell>
          <cell r="D283">
            <v>65032</v>
          </cell>
        </row>
        <row r="284">
          <cell r="A284">
            <v>421</v>
          </cell>
          <cell r="D284">
            <v>65041</v>
          </cell>
        </row>
        <row r="285">
          <cell r="A285">
            <v>422</v>
          </cell>
          <cell r="D285">
            <v>65042</v>
          </cell>
        </row>
        <row r="286">
          <cell r="A286">
            <v>423</v>
          </cell>
          <cell r="D286">
            <v>65043</v>
          </cell>
        </row>
        <row r="287">
          <cell r="A287">
            <v>424</v>
          </cell>
          <cell r="D287">
            <v>65044</v>
          </cell>
        </row>
        <row r="288">
          <cell r="A288">
            <v>425</v>
          </cell>
          <cell r="D288">
            <v>65045</v>
          </cell>
        </row>
        <row r="289">
          <cell r="A289">
            <v>426</v>
          </cell>
          <cell r="D289">
            <v>65051</v>
          </cell>
        </row>
        <row r="290">
          <cell r="A290">
            <v>427</v>
          </cell>
          <cell r="D290">
            <v>65052</v>
          </cell>
        </row>
        <row r="291">
          <cell r="A291">
            <v>428</v>
          </cell>
          <cell r="D291">
            <v>65061</v>
          </cell>
        </row>
        <row r="292">
          <cell r="A292">
            <v>429</v>
          </cell>
          <cell r="D292">
            <v>65062</v>
          </cell>
        </row>
        <row r="293">
          <cell r="A293">
            <v>430</v>
          </cell>
          <cell r="D293">
            <v>65063</v>
          </cell>
        </row>
        <row r="294">
          <cell r="A294">
            <v>431</v>
          </cell>
          <cell r="D294">
            <v>65064</v>
          </cell>
        </row>
        <row r="295">
          <cell r="A295">
            <v>432</v>
          </cell>
          <cell r="D295">
            <v>65065</v>
          </cell>
        </row>
        <row r="296">
          <cell r="A296">
            <v>433</v>
          </cell>
          <cell r="D296">
            <v>65068</v>
          </cell>
        </row>
        <row r="297">
          <cell r="A297">
            <v>434</v>
          </cell>
          <cell r="D297">
            <v>65071</v>
          </cell>
        </row>
        <row r="298">
          <cell r="A298">
            <v>435</v>
          </cell>
          <cell r="D298">
            <v>65072</v>
          </cell>
        </row>
        <row r="299">
          <cell r="A299">
            <v>436</v>
          </cell>
          <cell r="D299">
            <v>65081</v>
          </cell>
        </row>
        <row r="300">
          <cell r="A300">
            <v>437</v>
          </cell>
          <cell r="D300">
            <v>65082</v>
          </cell>
        </row>
        <row r="301">
          <cell r="A301">
            <v>438</v>
          </cell>
          <cell r="D301">
            <v>65981</v>
          </cell>
        </row>
        <row r="302">
          <cell r="A302">
            <v>439</v>
          </cell>
          <cell r="D302">
            <v>66011</v>
          </cell>
        </row>
        <row r="303">
          <cell r="A303">
            <v>440</v>
          </cell>
          <cell r="D303">
            <v>66012</v>
          </cell>
        </row>
        <row r="304">
          <cell r="A304">
            <v>441</v>
          </cell>
          <cell r="D304">
            <v>66013</v>
          </cell>
        </row>
        <row r="305">
          <cell r="A305">
            <v>442</v>
          </cell>
          <cell r="D305">
            <v>66014</v>
          </cell>
        </row>
        <row r="306">
          <cell r="A306">
            <v>443</v>
          </cell>
          <cell r="D306">
            <v>66018</v>
          </cell>
        </row>
        <row r="307">
          <cell r="A307">
            <v>444</v>
          </cell>
          <cell r="D307">
            <v>66021</v>
          </cell>
        </row>
        <row r="308">
          <cell r="A308">
            <v>445</v>
          </cell>
          <cell r="D308">
            <v>66022</v>
          </cell>
        </row>
        <row r="309">
          <cell r="A309">
            <v>446</v>
          </cell>
          <cell r="D309">
            <v>66981</v>
          </cell>
        </row>
        <row r="310">
          <cell r="A310">
            <v>447</v>
          </cell>
          <cell r="D310">
            <v>66988</v>
          </cell>
        </row>
        <row r="311">
          <cell r="A311">
            <v>448</v>
          </cell>
          <cell r="D311">
            <v>67011</v>
          </cell>
        </row>
        <row r="312">
          <cell r="A312">
            <v>449</v>
          </cell>
          <cell r="D312">
            <v>67051</v>
          </cell>
        </row>
        <row r="313">
          <cell r="A313">
            <v>450</v>
          </cell>
          <cell r="D313">
            <v>68011</v>
          </cell>
        </row>
        <row r="314">
          <cell r="A314">
            <v>451</v>
          </cell>
          <cell r="D314">
            <v>68012</v>
          </cell>
        </row>
        <row r="315">
          <cell r="A315">
            <v>452</v>
          </cell>
          <cell r="D315">
            <v>69011</v>
          </cell>
        </row>
        <row r="316">
          <cell r="A316">
            <v>453</v>
          </cell>
          <cell r="D316">
            <v>69021</v>
          </cell>
        </row>
        <row r="317">
          <cell r="A317">
            <v>454</v>
          </cell>
          <cell r="D317">
            <v>69081</v>
          </cell>
        </row>
        <row r="318">
          <cell r="A318">
            <v>455</v>
          </cell>
          <cell r="D318">
            <v>70091</v>
          </cell>
        </row>
        <row r="319">
          <cell r="A319">
            <v>456</v>
          </cell>
          <cell r="D319">
            <v>70098</v>
          </cell>
        </row>
        <row r="320">
          <cell r="A320">
            <v>457</v>
          </cell>
          <cell r="D320">
            <v>70011</v>
          </cell>
        </row>
        <row r="321">
          <cell r="A321">
            <v>458</v>
          </cell>
          <cell r="D321">
            <v>70012</v>
          </cell>
        </row>
        <row r="322">
          <cell r="A322">
            <v>459</v>
          </cell>
          <cell r="D322">
            <v>70013</v>
          </cell>
        </row>
        <row r="323">
          <cell r="A323">
            <v>460</v>
          </cell>
          <cell r="D323">
            <v>70014</v>
          </cell>
        </row>
        <row r="324">
          <cell r="A324">
            <v>461</v>
          </cell>
          <cell r="D324">
            <v>70015</v>
          </cell>
        </row>
        <row r="325">
          <cell r="A325">
            <v>462</v>
          </cell>
          <cell r="D325">
            <v>70022</v>
          </cell>
        </row>
        <row r="326">
          <cell r="A326">
            <v>463</v>
          </cell>
          <cell r="D326">
            <v>70031</v>
          </cell>
        </row>
        <row r="327">
          <cell r="A327">
            <v>464</v>
          </cell>
          <cell r="D327">
            <v>70034</v>
          </cell>
        </row>
        <row r="328">
          <cell r="A328">
            <v>465</v>
          </cell>
          <cell r="D328">
            <v>70081</v>
          </cell>
        </row>
        <row r="329">
          <cell r="A329">
            <v>466</v>
          </cell>
          <cell r="D329">
            <v>70082</v>
          </cell>
        </row>
        <row r="330">
          <cell r="A330">
            <v>467</v>
          </cell>
          <cell r="D330">
            <v>73012</v>
          </cell>
        </row>
        <row r="331">
          <cell r="A331">
            <v>468</v>
          </cell>
          <cell r="D331">
            <v>73023</v>
          </cell>
        </row>
        <row r="332">
          <cell r="A332">
            <v>469</v>
          </cell>
          <cell r="D332">
            <v>73047</v>
          </cell>
        </row>
        <row r="333">
          <cell r="A333">
            <v>470</v>
          </cell>
          <cell r="D333">
            <v>73084</v>
          </cell>
        </row>
        <row r="334">
          <cell r="A334">
            <v>471</v>
          </cell>
          <cell r="D334">
            <v>70021</v>
          </cell>
        </row>
        <row r="335">
          <cell r="A335">
            <v>472</v>
          </cell>
          <cell r="D335">
            <v>73048</v>
          </cell>
        </row>
        <row r="336">
          <cell r="A336">
            <v>473</v>
          </cell>
          <cell r="D336">
            <v>73066</v>
          </cell>
        </row>
        <row r="337">
          <cell r="A337">
            <v>474</v>
          </cell>
          <cell r="D337">
            <v>73061</v>
          </cell>
        </row>
        <row r="338">
          <cell r="A338">
            <v>475</v>
          </cell>
          <cell r="D338">
            <v>73062</v>
          </cell>
        </row>
        <row r="339">
          <cell r="A339">
            <v>476</v>
          </cell>
          <cell r="D339">
            <v>73001</v>
          </cell>
        </row>
        <row r="340">
          <cell r="A340">
            <v>477</v>
          </cell>
          <cell r="D340">
            <v>76011</v>
          </cell>
        </row>
        <row r="341">
          <cell r="A341">
            <v>478</v>
          </cell>
          <cell r="D341">
            <v>75141</v>
          </cell>
        </row>
        <row r="342">
          <cell r="A342">
            <v>479</v>
          </cell>
          <cell r="D342">
            <v>75142</v>
          </cell>
        </row>
        <row r="343">
          <cell r="A343">
            <v>480</v>
          </cell>
          <cell r="D343">
            <v>73071</v>
          </cell>
        </row>
        <row r="344">
          <cell r="A344">
            <v>481</v>
          </cell>
          <cell r="D344">
            <v>73072</v>
          </cell>
        </row>
        <row r="345">
          <cell r="A345">
            <v>482</v>
          </cell>
          <cell r="D345">
            <v>70025</v>
          </cell>
        </row>
        <row r="346">
          <cell r="A346">
            <v>483</v>
          </cell>
          <cell r="D346">
            <v>70026</v>
          </cell>
        </row>
        <row r="347">
          <cell r="A347">
            <v>484</v>
          </cell>
          <cell r="D347">
            <v>70027</v>
          </cell>
        </row>
        <row r="348">
          <cell r="A348">
            <v>485</v>
          </cell>
          <cell r="D348">
            <v>70032</v>
          </cell>
        </row>
        <row r="349">
          <cell r="A349">
            <v>486</v>
          </cell>
          <cell r="D349">
            <v>70033</v>
          </cell>
        </row>
        <row r="350">
          <cell r="A350">
            <v>487</v>
          </cell>
          <cell r="D350">
            <v>71001</v>
          </cell>
        </row>
        <row r="351">
          <cell r="A351">
            <v>488</v>
          </cell>
          <cell r="D351">
            <v>71002</v>
          </cell>
        </row>
        <row r="352">
          <cell r="A352">
            <v>489</v>
          </cell>
          <cell r="D352">
            <v>71003</v>
          </cell>
        </row>
        <row r="353">
          <cell r="A353">
            <v>490</v>
          </cell>
          <cell r="D353">
            <v>71004</v>
          </cell>
        </row>
        <row r="354">
          <cell r="A354">
            <v>491</v>
          </cell>
          <cell r="D354">
            <v>71005</v>
          </cell>
        </row>
        <row r="355">
          <cell r="A355">
            <v>492</v>
          </cell>
          <cell r="D355">
            <v>71006</v>
          </cell>
        </row>
        <row r="356">
          <cell r="A356">
            <v>493</v>
          </cell>
          <cell r="D356">
            <v>71007</v>
          </cell>
        </row>
        <row r="357">
          <cell r="A357">
            <v>494</v>
          </cell>
          <cell r="D357">
            <v>71011</v>
          </cell>
        </row>
        <row r="358">
          <cell r="A358">
            <v>495</v>
          </cell>
          <cell r="D358">
            <v>71012</v>
          </cell>
        </row>
        <row r="359">
          <cell r="A359">
            <v>496</v>
          </cell>
          <cell r="D359">
            <v>71014</v>
          </cell>
        </row>
        <row r="360">
          <cell r="A360">
            <v>497</v>
          </cell>
          <cell r="D360">
            <v>71016</v>
          </cell>
        </row>
        <row r="361">
          <cell r="A361">
            <v>498</v>
          </cell>
          <cell r="D361">
            <v>73024</v>
          </cell>
        </row>
        <row r="362">
          <cell r="A362">
            <v>499</v>
          </cell>
          <cell r="D362">
            <v>73028</v>
          </cell>
        </row>
        <row r="363">
          <cell r="A363">
            <v>500</v>
          </cell>
          <cell r="D363">
            <v>73087</v>
          </cell>
        </row>
        <row r="364">
          <cell r="A364">
            <v>501</v>
          </cell>
          <cell r="D364">
            <v>70035</v>
          </cell>
        </row>
        <row r="365">
          <cell r="A365">
            <v>502</v>
          </cell>
          <cell r="D365">
            <v>70045</v>
          </cell>
        </row>
        <row r="366">
          <cell r="A366">
            <v>503</v>
          </cell>
          <cell r="D366">
            <v>70046</v>
          </cell>
        </row>
        <row r="367">
          <cell r="A367">
            <v>504</v>
          </cell>
          <cell r="D367">
            <v>70053</v>
          </cell>
        </row>
        <row r="368">
          <cell r="A368">
            <v>505</v>
          </cell>
          <cell r="D368">
            <v>70054</v>
          </cell>
        </row>
        <row r="369">
          <cell r="A369">
            <v>506</v>
          </cell>
          <cell r="D369">
            <v>70061</v>
          </cell>
        </row>
        <row r="370">
          <cell r="A370">
            <v>507</v>
          </cell>
          <cell r="D370">
            <v>70062</v>
          </cell>
        </row>
        <row r="371">
          <cell r="A371">
            <v>508</v>
          </cell>
          <cell r="D371">
            <v>70063</v>
          </cell>
        </row>
        <row r="372">
          <cell r="A372">
            <v>509</v>
          </cell>
          <cell r="D372">
            <v>70064</v>
          </cell>
        </row>
        <row r="373">
          <cell r="A373">
            <v>510</v>
          </cell>
          <cell r="D373">
            <v>70065</v>
          </cell>
        </row>
        <row r="374">
          <cell r="A374">
            <v>511</v>
          </cell>
          <cell r="D374">
            <v>70071</v>
          </cell>
        </row>
        <row r="375">
          <cell r="A375">
            <v>512</v>
          </cell>
          <cell r="D375">
            <v>70072</v>
          </cell>
        </row>
        <row r="376">
          <cell r="A376">
            <v>513</v>
          </cell>
          <cell r="D376">
            <v>70073</v>
          </cell>
        </row>
        <row r="377">
          <cell r="A377">
            <v>514</v>
          </cell>
          <cell r="D377">
            <v>71015</v>
          </cell>
        </row>
        <row r="378">
          <cell r="A378">
            <v>515</v>
          </cell>
          <cell r="D378">
            <v>73011</v>
          </cell>
        </row>
        <row r="379">
          <cell r="A379">
            <v>516</v>
          </cell>
          <cell r="D379">
            <v>73034</v>
          </cell>
        </row>
        <row r="380">
          <cell r="A380">
            <v>517</v>
          </cell>
          <cell r="D380">
            <v>76981</v>
          </cell>
        </row>
        <row r="381">
          <cell r="A381">
            <v>518</v>
          </cell>
          <cell r="D381">
            <v>77981</v>
          </cell>
        </row>
        <row r="382">
          <cell r="A382">
            <v>519</v>
          </cell>
          <cell r="D382">
            <v>74012</v>
          </cell>
        </row>
        <row r="383">
          <cell r="A383">
            <v>520</v>
          </cell>
          <cell r="D383">
            <v>20031</v>
          </cell>
        </row>
        <row r="384">
          <cell r="A384">
            <v>521</v>
          </cell>
          <cell r="D384">
            <v>73063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D9D7E-C9E6-4887-A963-EAB006E55B39}">
  <dimension ref="A1:M119"/>
  <sheetViews>
    <sheetView tabSelected="1" workbookViewId="0">
      <selection activeCell="C7" sqref="C7:D20"/>
    </sheetView>
  </sheetViews>
  <sheetFormatPr defaultRowHeight="14.75" x14ac:dyDescent="0.75"/>
  <cols>
    <col min="1" max="1" width="6.453125" customWidth="1"/>
    <col min="2" max="3" width="12.7265625" customWidth="1"/>
    <col min="4" max="4" width="13.40625" customWidth="1"/>
    <col min="5" max="5" width="10" customWidth="1"/>
    <col min="6" max="6" width="17.1328125" customWidth="1"/>
    <col min="7" max="7" width="12.453125" customWidth="1"/>
    <col min="8" max="8" width="16.58984375" customWidth="1"/>
    <col min="10" max="10" width="26.5" customWidth="1"/>
    <col min="11" max="11" width="18.04296875" customWidth="1"/>
    <col min="12" max="12" width="19.953125" customWidth="1"/>
    <col min="13" max="13" width="25.6796875" customWidth="1"/>
  </cols>
  <sheetData>
    <row r="1" spans="1:13" x14ac:dyDescent="0.75">
      <c r="A1" t="s">
        <v>151</v>
      </c>
      <c r="B1" t="s">
        <v>152</v>
      </c>
      <c r="C1" t="s">
        <v>165</v>
      </c>
      <c r="D1" t="s">
        <v>163</v>
      </c>
      <c r="E1" t="s">
        <v>164</v>
      </c>
      <c r="F1" t="s">
        <v>153</v>
      </c>
      <c r="G1" t="s">
        <v>155</v>
      </c>
      <c r="H1" t="s">
        <v>154</v>
      </c>
      <c r="I1" t="s">
        <v>162</v>
      </c>
      <c r="J1" t="s">
        <v>161</v>
      </c>
      <c r="K1" t="s">
        <v>158</v>
      </c>
      <c r="L1" t="s">
        <v>159</v>
      </c>
      <c r="M1" t="s">
        <v>160</v>
      </c>
    </row>
    <row r="2" spans="1:13" x14ac:dyDescent="0.75">
      <c r="A2">
        <v>1</v>
      </c>
      <c r="B2">
        <v>18</v>
      </c>
      <c r="C2">
        <f>MATCH(F2,F:F,0)</f>
        <v>2</v>
      </c>
      <c r="D2" t="s">
        <v>157</v>
      </c>
      <c r="E2">
        <v>18</v>
      </c>
      <c r="F2" t="s">
        <v>157</v>
      </c>
      <c r="G2" t="s">
        <v>157</v>
      </c>
      <c r="H2">
        <v>1</v>
      </c>
      <c r="I2">
        <v>1</v>
      </c>
      <c r="J2">
        <v>1</v>
      </c>
      <c r="K2">
        <v>0</v>
      </c>
      <c r="L2">
        <v>0</v>
      </c>
      <c r="M2" t="s">
        <v>156</v>
      </c>
    </row>
    <row r="3" spans="1:13" x14ac:dyDescent="0.75">
      <c r="A3">
        <v>2</v>
      </c>
      <c r="B3">
        <v>18</v>
      </c>
      <c r="C3">
        <f t="shared" ref="C3:C66" si="0">MATCH(F3,F:F,0)</f>
        <v>3</v>
      </c>
      <c r="D3">
        <v>90</v>
      </c>
      <c r="E3">
        <v>18</v>
      </c>
      <c r="F3">
        <v>90</v>
      </c>
      <c r="G3" t="s">
        <v>157</v>
      </c>
      <c r="H3">
        <v>1</v>
      </c>
      <c r="I3">
        <v>1</v>
      </c>
      <c r="J3">
        <v>1</v>
      </c>
      <c r="K3">
        <v>0</v>
      </c>
      <c r="L3">
        <v>0</v>
      </c>
      <c r="M3" t="s">
        <v>156</v>
      </c>
    </row>
    <row r="4" spans="1:13" x14ac:dyDescent="0.75">
      <c r="A4">
        <v>3</v>
      </c>
      <c r="B4">
        <v>18</v>
      </c>
      <c r="C4">
        <f t="shared" si="0"/>
        <v>3</v>
      </c>
      <c r="D4" t="s">
        <v>157</v>
      </c>
      <c r="E4">
        <v>18</v>
      </c>
      <c r="F4">
        <v>90</v>
      </c>
      <c r="G4">
        <v>457</v>
      </c>
      <c r="H4">
        <v>1</v>
      </c>
      <c r="I4">
        <v>1</v>
      </c>
      <c r="J4">
        <v>1</v>
      </c>
      <c r="M4" t="s">
        <v>156</v>
      </c>
    </row>
    <row r="5" spans="1:13" x14ac:dyDescent="0.75">
      <c r="A5">
        <v>4</v>
      </c>
      <c r="B5">
        <v>18</v>
      </c>
      <c r="C5">
        <f t="shared" si="0"/>
        <v>3</v>
      </c>
      <c r="D5" t="s">
        <v>157</v>
      </c>
      <c r="E5">
        <v>18</v>
      </c>
      <c r="F5">
        <v>90</v>
      </c>
      <c r="G5">
        <v>458</v>
      </c>
      <c r="H5">
        <v>1</v>
      </c>
      <c r="I5">
        <v>1</v>
      </c>
      <c r="J5">
        <v>1</v>
      </c>
      <c r="M5" t="s">
        <v>156</v>
      </c>
    </row>
    <row r="6" spans="1:13" x14ac:dyDescent="0.75">
      <c r="A6">
        <v>5</v>
      </c>
      <c r="B6">
        <v>18</v>
      </c>
      <c r="C6">
        <f t="shared" si="0"/>
        <v>3</v>
      </c>
      <c r="D6" t="s">
        <v>157</v>
      </c>
      <c r="E6">
        <v>18</v>
      </c>
      <c r="F6">
        <v>90</v>
      </c>
      <c r="G6">
        <v>459</v>
      </c>
      <c r="H6">
        <v>1</v>
      </c>
      <c r="I6">
        <v>1</v>
      </c>
      <c r="J6">
        <v>1</v>
      </c>
      <c r="M6" t="s">
        <v>156</v>
      </c>
    </row>
    <row r="7" spans="1:13" x14ac:dyDescent="0.75">
      <c r="A7">
        <v>6</v>
      </c>
      <c r="B7">
        <v>18</v>
      </c>
      <c r="C7">
        <f t="shared" si="0"/>
        <v>3</v>
      </c>
      <c r="D7" t="s">
        <v>157</v>
      </c>
      <c r="E7">
        <v>18</v>
      </c>
      <c r="F7">
        <v>90</v>
      </c>
      <c r="G7">
        <v>460</v>
      </c>
      <c r="H7">
        <v>1</v>
      </c>
      <c r="I7">
        <v>1</v>
      </c>
      <c r="J7">
        <v>1</v>
      </c>
      <c r="M7" t="s">
        <v>156</v>
      </c>
    </row>
    <row r="8" spans="1:13" x14ac:dyDescent="0.75">
      <c r="A8">
        <v>7</v>
      </c>
      <c r="B8">
        <v>18</v>
      </c>
      <c r="C8">
        <f t="shared" si="0"/>
        <v>3</v>
      </c>
      <c r="D8" t="s">
        <v>157</v>
      </c>
      <c r="E8">
        <v>18</v>
      </c>
      <c r="F8">
        <v>90</v>
      </c>
      <c r="G8">
        <v>461</v>
      </c>
      <c r="H8">
        <v>1</v>
      </c>
      <c r="I8">
        <v>1</v>
      </c>
      <c r="J8">
        <v>1</v>
      </c>
      <c r="M8" t="s">
        <v>156</v>
      </c>
    </row>
    <row r="9" spans="1:13" x14ac:dyDescent="0.75">
      <c r="A9">
        <v>8</v>
      </c>
      <c r="B9">
        <v>18</v>
      </c>
      <c r="C9">
        <f t="shared" si="0"/>
        <v>9</v>
      </c>
      <c r="D9">
        <v>91</v>
      </c>
      <c r="E9">
        <v>18</v>
      </c>
      <c r="F9">
        <v>91</v>
      </c>
      <c r="G9" t="s">
        <v>157</v>
      </c>
      <c r="H9">
        <v>1</v>
      </c>
      <c r="I9">
        <v>1</v>
      </c>
      <c r="J9">
        <v>1</v>
      </c>
      <c r="K9">
        <v>0</v>
      </c>
      <c r="L9">
        <v>0</v>
      </c>
      <c r="M9" t="s">
        <v>156</v>
      </c>
    </row>
    <row r="10" spans="1:13" x14ac:dyDescent="0.75">
      <c r="A10">
        <v>9</v>
      </c>
      <c r="B10">
        <v>18</v>
      </c>
      <c r="C10">
        <f t="shared" si="0"/>
        <v>9</v>
      </c>
      <c r="D10" t="s">
        <v>157</v>
      </c>
      <c r="E10">
        <v>18</v>
      </c>
      <c r="F10">
        <v>91</v>
      </c>
      <c r="G10">
        <v>471</v>
      </c>
      <c r="H10">
        <v>1</v>
      </c>
      <c r="I10">
        <v>1</v>
      </c>
      <c r="J10">
        <v>1</v>
      </c>
      <c r="M10" t="s">
        <v>156</v>
      </c>
    </row>
    <row r="11" spans="1:13" x14ac:dyDescent="0.75">
      <c r="A11">
        <v>10</v>
      </c>
      <c r="B11">
        <v>18</v>
      </c>
      <c r="C11">
        <f t="shared" si="0"/>
        <v>9</v>
      </c>
      <c r="D11" t="s">
        <v>157</v>
      </c>
      <c r="E11">
        <v>18</v>
      </c>
      <c r="F11">
        <v>91</v>
      </c>
      <c r="G11">
        <v>462</v>
      </c>
      <c r="H11">
        <v>1</v>
      </c>
      <c r="I11">
        <v>1</v>
      </c>
      <c r="J11">
        <v>1</v>
      </c>
      <c r="M11" t="s">
        <v>156</v>
      </c>
    </row>
    <row r="12" spans="1:13" x14ac:dyDescent="0.75">
      <c r="A12">
        <v>11</v>
      </c>
      <c r="B12">
        <v>18</v>
      </c>
      <c r="C12">
        <f t="shared" si="0"/>
        <v>9</v>
      </c>
      <c r="D12" t="s">
        <v>157</v>
      </c>
      <c r="E12">
        <v>18</v>
      </c>
      <c r="F12">
        <v>91</v>
      </c>
      <c r="G12">
        <v>482</v>
      </c>
      <c r="H12">
        <v>1</v>
      </c>
      <c r="I12">
        <v>1</v>
      </c>
      <c r="J12">
        <v>1</v>
      </c>
      <c r="M12" t="s">
        <v>156</v>
      </c>
    </row>
    <row r="13" spans="1:13" x14ac:dyDescent="0.75">
      <c r="A13">
        <v>12</v>
      </c>
      <c r="B13">
        <v>18</v>
      </c>
      <c r="C13">
        <f t="shared" si="0"/>
        <v>9</v>
      </c>
      <c r="D13" t="s">
        <v>157</v>
      </c>
      <c r="E13">
        <v>18</v>
      </c>
      <c r="F13">
        <v>91</v>
      </c>
      <c r="G13">
        <v>483</v>
      </c>
      <c r="H13">
        <v>1</v>
      </c>
      <c r="I13">
        <v>1</v>
      </c>
      <c r="J13">
        <v>1</v>
      </c>
      <c r="M13" t="s">
        <v>156</v>
      </c>
    </row>
    <row r="14" spans="1:13" x14ac:dyDescent="0.75">
      <c r="A14">
        <v>13</v>
      </c>
      <c r="B14">
        <v>18</v>
      </c>
      <c r="C14">
        <f t="shared" si="0"/>
        <v>9</v>
      </c>
      <c r="D14" t="s">
        <v>157</v>
      </c>
      <c r="E14">
        <v>18</v>
      </c>
      <c r="F14">
        <v>91</v>
      </c>
      <c r="G14">
        <v>484</v>
      </c>
      <c r="H14">
        <v>1</v>
      </c>
      <c r="I14">
        <v>1</v>
      </c>
      <c r="J14">
        <v>1</v>
      </c>
      <c r="M14" t="s">
        <v>156</v>
      </c>
    </row>
    <row r="15" spans="1:13" x14ac:dyDescent="0.75">
      <c r="A15">
        <v>14</v>
      </c>
      <c r="B15">
        <v>18</v>
      </c>
      <c r="C15">
        <f t="shared" si="0"/>
        <v>15</v>
      </c>
      <c r="D15">
        <v>92</v>
      </c>
      <c r="E15">
        <v>18</v>
      </c>
      <c r="F15">
        <v>92</v>
      </c>
      <c r="G15" t="s">
        <v>157</v>
      </c>
      <c r="H15">
        <v>1</v>
      </c>
      <c r="I15">
        <v>1</v>
      </c>
      <c r="J15">
        <v>1</v>
      </c>
      <c r="K15">
        <v>0</v>
      </c>
      <c r="L15">
        <v>0</v>
      </c>
      <c r="M15" t="s">
        <v>156</v>
      </c>
    </row>
    <row r="16" spans="1:13" x14ac:dyDescent="0.75">
      <c r="A16">
        <v>15</v>
      </c>
      <c r="B16">
        <v>18</v>
      </c>
      <c r="C16">
        <f t="shared" si="0"/>
        <v>15</v>
      </c>
      <c r="D16" t="s">
        <v>157</v>
      </c>
      <c r="E16">
        <v>18</v>
      </c>
      <c r="F16">
        <v>92</v>
      </c>
      <c r="G16">
        <v>463</v>
      </c>
      <c r="H16">
        <v>1</v>
      </c>
      <c r="I16">
        <v>1</v>
      </c>
      <c r="J16">
        <v>1</v>
      </c>
      <c r="M16" t="s">
        <v>156</v>
      </c>
    </row>
    <row r="17" spans="1:13" x14ac:dyDescent="0.75">
      <c r="A17">
        <v>16</v>
      </c>
      <c r="B17">
        <v>18</v>
      </c>
      <c r="C17">
        <f t="shared" si="0"/>
        <v>15</v>
      </c>
      <c r="D17" t="s">
        <v>157</v>
      </c>
      <c r="E17">
        <v>18</v>
      </c>
      <c r="F17">
        <v>92</v>
      </c>
      <c r="G17">
        <v>485</v>
      </c>
      <c r="H17">
        <v>1</v>
      </c>
      <c r="I17">
        <v>1</v>
      </c>
      <c r="J17">
        <v>1</v>
      </c>
      <c r="M17" t="s">
        <v>156</v>
      </c>
    </row>
    <row r="18" spans="1:13" x14ac:dyDescent="0.75">
      <c r="A18">
        <v>17</v>
      </c>
      <c r="B18">
        <v>18</v>
      </c>
      <c r="C18">
        <f t="shared" si="0"/>
        <v>15</v>
      </c>
      <c r="D18" t="s">
        <v>157</v>
      </c>
      <c r="E18">
        <v>18</v>
      </c>
      <c r="F18">
        <v>92</v>
      </c>
      <c r="G18">
        <v>486</v>
      </c>
      <c r="H18">
        <v>1</v>
      </c>
      <c r="I18">
        <v>1</v>
      </c>
      <c r="J18">
        <v>1</v>
      </c>
      <c r="M18" t="s">
        <v>156</v>
      </c>
    </row>
    <row r="19" spans="1:13" x14ac:dyDescent="0.75">
      <c r="A19">
        <v>18</v>
      </c>
      <c r="B19">
        <v>18</v>
      </c>
      <c r="C19">
        <f t="shared" si="0"/>
        <v>15</v>
      </c>
      <c r="D19" t="s">
        <v>157</v>
      </c>
      <c r="E19">
        <v>18</v>
      </c>
      <c r="F19">
        <v>92</v>
      </c>
      <c r="G19">
        <v>464</v>
      </c>
      <c r="H19">
        <v>1</v>
      </c>
      <c r="I19">
        <v>1</v>
      </c>
      <c r="J19">
        <v>1</v>
      </c>
      <c r="M19" t="s">
        <v>156</v>
      </c>
    </row>
    <row r="20" spans="1:13" x14ac:dyDescent="0.75">
      <c r="A20">
        <v>19</v>
      </c>
      <c r="B20">
        <v>18</v>
      </c>
      <c r="C20">
        <f t="shared" si="0"/>
        <v>15</v>
      </c>
      <c r="D20" t="s">
        <v>157</v>
      </c>
      <c r="E20">
        <v>18</v>
      </c>
      <c r="F20">
        <v>92</v>
      </c>
      <c r="G20">
        <v>501</v>
      </c>
      <c r="H20">
        <v>1</v>
      </c>
      <c r="I20">
        <v>1</v>
      </c>
      <c r="J20">
        <v>1</v>
      </c>
      <c r="M20" t="s">
        <v>156</v>
      </c>
    </row>
    <row r="21" spans="1:13" x14ac:dyDescent="0.75">
      <c r="A21">
        <v>20</v>
      </c>
      <c r="B21">
        <v>18</v>
      </c>
      <c r="C21">
        <f t="shared" si="0"/>
        <v>21</v>
      </c>
      <c r="D21">
        <v>93</v>
      </c>
      <c r="E21">
        <v>18</v>
      </c>
      <c r="F21">
        <v>93</v>
      </c>
      <c r="G21" t="s">
        <v>157</v>
      </c>
      <c r="H21">
        <v>1</v>
      </c>
      <c r="I21">
        <v>1</v>
      </c>
      <c r="J21">
        <v>1</v>
      </c>
      <c r="K21">
        <v>0</v>
      </c>
      <c r="L21">
        <v>0</v>
      </c>
      <c r="M21" t="s">
        <v>156</v>
      </c>
    </row>
    <row r="22" spans="1:13" x14ac:dyDescent="0.75">
      <c r="A22">
        <v>21</v>
      </c>
      <c r="B22">
        <v>18</v>
      </c>
      <c r="C22">
        <f t="shared" si="0"/>
        <v>21</v>
      </c>
      <c r="D22" t="s">
        <v>157</v>
      </c>
      <c r="E22">
        <v>18</v>
      </c>
      <c r="F22">
        <v>93</v>
      </c>
      <c r="G22">
        <v>502</v>
      </c>
      <c r="H22">
        <v>1</v>
      </c>
      <c r="I22">
        <v>1</v>
      </c>
      <c r="J22">
        <v>1</v>
      </c>
      <c r="M22" t="s">
        <v>156</v>
      </c>
    </row>
    <row r="23" spans="1:13" x14ac:dyDescent="0.75">
      <c r="A23">
        <v>22</v>
      </c>
      <c r="B23">
        <v>18</v>
      </c>
      <c r="C23">
        <f t="shared" si="0"/>
        <v>21</v>
      </c>
      <c r="D23" t="s">
        <v>157</v>
      </c>
      <c r="E23">
        <v>18</v>
      </c>
      <c r="F23">
        <v>93</v>
      </c>
      <c r="G23">
        <v>503</v>
      </c>
      <c r="H23">
        <v>1</v>
      </c>
      <c r="I23">
        <v>1</v>
      </c>
      <c r="J23">
        <v>1</v>
      </c>
      <c r="M23" t="s">
        <v>156</v>
      </c>
    </row>
    <row r="24" spans="1:13" x14ac:dyDescent="0.75">
      <c r="A24">
        <v>23</v>
      </c>
      <c r="B24">
        <v>18</v>
      </c>
      <c r="C24">
        <f t="shared" si="0"/>
        <v>24</v>
      </c>
      <c r="D24">
        <v>94</v>
      </c>
      <c r="E24">
        <v>18</v>
      </c>
      <c r="F24">
        <v>94</v>
      </c>
      <c r="G24" t="s">
        <v>157</v>
      </c>
      <c r="H24">
        <v>1</v>
      </c>
      <c r="I24">
        <v>1</v>
      </c>
      <c r="J24">
        <v>1</v>
      </c>
      <c r="K24">
        <v>0</v>
      </c>
      <c r="L24">
        <v>0</v>
      </c>
      <c r="M24" t="s">
        <v>156</v>
      </c>
    </row>
    <row r="25" spans="1:13" x14ac:dyDescent="0.75">
      <c r="A25">
        <v>24</v>
      </c>
      <c r="B25">
        <v>18</v>
      </c>
      <c r="C25">
        <f t="shared" si="0"/>
        <v>24</v>
      </c>
      <c r="D25" t="s">
        <v>157</v>
      </c>
      <c r="E25">
        <v>18</v>
      </c>
      <c r="F25">
        <v>94</v>
      </c>
      <c r="G25">
        <v>504</v>
      </c>
      <c r="H25">
        <v>1</v>
      </c>
      <c r="I25">
        <v>1</v>
      </c>
      <c r="J25">
        <v>1</v>
      </c>
      <c r="M25" t="s">
        <v>156</v>
      </c>
    </row>
    <row r="26" spans="1:13" x14ac:dyDescent="0.75">
      <c r="A26">
        <v>25</v>
      </c>
      <c r="B26">
        <v>18</v>
      </c>
      <c r="C26">
        <f t="shared" si="0"/>
        <v>24</v>
      </c>
      <c r="D26" t="s">
        <v>157</v>
      </c>
      <c r="E26">
        <v>18</v>
      </c>
      <c r="F26">
        <v>94</v>
      </c>
      <c r="G26">
        <v>505</v>
      </c>
      <c r="H26">
        <v>1</v>
      </c>
      <c r="I26">
        <v>1</v>
      </c>
      <c r="J26">
        <v>1</v>
      </c>
      <c r="M26" t="s">
        <v>156</v>
      </c>
    </row>
    <row r="27" spans="1:13" x14ac:dyDescent="0.75">
      <c r="A27">
        <v>26</v>
      </c>
      <c r="B27">
        <v>18</v>
      </c>
      <c r="C27">
        <f t="shared" si="0"/>
        <v>27</v>
      </c>
      <c r="D27">
        <v>95</v>
      </c>
      <c r="E27">
        <v>18</v>
      </c>
      <c r="F27">
        <v>95</v>
      </c>
      <c r="G27" t="s">
        <v>157</v>
      </c>
      <c r="H27">
        <v>1</v>
      </c>
      <c r="I27">
        <v>1</v>
      </c>
      <c r="J27">
        <v>1</v>
      </c>
      <c r="K27">
        <v>0</v>
      </c>
      <c r="L27">
        <v>0</v>
      </c>
      <c r="M27" t="s">
        <v>156</v>
      </c>
    </row>
    <row r="28" spans="1:13" x14ac:dyDescent="0.75">
      <c r="A28">
        <v>27</v>
      </c>
      <c r="B28">
        <v>18</v>
      </c>
      <c r="C28">
        <f t="shared" si="0"/>
        <v>27</v>
      </c>
      <c r="D28" t="s">
        <v>157</v>
      </c>
      <c r="E28">
        <v>18</v>
      </c>
      <c r="F28">
        <v>95</v>
      </c>
      <c r="G28">
        <v>506</v>
      </c>
      <c r="H28">
        <v>1</v>
      </c>
      <c r="I28">
        <v>1</v>
      </c>
      <c r="J28">
        <v>1</v>
      </c>
      <c r="M28" t="s">
        <v>156</v>
      </c>
    </row>
    <row r="29" spans="1:13" x14ac:dyDescent="0.75">
      <c r="A29">
        <v>28</v>
      </c>
      <c r="B29">
        <v>18</v>
      </c>
      <c r="C29">
        <f t="shared" si="0"/>
        <v>27</v>
      </c>
      <c r="D29" t="s">
        <v>157</v>
      </c>
      <c r="E29">
        <v>18</v>
      </c>
      <c r="F29">
        <v>95</v>
      </c>
      <c r="G29">
        <v>507</v>
      </c>
      <c r="H29">
        <v>1</v>
      </c>
      <c r="I29">
        <v>1</v>
      </c>
      <c r="J29">
        <v>1</v>
      </c>
      <c r="M29" t="s">
        <v>156</v>
      </c>
    </row>
    <row r="30" spans="1:13" x14ac:dyDescent="0.75">
      <c r="A30">
        <v>29</v>
      </c>
      <c r="B30">
        <v>18</v>
      </c>
      <c r="C30">
        <f t="shared" si="0"/>
        <v>27</v>
      </c>
      <c r="D30" t="s">
        <v>157</v>
      </c>
      <c r="E30">
        <v>18</v>
      </c>
      <c r="F30">
        <v>95</v>
      </c>
      <c r="G30">
        <v>508</v>
      </c>
      <c r="H30">
        <v>1</v>
      </c>
      <c r="I30">
        <v>1</v>
      </c>
      <c r="J30">
        <v>1</v>
      </c>
      <c r="M30" t="s">
        <v>156</v>
      </c>
    </row>
    <row r="31" spans="1:13" x14ac:dyDescent="0.75">
      <c r="A31">
        <v>30</v>
      </c>
      <c r="B31">
        <v>18</v>
      </c>
      <c r="C31">
        <f t="shared" si="0"/>
        <v>27</v>
      </c>
      <c r="D31" t="s">
        <v>157</v>
      </c>
      <c r="E31">
        <v>18</v>
      </c>
      <c r="F31">
        <v>95</v>
      </c>
      <c r="G31">
        <v>509</v>
      </c>
      <c r="H31">
        <v>1</v>
      </c>
      <c r="I31">
        <v>1</v>
      </c>
      <c r="J31">
        <v>1</v>
      </c>
      <c r="M31" t="s">
        <v>156</v>
      </c>
    </row>
    <row r="32" spans="1:13" x14ac:dyDescent="0.75">
      <c r="A32">
        <v>31</v>
      </c>
      <c r="B32">
        <v>18</v>
      </c>
      <c r="C32">
        <f t="shared" si="0"/>
        <v>27</v>
      </c>
      <c r="D32" t="s">
        <v>157</v>
      </c>
      <c r="E32">
        <v>18</v>
      </c>
      <c r="F32">
        <v>95</v>
      </c>
      <c r="G32">
        <v>510</v>
      </c>
      <c r="H32">
        <v>1</v>
      </c>
      <c r="I32">
        <v>1</v>
      </c>
      <c r="J32">
        <v>1</v>
      </c>
      <c r="M32" t="s">
        <v>156</v>
      </c>
    </row>
    <row r="33" spans="1:13" x14ac:dyDescent="0.75">
      <c r="A33">
        <v>32</v>
      </c>
      <c r="B33">
        <v>18</v>
      </c>
      <c r="C33">
        <f t="shared" si="0"/>
        <v>33</v>
      </c>
      <c r="D33">
        <v>96</v>
      </c>
      <c r="E33">
        <v>18</v>
      </c>
      <c r="F33">
        <v>96</v>
      </c>
      <c r="G33" t="s">
        <v>157</v>
      </c>
      <c r="H33">
        <v>1</v>
      </c>
      <c r="I33">
        <v>1</v>
      </c>
      <c r="J33">
        <v>1</v>
      </c>
      <c r="K33">
        <v>0</v>
      </c>
      <c r="L33">
        <v>0</v>
      </c>
      <c r="M33" t="s">
        <v>156</v>
      </c>
    </row>
    <row r="34" spans="1:13" x14ac:dyDescent="0.75">
      <c r="A34">
        <v>33</v>
      </c>
      <c r="B34">
        <v>18</v>
      </c>
      <c r="C34">
        <f t="shared" si="0"/>
        <v>33</v>
      </c>
      <c r="D34" t="s">
        <v>157</v>
      </c>
      <c r="E34">
        <v>18</v>
      </c>
      <c r="F34">
        <v>96</v>
      </c>
      <c r="G34">
        <v>511</v>
      </c>
      <c r="H34">
        <v>1</v>
      </c>
      <c r="I34">
        <v>1</v>
      </c>
      <c r="J34">
        <v>1</v>
      </c>
      <c r="M34" t="s">
        <v>156</v>
      </c>
    </row>
    <row r="35" spans="1:13" x14ac:dyDescent="0.75">
      <c r="A35">
        <v>34</v>
      </c>
      <c r="B35">
        <v>18</v>
      </c>
      <c r="C35">
        <f t="shared" si="0"/>
        <v>33</v>
      </c>
      <c r="D35" t="s">
        <v>157</v>
      </c>
      <c r="E35">
        <v>18</v>
      </c>
      <c r="F35">
        <v>96</v>
      </c>
      <c r="G35">
        <v>512</v>
      </c>
      <c r="H35">
        <v>1</v>
      </c>
      <c r="I35">
        <v>1</v>
      </c>
      <c r="J35">
        <v>1</v>
      </c>
      <c r="M35" t="s">
        <v>156</v>
      </c>
    </row>
    <row r="36" spans="1:13" x14ac:dyDescent="0.75">
      <c r="A36">
        <v>35</v>
      </c>
      <c r="B36">
        <v>18</v>
      </c>
      <c r="C36">
        <f t="shared" si="0"/>
        <v>33</v>
      </c>
      <c r="D36" t="s">
        <v>157</v>
      </c>
      <c r="E36">
        <v>18</v>
      </c>
      <c r="F36">
        <v>96</v>
      </c>
      <c r="G36">
        <v>513</v>
      </c>
      <c r="H36">
        <v>1</v>
      </c>
      <c r="I36">
        <v>1</v>
      </c>
      <c r="J36">
        <v>1</v>
      </c>
      <c r="M36" t="s">
        <v>156</v>
      </c>
    </row>
    <row r="37" spans="1:13" x14ac:dyDescent="0.75">
      <c r="A37">
        <v>36</v>
      </c>
      <c r="B37">
        <v>18</v>
      </c>
      <c r="C37">
        <f t="shared" si="0"/>
        <v>37</v>
      </c>
      <c r="D37">
        <v>97</v>
      </c>
      <c r="E37">
        <v>18</v>
      </c>
      <c r="F37">
        <v>97</v>
      </c>
      <c r="G37" t="s">
        <v>157</v>
      </c>
      <c r="H37">
        <v>1</v>
      </c>
      <c r="I37">
        <v>1</v>
      </c>
      <c r="J37">
        <v>1</v>
      </c>
      <c r="K37">
        <v>0</v>
      </c>
      <c r="L37">
        <v>0</v>
      </c>
      <c r="M37" t="s">
        <v>156</v>
      </c>
    </row>
    <row r="38" spans="1:13" x14ac:dyDescent="0.75">
      <c r="A38">
        <v>37</v>
      </c>
      <c r="B38">
        <v>18</v>
      </c>
      <c r="C38">
        <f t="shared" si="0"/>
        <v>37</v>
      </c>
      <c r="D38" t="s">
        <v>157</v>
      </c>
      <c r="E38">
        <v>18</v>
      </c>
      <c r="F38">
        <v>97</v>
      </c>
      <c r="G38">
        <v>465</v>
      </c>
      <c r="H38">
        <v>1</v>
      </c>
      <c r="I38">
        <v>1</v>
      </c>
      <c r="J38">
        <v>1</v>
      </c>
      <c r="M38" t="s">
        <v>156</v>
      </c>
    </row>
    <row r="39" spans="1:13" x14ac:dyDescent="0.75">
      <c r="A39">
        <v>38</v>
      </c>
      <c r="B39">
        <v>18</v>
      </c>
      <c r="C39">
        <f t="shared" si="0"/>
        <v>37</v>
      </c>
      <c r="D39" t="s">
        <v>157</v>
      </c>
      <c r="E39">
        <v>18</v>
      </c>
      <c r="F39">
        <v>97</v>
      </c>
      <c r="G39">
        <v>466</v>
      </c>
      <c r="H39">
        <v>1</v>
      </c>
      <c r="I39">
        <v>1</v>
      </c>
      <c r="J39">
        <v>1</v>
      </c>
      <c r="M39" t="s">
        <v>156</v>
      </c>
    </row>
    <row r="40" spans="1:13" x14ac:dyDescent="0.75">
      <c r="A40">
        <v>39</v>
      </c>
      <c r="B40">
        <v>19</v>
      </c>
      <c r="C40">
        <f t="shared" si="0"/>
        <v>37</v>
      </c>
      <c r="D40" t="s">
        <v>157</v>
      </c>
      <c r="E40">
        <v>19</v>
      </c>
      <c r="F40">
        <v>97</v>
      </c>
      <c r="G40" t="s">
        <v>157</v>
      </c>
      <c r="H40">
        <v>1</v>
      </c>
      <c r="I40">
        <v>1</v>
      </c>
      <c r="J40">
        <v>1</v>
      </c>
      <c r="K40">
        <v>0</v>
      </c>
      <c r="L40">
        <v>0</v>
      </c>
      <c r="M40" t="s">
        <v>156</v>
      </c>
    </row>
    <row r="41" spans="1:13" x14ac:dyDescent="0.75">
      <c r="A41">
        <v>40</v>
      </c>
      <c r="B41">
        <v>19</v>
      </c>
      <c r="C41">
        <f t="shared" si="0"/>
        <v>41</v>
      </c>
      <c r="D41">
        <v>98</v>
      </c>
      <c r="E41">
        <v>19</v>
      </c>
      <c r="F41">
        <v>98</v>
      </c>
      <c r="G41" t="s">
        <v>157</v>
      </c>
      <c r="H41">
        <v>1</v>
      </c>
      <c r="I41">
        <v>1</v>
      </c>
      <c r="J41">
        <v>1</v>
      </c>
      <c r="K41">
        <v>0</v>
      </c>
      <c r="L41">
        <v>0</v>
      </c>
      <c r="M41" t="s">
        <v>156</v>
      </c>
    </row>
    <row r="42" spans="1:13" x14ac:dyDescent="0.75">
      <c r="A42">
        <v>41</v>
      </c>
      <c r="B42">
        <v>19</v>
      </c>
      <c r="C42">
        <f t="shared" si="0"/>
        <v>41</v>
      </c>
      <c r="D42" t="s">
        <v>157</v>
      </c>
      <c r="E42">
        <v>19</v>
      </c>
      <c r="F42">
        <v>98</v>
      </c>
      <c r="G42">
        <v>487</v>
      </c>
      <c r="H42">
        <v>1</v>
      </c>
      <c r="I42">
        <v>1</v>
      </c>
      <c r="J42">
        <v>1</v>
      </c>
      <c r="M42" t="s">
        <v>156</v>
      </c>
    </row>
    <row r="43" spans="1:13" x14ac:dyDescent="0.75">
      <c r="A43">
        <v>42</v>
      </c>
      <c r="B43">
        <v>19</v>
      </c>
      <c r="C43">
        <f t="shared" si="0"/>
        <v>41</v>
      </c>
      <c r="D43" t="s">
        <v>157</v>
      </c>
      <c r="E43">
        <v>19</v>
      </c>
      <c r="F43">
        <v>98</v>
      </c>
      <c r="G43">
        <v>488</v>
      </c>
      <c r="H43">
        <v>1</v>
      </c>
      <c r="I43">
        <v>1</v>
      </c>
      <c r="J43">
        <v>1</v>
      </c>
      <c r="M43" t="s">
        <v>156</v>
      </c>
    </row>
    <row r="44" spans="1:13" x14ac:dyDescent="0.75">
      <c r="A44">
        <v>43</v>
      </c>
      <c r="B44">
        <v>19</v>
      </c>
      <c r="C44">
        <f t="shared" si="0"/>
        <v>41</v>
      </c>
      <c r="D44" t="s">
        <v>157</v>
      </c>
      <c r="E44">
        <v>19</v>
      </c>
      <c r="F44">
        <v>98</v>
      </c>
      <c r="G44">
        <v>489</v>
      </c>
      <c r="H44">
        <v>1</v>
      </c>
      <c r="I44">
        <v>1</v>
      </c>
      <c r="J44">
        <v>1</v>
      </c>
      <c r="M44" t="s">
        <v>156</v>
      </c>
    </row>
    <row r="45" spans="1:13" x14ac:dyDescent="0.75">
      <c r="A45">
        <v>44</v>
      </c>
      <c r="B45">
        <v>19</v>
      </c>
      <c r="C45">
        <f t="shared" si="0"/>
        <v>41</v>
      </c>
      <c r="D45" t="s">
        <v>157</v>
      </c>
      <c r="E45">
        <v>19</v>
      </c>
      <c r="F45">
        <v>98</v>
      </c>
      <c r="G45">
        <v>490</v>
      </c>
      <c r="H45">
        <v>1</v>
      </c>
      <c r="I45">
        <v>1</v>
      </c>
      <c r="J45">
        <v>1</v>
      </c>
      <c r="M45" t="s">
        <v>156</v>
      </c>
    </row>
    <row r="46" spans="1:13" x14ac:dyDescent="0.75">
      <c r="A46">
        <v>45</v>
      </c>
      <c r="B46">
        <v>19</v>
      </c>
      <c r="C46">
        <f t="shared" si="0"/>
        <v>41</v>
      </c>
      <c r="D46" t="s">
        <v>157</v>
      </c>
      <c r="E46">
        <v>19</v>
      </c>
      <c r="F46">
        <v>98</v>
      </c>
      <c r="G46">
        <v>491</v>
      </c>
      <c r="H46">
        <v>1</v>
      </c>
      <c r="I46">
        <v>1</v>
      </c>
      <c r="J46">
        <v>1</v>
      </c>
      <c r="M46" t="s">
        <v>156</v>
      </c>
    </row>
    <row r="47" spans="1:13" x14ac:dyDescent="0.75">
      <c r="A47">
        <v>46</v>
      </c>
      <c r="B47">
        <v>19</v>
      </c>
      <c r="C47">
        <f t="shared" si="0"/>
        <v>41</v>
      </c>
      <c r="D47" t="s">
        <v>157</v>
      </c>
      <c r="E47">
        <v>19</v>
      </c>
      <c r="F47">
        <v>98</v>
      </c>
      <c r="G47">
        <v>492</v>
      </c>
      <c r="H47">
        <v>1</v>
      </c>
      <c r="I47">
        <v>1</v>
      </c>
      <c r="J47">
        <v>1</v>
      </c>
      <c r="M47" t="s">
        <v>156</v>
      </c>
    </row>
    <row r="48" spans="1:13" x14ac:dyDescent="0.75">
      <c r="A48">
        <v>47</v>
      </c>
      <c r="B48">
        <v>19</v>
      </c>
      <c r="C48">
        <f t="shared" si="0"/>
        <v>41</v>
      </c>
      <c r="D48" t="s">
        <v>157</v>
      </c>
      <c r="E48">
        <v>19</v>
      </c>
      <c r="F48">
        <v>98</v>
      </c>
      <c r="G48">
        <v>493</v>
      </c>
      <c r="H48">
        <v>1</v>
      </c>
      <c r="I48">
        <v>1</v>
      </c>
      <c r="J48">
        <v>1</v>
      </c>
      <c r="M48" t="s">
        <v>156</v>
      </c>
    </row>
    <row r="49" spans="1:13" x14ac:dyDescent="0.75">
      <c r="A49">
        <v>48</v>
      </c>
      <c r="B49">
        <v>19</v>
      </c>
      <c r="C49">
        <f t="shared" si="0"/>
        <v>49</v>
      </c>
      <c r="D49">
        <v>99</v>
      </c>
      <c r="E49">
        <v>19</v>
      </c>
      <c r="F49">
        <v>99</v>
      </c>
      <c r="G49" t="s">
        <v>157</v>
      </c>
      <c r="H49">
        <v>1</v>
      </c>
      <c r="I49">
        <v>1</v>
      </c>
      <c r="J49">
        <v>1</v>
      </c>
      <c r="K49">
        <v>0</v>
      </c>
      <c r="L49">
        <v>0</v>
      </c>
      <c r="M49" t="s">
        <v>156</v>
      </c>
    </row>
    <row r="50" spans="1:13" x14ac:dyDescent="0.75">
      <c r="A50">
        <v>49</v>
      </c>
      <c r="B50">
        <v>19</v>
      </c>
      <c r="C50">
        <f t="shared" si="0"/>
        <v>49</v>
      </c>
      <c r="D50" t="s">
        <v>157</v>
      </c>
      <c r="E50">
        <v>19</v>
      </c>
      <c r="F50">
        <v>99</v>
      </c>
      <c r="G50">
        <v>494</v>
      </c>
      <c r="H50">
        <v>1</v>
      </c>
      <c r="I50">
        <v>1</v>
      </c>
      <c r="J50">
        <v>1</v>
      </c>
      <c r="M50" t="s">
        <v>156</v>
      </c>
    </row>
    <row r="51" spans="1:13" x14ac:dyDescent="0.75">
      <c r="A51">
        <v>50</v>
      </c>
      <c r="B51">
        <v>19</v>
      </c>
      <c r="C51">
        <f t="shared" si="0"/>
        <v>49</v>
      </c>
      <c r="D51" t="s">
        <v>157</v>
      </c>
      <c r="E51">
        <v>19</v>
      </c>
      <c r="F51">
        <v>99</v>
      </c>
      <c r="G51">
        <v>495</v>
      </c>
      <c r="H51">
        <v>1</v>
      </c>
      <c r="I51">
        <v>1</v>
      </c>
      <c r="J51">
        <v>1</v>
      </c>
      <c r="M51" t="s">
        <v>156</v>
      </c>
    </row>
    <row r="52" spans="1:13" x14ac:dyDescent="0.75">
      <c r="A52">
        <v>51</v>
      </c>
      <c r="B52">
        <v>19</v>
      </c>
      <c r="C52">
        <f t="shared" si="0"/>
        <v>49</v>
      </c>
      <c r="D52" t="s">
        <v>157</v>
      </c>
      <c r="E52">
        <v>19</v>
      </c>
      <c r="F52">
        <v>99</v>
      </c>
      <c r="G52">
        <v>496</v>
      </c>
      <c r="H52">
        <v>1</v>
      </c>
      <c r="I52">
        <v>1</v>
      </c>
      <c r="J52">
        <v>1</v>
      </c>
      <c r="M52" t="s">
        <v>156</v>
      </c>
    </row>
    <row r="53" spans="1:13" x14ac:dyDescent="0.75">
      <c r="A53">
        <v>52</v>
      </c>
      <c r="B53">
        <v>19</v>
      </c>
      <c r="C53">
        <f t="shared" si="0"/>
        <v>49</v>
      </c>
      <c r="D53" t="s">
        <v>157</v>
      </c>
      <c r="E53">
        <v>19</v>
      </c>
      <c r="F53">
        <v>99</v>
      </c>
      <c r="G53">
        <v>514</v>
      </c>
      <c r="H53">
        <v>1</v>
      </c>
      <c r="I53">
        <v>1</v>
      </c>
      <c r="J53">
        <v>1</v>
      </c>
      <c r="M53" t="s">
        <v>156</v>
      </c>
    </row>
    <row r="54" spans="1:13" x14ac:dyDescent="0.75">
      <c r="A54">
        <v>53</v>
      </c>
      <c r="B54">
        <v>19</v>
      </c>
      <c r="C54">
        <f t="shared" si="0"/>
        <v>49</v>
      </c>
      <c r="D54" t="s">
        <v>157</v>
      </c>
      <c r="E54">
        <v>19</v>
      </c>
      <c r="F54">
        <v>99</v>
      </c>
      <c r="G54">
        <v>497</v>
      </c>
      <c r="H54">
        <v>1</v>
      </c>
      <c r="I54">
        <v>1</v>
      </c>
      <c r="J54">
        <v>1</v>
      </c>
      <c r="M54" t="s">
        <v>156</v>
      </c>
    </row>
    <row r="55" spans="1:13" x14ac:dyDescent="0.75">
      <c r="A55">
        <v>54</v>
      </c>
      <c r="B55">
        <v>19</v>
      </c>
      <c r="C55">
        <f t="shared" si="0"/>
        <v>49</v>
      </c>
      <c r="D55" t="s">
        <v>157</v>
      </c>
      <c r="E55">
        <v>19</v>
      </c>
      <c r="F55">
        <v>99</v>
      </c>
      <c r="G55" t="s">
        <v>157</v>
      </c>
      <c r="H55">
        <v>1</v>
      </c>
      <c r="I55">
        <v>2</v>
      </c>
      <c r="J55">
        <v>2</v>
      </c>
      <c r="K55">
        <v>214022.59999999998</v>
      </c>
      <c r="L55">
        <v>42560.338994999998</v>
      </c>
      <c r="M55">
        <v>0.19885908775521838</v>
      </c>
    </row>
    <row r="56" spans="1:13" x14ac:dyDescent="0.75">
      <c r="A56">
        <v>55</v>
      </c>
      <c r="B56">
        <v>21</v>
      </c>
      <c r="C56">
        <f t="shared" si="0"/>
        <v>49</v>
      </c>
      <c r="D56" t="s">
        <v>157</v>
      </c>
      <c r="E56">
        <v>21</v>
      </c>
      <c r="F56">
        <v>99</v>
      </c>
      <c r="G56" t="s">
        <v>157</v>
      </c>
      <c r="H56">
        <v>1</v>
      </c>
      <c r="I56">
        <v>2</v>
      </c>
      <c r="J56">
        <v>2</v>
      </c>
      <c r="K56">
        <v>214022.59999999998</v>
      </c>
      <c r="L56">
        <v>42560.338994999998</v>
      </c>
      <c r="M56">
        <v>0.19885908775521838</v>
      </c>
    </row>
    <row r="57" spans="1:13" x14ac:dyDescent="0.75">
      <c r="A57">
        <v>56</v>
      </c>
      <c r="B57">
        <v>21</v>
      </c>
      <c r="C57">
        <f t="shared" si="0"/>
        <v>57</v>
      </c>
      <c r="D57">
        <v>102</v>
      </c>
      <c r="E57">
        <v>21</v>
      </c>
      <c r="F57">
        <v>102</v>
      </c>
      <c r="G57" t="s">
        <v>157</v>
      </c>
      <c r="H57">
        <v>1</v>
      </c>
      <c r="I57">
        <v>2</v>
      </c>
      <c r="J57">
        <v>2</v>
      </c>
      <c r="K57">
        <v>0</v>
      </c>
      <c r="L57">
        <v>0</v>
      </c>
      <c r="M57" t="s">
        <v>156</v>
      </c>
    </row>
    <row r="58" spans="1:13" x14ac:dyDescent="0.75">
      <c r="A58">
        <v>57</v>
      </c>
      <c r="B58">
        <v>21</v>
      </c>
      <c r="C58">
        <f t="shared" si="0"/>
        <v>57</v>
      </c>
      <c r="D58" t="s">
        <v>157</v>
      </c>
      <c r="E58">
        <v>21</v>
      </c>
      <c r="F58">
        <v>102</v>
      </c>
      <c r="G58">
        <v>476</v>
      </c>
      <c r="H58">
        <v>1</v>
      </c>
      <c r="I58">
        <v>2</v>
      </c>
      <c r="J58">
        <v>2</v>
      </c>
      <c r="M58" t="s">
        <v>156</v>
      </c>
    </row>
    <row r="59" spans="1:13" x14ac:dyDescent="0.75">
      <c r="A59">
        <v>58</v>
      </c>
      <c r="B59">
        <v>21</v>
      </c>
      <c r="C59">
        <f t="shared" si="0"/>
        <v>59</v>
      </c>
      <c r="D59">
        <v>103</v>
      </c>
      <c r="E59">
        <v>21</v>
      </c>
      <c r="F59">
        <v>103</v>
      </c>
      <c r="G59" t="s">
        <v>157</v>
      </c>
      <c r="H59">
        <v>1</v>
      </c>
      <c r="I59">
        <v>2</v>
      </c>
      <c r="J59">
        <v>2</v>
      </c>
      <c r="K59">
        <v>0</v>
      </c>
      <c r="L59">
        <v>0</v>
      </c>
      <c r="M59" t="s">
        <v>156</v>
      </c>
    </row>
    <row r="60" spans="1:13" x14ac:dyDescent="0.75">
      <c r="A60">
        <v>59</v>
      </c>
      <c r="B60">
        <v>21</v>
      </c>
      <c r="C60">
        <f t="shared" si="0"/>
        <v>59</v>
      </c>
      <c r="D60" t="s">
        <v>157</v>
      </c>
      <c r="E60">
        <v>21</v>
      </c>
      <c r="F60">
        <v>103</v>
      </c>
      <c r="G60">
        <v>515</v>
      </c>
      <c r="H60">
        <v>1</v>
      </c>
      <c r="I60">
        <v>2</v>
      </c>
      <c r="J60">
        <v>2</v>
      </c>
      <c r="M60" t="s">
        <v>156</v>
      </c>
    </row>
    <row r="61" spans="1:13" x14ac:dyDescent="0.75">
      <c r="A61">
        <v>60</v>
      </c>
      <c r="B61">
        <v>21</v>
      </c>
      <c r="C61">
        <f t="shared" si="0"/>
        <v>59</v>
      </c>
      <c r="D61" t="s">
        <v>157</v>
      </c>
      <c r="E61">
        <v>21</v>
      </c>
      <c r="F61">
        <v>103</v>
      </c>
      <c r="G61">
        <v>467</v>
      </c>
      <c r="H61">
        <v>1</v>
      </c>
      <c r="I61">
        <v>2</v>
      </c>
      <c r="J61">
        <v>2</v>
      </c>
      <c r="M61" t="s">
        <v>156</v>
      </c>
    </row>
    <row r="62" spans="1:13" x14ac:dyDescent="0.75">
      <c r="A62">
        <v>61</v>
      </c>
      <c r="B62">
        <v>21</v>
      </c>
      <c r="C62">
        <f t="shared" si="0"/>
        <v>62</v>
      </c>
      <c r="D62">
        <v>104</v>
      </c>
      <c r="E62">
        <v>21</v>
      </c>
      <c r="F62">
        <v>104</v>
      </c>
      <c r="G62" t="s">
        <v>157</v>
      </c>
      <c r="H62">
        <v>1</v>
      </c>
      <c r="I62">
        <v>2</v>
      </c>
      <c r="J62">
        <v>2</v>
      </c>
      <c r="K62">
        <v>1171</v>
      </c>
      <c r="L62">
        <v>511.8</v>
      </c>
      <c r="M62">
        <v>0.43706233988044407</v>
      </c>
    </row>
    <row r="63" spans="1:13" x14ac:dyDescent="0.75">
      <c r="A63">
        <v>62</v>
      </c>
      <c r="B63">
        <v>21</v>
      </c>
      <c r="C63">
        <f t="shared" si="0"/>
        <v>62</v>
      </c>
      <c r="D63" t="s">
        <v>157</v>
      </c>
      <c r="E63">
        <v>21</v>
      </c>
      <c r="F63">
        <v>104</v>
      </c>
      <c r="G63">
        <v>468</v>
      </c>
      <c r="H63">
        <v>1</v>
      </c>
      <c r="I63">
        <v>2</v>
      </c>
      <c r="J63">
        <v>2</v>
      </c>
      <c r="K63">
        <v>1171</v>
      </c>
      <c r="L63">
        <v>511.8</v>
      </c>
      <c r="M63">
        <v>0.43706233988044407</v>
      </c>
    </row>
    <row r="64" spans="1:13" x14ac:dyDescent="0.75">
      <c r="A64">
        <v>63</v>
      </c>
      <c r="B64">
        <v>21</v>
      </c>
      <c r="C64">
        <f t="shared" si="0"/>
        <v>62</v>
      </c>
      <c r="D64" t="s">
        <v>157</v>
      </c>
      <c r="E64">
        <v>21</v>
      </c>
      <c r="F64">
        <v>104</v>
      </c>
      <c r="G64">
        <v>498</v>
      </c>
      <c r="H64">
        <v>1</v>
      </c>
      <c r="I64">
        <v>2</v>
      </c>
      <c r="J64">
        <v>2</v>
      </c>
      <c r="M64" t="s">
        <v>156</v>
      </c>
    </row>
    <row r="65" spans="1:13" x14ac:dyDescent="0.75">
      <c r="A65">
        <v>64</v>
      </c>
      <c r="B65">
        <v>21</v>
      </c>
      <c r="C65">
        <f t="shared" si="0"/>
        <v>62</v>
      </c>
      <c r="D65" t="s">
        <v>157</v>
      </c>
      <c r="E65">
        <v>21</v>
      </c>
      <c r="F65">
        <v>104</v>
      </c>
      <c r="G65">
        <v>499</v>
      </c>
      <c r="H65">
        <v>1</v>
      </c>
      <c r="I65">
        <v>2</v>
      </c>
      <c r="J65">
        <v>2</v>
      </c>
      <c r="M65" t="s">
        <v>156</v>
      </c>
    </row>
    <row r="66" spans="1:13" x14ac:dyDescent="0.75">
      <c r="A66">
        <v>65</v>
      </c>
      <c r="B66">
        <v>21</v>
      </c>
      <c r="C66">
        <f t="shared" si="0"/>
        <v>66</v>
      </c>
      <c r="D66">
        <v>138</v>
      </c>
      <c r="E66">
        <v>21</v>
      </c>
      <c r="F66">
        <v>138</v>
      </c>
      <c r="G66" t="s">
        <v>157</v>
      </c>
      <c r="H66">
        <v>1</v>
      </c>
      <c r="I66">
        <v>2</v>
      </c>
      <c r="J66">
        <v>2</v>
      </c>
      <c r="K66">
        <v>0</v>
      </c>
      <c r="L66">
        <v>0</v>
      </c>
      <c r="M66" t="s">
        <v>156</v>
      </c>
    </row>
    <row r="67" spans="1:13" x14ac:dyDescent="0.75">
      <c r="A67">
        <v>66</v>
      </c>
      <c r="B67">
        <v>21</v>
      </c>
      <c r="C67">
        <f t="shared" ref="C67:C119" si="1">MATCH(F67,F:F,0)</f>
        <v>66</v>
      </c>
      <c r="D67" t="s">
        <v>157</v>
      </c>
      <c r="E67">
        <v>21</v>
      </c>
      <c r="F67">
        <v>138</v>
      </c>
      <c r="G67">
        <v>516</v>
      </c>
      <c r="H67">
        <v>1</v>
      </c>
      <c r="I67">
        <v>2</v>
      </c>
      <c r="J67">
        <v>2</v>
      </c>
      <c r="M67" t="s">
        <v>156</v>
      </c>
    </row>
    <row r="68" spans="1:13" x14ac:dyDescent="0.75">
      <c r="A68">
        <v>67</v>
      </c>
      <c r="B68">
        <v>21</v>
      </c>
      <c r="C68">
        <f t="shared" si="1"/>
        <v>68</v>
      </c>
      <c r="D68">
        <v>105</v>
      </c>
      <c r="E68">
        <v>21</v>
      </c>
      <c r="F68">
        <v>105</v>
      </c>
      <c r="G68" t="s">
        <v>157</v>
      </c>
      <c r="H68">
        <v>1</v>
      </c>
      <c r="I68">
        <v>2</v>
      </c>
      <c r="J68">
        <v>2</v>
      </c>
      <c r="K68">
        <v>2100.8000000000002</v>
      </c>
      <c r="L68">
        <v>2346.4575</v>
      </c>
      <c r="M68">
        <v>1.1169352151561309</v>
      </c>
    </row>
    <row r="69" spans="1:13" x14ac:dyDescent="0.75">
      <c r="A69">
        <v>68</v>
      </c>
      <c r="B69">
        <v>21</v>
      </c>
      <c r="C69">
        <f t="shared" si="1"/>
        <v>68</v>
      </c>
      <c r="D69" t="s">
        <v>157</v>
      </c>
      <c r="E69">
        <v>21</v>
      </c>
      <c r="F69">
        <v>105</v>
      </c>
      <c r="G69">
        <v>469</v>
      </c>
      <c r="H69">
        <v>1</v>
      </c>
      <c r="I69">
        <v>2</v>
      </c>
      <c r="J69">
        <v>2</v>
      </c>
      <c r="M69" t="s">
        <v>156</v>
      </c>
    </row>
    <row r="70" spans="1:13" x14ac:dyDescent="0.75">
      <c r="A70">
        <v>69</v>
      </c>
      <c r="B70">
        <v>21</v>
      </c>
      <c r="C70">
        <f t="shared" si="1"/>
        <v>68</v>
      </c>
      <c r="D70" t="s">
        <v>157</v>
      </c>
      <c r="E70">
        <v>21</v>
      </c>
      <c r="F70">
        <v>105</v>
      </c>
      <c r="G70">
        <v>472</v>
      </c>
      <c r="H70">
        <v>1</v>
      </c>
      <c r="I70">
        <v>2</v>
      </c>
      <c r="J70">
        <v>2</v>
      </c>
      <c r="K70">
        <v>2100.8000000000002</v>
      </c>
      <c r="L70">
        <v>2346.4575</v>
      </c>
      <c r="M70">
        <v>1.1169352151561309</v>
      </c>
    </row>
    <row r="71" spans="1:13" x14ac:dyDescent="0.75">
      <c r="A71">
        <v>70</v>
      </c>
      <c r="B71">
        <v>21</v>
      </c>
      <c r="C71">
        <f t="shared" si="1"/>
        <v>71</v>
      </c>
      <c r="D71">
        <v>107</v>
      </c>
      <c r="E71">
        <v>21</v>
      </c>
      <c r="F71">
        <v>107</v>
      </c>
      <c r="G71" t="s">
        <v>157</v>
      </c>
      <c r="H71">
        <v>1</v>
      </c>
      <c r="I71">
        <v>2</v>
      </c>
      <c r="J71">
        <v>2</v>
      </c>
      <c r="K71">
        <v>210750.8</v>
      </c>
      <c r="L71">
        <v>39702.081494999999</v>
      </c>
      <c r="M71">
        <v>0.18838401322794504</v>
      </c>
    </row>
    <row r="72" spans="1:13" x14ac:dyDescent="0.75">
      <c r="A72">
        <v>71</v>
      </c>
      <c r="B72">
        <v>21</v>
      </c>
      <c r="C72">
        <f t="shared" si="1"/>
        <v>71</v>
      </c>
      <c r="D72" t="s">
        <v>157</v>
      </c>
      <c r="E72">
        <v>21</v>
      </c>
      <c r="F72">
        <v>107</v>
      </c>
      <c r="G72">
        <v>474</v>
      </c>
      <c r="H72">
        <v>1</v>
      </c>
      <c r="I72">
        <v>2</v>
      </c>
      <c r="J72">
        <v>2</v>
      </c>
      <c r="K72">
        <v>198089</v>
      </c>
      <c r="L72">
        <v>11716.581002999999</v>
      </c>
      <c r="M72">
        <v>5.9148064773914752E-2</v>
      </c>
    </row>
    <row r="73" spans="1:13" x14ac:dyDescent="0.75">
      <c r="A73">
        <v>72</v>
      </c>
      <c r="B73">
        <v>21</v>
      </c>
      <c r="C73">
        <f t="shared" si="1"/>
        <v>71</v>
      </c>
      <c r="D73" t="s">
        <v>157</v>
      </c>
      <c r="E73">
        <v>21</v>
      </c>
      <c r="F73">
        <v>107</v>
      </c>
      <c r="G73">
        <v>475</v>
      </c>
      <c r="H73">
        <v>1</v>
      </c>
      <c r="I73">
        <v>2</v>
      </c>
      <c r="J73">
        <v>2</v>
      </c>
      <c r="K73">
        <v>3137</v>
      </c>
      <c r="L73">
        <v>3986.892092</v>
      </c>
      <c r="M73">
        <v>1.2709251169907556</v>
      </c>
    </row>
    <row r="74" spans="1:13" x14ac:dyDescent="0.75">
      <c r="A74">
        <v>73</v>
      </c>
      <c r="B74">
        <v>21</v>
      </c>
      <c r="C74">
        <f t="shared" si="1"/>
        <v>71</v>
      </c>
      <c r="D74" t="s">
        <v>157</v>
      </c>
      <c r="E74">
        <v>21</v>
      </c>
      <c r="F74">
        <v>107</v>
      </c>
      <c r="G74">
        <v>521</v>
      </c>
      <c r="H74">
        <v>1</v>
      </c>
      <c r="I74">
        <v>2</v>
      </c>
      <c r="J74">
        <v>2</v>
      </c>
      <c r="M74" t="s">
        <v>156</v>
      </c>
    </row>
    <row r="75" spans="1:13" x14ac:dyDescent="0.75">
      <c r="A75">
        <v>74</v>
      </c>
      <c r="B75">
        <v>21</v>
      </c>
      <c r="C75">
        <f t="shared" si="1"/>
        <v>71</v>
      </c>
      <c r="D75" t="s">
        <v>157</v>
      </c>
      <c r="E75">
        <v>21</v>
      </c>
      <c r="F75">
        <v>107</v>
      </c>
      <c r="G75">
        <v>473</v>
      </c>
      <c r="H75">
        <v>1</v>
      </c>
      <c r="I75">
        <v>2</v>
      </c>
      <c r="J75">
        <v>2</v>
      </c>
      <c r="K75">
        <v>9524.7999999999993</v>
      </c>
      <c r="L75">
        <v>23998.608400000001</v>
      </c>
      <c r="M75">
        <v>2.5195918444481777</v>
      </c>
    </row>
    <row r="76" spans="1:13" x14ac:dyDescent="0.75">
      <c r="A76">
        <v>75</v>
      </c>
      <c r="B76">
        <v>21</v>
      </c>
      <c r="C76">
        <f t="shared" si="1"/>
        <v>76</v>
      </c>
      <c r="D76">
        <v>108</v>
      </c>
      <c r="E76">
        <v>21</v>
      </c>
      <c r="F76">
        <v>108</v>
      </c>
      <c r="G76" t="s">
        <v>157</v>
      </c>
      <c r="H76">
        <v>1</v>
      </c>
      <c r="I76">
        <v>2</v>
      </c>
      <c r="J76">
        <v>2</v>
      </c>
      <c r="K76">
        <v>0</v>
      </c>
      <c r="L76">
        <v>0</v>
      </c>
      <c r="M76" t="s">
        <v>156</v>
      </c>
    </row>
    <row r="77" spans="1:13" x14ac:dyDescent="0.75">
      <c r="A77">
        <v>76</v>
      </c>
      <c r="B77">
        <v>21</v>
      </c>
      <c r="C77">
        <f t="shared" si="1"/>
        <v>76</v>
      </c>
      <c r="D77" t="s">
        <v>157</v>
      </c>
      <c r="E77">
        <v>21</v>
      </c>
      <c r="F77">
        <v>108</v>
      </c>
      <c r="G77">
        <v>480</v>
      </c>
      <c r="H77">
        <v>1</v>
      </c>
      <c r="I77">
        <v>2</v>
      </c>
      <c r="J77">
        <v>2</v>
      </c>
      <c r="M77" t="s">
        <v>156</v>
      </c>
    </row>
    <row r="78" spans="1:13" x14ac:dyDescent="0.75">
      <c r="A78">
        <v>77</v>
      </c>
      <c r="B78">
        <v>21</v>
      </c>
      <c r="C78">
        <f t="shared" si="1"/>
        <v>76</v>
      </c>
      <c r="D78" t="s">
        <v>157</v>
      </c>
      <c r="E78">
        <v>21</v>
      </c>
      <c r="F78">
        <v>108</v>
      </c>
      <c r="G78">
        <v>481</v>
      </c>
      <c r="H78">
        <v>1</v>
      </c>
      <c r="I78">
        <v>2</v>
      </c>
      <c r="J78">
        <v>2</v>
      </c>
      <c r="M78" t="s">
        <v>156</v>
      </c>
    </row>
    <row r="79" spans="1:13" x14ac:dyDescent="0.75">
      <c r="A79">
        <v>78</v>
      </c>
      <c r="B79">
        <v>21</v>
      </c>
      <c r="C79">
        <f t="shared" si="1"/>
        <v>79</v>
      </c>
      <c r="D79">
        <v>109</v>
      </c>
      <c r="E79">
        <v>21</v>
      </c>
      <c r="F79">
        <v>109</v>
      </c>
      <c r="G79" t="s">
        <v>157</v>
      </c>
      <c r="H79">
        <v>1</v>
      </c>
      <c r="I79">
        <v>2</v>
      </c>
      <c r="J79">
        <v>2</v>
      </c>
      <c r="K79">
        <v>0</v>
      </c>
      <c r="L79">
        <v>0</v>
      </c>
      <c r="M79" t="s">
        <v>156</v>
      </c>
    </row>
    <row r="80" spans="1:13" x14ac:dyDescent="0.75">
      <c r="A80">
        <v>79</v>
      </c>
      <c r="B80">
        <v>21</v>
      </c>
      <c r="C80">
        <f t="shared" si="1"/>
        <v>79</v>
      </c>
      <c r="D80" t="s">
        <v>157</v>
      </c>
      <c r="E80">
        <v>21</v>
      </c>
      <c r="F80">
        <v>109</v>
      </c>
      <c r="G80">
        <v>470</v>
      </c>
      <c r="H80">
        <v>1</v>
      </c>
      <c r="I80">
        <v>2</v>
      </c>
      <c r="J80">
        <v>2</v>
      </c>
      <c r="M80" t="s">
        <v>156</v>
      </c>
    </row>
    <row r="81" spans="1:13" x14ac:dyDescent="0.75">
      <c r="A81">
        <v>80</v>
      </c>
      <c r="B81">
        <v>21</v>
      </c>
      <c r="C81">
        <f t="shared" si="1"/>
        <v>79</v>
      </c>
      <c r="D81" t="s">
        <v>157</v>
      </c>
      <c r="E81">
        <v>21</v>
      </c>
      <c r="F81">
        <v>109</v>
      </c>
      <c r="G81">
        <v>500</v>
      </c>
      <c r="H81">
        <v>1</v>
      </c>
      <c r="I81">
        <v>2</v>
      </c>
      <c r="J81">
        <v>2</v>
      </c>
      <c r="M81" t="s">
        <v>156</v>
      </c>
    </row>
    <row r="82" spans="1:13" x14ac:dyDescent="0.75">
      <c r="A82">
        <v>81</v>
      </c>
      <c r="B82">
        <v>24</v>
      </c>
      <c r="C82">
        <f t="shared" si="1"/>
        <v>79</v>
      </c>
      <c r="D82" t="s">
        <v>157</v>
      </c>
      <c r="E82">
        <v>24</v>
      </c>
      <c r="F82">
        <v>109</v>
      </c>
      <c r="G82" t="s">
        <v>157</v>
      </c>
      <c r="H82">
        <v>1</v>
      </c>
      <c r="I82">
        <v>2</v>
      </c>
      <c r="J82">
        <v>2</v>
      </c>
      <c r="K82">
        <v>0</v>
      </c>
      <c r="L82">
        <v>0</v>
      </c>
      <c r="M82" t="s">
        <v>156</v>
      </c>
    </row>
    <row r="83" spans="1:13" x14ac:dyDescent="0.75">
      <c r="A83">
        <v>82</v>
      </c>
      <c r="B83">
        <v>24</v>
      </c>
      <c r="C83">
        <f t="shared" si="1"/>
        <v>83</v>
      </c>
      <c r="D83">
        <v>127</v>
      </c>
      <c r="E83">
        <v>24</v>
      </c>
      <c r="F83">
        <v>127</v>
      </c>
      <c r="G83" t="s">
        <v>157</v>
      </c>
      <c r="H83">
        <v>1</v>
      </c>
      <c r="I83">
        <v>2</v>
      </c>
      <c r="J83">
        <v>2</v>
      </c>
      <c r="K83">
        <v>0</v>
      </c>
      <c r="L83">
        <v>0</v>
      </c>
      <c r="M83" t="s">
        <v>156</v>
      </c>
    </row>
    <row r="84" spans="1:13" x14ac:dyDescent="0.75">
      <c r="A84">
        <v>83</v>
      </c>
      <c r="B84">
        <v>24</v>
      </c>
      <c r="C84">
        <f t="shared" si="1"/>
        <v>83</v>
      </c>
      <c r="D84" t="s">
        <v>157</v>
      </c>
      <c r="E84">
        <v>24</v>
      </c>
      <c r="F84">
        <v>127</v>
      </c>
      <c r="G84">
        <v>477</v>
      </c>
      <c r="H84">
        <v>1</v>
      </c>
      <c r="I84">
        <v>2</v>
      </c>
      <c r="J84">
        <v>2</v>
      </c>
      <c r="M84" t="s">
        <v>156</v>
      </c>
    </row>
    <row r="85" spans="1:13" x14ac:dyDescent="0.75">
      <c r="A85">
        <v>84</v>
      </c>
      <c r="B85">
        <v>24</v>
      </c>
      <c r="C85">
        <f t="shared" si="1"/>
        <v>85</v>
      </c>
      <c r="D85">
        <v>131</v>
      </c>
      <c r="E85">
        <v>24</v>
      </c>
      <c r="F85">
        <v>131</v>
      </c>
      <c r="G85" t="s">
        <v>157</v>
      </c>
      <c r="H85">
        <v>1</v>
      </c>
      <c r="I85">
        <v>2</v>
      </c>
      <c r="J85">
        <v>2</v>
      </c>
      <c r="K85">
        <v>0</v>
      </c>
      <c r="L85">
        <v>0</v>
      </c>
      <c r="M85" t="s">
        <v>156</v>
      </c>
    </row>
    <row r="86" spans="1:13" x14ac:dyDescent="0.75">
      <c r="A86">
        <v>85</v>
      </c>
      <c r="B86">
        <v>24</v>
      </c>
      <c r="C86">
        <f t="shared" si="1"/>
        <v>85</v>
      </c>
      <c r="D86" t="s">
        <v>157</v>
      </c>
      <c r="E86">
        <v>24</v>
      </c>
      <c r="F86">
        <v>131</v>
      </c>
      <c r="G86">
        <v>517</v>
      </c>
      <c r="H86">
        <v>1</v>
      </c>
      <c r="I86">
        <v>2</v>
      </c>
      <c r="J86">
        <v>2</v>
      </c>
      <c r="M86" t="s">
        <v>156</v>
      </c>
    </row>
    <row r="87" spans="1:13" x14ac:dyDescent="0.75">
      <c r="A87">
        <v>86</v>
      </c>
      <c r="B87">
        <v>25</v>
      </c>
      <c r="C87">
        <f t="shared" si="1"/>
        <v>85</v>
      </c>
      <c r="D87" t="s">
        <v>157</v>
      </c>
      <c r="E87">
        <v>25</v>
      </c>
      <c r="F87">
        <v>131</v>
      </c>
      <c r="G87" t="s">
        <v>157</v>
      </c>
      <c r="H87">
        <v>1</v>
      </c>
      <c r="I87">
        <v>2</v>
      </c>
      <c r="J87">
        <v>2</v>
      </c>
      <c r="K87">
        <v>0</v>
      </c>
      <c r="L87">
        <v>0</v>
      </c>
      <c r="M87" t="s">
        <v>156</v>
      </c>
    </row>
    <row r="88" spans="1:13" x14ac:dyDescent="0.75">
      <c r="A88">
        <v>87</v>
      </c>
      <c r="B88">
        <v>25</v>
      </c>
      <c r="C88">
        <f t="shared" si="1"/>
        <v>88</v>
      </c>
      <c r="D88">
        <v>137</v>
      </c>
      <c r="E88">
        <v>25</v>
      </c>
      <c r="F88">
        <v>137</v>
      </c>
      <c r="G88" t="s">
        <v>157</v>
      </c>
      <c r="H88">
        <v>1</v>
      </c>
      <c r="I88">
        <v>2</v>
      </c>
      <c r="J88">
        <v>2</v>
      </c>
      <c r="K88">
        <v>0</v>
      </c>
      <c r="L88">
        <v>0</v>
      </c>
      <c r="M88" t="s">
        <v>156</v>
      </c>
    </row>
    <row r="89" spans="1:13" x14ac:dyDescent="0.75">
      <c r="A89">
        <v>88</v>
      </c>
      <c r="B89">
        <v>25</v>
      </c>
      <c r="C89">
        <f t="shared" si="1"/>
        <v>88</v>
      </c>
      <c r="D89" t="s">
        <v>157</v>
      </c>
      <c r="E89">
        <v>25</v>
      </c>
      <c r="F89">
        <v>137</v>
      </c>
      <c r="G89">
        <v>518</v>
      </c>
      <c r="H89">
        <v>1</v>
      </c>
      <c r="I89">
        <v>2</v>
      </c>
      <c r="J89">
        <v>2</v>
      </c>
      <c r="M89" t="s">
        <v>156</v>
      </c>
    </row>
    <row r="90" spans="1:13" x14ac:dyDescent="0.75">
      <c r="A90">
        <v>89</v>
      </c>
      <c r="B90">
        <v>25</v>
      </c>
      <c r="C90">
        <f t="shared" si="1"/>
        <v>88</v>
      </c>
      <c r="D90" t="s">
        <v>157</v>
      </c>
      <c r="E90">
        <v>25</v>
      </c>
      <c r="F90">
        <v>137</v>
      </c>
      <c r="G90" t="s">
        <v>157</v>
      </c>
      <c r="H90">
        <v>1</v>
      </c>
      <c r="K90">
        <v>0</v>
      </c>
      <c r="L90">
        <v>106</v>
      </c>
      <c r="M90" t="s">
        <v>156</v>
      </c>
    </row>
    <row r="91" spans="1:13" x14ac:dyDescent="0.75">
      <c r="A91">
        <v>90</v>
      </c>
      <c r="B91">
        <v>25</v>
      </c>
      <c r="C91">
        <f t="shared" si="1"/>
        <v>88</v>
      </c>
      <c r="D91" t="s">
        <v>157</v>
      </c>
      <c r="E91">
        <v>25</v>
      </c>
      <c r="F91">
        <v>137</v>
      </c>
      <c r="G91" t="s">
        <v>157</v>
      </c>
      <c r="H91">
        <v>1</v>
      </c>
      <c r="K91">
        <v>0</v>
      </c>
      <c r="L91">
        <v>0</v>
      </c>
      <c r="M91" t="s">
        <v>156</v>
      </c>
    </row>
    <row r="92" spans="1:13" x14ac:dyDescent="0.75">
      <c r="A92">
        <v>91</v>
      </c>
      <c r="B92">
        <v>25</v>
      </c>
      <c r="C92">
        <f t="shared" si="1"/>
        <v>88</v>
      </c>
      <c r="D92" t="s">
        <v>157</v>
      </c>
      <c r="E92">
        <v>25</v>
      </c>
      <c r="F92">
        <v>137</v>
      </c>
      <c r="G92" t="s">
        <v>157</v>
      </c>
      <c r="H92">
        <v>1</v>
      </c>
      <c r="K92">
        <v>0</v>
      </c>
      <c r="L92">
        <v>0</v>
      </c>
      <c r="M92" t="s">
        <v>156</v>
      </c>
    </row>
    <row r="93" spans="1:13" x14ac:dyDescent="0.75">
      <c r="A93">
        <v>92</v>
      </c>
      <c r="B93">
        <v>25</v>
      </c>
      <c r="C93">
        <f t="shared" si="1"/>
        <v>88</v>
      </c>
      <c r="D93" t="s">
        <v>157</v>
      </c>
      <c r="E93">
        <v>25</v>
      </c>
      <c r="F93">
        <v>137</v>
      </c>
      <c r="G93" t="s">
        <v>157</v>
      </c>
      <c r="H93">
        <v>1</v>
      </c>
      <c r="K93">
        <v>0</v>
      </c>
      <c r="L93">
        <v>0</v>
      </c>
      <c r="M93" t="s">
        <v>156</v>
      </c>
    </row>
    <row r="94" spans="1:13" x14ac:dyDescent="0.75">
      <c r="A94">
        <v>93</v>
      </c>
      <c r="B94">
        <v>6</v>
      </c>
      <c r="C94">
        <f t="shared" si="1"/>
        <v>88</v>
      </c>
      <c r="D94" t="s">
        <v>157</v>
      </c>
      <c r="E94">
        <v>6</v>
      </c>
      <c r="F94">
        <v>137</v>
      </c>
      <c r="G94" t="s">
        <v>157</v>
      </c>
      <c r="H94">
        <v>1</v>
      </c>
      <c r="I94">
        <v>4</v>
      </c>
      <c r="J94">
        <v>4</v>
      </c>
      <c r="K94">
        <v>0</v>
      </c>
      <c r="L94">
        <v>0</v>
      </c>
      <c r="M94" t="s">
        <v>156</v>
      </c>
    </row>
    <row r="95" spans="1:13" x14ac:dyDescent="0.75">
      <c r="A95">
        <v>94</v>
      </c>
      <c r="B95">
        <v>6</v>
      </c>
      <c r="C95">
        <f t="shared" si="1"/>
        <v>95</v>
      </c>
      <c r="D95">
        <v>19</v>
      </c>
      <c r="E95">
        <v>6</v>
      </c>
      <c r="F95">
        <v>19</v>
      </c>
      <c r="G95" t="s">
        <v>157</v>
      </c>
      <c r="H95">
        <v>1</v>
      </c>
      <c r="I95">
        <v>4</v>
      </c>
      <c r="J95">
        <v>4</v>
      </c>
      <c r="K95">
        <v>0</v>
      </c>
      <c r="L95">
        <v>0</v>
      </c>
      <c r="M95" t="s">
        <v>156</v>
      </c>
    </row>
    <row r="96" spans="1:13" x14ac:dyDescent="0.75">
      <c r="A96">
        <v>95</v>
      </c>
      <c r="B96">
        <v>6</v>
      </c>
      <c r="C96">
        <f t="shared" si="1"/>
        <v>95</v>
      </c>
      <c r="D96" t="s">
        <v>157</v>
      </c>
      <c r="E96">
        <v>6</v>
      </c>
      <c r="F96">
        <v>19</v>
      </c>
      <c r="G96">
        <v>208</v>
      </c>
      <c r="H96">
        <v>1</v>
      </c>
      <c r="I96">
        <v>4</v>
      </c>
      <c r="J96">
        <v>4</v>
      </c>
      <c r="M96" t="s">
        <v>156</v>
      </c>
    </row>
    <row r="97" spans="1:13" x14ac:dyDescent="0.75">
      <c r="A97">
        <v>96</v>
      </c>
      <c r="B97">
        <v>6</v>
      </c>
      <c r="C97">
        <f t="shared" si="1"/>
        <v>95</v>
      </c>
      <c r="D97" t="s">
        <v>157</v>
      </c>
      <c r="E97">
        <v>6</v>
      </c>
      <c r="F97">
        <v>19</v>
      </c>
      <c r="G97">
        <v>209</v>
      </c>
      <c r="H97">
        <v>1</v>
      </c>
      <c r="I97">
        <v>4</v>
      </c>
      <c r="J97">
        <v>4</v>
      </c>
      <c r="M97" t="s">
        <v>156</v>
      </c>
    </row>
    <row r="98" spans="1:13" x14ac:dyDescent="0.75">
      <c r="A98">
        <v>97</v>
      </c>
      <c r="B98">
        <v>6</v>
      </c>
      <c r="C98">
        <f t="shared" si="1"/>
        <v>95</v>
      </c>
      <c r="D98" t="s">
        <v>157</v>
      </c>
      <c r="E98">
        <v>6</v>
      </c>
      <c r="F98">
        <v>19</v>
      </c>
      <c r="G98" t="s">
        <v>157</v>
      </c>
      <c r="H98">
        <v>1</v>
      </c>
      <c r="K98">
        <v>0</v>
      </c>
      <c r="L98">
        <v>0</v>
      </c>
      <c r="M98" t="s">
        <v>156</v>
      </c>
    </row>
    <row r="99" spans="1:13" x14ac:dyDescent="0.75">
      <c r="A99">
        <v>98</v>
      </c>
      <c r="B99">
        <v>23</v>
      </c>
      <c r="C99">
        <f t="shared" si="1"/>
        <v>95</v>
      </c>
      <c r="D99" t="s">
        <v>157</v>
      </c>
      <c r="E99">
        <v>23</v>
      </c>
      <c r="F99">
        <v>19</v>
      </c>
      <c r="G99" t="s">
        <v>157</v>
      </c>
      <c r="H99">
        <v>1</v>
      </c>
      <c r="I99">
        <v>5</v>
      </c>
      <c r="J99">
        <v>5</v>
      </c>
      <c r="K99">
        <v>0</v>
      </c>
      <c r="L99">
        <v>0</v>
      </c>
      <c r="M99" t="s">
        <v>156</v>
      </c>
    </row>
    <row r="100" spans="1:13" x14ac:dyDescent="0.75">
      <c r="A100">
        <v>99</v>
      </c>
      <c r="B100">
        <v>23</v>
      </c>
      <c r="C100">
        <f t="shared" si="1"/>
        <v>100</v>
      </c>
      <c r="D100">
        <v>124</v>
      </c>
      <c r="E100">
        <v>23</v>
      </c>
      <c r="F100">
        <v>124</v>
      </c>
      <c r="G100" t="s">
        <v>157</v>
      </c>
      <c r="H100">
        <v>1</v>
      </c>
      <c r="I100">
        <v>5</v>
      </c>
      <c r="J100">
        <v>5</v>
      </c>
      <c r="K100">
        <v>0</v>
      </c>
      <c r="L100">
        <v>0</v>
      </c>
      <c r="M100" t="s">
        <v>156</v>
      </c>
    </row>
    <row r="101" spans="1:13" x14ac:dyDescent="0.75">
      <c r="A101">
        <v>100</v>
      </c>
      <c r="B101">
        <v>23</v>
      </c>
      <c r="C101">
        <f t="shared" si="1"/>
        <v>100</v>
      </c>
      <c r="D101" t="s">
        <v>157</v>
      </c>
      <c r="E101">
        <v>23</v>
      </c>
      <c r="F101">
        <v>124</v>
      </c>
      <c r="G101">
        <v>478</v>
      </c>
      <c r="H101">
        <v>1</v>
      </c>
      <c r="I101">
        <v>5</v>
      </c>
      <c r="J101">
        <v>5</v>
      </c>
      <c r="M101" t="s">
        <v>156</v>
      </c>
    </row>
    <row r="102" spans="1:13" x14ac:dyDescent="0.75">
      <c r="A102">
        <v>101</v>
      </c>
      <c r="B102">
        <v>23</v>
      </c>
      <c r="C102">
        <f t="shared" si="1"/>
        <v>100</v>
      </c>
      <c r="D102" t="s">
        <v>157</v>
      </c>
      <c r="E102">
        <v>23</v>
      </c>
      <c r="F102">
        <v>124</v>
      </c>
      <c r="G102">
        <v>479</v>
      </c>
      <c r="H102">
        <v>1</v>
      </c>
      <c r="I102">
        <v>5</v>
      </c>
      <c r="J102">
        <v>5</v>
      </c>
      <c r="M102" t="s">
        <v>156</v>
      </c>
    </row>
    <row r="103" spans="1:13" x14ac:dyDescent="0.75">
      <c r="A103">
        <v>102</v>
      </c>
      <c r="B103">
        <v>7</v>
      </c>
      <c r="C103">
        <f t="shared" si="1"/>
        <v>100</v>
      </c>
      <c r="D103" t="s">
        <v>157</v>
      </c>
      <c r="E103">
        <v>7</v>
      </c>
      <c r="F103">
        <v>124</v>
      </c>
      <c r="G103" t="s">
        <v>157</v>
      </c>
      <c r="H103">
        <v>1</v>
      </c>
      <c r="I103">
        <v>5</v>
      </c>
      <c r="J103">
        <v>5</v>
      </c>
      <c r="K103">
        <v>0</v>
      </c>
      <c r="L103">
        <v>0</v>
      </c>
      <c r="M103" t="s">
        <v>156</v>
      </c>
    </row>
    <row r="104" spans="1:13" x14ac:dyDescent="0.75">
      <c r="A104">
        <v>103</v>
      </c>
      <c r="B104">
        <v>7</v>
      </c>
      <c r="C104">
        <f t="shared" si="1"/>
        <v>104</v>
      </c>
      <c r="D104">
        <v>22</v>
      </c>
      <c r="E104">
        <v>7</v>
      </c>
      <c r="F104">
        <v>22</v>
      </c>
      <c r="G104" t="s">
        <v>157</v>
      </c>
      <c r="H104">
        <v>1</v>
      </c>
      <c r="I104">
        <v>5</v>
      </c>
      <c r="J104">
        <v>5</v>
      </c>
      <c r="K104">
        <v>0</v>
      </c>
      <c r="L104">
        <v>0</v>
      </c>
      <c r="M104" t="s">
        <v>156</v>
      </c>
    </row>
    <row r="105" spans="1:13" x14ac:dyDescent="0.75">
      <c r="A105">
        <v>104</v>
      </c>
      <c r="B105">
        <v>7</v>
      </c>
      <c r="C105">
        <f t="shared" si="1"/>
        <v>104</v>
      </c>
      <c r="D105" t="s">
        <v>157</v>
      </c>
      <c r="E105">
        <v>7</v>
      </c>
      <c r="F105">
        <v>22</v>
      </c>
      <c r="G105">
        <v>217</v>
      </c>
      <c r="H105">
        <v>1</v>
      </c>
      <c r="I105">
        <v>5</v>
      </c>
      <c r="J105">
        <v>5</v>
      </c>
      <c r="M105" t="s">
        <v>156</v>
      </c>
    </row>
    <row r="106" spans="1:13" x14ac:dyDescent="0.75">
      <c r="A106">
        <v>105</v>
      </c>
      <c r="B106">
        <v>7</v>
      </c>
      <c r="C106">
        <f t="shared" si="1"/>
        <v>104</v>
      </c>
      <c r="D106" t="s">
        <v>157</v>
      </c>
      <c r="E106">
        <v>7</v>
      </c>
      <c r="F106">
        <v>22</v>
      </c>
      <c r="G106">
        <v>218</v>
      </c>
      <c r="H106">
        <v>1</v>
      </c>
      <c r="I106">
        <v>5</v>
      </c>
      <c r="J106">
        <v>5</v>
      </c>
      <c r="M106" t="s">
        <v>156</v>
      </c>
    </row>
    <row r="107" spans="1:13" x14ac:dyDescent="0.75">
      <c r="A107">
        <v>106</v>
      </c>
      <c r="B107">
        <v>7</v>
      </c>
      <c r="C107">
        <f t="shared" si="1"/>
        <v>104</v>
      </c>
      <c r="D107" t="s">
        <v>157</v>
      </c>
      <c r="E107">
        <v>7</v>
      </c>
      <c r="F107">
        <v>22</v>
      </c>
      <c r="G107" t="s">
        <v>157</v>
      </c>
      <c r="H107">
        <v>1</v>
      </c>
      <c r="K107">
        <v>0</v>
      </c>
      <c r="L107">
        <v>106</v>
      </c>
      <c r="M107" t="s">
        <v>156</v>
      </c>
    </row>
    <row r="108" spans="1:13" x14ac:dyDescent="0.75">
      <c r="A108">
        <v>107</v>
      </c>
      <c r="B108">
        <v>7</v>
      </c>
      <c r="C108">
        <f t="shared" si="1"/>
        <v>104</v>
      </c>
      <c r="D108" t="s">
        <v>157</v>
      </c>
      <c r="E108">
        <v>7</v>
      </c>
      <c r="F108">
        <v>22</v>
      </c>
      <c r="G108" t="s">
        <v>157</v>
      </c>
      <c r="H108">
        <v>1</v>
      </c>
      <c r="K108">
        <v>0</v>
      </c>
      <c r="L108">
        <v>106</v>
      </c>
      <c r="M108" t="s">
        <v>156</v>
      </c>
    </row>
    <row r="109" spans="1:13" x14ac:dyDescent="0.75">
      <c r="A109">
        <v>108</v>
      </c>
      <c r="B109">
        <v>22</v>
      </c>
      <c r="C109">
        <f t="shared" si="1"/>
        <v>104</v>
      </c>
      <c r="D109" t="s">
        <v>157</v>
      </c>
      <c r="E109">
        <v>22</v>
      </c>
      <c r="F109">
        <v>22</v>
      </c>
      <c r="G109" t="s">
        <v>157</v>
      </c>
      <c r="H109">
        <v>1</v>
      </c>
      <c r="I109">
        <v>5</v>
      </c>
      <c r="J109">
        <v>5</v>
      </c>
      <c r="K109">
        <v>0</v>
      </c>
      <c r="L109">
        <v>106</v>
      </c>
      <c r="M109" t="s">
        <v>156</v>
      </c>
    </row>
    <row r="110" spans="1:13" x14ac:dyDescent="0.75">
      <c r="A110">
        <v>109</v>
      </c>
      <c r="B110">
        <v>22</v>
      </c>
      <c r="C110">
        <f t="shared" si="1"/>
        <v>110</v>
      </c>
      <c r="D110">
        <v>110</v>
      </c>
      <c r="E110">
        <v>22</v>
      </c>
      <c r="F110">
        <v>110</v>
      </c>
      <c r="G110" t="s">
        <v>157</v>
      </c>
      <c r="H110">
        <v>1</v>
      </c>
      <c r="I110">
        <v>5</v>
      </c>
      <c r="J110">
        <v>5</v>
      </c>
      <c r="K110">
        <v>0</v>
      </c>
      <c r="L110">
        <v>106</v>
      </c>
      <c r="M110" t="s">
        <v>156</v>
      </c>
    </row>
    <row r="111" spans="1:13" x14ac:dyDescent="0.75">
      <c r="A111">
        <v>110</v>
      </c>
      <c r="B111">
        <v>22</v>
      </c>
      <c r="C111">
        <f t="shared" si="1"/>
        <v>110</v>
      </c>
      <c r="D111" t="s">
        <v>157</v>
      </c>
      <c r="E111">
        <v>22</v>
      </c>
      <c r="F111">
        <v>110</v>
      </c>
      <c r="G111">
        <v>519</v>
      </c>
      <c r="H111">
        <v>1</v>
      </c>
      <c r="I111">
        <v>5</v>
      </c>
      <c r="J111">
        <v>5</v>
      </c>
      <c r="L111">
        <v>106</v>
      </c>
      <c r="M111" t="s">
        <v>156</v>
      </c>
    </row>
    <row r="112" spans="1:13" x14ac:dyDescent="0.75">
      <c r="A112">
        <v>111</v>
      </c>
      <c r="B112">
        <v>23</v>
      </c>
      <c r="C112">
        <f t="shared" si="1"/>
        <v>110</v>
      </c>
      <c r="D112" t="s">
        <v>157</v>
      </c>
      <c r="E112">
        <v>23</v>
      </c>
      <c r="F112">
        <v>110</v>
      </c>
      <c r="G112" t="s">
        <v>157</v>
      </c>
      <c r="H112">
        <v>1</v>
      </c>
      <c r="I112">
        <v>5</v>
      </c>
      <c r="J112">
        <v>5</v>
      </c>
      <c r="K112">
        <v>0</v>
      </c>
      <c r="L112">
        <v>0</v>
      </c>
      <c r="M112" t="s">
        <v>156</v>
      </c>
    </row>
    <row r="113" spans="1:13" x14ac:dyDescent="0.75">
      <c r="A113">
        <v>112</v>
      </c>
      <c r="B113">
        <v>23</v>
      </c>
      <c r="C113">
        <f t="shared" si="1"/>
        <v>100</v>
      </c>
      <c r="D113">
        <v>124</v>
      </c>
      <c r="E113">
        <v>23</v>
      </c>
      <c r="F113">
        <v>124</v>
      </c>
      <c r="G113" t="s">
        <v>157</v>
      </c>
      <c r="H113">
        <v>1</v>
      </c>
      <c r="I113">
        <v>5</v>
      </c>
      <c r="J113">
        <v>5</v>
      </c>
      <c r="K113">
        <v>0</v>
      </c>
      <c r="L113">
        <v>0</v>
      </c>
      <c r="M113" t="s">
        <v>156</v>
      </c>
    </row>
    <row r="114" spans="1:13" x14ac:dyDescent="0.75">
      <c r="A114">
        <v>113</v>
      </c>
      <c r="B114">
        <v>23</v>
      </c>
      <c r="C114">
        <f t="shared" si="1"/>
        <v>100</v>
      </c>
      <c r="D114" t="s">
        <v>157</v>
      </c>
      <c r="E114">
        <v>23</v>
      </c>
      <c r="F114">
        <v>124</v>
      </c>
      <c r="G114">
        <v>478</v>
      </c>
      <c r="H114">
        <v>1</v>
      </c>
      <c r="I114">
        <v>5</v>
      </c>
      <c r="J114">
        <v>5</v>
      </c>
      <c r="M114" t="s">
        <v>156</v>
      </c>
    </row>
    <row r="115" spans="1:13" x14ac:dyDescent="0.75">
      <c r="A115">
        <v>114</v>
      </c>
      <c r="B115">
        <v>23</v>
      </c>
      <c r="C115">
        <f t="shared" si="1"/>
        <v>100</v>
      </c>
      <c r="D115" t="s">
        <v>157</v>
      </c>
      <c r="E115">
        <v>23</v>
      </c>
      <c r="F115">
        <v>124</v>
      </c>
      <c r="G115">
        <v>479</v>
      </c>
      <c r="H115">
        <v>1</v>
      </c>
      <c r="I115">
        <v>5</v>
      </c>
      <c r="J115">
        <v>5</v>
      </c>
      <c r="M115" t="s">
        <v>156</v>
      </c>
    </row>
    <row r="116" spans="1:13" x14ac:dyDescent="0.75">
      <c r="A116">
        <v>115</v>
      </c>
      <c r="B116">
        <v>7</v>
      </c>
      <c r="C116">
        <f t="shared" si="1"/>
        <v>100</v>
      </c>
      <c r="D116" t="s">
        <v>157</v>
      </c>
      <c r="E116">
        <v>7</v>
      </c>
      <c r="F116">
        <v>124</v>
      </c>
      <c r="G116" t="s">
        <v>157</v>
      </c>
      <c r="H116">
        <v>1</v>
      </c>
      <c r="I116">
        <v>5</v>
      </c>
      <c r="J116">
        <v>5</v>
      </c>
      <c r="K116">
        <v>0</v>
      </c>
      <c r="L116">
        <v>0</v>
      </c>
      <c r="M116" t="s">
        <v>156</v>
      </c>
    </row>
    <row r="117" spans="1:13" x14ac:dyDescent="0.75">
      <c r="A117">
        <v>116</v>
      </c>
      <c r="B117">
        <v>7</v>
      </c>
      <c r="C117">
        <f t="shared" si="1"/>
        <v>104</v>
      </c>
      <c r="D117">
        <v>22</v>
      </c>
      <c r="E117">
        <v>7</v>
      </c>
      <c r="F117">
        <v>22</v>
      </c>
      <c r="G117" t="s">
        <v>157</v>
      </c>
      <c r="H117">
        <v>1</v>
      </c>
      <c r="I117">
        <v>5</v>
      </c>
      <c r="J117">
        <v>5</v>
      </c>
      <c r="K117">
        <v>0</v>
      </c>
      <c r="L117">
        <v>0</v>
      </c>
      <c r="M117" t="s">
        <v>156</v>
      </c>
    </row>
    <row r="118" spans="1:13" x14ac:dyDescent="0.75">
      <c r="A118">
        <v>117</v>
      </c>
      <c r="B118">
        <v>7</v>
      </c>
      <c r="C118">
        <f t="shared" si="1"/>
        <v>104</v>
      </c>
      <c r="D118" t="s">
        <v>157</v>
      </c>
      <c r="E118">
        <v>7</v>
      </c>
      <c r="F118">
        <v>22</v>
      </c>
      <c r="G118">
        <v>217</v>
      </c>
      <c r="H118">
        <v>1</v>
      </c>
      <c r="I118">
        <v>5</v>
      </c>
      <c r="J118">
        <v>5</v>
      </c>
      <c r="M118" t="s">
        <v>156</v>
      </c>
    </row>
    <row r="119" spans="1:13" x14ac:dyDescent="0.75">
      <c r="A119">
        <v>118</v>
      </c>
      <c r="B119">
        <v>7</v>
      </c>
      <c r="C119">
        <f t="shared" si="1"/>
        <v>104</v>
      </c>
      <c r="D119" t="s">
        <v>157</v>
      </c>
      <c r="E119">
        <v>7</v>
      </c>
      <c r="F119">
        <v>22</v>
      </c>
      <c r="G119">
        <v>218</v>
      </c>
      <c r="H119">
        <v>1</v>
      </c>
      <c r="I119">
        <v>5</v>
      </c>
      <c r="J119">
        <v>5</v>
      </c>
      <c r="M119" t="s">
        <v>156</v>
      </c>
    </row>
  </sheetData>
  <autoFilter ref="A1:M119" xr:uid="{705D9D7E-C9E6-4887-A963-EAB006E55B39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FE84-6F14-4CB3-A3E6-2BCFAF2667F5}">
  <sheetPr>
    <tabColor rgb="FF00B050"/>
  </sheetPr>
  <dimension ref="A1:CO512"/>
  <sheetViews>
    <sheetView showZeros="0" topLeftCell="A9" zoomScale="85" zoomScaleNormal="85" zoomScalePageLayoutView="85" workbookViewId="0">
      <selection activeCell="I136" sqref="A10:I136"/>
    </sheetView>
  </sheetViews>
  <sheetFormatPr defaultColWidth="8.86328125" defaultRowHeight="24.75" customHeight="1" x14ac:dyDescent="0.75"/>
  <cols>
    <col min="1" max="1" width="5.81640625" style="2" customWidth="1"/>
    <col min="2" max="2" width="9.1796875" style="2" customWidth="1"/>
    <col min="3" max="4" width="17.76953125" style="2" customWidth="1"/>
    <col min="5" max="5" width="16.2265625" style="2" customWidth="1"/>
    <col min="6" max="6" width="10" style="2" customWidth="1"/>
    <col min="7" max="7" width="15.453125" style="2" customWidth="1"/>
    <col min="8" max="8" width="20.54296875" style="2" customWidth="1"/>
    <col min="9" max="9" width="17.6796875" style="2" customWidth="1"/>
    <col min="10" max="10" width="13.81640625" style="214" customWidth="1"/>
    <col min="11" max="11" width="15.58984375" style="1" customWidth="1"/>
    <col min="12" max="12" width="16.81640625" style="1" customWidth="1"/>
    <col min="13" max="13" width="44.40625" style="2" customWidth="1"/>
    <col min="14" max="15" width="11.40625" style="2" customWidth="1"/>
    <col min="16" max="16" width="7.40625" style="2" customWidth="1"/>
    <col min="17" max="18" width="11.40625" style="2" customWidth="1"/>
    <col min="19" max="19" width="7.40625" style="2" customWidth="1"/>
    <col min="20" max="21" width="11.40625" style="2" customWidth="1"/>
    <col min="22" max="22" width="7.7265625" style="2" customWidth="1"/>
    <col min="23" max="23" width="11.40625" style="2" customWidth="1"/>
    <col min="24" max="24" width="10.86328125" style="2" customWidth="1"/>
    <col min="25" max="25" width="7.40625" style="2" customWidth="1"/>
    <col min="26" max="26" width="11.40625" style="2" bestFit="1" customWidth="1"/>
    <col min="27" max="27" width="17.86328125" style="2" customWidth="1"/>
    <col min="28" max="28" width="23.2265625" style="2" customWidth="1"/>
    <col min="29" max="29" width="11.40625" style="2" bestFit="1" customWidth="1"/>
    <col min="30" max="30" width="10.40625" style="2" customWidth="1"/>
    <col min="31" max="31" width="7.40625" style="2" customWidth="1"/>
    <col min="32" max="32" width="11.40625" style="2" bestFit="1" customWidth="1"/>
    <col min="33" max="33" width="9.7265625" style="2" customWidth="1"/>
    <col min="34" max="34" width="7.26953125" style="2" customWidth="1"/>
    <col min="35" max="36" width="12.54296875" style="2" customWidth="1"/>
    <col min="37" max="37" width="8.7265625" style="2" customWidth="1"/>
    <col min="38" max="39" width="12.54296875" style="2" customWidth="1"/>
    <col min="40" max="40" width="8.7265625" style="2" customWidth="1"/>
    <col min="41" max="42" width="11.86328125" style="2" customWidth="1"/>
    <col min="43" max="43" width="8.7265625" style="2" customWidth="1"/>
    <col min="44" max="45" width="11.86328125" style="2" customWidth="1"/>
    <col min="46" max="46" width="8.7265625" style="2" customWidth="1"/>
    <col min="47" max="47" width="11.86328125" style="2" customWidth="1"/>
    <col min="48" max="48" width="11.40625" style="2" bestFit="1" customWidth="1"/>
    <col min="49" max="49" width="8.7265625" style="2" customWidth="1"/>
    <col min="50" max="50" width="11.86328125" style="2" customWidth="1"/>
    <col min="51" max="51" width="11.40625" style="2" bestFit="1" customWidth="1"/>
    <col min="52" max="52" width="8.7265625" style="2" customWidth="1"/>
    <col min="53" max="54" width="12.7265625" style="2" customWidth="1"/>
    <col min="55" max="55" width="7.40625" style="2" customWidth="1"/>
    <col min="56" max="57" width="12.7265625" style="2" customWidth="1"/>
    <col min="58" max="58" width="7.40625" style="2" customWidth="1"/>
    <col min="59" max="60" width="12.7265625" style="2" customWidth="1"/>
    <col min="61" max="61" width="7.40625" style="2" customWidth="1"/>
    <col min="62" max="63" width="12.7265625" style="2" customWidth="1"/>
    <col min="64" max="64" width="7.40625" style="2" customWidth="1"/>
    <col min="65" max="66" width="12.7265625" style="2" customWidth="1"/>
    <col min="67" max="67" width="7.40625" style="2" customWidth="1"/>
    <col min="68" max="69" width="12.7265625" style="2" customWidth="1"/>
    <col min="70" max="70" width="7.40625" style="2" customWidth="1"/>
    <col min="71" max="72" width="12.86328125" style="2" customWidth="1"/>
    <col min="73" max="73" width="7.40625" style="2" customWidth="1"/>
    <col min="74" max="75" width="12.86328125" style="2" customWidth="1"/>
    <col min="76" max="76" width="7.40625" style="2" customWidth="1"/>
    <col min="77" max="78" width="12.86328125" style="2" customWidth="1"/>
    <col min="79" max="79" width="7.40625" style="2" customWidth="1"/>
    <col min="80" max="81" width="12.86328125" style="2" customWidth="1"/>
    <col min="82" max="82" width="7.40625" style="2" customWidth="1"/>
    <col min="83" max="84" width="12.86328125" style="2" customWidth="1"/>
    <col min="85" max="85" width="7.40625" style="2" customWidth="1"/>
    <col min="86" max="87" width="12.86328125" style="2" customWidth="1"/>
    <col min="88" max="88" width="9" style="2" customWidth="1"/>
    <col min="89" max="90" width="6.54296875" style="2" customWidth="1"/>
    <col min="91" max="91" width="12.40625" style="2" customWidth="1"/>
    <col min="92" max="92" width="16.26953125" style="2" bestFit="1" customWidth="1"/>
    <col min="93" max="93" width="17.40625" style="2" customWidth="1"/>
    <col min="94" max="16384" width="8.86328125" style="2"/>
  </cols>
  <sheetData>
    <row r="1" spans="1:93" ht="18" hidden="1" customHeight="1" x14ac:dyDescent="0.75"/>
    <row r="2" spans="1:93" ht="18" hidden="1" customHeight="1" x14ac:dyDescent="0.75">
      <c r="O2" s="3"/>
      <c r="P2" s="3"/>
      <c r="R2" s="3"/>
      <c r="S2" s="3"/>
      <c r="U2" s="3"/>
      <c r="V2" s="3"/>
      <c r="X2" s="3"/>
      <c r="Y2" s="3"/>
      <c r="AA2" s="3"/>
      <c r="AB2" s="3"/>
      <c r="AD2" s="3"/>
      <c r="AE2" s="3"/>
      <c r="AG2" s="3"/>
      <c r="AH2" s="3"/>
      <c r="AJ2" s="3"/>
      <c r="AK2" s="3"/>
      <c r="AM2" s="3"/>
      <c r="AN2" s="3"/>
      <c r="AP2" s="3"/>
      <c r="AQ2" s="3"/>
      <c r="AS2" s="3"/>
      <c r="AT2" s="3"/>
      <c r="AV2" s="3"/>
      <c r="AW2" s="3"/>
      <c r="AY2" s="3"/>
      <c r="AZ2" s="3"/>
      <c r="BB2" s="3"/>
      <c r="BC2" s="3"/>
      <c r="BE2" s="3"/>
      <c r="BF2" s="3"/>
      <c r="BH2" s="3"/>
      <c r="BI2" s="3"/>
      <c r="BK2" s="3"/>
      <c r="BL2" s="3"/>
      <c r="BN2" s="3"/>
      <c r="BO2" s="3"/>
      <c r="BQ2" s="3"/>
      <c r="BR2" s="3"/>
      <c r="BT2" s="3"/>
      <c r="BU2" s="3"/>
      <c r="BW2" s="3"/>
      <c r="BX2" s="3"/>
      <c r="BZ2" s="3"/>
      <c r="CA2" s="3"/>
      <c r="CC2" s="3"/>
      <c r="CD2" s="3"/>
      <c r="CF2" s="3"/>
      <c r="CG2" s="3"/>
      <c r="CI2" s="3"/>
      <c r="CJ2" s="3"/>
      <c r="CK2" s="3"/>
      <c r="CL2" s="3"/>
    </row>
    <row r="3" spans="1:93" ht="26.25" hidden="1" customHeight="1" x14ac:dyDescent="0.75">
      <c r="J3" s="215"/>
      <c r="K3" s="4"/>
      <c r="O3" s="3"/>
      <c r="P3" s="3"/>
      <c r="R3" s="3"/>
      <c r="S3" s="3"/>
      <c r="U3" s="3"/>
      <c r="V3" s="3"/>
      <c r="X3" s="3"/>
      <c r="Y3" s="3"/>
      <c r="AA3" s="3"/>
      <c r="AB3" s="3"/>
      <c r="AD3" s="3"/>
      <c r="AE3" s="3"/>
      <c r="AG3" s="3"/>
      <c r="AH3" s="3"/>
      <c r="AJ3" s="3"/>
      <c r="AK3" s="3"/>
      <c r="AM3" s="3"/>
      <c r="AN3" s="3"/>
      <c r="AP3" s="3"/>
      <c r="AQ3" s="3"/>
      <c r="AS3" s="3"/>
      <c r="AT3" s="3"/>
      <c r="AV3" s="3"/>
      <c r="AW3" s="3"/>
      <c r="AY3" s="3"/>
      <c r="AZ3" s="3"/>
      <c r="BB3" s="3"/>
      <c r="BC3" s="3"/>
      <c r="BE3" s="3"/>
      <c r="BF3" s="3"/>
      <c r="BH3" s="3"/>
      <c r="BI3" s="3"/>
      <c r="BK3" s="3"/>
      <c r="BL3" s="3"/>
      <c r="BN3" s="3"/>
      <c r="BO3" s="3"/>
      <c r="BQ3" s="3"/>
      <c r="BR3" s="3"/>
      <c r="BT3" s="3"/>
      <c r="BU3" s="3"/>
      <c r="BW3" s="3"/>
      <c r="BX3" s="3"/>
      <c r="BZ3" s="3"/>
      <c r="CA3" s="3"/>
      <c r="CC3" s="3"/>
      <c r="CD3" s="3"/>
      <c r="CF3" s="3"/>
      <c r="CG3" s="3"/>
      <c r="CI3" s="3"/>
      <c r="CJ3" s="3"/>
      <c r="CK3" s="3"/>
      <c r="CL3" s="3"/>
    </row>
    <row r="4" spans="1:93" ht="26.25" hidden="1" customHeight="1" x14ac:dyDescent="0.75">
      <c r="J4" s="215"/>
      <c r="K4" s="4"/>
      <c r="O4" s="3"/>
      <c r="P4" s="3"/>
      <c r="R4" s="3"/>
      <c r="S4" s="3"/>
      <c r="U4" s="3"/>
      <c r="V4" s="3"/>
      <c r="X4" s="3"/>
      <c r="Y4" s="3"/>
      <c r="AA4" s="3"/>
      <c r="AB4" s="3"/>
      <c r="AD4" s="3"/>
      <c r="AE4" s="3"/>
      <c r="AG4" s="3"/>
      <c r="AH4" s="3"/>
      <c r="AJ4" s="3"/>
      <c r="AK4" s="3"/>
      <c r="AM4" s="3"/>
      <c r="AN4" s="3"/>
      <c r="AP4" s="3"/>
      <c r="AQ4" s="3"/>
      <c r="AS4" s="3"/>
      <c r="AT4" s="3"/>
      <c r="AV4" s="3"/>
      <c r="AW4" s="3"/>
      <c r="AY4" s="3"/>
      <c r="AZ4" s="3"/>
      <c r="BB4" s="3"/>
      <c r="BC4" s="3"/>
      <c r="BE4" s="3"/>
      <c r="BF4" s="3"/>
      <c r="BH4" s="3"/>
      <c r="BI4" s="3"/>
      <c r="BK4" s="3"/>
      <c r="BL4" s="3"/>
      <c r="BN4" s="3"/>
      <c r="BO4" s="3"/>
      <c r="BQ4" s="3"/>
      <c r="BR4" s="3"/>
      <c r="BT4" s="3"/>
      <c r="BU4" s="3"/>
      <c r="BW4" s="3"/>
      <c r="BX4" s="3"/>
      <c r="BZ4" s="3"/>
      <c r="CA4" s="3"/>
      <c r="CC4" s="3"/>
      <c r="CD4" s="3"/>
      <c r="CF4" s="3"/>
      <c r="CG4" s="3"/>
      <c r="CI4" s="3"/>
      <c r="CJ4" s="3"/>
      <c r="CK4" s="3"/>
      <c r="CL4" s="3"/>
    </row>
    <row r="5" spans="1:93" ht="26.25" hidden="1" customHeight="1" x14ac:dyDescent="0.75">
      <c r="J5" s="216"/>
      <c r="K5" s="4"/>
    </row>
    <row r="6" spans="1:93" ht="29.45" hidden="1" customHeight="1" x14ac:dyDescent="0.75">
      <c r="J6" s="217" t="s">
        <v>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</row>
    <row r="7" spans="1:93" ht="24" hidden="1" customHeight="1" x14ac:dyDescent="0.75">
      <c r="J7" s="218"/>
      <c r="K7" s="6"/>
      <c r="L7" s="7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</row>
    <row r="8" spans="1:93" ht="20.25" hidden="1" customHeight="1" x14ac:dyDescent="0.75">
      <c r="J8" s="219" t="s">
        <v>1</v>
      </c>
      <c r="P8" s="8"/>
      <c r="S8" s="8"/>
      <c r="V8" s="8"/>
      <c r="Y8" s="8"/>
      <c r="AB8" s="8"/>
      <c r="AE8" s="8"/>
      <c r="AH8" s="8" t="s">
        <v>2</v>
      </c>
      <c r="AK8" s="8"/>
      <c r="AN8" s="8"/>
      <c r="AQ8" s="8"/>
      <c r="AT8" s="8"/>
      <c r="AW8" s="8"/>
      <c r="AZ8" s="8"/>
      <c r="BC8" s="8"/>
      <c r="BF8" s="8"/>
      <c r="BI8" s="8"/>
      <c r="BL8" s="8"/>
      <c r="BO8" s="8"/>
      <c r="BR8" s="8"/>
      <c r="BU8" s="8"/>
      <c r="BX8" s="8"/>
      <c r="CA8" s="8"/>
      <c r="CD8" s="8"/>
      <c r="CG8" s="8"/>
      <c r="CJ8" s="8"/>
      <c r="CK8" s="8"/>
      <c r="CL8" s="8"/>
    </row>
    <row r="9" spans="1:93" ht="20.25" customHeight="1" thickBot="1" x14ac:dyDescent="0.9">
      <c r="A9" s="2" t="s">
        <v>151</v>
      </c>
      <c r="B9" s="2" t="s">
        <v>152</v>
      </c>
      <c r="C9" s="2" t="s">
        <v>163</v>
      </c>
      <c r="D9" s="2" t="s">
        <v>164</v>
      </c>
      <c r="E9" s="2" t="s">
        <v>153</v>
      </c>
      <c r="F9" s="2" t="s">
        <v>155</v>
      </c>
      <c r="G9" s="1" t="s">
        <v>154</v>
      </c>
      <c r="H9" s="1" t="s">
        <v>162</v>
      </c>
      <c r="I9" s="1" t="s">
        <v>161</v>
      </c>
      <c r="J9" s="220"/>
      <c r="K9" s="2"/>
      <c r="P9" s="8"/>
      <c r="S9" s="8"/>
      <c r="V9" s="8"/>
      <c r="Y9" s="8"/>
      <c r="Z9" s="2" t="s">
        <v>158</v>
      </c>
      <c r="AA9" s="2" t="s">
        <v>159</v>
      </c>
      <c r="AB9" s="239" t="s">
        <v>160</v>
      </c>
      <c r="AE9" s="8"/>
      <c r="AH9" s="8"/>
      <c r="AK9" s="8"/>
      <c r="AN9" s="8"/>
      <c r="AQ9" s="8"/>
      <c r="AT9" s="8"/>
      <c r="AW9" s="8"/>
      <c r="AZ9" s="8"/>
      <c r="BC9" s="8"/>
      <c r="BF9" s="8"/>
      <c r="BI9" s="8"/>
      <c r="BL9" s="8"/>
      <c r="BO9" s="8"/>
      <c r="BR9" s="8"/>
      <c r="BU9" s="8"/>
      <c r="BX9" s="8"/>
      <c r="CA9" s="8"/>
      <c r="CD9" s="8"/>
      <c r="CG9" s="8"/>
      <c r="CJ9" s="8"/>
      <c r="CK9" s="8"/>
      <c r="CL9" s="8"/>
    </row>
    <row r="10" spans="1:93" s="10" customFormat="1" ht="18.649999999999999" customHeight="1" thickTop="1" x14ac:dyDescent="0.75">
      <c r="J10" s="258" t="s">
        <v>3</v>
      </c>
      <c r="K10" s="261" t="s">
        <v>4</v>
      </c>
      <c r="L10" s="261" t="s">
        <v>5</v>
      </c>
      <c r="M10" s="264" t="s">
        <v>6</v>
      </c>
      <c r="N10" s="267" t="s">
        <v>7</v>
      </c>
      <c r="O10" s="267"/>
      <c r="P10" s="267"/>
      <c r="Q10" s="268" t="s">
        <v>8</v>
      </c>
      <c r="R10" s="268"/>
      <c r="S10" s="268"/>
      <c r="T10" s="251" t="s">
        <v>9</v>
      </c>
      <c r="U10" s="251"/>
      <c r="V10" s="251"/>
      <c r="W10" s="252" t="s">
        <v>10</v>
      </c>
      <c r="X10" s="252"/>
      <c r="Y10" s="252"/>
      <c r="Z10" s="252"/>
      <c r="AA10" s="252"/>
      <c r="AB10" s="252"/>
      <c r="AC10" s="252"/>
      <c r="AD10" s="252"/>
      <c r="AE10" s="252"/>
      <c r="AF10" s="252"/>
      <c r="AG10" s="252"/>
      <c r="AH10" s="252"/>
      <c r="AI10" s="253" t="s">
        <v>11</v>
      </c>
      <c r="AJ10" s="253"/>
      <c r="AK10" s="253"/>
      <c r="AL10" s="253" t="s">
        <v>12</v>
      </c>
      <c r="AM10" s="253"/>
      <c r="AN10" s="253"/>
      <c r="AO10" s="255" t="s">
        <v>13</v>
      </c>
      <c r="AP10" s="256"/>
      <c r="AQ10" s="256"/>
      <c r="AR10" s="256"/>
      <c r="AS10" s="256"/>
      <c r="AT10" s="256"/>
      <c r="AU10" s="256"/>
      <c r="AV10" s="256"/>
      <c r="AW10" s="256"/>
      <c r="AX10" s="256"/>
      <c r="AY10" s="256"/>
      <c r="AZ10" s="257"/>
      <c r="BA10" s="241" t="s">
        <v>13</v>
      </c>
      <c r="BB10" s="242"/>
      <c r="BC10" s="242"/>
      <c r="BD10" s="242"/>
      <c r="BE10" s="242"/>
      <c r="BF10" s="242"/>
      <c r="BG10" s="242"/>
      <c r="BH10" s="242"/>
      <c r="BI10" s="242"/>
      <c r="BJ10" s="242"/>
      <c r="BK10" s="242"/>
      <c r="BL10" s="242"/>
      <c r="BM10" s="242"/>
      <c r="BN10" s="242"/>
      <c r="BO10" s="242"/>
      <c r="BP10" s="242"/>
      <c r="BQ10" s="242"/>
      <c r="BR10" s="243"/>
      <c r="BS10" s="241" t="s">
        <v>13</v>
      </c>
      <c r="BT10" s="242"/>
      <c r="BU10" s="242"/>
      <c r="BV10" s="242"/>
      <c r="BW10" s="242"/>
      <c r="BX10" s="242"/>
      <c r="BY10" s="242"/>
      <c r="BZ10" s="242"/>
      <c r="CA10" s="242"/>
      <c r="CB10" s="242"/>
      <c r="CC10" s="242"/>
      <c r="CD10" s="242"/>
      <c r="CE10" s="242"/>
      <c r="CF10" s="242"/>
      <c r="CG10" s="243"/>
      <c r="CH10" s="244" t="s">
        <v>14</v>
      </c>
      <c r="CI10" s="244"/>
      <c r="CJ10" s="245"/>
      <c r="CK10" s="9"/>
      <c r="CL10" s="9"/>
    </row>
    <row r="11" spans="1:93" s="10" customFormat="1" ht="18.649999999999999" customHeight="1" x14ac:dyDescent="0.75">
      <c r="J11" s="259"/>
      <c r="K11" s="262"/>
      <c r="L11" s="262"/>
      <c r="M11" s="265"/>
      <c r="N11" s="248" t="s">
        <v>15</v>
      </c>
      <c r="O11" s="248"/>
      <c r="P11" s="248"/>
      <c r="Q11" s="249" t="s">
        <v>16</v>
      </c>
      <c r="R11" s="249"/>
      <c r="S11" s="249"/>
      <c r="T11" s="250" t="s">
        <v>17</v>
      </c>
      <c r="U11" s="250"/>
      <c r="V11" s="250"/>
      <c r="W11" s="240" t="s">
        <v>18</v>
      </c>
      <c r="X11" s="240"/>
      <c r="Y11" s="240"/>
      <c r="Z11" s="240" t="s">
        <v>19</v>
      </c>
      <c r="AA11" s="240"/>
      <c r="AB11" s="240"/>
      <c r="AC11" s="240" t="s">
        <v>20</v>
      </c>
      <c r="AD11" s="240"/>
      <c r="AE11" s="240"/>
      <c r="AF11" s="240" t="s">
        <v>21</v>
      </c>
      <c r="AG11" s="240"/>
      <c r="AH11" s="240"/>
      <c r="AI11" s="254"/>
      <c r="AJ11" s="254"/>
      <c r="AK11" s="254"/>
      <c r="AL11" s="254"/>
      <c r="AM11" s="254"/>
      <c r="AN11" s="254"/>
      <c r="AO11" s="240" t="s">
        <v>22</v>
      </c>
      <c r="AP11" s="240"/>
      <c r="AQ11" s="240"/>
      <c r="AR11" s="240" t="s">
        <v>23</v>
      </c>
      <c r="AS11" s="240"/>
      <c r="AT11" s="240"/>
      <c r="AU11" s="240" t="s">
        <v>24</v>
      </c>
      <c r="AV11" s="240"/>
      <c r="AW11" s="240"/>
      <c r="AX11" s="240" t="s">
        <v>25</v>
      </c>
      <c r="AY11" s="240"/>
      <c r="AZ11" s="240"/>
      <c r="BA11" s="240" t="s">
        <v>26</v>
      </c>
      <c r="BB11" s="240"/>
      <c r="BC11" s="240"/>
      <c r="BD11" s="240" t="s">
        <v>27</v>
      </c>
      <c r="BE11" s="240"/>
      <c r="BF11" s="240"/>
      <c r="BG11" s="240" t="s">
        <v>28</v>
      </c>
      <c r="BH11" s="240"/>
      <c r="BI11" s="240"/>
      <c r="BJ11" s="240" t="s">
        <v>29</v>
      </c>
      <c r="BK11" s="240"/>
      <c r="BL11" s="240"/>
      <c r="BM11" s="240" t="s">
        <v>30</v>
      </c>
      <c r="BN11" s="240"/>
      <c r="BO11" s="240"/>
      <c r="BP11" s="240" t="s">
        <v>31</v>
      </c>
      <c r="BQ11" s="240"/>
      <c r="BR11" s="240"/>
      <c r="BS11" s="240" t="s">
        <v>32</v>
      </c>
      <c r="BT11" s="240"/>
      <c r="BU11" s="240"/>
      <c r="BV11" s="240" t="s">
        <v>33</v>
      </c>
      <c r="BW11" s="240"/>
      <c r="BX11" s="240"/>
      <c r="BY11" s="240" t="s">
        <v>34</v>
      </c>
      <c r="BZ11" s="240"/>
      <c r="CA11" s="240"/>
      <c r="CB11" s="240" t="s">
        <v>35</v>
      </c>
      <c r="CC11" s="240"/>
      <c r="CD11" s="240"/>
      <c r="CE11" s="240" t="s">
        <v>36</v>
      </c>
      <c r="CF11" s="240"/>
      <c r="CG11" s="240"/>
      <c r="CH11" s="246"/>
      <c r="CI11" s="246"/>
      <c r="CJ11" s="247"/>
      <c r="CK11" s="9"/>
      <c r="CL11" s="9"/>
    </row>
    <row r="12" spans="1:93" s="1" customFormat="1" ht="20.149999999999999" customHeight="1" thickBot="1" x14ac:dyDescent="0.9">
      <c r="J12" s="260"/>
      <c r="K12" s="263"/>
      <c r="L12" s="263"/>
      <c r="M12" s="266"/>
      <c r="N12" s="11" t="s">
        <v>37</v>
      </c>
      <c r="O12" s="11" t="s">
        <v>38</v>
      </c>
      <c r="P12" s="12" t="s">
        <v>39</v>
      </c>
      <c r="Q12" s="13" t="s">
        <v>37</v>
      </c>
      <c r="R12" s="13" t="s">
        <v>38</v>
      </c>
      <c r="S12" s="14" t="s">
        <v>39</v>
      </c>
      <c r="T12" s="15" t="s">
        <v>37</v>
      </c>
      <c r="U12" s="15" t="s">
        <v>38</v>
      </c>
      <c r="V12" s="16" t="s">
        <v>39</v>
      </c>
      <c r="W12" s="15" t="s">
        <v>37</v>
      </c>
      <c r="X12" s="15" t="s">
        <v>38</v>
      </c>
      <c r="Y12" s="16" t="s">
        <v>39</v>
      </c>
      <c r="Z12" s="15" t="s">
        <v>37</v>
      </c>
      <c r="AA12" s="15" t="s">
        <v>38</v>
      </c>
      <c r="AB12" s="16" t="s">
        <v>39</v>
      </c>
      <c r="AC12" s="15" t="s">
        <v>37</v>
      </c>
      <c r="AD12" s="15" t="s">
        <v>38</v>
      </c>
      <c r="AE12" s="16" t="s">
        <v>39</v>
      </c>
      <c r="AF12" s="15" t="s">
        <v>37</v>
      </c>
      <c r="AG12" s="15" t="s">
        <v>38</v>
      </c>
      <c r="AH12" s="16" t="s">
        <v>39</v>
      </c>
      <c r="AI12" s="15" t="s">
        <v>37</v>
      </c>
      <c r="AJ12" s="15" t="s">
        <v>38</v>
      </c>
      <c r="AK12" s="16" t="s">
        <v>39</v>
      </c>
      <c r="AL12" s="15" t="s">
        <v>37</v>
      </c>
      <c r="AM12" s="15" t="s">
        <v>38</v>
      </c>
      <c r="AN12" s="16" t="s">
        <v>39</v>
      </c>
      <c r="AO12" s="15" t="s">
        <v>37</v>
      </c>
      <c r="AP12" s="15" t="s">
        <v>38</v>
      </c>
      <c r="AQ12" s="16" t="s">
        <v>39</v>
      </c>
      <c r="AR12" s="15" t="s">
        <v>37</v>
      </c>
      <c r="AS12" s="15" t="s">
        <v>38</v>
      </c>
      <c r="AT12" s="16" t="s">
        <v>39</v>
      </c>
      <c r="AU12" s="15" t="s">
        <v>37</v>
      </c>
      <c r="AV12" s="15" t="s">
        <v>38</v>
      </c>
      <c r="AW12" s="16" t="s">
        <v>39</v>
      </c>
      <c r="AX12" s="15" t="s">
        <v>37</v>
      </c>
      <c r="AY12" s="15" t="s">
        <v>38</v>
      </c>
      <c r="AZ12" s="16" t="s">
        <v>39</v>
      </c>
      <c r="BA12" s="15" t="s">
        <v>37</v>
      </c>
      <c r="BB12" s="15" t="s">
        <v>38</v>
      </c>
      <c r="BC12" s="16" t="s">
        <v>39</v>
      </c>
      <c r="BD12" s="15" t="s">
        <v>37</v>
      </c>
      <c r="BE12" s="15" t="s">
        <v>38</v>
      </c>
      <c r="BF12" s="16" t="s">
        <v>39</v>
      </c>
      <c r="BG12" s="15" t="s">
        <v>37</v>
      </c>
      <c r="BH12" s="15" t="s">
        <v>38</v>
      </c>
      <c r="BI12" s="16" t="s">
        <v>39</v>
      </c>
      <c r="BJ12" s="15" t="s">
        <v>37</v>
      </c>
      <c r="BK12" s="15" t="s">
        <v>38</v>
      </c>
      <c r="BL12" s="16" t="s">
        <v>39</v>
      </c>
      <c r="BM12" s="15" t="s">
        <v>37</v>
      </c>
      <c r="BN12" s="15" t="s">
        <v>38</v>
      </c>
      <c r="BO12" s="16" t="s">
        <v>39</v>
      </c>
      <c r="BP12" s="15" t="s">
        <v>37</v>
      </c>
      <c r="BQ12" s="15" t="s">
        <v>38</v>
      </c>
      <c r="BR12" s="16" t="s">
        <v>39</v>
      </c>
      <c r="BS12" s="15" t="s">
        <v>37</v>
      </c>
      <c r="BT12" s="15" t="s">
        <v>38</v>
      </c>
      <c r="BU12" s="16" t="s">
        <v>39</v>
      </c>
      <c r="BV12" s="15" t="s">
        <v>37</v>
      </c>
      <c r="BW12" s="15" t="s">
        <v>38</v>
      </c>
      <c r="BX12" s="16" t="s">
        <v>39</v>
      </c>
      <c r="BY12" s="15" t="s">
        <v>37</v>
      </c>
      <c r="BZ12" s="15" t="s">
        <v>38</v>
      </c>
      <c r="CA12" s="16" t="s">
        <v>39</v>
      </c>
      <c r="CB12" s="15" t="s">
        <v>37</v>
      </c>
      <c r="CC12" s="15" t="s">
        <v>38</v>
      </c>
      <c r="CD12" s="16" t="s">
        <v>39</v>
      </c>
      <c r="CE12" s="15" t="s">
        <v>37</v>
      </c>
      <c r="CF12" s="15" t="s">
        <v>38</v>
      </c>
      <c r="CG12" s="16" t="s">
        <v>39</v>
      </c>
      <c r="CH12" s="15" t="s">
        <v>37</v>
      </c>
      <c r="CI12" s="15" t="s">
        <v>38</v>
      </c>
      <c r="CJ12" s="17" t="s">
        <v>39</v>
      </c>
      <c r="CK12" s="18"/>
      <c r="CL12" s="18"/>
    </row>
    <row r="13" spans="1:93" s="31" customFormat="1" ht="19.25" customHeight="1" thickTop="1" x14ac:dyDescent="0.75">
      <c r="J13" s="221"/>
      <c r="K13" s="19"/>
      <c r="L13" s="20"/>
      <c r="M13" s="21"/>
      <c r="N13" s="22"/>
      <c r="O13" s="22"/>
      <c r="P13" s="23"/>
      <c r="Q13" s="24"/>
      <c r="R13" s="24"/>
      <c r="S13" s="25"/>
      <c r="T13" s="26"/>
      <c r="U13" s="26"/>
      <c r="V13" s="27"/>
      <c r="W13" s="26"/>
      <c r="X13" s="26"/>
      <c r="Y13" s="27"/>
      <c r="Z13" s="26"/>
      <c r="AA13" s="26"/>
      <c r="AB13" s="27"/>
      <c r="AC13" s="26"/>
      <c r="AD13" s="26"/>
      <c r="AE13" s="27"/>
      <c r="AF13" s="26"/>
      <c r="AG13" s="26"/>
      <c r="AH13" s="27"/>
      <c r="AI13" s="28"/>
      <c r="AJ13" s="26"/>
      <c r="AK13" s="27"/>
      <c r="AL13" s="26"/>
      <c r="AM13" s="26"/>
      <c r="AN13" s="27"/>
      <c r="AO13" s="26"/>
      <c r="AP13" s="26"/>
      <c r="AQ13" s="27"/>
      <c r="AR13" s="26"/>
      <c r="AS13" s="26"/>
      <c r="AT13" s="27"/>
      <c r="AU13" s="26"/>
      <c r="AV13" s="26"/>
      <c r="AW13" s="27"/>
      <c r="AX13" s="26"/>
      <c r="AY13" s="26"/>
      <c r="AZ13" s="27"/>
      <c r="BA13" s="26"/>
      <c r="BB13" s="26"/>
      <c r="BC13" s="27"/>
      <c r="BD13" s="26"/>
      <c r="BE13" s="26"/>
      <c r="BF13" s="27"/>
      <c r="BG13" s="26"/>
      <c r="BH13" s="26"/>
      <c r="BI13" s="27"/>
      <c r="BJ13" s="26"/>
      <c r="BK13" s="26"/>
      <c r="BL13" s="27"/>
      <c r="BM13" s="26"/>
      <c r="BN13" s="26"/>
      <c r="BO13" s="27"/>
      <c r="BP13" s="26"/>
      <c r="BQ13" s="26"/>
      <c r="BR13" s="27"/>
      <c r="BS13" s="26"/>
      <c r="BT13" s="26"/>
      <c r="BU13" s="27"/>
      <c r="BV13" s="26"/>
      <c r="BW13" s="26"/>
      <c r="BX13" s="27"/>
      <c r="BY13" s="26"/>
      <c r="BZ13" s="26"/>
      <c r="CA13" s="27"/>
      <c r="CB13" s="26"/>
      <c r="CC13" s="26"/>
      <c r="CD13" s="27"/>
      <c r="CE13" s="26"/>
      <c r="CF13" s="26"/>
      <c r="CG13" s="27"/>
      <c r="CH13" s="26"/>
      <c r="CI13" s="26"/>
      <c r="CJ13" s="29"/>
      <c r="CK13" s="30"/>
      <c r="CL13" s="30"/>
    </row>
    <row r="14" spans="1:93" s="31" customFormat="1" ht="21" customHeight="1" x14ac:dyDescent="0.75">
      <c r="J14" s="222" t="s">
        <v>40</v>
      </c>
      <c r="K14" s="32"/>
      <c r="L14" s="33"/>
      <c r="M14" s="34"/>
      <c r="N14" s="35">
        <f>N16+N107</f>
        <v>25542042.100000001</v>
      </c>
      <c r="O14" s="35">
        <f>O16+O107</f>
        <v>25895736.803360999</v>
      </c>
      <c r="P14" s="36">
        <f>IFERROR(O14/N14,"-")</f>
        <v>1.0138475499326265</v>
      </c>
      <c r="Q14" s="37">
        <f>Q16+Q107</f>
        <v>24491719.100000001</v>
      </c>
      <c r="R14" s="37">
        <f>R16+R107</f>
        <v>24125499.603361003</v>
      </c>
      <c r="S14" s="38">
        <f>IFERROR(R14/Q14,"-")</f>
        <v>0.98504721146181207</v>
      </c>
      <c r="T14" s="39">
        <f>T16+T107</f>
        <v>24491445.100000001</v>
      </c>
      <c r="U14" s="39">
        <f>U16+U107</f>
        <v>24125101.803361002</v>
      </c>
      <c r="V14" s="40">
        <f>IFERROR(U14/T14,"-")</f>
        <v>0.98504198935002818</v>
      </c>
      <c r="W14" s="39">
        <f>W16+W107</f>
        <v>6887345.0999999996</v>
      </c>
      <c r="X14" s="39">
        <f>X16+X107</f>
        <v>5582903.8033609996</v>
      </c>
      <c r="Y14" s="40">
        <f>IFERROR(X14/W14,"-")</f>
        <v>0.81060317470675314</v>
      </c>
      <c r="Z14" s="39">
        <f>Z16+Z107</f>
        <v>214022.59999999998</v>
      </c>
      <c r="AA14" s="39">
        <f>AA16+AA107</f>
        <v>42666.338994999998</v>
      </c>
      <c r="AB14" s="40">
        <f>IFERROR(AA14/Z14,"-")</f>
        <v>0.19935436255330047</v>
      </c>
      <c r="AC14" s="39">
        <f>AC16+AC107</f>
        <v>6664360</v>
      </c>
      <c r="AD14" s="39">
        <f>AD16+AD107</f>
        <v>5507668.2999999998</v>
      </c>
      <c r="AE14" s="40">
        <f>IFERROR(AD14/AC14,"-")</f>
        <v>0.82643619192240514</v>
      </c>
      <c r="AF14" s="39">
        <f>AF16+AF107</f>
        <v>8962.5</v>
      </c>
      <c r="AG14" s="39">
        <f>AG16+AG107</f>
        <v>32569.164366000001</v>
      </c>
      <c r="AH14" s="40">
        <f>IFERROR(AG14/AF14,"-")</f>
        <v>3.6339374466945609</v>
      </c>
      <c r="AI14" s="41">
        <f>AI16+AI107</f>
        <v>9570000</v>
      </c>
      <c r="AJ14" s="39">
        <f>AJ16+AJ107</f>
        <v>9295736</v>
      </c>
      <c r="AK14" s="40">
        <f>IFERROR(AJ14/AI14,"-")</f>
        <v>0.97134127481713683</v>
      </c>
      <c r="AL14" s="39">
        <f>AL16+AL107</f>
        <v>8034100</v>
      </c>
      <c r="AM14" s="39">
        <f>AM16+AM107</f>
        <v>9246462.0000000019</v>
      </c>
      <c r="AN14" s="40">
        <f>IFERROR(AM14/AL14,"-")</f>
        <v>1.150902030096713</v>
      </c>
      <c r="AO14" s="39">
        <f>AO16+AO107</f>
        <v>274</v>
      </c>
      <c r="AP14" s="39">
        <f>AP16+AP107</f>
        <v>397.79999999999995</v>
      </c>
      <c r="AQ14" s="40">
        <f>IFERROR(AP14/AO14,"-")</f>
        <v>1.451824817518248</v>
      </c>
      <c r="AR14" s="39">
        <f>AR16+AR107</f>
        <v>0</v>
      </c>
      <c r="AS14" s="39">
        <f>AS16+AS107</f>
        <v>3.5</v>
      </c>
      <c r="AT14" s="40" t="str">
        <f>IFERROR(AS14/AR14,"-")</f>
        <v>-</v>
      </c>
      <c r="AU14" s="39">
        <f>AU16+AU107</f>
        <v>0</v>
      </c>
      <c r="AV14" s="39">
        <f>AV16+AV107</f>
        <v>23</v>
      </c>
      <c r="AW14" s="40" t="str">
        <f>IFERROR(AV14/AU14,"-")</f>
        <v>-</v>
      </c>
      <c r="AX14" s="39">
        <f>AX16+AX107</f>
        <v>0</v>
      </c>
      <c r="AY14" s="39">
        <f>AY16+AY107</f>
        <v>8.6</v>
      </c>
      <c r="AZ14" s="40" t="str">
        <f>IFERROR(AY14/AX14,"-")</f>
        <v>-</v>
      </c>
      <c r="BA14" s="39">
        <f>BA16+BA107</f>
        <v>0</v>
      </c>
      <c r="BB14" s="39">
        <f>BB16+BB107</f>
        <v>8.5</v>
      </c>
      <c r="BC14" s="40" t="str">
        <f>IFERROR(BB14/BA14,"-")</f>
        <v>-</v>
      </c>
      <c r="BD14" s="39">
        <f>BD16+BD107</f>
        <v>0</v>
      </c>
      <c r="BE14" s="39">
        <f>BE16+BE107</f>
        <v>5.2</v>
      </c>
      <c r="BF14" s="40" t="str">
        <f>IFERROR(BE14/BD14,"-")</f>
        <v>-</v>
      </c>
      <c r="BG14" s="39">
        <f>BG16+BG107</f>
        <v>0</v>
      </c>
      <c r="BH14" s="39">
        <f>BH16+BH107</f>
        <v>2</v>
      </c>
      <c r="BI14" s="40" t="str">
        <f>IFERROR(BH14/BG14,"-")</f>
        <v>-</v>
      </c>
      <c r="BJ14" s="39">
        <f>BJ16+BJ107</f>
        <v>0</v>
      </c>
      <c r="BK14" s="39">
        <f>BK16+BK107</f>
        <v>17</v>
      </c>
      <c r="BL14" s="40" t="str">
        <f>IFERROR(BK14/BJ14,"-")</f>
        <v>-</v>
      </c>
      <c r="BM14" s="39">
        <f>BM16+BM107</f>
        <v>0</v>
      </c>
      <c r="BN14" s="39">
        <f>BN16+BN107</f>
        <v>18.7</v>
      </c>
      <c r="BO14" s="40" t="str">
        <f>IFERROR(BN14/BM14,"-")</f>
        <v>-</v>
      </c>
      <c r="BP14" s="39">
        <f>BP16+BP107</f>
        <v>274</v>
      </c>
      <c r="BQ14" s="39">
        <f>BQ16+BQ107</f>
        <v>287.79999999999995</v>
      </c>
      <c r="BR14" s="40">
        <f>IFERROR(BQ14/BP14,"-")</f>
        <v>1.0503649635036494</v>
      </c>
      <c r="BS14" s="39">
        <f>BS16+BS107</f>
        <v>0</v>
      </c>
      <c r="BT14" s="39">
        <f>BT16+BT107</f>
        <v>2</v>
      </c>
      <c r="BU14" s="40" t="str">
        <f>IFERROR(BT14/BS14,"-")</f>
        <v>-</v>
      </c>
      <c r="BV14" s="39">
        <f>BV16+BV107</f>
        <v>0</v>
      </c>
      <c r="BW14" s="39">
        <f>BW16+BW107</f>
        <v>12.5</v>
      </c>
      <c r="BX14" s="40" t="str">
        <f>IFERROR(BW14/BV14,"-")</f>
        <v>-</v>
      </c>
      <c r="BY14" s="39">
        <f>BY16+BY107</f>
        <v>0</v>
      </c>
      <c r="BZ14" s="39">
        <f>BZ16+BZ107</f>
        <v>7.5</v>
      </c>
      <c r="CA14" s="40" t="str">
        <f>IFERROR(BZ14/BY14,"-")</f>
        <v>-</v>
      </c>
      <c r="CB14" s="39">
        <f>CB16+CB107</f>
        <v>0</v>
      </c>
      <c r="CC14" s="39">
        <f>CC16+CC107</f>
        <v>1</v>
      </c>
      <c r="CD14" s="40" t="str">
        <f>IFERROR(CC14/CB14,"-")</f>
        <v>-</v>
      </c>
      <c r="CE14" s="39">
        <f>CE16+CE107</f>
        <v>0</v>
      </c>
      <c r="CF14" s="39">
        <f>CF16+CF107</f>
        <v>0.5</v>
      </c>
      <c r="CG14" s="40" t="str">
        <f>IFERROR(CF14/CE14,"-")</f>
        <v>-</v>
      </c>
      <c r="CH14" s="39">
        <f>CH16+CH107</f>
        <v>1050323</v>
      </c>
      <c r="CI14" s="39">
        <f>CI16+CI107</f>
        <v>1770237.2</v>
      </c>
      <c r="CJ14" s="42">
        <f>IFERROR(CI14/CH14,"-")</f>
        <v>1.685421722651032</v>
      </c>
      <c r="CK14" s="30" t="str">
        <f>IF(N14+O14=0,"-","ok")</f>
        <v>ok</v>
      </c>
      <c r="CL14" s="30"/>
      <c r="CM14" s="43"/>
      <c r="CN14" s="44"/>
      <c r="CO14" s="45"/>
    </row>
    <row r="15" spans="1:93" s="31" customFormat="1" ht="21" customHeight="1" x14ac:dyDescent="0.75">
      <c r="J15" s="223" t="s">
        <v>41</v>
      </c>
      <c r="K15" s="46"/>
      <c r="L15" s="47"/>
      <c r="M15" s="48"/>
      <c r="N15" s="49">
        <f>N16+N110</f>
        <v>19218892.100000001</v>
      </c>
      <c r="O15" s="49">
        <f>O16+O110</f>
        <v>20546341.903360996</v>
      </c>
      <c r="P15" s="50">
        <f t="shared" ref="P15:P80" si="0">IFERROR(O15/N15,"-")</f>
        <v>1.0690700481824857</v>
      </c>
      <c r="Q15" s="51">
        <f>Q16+Q110</f>
        <v>18168569.100000001</v>
      </c>
      <c r="R15" s="51">
        <f>R16+R110</f>
        <v>18776104.703361001</v>
      </c>
      <c r="S15" s="52">
        <f t="shared" ref="S15:S80" si="1">IFERROR(R15/Q15,"-")</f>
        <v>1.0334388250399422</v>
      </c>
      <c r="T15" s="53">
        <f>T16+T110</f>
        <v>18168295.100000001</v>
      </c>
      <c r="U15" s="53">
        <f>U16+U110</f>
        <v>18775706.903361</v>
      </c>
      <c r="V15" s="54">
        <f t="shared" ref="V15:V80" si="2">IFERROR(U15/T15,"-")</f>
        <v>1.033432515270021</v>
      </c>
      <c r="W15" s="53">
        <f>W16+W110</f>
        <v>564195.1</v>
      </c>
      <c r="X15" s="53">
        <f>X16+X110</f>
        <v>233508.90336099998</v>
      </c>
      <c r="Y15" s="54">
        <f t="shared" ref="Y15:Y80" si="3">IFERROR(X15/W15,"-")</f>
        <v>0.41387970820909287</v>
      </c>
      <c r="Z15" s="53">
        <f>Z16+Z110</f>
        <v>214022.59999999998</v>
      </c>
      <c r="AA15" s="53">
        <f>AA16+AA110</f>
        <v>42560.338994999998</v>
      </c>
      <c r="AB15" s="54">
        <f t="shared" ref="AB15:AB80" si="4">IFERROR(AA15/Z15,"-")</f>
        <v>0.19885908775521838</v>
      </c>
      <c r="AC15" s="53">
        <f>AC16+AC110</f>
        <v>341210</v>
      </c>
      <c r="AD15" s="53">
        <f>AD16+AD110</f>
        <v>158379.4</v>
      </c>
      <c r="AE15" s="54">
        <f t="shared" ref="AE15:AE80" si="5">IFERROR(AD15/AC15,"-")</f>
        <v>0.46416986606488669</v>
      </c>
      <c r="AF15" s="53">
        <f>AF16+AF110</f>
        <v>8962.5</v>
      </c>
      <c r="AG15" s="53">
        <f>AG16+AG110</f>
        <v>32569.164366000001</v>
      </c>
      <c r="AH15" s="54">
        <f t="shared" ref="AH15:AH80" si="6">IFERROR(AG15/AF15,"-")</f>
        <v>3.6339374466945609</v>
      </c>
      <c r="AI15" s="55">
        <f>AI16+AI110</f>
        <v>9570000</v>
      </c>
      <c r="AJ15" s="53">
        <f>AJ16+AJ110</f>
        <v>9295736</v>
      </c>
      <c r="AK15" s="54">
        <f t="shared" ref="AK15:AK80" si="7">IFERROR(AJ15/AI15,"-")</f>
        <v>0.97134127481713683</v>
      </c>
      <c r="AL15" s="53">
        <f>AL16+AL110</f>
        <v>8034100</v>
      </c>
      <c r="AM15" s="53">
        <f>AM16+AM110</f>
        <v>9246462.0000000019</v>
      </c>
      <c r="AN15" s="54">
        <f t="shared" ref="AN15:AN80" si="8">IFERROR(AM15/AL15,"-")</f>
        <v>1.150902030096713</v>
      </c>
      <c r="AO15" s="53">
        <f>AO16+AO110</f>
        <v>274</v>
      </c>
      <c r="AP15" s="53">
        <f>AP16+AP110</f>
        <v>397.79999999999995</v>
      </c>
      <c r="AQ15" s="54">
        <f t="shared" ref="AQ15:AQ80" si="9">IFERROR(AP15/AO15,"-")</f>
        <v>1.451824817518248</v>
      </c>
      <c r="AR15" s="53">
        <f>AR16+AR110</f>
        <v>0</v>
      </c>
      <c r="AS15" s="53">
        <f>AS16+AS110</f>
        <v>3.5</v>
      </c>
      <c r="AT15" s="54" t="str">
        <f t="shared" ref="AT15:AT80" si="10">IFERROR(AS15/AR15,"-")</f>
        <v>-</v>
      </c>
      <c r="AU15" s="53">
        <f>AU16+AU110</f>
        <v>0</v>
      </c>
      <c r="AV15" s="53">
        <f>AV16+AV110</f>
        <v>23</v>
      </c>
      <c r="AW15" s="54" t="str">
        <f t="shared" ref="AW15:AW80" si="11">IFERROR(AV15/AU15,"-")</f>
        <v>-</v>
      </c>
      <c r="AX15" s="53">
        <f>AX16+AX110</f>
        <v>0</v>
      </c>
      <c r="AY15" s="53">
        <f>AY16+AY110</f>
        <v>8.6</v>
      </c>
      <c r="AZ15" s="54" t="str">
        <f t="shared" ref="AZ15:AZ80" si="12">IFERROR(AY15/AX15,"-")</f>
        <v>-</v>
      </c>
      <c r="BA15" s="53">
        <f>BA16+BA110</f>
        <v>0</v>
      </c>
      <c r="BB15" s="53">
        <f>BB16+BB110</f>
        <v>8.5</v>
      </c>
      <c r="BC15" s="54" t="str">
        <f t="shared" ref="BC15:BC80" si="13">IFERROR(BB15/BA15,"-")</f>
        <v>-</v>
      </c>
      <c r="BD15" s="53">
        <f>BD16+BD110</f>
        <v>0</v>
      </c>
      <c r="BE15" s="53">
        <f>BE16+BE110</f>
        <v>5.2</v>
      </c>
      <c r="BF15" s="54" t="str">
        <f t="shared" ref="BF15:BF80" si="14">IFERROR(BE15/BD15,"-")</f>
        <v>-</v>
      </c>
      <c r="BG15" s="53">
        <f>BG16+BG110</f>
        <v>0</v>
      </c>
      <c r="BH15" s="53">
        <f>BH16+BH110</f>
        <v>2</v>
      </c>
      <c r="BI15" s="54" t="str">
        <f t="shared" ref="BI15:BI80" si="15">IFERROR(BH15/BG15,"-")</f>
        <v>-</v>
      </c>
      <c r="BJ15" s="53">
        <f>BJ16+BJ110</f>
        <v>0</v>
      </c>
      <c r="BK15" s="53">
        <f>BK16+BK110</f>
        <v>17</v>
      </c>
      <c r="BL15" s="54" t="str">
        <f t="shared" ref="BL15:BL80" si="16">IFERROR(BK15/BJ15,"-")</f>
        <v>-</v>
      </c>
      <c r="BM15" s="53">
        <f>BM16+BM110</f>
        <v>0</v>
      </c>
      <c r="BN15" s="53">
        <f>BN16+BN110</f>
        <v>18.7</v>
      </c>
      <c r="BO15" s="54" t="str">
        <f t="shared" ref="BO15:BO80" si="17">IFERROR(BN15/BM15,"-")</f>
        <v>-</v>
      </c>
      <c r="BP15" s="53">
        <f>BP16+BP110</f>
        <v>274</v>
      </c>
      <c r="BQ15" s="53">
        <f>BQ16+BQ110</f>
        <v>287.79999999999995</v>
      </c>
      <c r="BR15" s="54">
        <f t="shared" ref="BR15:BR80" si="18">IFERROR(BQ15/BP15,"-")</f>
        <v>1.0503649635036494</v>
      </c>
      <c r="BS15" s="53">
        <f>BS16+BS110</f>
        <v>0</v>
      </c>
      <c r="BT15" s="53">
        <f>BT16+BT110</f>
        <v>2</v>
      </c>
      <c r="BU15" s="54" t="str">
        <f t="shared" ref="BU15:BU80" si="19">IFERROR(BT15/BS15,"-")</f>
        <v>-</v>
      </c>
      <c r="BV15" s="53">
        <f>BV16+BV110</f>
        <v>0</v>
      </c>
      <c r="BW15" s="53">
        <f>BW16+BW110</f>
        <v>12.5</v>
      </c>
      <c r="BX15" s="54" t="str">
        <f t="shared" ref="BX15:BX80" si="20">IFERROR(BW15/BV15,"-")</f>
        <v>-</v>
      </c>
      <c r="BY15" s="53">
        <f>BY16+BY110</f>
        <v>0</v>
      </c>
      <c r="BZ15" s="53">
        <f>BZ16+BZ110</f>
        <v>7.5</v>
      </c>
      <c r="CA15" s="54" t="str">
        <f t="shared" ref="CA15:CA80" si="21">IFERROR(BZ15/BY15,"-")</f>
        <v>-</v>
      </c>
      <c r="CB15" s="53">
        <f>CB16+CB110</f>
        <v>0</v>
      </c>
      <c r="CC15" s="53">
        <f>CC16+CC110</f>
        <v>1</v>
      </c>
      <c r="CD15" s="54" t="str">
        <f t="shared" ref="CD15:CD80" si="22">IFERROR(CC15/CB15,"-")</f>
        <v>-</v>
      </c>
      <c r="CE15" s="53">
        <f>CE16+CE110</f>
        <v>0</v>
      </c>
      <c r="CF15" s="53">
        <f>CF16+CF110</f>
        <v>0.5</v>
      </c>
      <c r="CG15" s="54" t="str">
        <f t="shared" ref="CG15:CG80" si="23">IFERROR(CF15/CE15,"-")</f>
        <v>-</v>
      </c>
      <c r="CH15" s="53">
        <f>CH16+CH110</f>
        <v>1050323</v>
      </c>
      <c r="CI15" s="53">
        <f>CI16+CI110</f>
        <v>1770237.2</v>
      </c>
      <c r="CJ15" s="56">
        <f t="shared" ref="CJ15:CJ80" si="24">IFERROR(CI15/CH15,"-")</f>
        <v>1.685421722651032</v>
      </c>
      <c r="CK15" s="30" t="str">
        <f t="shared" ref="CK15:CK80" si="25">IF(N15+O15=0,"-","ok")</f>
        <v>ok</v>
      </c>
      <c r="CL15" s="30"/>
    </row>
    <row r="16" spans="1:93" s="31" customFormat="1" ht="21" customHeight="1" x14ac:dyDescent="0.75">
      <c r="J16" s="223" t="s">
        <v>42</v>
      </c>
      <c r="K16" s="46"/>
      <c r="L16" s="47"/>
      <c r="M16" s="48"/>
      <c r="N16" s="49">
        <f>N17</f>
        <v>18997689.100000001</v>
      </c>
      <c r="O16" s="49">
        <f>O17</f>
        <v>20489460.003360998</v>
      </c>
      <c r="P16" s="50">
        <f t="shared" si="0"/>
        <v>1.0785238086331772</v>
      </c>
      <c r="Q16" s="51">
        <f>Q17</f>
        <v>17947366.100000001</v>
      </c>
      <c r="R16" s="51">
        <f>R17</f>
        <v>18719222.803361002</v>
      </c>
      <c r="S16" s="52">
        <f t="shared" si="1"/>
        <v>1.0430066840482515</v>
      </c>
      <c r="T16" s="53">
        <f>T17</f>
        <v>17947092.100000001</v>
      </c>
      <c r="U16" s="53">
        <f>U17</f>
        <v>18718825.003361002</v>
      </c>
      <c r="V16" s="54">
        <f t="shared" si="2"/>
        <v>1.0430004425820605</v>
      </c>
      <c r="W16" s="53">
        <f>W17</f>
        <v>342992.1</v>
      </c>
      <c r="X16" s="53">
        <f>X17</f>
        <v>176627.00336099998</v>
      </c>
      <c r="Y16" s="54">
        <f t="shared" si="3"/>
        <v>0.51495939224547738</v>
      </c>
      <c r="Z16" s="53">
        <f>Z17</f>
        <v>214022.59999999998</v>
      </c>
      <c r="AA16" s="53">
        <f>AA17</f>
        <v>42560.338994999998</v>
      </c>
      <c r="AB16" s="54">
        <f t="shared" si="4"/>
        <v>0.19885908775521838</v>
      </c>
      <c r="AC16" s="53">
        <f>AC17</f>
        <v>120007</v>
      </c>
      <c r="AD16" s="53">
        <f>AD17</f>
        <v>101497.5</v>
      </c>
      <c r="AE16" s="54">
        <f t="shared" si="5"/>
        <v>0.84576316381544414</v>
      </c>
      <c r="AF16" s="53">
        <f>AF17</f>
        <v>8962.5</v>
      </c>
      <c r="AG16" s="53">
        <f>AG17</f>
        <v>32569.164366000001</v>
      </c>
      <c r="AH16" s="54">
        <f t="shared" si="6"/>
        <v>3.6339374466945609</v>
      </c>
      <c r="AI16" s="55">
        <f>AI17</f>
        <v>9570000</v>
      </c>
      <c r="AJ16" s="53">
        <f>AJ17</f>
        <v>9295736</v>
      </c>
      <c r="AK16" s="54">
        <f t="shared" si="7"/>
        <v>0.97134127481713683</v>
      </c>
      <c r="AL16" s="53">
        <f>AL17</f>
        <v>8034100</v>
      </c>
      <c r="AM16" s="53">
        <f>AM17</f>
        <v>9246462.0000000019</v>
      </c>
      <c r="AN16" s="54">
        <f t="shared" si="8"/>
        <v>1.150902030096713</v>
      </c>
      <c r="AO16" s="53">
        <f>AO17</f>
        <v>274</v>
      </c>
      <c r="AP16" s="53">
        <f>AP17</f>
        <v>397.79999999999995</v>
      </c>
      <c r="AQ16" s="54">
        <f t="shared" si="9"/>
        <v>1.451824817518248</v>
      </c>
      <c r="AR16" s="53">
        <f>AR17</f>
        <v>0</v>
      </c>
      <c r="AS16" s="53">
        <f>AS17</f>
        <v>3.5</v>
      </c>
      <c r="AT16" s="54" t="str">
        <f t="shared" si="10"/>
        <v>-</v>
      </c>
      <c r="AU16" s="53">
        <f>AU17</f>
        <v>0</v>
      </c>
      <c r="AV16" s="53">
        <f>AV17</f>
        <v>23</v>
      </c>
      <c r="AW16" s="54" t="str">
        <f t="shared" si="11"/>
        <v>-</v>
      </c>
      <c r="AX16" s="53">
        <f>AX17</f>
        <v>0</v>
      </c>
      <c r="AY16" s="53">
        <f>AY17</f>
        <v>8.6</v>
      </c>
      <c r="AZ16" s="54" t="str">
        <f t="shared" si="12"/>
        <v>-</v>
      </c>
      <c r="BA16" s="53">
        <f>BA17</f>
        <v>0</v>
      </c>
      <c r="BB16" s="53">
        <f>BB17</f>
        <v>8.5</v>
      </c>
      <c r="BC16" s="54" t="str">
        <f t="shared" si="13"/>
        <v>-</v>
      </c>
      <c r="BD16" s="53">
        <f>BD17</f>
        <v>0</v>
      </c>
      <c r="BE16" s="53">
        <f>BE17</f>
        <v>5.2</v>
      </c>
      <c r="BF16" s="54" t="str">
        <f t="shared" si="14"/>
        <v>-</v>
      </c>
      <c r="BG16" s="53">
        <f>BG17</f>
        <v>0</v>
      </c>
      <c r="BH16" s="53">
        <f>BH17</f>
        <v>2</v>
      </c>
      <c r="BI16" s="54" t="str">
        <f t="shared" si="15"/>
        <v>-</v>
      </c>
      <c r="BJ16" s="53">
        <f>BJ17</f>
        <v>0</v>
      </c>
      <c r="BK16" s="53">
        <f>BK17</f>
        <v>17</v>
      </c>
      <c r="BL16" s="54" t="str">
        <f t="shared" si="16"/>
        <v>-</v>
      </c>
      <c r="BM16" s="53">
        <f>BM17</f>
        <v>0</v>
      </c>
      <c r="BN16" s="53">
        <f>BN17</f>
        <v>18.7</v>
      </c>
      <c r="BO16" s="54" t="str">
        <f t="shared" si="17"/>
        <v>-</v>
      </c>
      <c r="BP16" s="53">
        <f>BP17</f>
        <v>274</v>
      </c>
      <c r="BQ16" s="53">
        <f>BQ17</f>
        <v>287.79999999999995</v>
      </c>
      <c r="BR16" s="54">
        <f t="shared" si="18"/>
        <v>1.0503649635036494</v>
      </c>
      <c r="BS16" s="53">
        <f>BS17</f>
        <v>0</v>
      </c>
      <c r="BT16" s="53">
        <f>BT17</f>
        <v>2</v>
      </c>
      <c r="BU16" s="54" t="str">
        <f t="shared" si="19"/>
        <v>-</v>
      </c>
      <c r="BV16" s="53">
        <f>BV17</f>
        <v>0</v>
      </c>
      <c r="BW16" s="53">
        <f>BW17</f>
        <v>12.5</v>
      </c>
      <c r="BX16" s="54" t="str">
        <f t="shared" si="20"/>
        <v>-</v>
      </c>
      <c r="BY16" s="53">
        <f>BY17</f>
        <v>0</v>
      </c>
      <c r="BZ16" s="53">
        <f>BZ17</f>
        <v>7.5</v>
      </c>
      <c r="CA16" s="54" t="str">
        <f t="shared" si="21"/>
        <v>-</v>
      </c>
      <c r="CB16" s="53">
        <f>CB17</f>
        <v>0</v>
      </c>
      <c r="CC16" s="53">
        <f>CC17</f>
        <v>1</v>
      </c>
      <c r="CD16" s="54" t="str">
        <f t="shared" si="22"/>
        <v>-</v>
      </c>
      <c r="CE16" s="53">
        <f>CE17</f>
        <v>0</v>
      </c>
      <c r="CF16" s="53">
        <f>CF17</f>
        <v>0.5</v>
      </c>
      <c r="CG16" s="54" t="str">
        <f t="shared" si="23"/>
        <v>-</v>
      </c>
      <c r="CH16" s="53">
        <f>CH17</f>
        <v>1050323</v>
      </c>
      <c r="CI16" s="53">
        <f>CI17</f>
        <v>1770237.2</v>
      </c>
      <c r="CJ16" s="56">
        <f t="shared" si="24"/>
        <v>1.685421722651032</v>
      </c>
      <c r="CK16" s="30" t="str">
        <f t="shared" si="25"/>
        <v>ok</v>
      </c>
      <c r="CL16" s="30"/>
    </row>
    <row r="17" spans="3:91" s="69" customFormat="1" ht="17.25" customHeight="1" x14ac:dyDescent="0.75">
      <c r="J17" s="224" t="s">
        <v>43</v>
      </c>
      <c r="K17" s="57"/>
      <c r="L17" s="58"/>
      <c r="M17" s="59"/>
      <c r="N17" s="60">
        <f>N18+N72</f>
        <v>18997689.100000001</v>
      </c>
      <c r="O17" s="60">
        <f>O18+O72</f>
        <v>20489460.003360998</v>
      </c>
      <c r="P17" s="61">
        <f t="shared" si="0"/>
        <v>1.0785238086331772</v>
      </c>
      <c r="Q17" s="62">
        <f>Q18+Q72</f>
        <v>17947366.100000001</v>
      </c>
      <c r="R17" s="62">
        <f>R18+R72</f>
        <v>18719222.803361002</v>
      </c>
      <c r="S17" s="63">
        <f t="shared" si="1"/>
        <v>1.0430066840482515</v>
      </c>
      <c r="T17" s="64">
        <f>T18+T72</f>
        <v>17947092.100000001</v>
      </c>
      <c r="U17" s="64">
        <f>U18+U72</f>
        <v>18718825.003361002</v>
      </c>
      <c r="V17" s="65">
        <f t="shared" si="2"/>
        <v>1.0430004425820605</v>
      </c>
      <c r="W17" s="64">
        <f>W18+W72</f>
        <v>342992.1</v>
      </c>
      <c r="X17" s="64">
        <f>X18+X72</f>
        <v>176627.00336099998</v>
      </c>
      <c r="Y17" s="65">
        <f t="shared" si="3"/>
        <v>0.51495939224547738</v>
      </c>
      <c r="Z17" s="64">
        <f>Z18+Z72</f>
        <v>214022.59999999998</v>
      </c>
      <c r="AA17" s="64">
        <f>AA18+AA72</f>
        <v>42560.338994999998</v>
      </c>
      <c r="AB17" s="65">
        <f t="shared" si="4"/>
        <v>0.19885908775521838</v>
      </c>
      <c r="AC17" s="64">
        <f>AC18+AC72</f>
        <v>120007</v>
      </c>
      <c r="AD17" s="64">
        <f>AD18+AD72</f>
        <v>101497.5</v>
      </c>
      <c r="AE17" s="65">
        <f t="shared" si="5"/>
        <v>0.84576316381544414</v>
      </c>
      <c r="AF17" s="64">
        <f>AF18+AF72</f>
        <v>8962.5</v>
      </c>
      <c r="AG17" s="64">
        <f>AG18+AG72</f>
        <v>32569.164366000001</v>
      </c>
      <c r="AH17" s="65">
        <f t="shared" si="6"/>
        <v>3.6339374466945609</v>
      </c>
      <c r="AI17" s="66">
        <f>AI18+AI72</f>
        <v>9570000</v>
      </c>
      <c r="AJ17" s="64">
        <f>AJ18+AJ72</f>
        <v>9295736</v>
      </c>
      <c r="AK17" s="65">
        <f t="shared" si="7"/>
        <v>0.97134127481713683</v>
      </c>
      <c r="AL17" s="64">
        <f>AL18+AL72</f>
        <v>8034100</v>
      </c>
      <c r="AM17" s="64">
        <f>AM18+AM72</f>
        <v>9246462.0000000019</v>
      </c>
      <c r="AN17" s="65">
        <f t="shared" si="8"/>
        <v>1.150902030096713</v>
      </c>
      <c r="AO17" s="64">
        <f>AO18+AO72</f>
        <v>274</v>
      </c>
      <c r="AP17" s="64">
        <f>AP18+AP72</f>
        <v>397.79999999999995</v>
      </c>
      <c r="AQ17" s="65">
        <f t="shared" si="9"/>
        <v>1.451824817518248</v>
      </c>
      <c r="AR17" s="64">
        <f>AR18+AR72</f>
        <v>0</v>
      </c>
      <c r="AS17" s="64">
        <f>AS18+AS72</f>
        <v>3.5</v>
      </c>
      <c r="AT17" s="65" t="str">
        <f t="shared" si="10"/>
        <v>-</v>
      </c>
      <c r="AU17" s="64">
        <f>AU18+AU72</f>
        <v>0</v>
      </c>
      <c r="AV17" s="64">
        <f>AV18+AV72</f>
        <v>23</v>
      </c>
      <c r="AW17" s="65" t="str">
        <f t="shared" si="11"/>
        <v>-</v>
      </c>
      <c r="AX17" s="64">
        <f>AX18+AX72</f>
        <v>0</v>
      </c>
      <c r="AY17" s="64">
        <f>AY18+AY72</f>
        <v>8.6</v>
      </c>
      <c r="AZ17" s="65" t="str">
        <f t="shared" si="12"/>
        <v>-</v>
      </c>
      <c r="BA17" s="64">
        <f>BA18+BA72</f>
        <v>0</v>
      </c>
      <c r="BB17" s="64">
        <f>BB18+BB72</f>
        <v>8.5</v>
      </c>
      <c r="BC17" s="65" t="str">
        <f t="shared" si="13"/>
        <v>-</v>
      </c>
      <c r="BD17" s="64">
        <f>BD18+BD72</f>
        <v>0</v>
      </c>
      <c r="BE17" s="64">
        <f>BE18+BE72</f>
        <v>5.2</v>
      </c>
      <c r="BF17" s="65" t="str">
        <f t="shared" si="14"/>
        <v>-</v>
      </c>
      <c r="BG17" s="64">
        <f>BG18+BG72</f>
        <v>0</v>
      </c>
      <c r="BH17" s="64">
        <f>BH18+BH72</f>
        <v>2</v>
      </c>
      <c r="BI17" s="65" t="str">
        <f t="shared" si="15"/>
        <v>-</v>
      </c>
      <c r="BJ17" s="64">
        <f>BJ18+BJ72</f>
        <v>0</v>
      </c>
      <c r="BK17" s="64">
        <f>BK18+BK72</f>
        <v>17</v>
      </c>
      <c r="BL17" s="65" t="str">
        <f t="shared" si="16"/>
        <v>-</v>
      </c>
      <c r="BM17" s="64">
        <f>BM18+BM72</f>
        <v>0</v>
      </c>
      <c r="BN17" s="64">
        <f>BN18+BN72</f>
        <v>18.7</v>
      </c>
      <c r="BO17" s="65" t="str">
        <f t="shared" si="17"/>
        <v>-</v>
      </c>
      <c r="BP17" s="64">
        <f>BP18+BP72</f>
        <v>274</v>
      </c>
      <c r="BQ17" s="64">
        <f>BQ18+BQ72</f>
        <v>287.79999999999995</v>
      </c>
      <c r="BR17" s="65">
        <f t="shared" si="18"/>
        <v>1.0503649635036494</v>
      </c>
      <c r="BS17" s="64">
        <f>BS18+BS72</f>
        <v>0</v>
      </c>
      <c r="BT17" s="64">
        <f>BT18+BT72</f>
        <v>2</v>
      </c>
      <c r="BU17" s="65" t="str">
        <f t="shared" si="19"/>
        <v>-</v>
      </c>
      <c r="BV17" s="64">
        <f>BV18+BV72</f>
        <v>0</v>
      </c>
      <c r="BW17" s="64">
        <f>BW18+BW72</f>
        <v>12.5</v>
      </c>
      <c r="BX17" s="65" t="str">
        <f t="shared" si="20"/>
        <v>-</v>
      </c>
      <c r="BY17" s="64">
        <f>BY18+BY72</f>
        <v>0</v>
      </c>
      <c r="BZ17" s="64">
        <f>BZ18+BZ72</f>
        <v>7.5</v>
      </c>
      <c r="CA17" s="65" t="str">
        <f t="shared" si="21"/>
        <v>-</v>
      </c>
      <c r="CB17" s="64">
        <f>CB18+CB72</f>
        <v>0</v>
      </c>
      <c r="CC17" s="64">
        <f>CC18+CC72</f>
        <v>1</v>
      </c>
      <c r="CD17" s="65" t="str">
        <f t="shared" si="22"/>
        <v>-</v>
      </c>
      <c r="CE17" s="64">
        <f>CE18+CE72</f>
        <v>0</v>
      </c>
      <c r="CF17" s="64">
        <f>CF18+CF72</f>
        <v>0.5</v>
      </c>
      <c r="CG17" s="65" t="str">
        <f t="shared" si="23"/>
        <v>-</v>
      </c>
      <c r="CH17" s="64">
        <f>CH18+CH72</f>
        <v>1050323</v>
      </c>
      <c r="CI17" s="64">
        <f>CI18+CI72</f>
        <v>1770237.2</v>
      </c>
      <c r="CJ17" s="67">
        <f t="shared" si="24"/>
        <v>1.685421722651032</v>
      </c>
      <c r="CK17" s="68" t="str">
        <f t="shared" si="25"/>
        <v>ok</v>
      </c>
      <c r="CL17" s="68"/>
    </row>
    <row r="18" spans="3:91" s="82" customFormat="1" ht="31" customHeight="1" x14ac:dyDescent="0.75">
      <c r="J18" s="225" t="s">
        <v>44</v>
      </c>
      <c r="K18" s="70"/>
      <c r="L18" s="71"/>
      <c r="M18" s="72"/>
      <c r="N18" s="73">
        <f>N19+N57</f>
        <v>18570323</v>
      </c>
      <c r="O18" s="73">
        <f>O19+O57</f>
        <v>20205824.299999997</v>
      </c>
      <c r="P18" s="74">
        <f t="shared" si="0"/>
        <v>1.0880706975317551</v>
      </c>
      <c r="Q18" s="75">
        <f>Q19+Q57</f>
        <v>17520000</v>
      </c>
      <c r="R18" s="75">
        <f>R19+R57</f>
        <v>18435587.100000001</v>
      </c>
      <c r="S18" s="76">
        <f>IFERROR(R18/Q18,"-")</f>
        <v>1.0522595376712329</v>
      </c>
      <c r="T18" s="77">
        <f>T19+T57</f>
        <v>17520000</v>
      </c>
      <c r="U18" s="77">
        <f>U19+U57</f>
        <v>18435587.100000001</v>
      </c>
      <c r="V18" s="78">
        <f t="shared" si="2"/>
        <v>1.0522595376712329</v>
      </c>
      <c r="W18" s="77">
        <f>W19+W57</f>
        <v>0</v>
      </c>
      <c r="X18" s="77">
        <f>X19+X57</f>
        <v>0</v>
      </c>
      <c r="Y18" s="78" t="str">
        <f t="shared" si="3"/>
        <v>-</v>
      </c>
      <c r="Z18" s="77">
        <f>Z19+Z57</f>
        <v>0</v>
      </c>
      <c r="AA18" s="77">
        <f>AA19+AA57</f>
        <v>0</v>
      </c>
      <c r="AB18" s="78" t="str">
        <f t="shared" si="4"/>
        <v>-</v>
      </c>
      <c r="AC18" s="77">
        <f>AC19+AC57</f>
        <v>0</v>
      </c>
      <c r="AD18" s="77">
        <f>AD19+AD57</f>
        <v>0</v>
      </c>
      <c r="AE18" s="78" t="str">
        <f t="shared" si="5"/>
        <v>-</v>
      </c>
      <c r="AF18" s="77">
        <f>AF19+AF57</f>
        <v>0</v>
      </c>
      <c r="AG18" s="77">
        <f>AG19+AG57</f>
        <v>0</v>
      </c>
      <c r="AH18" s="78" t="str">
        <f t="shared" si="6"/>
        <v>-</v>
      </c>
      <c r="AI18" s="79">
        <f>AI19+AI57</f>
        <v>9496000</v>
      </c>
      <c r="AJ18" s="77">
        <f>AJ19+AJ57</f>
        <v>9197650</v>
      </c>
      <c r="AK18" s="78">
        <f t="shared" si="7"/>
        <v>0.96858150800336984</v>
      </c>
      <c r="AL18" s="77">
        <f>AL19+AL57</f>
        <v>8024000</v>
      </c>
      <c r="AM18" s="77">
        <f>AM19+AM57</f>
        <v>9237937.1000000015</v>
      </c>
      <c r="AN18" s="78">
        <f t="shared" si="8"/>
        <v>1.1512882726819542</v>
      </c>
      <c r="AO18" s="77">
        <f>AO19+AO57</f>
        <v>0</v>
      </c>
      <c r="AP18" s="77">
        <f>AP19+AP57</f>
        <v>0</v>
      </c>
      <c r="AQ18" s="78" t="str">
        <f t="shared" si="9"/>
        <v>-</v>
      </c>
      <c r="AR18" s="77">
        <f>AR19+AR57</f>
        <v>0</v>
      </c>
      <c r="AS18" s="77">
        <f>AS19+AS57</f>
        <v>0</v>
      </c>
      <c r="AT18" s="78" t="str">
        <f t="shared" si="10"/>
        <v>-</v>
      </c>
      <c r="AU18" s="77">
        <f>AU19+AU57</f>
        <v>0</v>
      </c>
      <c r="AV18" s="77">
        <f>AV19+AV57</f>
        <v>0</v>
      </c>
      <c r="AW18" s="78" t="str">
        <f t="shared" si="11"/>
        <v>-</v>
      </c>
      <c r="AX18" s="77">
        <f>AX19+AX57</f>
        <v>0</v>
      </c>
      <c r="AY18" s="77">
        <f>AY19+AY57</f>
        <v>0</v>
      </c>
      <c r="AZ18" s="78" t="str">
        <f t="shared" si="12"/>
        <v>-</v>
      </c>
      <c r="BA18" s="77">
        <f>BA19+BA57</f>
        <v>0</v>
      </c>
      <c r="BB18" s="77">
        <f>BB19+BB57</f>
        <v>0</v>
      </c>
      <c r="BC18" s="78" t="str">
        <f t="shared" si="13"/>
        <v>-</v>
      </c>
      <c r="BD18" s="77">
        <f>BD19+BD57</f>
        <v>0</v>
      </c>
      <c r="BE18" s="77">
        <f>BE19+BE57</f>
        <v>0</v>
      </c>
      <c r="BF18" s="78" t="str">
        <f t="shared" si="14"/>
        <v>-</v>
      </c>
      <c r="BG18" s="77">
        <f>BG19+BG57</f>
        <v>0</v>
      </c>
      <c r="BH18" s="77">
        <f>BH19+BH57</f>
        <v>0</v>
      </c>
      <c r="BI18" s="78" t="str">
        <f t="shared" si="15"/>
        <v>-</v>
      </c>
      <c r="BJ18" s="77">
        <f>BJ19+BJ57</f>
        <v>0</v>
      </c>
      <c r="BK18" s="77">
        <f>BK19+BK57</f>
        <v>0</v>
      </c>
      <c r="BL18" s="78" t="str">
        <f t="shared" si="16"/>
        <v>-</v>
      </c>
      <c r="BM18" s="77">
        <f>BM19+BM57</f>
        <v>0</v>
      </c>
      <c r="BN18" s="77">
        <f>BN19+BN57</f>
        <v>0</v>
      </c>
      <c r="BO18" s="78" t="str">
        <f t="shared" si="17"/>
        <v>-</v>
      </c>
      <c r="BP18" s="77">
        <f>BP19+BP57</f>
        <v>0</v>
      </c>
      <c r="BQ18" s="77">
        <f>BQ19+BQ57</f>
        <v>0</v>
      </c>
      <c r="BR18" s="78" t="str">
        <f t="shared" si="18"/>
        <v>-</v>
      </c>
      <c r="BS18" s="77">
        <f>BS19+BS57</f>
        <v>0</v>
      </c>
      <c r="BT18" s="77">
        <f>BT19+BT57</f>
        <v>0</v>
      </c>
      <c r="BU18" s="78" t="str">
        <f t="shared" si="19"/>
        <v>-</v>
      </c>
      <c r="BV18" s="77">
        <f>BV19+BV57</f>
        <v>0</v>
      </c>
      <c r="BW18" s="77">
        <f>BW19+BW57</f>
        <v>0</v>
      </c>
      <c r="BX18" s="78" t="str">
        <f t="shared" si="20"/>
        <v>-</v>
      </c>
      <c r="BY18" s="77">
        <f>BY19+BY57</f>
        <v>0</v>
      </c>
      <c r="BZ18" s="77">
        <f>BZ19+BZ57</f>
        <v>0</v>
      </c>
      <c r="CA18" s="78" t="str">
        <f t="shared" si="21"/>
        <v>-</v>
      </c>
      <c r="CB18" s="77">
        <f>CB19+CB57</f>
        <v>0</v>
      </c>
      <c r="CC18" s="77">
        <f>CC19+CC57</f>
        <v>0</v>
      </c>
      <c r="CD18" s="78" t="str">
        <f t="shared" si="22"/>
        <v>-</v>
      </c>
      <c r="CE18" s="77">
        <f>CE19+CE57</f>
        <v>0</v>
      </c>
      <c r="CF18" s="77">
        <f>CF19+CF57</f>
        <v>0</v>
      </c>
      <c r="CG18" s="78" t="str">
        <f t="shared" si="23"/>
        <v>-</v>
      </c>
      <c r="CH18" s="77">
        <f>CH19+CH57</f>
        <v>1050323</v>
      </c>
      <c r="CI18" s="77">
        <f>CI19+CI57</f>
        <v>1770237.2</v>
      </c>
      <c r="CJ18" s="80">
        <f t="shared" si="24"/>
        <v>1.685421722651032</v>
      </c>
      <c r="CK18" s="81" t="str">
        <f t="shared" si="25"/>
        <v>ok</v>
      </c>
      <c r="CL18" s="81"/>
    </row>
    <row r="19" spans="3:91" s="96" customFormat="1" ht="21" customHeight="1" x14ac:dyDescent="0.75">
      <c r="C19" s="96">
        <v>18</v>
      </c>
      <c r="D19" s="96" t="str">
        <f>IFERROR(INDEX([4]Account!$A:$A,MATCH(K19,[4]Account!$D:$D,0)),"")</f>
        <v/>
      </c>
      <c r="E19" s="96">
        <f>IFERROR(INDEX('[3]Account Group'!$A:$A,MATCH(J19,'[3]Account Group'!$B:$B,0)),"-")</f>
        <v>18</v>
      </c>
      <c r="F19" s="96" t="str">
        <f>IFERROR(INDEX([4]Account!$A:$A,MATCH(K19,[4]Account!$D:$D,0)),"")</f>
        <v/>
      </c>
      <c r="G19" s="96" t="str">
        <f>IFERROR(INDEX('[5]Sub Account'!$A:$A,MATCH(L19,'[5]Sub Account'!$D:$D,0)),"")</f>
        <v/>
      </c>
      <c r="H19" s="96">
        <v>1</v>
      </c>
      <c r="I19" s="96">
        <v>1</v>
      </c>
      <c r="J19" s="226">
        <v>70</v>
      </c>
      <c r="K19" s="83"/>
      <c r="L19" s="84"/>
      <c r="M19" s="85" t="s">
        <v>45</v>
      </c>
      <c r="N19" s="86">
        <f>N20+N26+N32+N38+N41+N44+N50+N54</f>
        <v>16274923</v>
      </c>
      <c r="O19" s="86">
        <f>O20+O26+O32+O38+O41+O44+O50+O54</f>
        <v>18043453.299999997</v>
      </c>
      <c r="P19" s="87">
        <f t="shared" si="0"/>
        <v>1.1086659703397672</v>
      </c>
      <c r="Q19" s="88">
        <f>Q20+Q26+Q32+Q38+Q41+Q44+Q50+Q54</f>
        <v>15224600</v>
      </c>
      <c r="R19" s="88">
        <f>R20+R26+R32+R38+R41+R44+R50+R54</f>
        <v>16273216.100000001</v>
      </c>
      <c r="S19" s="89">
        <f t="shared" si="1"/>
        <v>1.0688764302510412</v>
      </c>
      <c r="T19" s="90">
        <f>T20+T26+T32+T38+T41+T44+T50+T54</f>
        <v>15224600</v>
      </c>
      <c r="U19" s="90">
        <f>U20+U26+U32+U38+U41+U44+U50+U54</f>
        <v>16273216.100000001</v>
      </c>
      <c r="V19" s="91">
        <f t="shared" si="2"/>
        <v>1.0688764302510412</v>
      </c>
      <c r="W19" s="90">
        <f>W20+W26+W32+W38+W41+W44+W50+W54</f>
        <v>0</v>
      </c>
      <c r="X19" s="90">
        <f>X20+X26+X32+X38+X41+X44+X50+X54</f>
        <v>0</v>
      </c>
      <c r="Y19" s="91" t="str">
        <f t="shared" si="3"/>
        <v>-</v>
      </c>
      <c r="Z19" s="90">
        <f>Z20+Z26+Z32+Z38+Z41+Z44+Z50+Z54</f>
        <v>0</v>
      </c>
      <c r="AA19" s="90">
        <f>AA20+AA26+AA32+AA38+AA41+AA44+AA50+AA54</f>
        <v>0</v>
      </c>
      <c r="AB19" s="91" t="str">
        <f t="shared" si="4"/>
        <v>-</v>
      </c>
      <c r="AC19" s="90">
        <f>AC20+AC26+AC32+AC38+AC41+AC44+AC50+AC54</f>
        <v>0</v>
      </c>
      <c r="AD19" s="90">
        <f>AD20+AD26+AD32+AD38+AD41+AD44+AD50+AD54</f>
        <v>0</v>
      </c>
      <c r="AE19" s="91" t="str">
        <f t="shared" si="5"/>
        <v>-</v>
      </c>
      <c r="AF19" s="90">
        <f>AF20+AF26+AF32+AF38+AF41+AF44+AF50+AF54</f>
        <v>0</v>
      </c>
      <c r="AG19" s="90">
        <f>AG20+AG26+AG32+AG38+AG41+AG44+AG50+AG54</f>
        <v>0</v>
      </c>
      <c r="AH19" s="91" t="str">
        <f t="shared" si="6"/>
        <v>-</v>
      </c>
      <c r="AI19" s="92">
        <f>AI20+AI26+AI32+AI38+AI41+AI44+AI50+AI54</f>
        <v>7200600</v>
      </c>
      <c r="AJ19" s="90">
        <f>AJ20+AJ26+AJ32+AJ38+AJ41+AJ44+AJ50+AJ54</f>
        <v>7035279</v>
      </c>
      <c r="AK19" s="91">
        <f t="shared" si="7"/>
        <v>0.97704066327806016</v>
      </c>
      <c r="AL19" s="90">
        <f>AL20+AL26+AL32+AL38+AL41+AL44+AL50+AL54</f>
        <v>8024000</v>
      </c>
      <c r="AM19" s="90">
        <f>AM20+AM26+AM32+AM38+AM41+AM44+AM50+AM54</f>
        <v>9237937.1000000015</v>
      </c>
      <c r="AN19" s="91">
        <f t="shared" si="8"/>
        <v>1.1512882726819542</v>
      </c>
      <c r="AO19" s="90">
        <f>AO20+AO26+AO32+AO38+AO41+AO44+AO50+AO54</f>
        <v>0</v>
      </c>
      <c r="AP19" s="90">
        <f>AP20+AP26+AP32+AP38+AP41+AP44+AP50+AP54</f>
        <v>0</v>
      </c>
      <c r="AQ19" s="91" t="str">
        <f t="shared" si="9"/>
        <v>-</v>
      </c>
      <c r="AR19" s="90">
        <f>AR20+AR26+AR32+AR38+AR41+AR44+AR50+AR54</f>
        <v>0</v>
      </c>
      <c r="AS19" s="90">
        <f>AS20+AS26+AS32+AS38+AS41+AS44+AS50+AS54</f>
        <v>0</v>
      </c>
      <c r="AT19" s="91" t="str">
        <f t="shared" si="10"/>
        <v>-</v>
      </c>
      <c r="AU19" s="90">
        <f>AU20+AU26+AU32+AU38+AU41+AU44+AU50+AU54</f>
        <v>0</v>
      </c>
      <c r="AV19" s="90">
        <f>AV20+AV26+AV32+AV38+AV41+AV44+AV50+AV54</f>
        <v>0</v>
      </c>
      <c r="AW19" s="91" t="str">
        <f t="shared" si="11"/>
        <v>-</v>
      </c>
      <c r="AX19" s="90">
        <f>AX20+AX26+AX32+AX38+AX41+AX44+AX50+AX54</f>
        <v>0</v>
      </c>
      <c r="AY19" s="90">
        <f>AY20+AY26+AY32+AY38+AY41+AY44+AY50+AY54</f>
        <v>0</v>
      </c>
      <c r="AZ19" s="91" t="str">
        <f t="shared" si="12"/>
        <v>-</v>
      </c>
      <c r="BA19" s="90">
        <f>BA20+BA26+BA32+BA38+BA41+BA44+BA50+BA54</f>
        <v>0</v>
      </c>
      <c r="BB19" s="90">
        <f>BB20+BB26+BB32+BB38+BB41+BB44+BB50+BB54</f>
        <v>0</v>
      </c>
      <c r="BC19" s="91" t="str">
        <f t="shared" si="13"/>
        <v>-</v>
      </c>
      <c r="BD19" s="90">
        <f>BD20+BD26+BD32+BD38+BD41+BD44+BD50+BD54</f>
        <v>0</v>
      </c>
      <c r="BE19" s="90">
        <f>BE20+BE26+BE32+BE38+BE41+BE44+BE50+BE54</f>
        <v>0</v>
      </c>
      <c r="BF19" s="91" t="str">
        <f t="shared" si="14"/>
        <v>-</v>
      </c>
      <c r="BG19" s="90">
        <f>BG20+BG26+BG32+BG38+BG41+BG44+BG50+BG54</f>
        <v>0</v>
      </c>
      <c r="BH19" s="90">
        <f>BH20+BH26+BH32+BH38+BH41+BH44+BH50+BH54</f>
        <v>0</v>
      </c>
      <c r="BI19" s="91" t="str">
        <f t="shared" si="15"/>
        <v>-</v>
      </c>
      <c r="BJ19" s="90">
        <f>BJ20+BJ26+BJ32+BJ38+BJ41+BJ44+BJ50+BJ54</f>
        <v>0</v>
      </c>
      <c r="BK19" s="90">
        <f>BK20+BK26+BK32+BK38+BK41+BK44+BK50+BK54</f>
        <v>0</v>
      </c>
      <c r="BL19" s="91" t="str">
        <f t="shared" si="16"/>
        <v>-</v>
      </c>
      <c r="BM19" s="90">
        <f>BM20+BM26+BM32+BM38+BM41+BM44+BM50+BM54</f>
        <v>0</v>
      </c>
      <c r="BN19" s="90">
        <f>BN20+BN26+BN32+BN38+BN41+BN44+BN50+BN54</f>
        <v>0</v>
      </c>
      <c r="BO19" s="91" t="str">
        <f t="shared" si="17"/>
        <v>-</v>
      </c>
      <c r="BP19" s="90">
        <f>BP20+BP26+BP32+BP38+BP41+BP44+BP50+BP54</f>
        <v>0</v>
      </c>
      <c r="BQ19" s="90">
        <f>BQ20+BQ26+BQ32+BQ38+BQ41+BQ44+BQ50+BQ54</f>
        <v>0</v>
      </c>
      <c r="BR19" s="91" t="str">
        <f t="shared" si="18"/>
        <v>-</v>
      </c>
      <c r="BS19" s="90">
        <f>BS20+BS26+BS32+BS38+BS41+BS44+BS50+BS54</f>
        <v>0</v>
      </c>
      <c r="BT19" s="90">
        <f>BT20+BT26+BT32+BT38+BT41+BT44+BT50+BT54</f>
        <v>0</v>
      </c>
      <c r="BU19" s="91" t="str">
        <f t="shared" si="19"/>
        <v>-</v>
      </c>
      <c r="BV19" s="90">
        <f>BV20+BV26+BV32+BV38+BV41+BV44+BV50+BV54</f>
        <v>0</v>
      </c>
      <c r="BW19" s="90">
        <f>BW20+BW26+BW32+BW38+BW41+BW44+BW50+BW54</f>
        <v>0</v>
      </c>
      <c r="BX19" s="91" t="str">
        <f t="shared" si="20"/>
        <v>-</v>
      </c>
      <c r="BY19" s="90">
        <f>BY20+BY26+BY32+BY38+BY41+BY44+BY50+BY54</f>
        <v>0</v>
      </c>
      <c r="BZ19" s="90">
        <f>BZ20+BZ26+BZ32+BZ38+BZ41+BZ44+BZ50+BZ54</f>
        <v>0</v>
      </c>
      <c r="CA19" s="91" t="str">
        <f t="shared" si="21"/>
        <v>-</v>
      </c>
      <c r="CB19" s="90">
        <f>CB20+CB26+CB32+CB38+CB41+CB44+CB50+CB54</f>
        <v>0</v>
      </c>
      <c r="CC19" s="90">
        <f>CC20+CC26+CC32+CC38+CC41+CC44+CC50+CC54</f>
        <v>0</v>
      </c>
      <c r="CD19" s="91" t="str">
        <f t="shared" si="22"/>
        <v>-</v>
      </c>
      <c r="CE19" s="90">
        <f>CE20+CE26+CE32+CE38+CE41+CE44+CE50+CE54</f>
        <v>0</v>
      </c>
      <c r="CF19" s="90">
        <f>CF20+CF26+CF32+CF38+CF41+CF44+CF50+CF54</f>
        <v>0</v>
      </c>
      <c r="CG19" s="91" t="str">
        <f t="shared" si="23"/>
        <v>-</v>
      </c>
      <c r="CH19" s="90">
        <f>CH20+CH26+CH32+CH38+CH41+CH44+CH50+CH54</f>
        <v>1050323</v>
      </c>
      <c r="CI19" s="90">
        <f>CI20+CI26+CI32+CI38+CI41+CI44+CI50+CI54</f>
        <v>1770237.2</v>
      </c>
      <c r="CJ19" s="93">
        <f t="shared" si="24"/>
        <v>1.685421722651032</v>
      </c>
      <c r="CK19" s="94" t="str">
        <f t="shared" si="25"/>
        <v>ok</v>
      </c>
      <c r="CL19" s="94"/>
      <c r="CM19" s="95"/>
    </row>
    <row r="20" spans="3:91" s="110" customFormat="1" ht="21" customHeight="1" x14ac:dyDescent="0.75">
      <c r="C20" s="96">
        <v>18</v>
      </c>
      <c r="D20" s="96">
        <f>IFERROR(INDEX([4]Account!$A:$A,MATCH(K20,[4]Account!$D:$D,0)),"")</f>
        <v>90</v>
      </c>
      <c r="E20" s="96">
        <v>18</v>
      </c>
      <c r="F20" s="96">
        <f>IFERROR(INDEX([4]Account!$A:$A,MATCH(K20,[4]Account!$D:$D,0)),"")</f>
        <v>90</v>
      </c>
      <c r="G20" s="96" t="str">
        <f>IFERROR(INDEX('[5]Sub Account'!$A:$A,MATCH(L20,'[5]Sub Account'!$D:$D,0)),"")</f>
        <v/>
      </c>
      <c r="H20" s="96">
        <v>1</v>
      </c>
      <c r="I20" s="96">
        <v>1</v>
      </c>
      <c r="J20" s="227"/>
      <c r="K20" s="237">
        <v>7001</v>
      </c>
      <c r="L20" s="98"/>
      <c r="M20" s="99" t="s">
        <v>46</v>
      </c>
      <c r="N20" s="100">
        <f>SUM(N21:N25)</f>
        <v>4458784.5</v>
      </c>
      <c r="O20" s="100">
        <f>SUM(O21:O25)</f>
        <v>6209513.6000000006</v>
      </c>
      <c r="P20" s="101">
        <f t="shared" si="0"/>
        <v>1.3926471665091686</v>
      </c>
      <c r="Q20" s="102">
        <f>SUM(Q21:Q25)</f>
        <v>4304000</v>
      </c>
      <c r="R20" s="102">
        <f>SUM(R21:R25)</f>
        <v>5927442.4000000004</v>
      </c>
      <c r="S20" s="103">
        <f t="shared" si="1"/>
        <v>1.3771938661710037</v>
      </c>
      <c r="T20" s="104">
        <f>SUM(T21:T25)</f>
        <v>4304000</v>
      </c>
      <c r="U20" s="104">
        <f>SUM(U21:U25)</f>
        <v>5927442.4000000004</v>
      </c>
      <c r="V20" s="105">
        <f t="shared" si="2"/>
        <v>1.3771938661710037</v>
      </c>
      <c r="W20" s="104">
        <f>SUM(W21:W25)</f>
        <v>0</v>
      </c>
      <c r="X20" s="104">
        <f>SUM(X21:X25)</f>
        <v>0</v>
      </c>
      <c r="Y20" s="105" t="str">
        <f t="shared" si="3"/>
        <v>-</v>
      </c>
      <c r="Z20" s="104">
        <f>SUM(Z21:Z25)</f>
        <v>0</v>
      </c>
      <c r="AA20" s="104">
        <f>SUM(AA21:AA25)</f>
        <v>0</v>
      </c>
      <c r="AB20" s="105" t="str">
        <f t="shared" si="4"/>
        <v>-</v>
      </c>
      <c r="AC20" s="104">
        <f>SUM(AC21:AC25)</f>
        <v>0</v>
      </c>
      <c r="AD20" s="104">
        <f>SUM(AD21:AD25)</f>
        <v>0</v>
      </c>
      <c r="AE20" s="105" t="str">
        <f t="shared" si="5"/>
        <v>-</v>
      </c>
      <c r="AF20" s="104">
        <f>SUM(AF21:AF25)</f>
        <v>0</v>
      </c>
      <c r="AG20" s="104">
        <f>SUM(AG21:AG25)</f>
        <v>0</v>
      </c>
      <c r="AH20" s="105" t="str">
        <f t="shared" si="6"/>
        <v>-</v>
      </c>
      <c r="AI20" s="106">
        <f>SUM(AI21:AI25)</f>
        <v>0</v>
      </c>
      <c r="AJ20" s="104">
        <f>SUM(AJ21:AJ25)</f>
        <v>0</v>
      </c>
      <c r="AK20" s="105" t="str">
        <f t="shared" si="7"/>
        <v>-</v>
      </c>
      <c r="AL20" s="104">
        <f>SUM(AL21:AL25)</f>
        <v>4304000</v>
      </c>
      <c r="AM20" s="104">
        <f>SUM(AM21:AM25)</f>
        <v>5927442.4000000004</v>
      </c>
      <c r="AN20" s="105">
        <f t="shared" si="8"/>
        <v>1.3771938661710037</v>
      </c>
      <c r="AO20" s="104">
        <f>SUM(AO21:AO25)</f>
        <v>0</v>
      </c>
      <c r="AP20" s="104">
        <f>SUM(AP21:AP25)</f>
        <v>0</v>
      </c>
      <c r="AQ20" s="105" t="str">
        <f t="shared" si="9"/>
        <v>-</v>
      </c>
      <c r="AR20" s="104">
        <f>SUM(AR21:AR25)</f>
        <v>0</v>
      </c>
      <c r="AS20" s="104">
        <f>SUM(AS21:AS25)</f>
        <v>0</v>
      </c>
      <c r="AT20" s="105" t="str">
        <f t="shared" si="10"/>
        <v>-</v>
      </c>
      <c r="AU20" s="104">
        <f>SUM(AU21:AU25)</f>
        <v>0</v>
      </c>
      <c r="AV20" s="104">
        <f>SUM(AV21:AV25)</f>
        <v>0</v>
      </c>
      <c r="AW20" s="105" t="str">
        <f t="shared" si="11"/>
        <v>-</v>
      </c>
      <c r="AX20" s="104">
        <f>SUM(AX21:AX25)</f>
        <v>0</v>
      </c>
      <c r="AY20" s="104">
        <f>SUM(AY21:AY25)</f>
        <v>0</v>
      </c>
      <c r="AZ20" s="105" t="str">
        <f t="shared" si="12"/>
        <v>-</v>
      </c>
      <c r="BA20" s="104">
        <f>SUM(BA21:BA25)</f>
        <v>0</v>
      </c>
      <c r="BB20" s="104">
        <f>SUM(BB21:BB25)</f>
        <v>0</v>
      </c>
      <c r="BC20" s="105" t="str">
        <f t="shared" si="13"/>
        <v>-</v>
      </c>
      <c r="BD20" s="104">
        <f>SUM(BD21:BD25)</f>
        <v>0</v>
      </c>
      <c r="BE20" s="104">
        <f>SUM(BE21:BE25)</f>
        <v>0</v>
      </c>
      <c r="BF20" s="105" t="str">
        <f t="shared" si="14"/>
        <v>-</v>
      </c>
      <c r="BG20" s="104">
        <f>SUM(BG21:BG25)</f>
        <v>0</v>
      </c>
      <c r="BH20" s="104">
        <f>SUM(BH21:BH25)</f>
        <v>0</v>
      </c>
      <c r="BI20" s="105" t="str">
        <f t="shared" si="15"/>
        <v>-</v>
      </c>
      <c r="BJ20" s="104">
        <f>SUM(BJ21:BJ25)</f>
        <v>0</v>
      </c>
      <c r="BK20" s="104">
        <f>SUM(BK21:BK25)</f>
        <v>0</v>
      </c>
      <c r="BL20" s="105" t="str">
        <f t="shared" si="16"/>
        <v>-</v>
      </c>
      <c r="BM20" s="104">
        <f>SUM(BM21:BM25)</f>
        <v>0</v>
      </c>
      <c r="BN20" s="104">
        <f>SUM(BN21:BN25)</f>
        <v>0</v>
      </c>
      <c r="BO20" s="105" t="str">
        <f t="shared" si="17"/>
        <v>-</v>
      </c>
      <c r="BP20" s="104">
        <f>SUM(BP21:BP25)</f>
        <v>0</v>
      </c>
      <c r="BQ20" s="104">
        <f>SUM(BQ21:BQ25)</f>
        <v>0</v>
      </c>
      <c r="BR20" s="105" t="str">
        <f t="shared" si="18"/>
        <v>-</v>
      </c>
      <c r="BS20" s="104">
        <f>SUM(BS21:BS25)</f>
        <v>0</v>
      </c>
      <c r="BT20" s="104">
        <f>SUM(BT21:BT25)</f>
        <v>0</v>
      </c>
      <c r="BU20" s="105" t="str">
        <f t="shared" si="19"/>
        <v>-</v>
      </c>
      <c r="BV20" s="104">
        <f>SUM(BV21:BV25)</f>
        <v>0</v>
      </c>
      <c r="BW20" s="104">
        <f>SUM(BW21:BW25)</f>
        <v>0</v>
      </c>
      <c r="BX20" s="105" t="str">
        <f t="shared" si="20"/>
        <v>-</v>
      </c>
      <c r="BY20" s="104">
        <f>SUM(BY21:BY25)</f>
        <v>0</v>
      </c>
      <c r="BZ20" s="104">
        <f>SUM(BZ21:BZ25)</f>
        <v>0</v>
      </c>
      <c r="CA20" s="105" t="str">
        <f t="shared" si="21"/>
        <v>-</v>
      </c>
      <c r="CB20" s="104">
        <f>SUM(CB21:CB25)</f>
        <v>0</v>
      </c>
      <c r="CC20" s="104">
        <f>SUM(CC21:CC25)</f>
        <v>0</v>
      </c>
      <c r="CD20" s="105" t="str">
        <f t="shared" si="22"/>
        <v>-</v>
      </c>
      <c r="CE20" s="104">
        <f>SUM(CE21:CE25)</f>
        <v>0</v>
      </c>
      <c r="CF20" s="104">
        <f>SUM(CF21:CF25)</f>
        <v>0</v>
      </c>
      <c r="CG20" s="105" t="str">
        <f t="shared" si="23"/>
        <v>-</v>
      </c>
      <c r="CH20" s="104">
        <f>SUM(CH21:CH25)</f>
        <v>154784.5</v>
      </c>
      <c r="CI20" s="104">
        <f>SUM(CI21:CI25)</f>
        <v>282071.2</v>
      </c>
      <c r="CJ20" s="107">
        <f t="shared" si="24"/>
        <v>1.8223478449069515</v>
      </c>
      <c r="CK20" s="108" t="str">
        <f t="shared" si="25"/>
        <v>ok</v>
      </c>
      <c r="CL20" s="108"/>
      <c r="CM20" s="109"/>
    </row>
    <row r="21" spans="3:91" s="123" customFormat="1" ht="21" customHeight="1" x14ac:dyDescent="0.75">
      <c r="C21" s="96">
        <v>18</v>
      </c>
      <c r="D21" s="96" t="str">
        <f>IFERROR(INDEX([4]Account!$A:$A,MATCH(K21,[4]Account!$D:$D,0)),"")</f>
        <v/>
      </c>
      <c r="E21" s="96">
        <v>18</v>
      </c>
      <c r="F21" s="96">
        <v>90</v>
      </c>
      <c r="G21" s="96">
        <f>IFERROR(INDEX('[5]Sub Account'!$A:$A,MATCH(L21,'[5]Sub Account'!$D:$D,0)),"")</f>
        <v>457</v>
      </c>
      <c r="H21" s="96">
        <v>1</v>
      </c>
      <c r="I21" s="96">
        <v>1</v>
      </c>
      <c r="J21" s="228"/>
      <c r="K21" s="111"/>
      <c r="L21" s="112">
        <v>70011</v>
      </c>
      <c r="M21" s="113" t="s">
        <v>47</v>
      </c>
      <c r="N21" s="114">
        <f t="shared" ref="N21:O25" si="26">Q21+CH21</f>
        <v>144000</v>
      </c>
      <c r="O21" s="114">
        <f t="shared" si="26"/>
        <v>64824.4</v>
      </c>
      <c r="P21" s="115">
        <f t="shared" si="0"/>
        <v>0.45016944444444446</v>
      </c>
      <c r="Q21" s="116">
        <f>T21+AO21</f>
        <v>144000</v>
      </c>
      <c r="R21" s="116">
        <f t="shared" ref="Q21:R25" si="27">U21+AP21</f>
        <v>64824.4</v>
      </c>
      <c r="S21" s="117">
        <f>IFERROR(R21/Q21,"-")</f>
        <v>0.45016944444444446</v>
      </c>
      <c r="T21" s="118">
        <f>W21+AI21+AL21</f>
        <v>144000</v>
      </c>
      <c r="U21" s="118">
        <f t="shared" ref="T21:U25" si="28">X21+AJ21+AM21</f>
        <v>64824.4</v>
      </c>
      <c r="V21" s="119">
        <f t="shared" si="2"/>
        <v>0.45016944444444446</v>
      </c>
      <c r="W21" s="118">
        <f>Z21+AC21+AF21</f>
        <v>0</v>
      </c>
      <c r="X21" s="118">
        <f>AA21+AD21+AG21</f>
        <v>0</v>
      </c>
      <c r="Y21" s="119" t="str">
        <f t="shared" si="3"/>
        <v>-</v>
      </c>
      <c r="Z21" s="118"/>
      <c r="AA21" s="118"/>
      <c r="AB21" s="119" t="str">
        <f t="shared" si="4"/>
        <v>-</v>
      </c>
      <c r="AC21" s="118"/>
      <c r="AD21" s="118"/>
      <c r="AE21" s="119" t="str">
        <f t="shared" si="5"/>
        <v>-</v>
      </c>
      <c r="AF21" s="118"/>
      <c r="AG21" s="118"/>
      <c r="AH21" s="119" t="str">
        <f t="shared" si="6"/>
        <v>-</v>
      </c>
      <c r="AI21" s="120"/>
      <c r="AJ21" s="118"/>
      <c r="AK21" s="119" t="str">
        <f t="shared" si="7"/>
        <v>-</v>
      </c>
      <c r="AL21" s="118">
        <v>144000</v>
      </c>
      <c r="AM21" s="118">
        <v>64824.4</v>
      </c>
      <c r="AN21" s="119">
        <f t="shared" si="8"/>
        <v>0.45016944444444446</v>
      </c>
      <c r="AO21" s="118">
        <f>AR21+AU21+AX21+BA21+BG21+BJ21+BM21+BP21+BS21+BV21+BY21+CB21+CE21</f>
        <v>0</v>
      </c>
      <c r="AP21" s="118">
        <f>AS21+AV21+AY21+BB21+BH21+BK21+BN21+BQ21+BT21+BW21+BZ21+CC21+CF21</f>
        <v>0</v>
      </c>
      <c r="AQ21" s="119" t="str">
        <f t="shared" si="9"/>
        <v>-</v>
      </c>
      <c r="AR21" s="118"/>
      <c r="AS21" s="118"/>
      <c r="AT21" s="119" t="str">
        <f t="shared" si="10"/>
        <v>-</v>
      </c>
      <c r="AU21" s="118"/>
      <c r="AV21" s="118"/>
      <c r="AW21" s="119" t="str">
        <f t="shared" si="11"/>
        <v>-</v>
      </c>
      <c r="AX21" s="118"/>
      <c r="AY21" s="118"/>
      <c r="AZ21" s="119" t="str">
        <f t="shared" si="12"/>
        <v>-</v>
      </c>
      <c r="BA21" s="118"/>
      <c r="BB21" s="118"/>
      <c r="BC21" s="119" t="str">
        <f t="shared" si="13"/>
        <v>-</v>
      </c>
      <c r="BD21" s="118"/>
      <c r="BE21" s="118"/>
      <c r="BF21" s="119" t="str">
        <f t="shared" si="14"/>
        <v>-</v>
      </c>
      <c r="BG21" s="118"/>
      <c r="BH21" s="118"/>
      <c r="BI21" s="119" t="str">
        <f t="shared" si="15"/>
        <v>-</v>
      </c>
      <c r="BJ21" s="118"/>
      <c r="BK21" s="118"/>
      <c r="BL21" s="119" t="str">
        <f t="shared" si="16"/>
        <v>-</v>
      </c>
      <c r="BM21" s="118"/>
      <c r="BN21" s="118"/>
      <c r="BO21" s="119" t="str">
        <f t="shared" si="17"/>
        <v>-</v>
      </c>
      <c r="BP21" s="118"/>
      <c r="BQ21" s="118"/>
      <c r="BR21" s="119" t="str">
        <f t="shared" si="18"/>
        <v>-</v>
      </c>
      <c r="BS21" s="118"/>
      <c r="BT21" s="118"/>
      <c r="BU21" s="119" t="str">
        <f t="shared" si="19"/>
        <v>-</v>
      </c>
      <c r="BV21" s="118"/>
      <c r="BW21" s="118"/>
      <c r="BX21" s="119" t="str">
        <f t="shared" si="20"/>
        <v>-</v>
      </c>
      <c r="BY21" s="118"/>
      <c r="BZ21" s="118"/>
      <c r="CA21" s="119" t="str">
        <f t="shared" si="21"/>
        <v>-</v>
      </c>
      <c r="CB21" s="118"/>
      <c r="CC21" s="118"/>
      <c r="CD21" s="119" t="str">
        <f t="shared" si="22"/>
        <v>-</v>
      </c>
      <c r="CE21" s="118"/>
      <c r="CF21" s="118"/>
      <c r="CG21" s="119" t="str">
        <f t="shared" si="23"/>
        <v>-</v>
      </c>
      <c r="CH21" s="118"/>
      <c r="CI21" s="118"/>
      <c r="CJ21" s="121" t="str">
        <f t="shared" si="24"/>
        <v>-</v>
      </c>
      <c r="CK21" s="122" t="str">
        <f t="shared" si="25"/>
        <v>ok</v>
      </c>
      <c r="CL21" s="122"/>
    </row>
    <row r="22" spans="3:91" s="124" customFormat="1" ht="21" customHeight="1" x14ac:dyDescent="0.75">
      <c r="C22" s="96">
        <v>18</v>
      </c>
      <c r="D22" s="96" t="str">
        <f>IFERROR(INDEX([4]Account!$A:$A,MATCH(K22,[4]Account!$D:$D,0)),"")</f>
        <v/>
      </c>
      <c r="E22" s="96">
        <v>18</v>
      </c>
      <c r="F22" s="96">
        <v>90</v>
      </c>
      <c r="G22" s="96">
        <f>IFERROR(INDEX('[5]Sub Account'!$A:$A,MATCH(L22,'[5]Sub Account'!$D:$D,0)),"")</f>
        <v>458</v>
      </c>
      <c r="H22" s="96">
        <v>1</v>
      </c>
      <c r="I22" s="96">
        <v>1</v>
      </c>
      <c r="J22" s="228"/>
      <c r="K22" s="111"/>
      <c r="L22" s="112">
        <v>70012</v>
      </c>
      <c r="M22" s="113" t="s">
        <v>48</v>
      </c>
      <c r="N22" s="114">
        <f t="shared" si="26"/>
        <v>3410000</v>
      </c>
      <c r="O22" s="114">
        <f t="shared" si="26"/>
        <v>4877496</v>
      </c>
      <c r="P22" s="115">
        <f t="shared" si="0"/>
        <v>1.43035073313783</v>
      </c>
      <c r="Q22" s="116">
        <f t="shared" si="27"/>
        <v>3410000</v>
      </c>
      <c r="R22" s="116">
        <f t="shared" si="27"/>
        <v>4877496</v>
      </c>
      <c r="S22" s="117">
        <f t="shared" si="1"/>
        <v>1.43035073313783</v>
      </c>
      <c r="T22" s="118">
        <f t="shared" si="28"/>
        <v>3410000</v>
      </c>
      <c r="U22" s="118">
        <f t="shared" si="28"/>
        <v>4877496</v>
      </c>
      <c r="V22" s="119">
        <f t="shared" si="2"/>
        <v>1.43035073313783</v>
      </c>
      <c r="W22" s="118">
        <f t="shared" ref="W22:X25" si="29">Z22+AC22+AF22</f>
        <v>0</v>
      </c>
      <c r="X22" s="118">
        <f t="shared" si="29"/>
        <v>0</v>
      </c>
      <c r="Y22" s="119" t="str">
        <f t="shared" si="3"/>
        <v>-</v>
      </c>
      <c r="Z22" s="118"/>
      <c r="AA22" s="118"/>
      <c r="AB22" s="119" t="str">
        <f t="shared" si="4"/>
        <v>-</v>
      </c>
      <c r="AC22" s="118"/>
      <c r="AD22" s="118"/>
      <c r="AE22" s="119" t="str">
        <f t="shared" si="5"/>
        <v>-</v>
      </c>
      <c r="AF22" s="118"/>
      <c r="AG22" s="118"/>
      <c r="AH22" s="119" t="str">
        <f t="shared" si="6"/>
        <v>-</v>
      </c>
      <c r="AI22" s="120"/>
      <c r="AJ22" s="118"/>
      <c r="AK22" s="119" t="str">
        <f t="shared" si="7"/>
        <v>-</v>
      </c>
      <c r="AL22" s="118">
        <v>3410000</v>
      </c>
      <c r="AM22" s="118">
        <v>4877496</v>
      </c>
      <c r="AN22" s="119">
        <f t="shared" si="8"/>
        <v>1.43035073313783</v>
      </c>
      <c r="AO22" s="118">
        <f t="shared" ref="AO22:AP25" si="30">AR22+AU22+AX22+BA22+BG22+BJ22+BM22+BP22+BS22+BV22+BY22+CB22+CE22</f>
        <v>0</v>
      </c>
      <c r="AP22" s="118">
        <f t="shared" si="30"/>
        <v>0</v>
      </c>
      <c r="AQ22" s="119" t="str">
        <f t="shared" si="9"/>
        <v>-</v>
      </c>
      <c r="AR22" s="118"/>
      <c r="AS22" s="118"/>
      <c r="AT22" s="119" t="str">
        <f t="shared" si="10"/>
        <v>-</v>
      </c>
      <c r="AU22" s="118"/>
      <c r="AV22" s="118"/>
      <c r="AW22" s="119" t="str">
        <f t="shared" si="11"/>
        <v>-</v>
      </c>
      <c r="AX22" s="118"/>
      <c r="AY22" s="118"/>
      <c r="AZ22" s="119" t="str">
        <f t="shared" si="12"/>
        <v>-</v>
      </c>
      <c r="BA22" s="118"/>
      <c r="BB22" s="118"/>
      <c r="BC22" s="119" t="str">
        <f t="shared" si="13"/>
        <v>-</v>
      </c>
      <c r="BD22" s="118"/>
      <c r="BE22" s="118"/>
      <c r="BF22" s="119" t="str">
        <f t="shared" si="14"/>
        <v>-</v>
      </c>
      <c r="BG22" s="118"/>
      <c r="BH22" s="118"/>
      <c r="BI22" s="119" t="str">
        <f t="shared" si="15"/>
        <v>-</v>
      </c>
      <c r="BJ22" s="118"/>
      <c r="BK22" s="118"/>
      <c r="BL22" s="119" t="str">
        <f t="shared" si="16"/>
        <v>-</v>
      </c>
      <c r="BM22" s="118"/>
      <c r="BN22" s="118"/>
      <c r="BO22" s="119" t="str">
        <f t="shared" si="17"/>
        <v>-</v>
      </c>
      <c r="BP22" s="118"/>
      <c r="BQ22" s="118"/>
      <c r="BR22" s="119" t="str">
        <f t="shared" si="18"/>
        <v>-</v>
      </c>
      <c r="BS22" s="118"/>
      <c r="BT22" s="118"/>
      <c r="BU22" s="119" t="str">
        <f t="shared" si="19"/>
        <v>-</v>
      </c>
      <c r="BV22" s="118"/>
      <c r="BW22" s="118"/>
      <c r="BX22" s="119" t="str">
        <f t="shared" si="20"/>
        <v>-</v>
      </c>
      <c r="BY22" s="118"/>
      <c r="BZ22" s="118"/>
      <c r="CA22" s="119" t="str">
        <f t="shared" si="21"/>
        <v>-</v>
      </c>
      <c r="CB22" s="118"/>
      <c r="CC22" s="118"/>
      <c r="CD22" s="119" t="str">
        <f t="shared" si="22"/>
        <v>-</v>
      </c>
      <c r="CE22" s="118"/>
      <c r="CF22" s="118"/>
      <c r="CG22" s="119" t="str">
        <f t="shared" si="23"/>
        <v>-</v>
      </c>
      <c r="CH22" s="118"/>
      <c r="CI22" s="118"/>
      <c r="CJ22" s="121" t="str">
        <f t="shared" si="24"/>
        <v>-</v>
      </c>
      <c r="CK22" s="122" t="str">
        <f t="shared" si="25"/>
        <v>ok</v>
      </c>
      <c r="CL22" s="122"/>
    </row>
    <row r="23" spans="3:91" s="124" customFormat="1" ht="21" customHeight="1" x14ac:dyDescent="0.75">
      <c r="C23" s="96">
        <v>18</v>
      </c>
      <c r="D23" s="96" t="str">
        <f>IFERROR(INDEX([4]Account!$A:$A,MATCH(K23,[4]Account!$D:$D,0)),"")</f>
        <v/>
      </c>
      <c r="E23" s="96">
        <v>18</v>
      </c>
      <c r="F23" s="96">
        <v>90</v>
      </c>
      <c r="G23" s="96">
        <f>IFERROR(INDEX('[5]Sub Account'!$A:$A,MATCH(L23,'[5]Sub Account'!$D:$D,0)),"")</f>
        <v>459</v>
      </c>
      <c r="H23" s="96">
        <v>1</v>
      </c>
      <c r="I23" s="96">
        <v>1</v>
      </c>
      <c r="J23" s="228"/>
      <c r="K23" s="111"/>
      <c r="L23" s="112">
        <v>70013</v>
      </c>
      <c r="M23" s="113" t="s">
        <v>49</v>
      </c>
      <c r="N23" s="114">
        <f t="shared" si="26"/>
        <v>750000</v>
      </c>
      <c r="O23" s="114">
        <f t="shared" si="26"/>
        <v>985122</v>
      </c>
      <c r="P23" s="115">
        <f t="shared" si="0"/>
        <v>1.313496</v>
      </c>
      <c r="Q23" s="116">
        <f t="shared" si="27"/>
        <v>750000</v>
      </c>
      <c r="R23" s="116">
        <f t="shared" si="27"/>
        <v>985122</v>
      </c>
      <c r="S23" s="117">
        <f t="shared" si="1"/>
        <v>1.313496</v>
      </c>
      <c r="T23" s="118">
        <f t="shared" si="28"/>
        <v>750000</v>
      </c>
      <c r="U23" s="118">
        <f t="shared" si="28"/>
        <v>985122</v>
      </c>
      <c r="V23" s="119">
        <f t="shared" si="2"/>
        <v>1.313496</v>
      </c>
      <c r="W23" s="118">
        <f t="shared" si="29"/>
        <v>0</v>
      </c>
      <c r="X23" s="118">
        <f t="shared" si="29"/>
        <v>0</v>
      </c>
      <c r="Y23" s="119" t="str">
        <f t="shared" si="3"/>
        <v>-</v>
      </c>
      <c r="Z23" s="118"/>
      <c r="AA23" s="118"/>
      <c r="AB23" s="119" t="str">
        <f t="shared" si="4"/>
        <v>-</v>
      </c>
      <c r="AC23" s="118"/>
      <c r="AD23" s="118"/>
      <c r="AE23" s="119" t="str">
        <f t="shared" si="5"/>
        <v>-</v>
      </c>
      <c r="AF23" s="118"/>
      <c r="AG23" s="118"/>
      <c r="AH23" s="119" t="str">
        <f t="shared" si="6"/>
        <v>-</v>
      </c>
      <c r="AI23" s="120"/>
      <c r="AJ23" s="118"/>
      <c r="AK23" s="119" t="str">
        <f t="shared" si="7"/>
        <v>-</v>
      </c>
      <c r="AL23" s="118">
        <v>750000</v>
      </c>
      <c r="AM23" s="118">
        <v>985122</v>
      </c>
      <c r="AN23" s="119">
        <f t="shared" si="8"/>
        <v>1.313496</v>
      </c>
      <c r="AO23" s="118">
        <f t="shared" si="30"/>
        <v>0</v>
      </c>
      <c r="AP23" s="118">
        <f t="shared" si="30"/>
        <v>0</v>
      </c>
      <c r="AQ23" s="119" t="str">
        <f t="shared" si="9"/>
        <v>-</v>
      </c>
      <c r="AR23" s="118"/>
      <c r="AS23" s="118"/>
      <c r="AT23" s="119" t="str">
        <f t="shared" si="10"/>
        <v>-</v>
      </c>
      <c r="AU23" s="118"/>
      <c r="AV23" s="118"/>
      <c r="AW23" s="119" t="str">
        <f t="shared" si="11"/>
        <v>-</v>
      </c>
      <c r="AX23" s="118"/>
      <c r="AY23" s="118"/>
      <c r="AZ23" s="119" t="str">
        <f t="shared" si="12"/>
        <v>-</v>
      </c>
      <c r="BA23" s="118"/>
      <c r="BB23" s="118"/>
      <c r="BC23" s="119" t="str">
        <f t="shared" si="13"/>
        <v>-</v>
      </c>
      <c r="BD23" s="118"/>
      <c r="BE23" s="118"/>
      <c r="BF23" s="119" t="str">
        <f t="shared" si="14"/>
        <v>-</v>
      </c>
      <c r="BG23" s="118"/>
      <c r="BH23" s="118"/>
      <c r="BI23" s="119" t="str">
        <f t="shared" si="15"/>
        <v>-</v>
      </c>
      <c r="BJ23" s="118"/>
      <c r="BK23" s="118"/>
      <c r="BL23" s="119" t="str">
        <f t="shared" si="16"/>
        <v>-</v>
      </c>
      <c r="BM23" s="118"/>
      <c r="BN23" s="118"/>
      <c r="BO23" s="119" t="str">
        <f t="shared" si="17"/>
        <v>-</v>
      </c>
      <c r="BP23" s="118"/>
      <c r="BQ23" s="118"/>
      <c r="BR23" s="119" t="str">
        <f t="shared" si="18"/>
        <v>-</v>
      </c>
      <c r="BS23" s="118"/>
      <c r="BT23" s="118"/>
      <c r="BU23" s="119" t="str">
        <f t="shared" si="19"/>
        <v>-</v>
      </c>
      <c r="BV23" s="118"/>
      <c r="BW23" s="118"/>
      <c r="BX23" s="119" t="str">
        <f t="shared" si="20"/>
        <v>-</v>
      </c>
      <c r="BY23" s="118"/>
      <c r="BZ23" s="118"/>
      <c r="CA23" s="119" t="str">
        <f t="shared" si="21"/>
        <v>-</v>
      </c>
      <c r="CB23" s="118"/>
      <c r="CC23" s="118"/>
      <c r="CD23" s="119" t="str">
        <f t="shared" si="22"/>
        <v>-</v>
      </c>
      <c r="CE23" s="118"/>
      <c r="CF23" s="118"/>
      <c r="CG23" s="119" t="str">
        <f t="shared" si="23"/>
        <v>-</v>
      </c>
      <c r="CH23" s="118"/>
      <c r="CI23" s="118"/>
      <c r="CJ23" s="121" t="str">
        <f t="shared" si="24"/>
        <v>-</v>
      </c>
      <c r="CK23" s="122" t="str">
        <f t="shared" si="25"/>
        <v>ok</v>
      </c>
      <c r="CL23" s="122"/>
    </row>
    <row r="24" spans="3:91" s="124" customFormat="1" ht="21" customHeight="1" x14ac:dyDescent="0.75">
      <c r="C24" s="96">
        <v>18</v>
      </c>
      <c r="D24" s="96" t="str">
        <f>IFERROR(INDEX([4]Account!$A:$A,MATCH(K24,[4]Account!$D:$D,0)),"")</f>
        <v/>
      </c>
      <c r="E24" s="96">
        <v>18</v>
      </c>
      <c r="F24" s="96">
        <v>90</v>
      </c>
      <c r="G24" s="96">
        <f>IFERROR(INDEX('[5]Sub Account'!$A:$A,MATCH(L24,'[5]Sub Account'!$D:$D,0)),"")</f>
        <v>460</v>
      </c>
      <c r="H24" s="96">
        <v>1</v>
      </c>
      <c r="I24" s="96">
        <v>1</v>
      </c>
      <c r="J24" s="228"/>
      <c r="K24" s="111"/>
      <c r="L24" s="112">
        <v>70014</v>
      </c>
      <c r="M24" s="113" t="s">
        <v>50</v>
      </c>
      <c r="N24" s="114">
        <f t="shared" si="26"/>
        <v>154784.5</v>
      </c>
      <c r="O24" s="114">
        <f t="shared" si="26"/>
        <v>276378.2</v>
      </c>
      <c r="P24" s="115">
        <f t="shared" si="0"/>
        <v>1.7855676763500221</v>
      </c>
      <c r="Q24" s="116">
        <f t="shared" si="27"/>
        <v>0</v>
      </c>
      <c r="R24" s="116">
        <f t="shared" si="27"/>
        <v>0</v>
      </c>
      <c r="S24" s="117" t="str">
        <f t="shared" si="1"/>
        <v>-</v>
      </c>
      <c r="T24" s="118">
        <f t="shared" si="28"/>
        <v>0</v>
      </c>
      <c r="U24" s="118">
        <f t="shared" si="28"/>
        <v>0</v>
      </c>
      <c r="V24" s="119" t="str">
        <f t="shared" si="2"/>
        <v>-</v>
      </c>
      <c r="W24" s="118">
        <f t="shared" si="29"/>
        <v>0</v>
      </c>
      <c r="X24" s="118">
        <f t="shared" si="29"/>
        <v>0</v>
      </c>
      <c r="Y24" s="119" t="str">
        <f t="shared" si="3"/>
        <v>-</v>
      </c>
      <c r="Z24" s="118"/>
      <c r="AA24" s="118"/>
      <c r="AB24" s="119" t="str">
        <f t="shared" si="4"/>
        <v>-</v>
      </c>
      <c r="AC24" s="118"/>
      <c r="AD24" s="118"/>
      <c r="AE24" s="119" t="str">
        <f t="shared" si="5"/>
        <v>-</v>
      </c>
      <c r="AF24" s="118"/>
      <c r="AG24" s="118"/>
      <c r="AH24" s="119" t="str">
        <f t="shared" si="6"/>
        <v>-</v>
      </c>
      <c r="AI24" s="120"/>
      <c r="AJ24" s="118"/>
      <c r="AK24" s="119" t="str">
        <f t="shared" si="7"/>
        <v>-</v>
      </c>
      <c r="AL24" s="118"/>
      <c r="AM24" s="118"/>
      <c r="AN24" s="119" t="str">
        <f t="shared" si="8"/>
        <v>-</v>
      </c>
      <c r="AO24" s="118">
        <f t="shared" si="30"/>
        <v>0</v>
      </c>
      <c r="AP24" s="118">
        <f t="shared" si="30"/>
        <v>0</v>
      </c>
      <c r="AQ24" s="119" t="str">
        <f t="shared" si="9"/>
        <v>-</v>
      </c>
      <c r="AR24" s="118"/>
      <c r="AS24" s="118"/>
      <c r="AT24" s="119" t="str">
        <f t="shared" si="10"/>
        <v>-</v>
      </c>
      <c r="AU24" s="118"/>
      <c r="AV24" s="118"/>
      <c r="AW24" s="119" t="str">
        <f t="shared" si="11"/>
        <v>-</v>
      </c>
      <c r="AX24" s="118"/>
      <c r="AY24" s="118"/>
      <c r="AZ24" s="119" t="str">
        <f t="shared" si="12"/>
        <v>-</v>
      </c>
      <c r="BA24" s="118"/>
      <c r="BB24" s="118"/>
      <c r="BC24" s="119" t="str">
        <f t="shared" si="13"/>
        <v>-</v>
      </c>
      <c r="BD24" s="118"/>
      <c r="BE24" s="118"/>
      <c r="BF24" s="119" t="str">
        <f t="shared" si="14"/>
        <v>-</v>
      </c>
      <c r="BG24" s="118"/>
      <c r="BH24" s="118"/>
      <c r="BI24" s="119" t="str">
        <f t="shared" si="15"/>
        <v>-</v>
      </c>
      <c r="BJ24" s="118"/>
      <c r="BK24" s="118"/>
      <c r="BL24" s="119" t="str">
        <f t="shared" si="16"/>
        <v>-</v>
      </c>
      <c r="BM24" s="118"/>
      <c r="BN24" s="118"/>
      <c r="BO24" s="119" t="str">
        <f t="shared" si="17"/>
        <v>-</v>
      </c>
      <c r="BP24" s="118"/>
      <c r="BQ24" s="118"/>
      <c r="BR24" s="119" t="str">
        <f t="shared" si="18"/>
        <v>-</v>
      </c>
      <c r="BS24" s="118"/>
      <c r="BT24" s="118"/>
      <c r="BU24" s="119" t="str">
        <f t="shared" si="19"/>
        <v>-</v>
      </c>
      <c r="BV24" s="118"/>
      <c r="BW24" s="118"/>
      <c r="BX24" s="119" t="str">
        <f t="shared" si="20"/>
        <v>-</v>
      </c>
      <c r="BY24" s="118"/>
      <c r="BZ24" s="118"/>
      <c r="CA24" s="119" t="str">
        <f t="shared" si="21"/>
        <v>-</v>
      </c>
      <c r="CB24" s="118"/>
      <c r="CC24" s="118"/>
      <c r="CD24" s="119" t="str">
        <f t="shared" si="22"/>
        <v>-</v>
      </c>
      <c r="CE24" s="118"/>
      <c r="CF24" s="118"/>
      <c r="CG24" s="119" t="str">
        <f t="shared" si="23"/>
        <v>-</v>
      </c>
      <c r="CH24" s="118">
        <v>154784.5</v>
      </c>
      <c r="CI24" s="118">
        <v>276378.2</v>
      </c>
      <c r="CJ24" s="121">
        <f t="shared" si="24"/>
        <v>1.7855676763500221</v>
      </c>
      <c r="CK24" s="122" t="str">
        <f t="shared" si="25"/>
        <v>ok</v>
      </c>
      <c r="CL24" s="122"/>
    </row>
    <row r="25" spans="3:91" s="124" customFormat="1" ht="21" customHeight="1" x14ac:dyDescent="0.75">
      <c r="C25" s="96">
        <v>18</v>
      </c>
      <c r="D25" s="96" t="str">
        <f>IFERROR(INDEX([4]Account!$A:$A,MATCH(K25,[4]Account!$D:$D,0)),"")</f>
        <v/>
      </c>
      <c r="E25" s="96">
        <v>18</v>
      </c>
      <c r="F25" s="96">
        <v>90</v>
      </c>
      <c r="G25" s="96">
        <f>IFERROR(INDEX('[5]Sub Account'!$A:$A,MATCH(L25,'[5]Sub Account'!$D:$D,0)),"")</f>
        <v>461</v>
      </c>
      <c r="H25" s="96">
        <v>1</v>
      </c>
      <c r="I25" s="96">
        <v>1</v>
      </c>
      <c r="J25" s="228"/>
      <c r="K25" s="111"/>
      <c r="L25" s="112">
        <v>70015</v>
      </c>
      <c r="M25" s="113" t="s">
        <v>51</v>
      </c>
      <c r="N25" s="114">
        <f t="shared" si="26"/>
        <v>0</v>
      </c>
      <c r="O25" s="114">
        <f t="shared" si="26"/>
        <v>5693</v>
      </c>
      <c r="P25" s="115" t="str">
        <f t="shared" si="0"/>
        <v>-</v>
      </c>
      <c r="Q25" s="116">
        <f t="shared" si="27"/>
        <v>0</v>
      </c>
      <c r="R25" s="116">
        <f t="shared" si="27"/>
        <v>0</v>
      </c>
      <c r="S25" s="117" t="str">
        <f t="shared" si="1"/>
        <v>-</v>
      </c>
      <c r="T25" s="118">
        <f t="shared" si="28"/>
        <v>0</v>
      </c>
      <c r="U25" s="118">
        <f t="shared" si="28"/>
        <v>0</v>
      </c>
      <c r="V25" s="119" t="str">
        <f t="shared" si="2"/>
        <v>-</v>
      </c>
      <c r="W25" s="118">
        <f t="shared" si="29"/>
        <v>0</v>
      </c>
      <c r="X25" s="118">
        <f t="shared" si="29"/>
        <v>0</v>
      </c>
      <c r="Y25" s="119" t="str">
        <f t="shared" si="3"/>
        <v>-</v>
      </c>
      <c r="Z25" s="118"/>
      <c r="AA25" s="118"/>
      <c r="AB25" s="119" t="str">
        <f t="shared" si="4"/>
        <v>-</v>
      </c>
      <c r="AC25" s="118"/>
      <c r="AD25" s="118"/>
      <c r="AE25" s="119" t="str">
        <f t="shared" si="5"/>
        <v>-</v>
      </c>
      <c r="AF25" s="118"/>
      <c r="AG25" s="118"/>
      <c r="AH25" s="119" t="str">
        <f t="shared" si="6"/>
        <v>-</v>
      </c>
      <c r="AI25" s="120"/>
      <c r="AJ25" s="118"/>
      <c r="AK25" s="119" t="str">
        <f t="shared" si="7"/>
        <v>-</v>
      </c>
      <c r="AL25" s="118"/>
      <c r="AM25" s="118"/>
      <c r="AN25" s="119" t="str">
        <f t="shared" si="8"/>
        <v>-</v>
      </c>
      <c r="AO25" s="118">
        <f t="shared" si="30"/>
        <v>0</v>
      </c>
      <c r="AP25" s="118">
        <f t="shared" si="30"/>
        <v>0</v>
      </c>
      <c r="AQ25" s="119" t="str">
        <f t="shared" si="9"/>
        <v>-</v>
      </c>
      <c r="AR25" s="118"/>
      <c r="AS25" s="118"/>
      <c r="AT25" s="119" t="str">
        <f t="shared" si="10"/>
        <v>-</v>
      </c>
      <c r="AU25" s="118"/>
      <c r="AV25" s="118"/>
      <c r="AW25" s="119" t="str">
        <f t="shared" si="11"/>
        <v>-</v>
      </c>
      <c r="AX25" s="118"/>
      <c r="AY25" s="118"/>
      <c r="AZ25" s="119" t="str">
        <f t="shared" si="12"/>
        <v>-</v>
      </c>
      <c r="BA25" s="118"/>
      <c r="BB25" s="118"/>
      <c r="BC25" s="119" t="str">
        <f t="shared" si="13"/>
        <v>-</v>
      </c>
      <c r="BD25" s="118"/>
      <c r="BE25" s="118"/>
      <c r="BF25" s="119" t="str">
        <f t="shared" si="14"/>
        <v>-</v>
      </c>
      <c r="BG25" s="118"/>
      <c r="BH25" s="118"/>
      <c r="BI25" s="119" t="str">
        <f t="shared" si="15"/>
        <v>-</v>
      </c>
      <c r="BJ25" s="118"/>
      <c r="BK25" s="118"/>
      <c r="BL25" s="119" t="str">
        <f t="shared" si="16"/>
        <v>-</v>
      </c>
      <c r="BM25" s="118"/>
      <c r="BN25" s="118"/>
      <c r="BO25" s="119" t="str">
        <f t="shared" si="17"/>
        <v>-</v>
      </c>
      <c r="BP25" s="118"/>
      <c r="BQ25" s="118"/>
      <c r="BR25" s="119" t="str">
        <f t="shared" si="18"/>
        <v>-</v>
      </c>
      <c r="BS25" s="118"/>
      <c r="BT25" s="118"/>
      <c r="BU25" s="119" t="str">
        <f t="shared" si="19"/>
        <v>-</v>
      </c>
      <c r="BV25" s="118"/>
      <c r="BW25" s="118"/>
      <c r="BX25" s="119" t="str">
        <f t="shared" si="20"/>
        <v>-</v>
      </c>
      <c r="BY25" s="118"/>
      <c r="BZ25" s="118"/>
      <c r="CA25" s="119" t="str">
        <f t="shared" si="21"/>
        <v>-</v>
      </c>
      <c r="CB25" s="118"/>
      <c r="CC25" s="118"/>
      <c r="CD25" s="119" t="str">
        <f t="shared" si="22"/>
        <v>-</v>
      </c>
      <c r="CE25" s="118"/>
      <c r="CF25" s="118"/>
      <c r="CG25" s="119" t="str">
        <f t="shared" si="23"/>
        <v>-</v>
      </c>
      <c r="CH25" s="118"/>
      <c r="CI25" s="118">
        <v>5693</v>
      </c>
      <c r="CJ25" s="121" t="str">
        <f t="shared" si="24"/>
        <v>-</v>
      </c>
      <c r="CK25" s="122" t="str">
        <f t="shared" si="25"/>
        <v>ok</v>
      </c>
      <c r="CL25" s="122"/>
    </row>
    <row r="26" spans="3:91" s="110" customFormat="1" ht="21" customHeight="1" x14ac:dyDescent="0.75">
      <c r="C26" s="96">
        <v>18</v>
      </c>
      <c r="D26" s="96">
        <f>IFERROR(INDEX([4]Account!$A:$A,MATCH(K26,[4]Account!$D:$D,0)),"")</f>
        <v>91</v>
      </c>
      <c r="E26" s="96">
        <v>18</v>
      </c>
      <c r="F26" s="96">
        <f>IFERROR(INDEX([4]Account!$A:$A,MATCH(K26,[4]Account!$D:$D,0)),"")</f>
        <v>91</v>
      </c>
      <c r="G26" s="96" t="str">
        <f>IFERROR(INDEX('[5]Sub Account'!$A:$A,MATCH(L26,'[5]Sub Account'!$D:$D,0)),"")</f>
        <v/>
      </c>
      <c r="H26" s="96">
        <v>1</v>
      </c>
      <c r="I26" s="96">
        <v>1</v>
      </c>
      <c r="J26" s="227"/>
      <c r="K26" s="237">
        <v>7002</v>
      </c>
      <c r="L26" s="98"/>
      <c r="M26" s="99" t="s">
        <v>52</v>
      </c>
      <c r="N26" s="100">
        <f>SUM(N27:N31)</f>
        <v>6276800</v>
      </c>
      <c r="O26" s="100">
        <f>SUM(O27:O31)</f>
        <v>5901603.2000000002</v>
      </c>
      <c r="P26" s="101">
        <f t="shared" si="0"/>
        <v>0.94022482793780271</v>
      </c>
      <c r="Q26" s="102">
        <f>SUM(Q27:Q31)</f>
        <v>6276800</v>
      </c>
      <c r="R26" s="102">
        <f>SUM(R27:R31)</f>
        <v>5901603.2000000002</v>
      </c>
      <c r="S26" s="103">
        <f t="shared" si="1"/>
        <v>0.94022482793780271</v>
      </c>
      <c r="T26" s="104">
        <f>SUM(T27:T31)</f>
        <v>6276800</v>
      </c>
      <c r="U26" s="104">
        <f>SUM(U27:U31)</f>
        <v>5901603.2000000002</v>
      </c>
      <c r="V26" s="105">
        <f t="shared" si="2"/>
        <v>0.94022482793780271</v>
      </c>
      <c r="W26" s="104">
        <f>SUM(W27:W31)</f>
        <v>0</v>
      </c>
      <c r="X26" s="104">
        <f>SUM(X27:X31)</f>
        <v>0</v>
      </c>
      <c r="Y26" s="105" t="str">
        <f t="shared" si="3"/>
        <v>-</v>
      </c>
      <c r="Z26" s="104">
        <f>SUM(Z27:Z31)</f>
        <v>0</v>
      </c>
      <c r="AA26" s="104">
        <f>SUM(AA27:AA31)</f>
        <v>0</v>
      </c>
      <c r="AB26" s="105" t="str">
        <f t="shared" si="4"/>
        <v>-</v>
      </c>
      <c r="AC26" s="104">
        <f>SUM(AC27:AC31)</f>
        <v>0</v>
      </c>
      <c r="AD26" s="104">
        <f>SUM(AD27:AD31)</f>
        <v>0</v>
      </c>
      <c r="AE26" s="105" t="str">
        <f t="shared" si="5"/>
        <v>-</v>
      </c>
      <c r="AF26" s="104">
        <f>SUM(AF27:AF31)</f>
        <v>0</v>
      </c>
      <c r="AG26" s="104">
        <f>SUM(AG27:AG31)</f>
        <v>0</v>
      </c>
      <c r="AH26" s="105" t="str">
        <f t="shared" si="6"/>
        <v>-</v>
      </c>
      <c r="AI26" s="106">
        <f>SUM(AI27:AI31)</f>
        <v>3636800</v>
      </c>
      <c r="AJ26" s="104">
        <f>SUM(AJ27:AJ31)</f>
        <v>3522235</v>
      </c>
      <c r="AK26" s="105">
        <f t="shared" si="7"/>
        <v>0.96849840519137709</v>
      </c>
      <c r="AL26" s="104">
        <f>SUM(AL27:AL31)</f>
        <v>2640000</v>
      </c>
      <c r="AM26" s="104">
        <f>SUM(AM27:AM31)</f>
        <v>2379368.2000000002</v>
      </c>
      <c r="AN26" s="105">
        <f t="shared" si="8"/>
        <v>0.90127583333333339</v>
      </c>
      <c r="AO26" s="104">
        <f>SUM(AO27:AO31)</f>
        <v>0</v>
      </c>
      <c r="AP26" s="104">
        <f>SUM(AP27:AP31)</f>
        <v>0</v>
      </c>
      <c r="AQ26" s="105" t="str">
        <f t="shared" si="9"/>
        <v>-</v>
      </c>
      <c r="AR26" s="104">
        <f>SUM(AR27:AR31)</f>
        <v>0</v>
      </c>
      <c r="AS26" s="104">
        <f>SUM(AS27:AS31)</f>
        <v>0</v>
      </c>
      <c r="AT26" s="105" t="str">
        <f t="shared" si="10"/>
        <v>-</v>
      </c>
      <c r="AU26" s="104">
        <f>SUM(AU27:AU31)</f>
        <v>0</v>
      </c>
      <c r="AV26" s="104">
        <f>SUM(AV27:AV31)</f>
        <v>0</v>
      </c>
      <c r="AW26" s="105" t="str">
        <f t="shared" si="11"/>
        <v>-</v>
      </c>
      <c r="AX26" s="104">
        <f>SUM(AX27:AX31)</f>
        <v>0</v>
      </c>
      <c r="AY26" s="104">
        <f>SUM(AY27:AY31)</f>
        <v>0</v>
      </c>
      <c r="AZ26" s="105" t="str">
        <f t="shared" si="12"/>
        <v>-</v>
      </c>
      <c r="BA26" s="104">
        <f>SUM(BA27:BA31)</f>
        <v>0</v>
      </c>
      <c r="BB26" s="104">
        <f>SUM(BB27:BB31)</f>
        <v>0</v>
      </c>
      <c r="BC26" s="105" t="str">
        <f t="shared" si="13"/>
        <v>-</v>
      </c>
      <c r="BD26" s="104">
        <f>SUM(BD27:BD31)</f>
        <v>0</v>
      </c>
      <c r="BE26" s="104">
        <f>SUM(BE27:BE31)</f>
        <v>0</v>
      </c>
      <c r="BF26" s="105" t="str">
        <f t="shared" si="14"/>
        <v>-</v>
      </c>
      <c r="BG26" s="104">
        <f>SUM(BG27:BG31)</f>
        <v>0</v>
      </c>
      <c r="BH26" s="104">
        <f>SUM(BH27:BH31)</f>
        <v>0</v>
      </c>
      <c r="BI26" s="105" t="str">
        <f t="shared" si="15"/>
        <v>-</v>
      </c>
      <c r="BJ26" s="104">
        <f>SUM(BJ27:BJ31)</f>
        <v>0</v>
      </c>
      <c r="BK26" s="104">
        <f>SUM(BK27:BK31)</f>
        <v>0</v>
      </c>
      <c r="BL26" s="105" t="str">
        <f t="shared" si="16"/>
        <v>-</v>
      </c>
      <c r="BM26" s="104">
        <f>SUM(BM27:BM31)</f>
        <v>0</v>
      </c>
      <c r="BN26" s="104">
        <f>SUM(BN27:BN31)</f>
        <v>0</v>
      </c>
      <c r="BO26" s="105" t="str">
        <f t="shared" si="17"/>
        <v>-</v>
      </c>
      <c r="BP26" s="104">
        <f>SUM(BP27:BP31)</f>
        <v>0</v>
      </c>
      <c r="BQ26" s="104">
        <f>SUM(BQ27:BQ31)</f>
        <v>0</v>
      </c>
      <c r="BR26" s="105" t="str">
        <f t="shared" si="18"/>
        <v>-</v>
      </c>
      <c r="BS26" s="104">
        <f>SUM(BS27:BS31)</f>
        <v>0</v>
      </c>
      <c r="BT26" s="104">
        <f>SUM(BT27:BT31)</f>
        <v>0</v>
      </c>
      <c r="BU26" s="105" t="str">
        <f t="shared" si="19"/>
        <v>-</v>
      </c>
      <c r="BV26" s="104">
        <f>SUM(BV27:BV31)</f>
        <v>0</v>
      </c>
      <c r="BW26" s="104">
        <f>SUM(BW27:BW31)</f>
        <v>0</v>
      </c>
      <c r="BX26" s="105" t="str">
        <f t="shared" si="20"/>
        <v>-</v>
      </c>
      <c r="BY26" s="104">
        <f>SUM(BY27:BY31)</f>
        <v>0</v>
      </c>
      <c r="BZ26" s="104">
        <f>SUM(BZ27:BZ31)</f>
        <v>0</v>
      </c>
      <c r="CA26" s="105" t="str">
        <f t="shared" si="21"/>
        <v>-</v>
      </c>
      <c r="CB26" s="104">
        <f>SUM(CB27:CB31)</f>
        <v>0</v>
      </c>
      <c r="CC26" s="104">
        <f>SUM(CC27:CC31)</f>
        <v>0</v>
      </c>
      <c r="CD26" s="105" t="str">
        <f t="shared" si="22"/>
        <v>-</v>
      </c>
      <c r="CE26" s="104">
        <f>SUM(CE27:CE31)</f>
        <v>0</v>
      </c>
      <c r="CF26" s="104">
        <f>SUM(CF27:CF31)</f>
        <v>0</v>
      </c>
      <c r="CG26" s="105" t="str">
        <f t="shared" si="23"/>
        <v>-</v>
      </c>
      <c r="CH26" s="104">
        <f>SUM(CH27:CH31)</f>
        <v>0</v>
      </c>
      <c r="CI26" s="104">
        <f>SUM(CI27:CI31)</f>
        <v>0</v>
      </c>
      <c r="CJ26" s="107" t="str">
        <f t="shared" si="24"/>
        <v>-</v>
      </c>
      <c r="CK26" s="108" t="str">
        <f t="shared" si="25"/>
        <v>ok</v>
      </c>
      <c r="CL26" s="108"/>
      <c r="CM26" s="109"/>
    </row>
    <row r="27" spans="3:91" s="124" customFormat="1" ht="21" customHeight="1" x14ac:dyDescent="0.75">
      <c r="C27" s="96">
        <v>18</v>
      </c>
      <c r="D27" s="96" t="str">
        <f>IFERROR(INDEX([4]Account!$A:$A,MATCH(K27,[4]Account!$D:$D,0)),"")</f>
        <v/>
      </c>
      <c r="E27" s="96">
        <v>18</v>
      </c>
      <c r="F27" s="96">
        <v>91</v>
      </c>
      <c r="G27" s="96">
        <f>IFERROR(INDEX('[5]Sub Account'!$A:$A,MATCH(L27,'[5]Sub Account'!$D:$D,0)),"")</f>
        <v>471</v>
      </c>
      <c r="H27" s="96">
        <v>1</v>
      </c>
      <c r="I27" s="96">
        <v>1</v>
      </c>
      <c r="J27" s="228"/>
      <c r="K27" s="111"/>
      <c r="L27" s="112">
        <v>70021</v>
      </c>
      <c r="M27" s="113" t="s">
        <v>53</v>
      </c>
      <c r="N27" s="114">
        <f t="shared" ref="N27:O31" si="31">Q27+CH27</f>
        <v>0</v>
      </c>
      <c r="O27" s="114">
        <f t="shared" si="31"/>
        <v>0.1</v>
      </c>
      <c r="P27" s="115" t="str">
        <f t="shared" si="0"/>
        <v>-</v>
      </c>
      <c r="Q27" s="116">
        <f t="shared" ref="Q27:R31" si="32">T27+AO27</f>
        <v>0</v>
      </c>
      <c r="R27" s="116">
        <f t="shared" si="32"/>
        <v>0.1</v>
      </c>
      <c r="S27" s="117" t="str">
        <f t="shared" si="1"/>
        <v>-</v>
      </c>
      <c r="T27" s="118">
        <f t="shared" ref="T27:U31" si="33">W27+AI27+AL27</f>
        <v>0</v>
      </c>
      <c r="U27" s="118">
        <f t="shared" si="33"/>
        <v>0.1</v>
      </c>
      <c r="V27" s="119" t="str">
        <f t="shared" si="2"/>
        <v>-</v>
      </c>
      <c r="W27" s="118">
        <f t="shared" ref="W27:X31" si="34">Z27+AC27+AF27</f>
        <v>0</v>
      </c>
      <c r="X27" s="118">
        <f t="shared" si="34"/>
        <v>0</v>
      </c>
      <c r="Y27" s="119" t="str">
        <f t="shared" si="3"/>
        <v>-</v>
      </c>
      <c r="Z27" s="118"/>
      <c r="AA27" s="118"/>
      <c r="AB27" s="119" t="str">
        <f t="shared" si="4"/>
        <v>-</v>
      </c>
      <c r="AC27" s="118"/>
      <c r="AD27" s="118"/>
      <c r="AE27" s="119" t="str">
        <f t="shared" si="5"/>
        <v>-</v>
      </c>
      <c r="AF27" s="118"/>
      <c r="AG27" s="118"/>
      <c r="AH27" s="119" t="str">
        <f t="shared" si="6"/>
        <v>-</v>
      </c>
      <c r="AI27" s="120"/>
      <c r="AJ27" s="118"/>
      <c r="AK27" s="119" t="str">
        <f t="shared" si="7"/>
        <v>-</v>
      </c>
      <c r="AL27" s="118"/>
      <c r="AM27" s="118">
        <v>0.1</v>
      </c>
      <c r="AN27" s="119" t="str">
        <f t="shared" si="8"/>
        <v>-</v>
      </c>
      <c r="AO27" s="118">
        <f t="shared" ref="AO27:AP31" si="35">AR27+AU27+AX27+BA27+BG27+BJ27+BM27+BP27+BS27+BV27+BY27+CB27+CE27</f>
        <v>0</v>
      </c>
      <c r="AP27" s="118">
        <f t="shared" si="35"/>
        <v>0</v>
      </c>
      <c r="AQ27" s="119" t="str">
        <f t="shared" si="9"/>
        <v>-</v>
      </c>
      <c r="AR27" s="118"/>
      <c r="AS27" s="118"/>
      <c r="AT27" s="119" t="str">
        <f t="shared" si="10"/>
        <v>-</v>
      </c>
      <c r="AU27" s="118"/>
      <c r="AV27" s="118"/>
      <c r="AW27" s="119" t="str">
        <f t="shared" si="11"/>
        <v>-</v>
      </c>
      <c r="AX27" s="118"/>
      <c r="AY27" s="118"/>
      <c r="AZ27" s="119" t="str">
        <f t="shared" si="12"/>
        <v>-</v>
      </c>
      <c r="BA27" s="118"/>
      <c r="BB27" s="118"/>
      <c r="BC27" s="119" t="str">
        <f t="shared" si="13"/>
        <v>-</v>
      </c>
      <c r="BD27" s="118"/>
      <c r="BE27" s="118"/>
      <c r="BF27" s="119" t="str">
        <f t="shared" si="14"/>
        <v>-</v>
      </c>
      <c r="BG27" s="118"/>
      <c r="BH27" s="118"/>
      <c r="BI27" s="119" t="str">
        <f t="shared" si="15"/>
        <v>-</v>
      </c>
      <c r="BJ27" s="118"/>
      <c r="BK27" s="118"/>
      <c r="BL27" s="119" t="str">
        <f t="shared" si="16"/>
        <v>-</v>
      </c>
      <c r="BM27" s="118"/>
      <c r="BN27" s="118"/>
      <c r="BO27" s="119" t="str">
        <f t="shared" si="17"/>
        <v>-</v>
      </c>
      <c r="BP27" s="118"/>
      <c r="BQ27" s="118"/>
      <c r="BR27" s="119" t="str">
        <f t="shared" si="18"/>
        <v>-</v>
      </c>
      <c r="BS27" s="118"/>
      <c r="BT27" s="118"/>
      <c r="BU27" s="119" t="str">
        <f t="shared" si="19"/>
        <v>-</v>
      </c>
      <c r="BV27" s="118"/>
      <c r="BW27" s="118"/>
      <c r="BX27" s="119" t="str">
        <f t="shared" si="20"/>
        <v>-</v>
      </c>
      <c r="BY27" s="118"/>
      <c r="BZ27" s="118"/>
      <c r="CA27" s="119" t="str">
        <f t="shared" si="21"/>
        <v>-</v>
      </c>
      <c r="CB27" s="118"/>
      <c r="CC27" s="118"/>
      <c r="CD27" s="119" t="str">
        <f t="shared" si="22"/>
        <v>-</v>
      </c>
      <c r="CE27" s="118"/>
      <c r="CF27" s="118"/>
      <c r="CG27" s="119" t="str">
        <f t="shared" si="23"/>
        <v>-</v>
      </c>
      <c r="CH27" s="118"/>
      <c r="CI27" s="118"/>
      <c r="CJ27" s="121" t="str">
        <f t="shared" si="24"/>
        <v>-</v>
      </c>
      <c r="CK27" s="122" t="str">
        <f t="shared" si="25"/>
        <v>ok</v>
      </c>
      <c r="CL27" s="122"/>
    </row>
    <row r="28" spans="3:91" s="124" customFormat="1" ht="21" customHeight="1" x14ac:dyDescent="0.75">
      <c r="C28" s="96">
        <v>18</v>
      </c>
      <c r="D28" s="96" t="str">
        <f>IFERROR(INDEX([4]Account!$A:$A,MATCH(K28,[4]Account!$D:$D,0)),"")</f>
        <v/>
      </c>
      <c r="E28" s="96">
        <v>18</v>
      </c>
      <c r="F28" s="96">
        <v>91</v>
      </c>
      <c r="G28" s="96">
        <f>IFERROR(INDEX('[5]Sub Account'!$A:$A,MATCH(L28,'[5]Sub Account'!$D:$D,0)),"")</f>
        <v>462</v>
      </c>
      <c r="H28" s="96">
        <v>1</v>
      </c>
      <c r="I28" s="96">
        <v>1</v>
      </c>
      <c r="J28" s="228"/>
      <c r="K28" s="111"/>
      <c r="L28" s="112">
        <v>70022</v>
      </c>
      <c r="M28" s="113" t="s">
        <v>54</v>
      </c>
      <c r="N28" s="114">
        <f t="shared" si="31"/>
        <v>2640000</v>
      </c>
      <c r="O28" s="114">
        <f t="shared" si="31"/>
        <v>2379368.1</v>
      </c>
      <c r="P28" s="115">
        <f t="shared" si="0"/>
        <v>0.9012757954545455</v>
      </c>
      <c r="Q28" s="116">
        <f t="shared" si="32"/>
        <v>2640000</v>
      </c>
      <c r="R28" s="116">
        <f t="shared" si="32"/>
        <v>2379368.1</v>
      </c>
      <c r="S28" s="117">
        <f t="shared" si="1"/>
        <v>0.9012757954545455</v>
      </c>
      <c r="T28" s="118">
        <f t="shared" si="33"/>
        <v>2640000</v>
      </c>
      <c r="U28" s="118">
        <f t="shared" si="33"/>
        <v>2379368.1</v>
      </c>
      <c r="V28" s="119">
        <f t="shared" si="2"/>
        <v>0.9012757954545455</v>
      </c>
      <c r="W28" s="118">
        <f t="shared" si="34"/>
        <v>0</v>
      </c>
      <c r="X28" s="118">
        <f t="shared" si="34"/>
        <v>0</v>
      </c>
      <c r="Y28" s="119" t="str">
        <f t="shared" si="3"/>
        <v>-</v>
      </c>
      <c r="Z28" s="118"/>
      <c r="AA28" s="118"/>
      <c r="AB28" s="119" t="str">
        <f t="shared" si="4"/>
        <v>-</v>
      </c>
      <c r="AC28" s="118"/>
      <c r="AD28" s="118"/>
      <c r="AE28" s="119" t="str">
        <f t="shared" si="5"/>
        <v>-</v>
      </c>
      <c r="AF28" s="118"/>
      <c r="AG28" s="118"/>
      <c r="AH28" s="119" t="str">
        <f t="shared" si="6"/>
        <v>-</v>
      </c>
      <c r="AI28" s="120"/>
      <c r="AJ28" s="118"/>
      <c r="AK28" s="119" t="str">
        <f t="shared" si="7"/>
        <v>-</v>
      </c>
      <c r="AL28" s="118">
        <v>2640000</v>
      </c>
      <c r="AM28" s="118">
        <v>2379368.1</v>
      </c>
      <c r="AN28" s="119">
        <f t="shared" si="8"/>
        <v>0.9012757954545455</v>
      </c>
      <c r="AO28" s="118">
        <f t="shared" si="35"/>
        <v>0</v>
      </c>
      <c r="AP28" s="118">
        <f t="shared" si="35"/>
        <v>0</v>
      </c>
      <c r="AQ28" s="119" t="str">
        <f t="shared" si="9"/>
        <v>-</v>
      </c>
      <c r="AR28" s="118"/>
      <c r="AS28" s="118"/>
      <c r="AT28" s="119" t="str">
        <f t="shared" si="10"/>
        <v>-</v>
      </c>
      <c r="AU28" s="118"/>
      <c r="AV28" s="118"/>
      <c r="AW28" s="119" t="str">
        <f t="shared" si="11"/>
        <v>-</v>
      </c>
      <c r="AX28" s="118"/>
      <c r="AY28" s="118"/>
      <c r="AZ28" s="119" t="str">
        <f t="shared" si="12"/>
        <v>-</v>
      </c>
      <c r="BA28" s="118"/>
      <c r="BB28" s="118"/>
      <c r="BC28" s="119" t="str">
        <f t="shared" si="13"/>
        <v>-</v>
      </c>
      <c r="BD28" s="118"/>
      <c r="BE28" s="118"/>
      <c r="BF28" s="119" t="str">
        <f t="shared" si="14"/>
        <v>-</v>
      </c>
      <c r="BG28" s="118"/>
      <c r="BH28" s="118"/>
      <c r="BI28" s="119" t="str">
        <f t="shared" si="15"/>
        <v>-</v>
      </c>
      <c r="BJ28" s="118"/>
      <c r="BK28" s="118"/>
      <c r="BL28" s="119" t="str">
        <f t="shared" si="16"/>
        <v>-</v>
      </c>
      <c r="BM28" s="118"/>
      <c r="BN28" s="118"/>
      <c r="BO28" s="119" t="str">
        <f t="shared" si="17"/>
        <v>-</v>
      </c>
      <c r="BP28" s="118"/>
      <c r="BQ28" s="118"/>
      <c r="BR28" s="119" t="str">
        <f t="shared" si="18"/>
        <v>-</v>
      </c>
      <c r="BS28" s="118"/>
      <c r="BT28" s="118"/>
      <c r="BU28" s="119" t="str">
        <f t="shared" si="19"/>
        <v>-</v>
      </c>
      <c r="BV28" s="118"/>
      <c r="BW28" s="118"/>
      <c r="BX28" s="119" t="str">
        <f t="shared" si="20"/>
        <v>-</v>
      </c>
      <c r="BY28" s="118"/>
      <c r="BZ28" s="118"/>
      <c r="CA28" s="119" t="str">
        <f t="shared" si="21"/>
        <v>-</v>
      </c>
      <c r="CB28" s="118"/>
      <c r="CC28" s="118"/>
      <c r="CD28" s="119" t="str">
        <f t="shared" si="22"/>
        <v>-</v>
      </c>
      <c r="CE28" s="118"/>
      <c r="CF28" s="118"/>
      <c r="CG28" s="119" t="str">
        <f t="shared" si="23"/>
        <v>-</v>
      </c>
      <c r="CH28" s="118"/>
      <c r="CI28" s="118"/>
      <c r="CJ28" s="121" t="str">
        <f t="shared" si="24"/>
        <v>-</v>
      </c>
      <c r="CK28" s="122" t="str">
        <f t="shared" si="25"/>
        <v>ok</v>
      </c>
      <c r="CL28" s="122"/>
    </row>
    <row r="29" spans="3:91" s="124" customFormat="1" ht="21" customHeight="1" x14ac:dyDescent="0.75">
      <c r="C29" s="96">
        <v>18</v>
      </c>
      <c r="D29" s="96" t="str">
        <f>IFERROR(INDEX([4]Account!$A:$A,MATCH(K29,[4]Account!$D:$D,0)),"")</f>
        <v/>
      </c>
      <c r="E29" s="96">
        <v>18</v>
      </c>
      <c r="F29" s="96">
        <v>91</v>
      </c>
      <c r="G29" s="96">
        <f>IFERROR(INDEX('[5]Sub Account'!$A:$A,MATCH(L29,'[5]Sub Account'!$D:$D,0)),"")</f>
        <v>482</v>
      </c>
      <c r="H29" s="96">
        <v>1</v>
      </c>
      <c r="I29" s="96">
        <v>1</v>
      </c>
      <c r="J29" s="228"/>
      <c r="K29" s="111"/>
      <c r="L29" s="112">
        <v>70025</v>
      </c>
      <c r="M29" s="113" t="s">
        <v>55</v>
      </c>
      <c r="N29" s="114">
        <f t="shared" si="31"/>
        <v>841700</v>
      </c>
      <c r="O29" s="114">
        <f t="shared" si="31"/>
        <v>784903</v>
      </c>
      <c r="P29" s="115">
        <f t="shared" si="0"/>
        <v>0.9325210882737317</v>
      </c>
      <c r="Q29" s="116">
        <f t="shared" si="32"/>
        <v>841700</v>
      </c>
      <c r="R29" s="116">
        <f t="shared" si="32"/>
        <v>784903</v>
      </c>
      <c r="S29" s="117">
        <f t="shared" si="1"/>
        <v>0.9325210882737317</v>
      </c>
      <c r="T29" s="118">
        <f t="shared" si="33"/>
        <v>841700</v>
      </c>
      <c r="U29" s="118">
        <f t="shared" si="33"/>
        <v>784903</v>
      </c>
      <c r="V29" s="119">
        <f t="shared" si="2"/>
        <v>0.9325210882737317</v>
      </c>
      <c r="W29" s="118">
        <f t="shared" si="34"/>
        <v>0</v>
      </c>
      <c r="X29" s="118">
        <f t="shared" si="34"/>
        <v>0</v>
      </c>
      <c r="Y29" s="119" t="str">
        <f t="shared" si="3"/>
        <v>-</v>
      </c>
      <c r="Z29" s="118"/>
      <c r="AA29" s="118"/>
      <c r="AB29" s="119" t="str">
        <f t="shared" si="4"/>
        <v>-</v>
      </c>
      <c r="AC29" s="118"/>
      <c r="AD29" s="118"/>
      <c r="AE29" s="119" t="str">
        <f t="shared" si="5"/>
        <v>-</v>
      </c>
      <c r="AF29" s="118"/>
      <c r="AG29" s="118"/>
      <c r="AH29" s="119" t="str">
        <f t="shared" si="6"/>
        <v>-</v>
      </c>
      <c r="AI29" s="120">
        <v>841700</v>
      </c>
      <c r="AJ29" s="118">
        <v>784903</v>
      </c>
      <c r="AK29" s="119">
        <f t="shared" si="7"/>
        <v>0.9325210882737317</v>
      </c>
      <c r="AL29" s="118"/>
      <c r="AM29" s="118"/>
      <c r="AN29" s="119" t="str">
        <f t="shared" si="8"/>
        <v>-</v>
      </c>
      <c r="AO29" s="118">
        <f t="shared" si="35"/>
        <v>0</v>
      </c>
      <c r="AP29" s="118">
        <f t="shared" si="35"/>
        <v>0</v>
      </c>
      <c r="AQ29" s="119" t="str">
        <f t="shared" si="9"/>
        <v>-</v>
      </c>
      <c r="AR29" s="118"/>
      <c r="AS29" s="118"/>
      <c r="AT29" s="119" t="str">
        <f t="shared" si="10"/>
        <v>-</v>
      </c>
      <c r="AU29" s="118"/>
      <c r="AV29" s="118"/>
      <c r="AW29" s="119" t="str">
        <f t="shared" si="11"/>
        <v>-</v>
      </c>
      <c r="AX29" s="118"/>
      <c r="AY29" s="118"/>
      <c r="AZ29" s="119" t="str">
        <f t="shared" si="12"/>
        <v>-</v>
      </c>
      <c r="BA29" s="118"/>
      <c r="BB29" s="118"/>
      <c r="BC29" s="119" t="str">
        <f t="shared" si="13"/>
        <v>-</v>
      </c>
      <c r="BD29" s="118"/>
      <c r="BE29" s="118"/>
      <c r="BF29" s="119" t="str">
        <f t="shared" si="14"/>
        <v>-</v>
      </c>
      <c r="BG29" s="118"/>
      <c r="BH29" s="118"/>
      <c r="BI29" s="119" t="str">
        <f t="shared" si="15"/>
        <v>-</v>
      </c>
      <c r="BJ29" s="118"/>
      <c r="BK29" s="118"/>
      <c r="BL29" s="119" t="str">
        <f t="shared" si="16"/>
        <v>-</v>
      </c>
      <c r="BM29" s="118"/>
      <c r="BN29" s="118"/>
      <c r="BO29" s="119" t="str">
        <f t="shared" si="17"/>
        <v>-</v>
      </c>
      <c r="BP29" s="118"/>
      <c r="BQ29" s="118"/>
      <c r="BR29" s="119" t="str">
        <f t="shared" si="18"/>
        <v>-</v>
      </c>
      <c r="BS29" s="118"/>
      <c r="BT29" s="118"/>
      <c r="BU29" s="119" t="str">
        <f t="shared" si="19"/>
        <v>-</v>
      </c>
      <c r="BV29" s="118"/>
      <c r="BW29" s="118"/>
      <c r="BX29" s="119" t="str">
        <f t="shared" si="20"/>
        <v>-</v>
      </c>
      <c r="BY29" s="118"/>
      <c r="BZ29" s="118"/>
      <c r="CA29" s="119" t="str">
        <f t="shared" si="21"/>
        <v>-</v>
      </c>
      <c r="CB29" s="118"/>
      <c r="CC29" s="118"/>
      <c r="CD29" s="119" t="str">
        <f t="shared" si="22"/>
        <v>-</v>
      </c>
      <c r="CE29" s="118"/>
      <c r="CF29" s="118"/>
      <c r="CG29" s="119" t="str">
        <f t="shared" si="23"/>
        <v>-</v>
      </c>
      <c r="CH29" s="118"/>
      <c r="CI29" s="118"/>
      <c r="CJ29" s="121" t="str">
        <f t="shared" si="24"/>
        <v>-</v>
      </c>
      <c r="CK29" s="122" t="str">
        <f t="shared" si="25"/>
        <v>ok</v>
      </c>
      <c r="CL29" s="122"/>
    </row>
    <row r="30" spans="3:91" s="124" customFormat="1" ht="21" customHeight="1" x14ac:dyDescent="0.75">
      <c r="C30" s="96">
        <v>18</v>
      </c>
      <c r="D30" s="96" t="str">
        <f>IFERROR(INDEX([4]Account!$A:$A,MATCH(K30,[4]Account!$D:$D,0)),"")</f>
        <v/>
      </c>
      <c r="E30" s="96">
        <v>18</v>
      </c>
      <c r="F30" s="96">
        <v>91</v>
      </c>
      <c r="G30" s="96">
        <f>IFERROR(INDEX('[5]Sub Account'!$A:$A,MATCH(L30,'[5]Sub Account'!$D:$D,0)),"")</f>
        <v>483</v>
      </c>
      <c r="H30" s="96">
        <v>1</v>
      </c>
      <c r="I30" s="96">
        <v>1</v>
      </c>
      <c r="J30" s="228"/>
      <c r="K30" s="111"/>
      <c r="L30" s="112">
        <v>70026</v>
      </c>
      <c r="M30" s="113" t="s">
        <v>56</v>
      </c>
      <c r="N30" s="114">
        <f t="shared" si="31"/>
        <v>2795100</v>
      </c>
      <c r="O30" s="114">
        <f t="shared" si="31"/>
        <v>2737332</v>
      </c>
      <c r="P30" s="115">
        <f t="shared" si="0"/>
        <v>0.97933240313405601</v>
      </c>
      <c r="Q30" s="116">
        <f t="shared" si="32"/>
        <v>2795100</v>
      </c>
      <c r="R30" s="116">
        <f t="shared" si="32"/>
        <v>2737332</v>
      </c>
      <c r="S30" s="117">
        <f t="shared" si="1"/>
        <v>0.97933240313405601</v>
      </c>
      <c r="T30" s="118">
        <f t="shared" si="33"/>
        <v>2795100</v>
      </c>
      <c r="U30" s="118">
        <f t="shared" si="33"/>
        <v>2737332</v>
      </c>
      <c r="V30" s="119">
        <f t="shared" si="2"/>
        <v>0.97933240313405601</v>
      </c>
      <c r="W30" s="118">
        <f t="shared" si="34"/>
        <v>0</v>
      </c>
      <c r="X30" s="118">
        <f t="shared" si="34"/>
        <v>0</v>
      </c>
      <c r="Y30" s="119" t="str">
        <f t="shared" si="3"/>
        <v>-</v>
      </c>
      <c r="Z30" s="118"/>
      <c r="AA30" s="118"/>
      <c r="AB30" s="119" t="str">
        <f t="shared" si="4"/>
        <v>-</v>
      </c>
      <c r="AC30" s="118"/>
      <c r="AD30" s="118"/>
      <c r="AE30" s="119" t="str">
        <f t="shared" si="5"/>
        <v>-</v>
      </c>
      <c r="AF30" s="118"/>
      <c r="AG30" s="118"/>
      <c r="AH30" s="119" t="str">
        <f t="shared" si="6"/>
        <v>-</v>
      </c>
      <c r="AI30" s="120">
        <v>2795100</v>
      </c>
      <c r="AJ30" s="118">
        <v>2737332</v>
      </c>
      <c r="AK30" s="119">
        <f t="shared" si="7"/>
        <v>0.97933240313405601</v>
      </c>
      <c r="AL30" s="118"/>
      <c r="AM30" s="118"/>
      <c r="AN30" s="119" t="str">
        <f t="shared" si="8"/>
        <v>-</v>
      </c>
      <c r="AO30" s="118">
        <f t="shared" si="35"/>
        <v>0</v>
      </c>
      <c r="AP30" s="118">
        <f t="shared" si="35"/>
        <v>0</v>
      </c>
      <c r="AQ30" s="119" t="str">
        <f t="shared" si="9"/>
        <v>-</v>
      </c>
      <c r="AR30" s="118"/>
      <c r="AS30" s="118"/>
      <c r="AT30" s="119" t="str">
        <f t="shared" si="10"/>
        <v>-</v>
      </c>
      <c r="AU30" s="118"/>
      <c r="AV30" s="118"/>
      <c r="AW30" s="119" t="str">
        <f t="shared" si="11"/>
        <v>-</v>
      </c>
      <c r="AX30" s="118"/>
      <c r="AY30" s="118"/>
      <c r="AZ30" s="119" t="str">
        <f t="shared" si="12"/>
        <v>-</v>
      </c>
      <c r="BA30" s="118"/>
      <c r="BB30" s="118"/>
      <c r="BC30" s="119" t="str">
        <f t="shared" si="13"/>
        <v>-</v>
      </c>
      <c r="BD30" s="118"/>
      <c r="BE30" s="118"/>
      <c r="BF30" s="119" t="str">
        <f t="shared" si="14"/>
        <v>-</v>
      </c>
      <c r="BG30" s="118"/>
      <c r="BH30" s="118"/>
      <c r="BI30" s="119" t="str">
        <f t="shared" si="15"/>
        <v>-</v>
      </c>
      <c r="BJ30" s="118"/>
      <c r="BK30" s="118"/>
      <c r="BL30" s="119" t="str">
        <f t="shared" si="16"/>
        <v>-</v>
      </c>
      <c r="BM30" s="118"/>
      <c r="BN30" s="118"/>
      <c r="BO30" s="119" t="str">
        <f t="shared" si="17"/>
        <v>-</v>
      </c>
      <c r="BP30" s="118"/>
      <c r="BQ30" s="118"/>
      <c r="BR30" s="119" t="str">
        <f t="shared" si="18"/>
        <v>-</v>
      </c>
      <c r="BS30" s="118"/>
      <c r="BT30" s="118"/>
      <c r="BU30" s="119" t="str">
        <f t="shared" si="19"/>
        <v>-</v>
      </c>
      <c r="BV30" s="118"/>
      <c r="BW30" s="118"/>
      <c r="BX30" s="119" t="str">
        <f t="shared" si="20"/>
        <v>-</v>
      </c>
      <c r="BY30" s="118"/>
      <c r="BZ30" s="118"/>
      <c r="CA30" s="119" t="str">
        <f t="shared" si="21"/>
        <v>-</v>
      </c>
      <c r="CB30" s="118"/>
      <c r="CC30" s="118"/>
      <c r="CD30" s="119" t="str">
        <f t="shared" si="22"/>
        <v>-</v>
      </c>
      <c r="CE30" s="118"/>
      <c r="CF30" s="118"/>
      <c r="CG30" s="119" t="str">
        <f t="shared" si="23"/>
        <v>-</v>
      </c>
      <c r="CH30" s="118"/>
      <c r="CI30" s="118"/>
      <c r="CJ30" s="121" t="str">
        <f t="shared" si="24"/>
        <v>-</v>
      </c>
      <c r="CK30" s="122" t="str">
        <f t="shared" si="25"/>
        <v>ok</v>
      </c>
      <c r="CL30" s="122"/>
    </row>
    <row r="31" spans="3:91" s="124" customFormat="1" ht="21" customHeight="1" x14ac:dyDescent="0.75">
      <c r="C31" s="96">
        <v>18</v>
      </c>
      <c r="D31" s="96" t="str">
        <f>IFERROR(INDEX([4]Account!$A:$A,MATCH(K31,[4]Account!$D:$D,0)),"")</f>
        <v/>
      </c>
      <c r="E31" s="96">
        <v>18</v>
      </c>
      <c r="F31" s="96">
        <v>91</v>
      </c>
      <c r="G31" s="96">
        <f>IFERROR(INDEX('[5]Sub Account'!$A:$A,MATCH(L31,'[5]Sub Account'!$D:$D,0)),"")</f>
        <v>484</v>
      </c>
      <c r="H31" s="96">
        <v>1</v>
      </c>
      <c r="I31" s="96">
        <v>1</v>
      </c>
      <c r="J31" s="228"/>
      <c r="K31" s="111"/>
      <c r="L31" s="112">
        <v>70027</v>
      </c>
      <c r="M31" s="113" t="s">
        <v>57</v>
      </c>
      <c r="N31" s="114">
        <f t="shared" si="31"/>
        <v>0</v>
      </c>
      <c r="O31" s="114">
        <f t="shared" si="31"/>
        <v>0</v>
      </c>
      <c r="P31" s="115" t="str">
        <f t="shared" si="0"/>
        <v>-</v>
      </c>
      <c r="Q31" s="116">
        <f t="shared" si="32"/>
        <v>0</v>
      </c>
      <c r="R31" s="116">
        <f t="shared" si="32"/>
        <v>0</v>
      </c>
      <c r="S31" s="117" t="str">
        <f t="shared" si="1"/>
        <v>-</v>
      </c>
      <c r="T31" s="118">
        <f t="shared" si="33"/>
        <v>0</v>
      </c>
      <c r="U31" s="118">
        <f t="shared" si="33"/>
        <v>0</v>
      </c>
      <c r="V31" s="119" t="str">
        <f t="shared" si="2"/>
        <v>-</v>
      </c>
      <c r="W31" s="118">
        <f t="shared" si="34"/>
        <v>0</v>
      </c>
      <c r="X31" s="118">
        <f t="shared" si="34"/>
        <v>0</v>
      </c>
      <c r="Y31" s="119" t="str">
        <f t="shared" si="3"/>
        <v>-</v>
      </c>
      <c r="Z31" s="118"/>
      <c r="AA31" s="118"/>
      <c r="AB31" s="119" t="str">
        <f t="shared" si="4"/>
        <v>-</v>
      </c>
      <c r="AC31" s="118"/>
      <c r="AD31" s="118"/>
      <c r="AE31" s="119" t="str">
        <f t="shared" si="5"/>
        <v>-</v>
      </c>
      <c r="AF31" s="118"/>
      <c r="AG31" s="118"/>
      <c r="AH31" s="119" t="str">
        <f t="shared" si="6"/>
        <v>-</v>
      </c>
      <c r="AI31" s="120"/>
      <c r="AJ31" s="118"/>
      <c r="AK31" s="119" t="str">
        <f t="shared" si="7"/>
        <v>-</v>
      </c>
      <c r="AL31" s="118"/>
      <c r="AM31" s="118"/>
      <c r="AN31" s="119" t="str">
        <f t="shared" si="8"/>
        <v>-</v>
      </c>
      <c r="AO31" s="118">
        <f t="shared" si="35"/>
        <v>0</v>
      </c>
      <c r="AP31" s="118">
        <f t="shared" si="35"/>
        <v>0</v>
      </c>
      <c r="AQ31" s="119" t="str">
        <f t="shared" si="9"/>
        <v>-</v>
      </c>
      <c r="AR31" s="118"/>
      <c r="AS31" s="118"/>
      <c r="AT31" s="119" t="str">
        <f t="shared" si="10"/>
        <v>-</v>
      </c>
      <c r="AU31" s="118"/>
      <c r="AV31" s="118"/>
      <c r="AW31" s="119" t="str">
        <f t="shared" si="11"/>
        <v>-</v>
      </c>
      <c r="AX31" s="118"/>
      <c r="AY31" s="118"/>
      <c r="AZ31" s="119" t="str">
        <f t="shared" si="12"/>
        <v>-</v>
      </c>
      <c r="BA31" s="118"/>
      <c r="BB31" s="118"/>
      <c r="BC31" s="119" t="str">
        <f t="shared" si="13"/>
        <v>-</v>
      </c>
      <c r="BD31" s="118"/>
      <c r="BE31" s="118"/>
      <c r="BF31" s="119" t="str">
        <f t="shared" si="14"/>
        <v>-</v>
      </c>
      <c r="BG31" s="118"/>
      <c r="BH31" s="118"/>
      <c r="BI31" s="119" t="str">
        <f t="shared" si="15"/>
        <v>-</v>
      </c>
      <c r="BJ31" s="118"/>
      <c r="BK31" s="118"/>
      <c r="BL31" s="119" t="str">
        <f t="shared" si="16"/>
        <v>-</v>
      </c>
      <c r="BM31" s="118"/>
      <c r="BN31" s="118"/>
      <c r="BO31" s="119" t="str">
        <f t="shared" si="17"/>
        <v>-</v>
      </c>
      <c r="BP31" s="118"/>
      <c r="BQ31" s="118"/>
      <c r="BR31" s="119" t="str">
        <f t="shared" si="18"/>
        <v>-</v>
      </c>
      <c r="BS31" s="118"/>
      <c r="BT31" s="118"/>
      <c r="BU31" s="119" t="str">
        <f t="shared" si="19"/>
        <v>-</v>
      </c>
      <c r="BV31" s="118"/>
      <c r="BW31" s="118"/>
      <c r="BX31" s="119" t="str">
        <f t="shared" si="20"/>
        <v>-</v>
      </c>
      <c r="BY31" s="118"/>
      <c r="BZ31" s="118"/>
      <c r="CA31" s="119" t="str">
        <f t="shared" si="21"/>
        <v>-</v>
      </c>
      <c r="CB31" s="118"/>
      <c r="CC31" s="118"/>
      <c r="CD31" s="119" t="str">
        <f t="shared" si="22"/>
        <v>-</v>
      </c>
      <c r="CE31" s="118"/>
      <c r="CF31" s="118"/>
      <c r="CG31" s="119" t="str">
        <f t="shared" si="23"/>
        <v>-</v>
      </c>
      <c r="CH31" s="118"/>
      <c r="CI31" s="118"/>
      <c r="CJ31" s="121" t="str">
        <f t="shared" si="24"/>
        <v>-</v>
      </c>
      <c r="CK31" s="122" t="str">
        <f t="shared" si="25"/>
        <v>-</v>
      </c>
      <c r="CL31" s="122"/>
    </row>
    <row r="32" spans="3:91" s="125" customFormat="1" ht="21" customHeight="1" x14ac:dyDescent="0.75">
      <c r="C32" s="96">
        <v>18</v>
      </c>
      <c r="D32" s="96">
        <f>IFERROR(INDEX([4]Account!$A:$A,MATCH(K32,[4]Account!$D:$D,0)),"")</f>
        <v>92</v>
      </c>
      <c r="E32" s="96">
        <v>18</v>
      </c>
      <c r="F32" s="96">
        <f>IFERROR(INDEX([4]Account!$A:$A,MATCH(K32,[4]Account!$D:$D,0)),"")</f>
        <v>92</v>
      </c>
      <c r="G32" s="96" t="str">
        <f>IFERROR(INDEX('[5]Sub Account'!$A:$A,MATCH(L32,'[5]Sub Account'!$D:$D,0)),"")</f>
        <v/>
      </c>
      <c r="H32" s="96">
        <v>1</v>
      </c>
      <c r="I32" s="96">
        <v>1</v>
      </c>
      <c r="J32" s="227"/>
      <c r="K32" s="237">
        <v>7003</v>
      </c>
      <c r="L32" s="98"/>
      <c r="M32" s="99" t="s">
        <v>58</v>
      </c>
      <c r="N32" s="100">
        <f>SUM(N33:N37)</f>
        <v>4625599.0999999996</v>
      </c>
      <c r="O32" s="100">
        <f>SUM(O33:O37)</f>
        <v>4434018.5999999996</v>
      </c>
      <c r="P32" s="101">
        <f t="shared" si="0"/>
        <v>0.95858255420362737</v>
      </c>
      <c r="Q32" s="102">
        <f>SUM(Q33:Q37)</f>
        <v>4508800</v>
      </c>
      <c r="R32" s="102">
        <f>SUM(R33:R37)</f>
        <v>4298561.0999999996</v>
      </c>
      <c r="S32" s="103">
        <f t="shared" si="1"/>
        <v>0.95337142920510998</v>
      </c>
      <c r="T32" s="104">
        <f>SUM(T33:T37)</f>
        <v>4508800</v>
      </c>
      <c r="U32" s="104">
        <f>SUM(U33:U37)</f>
        <v>4298561.0999999996</v>
      </c>
      <c r="V32" s="105">
        <f t="shared" si="2"/>
        <v>0.95337142920510998</v>
      </c>
      <c r="W32" s="104">
        <f>SUM(W33:W37)</f>
        <v>0</v>
      </c>
      <c r="X32" s="104">
        <f>SUM(X33:X37)</f>
        <v>0</v>
      </c>
      <c r="Y32" s="105" t="str">
        <f t="shared" si="3"/>
        <v>-</v>
      </c>
      <c r="Z32" s="104">
        <f>SUM(Z33:Z37)</f>
        <v>0</v>
      </c>
      <c r="AA32" s="104">
        <f>SUM(AA33:AA37)</f>
        <v>0</v>
      </c>
      <c r="AB32" s="105" t="str">
        <f t="shared" si="4"/>
        <v>-</v>
      </c>
      <c r="AC32" s="104">
        <f>SUM(AC33:AC37)</f>
        <v>0</v>
      </c>
      <c r="AD32" s="104">
        <f>SUM(AD33:AD37)</f>
        <v>0</v>
      </c>
      <c r="AE32" s="105" t="str">
        <f t="shared" si="5"/>
        <v>-</v>
      </c>
      <c r="AF32" s="104">
        <f>SUM(AF33:AF37)</f>
        <v>0</v>
      </c>
      <c r="AG32" s="104">
        <f>SUM(AG33:AG37)</f>
        <v>0</v>
      </c>
      <c r="AH32" s="105" t="str">
        <f t="shared" si="6"/>
        <v>-</v>
      </c>
      <c r="AI32" s="106">
        <f>SUM(AI33:AI37)</f>
        <v>3563800</v>
      </c>
      <c r="AJ32" s="104">
        <f>SUM(AJ33:AJ37)</f>
        <v>3513044</v>
      </c>
      <c r="AK32" s="105">
        <f t="shared" si="7"/>
        <v>0.98575789887199061</v>
      </c>
      <c r="AL32" s="104">
        <f>SUM(AL33:AL37)</f>
        <v>945000</v>
      </c>
      <c r="AM32" s="104">
        <f>SUM(AM33:AM37)</f>
        <v>785517.1</v>
      </c>
      <c r="AN32" s="105">
        <f t="shared" si="8"/>
        <v>0.83123502645502645</v>
      </c>
      <c r="AO32" s="104">
        <f>SUM(AO33:AO37)</f>
        <v>0</v>
      </c>
      <c r="AP32" s="104">
        <f>SUM(AP33:AP37)</f>
        <v>0</v>
      </c>
      <c r="AQ32" s="105" t="str">
        <f t="shared" si="9"/>
        <v>-</v>
      </c>
      <c r="AR32" s="104">
        <f>SUM(AR33:AR37)</f>
        <v>0</v>
      </c>
      <c r="AS32" s="104">
        <f>SUM(AS33:AS37)</f>
        <v>0</v>
      </c>
      <c r="AT32" s="105" t="str">
        <f t="shared" si="10"/>
        <v>-</v>
      </c>
      <c r="AU32" s="104">
        <f>SUM(AU33:AU37)</f>
        <v>0</v>
      </c>
      <c r="AV32" s="104">
        <f>SUM(AV33:AV37)</f>
        <v>0</v>
      </c>
      <c r="AW32" s="105" t="str">
        <f t="shared" si="11"/>
        <v>-</v>
      </c>
      <c r="AX32" s="104">
        <f>SUM(AX33:AX37)</f>
        <v>0</v>
      </c>
      <c r="AY32" s="104">
        <f>SUM(AY33:AY37)</f>
        <v>0</v>
      </c>
      <c r="AZ32" s="105" t="str">
        <f t="shared" si="12"/>
        <v>-</v>
      </c>
      <c r="BA32" s="104">
        <f>SUM(BA33:BA37)</f>
        <v>0</v>
      </c>
      <c r="BB32" s="104">
        <f>SUM(BB33:BB37)</f>
        <v>0</v>
      </c>
      <c r="BC32" s="105" t="str">
        <f t="shared" si="13"/>
        <v>-</v>
      </c>
      <c r="BD32" s="104">
        <f>SUM(BD33:BD37)</f>
        <v>0</v>
      </c>
      <c r="BE32" s="104">
        <f>SUM(BE33:BE37)</f>
        <v>0</v>
      </c>
      <c r="BF32" s="105" t="str">
        <f t="shared" si="14"/>
        <v>-</v>
      </c>
      <c r="BG32" s="104">
        <f>SUM(BG33:BG37)</f>
        <v>0</v>
      </c>
      <c r="BH32" s="104">
        <f>SUM(BH33:BH37)</f>
        <v>0</v>
      </c>
      <c r="BI32" s="105" t="str">
        <f t="shared" si="15"/>
        <v>-</v>
      </c>
      <c r="BJ32" s="104">
        <f>SUM(BJ33:BJ37)</f>
        <v>0</v>
      </c>
      <c r="BK32" s="104">
        <f>SUM(BK33:BK37)</f>
        <v>0</v>
      </c>
      <c r="BL32" s="105" t="str">
        <f t="shared" si="16"/>
        <v>-</v>
      </c>
      <c r="BM32" s="104">
        <f>SUM(BM33:BM37)</f>
        <v>0</v>
      </c>
      <c r="BN32" s="104">
        <f>SUM(BN33:BN37)</f>
        <v>0</v>
      </c>
      <c r="BO32" s="105" t="str">
        <f t="shared" si="17"/>
        <v>-</v>
      </c>
      <c r="BP32" s="104">
        <f>SUM(BP33:BP37)</f>
        <v>0</v>
      </c>
      <c r="BQ32" s="104">
        <f>SUM(BQ33:BQ37)</f>
        <v>0</v>
      </c>
      <c r="BR32" s="105" t="str">
        <f t="shared" si="18"/>
        <v>-</v>
      </c>
      <c r="BS32" s="104">
        <f>SUM(BS33:BS37)</f>
        <v>0</v>
      </c>
      <c r="BT32" s="104">
        <f>SUM(BT33:BT37)</f>
        <v>0</v>
      </c>
      <c r="BU32" s="105" t="str">
        <f t="shared" si="19"/>
        <v>-</v>
      </c>
      <c r="BV32" s="104">
        <f>SUM(BV33:BV37)</f>
        <v>0</v>
      </c>
      <c r="BW32" s="104">
        <f>SUM(BW33:BW37)</f>
        <v>0</v>
      </c>
      <c r="BX32" s="105" t="str">
        <f t="shared" si="20"/>
        <v>-</v>
      </c>
      <c r="BY32" s="104">
        <f>SUM(BY33:BY37)</f>
        <v>0</v>
      </c>
      <c r="BZ32" s="104">
        <f>SUM(BZ33:BZ37)</f>
        <v>0</v>
      </c>
      <c r="CA32" s="105" t="str">
        <f t="shared" si="21"/>
        <v>-</v>
      </c>
      <c r="CB32" s="104">
        <f>SUM(CB33:CB37)</f>
        <v>0</v>
      </c>
      <c r="CC32" s="104">
        <f>SUM(CC33:CC37)</f>
        <v>0</v>
      </c>
      <c r="CD32" s="105" t="str">
        <f t="shared" si="22"/>
        <v>-</v>
      </c>
      <c r="CE32" s="104">
        <f>SUM(CE33:CE37)</f>
        <v>0</v>
      </c>
      <c r="CF32" s="104">
        <f>SUM(CF33:CF37)</f>
        <v>0</v>
      </c>
      <c r="CG32" s="105" t="str">
        <f t="shared" si="23"/>
        <v>-</v>
      </c>
      <c r="CH32" s="104">
        <f>SUM(CH33:CH37)</f>
        <v>116799.1</v>
      </c>
      <c r="CI32" s="104">
        <f>SUM(CI33:CI37)</f>
        <v>135457.5</v>
      </c>
      <c r="CJ32" s="107">
        <f t="shared" si="24"/>
        <v>1.1597478062759046</v>
      </c>
      <c r="CK32" s="108" t="str">
        <f t="shared" si="25"/>
        <v>ok</v>
      </c>
      <c r="CL32" s="108"/>
    </row>
    <row r="33" spans="3:91" s="124" customFormat="1" ht="21" customHeight="1" x14ac:dyDescent="0.75">
      <c r="C33" s="96">
        <v>18</v>
      </c>
      <c r="D33" s="96" t="str">
        <f>IFERROR(INDEX([4]Account!$A:$A,MATCH(K33,[4]Account!$D:$D,0)),"")</f>
        <v/>
      </c>
      <c r="E33" s="96">
        <v>18</v>
      </c>
      <c r="F33" s="96">
        <v>92</v>
      </c>
      <c r="G33" s="96">
        <f>IFERROR(INDEX('[5]Sub Account'!$A:$A,MATCH(L33,'[5]Sub Account'!$D:$D,0)),"")</f>
        <v>463</v>
      </c>
      <c r="H33" s="96">
        <v>1</v>
      </c>
      <c r="I33" s="96">
        <v>1</v>
      </c>
      <c r="J33" s="228"/>
      <c r="K33" s="111"/>
      <c r="L33" s="112">
        <v>70031</v>
      </c>
      <c r="M33" s="113" t="s">
        <v>59</v>
      </c>
      <c r="N33" s="114">
        <f t="shared" ref="N33:O37" si="36">Q33+CH33</f>
        <v>870000</v>
      </c>
      <c r="O33" s="114">
        <f t="shared" si="36"/>
        <v>732077.6</v>
      </c>
      <c r="P33" s="115">
        <f t="shared" si="0"/>
        <v>0.84146850574712639</v>
      </c>
      <c r="Q33" s="116">
        <f t="shared" ref="Q33:R37" si="37">T33+AO33</f>
        <v>870000</v>
      </c>
      <c r="R33" s="116">
        <f t="shared" si="37"/>
        <v>732077.6</v>
      </c>
      <c r="S33" s="117">
        <f t="shared" si="1"/>
        <v>0.84146850574712639</v>
      </c>
      <c r="T33" s="118">
        <f t="shared" ref="T33:U37" si="38">W33+AI33+AL33</f>
        <v>870000</v>
      </c>
      <c r="U33" s="118">
        <f t="shared" si="38"/>
        <v>732077.6</v>
      </c>
      <c r="V33" s="119">
        <f t="shared" si="2"/>
        <v>0.84146850574712639</v>
      </c>
      <c r="W33" s="118">
        <f t="shared" ref="W33:X37" si="39">Z33+AC33+AF33</f>
        <v>0</v>
      </c>
      <c r="X33" s="118">
        <f t="shared" si="39"/>
        <v>0</v>
      </c>
      <c r="Y33" s="119" t="str">
        <f t="shared" si="3"/>
        <v>-</v>
      </c>
      <c r="Z33" s="118"/>
      <c r="AA33" s="118"/>
      <c r="AB33" s="119" t="str">
        <f t="shared" si="4"/>
        <v>-</v>
      </c>
      <c r="AC33" s="118"/>
      <c r="AD33" s="118"/>
      <c r="AE33" s="119" t="str">
        <f t="shared" si="5"/>
        <v>-</v>
      </c>
      <c r="AF33" s="118"/>
      <c r="AG33" s="118"/>
      <c r="AH33" s="119" t="str">
        <f t="shared" si="6"/>
        <v>-</v>
      </c>
      <c r="AI33" s="120"/>
      <c r="AJ33" s="118"/>
      <c r="AK33" s="119" t="str">
        <f t="shared" si="7"/>
        <v>-</v>
      </c>
      <c r="AL33" s="118">
        <v>870000</v>
      </c>
      <c r="AM33" s="118">
        <f>732077.5+0.1</f>
        <v>732077.6</v>
      </c>
      <c r="AN33" s="119">
        <f t="shared" si="8"/>
        <v>0.84146850574712639</v>
      </c>
      <c r="AO33" s="118">
        <f t="shared" ref="AO33:AP37" si="40">AR33+AU33+AX33+BA33+BG33+BJ33+BM33+BP33+BS33+BV33+BY33+CB33+CE33</f>
        <v>0</v>
      </c>
      <c r="AP33" s="118">
        <f t="shared" si="40"/>
        <v>0</v>
      </c>
      <c r="AQ33" s="119" t="str">
        <f t="shared" si="9"/>
        <v>-</v>
      </c>
      <c r="AR33" s="118"/>
      <c r="AS33" s="118"/>
      <c r="AT33" s="119" t="str">
        <f t="shared" si="10"/>
        <v>-</v>
      </c>
      <c r="AU33" s="118"/>
      <c r="AV33" s="118"/>
      <c r="AW33" s="119" t="str">
        <f t="shared" si="11"/>
        <v>-</v>
      </c>
      <c r="AX33" s="118"/>
      <c r="AY33" s="118"/>
      <c r="AZ33" s="119" t="str">
        <f t="shared" si="12"/>
        <v>-</v>
      </c>
      <c r="BA33" s="118"/>
      <c r="BB33" s="118"/>
      <c r="BC33" s="119" t="str">
        <f t="shared" si="13"/>
        <v>-</v>
      </c>
      <c r="BD33" s="118"/>
      <c r="BE33" s="118"/>
      <c r="BF33" s="119" t="str">
        <f t="shared" si="14"/>
        <v>-</v>
      </c>
      <c r="BG33" s="118"/>
      <c r="BH33" s="118"/>
      <c r="BI33" s="119" t="str">
        <f t="shared" si="15"/>
        <v>-</v>
      </c>
      <c r="BJ33" s="118"/>
      <c r="BK33" s="118"/>
      <c r="BL33" s="119" t="str">
        <f t="shared" si="16"/>
        <v>-</v>
      </c>
      <c r="BM33" s="118"/>
      <c r="BN33" s="118"/>
      <c r="BO33" s="119" t="str">
        <f t="shared" si="17"/>
        <v>-</v>
      </c>
      <c r="BP33" s="118"/>
      <c r="BQ33" s="118"/>
      <c r="BR33" s="119" t="str">
        <f t="shared" si="18"/>
        <v>-</v>
      </c>
      <c r="BS33" s="118"/>
      <c r="BT33" s="118"/>
      <c r="BU33" s="119" t="str">
        <f t="shared" si="19"/>
        <v>-</v>
      </c>
      <c r="BV33" s="118"/>
      <c r="BW33" s="118"/>
      <c r="BX33" s="119" t="str">
        <f t="shared" si="20"/>
        <v>-</v>
      </c>
      <c r="BY33" s="118"/>
      <c r="BZ33" s="118"/>
      <c r="CA33" s="119" t="str">
        <f t="shared" si="21"/>
        <v>-</v>
      </c>
      <c r="CB33" s="118"/>
      <c r="CC33" s="118"/>
      <c r="CD33" s="119" t="str">
        <f t="shared" si="22"/>
        <v>-</v>
      </c>
      <c r="CE33" s="118"/>
      <c r="CF33" s="118"/>
      <c r="CG33" s="119" t="str">
        <f t="shared" si="23"/>
        <v>-</v>
      </c>
      <c r="CH33" s="118"/>
      <c r="CI33" s="118"/>
      <c r="CJ33" s="121" t="str">
        <f t="shared" si="24"/>
        <v>-</v>
      </c>
      <c r="CK33" s="122" t="str">
        <f t="shared" si="25"/>
        <v>ok</v>
      </c>
      <c r="CL33" s="122"/>
    </row>
    <row r="34" spans="3:91" s="124" customFormat="1" ht="21" customHeight="1" x14ac:dyDescent="0.75">
      <c r="C34" s="96">
        <v>18</v>
      </c>
      <c r="D34" s="96" t="str">
        <f>IFERROR(INDEX([4]Account!$A:$A,MATCH(K34,[4]Account!$D:$D,0)),"")</f>
        <v/>
      </c>
      <c r="E34" s="96">
        <v>18</v>
      </c>
      <c r="F34" s="96">
        <v>92</v>
      </c>
      <c r="G34" s="96">
        <f>IFERROR(INDEX('[5]Sub Account'!$A:$A,MATCH(L34,'[5]Sub Account'!$D:$D,0)),"")</f>
        <v>485</v>
      </c>
      <c r="H34" s="96">
        <v>1</v>
      </c>
      <c r="I34" s="96">
        <v>1</v>
      </c>
      <c r="J34" s="228"/>
      <c r="K34" s="111"/>
      <c r="L34" s="112">
        <v>70032</v>
      </c>
      <c r="M34" s="113" t="s">
        <v>60</v>
      </c>
      <c r="N34" s="114">
        <f t="shared" si="36"/>
        <v>538000</v>
      </c>
      <c r="O34" s="114">
        <f t="shared" si="36"/>
        <v>704239</v>
      </c>
      <c r="P34" s="115">
        <f t="shared" si="0"/>
        <v>1.3089944237918216</v>
      </c>
      <c r="Q34" s="116">
        <f t="shared" si="37"/>
        <v>538000</v>
      </c>
      <c r="R34" s="116">
        <f t="shared" si="37"/>
        <v>704239</v>
      </c>
      <c r="S34" s="117">
        <f t="shared" si="1"/>
        <v>1.3089944237918216</v>
      </c>
      <c r="T34" s="118">
        <f t="shared" si="38"/>
        <v>538000</v>
      </c>
      <c r="U34" s="118">
        <f t="shared" si="38"/>
        <v>704239</v>
      </c>
      <c r="V34" s="119">
        <f t="shared" si="2"/>
        <v>1.3089944237918216</v>
      </c>
      <c r="W34" s="118">
        <f t="shared" si="39"/>
        <v>0</v>
      </c>
      <c r="X34" s="118">
        <f t="shared" si="39"/>
        <v>0</v>
      </c>
      <c r="Y34" s="119" t="str">
        <f t="shared" si="3"/>
        <v>-</v>
      </c>
      <c r="Z34" s="118"/>
      <c r="AA34" s="118"/>
      <c r="AB34" s="119" t="str">
        <f t="shared" si="4"/>
        <v>-</v>
      </c>
      <c r="AC34" s="118"/>
      <c r="AD34" s="118"/>
      <c r="AE34" s="119" t="str">
        <f t="shared" si="5"/>
        <v>-</v>
      </c>
      <c r="AF34" s="118"/>
      <c r="AG34" s="118"/>
      <c r="AH34" s="119" t="str">
        <f t="shared" si="6"/>
        <v>-</v>
      </c>
      <c r="AI34" s="120">
        <v>538000</v>
      </c>
      <c r="AJ34" s="118">
        <v>704239</v>
      </c>
      <c r="AK34" s="119">
        <f t="shared" si="7"/>
        <v>1.3089944237918216</v>
      </c>
      <c r="AL34" s="118"/>
      <c r="AM34" s="118"/>
      <c r="AN34" s="119" t="str">
        <f t="shared" si="8"/>
        <v>-</v>
      </c>
      <c r="AO34" s="118">
        <f t="shared" si="40"/>
        <v>0</v>
      </c>
      <c r="AP34" s="118">
        <f t="shared" si="40"/>
        <v>0</v>
      </c>
      <c r="AQ34" s="119" t="str">
        <f t="shared" si="9"/>
        <v>-</v>
      </c>
      <c r="AR34" s="118"/>
      <c r="AS34" s="118"/>
      <c r="AT34" s="119" t="str">
        <f t="shared" si="10"/>
        <v>-</v>
      </c>
      <c r="AU34" s="118"/>
      <c r="AV34" s="118"/>
      <c r="AW34" s="119" t="str">
        <f t="shared" si="11"/>
        <v>-</v>
      </c>
      <c r="AX34" s="118"/>
      <c r="AY34" s="118"/>
      <c r="AZ34" s="119" t="str">
        <f t="shared" si="12"/>
        <v>-</v>
      </c>
      <c r="BA34" s="118"/>
      <c r="BB34" s="118"/>
      <c r="BC34" s="119" t="str">
        <f t="shared" si="13"/>
        <v>-</v>
      </c>
      <c r="BD34" s="118"/>
      <c r="BE34" s="118"/>
      <c r="BF34" s="119" t="str">
        <f t="shared" si="14"/>
        <v>-</v>
      </c>
      <c r="BG34" s="118"/>
      <c r="BH34" s="118"/>
      <c r="BI34" s="119" t="str">
        <f t="shared" si="15"/>
        <v>-</v>
      </c>
      <c r="BJ34" s="118"/>
      <c r="BK34" s="118"/>
      <c r="BL34" s="119" t="str">
        <f t="shared" si="16"/>
        <v>-</v>
      </c>
      <c r="BM34" s="118"/>
      <c r="BN34" s="118"/>
      <c r="BO34" s="119" t="str">
        <f t="shared" si="17"/>
        <v>-</v>
      </c>
      <c r="BP34" s="118"/>
      <c r="BQ34" s="118"/>
      <c r="BR34" s="119" t="str">
        <f t="shared" si="18"/>
        <v>-</v>
      </c>
      <c r="BS34" s="118"/>
      <c r="BT34" s="118"/>
      <c r="BU34" s="119" t="str">
        <f t="shared" si="19"/>
        <v>-</v>
      </c>
      <c r="BV34" s="118"/>
      <c r="BW34" s="118"/>
      <c r="BX34" s="119" t="str">
        <f t="shared" si="20"/>
        <v>-</v>
      </c>
      <c r="BY34" s="118"/>
      <c r="BZ34" s="118"/>
      <c r="CA34" s="119" t="str">
        <f t="shared" si="21"/>
        <v>-</v>
      </c>
      <c r="CB34" s="118"/>
      <c r="CC34" s="118"/>
      <c r="CD34" s="119" t="str">
        <f t="shared" si="22"/>
        <v>-</v>
      </c>
      <c r="CE34" s="118"/>
      <c r="CF34" s="118"/>
      <c r="CG34" s="119" t="str">
        <f t="shared" si="23"/>
        <v>-</v>
      </c>
      <c r="CH34" s="118"/>
      <c r="CI34" s="118"/>
      <c r="CJ34" s="121" t="str">
        <f t="shared" si="24"/>
        <v>-</v>
      </c>
      <c r="CK34" s="122" t="str">
        <f t="shared" si="25"/>
        <v>ok</v>
      </c>
      <c r="CL34" s="122"/>
    </row>
    <row r="35" spans="3:91" s="124" customFormat="1" ht="21" customHeight="1" x14ac:dyDescent="0.75">
      <c r="C35" s="96">
        <v>18</v>
      </c>
      <c r="D35" s="96" t="str">
        <f>IFERROR(INDEX([4]Account!$A:$A,MATCH(K35,[4]Account!$D:$D,0)),"")</f>
        <v/>
      </c>
      <c r="E35" s="96">
        <v>18</v>
      </c>
      <c r="F35" s="96">
        <v>92</v>
      </c>
      <c r="G35" s="96">
        <f>IFERROR(INDEX('[5]Sub Account'!$A:$A,MATCH(L35,'[5]Sub Account'!$D:$D,0)),"")</f>
        <v>486</v>
      </c>
      <c r="H35" s="96">
        <v>1</v>
      </c>
      <c r="I35" s="96">
        <v>1</v>
      </c>
      <c r="J35" s="228"/>
      <c r="K35" s="111"/>
      <c r="L35" s="112">
        <v>70033</v>
      </c>
      <c r="M35" s="113" t="s">
        <v>61</v>
      </c>
      <c r="N35" s="114">
        <f t="shared" si="36"/>
        <v>3025800</v>
      </c>
      <c r="O35" s="114">
        <f t="shared" si="36"/>
        <v>2808805</v>
      </c>
      <c r="P35" s="115">
        <f t="shared" si="0"/>
        <v>0.92828508163130408</v>
      </c>
      <c r="Q35" s="116">
        <f t="shared" si="37"/>
        <v>3025800</v>
      </c>
      <c r="R35" s="116">
        <f t="shared" si="37"/>
        <v>2808805</v>
      </c>
      <c r="S35" s="117">
        <f t="shared" si="1"/>
        <v>0.92828508163130408</v>
      </c>
      <c r="T35" s="118">
        <f t="shared" si="38"/>
        <v>3025800</v>
      </c>
      <c r="U35" s="118">
        <f t="shared" si="38"/>
        <v>2808805</v>
      </c>
      <c r="V35" s="119">
        <f t="shared" si="2"/>
        <v>0.92828508163130408</v>
      </c>
      <c r="W35" s="118">
        <f t="shared" si="39"/>
        <v>0</v>
      </c>
      <c r="X35" s="118">
        <f t="shared" si="39"/>
        <v>0</v>
      </c>
      <c r="Y35" s="119" t="str">
        <f t="shared" si="3"/>
        <v>-</v>
      </c>
      <c r="Z35" s="118"/>
      <c r="AA35" s="118"/>
      <c r="AB35" s="119" t="str">
        <f t="shared" si="4"/>
        <v>-</v>
      </c>
      <c r="AC35" s="118"/>
      <c r="AD35" s="118"/>
      <c r="AE35" s="119" t="str">
        <f t="shared" si="5"/>
        <v>-</v>
      </c>
      <c r="AF35" s="118"/>
      <c r="AG35" s="118"/>
      <c r="AH35" s="119" t="str">
        <f t="shared" si="6"/>
        <v>-</v>
      </c>
      <c r="AI35" s="120">
        <v>3025800</v>
      </c>
      <c r="AJ35" s="118">
        <v>2808805</v>
      </c>
      <c r="AK35" s="119">
        <f t="shared" si="7"/>
        <v>0.92828508163130408</v>
      </c>
      <c r="AL35" s="118"/>
      <c r="AM35" s="118"/>
      <c r="AN35" s="119" t="str">
        <f t="shared" si="8"/>
        <v>-</v>
      </c>
      <c r="AO35" s="118">
        <f t="shared" si="40"/>
        <v>0</v>
      </c>
      <c r="AP35" s="118">
        <f t="shared" si="40"/>
        <v>0</v>
      </c>
      <c r="AQ35" s="119" t="str">
        <f t="shared" si="9"/>
        <v>-</v>
      </c>
      <c r="AR35" s="118"/>
      <c r="AS35" s="118"/>
      <c r="AT35" s="119" t="str">
        <f t="shared" si="10"/>
        <v>-</v>
      </c>
      <c r="AU35" s="118"/>
      <c r="AV35" s="118"/>
      <c r="AW35" s="119" t="str">
        <f t="shared" si="11"/>
        <v>-</v>
      </c>
      <c r="AX35" s="118"/>
      <c r="AY35" s="118"/>
      <c r="AZ35" s="119" t="str">
        <f t="shared" si="12"/>
        <v>-</v>
      </c>
      <c r="BA35" s="118"/>
      <c r="BB35" s="118"/>
      <c r="BC35" s="119" t="str">
        <f t="shared" si="13"/>
        <v>-</v>
      </c>
      <c r="BD35" s="118"/>
      <c r="BE35" s="118"/>
      <c r="BF35" s="119" t="str">
        <f t="shared" si="14"/>
        <v>-</v>
      </c>
      <c r="BG35" s="118"/>
      <c r="BH35" s="118"/>
      <c r="BI35" s="119" t="str">
        <f t="shared" si="15"/>
        <v>-</v>
      </c>
      <c r="BJ35" s="118"/>
      <c r="BK35" s="118"/>
      <c r="BL35" s="119" t="str">
        <f t="shared" si="16"/>
        <v>-</v>
      </c>
      <c r="BM35" s="118"/>
      <c r="BN35" s="118"/>
      <c r="BO35" s="119" t="str">
        <f t="shared" si="17"/>
        <v>-</v>
      </c>
      <c r="BP35" s="118"/>
      <c r="BQ35" s="118"/>
      <c r="BR35" s="119" t="str">
        <f t="shared" si="18"/>
        <v>-</v>
      </c>
      <c r="BS35" s="118"/>
      <c r="BT35" s="118"/>
      <c r="BU35" s="119" t="str">
        <f t="shared" si="19"/>
        <v>-</v>
      </c>
      <c r="BV35" s="118"/>
      <c r="BW35" s="118"/>
      <c r="BX35" s="119" t="str">
        <f t="shared" si="20"/>
        <v>-</v>
      </c>
      <c r="BY35" s="118"/>
      <c r="BZ35" s="118"/>
      <c r="CA35" s="119" t="str">
        <f t="shared" si="21"/>
        <v>-</v>
      </c>
      <c r="CB35" s="118"/>
      <c r="CC35" s="118"/>
      <c r="CD35" s="119" t="str">
        <f t="shared" si="22"/>
        <v>-</v>
      </c>
      <c r="CE35" s="118"/>
      <c r="CF35" s="118"/>
      <c r="CG35" s="119" t="str">
        <f t="shared" si="23"/>
        <v>-</v>
      </c>
      <c r="CH35" s="118"/>
      <c r="CI35" s="118"/>
      <c r="CJ35" s="121" t="str">
        <f t="shared" si="24"/>
        <v>-</v>
      </c>
      <c r="CK35" s="122" t="str">
        <f t="shared" si="25"/>
        <v>ok</v>
      </c>
      <c r="CL35" s="122"/>
    </row>
    <row r="36" spans="3:91" s="124" customFormat="1" ht="21" customHeight="1" x14ac:dyDescent="0.75">
      <c r="C36" s="96">
        <v>18</v>
      </c>
      <c r="D36" s="96" t="str">
        <f>IFERROR(INDEX([4]Account!$A:$A,MATCH(K36,[4]Account!$D:$D,0)),"")</f>
        <v/>
      </c>
      <c r="E36" s="96">
        <v>18</v>
      </c>
      <c r="F36" s="96">
        <v>92</v>
      </c>
      <c r="G36" s="96">
        <f>IFERROR(INDEX('[5]Sub Account'!$A:$A,MATCH(L36,'[5]Sub Account'!$D:$D,0)),"")</f>
        <v>464</v>
      </c>
      <c r="H36" s="96">
        <v>1</v>
      </c>
      <c r="I36" s="96">
        <v>1</v>
      </c>
      <c r="J36" s="228"/>
      <c r="K36" s="111"/>
      <c r="L36" s="112">
        <v>70034</v>
      </c>
      <c r="M36" s="113" t="s">
        <v>62</v>
      </c>
      <c r="N36" s="114">
        <f t="shared" si="36"/>
        <v>75000</v>
      </c>
      <c r="O36" s="114">
        <f t="shared" si="36"/>
        <v>53439.5</v>
      </c>
      <c r="P36" s="115">
        <f t="shared" si="0"/>
        <v>0.71252666666666664</v>
      </c>
      <c r="Q36" s="116">
        <f t="shared" si="37"/>
        <v>75000</v>
      </c>
      <c r="R36" s="116">
        <f t="shared" si="37"/>
        <v>53439.5</v>
      </c>
      <c r="S36" s="117">
        <f t="shared" si="1"/>
        <v>0.71252666666666664</v>
      </c>
      <c r="T36" s="118">
        <f t="shared" si="38"/>
        <v>75000</v>
      </c>
      <c r="U36" s="118">
        <f t="shared" si="38"/>
        <v>53439.5</v>
      </c>
      <c r="V36" s="119">
        <f t="shared" si="2"/>
        <v>0.71252666666666664</v>
      </c>
      <c r="W36" s="118">
        <f t="shared" si="39"/>
        <v>0</v>
      </c>
      <c r="X36" s="118">
        <f t="shared" si="39"/>
        <v>0</v>
      </c>
      <c r="Y36" s="119" t="str">
        <f t="shared" si="3"/>
        <v>-</v>
      </c>
      <c r="Z36" s="118"/>
      <c r="AA36" s="118"/>
      <c r="AB36" s="119" t="str">
        <f t="shared" si="4"/>
        <v>-</v>
      </c>
      <c r="AC36" s="118"/>
      <c r="AD36" s="118"/>
      <c r="AE36" s="119" t="str">
        <f t="shared" si="5"/>
        <v>-</v>
      </c>
      <c r="AF36" s="118"/>
      <c r="AG36" s="118"/>
      <c r="AH36" s="119" t="str">
        <f t="shared" si="6"/>
        <v>-</v>
      </c>
      <c r="AI36" s="120"/>
      <c r="AJ36" s="118"/>
      <c r="AK36" s="119" t="str">
        <f t="shared" si="7"/>
        <v>-</v>
      </c>
      <c r="AL36" s="118">
        <v>75000</v>
      </c>
      <c r="AM36" s="118">
        <v>53439.5</v>
      </c>
      <c r="AN36" s="119">
        <f t="shared" si="8"/>
        <v>0.71252666666666664</v>
      </c>
      <c r="AO36" s="118">
        <f t="shared" si="40"/>
        <v>0</v>
      </c>
      <c r="AP36" s="118">
        <f t="shared" si="40"/>
        <v>0</v>
      </c>
      <c r="AQ36" s="119" t="str">
        <f t="shared" si="9"/>
        <v>-</v>
      </c>
      <c r="AR36" s="118"/>
      <c r="AS36" s="118"/>
      <c r="AT36" s="119" t="str">
        <f t="shared" si="10"/>
        <v>-</v>
      </c>
      <c r="AU36" s="118"/>
      <c r="AV36" s="118"/>
      <c r="AW36" s="119" t="str">
        <f t="shared" si="11"/>
        <v>-</v>
      </c>
      <c r="AX36" s="118"/>
      <c r="AY36" s="118"/>
      <c r="AZ36" s="119" t="str">
        <f t="shared" si="12"/>
        <v>-</v>
      </c>
      <c r="BA36" s="118"/>
      <c r="BB36" s="118"/>
      <c r="BC36" s="119" t="str">
        <f t="shared" si="13"/>
        <v>-</v>
      </c>
      <c r="BD36" s="118"/>
      <c r="BE36" s="118"/>
      <c r="BF36" s="119" t="str">
        <f t="shared" si="14"/>
        <v>-</v>
      </c>
      <c r="BG36" s="118"/>
      <c r="BH36" s="118"/>
      <c r="BI36" s="119" t="str">
        <f t="shared" si="15"/>
        <v>-</v>
      </c>
      <c r="BJ36" s="118"/>
      <c r="BK36" s="118"/>
      <c r="BL36" s="119" t="str">
        <f t="shared" si="16"/>
        <v>-</v>
      </c>
      <c r="BM36" s="118"/>
      <c r="BN36" s="118"/>
      <c r="BO36" s="119" t="str">
        <f t="shared" si="17"/>
        <v>-</v>
      </c>
      <c r="BP36" s="118"/>
      <c r="BQ36" s="118"/>
      <c r="BR36" s="119" t="str">
        <f t="shared" si="18"/>
        <v>-</v>
      </c>
      <c r="BS36" s="118"/>
      <c r="BT36" s="118"/>
      <c r="BU36" s="119" t="str">
        <f t="shared" si="19"/>
        <v>-</v>
      </c>
      <c r="BV36" s="118"/>
      <c r="BW36" s="118"/>
      <c r="BX36" s="119" t="str">
        <f t="shared" si="20"/>
        <v>-</v>
      </c>
      <c r="BY36" s="118"/>
      <c r="BZ36" s="118"/>
      <c r="CA36" s="119" t="str">
        <f t="shared" si="21"/>
        <v>-</v>
      </c>
      <c r="CB36" s="118"/>
      <c r="CC36" s="118"/>
      <c r="CD36" s="119" t="str">
        <f t="shared" si="22"/>
        <v>-</v>
      </c>
      <c r="CE36" s="118"/>
      <c r="CF36" s="118"/>
      <c r="CG36" s="119" t="str">
        <f t="shared" si="23"/>
        <v>-</v>
      </c>
      <c r="CH36" s="118"/>
      <c r="CI36" s="118"/>
      <c r="CJ36" s="121" t="str">
        <f t="shared" si="24"/>
        <v>-</v>
      </c>
      <c r="CK36" s="122" t="str">
        <f t="shared" si="25"/>
        <v>ok</v>
      </c>
      <c r="CL36" s="122"/>
    </row>
    <row r="37" spans="3:91" s="123" customFormat="1" ht="21" customHeight="1" x14ac:dyDescent="0.75">
      <c r="C37" s="96">
        <v>18</v>
      </c>
      <c r="D37" s="96" t="str">
        <f>IFERROR(INDEX([4]Account!$A:$A,MATCH(K37,[4]Account!$D:$D,0)),"")</f>
        <v/>
      </c>
      <c r="E37" s="96">
        <v>18</v>
      </c>
      <c r="F37" s="96">
        <v>92</v>
      </c>
      <c r="G37" s="96">
        <f>IFERROR(INDEX('[5]Sub Account'!$A:$A,MATCH(L37,'[5]Sub Account'!$D:$D,0)),"")</f>
        <v>501</v>
      </c>
      <c r="H37" s="96">
        <v>1</v>
      </c>
      <c r="I37" s="96">
        <v>1</v>
      </c>
      <c r="J37" s="228"/>
      <c r="K37" s="111"/>
      <c r="L37" s="112">
        <v>70035</v>
      </c>
      <c r="M37" s="113" t="s">
        <v>63</v>
      </c>
      <c r="N37" s="114">
        <f t="shared" si="36"/>
        <v>116799.1</v>
      </c>
      <c r="O37" s="114">
        <f t="shared" si="36"/>
        <v>135457.5</v>
      </c>
      <c r="P37" s="115">
        <f t="shared" si="0"/>
        <v>1.1597478062759046</v>
      </c>
      <c r="Q37" s="116">
        <f t="shared" si="37"/>
        <v>0</v>
      </c>
      <c r="R37" s="116">
        <f t="shared" si="37"/>
        <v>0</v>
      </c>
      <c r="S37" s="117" t="str">
        <f t="shared" si="1"/>
        <v>-</v>
      </c>
      <c r="T37" s="118">
        <f t="shared" si="38"/>
        <v>0</v>
      </c>
      <c r="U37" s="118">
        <f t="shared" si="38"/>
        <v>0</v>
      </c>
      <c r="V37" s="119" t="str">
        <f t="shared" si="2"/>
        <v>-</v>
      </c>
      <c r="W37" s="118">
        <f t="shared" si="39"/>
        <v>0</v>
      </c>
      <c r="X37" s="118">
        <f t="shared" si="39"/>
        <v>0</v>
      </c>
      <c r="Y37" s="119" t="str">
        <f t="shared" si="3"/>
        <v>-</v>
      </c>
      <c r="Z37" s="118"/>
      <c r="AA37" s="118"/>
      <c r="AB37" s="119" t="str">
        <f t="shared" si="4"/>
        <v>-</v>
      </c>
      <c r="AC37" s="118"/>
      <c r="AD37" s="118"/>
      <c r="AE37" s="119" t="str">
        <f t="shared" si="5"/>
        <v>-</v>
      </c>
      <c r="AF37" s="118"/>
      <c r="AG37" s="118"/>
      <c r="AH37" s="119" t="str">
        <f t="shared" si="6"/>
        <v>-</v>
      </c>
      <c r="AI37" s="120"/>
      <c r="AJ37" s="118"/>
      <c r="AK37" s="119" t="str">
        <f t="shared" si="7"/>
        <v>-</v>
      </c>
      <c r="AL37" s="118"/>
      <c r="AM37" s="118"/>
      <c r="AN37" s="119" t="str">
        <f t="shared" si="8"/>
        <v>-</v>
      </c>
      <c r="AO37" s="118">
        <f t="shared" si="40"/>
        <v>0</v>
      </c>
      <c r="AP37" s="118">
        <f t="shared" si="40"/>
        <v>0</v>
      </c>
      <c r="AQ37" s="119" t="str">
        <f t="shared" si="9"/>
        <v>-</v>
      </c>
      <c r="AR37" s="118"/>
      <c r="AS37" s="118"/>
      <c r="AT37" s="119" t="str">
        <f t="shared" si="10"/>
        <v>-</v>
      </c>
      <c r="AU37" s="118"/>
      <c r="AV37" s="118"/>
      <c r="AW37" s="119" t="str">
        <f t="shared" si="11"/>
        <v>-</v>
      </c>
      <c r="AX37" s="118"/>
      <c r="AY37" s="118"/>
      <c r="AZ37" s="119" t="str">
        <f t="shared" si="12"/>
        <v>-</v>
      </c>
      <c r="BA37" s="118"/>
      <c r="BB37" s="118"/>
      <c r="BC37" s="119" t="str">
        <f t="shared" si="13"/>
        <v>-</v>
      </c>
      <c r="BD37" s="118"/>
      <c r="BE37" s="118"/>
      <c r="BF37" s="119" t="str">
        <f t="shared" si="14"/>
        <v>-</v>
      </c>
      <c r="BG37" s="118"/>
      <c r="BH37" s="118"/>
      <c r="BI37" s="119" t="str">
        <f t="shared" si="15"/>
        <v>-</v>
      </c>
      <c r="BJ37" s="118"/>
      <c r="BK37" s="118"/>
      <c r="BL37" s="119" t="str">
        <f t="shared" si="16"/>
        <v>-</v>
      </c>
      <c r="BM37" s="118"/>
      <c r="BN37" s="118"/>
      <c r="BO37" s="119" t="str">
        <f t="shared" si="17"/>
        <v>-</v>
      </c>
      <c r="BP37" s="118"/>
      <c r="BQ37" s="118"/>
      <c r="BR37" s="119" t="str">
        <f t="shared" si="18"/>
        <v>-</v>
      </c>
      <c r="BS37" s="118"/>
      <c r="BT37" s="118"/>
      <c r="BU37" s="119" t="str">
        <f t="shared" si="19"/>
        <v>-</v>
      </c>
      <c r="BV37" s="118"/>
      <c r="BW37" s="118"/>
      <c r="BX37" s="119" t="str">
        <f t="shared" si="20"/>
        <v>-</v>
      </c>
      <c r="BY37" s="118"/>
      <c r="BZ37" s="118"/>
      <c r="CA37" s="119" t="str">
        <f t="shared" si="21"/>
        <v>-</v>
      </c>
      <c r="CB37" s="118"/>
      <c r="CC37" s="118"/>
      <c r="CD37" s="119" t="str">
        <f t="shared" si="22"/>
        <v>-</v>
      </c>
      <c r="CE37" s="118"/>
      <c r="CF37" s="118"/>
      <c r="CG37" s="119" t="str">
        <f t="shared" si="23"/>
        <v>-</v>
      </c>
      <c r="CH37" s="118">
        <v>116799.1</v>
      </c>
      <c r="CI37" s="118">
        <v>135457.5</v>
      </c>
      <c r="CJ37" s="121">
        <f t="shared" si="24"/>
        <v>1.1597478062759046</v>
      </c>
      <c r="CK37" s="122" t="str">
        <f t="shared" si="25"/>
        <v>ok</v>
      </c>
      <c r="CL37" s="122"/>
    </row>
    <row r="38" spans="3:91" s="110" customFormat="1" ht="21" customHeight="1" x14ac:dyDescent="0.75">
      <c r="C38" s="96">
        <v>18</v>
      </c>
      <c r="D38" s="96">
        <f>IFERROR(INDEX([4]Account!$A:$A,MATCH(K38,[4]Account!$D:$D,0)),"")</f>
        <v>93</v>
      </c>
      <c r="E38" s="96">
        <v>18</v>
      </c>
      <c r="F38" s="96">
        <f>IFERROR(INDEX([4]Account!$A:$A,MATCH(K38,[4]Account!$D:$D,0)),"")</f>
        <v>93</v>
      </c>
      <c r="G38" s="96" t="str">
        <f>IFERROR(INDEX('[5]Sub Account'!$A:$A,MATCH(L38,'[5]Sub Account'!$D:$D,0)),"")</f>
        <v/>
      </c>
      <c r="H38" s="96">
        <v>1</v>
      </c>
      <c r="I38" s="96">
        <v>1</v>
      </c>
      <c r="J38" s="227"/>
      <c r="K38" s="237">
        <v>7004</v>
      </c>
      <c r="L38" s="98"/>
      <c r="M38" s="99" t="s">
        <v>64</v>
      </c>
      <c r="N38" s="100">
        <f>SUM(N39:N40)</f>
        <v>4998</v>
      </c>
      <c r="O38" s="100">
        <f>SUM(O39:O40)</f>
        <v>2544.6</v>
      </c>
      <c r="P38" s="101">
        <f t="shared" si="0"/>
        <v>0.50912364945978394</v>
      </c>
      <c r="Q38" s="102">
        <f>SUM(Q39:Q40)</f>
        <v>0</v>
      </c>
      <c r="R38" s="102">
        <f>SUM(R39:R40)</f>
        <v>0</v>
      </c>
      <c r="S38" s="103" t="str">
        <f t="shared" si="1"/>
        <v>-</v>
      </c>
      <c r="T38" s="104">
        <f>SUM(T39:T40)</f>
        <v>0</v>
      </c>
      <c r="U38" s="104">
        <f>SUM(U39:U40)</f>
        <v>0</v>
      </c>
      <c r="V38" s="105" t="str">
        <f t="shared" si="2"/>
        <v>-</v>
      </c>
      <c r="W38" s="104">
        <f>SUM(W39:W40)</f>
        <v>0</v>
      </c>
      <c r="X38" s="104">
        <f>SUM(X39:X40)</f>
        <v>0</v>
      </c>
      <c r="Y38" s="105" t="str">
        <f t="shared" si="3"/>
        <v>-</v>
      </c>
      <c r="Z38" s="104">
        <f>SUM(Z39:Z40)</f>
        <v>0</v>
      </c>
      <c r="AA38" s="104">
        <f>SUM(AA39:AA40)</f>
        <v>0</v>
      </c>
      <c r="AB38" s="105" t="str">
        <f t="shared" si="4"/>
        <v>-</v>
      </c>
      <c r="AC38" s="104">
        <f>SUM(AC39:AC40)</f>
        <v>0</v>
      </c>
      <c r="AD38" s="104">
        <f>SUM(AD39:AD40)</f>
        <v>0</v>
      </c>
      <c r="AE38" s="105" t="str">
        <f t="shared" si="5"/>
        <v>-</v>
      </c>
      <c r="AF38" s="104">
        <f>SUM(AF39:AF40)</f>
        <v>0</v>
      </c>
      <c r="AG38" s="104">
        <f>SUM(AG39:AG40)</f>
        <v>0</v>
      </c>
      <c r="AH38" s="105" t="str">
        <f t="shared" si="6"/>
        <v>-</v>
      </c>
      <c r="AI38" s="106">
        <f>SUM(AI39:AI40)</f>
        <v>0</v>
      </c>
      <c r="AJ38" s="104">
        <f>SUM(AJ39:AJ40)</f>
        <v>0</v>
      </c>
      <c r="AK38" s="105" t="str">
        <f t="shared" si="7"/>
        <v>-</v>
      </c>
      <c r="AL38" s="104">
        <f>SUM(AL39:AL40)</f>
        <v>0</v>
      </c>
      <c r="AM38" s="104">
        <f>SUM(AM39:AM40)</f>
        <v>0</v>
      </c>
      <c r="AN38" s="105" t="str">
        <f t="shared" si="8"/>
        <v>-</v>
      </c>
      <c r="AO38" s="104">
        <f>SUM(AO39:AO40)</f>
        <v>0</v>
      </c>
      <c r="AP38" s="104">
        <f>SUM(AP39:AP40)</f>
        <v>0</v>
      </c>
      <c r="AQ38" s="105" t="str">
        <f t="shared" si="9"/>
        <v>-</v>
      </c>
      <c r="AR38" s="104">
        <f>SUM(AR39:AR40)</f>
        <v>0</v>
      </c>
      <c r="AS38" s="104">
        <f>SUM(AS39:AS40)</f>
        <v>0</v>
      </c>
      <c r="AT38" s="105" t="str">
        <f t="shared" si="10"/>
        <v>-</v>
      </c>
      <c r="AU38" s="104">
        <f>SUM(AU39:AU40)</f>
        <v>0</v>
      </c>
      <c r="AV38" s="104">
        <f>SUM(AV39:AV40)</f>
        <v>0</v>
      </c>
      <c r="AW38" s="105" t="str">
        <f t="shared" si="11"/>
        <v>-</v>
      </c>
      <c r="AX38" s="104">
        <f>SUM(AX39:AX40)</f>
        <v>0</v>
      </c>
      <c r="AY38" s="104">
        <f>SUM(AY39:AY40)</f>
        <v>0</v>
      </c>
      <c r="AZ38" s="105" t="str">
        <f t="shared" si="12"/>
        <v>-</v>
      </c>
      <c r="BA38" s="104">
        <f>SUM(BA39:BA40)</f>
        <v>0</v>
      </c>
      <c r="BB38" s="104">
        <f>SUM(BB39:BB40)</f>
        <v>0</v>
      </c>
      <c r="BC38" s="105" t="str">
        <f t="shared" si="13"/>
        <v>-</v>
      </c>
      <c r="BD38" s="104">
        <f>SUM(BD39:BD40)</f>
        <v>0</v>
      </c>
      <c r="BE38" s="104">
        <f>SUM(BE39:BE40)</f>
        <v>0</v>
      </c>
      <c r="BF38" s="105" t="str">
        <f t="shared" si="14"/>
        <v>-</v>
      </c>
      <c r="BG38" s="104">
        <f>SUM(BG39:BG40)</f>
        <v>0</v>
      </c>
      <c r="BH38" s="104">
        <f>SUM(BH39:BH40)</f>
        <v>0</v>
      </c>
      <c r="BI38" s="105" t="str">
        <f t="shared" si="15"/>
        <v>-</v>
      </c>
      <c r="BJ38" s="104">
        <f>SUM(BJ39:BJ40)</f>
        <v>0</v>
      </c>
      <c r="BK38" s="104">
        <f>SUM(BK39:BK40)</f>
        <v>0</v>
      </c>
      <c r="BL38" s="105" t="str">
        <f t="shared" si="16"/>
        <v>-</v>
      </c>
      <c r="BM38" s="104">
        <f>SUM(BM39:BM40)</f>
        <v>0</v>
      </c>
      <c r="BN38" s="104">
        <f>SUM(BN39:BN40)</f>
        <v>0</v>
      </c>
      <c r="BO38" s="105" t="str">
        <f t="shared" si="17"/>
        <v>-</v>
      </c>
      <c r="BP38" s="104">
        <f>SUM(BP39:BP40)</f>
        <v>0</v>
      </c>
      <c r="BQ38" s="104">
        <f>SUM(BQ39:BQ40)</f>
        <v>0</v>
      </c>
      <c r="BR38" s="105" t="str">
        <f t="shared" si="18"/>
        <v>-</v>
      </c>
      <c r="BS38" s="104">
        <f>SUM(BS39:BS40)</f>
        <v>0</v>
      </c>
      <c r="BT38" s="104">
        <f>SUM(BT39:BT40)</f>
        <v>0</v>
      </c>
      <c r="BU38" s="105" t="str">
        <f t="shared" si="19"/>
        <v>-</v>
      </c>
      <c r="BV38" s="104">
        <f>SUM(BV39:BV40)</f>
        <v>0</v>
      </c>
      <c r="BW38" s="104">
        <f>SUM(BW39:BW40)</f>
        <v>0</v>
      </c>
      <c r="BX38" s="105" t="str">
        <f t="shared" si="20"/>
        <v>-</v>
      </c>
      <c r="BY38" s="104">
        <f>SUM(BY39:BY40)</f>
        <v>0</v>
      </c>
      <c r="BZ38" s="104">
        <f>SUM(BZ39:BZ40)</f>
        <v>0</v>
      </c>
      <c r="CA38" s="105" t="str">
        <f t="shared" si="21"/>
        <v>-</v>
      </c>
      <c r="CB38" s="104">
        <f>SUM(CB39:CB40)</f>
        <v>0</v>
      </c>
      <c r="CC38" s="104">
        <f>SUM(CC39:CC40)</f>
        <v>0</v>
      </c>
      <c r="CD38" s="105" t="str">
        <f t="shared" si="22"/>
        <v>-</v>
      </c>
      <c r="CE38" s="104">
        <f>SUM(CE39:CE40)</f>
        <v>0</v>
      </c>
      <c r="CF38" s="104">
        <f>SUM(CF39:CF40)</f>
        <v>0</v>
      </c>
      <c r="CG38" s="105" t="str">
        <f t="shared" si="23"/>
        <v>-</v>
      </c>
      <c r="CH38" s="104">
        <f>SUM(CH39:CH40)</f>
        <v>4998</v>
      </c>
      <c r="CI38" s="104">
        <f>SUM(CI39:CI40)</f>
        <v>2544.6</v>
      </c>
      <c r="CJ38" s="107">
        <f t="shared" si="24"/>
        <v>0.50912364945978394</v>
      </c>
      <c r="CK38" s="108" t="str">
        <f t="shared" si="25"/>
        <v>ok</v>
      </c>
      <c r="CL38" s="108"/>
      <c r="CM38" s="109"/>
    </row>
    <row r="39" spans="3:91" s="123" customFormat="1" ht="21" customHeight="1" x14ac:dyDescent="0.75">
      <c r="C39" s="96">
        <v>18</v>
      </c>
      <c r="D39" s="96" t="str">
        <f>IFERROR(INDEX([4]Account!$A:$A,MATCH(K39,[4]Account!$D:$D,0)),"")</f>
        <v/>
      </c>
      <c r="E39" s="96">
        <v>18</v>
      </c>
      <c r="F39" s="96">
        <v>93</v>
      </c>
      <c r="G39" s="96">
        <f>IFERROR(INDEX('[5]Sub Account'!$A:$A,MATCH(L39,'[5]Sub Account'!$D:$D,0)),"")</f>
        <v>502</v>
      </c>
      <c r="H39" s="96">
        <v>1</v>
      </c>
      <c r="I39" s="96">
        <v>1</v>
      </c>
      <c r="J39" s="228"/>
      <c r="K39" s="111"/>
      <c r="L39" s="112">
        <v>70045</v>
      </c>
      <c r="M39" s="113" t="s">
        <v>65</v>
      </c>
      <c r="N39" s="114">
        <f>Q39+CH39</f>
        <v>4998</v>
      </c>
      <c r="O39" s="114">
        <f>R39+CI39</f>
        <v>2544.6</v>
      </c>
      <c r="P39" s="115">
        <f t="shared" si="0"/>
        <v>0.50912364945978394</v>
      </c>
      <c r="Q39" s="116">
        <f>T39+AO39</f>
        <v>0</v>
      </c>
      <c r="R39" s="116">
        <f>U39+AP39</f>
        <v>0</v>
      </c>
      <c r="S39" s="117" t="str">
        <f t="shared" si="1"/>
        <v>-</v>
      </c>
      <c r="T39" s="118">
        <f>W39+AI39+AL39</f>
        <v>0</v>
      </c>
      <c r="U39" s="118">
        <f>X39+AJ39+AM39</f>
        <v>0</v>
      </c>
      <c r="V39" s="119" t="str">
        <f t="shared" si="2"/>
        <v>-</v>
      </c>
      <c r="W39" s="118">
        <f t="shared" ref="W39:X40" si="41">Z39+AC39+AF39</f>
        <v>0</v>
      </c>
      <c r="X39" s="118">
        <f t="shared" si="41"/>
        <v>0</v>
      </c>
      <c r="Y39" s="119" t="str">
        <f t="shared" si="3"/>
        <v>-</v>
      </c>
      <c r="Z39" s="118"/>
      <c r="AA39" s="118"/>
      <c r="AB39" s="119" t="str">
        <f t="shared" si="4"/>
        <v>-</v>
      </c>
      <c r="AC39" s="118"/>
      <c r="AD39" s="118"/>
      <c r="AE39" s="119" t="str">
        <f t="shared" si="5"/>
        <v>-</v>
      </c>
      <c r="AF39" s="118"/>
      <c r="AG39" s="118"/>
      <c r="AH39" s="119" t="str">
        <f t="shared" si="6"/>
        <v>-</v>
      </c>
      <c r="AI39" s="120"/>
      <c r="AJ39" s="118"/>
      <c r="AK39" s="119" t="str">
        <f t="shared" si="7"/>
        <v>-</v>
      </c>
      <c r="AL39" s="118"/>
      <c r="AM39" s="118"/>
      <c r="AN39" s="119" t="str">
        <f t="shared" si="8"/>
        <v>-</v>
      </c>
      <c r="AO39" s="118">
        <f t="shared" ref="AO39:AP40" si="42">AR39+AU39+AX39+BA39+BG39+BJ39+BM39+BP39+BS39+BV39+BY39+CB39+CE39</f>
        <v>0</v>
      </c>
      <c r="AP39" s="118">
        <f t="shared" si="42"/>
        <v>0</v>
      </c>
      <c r="AQ39" s="119" t="str">
        <f t="shared" si="9"/>
        <v>-</v>
      </c>
      <c r="AR39" s="118"/>
      <c r="AS39" s="118"/>
      <c r="AT39" s="119" t="str">
        <f t="shared" si="10"/>
        <v>-</v>
      </c>
      <c r="AU39" s="118"/>
      <c r="AV39" s="118"/>
      <c r="AW39" s="119" t="str">
        <f t="shared" si="11"/>
        <v>-</v>
      </c>
      <c r="AX39" s="118"/>
      <c r="AY39" s="118"/>
      <c r="AZ39" s="119" t="str">
        <f t="shared" si="12"/>
        <v>-</v>
      </c>
      <c r="BA39" s="118"/>
      <c r="BB39" s="118"/>
      <c r="BC39" s="119" t="str">
        <f t="shared" si="13"/>
        <v>-</v>
      </c>
      <c r="BD39" s="118"/>
      <c r="BE39" s="118"/>
      <c r="BF39" s="119" t="str">
        <f t="shared" si="14"/>
        <v>-</v>
      </c>
      <c r="BG39" s="118"/>
      <c r="BH39" s="118"/>
      <c r="BI39" s="119" t="str">
        <f t="shared" si="15"/>
        <v>-</v>
      </c>
      <c r="BJ39" s="118"/>
      <c r="BK39" s="118"/>
      <c r="BL39" s="119" t="str">
        <f t="shared" si="16"/>
        <v>-</v>
      </c>
      <c r="BM39" s="118"/>
      <c r="BN39" s="118"/>
      <c r="BO39" s="119" t="str">
        <f t="shared" si="17"/>
        <v>-</v>
      </c>
      <c r="BP39" s="118"/>
      <c r="BQ39" s="118"/>
      <c r="BR39" s="119" t="str">
        <f t="shared" si="18"/>
        <v>-</v>
      </c>
      <c r="BS39" s="118"/>
      <c r="BT39" s="118"/>
      <c r="BU39" s="119" t="str">
        <f t="shared" si="19"/>
        <v>-</v>
      </c>
      <c r="BV39" s="118"/>
      <c r="BW39" s="118"/>
      <c r="BX39" s="119" t="str">
        <f t="shared" si="20"/>
        <v>-</v>
      </c>
      <c r="BY39" s="118"/>
      <c r="BZ39" s="118"/>
      <c r="CA39" s="119" t="str">
        <f t="shared" si="21"/>
        <v>-</v>
      </c>
      <c r="CB39" s="118"/>
      <c r="CC39" s="118"/>
      <c r="CD39" s="119" t="str">
        <f t="shared" si="22"/>
        <v>-</v>
      </c>
      <c r="CE39" s="118"/>
      <c r="CF39" s="118"/>
      <c r="CG39" s="119" t="str">
        <f t="shared" si="23"/>
        <v>-</v>
      </c>
      <c r="CH39" s="118">
        <v>4998</v>
      </c>
      <c r="CI39" s="118">
        <v>2544.6</v>
      </c>
      <c r="CJ39" s="121">
        <f t="shared" si="24"/>
        <v>0.50912364945978394</v>
      </c>
      <c r="CK39" s="122" t="str">
        <f t="shared" si="25"/>
        <v>ok</v>
      </c>
      <c r="CL39" s="122"/>
    </row>
    <row r="40" spans="3:91" s="124" customFormat="1" ht="21" customHeight="1" x14ac:dyDescent="0.75">
      <c r="C40" s="96">
        <v>18</v>
      </c>
      <c r="D40" s="96" t="str">
        <f>IFERROR(INDEX([4]Account!$A:$A,MATCH(K40,[4]Account!$D:$D,0)),"")</f>
        <v/>
      </c>
      <c r="E40" s="96">
        <v>18</v>
      </c>
      <c r="F40" s="96">
        <v>93</v>
      </c>
      <c r="G40" s="96">
        <f>IFERROR(INDEX('[5]Sub Account'!$A:$A,MATCH(L40,'[5]Sub Account'!$D:$D,0)),"")</f>
        <v>503</v>
      </c>
      <c r="H40" s="96">
        <v>1</v>
      </c>
      <c r="I40" s="96">
        <v>1</v>
      </c>
      <c r="J40" s="228"/>
      <c r="K40" s="111"/>
      <c r="L40" s="112">
        <v>70046</v>
      </c>
      <c r="M40" s="113" t="s">
        <v>66</v>
      </c>
      <c r="N40" s="114">
        <f>Q40+CH40</f>
        <v>0</v>
      </c>
      <c r="O40" s="114">
        <f>R40+CI40</f>
        <v>0</v>
      </c>
      <c r="P40" s="115" t="str">
        <f t="shared" si="0"/>
        <v>-</v>
      </c>
      <c r="Q40" s="116">
        <f>T40+AO40</f>
        <v>0</v>
      </c>
      <c r="R40" s="116">
        <f>U40+AP40</f>
        <v>0</v>
      </c>
      <c r="S40" s="117" t="str">
        <f t="shared" si="1"/>
        <v>-</v>
      </c>
      <c r="T40" s="118">
        <f>W40+AI40+AL40</f>
        <v>0</v>
      </c>
      <c r="U40" s="118">
        <f>X40+AJ40+AM40</f>
        <v>0</v>
      </c>
      <c r="V40" s="119" t="str">
        <f t="shared" si="2"/>
        <v>-</v>
      </c>
      <c r="W40" s="118">
        <f t="shared" si="41"/>
        <v>0</v>
      </c>
      <c r="X40" s="118">
        <f t="shared" si="41"/>
        <v>0</v>
      </c>
      <c r="Y40" s="119" t="str">
        <f t="shared" si="3"/>
        <v>-</v>
      </c>
      <c r="Z40" s="118"/>
      <c r="AA40" s="118"/>
      <c r="AB40" s="119" t="str">
        <f t="shared" si="4"/>
        <v>-</v>
      </c>
      <c r="AC40" s="118"/>
      <c r="AD40" s="118"/>
      <c r="AE40" s="119" t="str">
        <f t="shared" si="5"/>
        <v>-</v>
      </c>
      <c r="AF40" s="118"/>
      <c r="AG40" s="118"/>
      <c r="AH40" s="119" t="str">
        <f t="shared" si="6"/>
        <v>-</v>
      </c>
      <c r="AI40" s="120"/>
      <c r="AJ40" s="118"/>
      <c r="AK40" s="119" t="str">
        <f t="shared" si="7"/>
        <v>-</v>
      </c>
      <c r="AL40" s="118"/>
      <c r="AM40" s="118"/>
      <c r="AN40" s="119" t="str">
        <f t="shared" si="8"/>
        <v>-</v>
      </c>
      <c r="AO40" s="118">
        <f t="shared" si="42"/>
        <v>0</v>
      </c>
      <c r="AP40" s="118">
        <f t="shared" si="42"/>
        <v>0</v>
      </c>
      <c r="AQ40" s="119" t="str">
        <f t="shared" si="9"/>
        <v>-</v>
      </c>
      <c r="AR40" s="118"/>
      <c r="AS40" s="118"/>
      <c r="AT40" s="119" t="str">
        <f t="shared" si="10"/>
        <v>-</v>
      </c>
      <c r="AU40" s="118"/>
      <c r="AV40" s="118"/>
      <c r="AW40" s="119" t="str">
        <f t="shared" si="11"/>
        <v>-</v>
      </c>
      <c r="AX40" s="118"/>
      <c r="AY40" s="118"/>
      <c r="AZ40" s="119" t="str">
        <f t="shared" si="12"/>
        <v>-</v>
      </c>
      <c r="BA40" s="118"/>
      <c r="BB40" s="118"/>
      <c r="BC40" s="119" t="str">
        <f t="shared" si="13"/>
        <v>-</v>
      </c>
      <c r="BD40" s="118"/>
      <c r="BE40" s="118"/>
      <c r="BF40" s="119" t="str">
        <f t="shared" si="14"/>
        <v>-</v>
      </c>
      <c r="BG40" s="118"/>
      <c r="BH40" s="118"/>
      <c r="BI40" s="119" t="str">
        <f t="shared" si="15"/>
        <v>-</v>
      </c>
      <c r="BJ40" s="118"/>
      <c r="BK40" s="118"/>
      <c r="BL40" s="119" t="str">
        <f t="shared" si="16"/>
        <v>-</v>
      </c>
      <c r="BM40" s="118"/>
      <c r="BN40" s="118"/>
      <c r="BO40" s="119" t="str">
        <f t="shared" si="17"/>
        <v>-</v>
      </c>
      <c r="BP40" s="118"/>
      <c r="BQ40" s="118"/>
      <c r="BR40" s="119" t="str">
        <f t="shared" si="18"/>
        <v>-</v>
      </c>
      <c r="BS40" s="118"/>
      <c r="BT40" s="118"/>
      <c r="BU40" s="119" t="str">
        <f t="shared" si="19"/>
        <v>-</v>
      </c>
      <c r="BV40" s="118"/>
      <c r="BW40" s="118"/>
      <c r="BX40" s="119" t="str">
        <f t="shared" si="20"/>
        <v>-</v>
      </c>
      <c r="BY40" s="118"/>
      <c r="BZ40" s="118"/>
      <c r="CA40" s="119" t="str">
        <f t="shared" si="21"/>
        <v>-</v>
      </c>
      <c r="CB40" s="118"/>
      <c r="CC40" s="118"/>
      <c r="CD40" s="119" t="str">
        <f t="shared" si="22"/>
        <v>-</v>
      </c>
      <c r="CE40" s="118"/>
      <c r="CF40" s="118"/>
      <c r="CG40" s="119" t="str">
        <f t="shared" si="23"/>
        <v>-</v>
      </c>
      <c r="CH40" s="118"/>
      <c r="CI40" s="118">
        <v>0</v>
      </c>
      <c r="CJ40" s="121" t="str">
        <f t="shared" si="24"/>
        <v>-</v>
      </c>
      <c r="CK40" s="122" t="str">
        <f t="shared" si="25"/>
        <v>-</v>
      </c>
      <c r="CL40" s="122"/>
    </row>
    <row r="41" spans="3:91" s="110" customFormat="1" ht="21" customHeight="1" x14ac:dyDescent="0.75">
      <c r="C41" s="96">
        <v>18</v>
      </c>
      <c r="D41" s="96">
        <f>IFERROR(INDEX([4]Account!$A:$A,MATCH(K41,[4]Account!$D:$D,0)),"")</f>
        <v>94</v>
      </c>
      <c r="E41" s="96">
        <v>18</v>
      </c>
      <c r="F41" s="96">
        <f>IFERROR(INDEX([4]Account!$A:$A,MATCH(K41,[4]Account!$D:$D,0)),"")</f>
        <v>94</v>
      </c>
      <c r="G41" s="96" t="str">
        <f>IFERROR(INDEX('[5]Sub Account'!$A:$A,MATCH(L41,'[5]Sub Account'!$D:$D,0)),"")</f>
        <v/>
      </c>
      <c r="H41" s="96">
        <v>1</v>
      </c>
      <c r="I41" s="96">
        <v>1</v>
      </c>
      <c r="J41" s="227"/>
      <c r="K41" s="237">
        <v>7005</v>
      </c>
      <c r="L41" s="98"/>
      <c r="M41" s="99" t="s">
        <v>67</v>
      </c>
      <c r="N41" s="100">
        <f>SUM(N42:N43)</f>
        <v>256238.5</v>
      </c>
      <c r="O41" s="100">
        <f>SUM(O42:O43)</f>
        <v>439597.4</v>
      </c>
      <c r="P41" s="101">
        <f t="shared" si="0"/>
        <v>1.7155790406203597</v>
      </c>
      <c r="Q41" s="102">
        <f>SUM(Q42:Q43)</f>
        <v>0</v>
      </c>
      <c r="R41" s="102">
        <f>SUM(R42:R43)</f>
        <v>0</v>
      </c>
      <c r="S41" s="103" t="str">
        <f t="shared" si="1"/>
        <v>-</v>
      </c>
      <c r="T41" s="104">
        <f>SUM(T42:T43)</f>
        <v>0</v>
      </c>
      <c r="U41" s="104">
        <f>SUM(U42:U43)</f>
        <v>0</v>
      </c>
      <c r="V41" s="105" t="str">
        <f t="shared" si="2"/>
        <v>-</v>
      </c>
      <c r="W41" s="104">
        <f>SUM(W42:W43)</f>
        <v>0</v>
      </c>
      <c r="X41" s="104">
        <f>SUM(X42:X43)</f>
        <v>0</v>
      </c>
      <c r="Y41" s="105" t="str">
        <f t="shared" si="3"/>
        <v>-</v>
      </c>
      <c r="Z41" s="104">
        <f>SUM(Z42:Z43)</f>
        <v>0</v>
      </c>
      <c r="AA41" s="104">
        <f>SUM(AA42:AA43)</f>
        <v>0</v>
      </c>
      <c r="AB41" s="105" t="str">
        <f t="shared" si="4"/>
        <v>-</v>
      </c>
      <c r="AC41" s="104">
        <f>SUM(AC42:AC43)</f>
        <v>0</v>
      </c>
      <c r="AD41" s="104">
        <f>SUM(AD42:AD43)</f>
        <v>0</v>
      </c>
      <c r="AE41" s="105" t="str">
        <f t="shared" si="5"/>
        <v>-</v>
      </c>
      <c r="AF41" s="104">
        <f>SUM(AF42:AF43)</f>
        <v>0</v>
      </c>
      <c r="AG41" s="104">
        <f>SUM(AG42:AG43)</f>
        <v>0</v>
      </c>
      <c r="AH41" s="105" t="str">
        <f t="shared" si="6"/>
        <v>-</v>
      </c>
      <c r="AI41" s="106">
        <f>SUM(AI42:AI43)</f>
        <v>0</v>
      </c>
      <c r="AJ41" s="104">
        <f>SUM(AJ42:AJ43)</f>
        <v>0</v>
      </c>
      <c r="AK41" s="105" t="str">
        <f t="shared" si="7"/>
        <v>-</v>
      </c>
      <c r="AL41" s="104">
        <f>SUM(AL42:AL43)</f>
        <v>0</v>
      </c>
      <c r="AM41" s="104">
        <f>SUM(AM42:AM43)</f>
        <v>0</v>
      </c>
      <c r="AN41" s="105" t="str">
        <f t="shared" si="8"/>
        <v>-</v>
      </c>
      <c r="AO41" s="104">
        <f>SUM(AO42:AO43)</f>
        <v>0</v>
      </c>
      <c r="AP41" s="104">
        <f>SUM(AP42:AP43)</f>
        <v>0</v>
      </c>
      <c r="AQ41" s="105" t="str">
        <f t="shared" si="9"/>
        <v>-</v>
      </c>
      <c r="AR41" s="104">
        <f>SUM(AR42:AR43)</f>
        <v>0</v>
      </c>
      <c r="AS41" s="104">
        <f>SUM(AS42:AS43)</f>
        <v>0</v>
      </c>
      <c r="AT41" s="105" t="str">
        <f t="shared" si="10"/>
        <v>-</v>
      </c>
      <c r="AU41" s="104">
        <f>SUM(AU42:AU43)</f>
        <v>0</v>
      </c>
      <c r="AV41" s="104">
        <f>SUM(AV42:AV43)</f>
        <v>0</v>
      </c>
      <c r="AW41" s="105" t="str">
        <f t="shared" si="11"/>
        <v>-</v>
      </c>
      <c r="AX41" s="104">
        <f>SUM(AX42:AX43)</f>
        <v>0</v>
      </c>
      <c r="AY41" s="104">
        <f>SUM(AY42:AY43)</f>
        <v>0</v>
      </c>
      <c r="AZ41" s="105" t="str">
        <f t="shared" si="12"/>
        <v>-</v>
      </c>
      <c r="BA41" s="104">
        <f>SUM(BA42:BA43)</f>
        <v>0</v>
      </c>
      <c r="BB41" s="104">
        <f>SUM(BB42:BB43)</f>
        <v>0</v>
      </c>
      <c r="BC41" s="105" t="str">
        <f t="shared" si="13"/>
        <v>-</v>
      </c>
      <c r="BD41" s="104">
        <f>SUM(BD42:BD43)</f>
        <v>0</v>
      </c>
      <c r="BE41" s="104">
        <f>SUM(BE42:BE43)</f>
        <v>0</v>
      </c>
      <c r="BF41" s="105" t="str">
        <f t="shared" si="14"/>
        <v>-</v>
      </c>
      <c r="BG41" s="104">
        <f>SUM(BG42:BG43)</f>
        <v>0</v>
      </c>
      <c r="BH41" s="104">
        <f>SUM(BH42:BH43)</f>
        <v>0</v>
      </c>
      <c r="BI41" s="105" t="str">
        <f t="shared" si="15"/>
        <v>-</v>
      </c>
      <c r="BJ41" s="104">
        <f>SUM(BJ42:BJ43)</f>
        <v>0</v>
      </c>
      <c r="BK41" s="104">
        <f>SUM(BK42:BK43)</f>
        <v>0</v>
      </c>
      <c r="BL41" s="105" t="str">
        <f t="shared" si="16"/>
        <v>-</v>
      </c>
      <c r="BM41" s="104">
        <f>SUM(BM42:BM43)</f>
        <v>0</v>
      </c>
      <c r="BN41" s="104">
        <f>SUM(BN42:BN43)</f>
        <v>0</v>
      </c>
      <c r="BO41" s="105" t="str">
        <f t="shared" si="17"/>
        <v>-</v>
      </c>
      <c r="BP41" s="104">
        <f>SUM(BP42:BP43)</f>
        <v>0</v>
      </c>
      <c r="BQ41" s="104">
        <f>SUM(BQ42:BQ43)</f>
        <v>0</v>
      </c>
      <c r="BR41" s="105" t="str">
        <f t="shared" si="18"/>
        <v>-</v>
      </c>
      <c r="BS41" s="104">
        <f>SUM(BS42:BS43)</f>
        <v>0</v>
      </c>
      <c r="BT41" s="104">
        <f>SUM(BT42:BT43)</f>
        <v>0</v>
      </c>
      <c r="BU41" s="105" t="str">
        <f t="shared" si="19"/>
        <v>-</v>
      </c>
      <c r="BV41" s="104">
        <f>SUM(BV42:BV43)</f>
        <v>0</v>
      </c>
      <c r="BW41" s="104">
        <f>SUM(BW42:BW43)</f>
        <v>0</v>
      </c>
      <c r="BX41" s="105" t="str">
        <f t="shared" si="20"/>
        <v>-</v>
      </c>
      <c r="BY41" s="104">
        <f>SUM(BY42:BY43)</f>
        <v>0</v>
      </c>
      <c r="BZ41" s="104">
        <f>SUM(BZ42:BZ43)</f>
        <v>0</v>
      </c>
      <c r="CA41" s="105" t="str">
        <f t="shared" si="21"/>
        <v>-</v>
      </c>
      <c r="CB41" s="104">
        <f>SUM(CB42:CB43)</f>
        <v>0</v>
      </c>
      <c r="CC41" s="104">
        <f>SUM(CC42:CC43)</f>
        <v>0</v>
      </c>
      <c r="CD41" s="105" t="str">
        <f t="shared" si="22"/>
        <v>-</v>
      </c>
      <c r="CE41" s="104">
        <f>SUM(CE42:CE43)</f>
        <v>0</v>
      </c>
      <c r="CF41" s="104">
        <f>SUM(CF42:CF43)</f>
        <v>0</v>
      </c>
      <c r="CG41" s="105" t="str">
        <f t="shared" si="23"/>
        <v>-</v>
      </c>
      <c r="CH41" s="104">
        <f>SUM(CH42:CH43)</f>
        <v>256238.5</v>
      </c>
      <c r="CI41" s="104">
        <f>SUM(CI42:CI43)</f>
        <v>439597.4</v>
      </c>
      <c r="CJ41" s="107">
        <f t="shared" si="24"/>
        <v>1.7155790406203597</v>
      </c>
      <c r="CK41" s="108" t="str">
        <f t="shared" si="25"/>
        <v>ok</v>
      </c>
      <c r="CL41" s="108"/>
      <c r="CM41" s="109"/>
    </row>
    <row r="42" spans="3:91" s="123" customFormat="1" ht="21" customHeight="1" x14ac:dyDescent="0.75">
      <c r="C42" s="96">
        <v>18</v>
      </c>
      <c r="D42" s="96" t="str">
        <f>IFERROR(INDEX([4]Account!$A:$A,MATCH(K42,[4]Account!$D:$D,0)),"")</f>
        <v/>
      </c>
      <c r="E42" s="96">
        <v>18</v>
      </c>
      <c r="F42" s="96">
        <v>94</v>
      </c>
      <c r="G42" s="96">
        <f>IFERROR(INDEX('[5]Sub Account'!$A:$A,MATCH(L42,'[5]Sub Account'!$D:$D,0)),"")</f>
        <v>504</v>
      </c>
      <c r="H42" s="96">
        <v>1</v>
      </c>
      <c r="I42" s="96">
        <v>1</v>
      </c>
      <c r="J42" s="228"/>
      <c r="K42" s="111"/>
      <c r="L42" s="112">
        <v>70053</v>
      </c>
      <c r="M42" s="113" t="s">
        <v>68</v>
      </c>
      <c r="N42" s="114">
        <f>Q42+CH42</f>
        <v>34999.5</v>
      </c>
      <c r="O42" s="114">
        <f>R42+CI42</f>
        <v>66986.5</v>
      </c>
      <c r="P42" s="115">
        <f t="shared" si="0"/>
        <v>1.9139273418191689</v>
      </c>
      <c r="Q42" s="116">
        <f>T42+AO42</f>
        <v>0</v>
      </c>
      <c r="R42" s="116">
        <f>U42+AP42</f>
        <v>0</v>
      </c>
      <c r="S42" s="117" t="str">
        <f t="shared" si="1"/>
        <v>-</v>
      </c>
      <c r="T42" s="118">
        <f>W42+AI42+AL42</f>
        <v>0</v>
      </c>
      <c r="U42" s="118">
        <f>X42+AJ42+AM42</f>
        <v>0</v>
      </c>
      <c r="V42" s="119" t="str">
        <f t="shared" si="2"/>
        <v>-</v>
      </c>
      <c r="W42" s="118">
        <f t="shared" ref="W42:X43" si="43">Z42+AC42+AF42</f>
        <v>0</v>
      </c>
      <c r="X42" s="118">
        <f t="shared" si="43"/>
        <v>0</v>
      </c>
      <c r="Y42" s="119" t="str">
        <f t="shared" si="3"/>
        <v>-</v>
      </c>
      <c r="Z42" s="118"/>
      <c r="AA42" s="118"/>
      <c r="AB42" s="119" t="str">
        <f t="shared" si="4"/>
        <v>-</v>
      </c>
      <c r="AC42" s="118"/>
      <c r="AD42" s="118"/>
      <c r="AE42" s="119" t="str">
        <f t="shared" si="5"/>
        <v>-</v>
      </c>
      <c r="AF42" s="118"/>
      <c r="AG42" s="118"/>
      <c r="AH42" s="119" t="str">
        <f t="shared" si="6"/>
        <v>-</v>
      </c>
      <c r="AI42" s="120"/>
      <c r="AJ42" s="118"/>
      <c r="AK42" s="119" t="str">
        <f t="shared" si="7"/>
        <v>-</v>
      </c>
      <c r="AL42" s="118"/>
      <c r="AM42" s="118"/>
      <c r="AN42" s="119" t="str">
        <f t="shared" si="8"/>
        <v>-</v>
      </c>
      <c r="AO42" s="118">
        <f t="shared" ref="AO42:AP43" si="44">AR42+AU42+AX42+BA42+BG42+BJ42+BM42+BP42+BS42+BV42+BY42+CB42+CE42</f>
        <v>0</v>
      </c>
      <c r="AP42" s="118">
        <f t="shared" si="44"/>
        <v>0</v>
      </c>
      <c r="AQ42" s="119" t="str">
        <f t="shared" si="9"/>
        <v>-</v>
      </c>
      <c r="AR42" s="118"/>
      <c r="AS42" s="118"/>
      <c r="AT42" s="119" t="str">
        <f t="shared" si="10"/>
        <v>-</v>
      </c>
      <c r="AU42" s="118"/>
      <c r="AV42" s="118"/>
      <c r="AW42" s="119" t="str">
        <f t="shared" si="11"/>
        <v>-</v>
      </c>
      <c r="AX42" s="118"/>
      <c r="AY42" s="118"/>
      <c r="AZ42" s="119" t="str">
        <f t="shared" si="12"/>
        <v>-</v>
      </c>
      <c r="BA42" s="118"/>
      <c r="BB42" s="118"/>
      <c r="BC42" s="119" t="str">
        <f t="shared" si="13"/>
        <v>-</v>
      </c>
      <c r="BD42" s="118"/>
      <c r="BE42" s="118"/>
      <c r="BF42" s="119" t="str">
        <f t="shared" si="14"/>
        <v>-</v>
      </c>
      <c r="BG42" s="118"/>
      <c r="BH42" s="118"/>
      <c r="BI42" s="119" t="str">
        <f t="shared" si="15"/>
        <v>-</v>
      </c>
      <c r="BJ42" s="118"/>
      <c r="BK42" s="118"/>
      <c r="BL42" s="119" t="str">
        <f t="shared" si="16"/>
        <v>-</v>
      </c>
      <c r="BM42" s="118"/>
      <c r="BN42" s="118"/>
      <c r="BO42" s="119" t="str">
        <f t="shared" si="17"/>
        <v>-</v>
      </c>
      <c r="BP42" s="118"/>
      <c r="BQ42" s="118"/>
      <c r="BR42" s="119" t="str">
        <f t="shared" si="18"/>
        <v>-</v>
      </c>
      <c r="BS42" s="118"/>
      <c r="BT42" s="118"/>
      <c r="BU42" s="119" t="str">
        <f t="shared" si="19"/>
        <v>-</v>
      </c>
      <c r="BV42" s="118"/>
      <c r="BW42" s="118"/>
      <c r="BX42" s="119" t="str">
        <f t="shared" si="20"/>
        <v>-</v>
      </c>
      <c r="BY42" s="118"/>
      <c r="BZ42" s="118"/>
      <c r="CA42" s="119" t="str">
        <f t="shared" si="21"/>
        <v>-</v>
      </c>
      <c r="CB42" s="118"/>
      <c r="CC42" s="118"/>
      <c r="CD42" s="119" t="str">
        <f t="shared" si="22"/>
        <v>-</v>
      </c>
      <c r="CE42" s="118"/>
      <c r="CF42" s="118"/>
      <c r="CG42" s="119" t="str">
        <f t="shared" si="23"/>
        <v>-</v>
      </c>
      <c r="CH42" s="118">
        <v>34999.5</v>
      </c>
      <c r="CI42" s="118">
        <v>66986.5</v>
      </c>
      <c r="CJ42" s="121">
        <f t="shared" si="24"/>
        <v>1.9139273418191689</v>
      </c>
      <c r="CK42" s="122" t="str">
        <f t="shared" si="25"/>
        <v>ok</v>
      </c>
      <c r="CL42" s="122"/>
    </row>
    <row r="43" spans="3:91" s="124" customFormat="1" ht="21" customHeight="1" x14ac:dyDescent="0.75">
      <c r="C43" s="96">
        <v>18</v>
      </c>
      <c r="D43" s="96" t="str">
        <f>IFERROR(INDEX([4]Account!$A:$A,MATCH(K43,[4]Account!$D:$D,0)),"")</f>
        <v/>
      </c>
      <c r="E43" s="96">
        <v>18</v>
      </c>
      <c r="F43" s="96">
        <v>94</v>
      </c>
      <c r="G43" s="96">
        <f>IFERROR(INDEX('[5]Sub Account'!$A:$A,MATCH(L43,'[5]Sub Account'!$D:$D,0)),"")</f>
        <v>505</v>
      </c>
      <c r="H43" s="96">
        <v>1</v>
      </c>
      <c r="I43" s="96">
        <v>1</v>
      </c>
      <c r="J43" s="228"/>
      <c r="K43" s="111"/>
      <c r="L43" s="112">
        <v>70054</v>
      </c>
      <c r="M43" s="113" t="s">
        <v>69</v>
      </c>
      <c r="N43" s="114">
        <f>Q43+CH43</f>
        <v>221239</v>
      </c>
      <c r="O43" s="114">
        <f>R43+CI43</f>
        <v>372610.9</v>
      </c>
      <c r="P43" s="115">
        <f t="shared" si="0"/>
        <v>1.6842007964237771</v>
      </c>
      <c r="Q43" s="116">
        <f>T43+AO43</f>
        <v>0</v>
      </c>
      <c r="R43" s="116">
        <f>U43+AP43</f>
        <v>0</v>
      </c>
      <c r="S43" s="117" t="str">
        <f t="shared" si="1"/>
        <v>-</v>
      </c>
      <c r="T43" s="118">
        <f>W43+AI43+AL43</f>
        <v>0</v>
      </c>
      <c r="U43" s="118">
        <f>X43+AJ43+AM43</f>
        <v>0</v>
      </c>
      <c r="V43" s="119" t="str">
        <f t="shared" si="2"/>
        <v>-</v>
      </c>
      <c r="W43" s="118">
        <f t="shared" si="43"/>
        <v>0</v>
      </c>
      <c r="X43" s="118">
        <f t="shared" si="43"/>
        <v>0</v>
      </c>
      <c r="Y43" s="119" t="str">
        <f t="shared" si="3"/>
        <v>-</v>
      </c>
      <c r="Z43" s="118"/>
      <c r="AA43" s="118"/>
      <c r="AB43" s="119" t="str">
        <f t="shared" si="4"/>
        <v>-</v>
      </c>
      <c r="AC43" s="118"/>
      <c r="AD43" s="118"/>
      <c r="AE43" s="119" t="str">
        <f t="shared" si="5"/>
        <v>-</v>
      </c>
      <c r="AF43" s="118"/>
      <c r="AG43" s="118"/>
      <c r="AH43" s="119" t="str">
        <f t="shared" si="6"/>
        <v>-</v>
      </c>
      <c r="AI43" s="120"/>
      <c r="AJ43" s="118"/>
      <c r="AK43" s="119" t="str">
        <f t="shared" si="7"/>
        <v>-</v>
      </c>
      <c r="AL43" s="118"/>
      <c r="AM43" s="118"/>
      <c r="AN43" s="119" t="str">
        <f t="shared" si="8"/>
        <v>-</v>
      </c>
      <c r="AO43" s="118">
        <f t="shared" si="44"/>
        <v>0</v>
      </c>
      <c r="AP43" s="118">
        <f t="shared" si="44"/>
        <v>0</v>
      </c>
      <c r="AQ43" s="119" t="str">
        <f t="shared" si="9"/>
        <v>-</v>
      </c>
      <c r="AR43" s="118"/>
      <c r="AS43" s="118"/>
      <c r="AT43" s="119" t="str">
        <f t="shared" si="10"/>
        <v>-</v>
      </c>
      <c r="AU43" s="118"/>
      <c r="AV43" s="118"/>
      <c r="AW43" s="119" t="str">
        <f t="shared" si="11"/>
        <v>-</v>
      </c>
      <c r="AX43" s="118"/>
      <c r="AY43" s="118"/>
      <c r="AZ43" s="119" t="str">
        <f t="shared" si="12"/>
        <v>-</v>
      </c>
      <c r="BA43" s="118"/>
      <c r="BB43" s="118"/>
      <c r="BC43" s="119" t="str">
        <f t="shared" si="13"/>
        <v>-</v>
      </c>
      <c r="BD43" s="118"/>
      <c r="BE43" s="118"/>
      <c r="BF43" s="119" t="str">
        <f t="shared" si="14"/>
        <v>-</v>
      </c>
      <c r="BG43" s="118"/>
      <c r="BH43" s="118"/>
      <c r="BI43" s="119" t="str">
        <f t="shared" si="15"/>
        <v>-</v>
      </c>
      <c r="BJ43" s="118"/>
      <c r="BK43" s="118"/>
      <c r="BL43" s="119" t="str">
        <f t="shared" si="16"/>
        <v>-</v>
      </c>
      <c r="BM43" s="118"/>
      <c r="BN43" s="118"/>
      <c r="BO43" s="119" t="str">
        <f t="shared" si="17"/>
        <v>-</v>
      </c>
      <c r="BP43" s="118"/>
      <c r="BQ43" s="118"/>
      <c r="BR43" s="119" t="str">
        <f t="shared" si="18"/>
        <v>-</v>
      </c>
      <c r="BS43" s="118"/>
      <c r="BT43" s="118"/>
      <c r="BU43" s="119" t="str">
        <f t="shared" si="19"/>
        <v>-</v>
      </c>
      <c r="BV43" s="118"/>
      <c r="BW43" s="118"/>
      <c r="BX43" s="119" t="str">
        <f t="shared" si="20"/>
        <v>-</v>
      </c>
      <c r="BY43" s="118"/>
      <c r="BZ43" s="118"/>
      <c r="CA43" s="119" t="str">
        <f t="shared" si="21"/>
        <v>-</v>
      </c>
      <c r="CB43" s="118"/>
      <c r="CC43" s="118"/>
      <c r="CD43" s="119" t="str">
        <f t="shared" si="22"/>
        <v>-</v>
      </c>
      <c r="CE43" s="118"/>
      <c r="CF43" s="118"/>
      <c r="CG43" s="119" t="str">
        <f t="shared" si="23"/>
        <v>-</v>
      </c>
      <c r="CH43" s="118">
        <v>221239</v>
      </c>
      <c r="CI43" s="118">
        <v>372610.9</v>
      </c>
      <c r="CJ43" s="121">
        <f t="shared" si="24"/>
        <v>1.6842007964237771</v>
      </c>
      <c r="CK43" s="122" t="str">
        <f t="shared" si="25"/>
        <v>ok</v>
      </c>
      <c r="CL43" s="122"/>
    </row>
    <row r="44" spans="3:91" s="110" customFormat="1" ht="21" customHeight="1" x14ac:dyDescent="0.75">
      <c r="C44" s="96">
        <v>18</v>
      </c>
      <c r="D44" s="96">
        <f>IFERROR(INDEX([4]Account!$A:$A,MATCH(K44,[4]Account!$D:$D,0)),"")</f>
        <v>95</v>
      </c>
      <c r="E44" s="96">
        <v>18</v>
      </c>
      <c r="F44" s="96">
        <f>IFERROR(INDEX([4]Account!$A:$A,MATCH(K44,[4]Account!$D:$D,0)),"")</f>
        <v>95</v>
      </c>
      <c r="G44" s="96" t="str">
        <f>IFERROR(INDEX('[5]Sub Account'!$A:$A,MATCH(L44,'[5]Sub Account'!$D:$D,0)),"")</f>
        <v/>
      </c>
      <c r="H44" s="96">
        <v>1</v>
      </c>
      <c r="I44" s="96">
        <v>1</v>
      </c>
      <c r="J44" s="227"/>
      <c r="K44" s="237">
        <v>7006</v>
      </c>
      <c r="L44" s="98"/>
      <c r="M44" s="99" t="s">
        <v>70</v>
      </c>
      <c r="N44" s="100">
        <f>SUM(N45:N49)</f>
        <v>406726.9</v>
      </c>
      <c r="O44" s="100">
        <f>SUM(O45:O49)</f>
        <v>733612.79999999993</v>
      </c>
      <c r="P44" s="101">
        <f t="shared" si="0"/>
        <v>1.8036987472429287</v>
      </c>
      <c r="Q44" s="102">
        <f>SUM(Q45:Q49)</f>
        <v>0</v>
      </c>
      <c r="R44" s="102">
        <f>SUM(R45:R49)</f>
        <v>0</v>
      </c>
      <c r="S44" s="103" t="str">
        <f t="shared" si="1"/>
        <v>-</v>
      </c>
      <c r="T44" s="104">
        <f>SUM(T45:T49)</f>
        <v>0</v>
      </c>
      <c r="U44" s="104">
        <f>SUM(U45:U49)</f>
        <v>0</v>
      </c>
      <c r="V44" s="105" t="str">
        <f t="shared" si="2"/>
        <v>-</v>
      </c>
      <c r="W44" s="104">
        <f>SUM(W45:W49)</f>
        <v>0</v>
      </c>
      <c r="X44" s="104">
        <f>SUM(X45:X49)</f>
        <v>0</v>
      </c>
      <c r="Y44" s="105" t="str">
        <f t="shared" si="3"/>
        <v>-</v>
      </c>
      <c r="Z44" s="104">
        <f>SUM(Z45:Z49)</f>
        <v>0</v>
      </c>
      <c r="AA44" s="104">
        <f>SUM(AA45:AA49)</f>
        <v>0</v>
      </c>
      <c r="AB44" s="105" t="str">
        <f t="shared" si="4"/>
        <v>-</v>
      </c>
      <c r="AC44" s="104">
        <f>SUM(AC45:AC49)</f>
        <v>0</v>
      </c>
      <c r="AD44" s="104">
        <f>SUM(AD45:AD49)</f>
        <v>0</v>
      </c>
      <c r="AE44" s="105" t="str">
        <f t="shared" si="5"/>
        <v>-</v>
      </c>
      <c r="AF44" s="104">
        <f>SUM(AF45:AF49)</f>
        <v>0</v>
      </c>
      <c r="AG44" s="104">
        <f>SUM(AG45:AG49)</f>
        <v>0</v>
      </c>
      <c r="AH44" s="105" t="str">
        <f t="shared" si="6"/>
        <v>-</v>
      </c>
      <c r="AI44" s="106">
        <f>SUM(AI45:AI49)</f>
        <v>0</v>
      </c>
      <c r="AJ44" s="104">
        <f>SUM(AJ45:AJ49)</f>
        <v>0</v>
      </c>
      <c r="AK44" s="105" t="str">
        <f t="shared" si="7"/>
        <v>-</v>
      </c>
      <c r="AL44" s="104">
        <f>SUM(AL45:AL49)</f>
        <v>0</v>
      </c>
      <c r="AM44" s="104">
        <f>SUM(AM45:AM49)</f>
        <v>0</v>
      </c>
      <c r="AN44" s="105" t="str">
        <f t="shared" si="8"/>
        <v>-</v>
      </c>
      <c r="AO44" s="104">
        <f>SUM(AO45:AO49)</f>
        <v>0</v>
      </c>
      <c r="AP44" s="104">
        <f>SUM(AP45:AP49)</f>
        <v>0</v>
      </c>
      <c r="AQ44" s="105" t="str">
        <f t="shared" si="9"/>
        <v>-</v>
      </c>
      <c r="AR44" s="104">
        <f>SUM(AR45:AR49)</f>
        <v>0</v>
      </c>
      <c r="AS44" s="104">
        <f>SUM(AS45:AS49)</f>
        <v>0</v>
      </c>
      <c r="AT44" s="105" t="str">
        <f t="shared" si="10"/>
        <v>-</v>
      </c>
      <c r="AU44" s="104">
        <f>SUM(AU45:AU49)</f>
        <v>0</v>
      </c>
      <c r="AV44" s="104">
        <f>SUM(AV45:AV49)</f>
        <v>0</v>
      </c>
      <c r="AW44" s="105" t="str">
        <f t="shared" si="11"/>
        <v>-</v>
      </c>
      <c r="AX44" s="104">
        <f>SUM(AX45:AX49)</f>
        <v>0</v>
      </c>
      <c r="AY44" s="104">
        <f>SUM(AY45:AY49)</f>
        <v>0</v>
      </c>
      <c r="AZ44" s="105" t="str">
        <f t="shared" si="12"/>
        <v>-</v>
      </c>
      <c r="BA44" s="104">
        <f>SUM(BA45:BA49)</f>
        <v>0</v>
      </c>
      <c r="BB44" s="104">
        <f>SUM(BB45:BB49)</f>
        <v>0</v>
      </c>
      <c r="BC44" s="105" t="str">
        <f t="shared" si="13"/>
        <v>-</v>
      </c>
      <c r="BD44" s="104">
        <f>SUM(BD45:BD49)</f>
        <v>0</v>
      </c>
      <c r="BE44" s="104">
        <f>SUM(BE45:BE49)</f>
        <v>0</v>
      </c>
      <c r="BF44" s="105" t="str">
        <f t="shared" si="14"/>
        <v>-</v>
      </c>
      <c r="BG44" s="104">
        <f>SUM(BG45:BG49)</f>
        <v>0</v>
      </c>
      <c r="BH44" s="104">
        <f>SUM(BH45:BH49)</f>
        <v>0</v>
      </c>
      <c r="BI44" s="105" t="str">
        <f t="shared" si="15"/>
        <v>-</v>
      </c>
      <c r="BJ44" s="104">
        <f>SUM(BJ45:BJ49)</f>
        <v>0</v>
      </c>
      <c r="BK44" s="104">
        <f>SUM(BK45:BK49)</f>
        <v>0</v>
      </c>
      <c r="BL44" s="105" t="str">
        <f t="shared" si="16"/>
        <v>-</v>
      </c>
      <c r="BM44" s="104">
        <f>SUM(BM45:BM49)</f>
        <v>0</v>
      </c>
      <c r="BN44" s="104">
        <f>SUM(BN45:BN49)</f>
        <v>0</v>
      </c>
      <c r="BO44" s="105" t="str">
        <f t="shared" si="17"/>
        <v>-</v>
      </c>
      <c r="BP44" s="104">
        <f>SUM(BP45:BP49)</f>
        <v>0</v>
      </c>
      <c r="BQ44" s="104">
        <f>SUM(BQ45:BQ49)</f>
        <v>0</v>
      </c>
      <c r="BR44" s="105" t="str">
        <f t="shared" si="18"/>
        <v>-</v>
      </c>
      <c r="BS44" s="104">
        <f>SUM(BS45:BS49)</f>
        <v>0</v>
      </c>
      <c r="BT44" s="104">
        <f>SUM(BT45:BT49)</f>
        <v>0</v>
      </c>
      <c r="BU44" s="105" t="str">
        <f t="shared" si="19"/>
        <v>-</v>
      </c>
      <c r="BV44" s="104">
        <f>SUM(BV45:BV49)</f>
        <v>0</v>
      </c>
      <c r="BW44" s="104">
        <f>SUM(BW45:BW49)</f>
        <v>0</v>
      </c>
      <c r="BX44" s="105" t="str">
        <f t="shared" si="20"/>
        <v>-</v>
      </c>
      <c r="BY44" s="104">
        <f>SUM(BY45:BY49)</f>
        <v>0</v>
      </c>
      <c r="BZ44" s="104">
        <f>SUM(BZ45:BZ49)</f>
        <v>0</v>
      </c>
      <c r="CA44" s="105" t="str">
        <f t="shared" si="21"/>
        <v>-</v>
      </c>
      <c r="CB44" s="104">
        <f>SUM(CB45:CB49)</f>
        <v>0</v>
      </c>
      <c r="CC44" s="104">
        <f>SUM(CC45:CC49)</f>
        <v>0</v>
      </c>
      <c r="CD44" s="105" t="str">
        <f t="shared" si="22"/>
        <v>-</v>
      </c>
      <c r="CE44" s="104">
        <f>SUM(CE45:CE49)</f>
        <v>0</v>
      </c>
      <c r="CF44" s="104">
        <f>SUM(CF45:CF49)</f>
        <v>0</v>
      </c>
      <c r="CG44" s="105" t="str">
        <f t="shared" si="23"/>
        <v>-</v>
      </c>
      <c r="CH44" s="104">
        <f>SUM(CH45:CH49)</f>
        <v>406726.9</v>
      </c>
      <c r="CI44" s="104">
        <f>SUM(CI45:CI49)</f>
        <v>733612.79999999993</v>
      </c>
      <c r="CJ44" s="107">
        <f t="shared" si="24"/>
        <v>1.8036987472429287</v>
      </c>
      <c r="CK44" s="108" t="str">
        <f t="shared" si="25"/>
        <v>ok</v>
      </c>
      <c r="CL44" s="108"/>
      <c r="CM44" s="109"/>
    </row>
    <row r="45" spans="3:91" s="123" customFormat="1" ht="21" customHeight="1" x14ac:dyDescent="0.75">
      <c r="C45" s="96">
        <v>18</v>
      </c>
      <c r="D45" s="96" t="str">
        <f>IFERROR(INDEX([4]Account!$A:$A,MATCH(K45,[4]Account!$D:$D,0)),"")</f>
        <v/>
      </c>
      <c r="E45" s="96">
        <v>18</v>
      </c>
      <c r="F45" s="96">
        <v>95</v>
      </c>
      <c r="G45" s="96">
        <f>IFERROR(INDEX('[5]Sub Account'!$A:$A,MATCH(L45,'[5]Sub Account'!$D:$D,0)),"")</f>
        <v>506</v>
      </c>
      <c r="H45" s="96">
        <v>1</v>
      </c>
      <c r="I45" s="96">
        <v>1</v>
      </c>
      <c r="J45" s="228"/>
      <c r="K45" s="111"/>
      <c r="L45" s="112">
        <v>70061</v>
      </c>
      <c r="M45" s="113" t="s">
        <v>71</v>
      </c>
      <c r="N45" s="114">
        <f t="shared" ref="N45:O49" si="45">Q45+CH45</f>
        <v>398973</v>
      </c>
      <c r="O45" s="114">
        <f t="shared" si="45"/>
        <v>708873.3</v>
      </c>
      <c r="P45" s="115">
        <f t="shared" si="0"/>
        <v>1.7767450428976399</v>
      </c>
      <c r="Q45" s="116">
        <f t="shared" ref="Q45:R49" si="46">T45+AO45</f>
        <v>0</v>
      </c>
      <c r="R45" s="116">
        <f t="shared" si="46"/>
        <v>0</v>
      </c>
      <c r="S45" s="117" t="str">
        <f t="shared" si="1"/>
        <v>-</v>
      </c>
      <c r="T45" s="118">
        <f t="shared" ref="T45:U49" si="47">W45+AI45+AL45</f>
        <v>0</v>
      </c>
      <c r="U45" s="118">
        <f t="shared" si="47"/>
        <v>0</v>
      </c>
      <c r="V45" s="119" t="str">
        <f t="shared" si="2"/>
        <v>-</v>
      </c>
      <c r="W45" s="118">
        <f t="shared" ref="W45:X49" si="48">Z45+AC45+AF45</f>
        <v>0</v>
      </c>
      <c r="X45" s="118">
        <f t="shared" si="48"/>
        <v>0</v>
      </c>
      <c r="Y45" s="119" t="str">
        <f t="shared" si="3"/>
        <v>-</v>
      </c>
      <c r="Z45" s="118"/>
      <c r="AA45" s="118"/>
      <c r="AB45" s="119" t="str">
        <f t="shared" si="4"/>
        <v>-</v>
      </c>
      <c r="AC45" s="118"/>
      <c r="AD45" s="118"/>
      <c r="AE45" s="119" t="str">
        <f t="shared" si="5"/>
        <v>-</v>
      </c>
      <c r="AF45" s="118"/>
      <c r="AG45" s="118"/>
      <c r="AH45" s="119" t="str">
        <f t="shared" si="6"/>
        <v>-</v>
      </c>
      <c r="AI45" s="120"/>
      <c r="AJ45" s="118"/>
      <c r="AK45" s="119" t="str">
        <f t="shared" si="7"/>
        <v>-</v>
      </c>
      <c r="AL45" s="118"/>
      <c r="AM45" s="118"/>
      <c r="AN45" s="119" t="str">
        <f t="shared" si="8"/>
        <v>-</v>
      </c>
      <c r="AO45" s="118">
        <f t="shared" ref="AO45:AP49" si="49">AR45+AU45+AX45+BA45+BG45+BJ45+BM45+BP45+BS45+BV45+BY45+CB45+CE45</f>
        <v>0</v>
      </c>
      <c r="AP45" s="118">
        <f t="shared" si="49"/>
        <v>0</v>
      </c>
      <c r="AQ45" s="119" t="str">
        <f t="shared" si="9"/>
        <v>-</v>
      </c>
      <c r="AR45" s="118"/>
      <c r="AS45" s="118"/>
      <c r="AT45" s="119" t="str">
        <f t="shared" si="10"/>
        <v>-</v>
      </c>
      <c r="AU45" s="118"/>
      <c r="AV45" s="118"/>
      <c r="AW45" s="119" t="str">
        <f t="shared" si="11"/>
        <v>-</v>
      </c>
      <c r="AX45" s="118"/>
      <c r="AY45" s="118"/>
      <c r="AZ45" s="119" t="str">
        <f t="shared" si="12"/>
        <v>-</v>
      </c>
      <c r="BA45" s="118"/>
      <c r="BB45" s="118"/>
      <c r="BC45" s="119" t="str">
        <f t="shared" si="13"/>
        <v>-</v>
      </c>
      <c r="BD45" s="118"/>
      <c r="BE45" s="118"/>
      <c r="BF45" s="119" t="str">
        <f t="shared" si="14"/>
        <v>-</v>
      </c>
      <c r="BG45" s="118"/>
      <c r="BH45" s="118"/>
      <c r="BI45" s="119" t="str">
        <f t="shared" si="15"/>
        <v>-</v>
      </c>
      <c r="BJ45" s="118"/>
      <c r="BK45" s="118"/>
      <c r="BL45" s="119" t="str">
        <f t="shared" si="16"/>
        <v>-</v>
      </c>
      <c r="BM45" s="118"/>
      <c r="BN45" s="118"/>
      <c r="BO45" s="119" t="str">
        <f t="shared" si="17"/>
        <v>-</v>
      </c>
      <c r="BP45" s="118"/>
      <c r="BQ45" s="118"/>
      <c r="BR45" s="119" t="str">
        <f t="shared" si="18"/>
        <v>-</v>
      </c>
      <c r="BS45" s="118"/>
      <c r="BT45" s="118"/>
      <c r="BU45" s="119" t="str">
        <f t="shared" si="19"/>
        <v>-</v>
      </c>
      <c r="BV45" s="118"/>
      <c r="BW45" s="118"/>
      <c r="BX45" s="119" t="str">
        <f t="shared" si="20"/>
        <v>-</v>
      </c>
      <c r="BY45" s="118"/>
      <c r="BZ45" s="118"/>
      <c r="CA45" s="119" t="str">
        <f t="shared" si="21"/>
        <v>-</v>
      </c>
      <c r="CB45" s="118"/>
      <c r="CC45" s="118"/>
      <c r="CD45" s="119" t="str">
        <f t="shared" si="22"/>
        <v>-</v>
      </c>
      <c r="CE45" s="118"/>
      <c r="CF45" s="118"/>
      <c r="CG45" s="119" t="str">
        <f t="shared" si="23"/>
        <v>-</v>
      </c>
      <c r="CH45" s="118">
        <v>398973</v>
      </c>
      <c r="CI45" s="118">
        <v>708873.3</v>
      </c>
      <c r="CJ45" s="121">
        <f t="shared" si="24"/>
        <v>1.7767450428976399</v>
      </c>
      <c r="CK45" s="122" t="str">
        <f t="shared" si="25"/>
        <v>ok</v>
      </c>
      <c r="CL45" s="122"/>
    </row>
    <row r="46" spans="3:91" s="124" customFormat="1" ht="21" customHeight="1" x14ac:dyDescent="0.75">
      <c r="C46" s="96">
        <v>18</v>
      </c>
      <c r="D46" s="96" t="str">
        <f>IFERROR(INDEX([4]Account!$A:$A,MATCH(K46,[4]Account!$D:$D,0)),"")</f>
        <v/>
      </c>
      <c r="E46" s="96">
        <v>18</v>
      </c>
      <c r="F46" s="96">
        <v>95</v>
      </c>
      <c r="G46" s="96">
        <f>IFERROR(INDEX('[5]Sub Account'!$A:$A,MATCH(L46,'[5]Sub Account'!$D:$D,0)),"")</f>
        <v>507</v>
      </c>
      <c r="H46" s="96">
        <v>1</v>
      </c>
      <c r="I46" s="96">
        <v>1</v>
      </c>
      <c r="J46" s="228"/>
      <c r="K46" s="111"/>
      <c r="L46" s="112">
        <v>70062</v>
      </c>
      <c r="M46" s="113" t="s">
        <v>72</v>
      </c>
      <c r="N46" s="114">
        <f t="shared" si="45"/>
        <v>4485.2</v>
      </c>
      <c r="O46" s="114">
        <f t="shared" si="45"/>
        <v>14690.2</v>
      </c>
      <c r="P46" s="115">
        <f t="shared" si="0"/>
        <v>3.2752608579327571</v>
      </c>
      <c r="Q46" s="116">
        <f t="shared" si="46"/>
        <v>0</v>
      </c>
      <c r="R46" s="116">
        <f t="shared" si="46"/>
        <v>0</v>
      </c>
      <c r="S46" s="117" t="str">
        <f t="shared" si="1"/>
        <v>-</v>
      </c>
      <c r="T46" s="118">
        <f t="shared" si="47"/>
        <v>0</v>
      </c>
      <c r="U46" s="118">
        <f t="shared" si="47"/>
        <v>0</v>
      </c>
      <c r="V46" s="119" t="str">
        <f t="shared" si="2"/>
        <v>-</v>
      </c>
      <c r="W46" s="118">
        <f t="shared" si="48"/>
        <v>0</v>
      </c>
      <c r="X46" s="118">
        <f t="shared" si="48"/>
        <v>0</v>
      </c>
      <c r="Y46" s="119" t="str">
        <f t="shared" si="3"/>
        <v>-</v>
      </c>
      <c r="Z46" s="118"/>
      <c r="AA46" s="118"/>
      <c r="AB46" s="119" t="str">
        <f t="shared" si="4"/>
        <v>-</v>
      </c>
      <c r="AC46" s="118"/>
      <c r="AD46" s="118"/>
      <c r="AE46" s="119" t="str">
        <f t="shared" si="5"/>
        <v>-</v>
      </c>
      <c r="AF46" s="118"/>
      <c r="AG46" s="118"/>
      <c r="AH46" s="119" t="str">
        <f t="shared" si="6"/>
        <v>-</v>
      </c>
      <c r="AI46" s="120"/>
      <c r="AJ46" s="118"/>
      <c r="AK46" s="119" t="str">
        <f t="shared" si="7"/>
        <v>-</v>
      </c>
      <c r="AL46" s="118"/>
      <c r="AM46" s="118"/>
      <c r="AN46" s="119" t="str">
        <f t="shared" si="8"/>
        <v>-</v>
      </c>
      <c r="AO46" s="118">
        <f t="shared" si="49"/>
        <v>0</v>
      </c>
      <c r="AP46" s="118">
        <f t="shared" si="49"/>
        <v>0</v>
      </c>
      <c r="AQ46" s="119" t="str">
        <f t="shared" si="9"/>
        <v>-</v>
      </c>
      <c r="AR46" s="118"/>
      <c r="AS46" s="118"/>
      <c r="AT46" s="119" t="str">
        <f t="shared" si="10"/>
        <v>-</v>
      </c>
      <c r="AU46" s="118"/>
      <c r="AV46" s="118"/>
      <c r="AW46" s="119" t="str">
        <f t="shared" si="11"/>
        <v>-</v>
      </c>
      <c r="AX46" s="118"/>
      <c r="AY46" s="118"/>
      <c r="AZ46" s="119" t="str">
        <f t="shared" si="12"/>
        <v>-</v>
      </c>
      <c r="BA46" s="118"/>
      <c r="BB46" s="118"/>
      <c r="BC46" s="119" t="str">
        <f t="shared" si="13"/>
        <v>-</v>
      </c>
      <c r="BD46" s="118"/>
      <c r="BE46" s="118"/>
      <c r="BF46" s="119" t="str">
        <f t="shared" si="14"/>
        <v>-</v>
      </c>
      <c r="BG46" s="118"/>
      <c r="BH46" s="118"/>
      <c r="BI46" s="119" t="str">
        <f t="shared" si="15"/>
        <v>-</v>
      </c>
      <c r="BJ46" s="118"/>
      <c r="BK46" s="118"/>
      <c r="BL46" s="119" t="str">
        <f t="shared" si="16"/>
        <v>-</v>
      </c>
      <c r="BM46" s="118"/>
      <c r="BN46" s="118"/>
      <c r="BO46" s="119" t="str">
        <f t="shared" si="17"/>
        <v>-</v>
      </c>
      <c r="BP46" s="118"/>
      <c r="BQ46" s="118"/>
      <c r="BR46" s="119" t="str">
        <f t="shared" si="18"/>
        <v>-</v>
      </c>
      <c r="BS46" s="118"/>
      <c r="BT46" s="118"/>
      <c r="BU46" s="119" t="str">
        <f t="shared" si="19"/>
        <v>-</v>
      </c>
      <c r="BV46" s="118"/>
      <c r="BW46" s="118"/>
      <c r="BX46" s="119" t="str">
        <f t="shared" si="20"/>
        <v>-</v>
      </c>
      <c r="BY46" s="118"/>
      <c r="BZ46" s="118"/>
      <c r="CA46" s="119" t="str">
        <f t="shared" si="21"/>
        <v>-</v>
      </c>
      <c r="CB46" s="118"/>
      <c r="CC46" s="118"/>
      <c r="CD46" s="119" t="str">
        <f t="shared" si="22"/>
        <v>-</v>
      </c>
      <c r="CE46" s="118"/>
      <c r="CF46" s="118"/>
      <c r="CG46" s="119" t="str">
        <f t="shared" si="23"/>
        <v>-</v>
      </c>
      <c r="CH46" s="118">
        <v>4485.2</v>
      </c>
      <c r="CI46" s="118">
        <v>14690.2</v>
      </c>
      <c r="CJ46" s="121">
        <f t="shared" si="24"/>
        <v>3.2752608579327571</v>
      </c>
      <c r="CK46" s="122" t="str">
        <f t="shared" si="25"/>
        <v>ok</v>
      </c>
      <c r="CL46" s="122"/>
    </row>
    <row r="47" spans="3:91" s="124" customFormat="1" ht="21" customHeight="1" x14ac:dyDescent="0.75">
      <c r="C47" s="96">
        <v>18</v>
      </c>
      <c r="D47" s="96" t="str">
        <f>IFERROR(INDEX([4]Account!$A:$A,MATCH(K47,[4]Account!$D:$D,0)),"")</f>
        <v/>
      </c>
      <c r="E47" s="96">
        <v>18</v>
      </c>
      <c r="F47" s="96">
        <v>95</v>
      </c>
      <c r="G47" s="96">
        <f>IFERROR(INDEX('[5]Sub Account'!$A:$A,MATCH(L47,'[5]Sub Account'!$D:$D,0)),"")</f>
        <v>508</v>
      </c>
      <c r="H47" s="96">
        <v>1</v>
      </c>
      <c r="I47" s="96">
        <v>1</v>
      </c>
      <c r="J47" s="228"/>
      <c r="K47" s="111"/>
      <c r="L47" s="112">
        <v>70063</v>
      </c>
      <c r="M47" s="113" t="s">
        <v>73</v>
      </c>
      <c r="N47" s="114">
        <f t="shared" si="45"/>
        <v>1079</v>
      </c>
      <c r="O47" s="114">
        <f t="shared" si="45"/>
        <v>5051.7</v>
      </c>
      <c r="P47" s="115">
        <f t="shared" si="0"/>
        <v>4.6818350324374416</v>
      </c>
      <c r="Q47" s="116">
        <f t="shared" si="46"/>
        <v>0</v>
      </c>
      <c r="R47" s="116">
        <f t="shared" si="46"/>
        <v>0</v>
      </c>
      <c r="S47" s="117" t="str">
        <f t="shared" si="1"/>
        <v>-</v>
      </c>
      <c r="T47" s="118">
        <f t="shared" si="47"/>
        <v>0</v>
      </c>
      <c r="U47" s="118">
        <f t="shared" si="47"/>
        <v>0</v>
      </c>
      <c r="V47" s="119" t="str">
        <f t="shared" si="2"/>
        <v>-</v>
      </c>
      <c r="W47" s="118">
        <f t="shared" si="48"/>
        <v>0</v>
      </c>
      <c r="X47" s="118">
        <f t="shared" si="48"/>
        <v>0</v>
      </c>
      <c r="Y47" s="119" t="str">
        <f t="shared" si="3"/>
        <v>-</v>
      </c>
      <c r="Z47" s="118"/>
      <c r="AA47" s="118"/>
      <c r="AB47" s="119" t="str">
        <f t="shared" si="4"/>
        <v>-</v>
      </c>
      <c r="AC47" s="118"/>
      <c r="AD47" s="118"/>
      <c r="AE47" s="119" t="str">
        <f t="shared" si="5"/>
        <v>-</v>
      </c>
      <c r="AF47" s="118"/>
      <c r="AG47" s="118"/>
      <c r="AH47" s="119" t="str">
        <f t="shared" si="6"/>
        <v>-</v>
      </c>
      <c r="AI47" s="120"/>
      <c r="AJ47" s="118"/>
      <c r="AK47" s="119" t="str">
        <f t="shared" si="7"/>
        <v>-</v>
      </c>
      <c r="AL47" s="118"/>
      <c r="AM47" s="118"/>
      <c r="AN47" s="119" t="str">
        <f t="shared" si="8"/>
        <v>-</v>
      </c>
      <c r="AO47" s="118">
        <f t="shared" si="49"/>
        <v>0</v>
      </c>
      <c r="AP47" s="118">
        <f t="shared" si="49"/>
        <v>0</v>
      </c>
      <c r="AQ47" s="119" t="str">
        <f t="shared" si="9"/>
        <v>-</v>
      </c>
      <c r="AR47" s="118"/>
      <c r="AS47" s="118"/>
      <c r="AT47" s="119" t="str">
        <f t="shared" si="10"/>
        <v>-</v>
      </c>
      <c r="AU47" s="118"/>
      <c r="AV47" s="118"/>
      <c r="AW47" s="119" t="str">
        <f t="shared" si="11"/>
        <v>-</v>
      </c>
      <c r="AX47" s="118"/>
      <c r="AY47" s="118"/>
      <c r="AZ47" s="119" t="str">
        <f t="shared" si="12"/>
        <v>-</v>
      </c>
      <c r="BA47" s="118"/>
      <c r="BB47" s="118"/>
      <c r="BC47" s="119" t="str">
        <f t="shared" si="13"/>
        <v>-</v>
      </c>
      <c r="BD47" s="118"/>
      <c r="BE47" s="118"/>
      <c r="BF47" s="119" t="str">
        <f t="shared" si="14"/>
        <v>-</v>
      </c>
      <c r="BG47" s="118"/>
      <c r="BH47" s="118"/>
      <c r="BI47" s="119" t="str">
        <f t="shared" si="15"/>
        <v>-</v>
      </c>
      <c r="BJ47" s="118"/>
      <c r="BK47" s="118"/>
      <c r="BL47" s="119" t="str">
        <f t="shared" si="16"/>
        <v>-</v>
      </c>
      <c r="BM47" s="118"/>
      <c r="BN47" s="118"/>
      <c r="BO47" s="119" t="str">
        <f t="shared" si="17"/>
        <v>-</v>
      </c>
      <c r="BP47" s="118"/>
      <c r="BQ47" s="118"/>
      <c r="BR47" s="119" t="str">
        <f t="shared" si="18"/>
        <v>-</v>
      </c>
      <c r="BS47" s="118"/>
      <c r="BT47" s="118"/>
      <c r="BU47" s="119" t="str">
        <f t="shared" si="19"/>
        <v>-</v>
      </c>
      <c r="BV47" s="118"/>
      <c r="BW47" s="118"/>
      <c r="BX47" s="119" t="str">
        <f t="shared" si="20"/>
        <v>-</v>
      </c>
      <c r="BY47" s="118"/>
      <c r="BZ47" s="118"/>
      <c r="CA47" s="119" t="str">
        <f t="shared" si="21"/>
        <v>-</v>
      </c>
      <c r="CB47" s="118"/>
      <c r="CC47" s="118"/>
      <c r="CD47" s="119" t="str">
        <f t="shared" si="22"/>
        <v>-</v>
      </c>
      <c r="CE47" s="118"/>
      <c r="CF47" s="118"/>
      <c r="CG47" s="119" t="str">
        <f t="shared" si="23"/>
        <v>-</v>
      </c>
      <c r="CH47" s="118">
        <v>1079</v>
      </c>
      <c r="CI47" s="118">
        <v>5051.7</v>
      </c>
      <c r="CJ47" s="121">
        <f t="shared" si="24"/>
        <v>4.6818350324374416</v>
      </c>
      <c r="CK47" s="122" t="str">
        <f t="shared" si="25"/>
        <v>ok</v>
      </c>
      <c r="CL47" s="122"/>
    </row>
    <row r="48" spans="3:91" s="124" customFormat="1" ht="21" customHeight="1" x14ac:dyDescent="0.75">
      <c r="C48" s="96">
        <v>18</v>
      </c>
      <c r="D48" s="96" t="str">
        <f>IFERROR(INDEX([4]Account!$A:$A,MATCH(K48,[4]Account!$D:$D,0)),"")</f>
        <v/>
      </c>
      <c r="E48" s="96">
        <v>18</v>
      </c>
      <c r="F48" s="96">
        <v>95</v>
      </c>
      <c r="G48" s="96">
        <f>IFERROR(INDEX('[5]Sub Account'!$A:$A,MATCH(L48,'[5]Sub Account'!$D:$D,0)),"")</f>
        <v>509</v>
      </c>
      <c r="H48" s="96">
        <v>1</v>
      </c>
      <c r="I48" s="96">
        <v>1</v>
      </c>
      <c r="J48" s="228"/>
      <c r="K48" s="111"/>
      <c r="L48" s="112">
        <v>70064</v>
      </c>
      <c r="M48" s="113" t="s">
        <v>74</v>
      </c>
      <c r="N48" s="114">
        <f t="shared" si="45"/>
        <v>1214.3</v>
      </c>
      <c r="O48" s="114">
        <f t="shared" si="45"/>
        <v>3123.5</v>
      </c>
      <c r="P48" s="115">
        <f t="shared" si="0"/>
        <v>2.5722638557193447</v>
      </c>
      <c r="Q48" s="116">
        <f t="shared" si="46"/>
        <v>0</v>
      </c>
      <c r="R48" s="116">
        <f t="shared" si="46"/>
        <v>0</v>
      </c>
      <c r="S48" s="117" t="str">
        <f t="shared" si="1"/>
        <v>-</v>
      </c>
      <c r="T48" s="118">
        <f t="shared" si="47"/>
        <v>0</v>
      </c>
      <c r="U48" s="118">
        <f t="shared" si="47"/>
        <v>0</v>
      </c>
      <c r="V48" s="119" t="str">
        <f t="shared" si="2"/>
        <v>-</v>
      </c>
      <c r="W48" s="118">
        <f t="shared" si="48"/>
        <v>0</v>
      </c>
      <c r="X48" s="118">
        <f t="shared" si="48"/>
        <v>0</v>
      </c>
      <c r="Y48" s="119" t="str">
        <f t="shared" si="3"/>
        <v>-</v>
      </c>
      <c r="Z48" s="118"/>
      <c r="AA48" s="118"/>
      <c r="AB48" s="119" t="str">
        <f t="shared" si="4"/>
        <v>-</v>
      </c>
      <c r="AC48" s="118"/>
      <c r="AD48" s="118"/>
      <c r="AE48" s="119" t="str">
        <f t="shared" si="5"/>
        <v>-</v>
      </c>
      <c r="AF48" s="118"/>
      <c r="AG48" s="118"/>
      <c r="AH48" s="119" t="str">
        <f t="shared" si="6"/>
        <v>-</v>
      </c>
      <c r="AI48" s="120"/>
      <c r="AJ48" s="118"/>
      <c r="AK48" s="119" t="str">
        <f t="shared" si="7"/>
        <v>-</v>
      </c>
      <c r="AL48" s="118"/>
      <c r="AM48" s="118"/>
      <c r="AN48" s="119" t="str">
        <f t="shared" si="8"/>
        <v>-</v>
      </c>
      <c r="AO48" s="118">
        <f t="shared" si="49"/>
        <v>0</v>
      </c>
      <c r="AP48" s="118">
        <f t="shared" si="49"/>
        <v>0</v>
      </c>
      <c r="AQ48" s="119" t="str">
        <f t="shared" si="9"/>
        <v>-</v>
      </c>
      <c r="AR48" s="118"/>
      <c r="AS48" s="118"/>
      <c r="AT48" s="119" t="str">
        <f t="shared" si="10"/>
        <v>-</v>
      </c>
      <c r="AU48" s="118"/>
      <c r="AV48" s="118"/>
      <c r="AW48" s="119" t="str">
        <f t="shared" si="11"/>
        <v>-</v>
      </c>
      <c r="AX48" s="118"/>
      <c r="AY48" s="118"/>
      <c r="AZ48" s="119" t="str">
        <f t="shared" si="12"/>
        <v>-</v>
      </c>
      <c r="BA48" s="118"/>
      <c r="BB48" s="118"/>
      <c r="BC48" s="119" t="str">
        <f t="shared" si="13"/>
        <v>-</v>
      </c>
      <c r="BD48" s="118"/>
      <c r="BE48" s="118"/>
      <c r="BF48" s="119" t="str">
        <f t="shared" si="14"/>
        <v>-</v>
      </c>
      <c r="BG48" s="118"/>
      <c r="BH48" s="118"/>
      <c r="BI48" s="119" t="str">
        <f t="shared" si="15"/>
        <v>-</v>
      </c>
      <c r="BJ48" s="118"/>
      <c r="BK48" s="118"/>
      <c r="BL48" s="119" t="str">
        <f t="shared" si="16"/>
        <v>-</v>
      </c>
      <c r="BM48" s="118"/>
      <c r="BN48" s="118"/>
      <c r="BO48" s="119" t="str">
        <f t="shared" si="17"/>
        <v>-</v>
      </c>
      <c r="BP48" s="118"/>
      <c r="BQ48" s="118"/>
      <c r="BR48" s="119" t="str">
        <f t="shared" si="18"/>
        <v>-</v>
      </c>
      <c r="BS48" s="118"/>
      <c r="BT48" s="118"/>
      <c r="BU48" s="119" t="str">
        <f t="shared" si="19"/>
        <v>-</v>
      </c>
      <c r="BV48" s="118"/>
      <c r="BW48" s="118"/>
      <c r="BX48" s="119" t="str">
        <f t="shared" si="20"/>
        <v>-</v>
      </c>
      <c r="BY48" s="118"/>
      <c r="BZ48" s="118"/>
      <c r="CA48" s="119" t="str">
        <f t="shared" si="21"/>
        <v>-</v>
      </c>
      <c r="CB48" s="118"/>
      <c r="CC48" s="118"/>
      <c r="CD48" s="119" t="str">
        <f t="shared" si="22"/>
        <v>-</v>
      </c>
      <c r="CE48" s="118"/>
      <c r="CF48" s="118"/>
      <c r="CG48" s="119" t="str">
        <f t="shared" si="23"/>
        <v>-</v>
      </c>
      <c r="CH48" s="118">
        <v>1214.3</v>
      </c>
      <c r="CI48" s="118">
        <v>3123.5</v>
      </c>
      <c r="CJ48" s="121">
        <f t="shared" si="24"/>
        <v>2.5722638557193447</v>
      </c>
      <c r="CK48" s="122" t="str">
        <f t="shared" si="25"/>
        <v>ok</v>
      </c>
      <c r="CL48" s="122"/>
    </row>
    <row r="49" spans="3:91" s="124" customFormat="1" ht="21" customHeight="1" x14ac:dyDescent="0.75">
      <c r="C49" s="96">
        <v>18</v>
      </c>
      <c r="D49" s="96" t="str">
        <f>IFERROR(INDEX([4]Account!$A:$A,MATCH(K49,[4]Account!$D:$D,0)),"")</f>
        <v/>
      </c>
      <c r="E49" s="96">
        <v>18</v>
      </c>
      <c r="F49" s="96">
        <v>95</v>
      </c>
      <c r="G49" s="96">
        <f>IFERROR(INDEX('[5]Sub Account'!$A:$A,MATCH(L49,'[5]Sub Account'!$D:$D,0)),"")</f>
        <v>510</v>
      </c>
      <c r="H49" s="96">
        <v>1</v>
      </c>
      <c r="I49" s="96">
        <v>1</v>
      </c>
      <c r="J49" s="228"/>
      <c r="K49" s="111"/>
      <c r="L49" s="112">
        <v>70065</v>
      </c>
      <c r="M49" s="113" t="s">
        <v>75</v>
      </c>
      <c r="N49" s="114">
        <f t="shared" si="45"/>
        <v>975.4</v>
      </c>
      <c r="O49" s="114">
        <f t="shared" si="45"/>
        <v>1874.1</v>
      </c>
      <c r="P49" s="115">
        <f t="shared" si="0"/>
        <v>1.9213655936026246</v>
      </c>
      <c r="Q49" s="116">
        <f t="shared" si="46"/>
        <v>0</v>
      </c>
      <c r="R49" s="116">
        <f t="shared" si="46"/>
        <v>0</v>
      </c>
      <c r="S49" s="117" t="str">
        <f t="shared" si="1"/>
        <v>-</v>
      </c>
      <c r="T49" s="118">
        <f t="shared" si="47"/>
        <v>0</v>
      </c>
      <c r="U49" s="118">
        <f t="shared" si="47"/>
        <v>0</v>
      </c>
      <c r="V49" s="119" t="str">
        <f t="shared" si="2"/>
        <v>-</v>
      </c>
      <c r="W49" s="118">
        <f t="shared" si="48"/>
        <v>0</v>
      </c>
      <c r="X49" s="118">
        <f t="shared" si="48"/>
        <v>0</v>
      </c>
      <c r="Y49" s="119" t="str">
        <f t="shared" si="3"/>
        <v>-</v>
      </c>
      <c r="Z49" s="118"/>
      <c r="AA49" s="118"/>
      <c r="AB49" s="119" t="str">
        <f t="shared" si="4"/>
        <v>-</v>
      </c>
      <c r="AC49" s="118"/>
      <c r="AD49" s="118"/>
      <c r="AE49" s="119" t="str">
        <f t="shared" si="5"/>
        <v>-</v>
      </c>
      <c r="AF49" s="118"/>
      <c r="AG49" s="118"/>
      <c r="AH49" s="119" t="str">
        <f t="shared" si="6"/>
        <v>-</v>
      </c>
      <c r="AI49" s="120"/>
      <c r="AJ49" s="118"/>
      <c r="AK49" s="119" t="str">
        <f t="shared" si="7"/>
        <v>-</v>
      </c>
      <c r="AL49" s="118"/>
      <c r="AM49" s="118"/>
      <c r="AN49" s="119" t="str">
        <f t="shared" si="8"/>
        <v>-</v>
      </c>
      <c r="AO49" s="118">
        <f t="shared" si="49"/>
        <v>0</v>
      </c>
      <c r="AP49" s="118">
        <f t="shared" si="49"/>
        <v>0</v>
      </c>
      <c r="AQ49" s="119" t="str">
        <f t="shared" si="9"/>
        <v>-</v>
      </c>
      <c r="AR49" s="118"/>
      <c r="AS49" s="118"/>
      <c r="AT49" s="119" t="str">
        <f t="shared" si="10"/>
        <v>-</v>
      </c>
      <c r="AU49" s="118"/>
      <c r="AV49" s="118"/>
      <c r="AW49" s="119" t="str">
        <f t="shared" si="11"/>
        <v>-</v>
      </c>
      <c r="AX49" s="118"/>
      <c r="AY49" s="118"/>
      <c r="AZ49" s="119" t="str">
        <f t="shared" si="12"/>
        <v>-</v>
      </c>
      <c r="BA49" s="118"/>
      <c r="BB49" s="118"/>
      <c r="BC49" s="119" t="str">
        <f t="shared" si="13"/>
        <v>-</v>
      </c>
      <c r="BD49" s="118"/>
      <c r="BE49" s="118"/>
      <c r="BF49" s="119" t="str">
        <f t="shared" si="14"/>
        <v>-</v>
      </c>
      <c r="BG49" s="118"/>
      <c r="BH49" s="118"/>
      <c r="BI49" s="119" t="str">
        <f t="shared" si="15"/>
        <v>-</v>
      </c>
      <c r="BJ49" s="118"/>
      <c r="BK49" s="118"/>
      <c r="BL49" s="119" t="str">
        <f t="shared" si="16"/>
        <v>-</v>
      </c>
      <c r="BM49" s="118"/>
      <c r="BN49" s="118"/>
      <c r="BO49" s="119" t="str">
        <f t="shared" si="17"/>
        <v>-</v>
      </c>
      <c r="BP49" s="118"/>
      <c r="BQ49" s="118"/>
      <c r="BR49" s="119" t="str">
        <f t="shared" si="18"/>
        <v>-</v>
      </c>
      <c r="BS49" s="118"/>
      <c r="BT49" s="118"/>
      <c r="BU49" s="119" t="str">
        <f t="shared" si="19"/>
        <v>-</v>
      </c>
      <c r="BV49" s="118"/>
      <c r="BW49" s="118"/>
      <c r="BX49" s="119" t="str">
        <f t="shared" si="20"/>
        <v>-</v>
      </c>
      <c r="BY49" s="118"/>
      <c r="BZ49" s="118"/>
      <c r="CA49" s="119" t="str">
        <f t="shared" si="21"/>
        <v>-</v>
      </c>
      <c r="CB49" s="118"/>
      <c r="CC49" s="118"/>
      <c r="CD49" s="119" t="str">
        <f t="shared" si="22"/>
        <v>-</v>
      </c>
      <c r="CE49" s="118"/>
      <c r="CF49" s="118"/>
      <c r="CG49" s="119" t="str">
        <f t="shared" si="23"/>
        <v>-</v>
      </c>
      <c r="CH49" s="118">
        <v>975.4</v>
      </c>
      <c r="CI49" s="118">
        <v>1874.1</v>
      </c>
      <c r="CJ49" s="121">
        <f t="shared" si="24"/>
        <v>1.9213655936026246</v>
      </c>
      <c r="CK49" s="122" t="str">
        <f t="shared" si="25"/>
        <v>ok</v>
      </c>
      <c r="CL49" s="122"/>
    </row>
    <row r="50" spans="3:91" s="110" customFormat="1" ht="21" customHeight="1" x14ac:dyDescent="0.75">
      <c r="C50" s="96">
        <v>18</v>
      </c>
      <c r="D50" s="96">
        <f>IFERROR(INDEX([4]Account!$A:$A,MATCH(K50,[4]Account!$D:$D,0)),"")</f>
        <v>96</v>
      </c>
      <c r="E50" s="96">
        <v>18</v>
      </c>
      <c r="F50" s="96">
        <f>IFERROR(INDEX([4]Account!$A:$A,MATCH(K50,[4]Account!$D:$D,0)),"")</f>
        <v>96</v>
      </c>
      <c r="G50" s="96" t="str">
        <f>IFERROR(INDEX('[5]Sub Account'!$A:$A,MATCH(L50,'[5]Sub Account'!$D:$D,0)),"")</f>
        <v/>
      </c>
      <c r="H50" s="96">
        <v>1</v>
      </c>
      <c r="I50" s="96">
        <v>1</v>
      </c>
      <c r="J50" s="227"/>
      <c r="K50" s="237">
        <v>7007</v>
      </c>
      <c r="L50" s="98"/>
      <c r="M50" s="99" t="s">
        <v>76</v>
      </c>
      <c r="N50" s="100">
        <f>SUM(N51:N53)</f>
        <v>102153</v>
      </c>
      <c r="O50" s="100">
        <f>SUM(O51:O53)</f>
        <v>157027.9</v>
      </c>
      <c r="P50" s="101">
        <f t="shared" si="0"/>
        <v>1.5371834405254863</v>
      </c>
      <c r="Q50" s="102">
        <f>SUM(Q51:Q53)</f>
        <v>0</v>
      </c>
      <c r="R50" s="102">
        <f>SUM(R51:R53)</f>
        <v>0</v>
      </c>
      <c r="S50" s="103" t="str">
        <f t="shared" si="1"/>
        <v>-</v>
      </c>
      <c r="T50" s="104">
        <f>SUM(T51:T53)</f>
        <v>0</v>
      </c>
      <c r="U50" s="104">
        <f>SUM(U51:U53)</f>
        <v>0</v>
      </c>
      <c r="V50" s="105" t="str">
        <f t="shared" si="2"/>
        <v>-</v>
      </c>
      <c r="W50" s="104">
        <f>SUM(W51:W53)</f>
        <v>0</v>
      </c>
      <c r="X50" s="104">
        <f>SUM(X51:X53)</f>
        <v>0</v>
      </c>
      <c r="Y50" s="105" t="str">
        <f t="shared" si="3"/>
        <v>-</v>
      </c>
      <c r="Z50" s="104">
        <f>SUM(Z51:Z53)</f>
        <v>0</v>
      </c>
      <c r="AA50" s="104">
        <f>SUM(AA51:AA53)</f>
        <v>0</v>
      </c>
      <c r="AB50" s="105" t="str">
        <f t="shared" si="4"/>
        <v>-</v>
      </c>
      <c r="AC50" s="104">
        <f>SUM(AC51:AC53)</f>
        <v>0</v>
      </c>
      <c r="AD50" s="104">
        <f>SUM(AD51:AD53)</f>
        <v>0</v>
      </c>
      <c r="AE50" s="105" t="str">
        <f t="shared" si="5"/>
        <v>-</v>
      </c>
      <c r="AF50" s="104">
        <f>SUM(AF51:AF53)</f>
        <v>0</v>
      </c>
      <c r="AG50" s="104">
        <f>SUM(AG51:AG53)</f>
        <v>0</v>
      </c>
      <c r="AH50" s="105" t="str">
        <f t="shared" si="6"/>
        <v>-</v>
      </c>
      <c r="AI50" s="106">
        <f>SUM(AI51:AI53)</f>
        <v>0</v>
      </c>
      <c r="AJ50" s="104">
        <f>SUM(AJ51:AJ53)</f>
        <v>0</v>
      </c>
      <c r="AK50" s="105" t="str">
        <f t="shared" si="7"/>
        <v>-</v>
      </c>
      <c r="AL50" s="104">
        <f>SUM(AL51:AL53)</f>
        <v>0</v>
      </c>
      <c r="AM50" s="104">
        <f>SUM(AM51:AM53)</f>
        <v>0</v>
      </c>
      <c r="AN50" s="105" t="str">
        <f t="shared" si="8"/>
        <v>-</v>
      </c>
      <c r="AO50" s="104">
        <f>SUM(AO51:AO53)</f>
        <v>0</v>
      </c>
      <c r="AP50" s="104">
        <f>SUM(AP51:AP53)</f>
        <v>0</v>
      </c>
      <c r="AQ50" s="105" t="str">
        <f t="shared" si="9"/>
        <v>-</v>
      </c>
      <c r="AR50" s="104">
        <f>SUM(AR51:AR53)</f>
        <v>0</v>
      </c>
      <c r="AS50" s="104">
        <f>SUM(AS51:AS53)</f>
        <v>0</v>
      </c>
      <c r="AT50" s="105" t="str">
        <f t="shared" si="10"/>
        <v>-</v>
      </c>
      <c r="AU50" s="104">
        <f>SUM(AU51:AU53)</f>
        <v>0</v>
      </c>
      <c r="AV50" s="104">
        <f>SUM(AV51:AV53)</f>
        <v>0</v>
      </c>
      <c r="AW50" s="105" t="str">
        <f t="shared" si="11"/>
        <v>-</v>
      </c>
      <c r="AX50" s="104">
        <f>SUM(AX51:AX53)</f>
        <v>0</v>
      </c>
      <c r="AY50" s="104">
        <f>SUM(AY51:AY53)</f>
        <v>0</v>
      </c>
      <c r="AZ50" s="105" t="str">
        <f t="shared" si="12"/>
        <v>-</v>
      </c>
      <c r="BA50" s="104">
        <f>SUM(BA51:BA53)</f>
        <v>0</v>
      </c>
      <c r="BB50" s="104">
        <f>SUM(BB51:BB53)</f>
        <v>0</v>
      </c>
      <c r="BC50" s="105" t="str">
        <f t="shared" si="13"/>
        <v>-</v>
      </c>
      <c r="BD50" s="104">
        <f>SUM(BD51:BD53)</f>
        <v>0</v>
      </c>
      <c r="BE50" s="104">
        <f>SUM(BE51:BE53)</f>
        <v>0</v>
      </c>
      <c r="BF50" s="105" t="str">
        <f t="shared" si="14"/>
        <v>-</v>
      </c>
      <c r="BG50" s="104">
        <f>SUM(BG51:BG53)</f>
        <v>0</v>
      </c>
      <c r="BH50" s="104">
        <f>SUM(BH51:BH53)</f>
        <v>0</v>
      </c>
      <c r="BI50" s="105" t="str">
        <f t="shared" si="15"/>
        <v>-</v>
      </c>
      <c r="BJ50" s="104">
        <f>SUM(BJ51:BJ53)</f>
        <v>0</v>
      </c>
      <c r="BK50" s="104">
        <f>SUM(BK51:BK53)</f>
        <v>0</v>
      </c>
      <c r="BL50" s="105" t="str">
        <f t="shared" si="16"/>
        <v>-</v>
      </c>
      <c r="BM50" s="104">
        <f>SUM(BM51:BM53)</f>
        <v>0</v>
      </c>
      <c r="BN50" s="104">
        <f>SUM(BN51:BN53)</f>
        <v>0</v>
      </c>
      <c r="BO50" s="105" t="str">
        <f t="shared" si="17"/>
        <v>-</v>
      </c>
      <c r="BP50" s="104">
        <f>SUM(BP51:BP53)</f>
        <v>0</v>
      </c>
      <c r="BQ50" s="104">
        <f>SUM(BQ51:BQ53)</f>
        <v>0</v>
      </c>
      <c r="BR50" s="105" t="str">
        <f t="shared" si="18"/>
        <v>-</v>
      </c>
      <c r="BS50" s="104">
        <f>SUM(BS51:BS53)</f>
        <v>0</v>
      </c>
      <c r="BT50" s="104">
        <f>SUM(BT51:BT53)</f>
        <v>0</v>
      </c>
      <c r="BU50" s="105" t="str">
        <f t="shared" si="19"/>
        <v>-</v>
      </c>
      <c r="BV50" s="104">
        <f>SUM(BV51:BV53)</f>
        <v>0</v>
      </c>
      <c r="BW50" s="104">
        <f>SUM(BW51:BW53)</f>
        <v>0</v>
      </c>
      <c r="BX50" s="105" t="str">
        <f t="shared" si="20"/>
        <v>-</v>
      </c>
      <c r="BY50" s="104">
        <f>SUM(BY51:BY53)</f>
        <v>0</v>
      </c>
      <c r="BZ50" s="104">
        <f>SUM(BZ51:BZ53)</f>
        <v>0</v>
      </c>
      <c r="CA50" s="105" t="str">
        <f t="shared" si="21"/>
        <v>-</v>
      </c>
      <c r="CB50" s="104">
        <f>SUM(CB51:CB53)</f>
        <v>0</v>
      </c>
      <c r="CC50" s="104">
        <f>SUM(CC51:CC53)</f>
        <v>0</v>
      </c>
      <c r="CD50" s="105" t="str">
        <f t="shared" si="22"/>
        <v>-</v>
      </c>
      <c r="CE50" s="104">
        <f>SUM(CE51:CE53)</f>
        <v>0</v>
      </c>
      <c r="CF50" s="104">
        <f>SUM(CF51:CF53)</f>
        <v>0</v>
      </c>
      <c r="CG50" s="105" t="str">
        <f t="shared" si="23"/>
        <v>-</v>
      </c>
      <c r="CH50" s="104">
        <f>SUM(CH51:CH53)</f>
        <v>102153</v>
      </c>
      <c r="CI50" s="104">
        <f>SUM(CI51:CI53)</f>
        <v>157027.9</v>
      </c>
      <c r="CJ50" s="107">
        <f t="shared" si="24"/>
        <v>1.5371834405254863</v>
      </c>
      <c r="CK50" s="108" t="str">
        <f t="shared" si="25"/>
        <v>ok</v>
      </c>
      <c r="CL50" s="108"/>
      <c r="CM50" s="109"/>
    </row>
    <row r="51" spans="3:91" s="123" customFormat="1" ht="21" customHeight="1" x14ac:dyDescent="0.75">
      <c r="C51" s="96">
        <v>18</v>
      </c>
      <c r="D51" s="96" t="str">
        <f>IFERROR(INDEX([4]Account!$A:$A,MATCH(K51,[4]Account!$D:$D,0)),"")</f>
        <v/>
      </c>
      <c r="E51" s="96">
        <v>18</v>
      </c>
      <c r="F51" s="96">
        <v>96</v>
      </c>
      <c r="G51" s="96">
        <f>IFERROR(INDEX('[5]Sub Account'!$A:$A,MATCH(L51,'[5]Sub Account'!$D:$D,0)),"")</f>
        <v>511</v>
      </c>
      <c r="H51" s="96">
        <v>1</v>
      </c>
      <c r="I51" s="96">
        <v>1</v>
      </c>
      <c r="J51" s="228"/>
      <c r="K51" s="111"/>
      <c r="L51" s="112">
        <v>70071</v>
      </c>
      <c r="M51" s="113" t="s">
        <v>77</v>
      </c>
      <c r="N51" s="114">
        <f t="shared" ref="N51:O53" si="50">Q51+CH51</f>
        <v>92929</v>
      </c>
      <c r="O51" s="114">
        <f t="shared" si="50"/>
        <v>117299.7</v>
      </c>
      <c r="P51" s="115">
        <f t="shared" si="0"/>
        <v>1.2622507505730181</v>
      </c>
      <c r="Q51" s="116">
        <f t="shared" ref="Q51:R53" si="51">T51+AO51</f>
        <v>0</v>
      </c>
      <c r="R51" s="116">
        <f t="shared" si="51"/>
        <v>0</v>
      </c>
      <c r="S51" s="117" t="str">
        <f t="shared" si="1"/>
        <v>-</v>
      </c>
      <c r="T51" s="118">
        <f t="shared" ref="T51:U53" si="52">W51+AI51+AL51</f>
        <v>0</v>
      </c>
      <c r="U51" s="118">
        <f t="shared" si="52"/>
        <v>0</v>
      </c>
      <c r="V51" s="119" t="str">
        <f t="shared" si="2"/>
        <v>-</v>
      </c>
      <c r="W51" s="118">
        <f t="shared" ref="W51:X53" si="53">Z51+AC51+AF51</f>
        <v>0</v>
      </c>
      <c r="X51" s="118">
        <f t="shared" si="53"/>
        <v>0</v>
      </c>
      <c r="Y51" s="119" t="str">
        <f t="shared" si="3"/>
        <v>-</v>
      </c>
      <c r="Z51" s="118"/>
      <c r="AA51" s="118"/>
      <c r="AB51" s="119" t="str">
        <f t="shared" si="4"/>
        <v>-</v>
      </c>
      <c r="AC51" s="118"/>
      <c r="AD51" s="118"/>
      <c r="AE51" s="119" t="str">
        <f t="shared" si="5"/>
        <v>-</v>
      </c>
      <c r="AF51" s="118"/>
      <c r="AG51" s="118"/>
      <c r="AH51" s="119" t="str">
        <f t="shared" si="6"/>
        <v>-</v>
      </c>
      <c r="AI51" s="120"/>
      <c r="AJ51" s="118"/>
      <c r="AK51" s="119" t="str">
        <f t="shared" si="7"/>
        <v>-</v>
      </c>
      <c r="AL51" s="118"/>
      <c r="AM51" s="118"/>
      <c r="AN51" s="119" t="str">
        <f t="shared" si="8"/>
        <v>-</v>
      </c>
      <c r="AO51" s="118">
        <f t="shared" ref="AO51:AP53" si="54">AR51+AU51+AX51+BA51+BG51+BJ51+BM51+BP51+BS51+BV51+BY51+CB51+CE51</f>
        <v>0</v>
      </c>
      <c r="AP51" s="118">
        <f t="shared" si="54"/>
        <v>0</v>
      </c>
      <c r="AQ51" s="119" t="str">
        <f t="shared" si="9"/>
        <v>-</v>
      </c>
      <c r="AR51" s="118"/>
      <c r="AS51" s="118"/>
      <c r="AT51" s="119" t="str">
        <f t="shared" si="10"/>
        <v>-</v>
      </c>
      <c r="AU51" s="118"/>
      <c r="AV51" s="118"/>
      <c r="AW51" s="119" t="str">
        <f t="shared" si="11"/>
        <v>-</v>
      </c>
      <c r="AX51" s="118"/>
      <c r="AY51" s="118"/>
      <c r="AZ51" s="119" t="str">
        <f t="shared" si="12"/>
        <v>-</v>
      </c>
      <c r="BA51" s="118"/>
      <c r="BB51" s="118"/>
      <c r="BC51" s="119" t="str">
        <f t="shared" si="13"/>
        <v>-</v>
      </c>
      <c r="BD51" s="118"/>
      <c r="BE51" s="118"/>
      <c r="BF51" s="119" t="str">
        <f t="shared" si="14"/>
        <v>-</v>
      </c>
      <c r="BG51" s="118"/>
      <c r="BH51" s="118"/>
      <c r="BI51" s="119" t="str">
        <f t="shared" si="15"/>
        <v>-</v>
      </c>
      <c r="BJ51" s="118"/>
      <c r="BK51" s="118"/>
      <c r="BL51" s="119" t="str">
        <f t="shared" si="16"/>
        <v>-</v>
      </c>
      <c r="BM51" s="118"/>
      <c r="BN51" s="118"/>
      <c r="BO51" s="119" t="str">
        <f t="shared" si="17"/>
        <v>-</v>
      </c>
      <c r="BP51" s="118"/>
      <c r="BQ51" s="118"/>
      <c r="BR51" s="119" t="str">
        <f t="shared" si="18"/>
        <v>-</v>
      </c>
      <c r="BS51" s="118"/>
      <c r="BT51" s="118"/>
      <c r="BU51" s="119" t="str">
        <f t="shared" si="19"/>
        <v>-</v>
      </c>
      <c r="BV51" s="118"/>
      <c r="BW51" s="118"/>
      <c r="BX51" s="119" t="str">
        <f t="shared" si="20"/>
        <v>-</v>
      </c>
      <c r="BY51" s="118"/>
      <c r="BZ51" s="118"/>
      <c r="CA51" s="119" t="str">
        <f t="shared" si="21"/>
        <v>-</v>
      </c>
      <c r="CB51" s="118"/>
      <c r="CC51" s="118"/>
      <c r="CD51" s="119" t="str">
        <f t="shared" si="22"/>
        <v>-</v>
      </c>
      <c r="CE51" s="118"/>
      <c r="CF51" s="118"/>
      <c r="CG51" s="119" t="str">
        <f t="shared" si="23"/>
        <v>-</v>
      </c>
      <c r="CH51" s="118">
        <v>92929</v>
      </c>
      <c r="CI51" s="118">
        <v>117299.7</v>
      </c>
      <c r="CJ51" s="121">
        <f t="shared" si="24"/>
        <v>1.2622507505730181</v>
      </c>
      <c r="CK51" s="122" t="str">
        <f t="shared" si="25"/>
        <v>ok</v>
      </c>
      <c r="CL51" s="122"/>
    </row>
    <row r="52" spans="3:91" s="124" customFormat="1" ht="21" customHeight="1" x14ac:dyDescent="0.75">
      <c r="C52" s="96">
        <v>18</v>
      </c>
      <c r="D52" s="96" t="str">
        <f>IFERROR(INDEX([4]Account!$A:$A,MATCH(K52,[4]Account!$D:$D,0)),"")</f>
        <v/>
      </c>
      <c r="E52" s="96">
        <v>18</v>
      </c>
      <c r="F52" s="96">
        <v>96</v>
      </c>
      <c r="G52" s="96">
        <f>IFERROR(INDEX('[5]Sub Account'!$A:$A,MATCH(L52,'[5]Sub Account'!$D:$D,0)),"")</f>
        <v>512</v>
      </c>
      <c r="H52" s="96">
        <v>1</v>
      </c>
      <c r="I52" s="96">
        <v>1</v>
      </c>
      <c r="J52" s="228"/>
      <c r="K52" s="111"/>
      <c r="L52" s="112">
        <v>70072</v>
      </c>
      <c r="M52" s="113" t="s">
        <v>78</v>
      </c>
      <c r="N52" s="114">
        <f t="shared" si="50"/>
        <v>5130</v>
      </c>
      <c r="O52" s="114">
        <f t="shared" si="50"/>
        <v>13630.3</v>
      </c>
      <c r="P52" s="115">
        <f t="shared" si="0"/>
        <v>2.656978557504873</v>
      </c>
      <c r="Q52" s="116">
        <f t="shared" si="51"/>
        <v>0</v>
      </c>
      <c r="R52" s="116">
        <f t="shared" si="51"/>
        <v>0</v>
      </c>
      <c r="S52" s="117" t="str">
        <f t="shared" si="1"/>
        <v>-</v>
      </c>
      <c r="T52" s="118">
        <f t="shared" si="52"/>
        <v>0</v>
      </c>
      <c r="U52" s="118">
        <f t="shared" si="52"/>
        <v>0</v>
      </c>
      <c r="V52" s="119" t="str">
        <f t="shared" si="2"/>
        <v>-</v>
      </c>
      <c r="W52" s="118">
        <f t="shared" si="53"/>
        <v>0</v>
      </c>
      <c r="X52" s="118">
        <f t="shared" si="53"/>
        <v>0</v>
      </c>
      <c r="Y52" s="119" t="str">
        <f t="shared" si="3"/>
        <v>-</v>
      </c>
      <c r="Z52" s="118"/>
      <c r="AA52" s="118"/>
      <c r="AB52" s="119" t="str">
        <f t="shared" si="4"/>
        <v>-</v>
      </c>
      <c r="AC52" s="118"/>
      <c r="AD52" s="118"/>
      <c r="AE52" s="119" t="str">
        <f t="shared" si="5"/>
        <v>-</v>
      </c>
      <c r="AF52" s="118"/>
      <c r="AG52" s="118"/>
      <c r="AH52" s="119" t="str">
        <f t="shared" si="6"/>
        <v>-</v>
      </c>
      <c r="AI52" s="120"/>
      <c r="AJ52" s="118"/>
      <c r="AK52" s="119" t="str">
        <f t="shared" si="7"/>
        <v>-</v>
      </c>
      <c r="AL52" s="118"/>
      <c r="AM52" s="118"/>
      <c r="AN52" s="119" t="str">
        <f t="shared" si="8"/>
        <v>-</v>
      </c>
      <c r="AO52" s="118">
        <f t="shared" si="54"/>
        <v>0</v>
      </c>
      <c r="AP52" s="118">
        <f t="shared" si="54"/>
        <v>0</v>
      </c>
      <c r="AQ52" s="119" t="str">
        <f t="shared" si="9"/>
        <v>-</v>
      </c>
      <c r="AR52" s="118"/>
      <c r="AS52" s="118"/>
      <c r="AT52" s="119" t="str">
        <f t="shared" si="10"/>
        <v>-</v>
      </c>
      <c r="AU52" s="118"/>
      <c r="AV52" s="118"/>
      <c r="AW52" s="119" t="str">
        <f t="shared" si="11"/>
        <v>-</v>
      </c>
      <c r="AX52" s="118"/>
      <c r="AY52" s="118"/>
      <c r="AZ52" s="119" t="str">
        <f t="shared" si="12"/>
        <v>-</v>
      </c>
      <c r="BA52" s="118"/>
      <c r="BB52" s="118"/>
      <c r="BC52" s="119" t="str">
        <f t="shared" si="13"/>
        <v>-</v>
      </c>
      <c r="BD52" s="118"/>
      <c r="BE52" s="118"/>
      <c r="BF52" s="119" t="str">
        <f t="shared" si="14"/>
        <v>-</v>
      </c>
      <c r="BG52" s="118"/>
      <c r="BH52" s="118"/>
      <c r="BI52" s="119" t="str">
        <f t="shared" si="15"/>
        <v>-</v>
      </c>
      <c r="BJ52" s="118"/>
      <c r="BK52" s="118"/>
      <c r="BL52" s="119" t="str">
        <f t="shared" si="16"/>
        <v>-</v>
      </c>
      <c r="BM52" s="118"/>
      <c r="BN52" s="118"/>
      <c r="BO52" s="119" t="str">
        <f t="shared" si="17"/>
        <v>-</v>
      </c>
      <c r="BP52" s="118"/>
      <c r="BQ52" s="118"/>
      <c r="BR52" s="119" t="str">
        <f t="shared" si="18"/>
        <v>-</v>
      </c>
      <c r="BS52" s="118"/>
      <c r="BT52" s="118"/>
      <c r="BU52" s="119" t="str">
        <f t="shared" si="19"/>
        <v>-</v>
      </c>
      <c r="BV52" s="118"/>
      <c r="BW52" s="118"/>
      <c r="BX52" s="119" t="str">
        <f t="shared" si="20"/>
        <v>-</v>
      </c>
      <c r="BY52" s="118"/>
      <c r="BZ52" s="118"/>
      <c r="CA52" s="119" t="str">
        <f t="shared" si="21"/>
        <v>-</v>
      </c>
      <c r="CB52" s="118"/>
      <c r="CC52" s="118"/>
      <c r="CD52" s="119" t="str">
        <f t="shared" si="22"/>
        <v>-</v>
      </c>
      <c r="CE52" s="118"/>
      <c r="CF52" s="118"/>
      <c r="CG52" s="119" t="str">
        <f t="shared" si="23"/>
        <v>-</v>
      </c>
      <c r="CH52" s="118">
        <v>5130</v>
      </c>
      <c r="CI52" s="118">
        <v>13630.3</v>
      </c>
      <c r="CJ52" s="121">
        <f t="shared" si="24"/>
        <v>2.656978557504873</v>
      </c>
      <c r="CK52" s="122" t="str">
        <f t="shared" si="25"/>
        <v>ok</v>
      </c>
      <c r="CL52" s="122"/>
    </row>
    <row r="53" spans="3:91" s="124" customFormat="1" ht="21" customHeight="1" x14ac:dyDescent="0.75">
      <c r="C53" s="96">
        <v>18</v>
      </c>
      <c r="D53" s="96" t="str">
        <f>IFERROR(INDEX([4]Account!$A:$A,MATCH(K53,[4]Account!$D:$D,0)),"")</f>
        <v/>
      </c>
      <c r="E53" s="96">
        <v>18</v>
      </c>
      <c r="F53" s="96">
        <v>96</v>
      </c>
      <c r="G53" s="96">
        <f>IFERROR(INDEX('[5]Sub Account'!$A:$A,MATCH(L53,'[5]Sub Account'!$D:$D,0)),"")</f>
        <v>513</v>
      </c>
      <c r="H53" s="96">
        <v>1</v>
      </c>
      <c r="I53" s="96">
        <v>1</v>
      </c>
      <c r="J53" s="228"/>
      <c r="K53" s="111"/>
      <c r="L53" s="112">
        <v>70073</v>
      </c>
      <c r="M53" s="113" t="s">
        <v>79</v>
      </c>
      <c r="N53" s="114">
        <f t="shared" si="50"/>
        <v>4094</v>
      </c>
      <c r="O53" s="114">
        <f t="shared" si="50"/>
        <v>26097.9</v>
      </c>
      <c r="P53" s="115">
        <f t="shared" si="0"/>
        <v>6.3746702491450904</v>
      </c>
      <c r="Q53" s="116">
        <f t="shared" si="51"/>
        <v>0</v>
      </c>
      <c r="R53" s="116">
        <f t="shared" si="51"/>
        <v>0</v>
      </c>
      <c r="S53" s="117" t="str">
        <f t="shared" si="1"/>
        <v>-</v>
      </c>
      <c r="T53" s="118">
        <f t="shared" si="52"/>
        <v>0</v>
      </c>
      <c r="U53" s="118">
        <f t="shared" si="52"/>
        <v>0</v>
      </c>
      <c r="V53" s="119" t="str">
        <f t="shared" si="2"/>
        <v>-</v>
      </c>
      <c r="W53" s="118">
        <f t="shared" si="53"/>
        <v>0</v>
      </c>
      <c r="X53" s="118">
        <f t="shared" si="53"/>
        <v>0</v>
      </c>
      <c r="Y53" s="119" t="str">
        <f t="shared" si="3"/>
        <v>-</v>
      </c>
      <c r="Z53" s="118"/>
      <c r="AA53" s="118"/>
      <c r="AB53" s="119" t="str">
        <f t="shared" si="4"/>
        <v>-</v>
      </c>
      <c r="AC53" s="118"/>
      <c r="AD53" s="118"/>
      <c r="AE53" s="119" t="str">
        <f t="shared" si="5"/>
        <v>-</v>
      </c>
      <c r="AF53" s="118"/>
      <c r="AG53" s="118"/>
      <c r="AH53" s="119" t="str">
        <f t="shared" si="6"/>
        <v>-</v>
      </c>
      <c r="AI53" s="120"/>
      <c r="AJ53" s="118"/>
      <c r="AK53" s="119" t="str">
        <f t="shared" si="7"/>
        <v>-</v>
      </c>
      <c r="AL53" s="118"/>
      <c r="AM53" s="118"/>
      <c r="AN53" s="119" t="str">
        <f t="shared" si="8"/>
        <v>-</v>
      </c>
      <c r="AO53" s="118">
        <f t="shared" si="54"/>
        <v>0</v>
      </c>
      <c r="AP53" s="118">
        <f t="shared" si="54"/>
        <v>0</v>
      </c>
      <c r="AQ53" s="119" t="str">
        <f t="shared" si="9"/>
        <v>-</v>
      </c>
      <c r="AR53" s="118"/>
      <c r="AS53" s="118"/>
      <c r="AT53" s="119" t="str">
        <f t="shared" si="10"/>
        <v>-</v>
      </c>
      <c r="AU53" s="118"/>
      <c r="AV53" s="118"/>
      <c r="AW53" s="119" t="str">
        <f t="shared" si="11"/>
        <v>-</v>
      </c>
      <c r="AX53" s="118"/>
      <c r="AY53" s="118"/>
      <c r="AZ53" s="119" t="str">
        <f t="shared" si="12"/>
        <v>-</v>
      </c>
      <c r="BA53" s="118"/>
      <c r="BB53" s="118"/>
      <c r="BC53" s="119" t="str">
        <f t="shared" si="13"/>
        <v>-</v>
      </c>
      <c r="BD53" s="118"/>
      <c r="BE53" s="118"/>
      <c r="BF53" s="119" t="str">
        <f t="shared" si="14"/>
        <v>-</v>
      </c>
      <c r="BG53" s="118"/>
      <c r="BH53" s="118"/>
      <c r="BI53" s="119" t="str">
        <f t="shared" si="15"/>
        <v>-</v>
      </c>
      <c r="BJ53" s="118"/>
      <c r="BK53" s="118"/>
      <c r="BL53" s="119" t="str">
        <f t="shared" si="16"/>
        <v>-</v>
      </c>
      <c r="BM53" s="118"/>
      <c r="BN53" s="118"/>
      <c r="BO53" s="119" t="str">
        <f t="shared" si="17"/>
        <v>-</v>
      </c>
      <c r="BP53" s="118"/>
      <c r="BQ53" s="118"/>
      <c r="BR53" s="119" t="str">
        <f t="shared" si="18"/>
        <v>-</v>
      </c>
      <c r="BS53" s="118"/>
      <c r="BT53" s="118"/>
      <c r="BU53" s="119" t="str">
        <f t="shared" si="19"/>
        <v>-</v>
      </c>
      <c r="BV53" s="118"/>
      <c r="BW53" s="118"/>
      <c r="BX53" s="119" t="str">
        <f t="shared" si="20"/>
        <v>-</v>
      </c>
      <c r="BY53" s="118"/>
      <c r="BZ53" s="118"/>
      <c r="CA53" s="119" t="str">
        <f t="shared" si="21"/>
        <v>-</v>
      </c>
      <c r="CB53" s="118"/>
      <c r="CC53" s="118"/>
      <c r="CD53" s="119" t="str">
        <f t="shared" si="22"/>
        <v>-</v>
      </c>
      <c r="CE53" s="118"/>
      <c r="CF53" s="118"/>
      <c r="CG53" s="119" t="str">
        <f t="shared" si="23"/>
        <v>-</v>
      </c>
      <c r="CH53" s="118">
        <v>4094</v>
      </c>
      <c r="CI53" s="118">
        <v>26097.9</v>
      </c>
      <c r="CJ53" s="121">
        <f t="shared" si="24"/>
        <v>6.3746702491450904</v>
      </c>
      <c r="CK53" s="122" t="str">
        <f t="shared" si="25"/>
        <v>ok</v>
      </c>
      <c r="CL53" s="122"/>
    </row>
    <row r="54" spans="3:91" s="125" customFormat="1" ht="21" customHeight="1" x14ac:dyDescent="0.75">
      <c r="C54" s="96">
        <v>18</v>
      </c>
      <c r="D54" s="96">
        <f>IFERROR(INDEX([4]Account!$A:$A,MATCH(K54,[4]Account!$D:$D,0)),"")</f>
        <v>97</v>
      </c>
      <c r="E54" s="96">
        <v>18</v>
      </c>
      <c r="F54" s="96">
        <f>IFERROR(INDEX([4]Account!$A:$A,MATCH(K54,[4]Account!$D:$D,0)),"")</f>
        <v>97</v>
      </c>
      <c r="G54" s="96" t="str">
        <f>IFERROR(INDEX('[5]Sub Account'!$A:$A,MATCH(L54,'[5]Sub Account'!$D:$D,0)),"")</f>
        <v/>
      </c>
      <c r="H54" s="96">
        <v>1</v>
      </c>
      <c r="I54" s="96">
        <v>1</v>
      </c>
      <c r="J54" s="227"/>
      <c r="K54" s="237">
        <v>7008</v>
      </c>
      <c r="L54" s="98"/>
      <c r="M54" s="99" t="s">
        <v>80</v>
      </c>
      <c r="N54" s="100">
        <f>SUM(N55:N56)</f>
        <v>143623</v>
      </c>
      <c r="O54" s="100">
        <f>SUM(O55:O56)</f>
        <v>165535.19999999998</v>
      </c>
      <c r="P54" s="101">
        <f t="shared" si="0"/>
        <v>1.1525674857091133</v>
      </c>
      <c r="Q54" s="102">
        <f>SUM(Q55:Q56)</f>
        <v>135000</v>
      </c>
      <c r="R54" s="102">
        <f>SUM(R55:R56)</f>
        <v>145609.4</v>
      </c>
      <c r="S54" s="103">
        <f t="shared" si="1"/>
        <v>1.0785881481481481</v>
      </c>
      <c r="T54" s="104">
        <f>SUM(T55:T56)</f>
        <v>135000</v>
      </c>
      <c r="U54" s="104">
        <f>SUM(U55:U56)</f>
        <v>145609.4</v>
      </c>
      <c r="V54" s="105">
        <f t="shared" si="2"/>
        <v>1.0785881481481481</v>
      </c>
      <c r="W54" s="104">
        <f>SUM(W55:W56)</f>
        <v>0</v>
      </c>
      <c r="X54" s="104">
        <f>SUM(X55:X56)</f>
        <v>0</v>
      </c>
      <c r="Y54" s="105" t="str">
        <f t="shared" si="3"/>
        <v>-</v>
      </c>
      <c r="Z54" s="104">
        <f>SUM(Z55:Z56)</f>
        <v>0</v>
      </c>
      <c r="AA54" s="104">
        <f>SUM(AA55:AA56)</f>
        <v>0</v>
      </c>
      <c r="AB54" s="105" t="str">
        <f t="shared" si="4"/>
        <v>-</v>
      </c>
      <c r="AC54" s="104">
        <f>SUM(AC55:AC56)</f>
        <v>0</v>
      </c>
      <c r="AD54" s="104">
        <f>SUM(AD55:AD56)</f>
        <v>0</v>
      </c>
      <c r="AE54" s="105" t="str">
        <f t="shared" si="5"/>
        <v>-</v>
      </c>
      <c r="AF54" s="104">
        <f>SUM(AF55:AF56)</f>
        <v>0</v>
      </c>
      <c r="AG54" s="104">
        <f>SUM(AG55:AG56)</f>
        <v>0</v>
      </c>
      <c r="AH54" s="105" t="str">
        <f t="shared" si="6"/>
        <v>-</v>
      </c>
      <c r="AI54" s="106">
        <f>SUM(AI55:AI56)</f>
        <v>0</v>
      </c>
      <c r="AJ54" s="104">
        <f>SUM(AJ55:AJ56)</f>
        <v>0</v>
      </c>
      <c r="AK54" s="105" t="str">
        <f t="shared" si="7"/>
        <v>-</v>
      </c>
      <c r="AL54" s="104">
        <f>SUM(AL55:AL56)</f>
        <v>135000</v>
      </c>
      <c r="AM54" s="104">
        <f>SUM(AM55:AM56)</f>
        <v>145609.4</v>
      </c>
      <c r="AN54" s="105">
        <f t="shared" si="8"/>
        <v>1.0785881481481481</v>
      </c>
      <c r="AO54" s="104">
        <f>SUM(AO55:AO56)</f>
        <v>0</v>
      </c>
      <c r="AP54" s="104">
        <f>SUM(AP55:AP56)</f>
        <v>0</v>
      </c>
      <c r="AQ54" s="105" t="str">
        <f t="shared" si="9"/>
        <v>-</v>
      </c>
      <c r="AR54" s="104">
        <f>SUM(AR55:AR56)</f>
        <v>0</v>
      </c>
      <c r="AS54" s="104">
        <f>SUM(AS55:AS56)</f>
        <v>0</v>
      </c>
      <c r="AT54" s="105" t="str">
        <f t="shared" si="10"/>
        <v>-</v>
      </c>
      <c r="AU54" s="104">
        <f>SUM(AU55:AU56)</f>
        <v>0</v>
      </c>
      <c r="AV54" s="104">
        <f>SUM(AV55:AV56)</f>
        <v>0</v>
      </c>
      <c r="AW54" s="105" t="str">
        <f t="shared" si="11"/>
        <v>-</v>
      </c>
      <c r="AX54" s="104">
        <f>SUM(AX55:AX56)</f>
        <v>0</v>
      </c>
      <c r="AY54" s="104">
        <f>SUM(AY55:AY56)</f>
        <v>0</v>
      </c>
      <c r="AZ54" s="105" t="str">
        <f t="shared" si="12"/>
        <v>-</v>
      </c>
      <c r="BA54" s="104">
        <f>SUM(BA55:BA56)</f>
        <v>0</v>
      </c>
      <c r="BB54" s="104">
        <f>SUM(BB55:BB56)</f>
        <v>0</v>
      </c>
      <c r="BC54" s="105" t="str">
        <f t="shared" si="13"/>
        <v>-</v>
      </c>
      <c r="BD54" s="104">
        <f>SUM(BD55:BD56)</f>
        <v>0</v>
      </c>
      <c r="BE54" s="104">
        <f>SUM(BE55:BE56)</f>
        <v>0</v>
      </c>
      <c r="BF54" s="105" t="str">
        <f t="shared" si="14"/>
        <v>-</v>
      </c>
      <c r="BG54" s="104">
        <f>SUM(BG55:BG56)</f>
        <v>0</v>
      </c>
      <c r="BH54" s="104">
        <f>SUM(BH55:BH56)</f>
        <v>0</v>
      </c>
      <c r="BI54" s="105" t="str">
        <f t="shared" si="15"/>
        <v>-</v>
      </c>
      <c r="BJ54" s="104">
        <f>SUM(BJ55:BJ56)</f>
        <v>0</v>
      </c>
      <c r="BK54" s="104">
        <f>SUM(BK55:BK56)</f>
        <v>0</v>
      </c>
      <c r="BL54" s="105" t="str">
        <f t="shared" si="16"/>
        <v>-</v>
      </c>
      <c r="BM54" s="104">
        <f>SUM(BM55:BM56)</f>
        <v>0</v>
      </c>
      <c r="BN54" s="104">
        <f>SUM(BN55:BN56)</f>
        <v>0</v>
      </c>
      <c r="BO54" s="105" t="str">
        <f t="shared" si="17"/>
        <v>-</v>
      </c>
      <c r="BP54" s="104">
        <f>SUM(BP55:BP56)</f>
        <v>0</v>
      </c>
      <c r="BQ54" s="104">
        <f>SUM(BQ55:BQ56)</f>
        <v>0</v>
      </c>
      <c r="BR54" s="105" t="str">
        <f t="shared" si="18"/>
        <v>-</v>
      </c>
      <c r="BS54" s="104">
        <f>SUM(BS55:BS56)</f>
        <v>0</v>
      </c>
      <c r="BT54" s="104">
        <f>SUM(BT55:BT56)</f>
        <v>0</v>
      </c>
      <c r="BU54" s="105" t="str">
        <f t="shared" si="19"/>
        <v>-</v>
      </c>
      <c r="BV54" s="104">
        <f>SUM(BV55:BV56)</f>
        <v>0</v>
      </c>
      <c r="BW54" s="104">
        <f>SUM(BW55:BW56)</f>
        <v>0</v>
      </c>
      <c r="BX54" s="105" t="str">
        <f t="shared" si="20"/>
        <v>-</v>
      </c>
      <c r="BY54" s="104">
        <f>SUM(BY55:BY56)</f>
        <v>0</v>
      </c>
      <c r="BZ54" s="104">
        <f>SUM(BZ55:BZ56)</f>
        <v>0</v>
      </c>
      <c r="CA54" s="105" t="str">
        <f t="shared" si="21"/>
        <v>-</v>
      </c>
      <c r="CB54" s="104">
        <f>SUM(CB55:CB56)</f>
        <v>0</v>
      </c>
      <c r="CC54" s="104">
        <f>SUM(CC55:CC56)</f>
        <v>0</v>
      </c>
      <c r="CD54" s="105" t="str">
        <f t="shared" si="22"/>
        <v>-</v>
      </c>
      <c r="CE54" s="104">
        <f>SUM(CE55:CE56)</f>
        <v>0</v>
      </c>
      <c r="CF54" s="104">
        <f>SUM(CF55:CF56)</f>
        <v>0</v>
      </c>
      <c r="CG54" s="105" t="str">
        <f t="shared" si="23"/>
        <v>-</v>
      </c>
      <c r="CH54" s="104">
        <f>SUM(CH55:CH56)</f>
        <v>8623</v>
      </c>
      <c r="CI54" s="104">
        <f>SUM(CI55:CI56)</f>
        <v>19925.8</v>
      </c>
      <c r="CJ54" s="107">
        <f t="shared" si="24"/>
        <v>2.3107735126985967</v>
      </c>
      <c r="CK54" s="108" t="str">
        <f t="shared" si="25"/>
        <v>ok</v>
      </c>
      <c r="CL54" s="108"/>
    </row>
    <row r="55" spans="3:91" s="124" customFormat="1" ht="21" customHeight="1" x14ac:dyDescent="0.75">
      <c r="C55" s="96">
        <v>18</v>
      </c>
      <c r="D55" s="96" t="str">
        <f>IFERROR(INDEX([4]Account!$A:$A,MATCH(K55,[4]Account!$D:$D,0)),"")</f>
        <v/>
      </c>
      <c r="E55" s="96">
        <v>18</v>
      </c>
      <c r="F55" s="96">
        <v>97</v>
      </c>
      <c r="G55" s="96">
        <f>IFERROR(INDEX('[5]Sub Account'!$A:$A,MATCH(L55,'[5]Sub Account'!$D:$D,0)),"")</f>
        <v>465</v>
      </c>
      <c r="H55" s="96">
        <v>1</v>
      </c>
      <c r="I55" s="96">
        <v>1</v>
      </c>
      <c r="J55" s="228"/>
      <c r="K55" s="111"/>
      <c r="L55" s="112">
        <v>70081</v>
      </c>
      <c r="M55" s="113" t="s">
        <v>81</v>
      </c>
      <c r="N55" s="114">
        <f>Q55+CH55</f>
        <v>8623</v>
      </c>
      <c r="O55" s="114">
        <f>R55+CI55</f>
        <v>19925.8</v>
      </c>
      <c r="P55" s="115">
        <f t="shared" si="0"/>
        <v>2.3107735126985967</v>
      </c>
      <c r="Q55" s="116">
        <f>T55+AO55</f>
        <v>0</v>
      </c>
      <c r="R55" s="116">
        <f>U55+AP55</f>
        <v>0</v>
      </c>
      <c r="S55" s="117" t="str">
        <f t="shared" si="1"/>
        <v>-</v>
      </c>
      <c r="T55" s="118">
        <f>W55+AI55+AL55</f>
        <v>0</v>
      </c>
      <c r="U55" s="118">
        <f>X55+AJ55+AM55</f>
        <v>0</v>
      </c>
      <c r="V55" s="119" t="str">
        <f t="shared" si="2"/>
        <v>-</v>
      </c>
      <c r="W55" s="118">
        <f t="shared" ref="W55:X56" si="55">Z55+AC55+AF55</f>
        <v>0</v>
      </c>
      <c r="X55" s="118">
        <f t="shared" si="55"/>
        <v>0</v>
      </c>
      <c r="Y55" s="119" t="str">
        <f t="shared" si="3"/>
        <v>-</v>
      </c>
      <c r="Z55" s="118"/>
      <c r="AA55" s="118"/>
      <c r="AB55" s="119" t="str">
        <f t="shared" si="4"/>
        <v>-</v>
      </c>
      <c r="AC55" s="118"/>
      <c r="AD55" s="118"/>
      <c r="AE55" s="119" t="str">
        <f t="shared" si="5"/>
        <v>-</v>
      </c>
      <c r="AF55" s="118"/>
      <c r="AG55" s="118"/>
      <c r="AH55" s="119" t="str">
        <f t="shared" si="6"/>
        <v>-</v>
      </c>
      <c r="AI55" s="120"/>
      <c r="AJ55" s="118"/>
      <c r="AK55" s="119" t="str">
        <f t="shared" si="7"/>
        <v>-</v>
      </c>
      <c r="AL55" s="118"/>
      <c r="AM55" s="118"/>
      <c r="AN55" s="119" t="str">
        <f t="shared" si="8"/>
        <v>-</v>
      </c>
      <c r="AO55" s="118">
        <f t="shared" ref="AO55:AP56" si="56">AR55+AU55+AX55+BA55+BG55+BJ55+BM55+BP55+BS55+BV55+BY55+CB55+CE55</f>
        <v>0</v>
      </c>
      <c r="AP55" s="118">
        <f t="shared" si="56"/>
        <v>0</v>
      </c>
      <c r="AQ55" s="119" t="str">
        <f t="shared" si="9"/>
        <v>-</v>
      </c>
      <c r="AR55" s="118"/>
      <c r="AS55" s="118"/>
      <c r="AT55" s="119" t="str">
        <f t="shared" si="10"/>
        <v>-</v>
      </c>
      <c r="AU55" s="118"/>
      <c r="AV55" s="118"/>
      <c r="AW55" s="119" t="str">
        <f t="shared" si="11"/>
        <v>-</v>
      </c>
      <c r="AX55" s="118"/>
      <c r="AY55" s="118"/>
      <c r="AZ55" s="119" t="str">
        <f t="shared" si="12"/>
        <v>-</v>
      </c>
      <c r="BA55" s="118"/>
      <c r="BB55" s="118"/>
      <c r="BC55" s="119" t="str">
        <f t="shared" si="13"/>
        <v>-</v>
      </c>
      <c r="BD55" s="118"/>
      <c r="BE55" s="118"/>
      <c r="BF55" s="119" t="str">
        <f t="shared" si="14"/>
        <v>-</v>
      </c>
      <c r="BG55" s="118"/>
      <c r="BH55" s="118"/>
      <c r="BI55" s="119" t="str">
        <f t="shared" si="15"/>
        <v>-</v>
      </c>
      <c r="BJ55" s="118"/>
      <c r="BK55" s="118"/>
      <c r="BL55" s="119" t="str">
        <f t="shared" si="16"/>
        <v>-</v>
      </c>
      <c r="BM55" s="118"/>
      <c r="BN55" s="118"/>
      <c r="BO55" s="119" t="str">
        <f t="shared" si="17"/>
        <v>-</v>
      </c>
      <c r="BP55" s="118"/>
      <c r="BQ55" s="118"/>
      <c r="BR55" s="119" t="str">
        <f t="shared" si="18"/>
        <v>-</v>
      </c>
      <c r="BS55" s="118"/>
      <c r="BT55" s="118"/>
      <c r="BU55" s="119" t="str">
        <f t="shared" si="19"/>
        <v>-</v>
      </c>
      <c r="BV55" s="118"/>
      <c r="BW55" s="118"/>
      <c r="BX55" s="119" t="str">
        <f t="shared" si="20"/>
        <v>-</v>
      </c>
      <c r="BY55" s="118"/>
      <c r="BZ55" s="118"/>
      <c r="CA55" s="119" t="str">
        <f t="shared" si="21"/>
        <v>-</v>
      </c>
      <c r="CB55" s="118"/>
      <c r="CC55" s="118"/>
      <c r="CD55" s="119" t="str">
        <f t="shared" si="22"/>
        <v>-</v>
      </c>
      <c r="CE55" s="118"/>
      <c r="CF55" s="118"/>
      <c r="CG55" s="119" t="str">
        <f t="shared" si="23"/>
        <v>-</v>
      </c>
      <c r="CH55" s="118">
        <v>8623</v>
      </c>
      <c r="CI55" s="118">
        <v>19925.8</v>
      </c>
      <c r="CJ55" s="121">
        <f t="shared" si="24"/>
        <v>2.3107735126985967</v>
      </c>
      <c r="CK55" s="122" t="str">
        <f t="shared" si="25"/>
        <v>ok</v>
      </c>
      <c r="CL55" s="122"/>
    </row>
    <row r="56" spans="3:91" s="124" customFormat="1" ht="21" customHeight="1" x14ac:dyDescent="0.75">
      <c r="C56" s="96">
        <v>18</v>
      </c>
      <c r="D56" s="96" t="str">
        <f>IFERROR(INDEX([4]Account!$A:$A,MATCH(K56,[4]Account!$D:$D,0)),"")</f>
        <v/>
      </c>
      <c r="E56" s="96">
        <v>18</v>
      </c>
      <c r="F56" s="96">
        <v>97</v>
      </c>
      <c r="G56" s="96">
        <f>IFERROR(INDEX('[5]Sub Account'!$A:$A,MATCH(L56,'[5]Sub Account'!$D:$D,0)),"")</f>
        <v>466</v>
      </c>
      <c r="H56" s="96">
        <v>1</v>
      </c>
      <c r="I56" s="96">
        <v>1</v>
      </c>
      <c r="J56" s="228"/>
      <c r="K56" s="111"/>
      <c r="L56" s="112">
        <v>70082</v>
      </c>
      <c r="M56" s="113" t="s">
        <v>82</v>
      </c>
      <c r="N56" s="114">
        <f>Q56+CH56</f>
        <v>135000</v>
      </c>
      <c r="O56" s="114">
        <f>R56+CI56</f>
        <v>145609.4</v>
      </c>
      <c r="P56" s="115">
        <f t="shared" si="0"/>
        <v>1.0785881481481481</v>
      </c>
      <c r="Q56" s="116">
        <f>T56+AO56</f>
        <v>135000</v>
      </c>
      <c r="R56" s="116">
        <f>U56+AP56</f>
        <v>145609.4</v>
      </c>
      <c r="S56" s="117">
        <f t="shared" si="1"/>
        <v>1.0785881481481481</v>
      </c>
      <c r="T56" s="118">
        <f>W56+AI56+AL56</f>
        <v>135000</v>
      </c>
      <c r="U56" s="118">
        <f>X56+AJ56+AM56</f>
        <v>145609.4</v>
      </c>
      <c r="V56" s="119">
        <f t="shared" si="2"/>
        <v>1.0785881481481481</v>
      </c>
      <c r="W56" s="118">
        <f t="shared" si="55"/>
        <v>0</v>
      </c>
      <c r="X56" s="118">
        <f t="shared" si="55"/>
        <v>0</v>
      </c>
      <c r="Y56" s="119" t="str">
        <f t="shared" si="3"/>
        <v>-</v>
      </c>
      <c r="Z56" s="118"/>
      <c r="AA56" s="118"/>
      <c r="AB56" s="119" t="str">
        <f t="shared" si="4"/>
        <v>-</v>
      </c>
      <c r="AC56" s="118"/>
      <c r="AD56" s="118"/>
      <c r="AE56" s="119" t="str">
        <f t="shared" si="5"/>
        <v>-</v>
      </c>
      <c r="AF56" s="118"/>
      <c r="AG56" s="118"/>
      <c r="AH56" s="119" t="str">
        <f t="shared" si="6"/>
        <v>-</v>
      </c>
      <c r="AI56" s="120"/>
      <c r="AJ56" s="118"/>
      <c r="AK56" s="119" t="str">
        <f t="shared" si="7"/>
        <v>-</v>
      </c>
      <c r="AL56" s="118">
        <v>135000</v>
      </c>
      <c r="AM56" s="118">
        <v>145609.4</v>
      </c>
      <c r="AN56" s="119">
        <f t="shared" si="8"/>
        <v>1.0785881481481481</v>
      </c>
      <c r="AO56" s="118">
        <f t="shared" si="56"/>
        <v>0</v>
      </c>
      <c r="AP56" s="118">
        <f t="shared" si="56"/>
        <v>0</v>
      </c>
      <c r="AQ56" s="119" t="str">
        <f t="shared" si="9"/>
        <v>-</v>
      </c>
      <c r="AR56" s="118"/>
      <c r="AS56" s="118"/>
      <c r="AT56" s="119" t="str">
        <f t="shared" si="10"/>
        <v>-</v>
      </c>
      <c r="AU56" s="118"/>
      <c r="AV56" s="118"/>
      <c r="AW56" s="119" t="str">
        <f t="shared" si="11"/>
        <v>-</v>
      </c>
      <c r="AX56" s="118"/>
      <c r="AY56" s="118"/>
      <c r="AZ56" s="119" t="str">
        <f t="shared" si="12"/>
        <v>-</v>
      </c>
      <c r="BA56" s="118"/>
      <c r="BB56" s="118"/>
      <c r="BC56" s="119" t="str">
        <f t="shared" si="13"/>
        <v>-</v>
      </c>
      <c r="BD56" s="118"/>
      <c r="BE56" s="118"/>
      <c r="BF56" s="119" t="str">
        <f t="shared" si="14"/>
        <v>-</v>
      </c>
      <c r="BG56" s="118"/>
      <c r="BH56" s="118"/>
      <c r="BI56" s="119" t="str">
        <f t="shared" si="15"/>
        <v>-</v>
      </c>
      <c r="BJ56" s="118"/>
      <c r="BK56" s="118"/>
      <c r="BL56" s="119" t="str">
        <f t="shared" si="16"/>
        <v>-</v>
      </c>
      <c r="BM56" s="118"/>
      <c r="BN56" s="118"/>
      <c r="BO56" s="119" t="str">
        <f t="shared" si="17"/>
        <v>-</v>
      </c>
      <c r="BP56" s="118"/>
      <c r="BQ56" s="118"/>
      <c r="BR56" s="119" t="str">
        <f t="shared" si="18"/>
        <v>-</v>
      </c>
      <c r="BS56" s="118"/>
      <c r="BT56" s="118"/>
      <c r="BU56" s="119" t="str">
        <f t="shared" si="19"/>
        <v>-</v>
      </c>
      <c r="BV56" s="118"/>
      <c r="BW56" s="118"/>
      <c r="BX56" s="119" t="str">
        <f t="shared" si="20"/>
        <v>-</v>
      </c>
      <c r="BY56" s="118"/>
      <c r="BZ56" s="118"/>
      <c r="CA56" s="119" t="str">
        <f t="shared" si="21"/>
        <v>-</v>
      </c>
      <c r="CB56" s="118"/>
      <c r="CC56" s="118"/>
      <c r="CD56" s="119" t="str">
        <f t="shared" si="22"/>
        <v>-</v>
      </c>
      <c r="CE56" s="118"/>
      <c r="CF56" s="118"/>
      <c r="CG56" s="119" t="str">
        <f t="shared" si="23"/>
        <v>-</v>
      </c>
      <c r="CH56" s="118"/>
      <c r="CI56" s="118"/>
      <c r="CJ56" s="121" t="str">
        <f t="shared" si="24"/>
        <v>-</v>
      </c>
      <c r="CK56" s="122" t="str">
        <f t="shared" si="25"/>
        <v>ok</v>
      </c>
      <c r="CL56" s="122"/>
    </row>
    <row r="57" spans="3:91" s="124" customFormat="1" ht="21" customHeight="1" x14ac:dyDescent="0.75">
      <c r="C57" s="96">
        <v>19</v>
      </c>
      <c r="D57" s="96" t="str">
        <f>IFERROR(INDEX([4]Account!$A:$A,MATCH(K57,[4]Account!$D:$D,0)),"")</f>
        <v/>
      </c>
      <c r="E57" s="96">
        <f>IFERROR(INDEX('[3]Account Group'!$A:$A,MATCH(J57,'[3]Account Group'!$B:$B,0)),"-")</f>
        <v>19</v>
      </c>
      <c r="F57" s="96">
        <v>97</v>
      </c>
      <c r="G57" s="96" t="str">
        <f>IFERROR(INDEX('[5]Sub Account'!$A:$A,MATCH(L57,'[5]Sub Account'!$D:$D,0)),"")</f>
        <v/>
      </c>
      <c r="H57" s="96">
        <v>1</v>
      </c>
      <c r="I57" s="96">
        <v>1</v>
      </c>
      <c r="J57" s="238">
        <v>71</v>
      </c>
      <c r="K57" s="126"/>
      <c r="L57" s="127"/>
      <c r="M57" s="128" t="s">
        <v>83</v>
      </c>
      <c r="N57" s="129">
        <f>N58+N66</f>
        <v>2295400</v>
      </c>
      <c r="O57" s="129">
        <f>O58+O66</f>
        <v>2162371</v>
      </c>
      <c r="P57" s="130">
        <f t="shared" si="0"/>
        <v>0.94204539513810226</v>
      </c>
      <c r="Q57" s="131">
        <f>Q58+Q66</f>
        <v>2295400</v>
      </c>
      <c r="R57" s="131">
        <f>R58+R66</f>
        <v>2162371</v>
      </c>
      <c r="S57" s="132">
        <f t="shared" si="1"/>
        <v>0.94204539513810226</v>
      </c>
      <c r="T57" s="133">
        <f>T58+T66</f>
        <v>2295400</v>
      </c>
      <c r="U57" s="133">
        <f>U58+U66</f>
        <v>2162371</v>
      </c>
      <c r="V57" s="134">
        <f t="shared" si="2"/>
        <v>0.94204539513810226</v>
      </c>
      <c r="W57" s="133">
        <f>W58+W66</f>
        <v>0</v>
      </c>
      <c r="X57" s="133">
        <f>X58+X66</f>
        <v>0</v>
      </c>
      <c r="Y57" s="134" t="str">
        <f t="shared" si="3"/>
        <v>-</v>
      </c>
      <c r="Z57" s="133">
        <f>Z58+Z66</f>
        <v>0</v>
      </c>
      <c r="AA57" s="133">
        <f>AA58+AA66</f>
        <v>0</v>
      </c>
      <c r="AB57" s="134" t="str">
        <f t="shared" si="4"/>
        <v>-</v>
      </c>
      <c r="AC57" s="133">
        <f>AC58+AC66</f>
        <v>0</v>
      </c>
      <c r="AD57" s="133">
        <f>AD58+AD66</f>
        <v>0</v>
      </c>
      <c r="AE57" s="134" t="str">
        <f t="shared" si="5"/>
        <v>-</v>
      </c>
      <c r="AF57" s="133">
        <f>AF58+AF66</f>
        <v>0</v>
      </c>
      <c r="AG57" s="133">
        <f>AG58+AG66</f>
        <v>0</v>
      </c>
      <c r="AH57" s="134" t="str">
        <f t="shared" si="6"/>
        <v>-</v>
      </c>
      <c r="AI57" s="135">
        <f>AI58+AI66</f>
        <v>2295400</v>
      </c>
      <c r="AJ57" s="133">
        <f>AJ58+AJ66</f>
        <v>2162371</v>
      </c>
      <c r="AK57" s="134">
        <f t="shared" si="7"/>
        <v>0.94204539513810226</v>
      </c>
      <c r="AL57" s="133">
        <f>AL58+AL66</f>
        <v>0</v>
      </c>
      <c r="AM57" s="133">
        <f>AM58+AM66</f>
        <v>0</v>
      </c>
      <c r="AN57" s="134" t="str">
        <f t="shared" si="8"/>
        <v>-</v>
      </c>
      <c r="AO57" s="133">
        <f>AO58+AO66</f>
        <v>0</v>
      </c>
      <c r="AP57" s="133">
        <f>AP58+AP66</f>
        <v>0</v>
      </c>
      <c r="AQ57" s="134" t="str">
        <f t="shared" si="9"/>
        <v>-</v>
      </c>
      <c r="AR57" s="133">
        <f>AR58+AR66</f>
        <v>0</v>
      </c>
      <c r="AS57" s="133">
        <f>AS58+AS66</f>
        <v>0</v>
      </c>
      <c r="AT57" s="134" t="str">
        <f t="shared" si="10"/>
        <v>-</v>
      </c>
      <c r="AU57" s="133">
        <f>AU58+AU66</f>
        <v>0</v>
      </c>
      <c r="AV57" s="133">
        <f>AV58+AV66</f>
        <v>0</v>
      </c>
      <c r="AW57" s="134" t="str">
        <f t="shared" si="11"/>
        <v>-</v>
      </c>
      <c r="AX57" s="133">
        <f>AX58+AX66</f>
        <v>0</v>
      </c>
      <c r="AY57" s="133">
        <f>AY58+AY66</f>
        <v>0</v>
      </c>
      <c r="AZ57" s="134" t="str">
        <f t="shared" si="12"/>
        <v>-</v>
      </c>
      <c r="BA57" s="133">
        <f>BA58+BA66</f>
        <v>0</v>
      </c>
      <c r="BB57" s="133">
        <f>BB58+BB66</f>
        <v>0</v>
      </c>
      <c r="BC57" s="134" t="str">
        <f t="shared" si="13"/>
        <v>-</v>
      </c>
      <c r="BD57" s="133">
        <f>BD58+BD66</f>
        <v>0</v>
      </c>
      <c r="BE57" s="133">
        <f>BE58+BE66</f>
        <v>0</v>
      </c>
      <c r="BF57" s="134" t="str">
        <f t="shared" si="14"/>
        <v>-</v>
      </c>
      <c r="BG57" s="133">
        <f>BG58+BG66</f>
        <v>0</v>
      </c>
      <c r="BH57" s="133">
        <f>BH58+BH66</f>
        <v>0</v>
      </c>
      <c r="BI57" s="134" t="str">
        <f t="shared" si="15"/>
        <v>-</v>
      </c>
      <c r="BJ57" s="133">
        <f>BJ58+BJ66</f>
        <v>0</v>
      </c>
      <c r="BK57" s="133">
        <f>BK58+BK66</f>
        <v>0</v>
      </c>
      <c r="BL57" s="134" t="str">
        <f t="shared" si="16"/>
        <v>-</v>
      </c>
      <c r="BM57" s="133">
        <f>BM58+BM66</f>
        <v>0</v>
      </c>
      <c r="BN57" s="133">
        <f>BN58+BN66</f>
        <v>0</v>
      </c>
      <c r="BO57" s="134" t="str">
        <f t="shared" si="17"/>
        <v>-</v>
      </c>
      <c r="BP57" s="133">
        <f>BP58+BP66</f>
        <v>0</v>
      </c>
      <c r="BQ57" s="133">
        <f>BQ58+BQ66</f>
        <v>0</v>
      </c>
      <c r="BR57" s="134" t="str">
        <f t="shared" si="18"/>
        <v>-</v>
      </c>
      <c r="BS57" s="133">
        <f>BS58+BS66</f>
        <v>0</v>
      </c>
      <c r="BT57" s="133">
        <f>BT58+BT66</f>
        <v>0</v>
      </c>
      <c r="BU57" s="134" t="str">
        <f t="shared" si="19"/>
        <v>-</v>
      </c>
      <c r="BV57" s="133">
        <f>BV58+BV66</f>
        <v>0</v>
      </c>
      <c r="BW57" s="133">
        <f>BW58+BW66</f>
        <v>0</v>
      </c>
      <c r="BX57" s="134" t="str">
        <f t="shared" si="20"/>
        <v>-</v>
      </c>
      <c r="BY57" s="133">
        <f>BY58+BY66</f>
        <v>0</v>
      </c>
      <c r="BZ57" s="133">
        <f>BZ58+BZ66</f>
        <v>0</v>
      </c>
      <c r="CA57" s="134" t="str">
        <f t="shared" si="21"/>
        <v>-</v>
      </c>
      <c r="CB57" s="133">
        <f>CB58+CB66</f>
        <v>0</v>
      </c>
      <c r="CC57" s="133">
        <f>CC58+CC66</f>
        <v>0</v>
      </c>
      <c r="CD57" s="134" t="str">
        <f t="shared" si="22"/>
        <v>-</v>
      </c>
      <c r="CE57" s="133">
        <f>CE58+CE66</f>
        <v>0</v>
      </c>
      <c r="CF57" s="133">
        <f>CF58+CF66</f>
        <v>0</v>
      </c>
      <c r="CG57" s="134" t="str">
        <f t="shared" si="23"/>
        <v>-</v>
      </c>
      <c r="CH57" s="133">
        <f>CH58+CH66</f>
        <v>0</v>
      </c>
      <c r="CI57" s="133">
        <f>CI58+CI66</f>
        <v>0</v>
      </c>
      <c r="CJ57" s="136" t="str">
        <f t="shared" si="24"/>
        <v>-</v>
      </c>
      <c r="CK57" s="94" t="str">
        <f t="shared" si="25"/>
        <v>ok</v>
      </c>
      <c r="CL57" s="94"/>
    </row>
    <row r="58" spans="3:91" s="125" customFormat="1" ht="21" customHeight="1" x14ac:dyDescent="0.75">
      <c r="C58" s="96">
        <v>19</v>
      </c>
      <c r="D58" s="96">
        <f>IFERROR(INDEX([4]Account!$A:$A,MATCH(K58,[4]Account!$D:$D,0)),"")</f>
        <v>98</v>
      </c>
      <c r="E58" s="96">
        <v>19</v>
      </c>
      <c r="F58" s="96">
        <f>IFERROR(INDEX([4]Account!$A:$A,MATCH(K58,[4]Account!$D:$D,0)),"")</f>
        <v>98</v>
      </c>
      <c r="G58" s="96" t="str">
        <f>IFERROR(INDEX('[5]Sub Account'!$A:$A,MATCH(L58,'[5]Sub Account'!$D:$D,0)),"")</f>
        <v/>
      </c>
      <c r="H58" s="96">
        <v>1</v>
      </c>
      <c r="I58" s="96">
        <v>1</v>
      </c>
      <c r="J58" s="227"/>
      <c r="K58" s="237">
        <v>7100</v>
      </c>
      <c r="L58" s="98"/>
      <c r="M58" s="99" t="s">
        <v>84</v>
      </c>
      <c r="N58" s="100">
        <f>SUM(N59:N65)</f>
        <v>2283700</v>
      </c>
      <c r="O58" s="100">
        <f>SUM(O59:O65)</f>
        <v>2118672</v>
      </c>
      <c r="P58" s="101">
        <f t="shared" si="0"/>
        <v>0.92773656785041814</v>
      </c>
      <c r="Q58" s="102">
        <f>SUM(Q59:Q65)</f>
        <v>2283700</v>
      </c>
      <c r="R58" s="102">
        <f>SUM(R59:R65)</f>
        <v>2118672</v>
      </c>
      <c r="S58" s="103">
        <f t="shared" si="1"/>
        <v>0.92773656785041814</v>
      </c>
      <c r="T58" s="104">
        <f>SUM(T59:T65)</f>
        <v>2283700</v>
      </c>
      <c r="U58" s="104">
        <f>SUM(U59:U65)</f>
        <v>2118672</v>
      </c>
      <c r="V58" s="105">
        <f t="shared" si="2"/>
        <v>0.92773656785041814</v>
      </c>
      <c r="W58" s="104">
        <f>SUM(W59:W65)</f>
        <v>0</v>
      </c>
      <c r="X58" s="104">
        <f>SUM(X59:X65)</f>
        <v>0</v>
      </c>
      <c r="Y58" s="105" t="str">
        <f t="shared" si="3"/>
        <v>-</v>
      </c>
      <c r="Z58" s="104">
        <f>SUM(Z59:Z65)</f>
        <v>0</v>
      </c>
      <c r="AA58" s="104">
        <f>SUM(AA59:AA65)</f>
        <v>0</v>
      </c>
      <c r="AB58" s="105" t="str">
        <f t="shared" si="4"/>
        <v>-</v>
      </c>
      <c r="AC58" s="104">
        <f>SUM(AC59:AC65)</f>
        <v>0</v>
      </c>
      <c r="AD58" s="104">
        <f>SUM(AD59:AD65)</f>
        <v>0</v>
      </c>
      <c r="AE58" s="105" t="str">
        <f t="shared" si="5"/>
        <v>-</v>
      </c>
      <c r="AF58" s="104">
        <f>SUM(AF59:AF65)</f>
        <v>0</v>
      </c>
      <c r="AG58" s="104">
        <f>SUM(AG59:AG65)</f>
        <v>0</v>
      </c>
      <c r="AH58" s="105" t="str">
        <f t="shared" si="6"/>
        <v>-</v>
      </c>
      <c r="AI58" s="106">
        <f>SUM(AI59:AI65)</f>
        <v>2283700</v>
      </c>
      <c r="AJ58" s="104">
        <f>SUM(AJ59:AJ65)</f>
        <v>2118672</v>
      </c>
      <c r="AK58" s="105">
        <f t="shared" si="7"/>
        <v>0.92773656785041814</v>
      </c>
      <c r="AL58" s="104">
        <f>SUM(AL59:AL65)</f>
        <v>0</v>
      </c>
      <c r="AM58" s="104">
        <f>SUM(AM59:AM65)</f>
        <v>0</v>
      </c>
      <c r="AN58" s="105" t="str">
        <f t="shared" si="8"/>
        <v>-</v>
      </c>
      <c r="AO58" s="104">
        <f>SUM(AO59:AO65)</f>
        <v>0</v>
      </c>
      <c r="AP58" s="104">
        <f>SUM(AP59:AP65)</f>
        <v>0</v>
      </c>
      <c r="AQ58" s="105" t="str">
        <f t="shared" si="9"/>
        <v>-</v>
      </c>
      <c r="AR58" s="104">
        <f>SUM(AR59:AR65)</f>
        <v>0</v>
      </c>
      <c r="AS58" s="104">
        <f>SUM(AS59:AS65)</f>
        <v>0</v>
      </c>
      <c r="AT58" s="105" t="str">
        <f t="shared" si="10"/>
        <v>-</v>
      </c>
      <c r="AU58" s="104">
        <f>SUM(AU59:AU65)</f>
        <v>0</v>
      </c>
      <c r="AV58" s="104">
        <f>SUM(AV59:AV65)</f>
        <v>0</v>
      </c>
      <c r="AW58" s="105" t="str">
        <f t="shared" si="11"/>
        <v>-</v>
      </c>
      <c r="AX58" s="104">
        <f>SUM(AX59:AX65)</f>
        <v>0</v>
      </c>
      <c r="AY58" s="104">
        <f>SUM(AY59:AY65)</f>
        <v>0</v>
      </c>
      <c r="AZ58" s="105" t="str">
        <f t="shared" si="12"/>
        <v>-</v>
      </c>
      <c r="BA58" s="104">
        <f>SUM(BA59:BA65)</f>
        <v>0</v>
      </c>
      <c r="BB58" s="104">
        <f>SUM(BB59:BB65)</f>
        <v>0</v>
      </c>
      <c r="BC58" s="105" t="str">
        <f t="shared" si="13"/>
        <v>-</v>
      </c>
      <c r="BD58" s="104">
        <f>SUM(BD59:BD65)</f>
        <v>0</v>
      </c>
      <c r="BE58" s="104">
        <f>SUM(BE59:BE65)</f>
        <v>0</v>
      </c>
      <c r="BF58" s="105" t="str">
        <f t="shared" si="14"/>
        <v>-</v>
      </c>
      <c r="BG58" s="104">
        <f>SUM(BG59:BG65)</f>
        <v>0</v>
      </c>
      <c r="BH58" s="104">
        <f>SUM(BH59:BH65)</f>
        <v>0</v>
      </c>
      <c r="BI58" s="105" t="str">
        <f t="shared" si="15"/>
        <v>-</v>
      </c>
      <c r="BJ58" s="104">
        <f>SUM(BJ59:BJ65)</f>
        <v>0</v>
      </c>
      <c r="BK58" s="104">
        <f>SUM(BK59:BK65)</f>
        <v>0</v>
      </c>
      <c r="BL58" s="105" t="str">
        <f t="shared" si="16"/>
        <v>-</v>
      </c>
      <c r="BM58" s="104">
        <f>SUM(BM59:BM65)</f>
        <v>0</v>
      </c>
      <c r="BN58" s="104">
        <f>SUM(BN59:BN65)</f>
        <v>0</v>
      </c>
      <c r="BO58" s="105" t="str">
        <f t="shared" si="17"/>
        <v>-</v>
      </c>
      <c r="BP58" s="104">
        <f>SUM(BP59:BP65)</f>
        <v>0</v>
      </c>
      <c r="BQ58" s="104">
        <f>SUM(BQ59:BQ65)</f>
        <v>0</v>
      </c>
      <c r="BR58" s="105" t="str">
        <f t="shared" si="18"/>
        <v>-</v>
      </c>
      <c r="BS58" s="104">
        <f>SUM(BS59:BS65)</f>
        <v>0</v>
      </c>
      <c r="BT58" s="104">
        <f>SUM(BT59:BT65)</f>
        <v>0</v>
      </c>
      <c r="BU58" s="105" t="str">
        <f t="shared" si="19"/>
        <v>-</v>
      </c>
      <c r="BV58" s="104">
        <f>SUM(BV59:BV65)</f>
        <v>0</v>
      </c>
      <c r="BW58" s="104">
        <f>SUM(BW59:BW65)</f>
        <v>0</v>
      </c>
      <c r="BX58" s="105" t="str">
        <f t="shared" si="20"/>
        <v>-</v>
      </c>
      <c r="BY58" s="104">
        <f>SUM(BY59:BY65)</f>
        <v>0</v>
      </c>
      <c r="BZ58" s="104">
        <f>SUM(BZ59:BZ65)</f>
        <v>0</v>
      </c>
      <c r="CA58" s="105" t="str">
        <f t="shared" si="21"/>
        <v>-</v>
      </c>
      <c r="CB58" s="104">
        <f>SUM(CB59:CB65)</f>
        <v>0</v>
      </c>
      <c r="CC58" s="104">
        <f>SUM(CC59:CC65)</f>
        <v>0</v>
      </c>
      <c r="CD58" s="105" t="str">
        <f t="shared" si="22"/>
        <v>-</v>
      </c>
      <c r="CE58" s="104">
        <f>SUM(CE59:CE65)</f>
        <v>0</v>
      </c>
      <c r="CF58" s="104">
        <f>SUM(CF59:CF65)</f>
        <v>0</v>
      </c>
      <c r="CG58" s="105" t="str">
        <f t="shared" si="23"/>
        <v>-</v>
      </c>
      <c r="CH58" s="104">
        <f>SUM(CH59:CH65)</f>
        <v>0</v>
      </c>
      <c r="CI58" s="104">
        <f>SUM(CI59:CI65)</f>
        <v>0</v>
      </c>
      <c r="CJ58" s="107" t="str">
        <f t="shared" si="24"/>
        <v>-</v>
      </c>
      <c r="CK58" s="108" t="str">
        <f t="shared" si="25"/>
        <v>ok</v>
      </c>
      <c r="CL58" s="108"/>
    </row>
    <row r="59" spans="3:91" s="124" customFormat="1" ht="21" customHeight="1" x14ac:dyDescent="0.75">
      <c r="C59" s="96">
        <v>19</v>
      </c>
      <c r="D59" s="96" t="str">
        <f>IFERROR(INDEX([4]Account!$A:$A,MATCH(K59,[4]Account!$D:$D,0)),"")</f>
        <v/>
      </c>
      <c r="E59" s="96">
        <v>19</v>
      </c>
      <c r="F59" s="96">
        <v>98</v>
      </c>
      <c r="G59" s="96">
        <f>IFERROR(INDEX('[5]Sub Account'!$A:$A,MATCH(L59,'[5]Sub Account'!$D:$D,0)),"")</f>
        <v>487</v>
      </c>
      <c r="H59" s="96">
        <v>1</v>
      </c>
      <c r="I59" s="96">
        <v>1</v>
      </c>
      <c r="J59" s="228"/>
      <c r="K59" s="111"/>
      <c r="L59" s="112">
        <v>71001</v>
      </c>
      <c r="M59" s="113" t="s">
        <v>85</v>
      </c>
      <c r="N59" s="114">
        <f t="shared" ref="N59:O65" si="57">Q59+CH59</f>
        <v>1546600</v>
      </c>
      <c r="O59" s="114">
        <f t="shared" si="57"/>
        <v>1407255</v>
      </c>
      <c r="P59" s="115">
        <f t="shared" si="0"/>
        <v>0.90990236648131384</v>
      </c>
      <c r="Q59" s="116">
        <f t="shared" ref="Q59:R65" si="58">T59+AO59</f>
        <v>1546600</v>
      </c>
      <c r="R59" s="116">
        <f t="shared" si="58"/>
        <v>1407255</v>
      </c>
      <c r="S59" s="117">
        <f t="shared" si="1"/>
        <v>0.90990236648131384</v>
      </c>
      <c r="T59" s="118">
        <f t="shared" ref="T59:U65" si="59">W59+AI59+AL59</f>
        <v>1546600</v>
      </c>
      <c r="U59" s="118">
        <f t="shared" si="59"/>
        <v>1407255</v>
      </c>
      <c r="V59" s="119">
        <f t="shared" si="2"/>
        <v>0.90990236648131384</v>
      </c>
      <c r="W59" s="118">
        <f t="shared" ref="W59:X65" si="60">Z59+AC59+AF59</f>
        <v>0</v>
      </c>
      <c r="X59" s="118">
        <f t="shared" si="60"/>
        <v>0</v>
      </c>
      <c r="Y59" s="119" t="str">
        <f t="shared" si="3"/>
        <v>-</v>
      </c>
      <c r="Z59" s="118"/>
      <c r="AA59" s="118"/>
      <c r="AB59" s="119" t="str">
        <f t="shared" si="4"/>
        <v>-</v>
      </c>
      <c r="AC59" s="118"/>
      <c r="AD59" s="118"/>
      <c r="AE59" s="119" t="str">
        <f t="shared" si="5"/>
        <v>-</v>
      </c>
      <c r="AF59" s="118"/>
      <c r="AG59" s="118"/>
      <c r="AH59" s="119" t="str">
        <f t="shared" si="6"/>
        <v>-</v>
      </c>
      <c r="AI59" s="120">
        <v>1546600</v>
      </c>
      <c r="AJ59" s="118">
        <v>1407255</v>
      </c>
      <c r="AK59" s="119">
        <f t="shared" si="7"/>
        <v>0.90990236648131384</v>
      </c>
      <c r="AL59" s="118"/>
      <c r="AM59" s="118"/>
      <c r="AN59" s="119" t="str">
        <f t="shared" si="8"/>
        <v>-</v>
      </c>
      <c r="AO59" s="118">
        <f t="shared" ref="AO59:AP65" si="61">AR59+AU59+AX59+BA59+BG59+BJ59+BM59+BP59+BS59+BV59+BY59+CB59+CE59</f>
        <v>0</v>
      </c>
      <c r="AP59" s="118">
        <f t="shared" si="61"/>
        <v>0</v>
      </c>
      <c r="AQ59" s="119" t="str">
        <f t="shared" si="9"/>
        <v>-</v>
      </c>
      <c r="AR59" s="118"/>
      <c r="AS59" s="118"/>
      <c r="AT59" s="119" t="str">
        <f t="shared" si="10"/>
        <v>-</v>
      </c>
      <c r="AU59" s="118"/>
      <c r="AV59" s="118"/>
      <c r="AW59" s="119" t="str">
        <f t="shared" si="11"/>
        <v>-</v>
      </c>
      <c r="AX59" s="118"/>
      <c r="AY59" s="118"/>
      <c r="AZ59" s="119" t="str">
        <f t="shared" si="12"/>
        <v>-</v>
      </c>
      <c r="BA59" s="118"/>
      <c r="BB59" s="118"/>
      <c r="BC59" s="119" t="str">
        <f t="shared" si="13"/>
        <v>-</v>
      </c>
      <c r="BD59" s="118"/>
      <c r="BE59" s="118"/>
      <c r="BF59" s="119" t="str">
        <f t="shared" si="14"/>
        <v>-</v>
      </c>
      <c r="BG59" s="118"/>
      <c r="BH59" s="118"/>
      <c r="BI59" s="119" t="str">
        <f t="shared" si="15"/>
        <v>-</v>
      </c>
      <c r="BJ59" s="118"/>
      <c r="BK59" s="118"/>
      <c r="BL59" s="119" t="str">
        <f t="shared" si="16"/>
        <v>-</v>
      </c>
      <c r="BM59" s="118"/>
      <c r="BN59" s="118"/>
      <c r="BO59" s="119" t="str">
        <f t="shared" si="17"/>
        <v>-</v>
      </c>
      <c r="BP59" s="118"/>
      <c r="BQ59" s="118"/>
      <c r="BR59" s="119" t="str">
        <f t="shared" si="18"/>
        <v>-</v>
      </c>
      <c r="BS59" s="118"/>
      <c r="BT59" s="118"/>
      <c r="BU59" s="119" t="str">
        <f t="shared" si="19"/>
        <v>-</v>
      </c>
      <c r="BV59" s="118"/>
      <c r="BW59" s="118"/>
      <c r="BX59" s="119" t="str">
        <f t="shared" si="20"/>
        <v>-</v>
      </c>
      <c r="BY59" s="118"/>
      <c r="BZ59" s="118"/>
      <c r="CA59" s="119" t="str">
        <f t="shared" si="21"/>
        <v>-</v>
      </c>
      <c r="CB59" s="118"/>
      <c r="CC59" s="118"/>
      <c r="CD59" s="119" t="str">
        <f t="shared" si="22"/>
        <v>-</v>
      </c>
      <c r="CE59" s="118"/>
      <c r="CF59" s="118"/>
      <c r="CG59" s="119" t="str">
        <f t="shared" si="23"/>
        <v>-</v>
      </c>
      <c r="CH59" s="118"/>
      <c r="CI59" s="118"/>
      <c r="CJ59" s="121" t="str">
        <f t="shared" si="24"/>
        <v>-</v>
      </c>
      <c r="CK59" s="122" t="str">
        <f t="shared" si="25"/>
        <v>ok</v>
      </c>
      <c r="CL59" s="122"/>
    </row>
    <row r="60" spans="3:91" s="124" customFormat="1" ht="21" customHeight="1" x14ac:dyDescent="0.75">
      <c r="C60" s="96">
        <v>19</v>
      </c>
      <c r="D60" s="96" t="str">
        <f>IFERROR(INDEX([4]Account!$A:$A,MATCH(K60,[4]Account!$D:$D,0)),"")</f>
        <v/>
      </c>
      <c r="E60" s="96">
        <v>19</v>
      </c>
      <c r="F60" s="96">
        <v>98</v>
      </c>
      <c r="G60" s="96">
        <f>IFERROR(INDEX('[5]Sub Account'!$A:$A,MATCH(L60,'[5]Sub Account'!$D:$D,0)),"")</f>
        <v>488</v>
      </c>
      <c r="H60" s="96">
        <v>1</v>
      </c>
      <c r="I60" s="96">
        <v>1</v>
      </c>
      <c r="J60" s="228"/>
      <c r="K60" s="111"/>
      <c r="L60" s="112">
        <v>71002</v>
      </c>
      <c r="M60" s="113" t="s">
        <v>86</v>
      </c>
      <c r="N60" s="114">
        <f t="shared" si="57"/>
        <v>32800</v>
      </c>
      <c r="O60" s="114">
        <f t="shared" si="57"/>
        <v>23709</v>
      </c>
      <c r="P60" s="115">
        <f t="shared" si="0"/>
        <v>0.72283536585365848</v>
      </c>
      <c r="Q60" s="116">
        <f t="shared" si="58"/>
        <v>32800</v>
      </c>
      <c r="R60" s="116">
        <f t="shared" si="58"/>
        <v>23709</v>
      </c>
      <c r="S60" s="117">
        <f t="shared" si="1"/>
        <v>0.72283536585365848</v>
      </c>
      <c r="T60" s="118">
        <f t="shared" si="59"/>
        <v>32800</v>
      </c>
      <c r="U60" s="118">
        <f t="shared" si="59"/>
        <v>23709</v>
      </c>
      <c r="V60" s="119">
        <f t="shared" si="2"/>
        <v>0.72283536585365848</v>
      </c>
      <c r="W60" s="118">
        <f t="shared" si="60"/>
        <v>0</v>
      </c>
      <c r="X60" s="118">
        <f t="shared" si="60"/>
        <v>0</v>
      </c>
      <c r="Y60" s="119" t="str">
        <f t="shared" si="3"/>
        <v>-</v>
      </c>
      <c r="Z60" s="118"/>
      <c r="AA60" s="118"/>
      <c r="AB60" s="119" t="str">
        <f t="shared" si="4"/>
        <v>-</v>
      </c>
      <c r="AC60" s="118"/>
      <c r="AD60" s="118"/>
      <c r="AE60" s="119" t="str">
        <f t="shared" si="5"/>
        <v>-</v>
      </c>
      <c r="AF60" s="118"/>
      <c r="AG60" s="118"/>
      <c r="AH60" s="119" t="str">
        <f t="shared" si="6"/>
        <v>-</v>
      </c>
      <c r="AI60" s="120">
        <v>32800</v>
      </c>
      <c r="AJ60" s="118">
        <v>23709</v>
      </c>
      <c r="AK60" s="119">
        <f t="shared" si="7"/>
        <v>0.72283536585365848</v>
      </c>
      <c r="AL60" s="118"/>
      <c r="AM60" s="118"/>
      <c r="AN60" s="119" t="str">
        <f t="shared" si="8"/>
        <v>-</v>
      </c>
      <c r="AO60" s="118">
        <f t="shared" si="61"/>
        <v>0</v>
      </c>
      <c r="AP60" s="118">
        <f t="shared" si="61"/>
        <v>0</v>
      </c>
      <c r="AQ60" s="119" t="str">
        <f t="shared" si="9"/>
        <v>-</v>
      </c>
      <c r="AR60" s="118"/>
      <c r="AS60" s="118"/>
      <c r="AT60" s="119" t="str">
        <f t="shared" si="10"/>
        <v>-</v>
      </c>
      <c r="AU60" s="118"/>
      <c r="AV60" s="118"/>
      <c r="AW60" s="119" t="str">
        <f t="shared" si="11"/>
        <v>-</v>
      </c>
      <c r="AX60" s="118"/>
      <c r="AY60" s="118"/>
      <c r="AZ60" s="119" t="str">
        <f t="shared" si="12"/>
        <v>-</v>
      </c>
      <c r="BA60" s="118"/>
      <c r="BB60" s="118"/>
      <c r="BC60" s="119" t="str">
        <f t="shared" si="13"/>
        <v>-</v>
      </c>
      <c r="BD60" s="118"/>
      <c r="BE60" s="118"/>
      <c r="BF60" s="119" t="str">
        <f t="shared" si="14"/>
        <v>-</v>
      </c>
      <c r="BG60" s="118"/>
      <c r="BH60" s="118"/>
      <c r="BI60" s="119" t="str">
        <f t="shared" si="15"/>
        <v>-</v>
      </c>
      <c r="BJ60" s="118"/>
      <c r="BK60" s="118"/>
      <c r="BL60" s="119" t="str">
        <f t="shared" si="16"/>
        <v>-</v>
      </c>
      <c r="BM60" s="118"/>
      <c r="BN60" s="118"/>
      <c r="BO60" s="119" t="str">
        <f t="shared" si="17"/>
        <v>-</v>
      </c>
      <c r="BP60" s="118"/>
      <c r="BQ60" s="118"/>
      <c r="BR60" s="119" t="str">
        <f t="shared" si="18"/>
        <v>-</v>
      </c>
      <c r="BS60" s="118"/>
      <c r="BT60" s="118"/>
      <c r="BU60" s="119" t="str">
        <f t="shared" si="19"/>
        <v>-</v>
      </c>
      <c r="BV60" s="118"/>
      <c r="BW60" s="118"/>
      <c r="BX60" s="119" t="str">
        <f t="shared" si="20"/>
        <v>-</v>
      </c>
      <c r="BY60" s="118"/>
      <c r="BZ60" s="118"/>
      <c r="CA60" s="119" t="str">
        <f t="shared" si="21"/>
        <v>-</v>
      </c>
      <c r="CB60" s="118"/>
      <c r="CC60" s="118"/>
      <c r="CD60" s="119" t="str">
        <f t="shared" si="22"/>
        <v>-</v>
      </c>
      <c r="CE60" s="118"/>
      <c r="CF60" s="118"/>
      <c r="CG60" s="119" t="str">
        <f t="shared" si="23"/>
        <v>-</v>
      </c>
      <c r="CH60" s="118"/>
      <c r="CI60" s="118"/>
      <c r="CJ60" s="121" t="str">
        <f t="shared" si="24"/>
        <v>-</v>
      </c>
      <c r="CK60" s="122" t="str">
        <f t="shared" si="25"/>
        <v>ok</v>
      </c>
      <c r="CL60" s="122"/>
    </row>
    <row r="61" spans="3:91" s="124" customFormat="1" ht="21" customHeight="1" x14ac:dyDescent="0.75">
      <c r="C61" s="96">
        <v>19</v>
      </c>
      <c r="D61" s="96" t="str">
        <f>IFERROR(INDEX([4]Account!$A:$A,MATCH(K61,[4]Account!$D:$D,0)),"")</f>
        <v/>
      </c>
      <c r="E61" s="96">
        <v>19</v>
      </c>
      <c r="F61" s="96">
        <v>98</v>
      </c>
      <c r="G61" s="96">
        <f>IFERROR(INDEX('[5]Sub Account'!$A:$A,MATCH(L61,'[5]Sub Account'!$D:$D,0)),"")</f>
        <v>489</v>
      </c>
      <c r="H61" s="96">
        <v>1</v>
      </c>
      <c r="I61" s="96">
        <v>1</v>
      </c>
      <c r="J61" s="228"/>
      <c r="K61" s="111"/>
      <c r="L61" s="112">
        <v>71003</v>
      </c>
      <c r="M61" s="113" t="s">
        <v>87</v>
      </c>
      <c r="N61" s="114">
        <f t="shared" si="57"/>
        <v>331000</v>
      </c>
      <c r="O61" s="114">
        <f t="shared" si="57"/>
        <v>264334</v>
      </c>
      <c r="P61" s="115">
        <f t="shared" si="0"/>
        <v>0.79859214501510578</v>
      </c>
      <c r="Q61" s="116">
        <f t="shared" si="58"/>
        <v>331000</v>
      </c>
      <c r="R61" s="116">
        <f t="shared" si="58"/>
        <v>264334</v>
      </c>
      <c r="S61" s="117">
        <f t="shared" si="1"/>
        <v>0.79859214501510578</v>
      </c>
      <c r="T61" s="118">
        <f t="shared" si="59"/>
        <v>331000</v>
      </c>
      <c r="U61" s="118">
        <f t="shared" si="59"/>
        <v>264334</v>
      </c>
      <c r="V61" s="119">
        <f t="shared" si="2"/>
        <v>0.79859214501510578</v>
      </c>
      <c r="W61" s="118">
        <f t="shared" si="60"/>
        <v>0</v>
      </c>
      <c r="X61" s="118">
        <f t="shared" si="60"/>
        <v>0</v>
      </c>
      <c r="Y61" s="119" t="str">
        <f t="shared" si="3"/>
        <v>-</v>
      </c>
      <c r="Z61" s="118"/>
      <c r="AA61" s="118"/>
      <c r="AB61" s="119" t="str">
        <f t="shared" si="4"/>
        <v>-</v>
      </c>
      <c r="AC61" s="118"/>
      <c r="AD61" s="118"/>
      <c r="AE61" s="119" t="str">
        <f t="shared" si="5"/>
        <v>-</v>
      </c>
      <c r="AF61" s="118"/>
      <c r="AG61" s="118"/>
      <c r="AH61" s="119" t="str">
        <f t="shared" si="6"/>
        <v>-</v>
      </c>
      <c r="AI61" s="120">
        <v>331000</v>
      </c>
      <c r="AJ61" s="118">
        <v>264334</v>
      </c>
      <c r="AK61" s="119">
        <f t="shared" si="7"/>
        <v>0.79859214501510578</v>
      </c>
      <c r="AL61" s="118"/>
      <c r="AM61" s="118"/>
      <c r="AN61" s="119" t="str">
        <f t="shared" si="8"/>
        <v>-</v>
      </c>
      <c r="AO61" s="118">
        <f t="shared" si="61"/>
        <v>0</v>
      </c>
      <c r="AP61" s="118">
        <f t="shared" si="61"/>
        <v>0</v>
      </c>
      <c r="AQ61" s="119" t="str">
        <f t="shared" si="9"/>
        <v>-</v>
      </c>
      <c r="AR61" s="118"/>
      <c r="AS61" s="118"/>
      <c r="AT61" s="119" t="str">
        <f t="shared" si="10"/>
        <v>-</v>
      </c>
      <c r="AU61" s="118"/>
      <c r="AV61" s="118"/>
      <c r="AW61" s="119" t="str">
        <f t="shared" si="11"/>
        <v>-</v>
      </c>
      <c r="AX61" s="118"/>
      <c r="AY61" s="118"/>
      <c r="AZ61" s="119" t="str">
        <f t="shared" si="12"/>
        <v>-</v>
      </c>
      <c r="BA61" s="118"/>
      <c r="BB61" s="118"/>
      <c r="BC61" s="119" t="str">
        <f t="shared" si="13"/>
        <v>-</v>
      </c>
      <c r="BD61" s="118"/>
      <c r="BE61" s="118"/>
      <c r="BF61" s="119" t="str">
        <f t="shared" si="14"/>
        <v>-</v>
      </c>
      <c r="BG61" s="118"/>
      <c r="BH61" s="118"/>
      <c r="BI61" s="119" t="str">
        <f t="shared" si="15"/>
        <v>-</v>
      </c>
      <c r="BJ61" s="118"/>
      <c r="BK61" s="118"/>
      <c r="BL61" s="119" t="str">
        <f t="shared" si="16"/>
        <v>-</v>
      </c>
      <c r="BM61" s="118"/>
      <c r="BN61" s="118"/>
      <c r="BO61" s="119" t="str">
        <f t="shared" si="17"/>
        <v>-</v>
      </c>
      <c r="BP61" s="118"/>
      <c r="BQ61" s="118"/>
      <c r="BR61" s="119" t="str">
        <f t="shared" si="18"/>
        <v>-</v>
      </c>
      <c r="BS61" s="118"/>
      <c r="BT61" s="118"/>
      <c r="BU61" s="119" t="str">
        <f t="shared" si="19"/>
        <v>-</v>
      </c>
      <c r="BV61" s="118"/>
      <c r="BW61" s="118"/>
      <c r="BX61" s="119" t="str">
        <f t="shared" si="20"/>
        <v>-</v>
      </c>
      <c r="BY61" s="118"/>
      <c r="BZ61" s="118"/>
      <c r="CA61" s="119" t="str">
        <f t="shared" si="21"/>
        <v>-</v>
      </c>
      <c r="CB61" s="118"/>
      <c r="CC61" s="118"/>
      <c r="CD61" s="119" t="str">
        <f t="shared" si="22"/>
        <v>-</v>
      </c>
      <c r="CE61" s="118"/>
      <c r="CF61" s="118"/>
      <c r="CG61" s="119" t="str">
        <f t="shared" si="23"/>
        <v>-</v>
      </c>
      <c r="CH61" s="118"/>
      <c r="CI61" s="118"/>
      <c r="CJ61" s="121" t="str">
        <f t="shared" si="24"/>
        <v>-</v>
      </c>
      <c r="CK61" s="122" t="str">
        <f t="shared" si="25"/>
        <v>ok</v>
      </c>
      <c r="CL61" s="122"/>
    </row>
    <row r="62" spans="3:91" s="124" customFormat="1" ht="21" customHeight="1" x14ac:dyDescent="0.75">
      <c r="C62" s="96">
        <v>19</v>
      </c>
      <c r="D62" s="96" t="str">
        <f>IFERROR(INDEX([4]Account!$A:$A,MATCH(K62,[4]Account!$D:$D,0)),"")</f>
        <v/>
      </c>
      <c r="E62" s="96">
        <v>19</v>
      </c>
      <c r="F62" s="96">
        <v>98</v>
      </c>
      <c r="G62" s="96">
        <f>IFERROR(INDEX('[5]Sub Account'!$A:$A,MATCH(L62,'[5]Sub Account'!$D:$D,0)),"")</f>
        <v>490</v>
      </c>
      <c r="H62" s="96">
        <v>1</v>
      </c>
      <c r="I62" s="96">
        <v>1</v>
      </c>
      <c r="J62" s="228"/>
      <c r="K62" s="111"/>
      <c r="L62" s="112">
        <v>71004</v>
      </c>
      <c r="M62" s="113" t="s">
        <v>88</v>
      </c>
      <c r="N62" s="114">
        <f t="shared" si="57"/>
        <v>361000</v>
      </c>
      <c r="O62" s="114">
        <f t="shared" si="57"/>
        <v>403631</v>
      </c>
      <c r="P62" s="115">
        <f t="shared" si="0"/>
        <v>1.1180914127423822</v>
      </c>
      <c r="Q62" s="116">
        <f t="shared" si="58"/>
        <v>361000</v>
      </c>
      <c r="R62" s="116">
        <f t="shared" si="58"/>
        <v>403631</v>
      </c>
      <c r="S62" s="117">
        <f t="shared" si="1"/>
        <v>1.1180914127423822</v>
      </c>
      <c r="T62" s="118">
        <f t="shared" si="59"/>
        <v>361000</v>
      </c>
      <c r="U62" s="118">
        <f t="shared" si="59"/>
        <v>403631</v>
      </c>
      <c r="V62" s="119">
        <f t="shared" si="2"/>
        <v>1.1180914127423822</v>
      </c>
      <c r="W62" s="118">
        <f t="shared" si="60"/>
        <v>0</v>
      </c>
      <c r="X62" s="118">
        <f t="shared" si="60"/>
        <v>0</v>
      </c>
      <c r="Y62" s="119" t="str">
        <f t="shared" si="3"/>
        <v>-</v>
      </c>
      <c r="Z62" s="118"/>
      <c r="AA62" s="118"/>
      <c r="AB62" s="119" t="str">
        <f t="shared" si="4"/>
        <v>-</v>
      </c>
      <c r="AC62" s="118"/>
      <c r="AD62" s="118"/>
      <c r="AE62" s="119" t="str">
        <f t="shared" si="5"/>
        <v>-</v>
      </c>
      <c r="AF62" s="118"/>
      <c r="AG62" s="118"/>
      <c r="AH62" s="119" t="str">
        <f t="shared" si="6"/>
        <v>-</v>
      </c>
      <c r="AI62" s="120">
        <v>361000</v>
      </c>
      <c r="AJ62" s="118">
        <v>403631</v>
      </c>
      <c r="AK62" s="119">
        <f t="shared" si="7"/>
        <v>1.1180914127423822</v>
      </c>
      <c r="AL62" s="118"/>
      <c r="AM62" s="118"/>
      <c r="AN62" s="119" t="str">
        <f t="shared" si="8"/>
        <v>-</v>
      </c>
      <c r="AO62" s="118">
        <f t="shared" si="61"/>
        <v>0</v>
      </c>
      <c r="AP62" s="118">
        <f t="shared" si="61"/>
        <v>0</v>
      </c>
      <c r="AQ62" s="119" t="str">
        <f t="shared" si="9"/>
        <v>-</v>
      </c>
      <c r="AR62" s="118"/>
      <c r="AS62" s="118"/>
      <c r="AT62" s="119" t="str">
        <f t="shared" si="10"/>
        <v>-</v>
      </c>
      <c r="AU62" s="118"/>
      <c r="AV62" s="118"/>
      <c r="AW62" s="119" t="str">
        <f t="shared" si="11"/>
        <v>-</v>
      </c>
      <c r="AX62" s="118"/>
      <c r="AY62" s="118"/>
      <c r="AZ62" s="119" t="str">
        <f t="shared" si="12"/>
        <v>-</v>
      </c>
      <c r="BA62" s="118"/>
      <c r="BB62" s="118"/>
      <c r="BC62" s="119" t="str">
        <f t="shared" si="13"/>
        <v>-</v>
      </c>
      <c r="BD62" s="118"/>
      <c r="BE62" s="118"/>
      <c r="BF62" s="119" t="str">
        <f t="shared" si="14"/>
        <v>-</v>
      </c>
      <c r="BG62" s="118"/>
      <c r="BH62" s="118"/>
      <c r="BI62" s="119" t="str">
        <f t="shared" si="15"/>
        <v>-</v>
      </c>
      <c r="BJ62" s="118"/>
      <c r="BK62" s="118"/>
      <c r="BL62" s="119" t="str">
        <f t="shared" si="16"/>
        <v>-</v>
      </c>
      <c r="BM62" s="118"/>
      <c r="BN62" s="118"/>
      <c r="BO62" s="119" t="str">
        <f t="shared" si="17"/>
        <v>-</v>
      </c>
      <c r="BP62" s="118"/>
      <c r="BQ62" s="118"/>
      <c r="BR62" s="119" t="str">
        <f t="shared" si="18"/>
        <v>-</v>
      </c>
      <c r="BS62" s="118"/>
      <c r="BT62" s="118"/>
      <c r="BU62" s="119" t="str">
        <f t="shared" si="19"/>
        <v>-</v>
      </c>
      <c r="BV62" s="118"/>
      <c r="BW62" s="118"/>
      <c r="BX62" s="119" t="str">
        <f t="shared" si="20"/>
        <v>-</v>
      </c>
      <c r="BY62" s="118"/>
      <c r="BZ62" s="118"/>
      <c r="CA62" s="119" t="str">
        <f t="shared" si="21"/>
        <v>-</v>
      </c>
      <c r="CB62" s="118"/>
      <c r="CC62" s="118"/>
      <c r="CD62" s="119" t="str">
        <f t="shared" si="22"/>
        <v>-</v>
      </c>
      <c r="CE62" s="118"/>
      <c r="CF62" s="118"/>
      <c r="CG62" s="119" t="str">
        <f t="shared" si="23"/>
        <v>-</v>
      </c>
      <c r="CH62" s="118"/>
      <c r="CI62" s="118"/>
      <c r="CJ62" s="121" t="str">
        <f t="shared" si="24"/>
        <v>-</v>
      </c>
      <c r="CK62" s="122" t="str">
        <f t="shared" si="25"/>
        <v>ok</v>
      </c>
      <c r="CL62" s="122"/>
    </row>
    <row r="63" spans="3:91" s="124" customFormat="1" ht="21" customHeight="1" x14ac:dyDescent="0.75">
      <c r="C63" s="96">
        <v>19</v>
      </c>
      <c r="D63" s="96" t="str">
        <f>IFERROR(INDEX([4]Account!$A:$A,MATCH(K63,[4]Account!$D:$D,0)),"")</f>
        <v/>
      </c>
      <c r="E63" s="96">
        <v>19</v>
      </c>
      <c r="F63" s="96">
        <v>98</v>
      </c>
      <c r="G63" s="96">
        <f>IFERROR(INDEX('[5]Sub Account'!$A:$A,MATCH(L63,'[5]Sub Account'!$D:$D,0)),"")</f>
        <v>491</v>
      </c>
      <c r="H63" s="96">
        <v>1</v>
      </c>
      <c r="I63" s="96">
        <v>1</v>
      </c>
      <c r="J63" s="228"/>
      <c r="K63" s="111"/>
      <c r="L63" s="112">
        <v>71005</v>
      </c>
      <c r="M63" s="113" t="s">
        <v>89</v>
      </c>
      <c r="N63" s="114">
        <f t="shared" si="57"/>
        <v>300</v>
      </c>
      <c r="O63" s="114">
        <f t="shared" si="57"/>
        <v>82</v>
      </c>
      <c r="P63" s="115">
        <f t="shared" si="0"/>
        <v>0.27333333333333332</v>
      </c>
      <c r="Q63" s="116">
        <f t="shared" si="58"/>
        <v>300</v>
      </c>
      <c r="R63" s="116">
        <f t="shared" si="58"/>
        <v>82</v>
      </c>
      <c r="S63" s="117">
        <f t="shared" si="1"/>
        <v>0.27333333333333332</v>
      </c>
      <c r="T63" s="118">
        <f t="shared" si="59"/>
        <v>300</v>
      </c>
      <c r="U63" s="118">
        <f t="shared" si="59"/>
        <v>82</v>
      </c>
      <c r="V63" s="119">
        <f t="shared" si="2"/>
        <v>0.27333333333333332</v>
      </c>
      <c r="W63" s="118">
        <f t="shared" si="60"/>
        <v>0</v>
      </c>
      <c r="X63" s="118">
        <f t="shared" si="60"/>
        <v>0</v>
      </c>
      <c r="Y63" s="119" t="str">
        <f t="shared" si="3"/>
        <v>-</v>
      </c>
      <c r="Z63" s="118"/>
      <c r="AA63" s="118"/>
      <c r="AB63" s="119" t="str">
        <f t="shared" si="4"/>
        <v>-</v>
      </c>
      <c r="AC63" s="118"/>
      <c r="AD63" s="118"/>
      <c r="AE63" s="119" t="str">
        <f t="shared" si="5"/>
        <v>-</v>
      </c>
      <c r="AF63" s="118"/>
      <c r="AG63" s="118"/>
      <c r="AH63" s="119" t="str">
        <f t="shared" si="6"/>
        <v>-</v>
      </c>
      <c r="AI63" s="120">
        <v>300</v>
      </c>
      <c r="AJ63" s="118">
        <v>82</v>
      </c>
      <c r="AK63" s="119">
        <f t="shared" si="7"/>
        <v>0.27333333333333332</v>
      </c>
      <c r="AL63" s="118"/>
      <c r="AM63" s="118"/>
      <c r="AN63" s="119" t="str">
        <f t="shared" si="8"/>
        <v>-</v>
      </c>
      <c r="AO63" s="118">
        <f t="shared" si="61"/>
        <v>0</v>
      </c>
      <c r="AP63" s="118">
        <f t="shared" si="61"/>
        <v>0</v>
      </c>
      <c r="AQ63" s="119" t="str">
        <f t="shared" si="9"/>
        <v>-</v>
      </c>
      <c r="AR63" s="118"/>
      <c r="AS63" s="118"/>
      <c r="AT63" s="119" t="str">
        <f t="shared" si="10"/>
        <v>-</v>
      </c>
      <c r="AU63" s="118"/>
      <c r="AV63" s="118"/>
      <c r="AW63" s="119" t="str">
        <f t="shared" si="11"/>
        <v>-</v>
      </c>
      <c r="AX63" s="118"/>
      <c r="AY63" s="118"/>
      <c r="AZ63" s="119" t="str">
        <f t="shared" si="12"/>
        <v>-</v>
      </c>
      <c r="BA63" s="118"/>
      <c r="BB63" s="118"/>
      <c r="BC63" s="119" t="str">
        <f t="shared" si="13"/>
        <v>-</v>
      </c>
      <c r="BD63" s="118"/>
      <c r="BE63" s="118"/>
      <c r="BF63" s="119" t="str">
        <f t="shared" si="14"/>
        <v>-</v>
      </c>
      <c r="BG63" s="118"/>
      <c r="BH63" s="118"/>
      <c r="BI63" s="119" t="str">
        <f t="shared" si="15"/>
        <v>-</v>
      </c>
      <c r="BJ63" s="118"/>
      <c r="BK63" s="118"/>
      <c r="BL63" s="119" t="str">
        <f t="shared" si="16"/>
        <v>-</v>
      </c>
      <c r="BM63" s="118"/>
      <c r="BN63" s="118"/>
      <c r="BO63" s="119" t="str">
        <f t="shared" si="17"/>
        <v>-</v>
      </c>
      <c r="BP63" s="118"/>
      <c r="BQ63" s="118"/>
      <c r="BR63" s="119" t="str">
        <f t="shared" si="18"/>
        <v>-</v>
      </c>
      <c r="BS63" s="118"/>
      <c r="BT63" s="118"/>
      <c r="BU63" s="119" t="str">
        <f t="shared" si="19"/>
        <v>-</v>
      </c>
      <c r="BV63" s="118"/>
      <c r="BW63" s="118"/>
      <c r="BX63" s="119" t="str">
        <f t="shared" si="20"/>
        <v>-</v>
      </c>
      <c r="BY63" s="118"/>
      <c r="BZ63" s="118"/>
      <c r="CA63" s="119" t="str">
        <f t="shared" si="21"/>
        <v>-</v>
      </c>
      <c r="CB63" s="118"/>
      <c r="CC63" s="118"/>
      <c r="CD63" s="119" t="str">
        <f t="shared" si="22"/>
        <v>-</v>
      </c>
      <c r="CE63" s="118"/>
      <c r="CF63" s="118"/>
      <c r="CG63" s="119" t="str">
        <f t="shared" si="23"/>
        <v>-</v>
      </c>
      <c r="CH63" s="118"/>
      <c r="CI63" s="118"/>
      <c r="CJ63" s="121" t="str">
        <f t="shared" si="24"/>
        <v>-</v>
      </c>
      <c r="CK63" s="122" t="str">
        <f t="shared" si="25"/>
        <v>ok</v>
      </c>
      <c r="CL63" s="122"/>
    </row>
    <row r="64" spans="3:91" s="124" customFormat="1" ht="21" customHeight="1" x14ac:dyDescent="0.75">
      <c r="C64" s="96">
        <v>19</v>
      </c>
      <c r="D64" s="96" t="str">
        <f>IFERROR(INDEX([4]Account!$A:$A,MATCH(K64,[4]Account!$D:$D,0)),"")</f>
        <v/>
      </c>
      <c r="E64" s="96">
        <v>19</v>
      </c>
      <c r="F64" s="96">
        <v>98</v>
      </c>
      <c r="G64" s="96">
        <f>IFERROR(INDEX('[5]Sub Account'!$A:$A,MATCH(L64,'[5]Sub Account'!$D:$D,0)),"")</f>
        <v>492</v>
      </c>
      <c r="H64" s="96">
        <v>1</v>
      </c>
      <c r="I64" s="96">
        <v>1</v>
      </c>
      <c r="J64" s="228"/>
      <c r="K64" s="111"/>
      <c r="L64" s="112">
        <v>71006</v>
      </c>
      <c r="M64" s="113" t="s">
        <v>90</v>
      </c>
      <c r="N64" s="114">
        <f t="shared" si="57"/>
        <v>12000</v>
      </c>
      <c r="O64" s="114">
        <f t="shared" si="57"/>
        <v>19661</v>
      </c>
      <c r="P64" s="115">
        <f t="shared" si="0"/>
        <v>1.6384166666666666</v>
      </c>
      <c r="Q64" s="116">
        <f t="shared" si="58"/>
        <v>12000</v>
      </c>
      <c r="R64" s="116">
        <f t="shared" si="58"/>
        <v>19661</v>
      </c>
      <c r="S64" s="117">
        <f t="shared" si="1"/>
        <v>1.6384166666666666</v>
      </c>
      <c r="T64" s="118">
        <f t="shared" si="59"/>
        <v>12000</v>
      </c>
      <c r="U64" s="118">
        <f t="shared" si="59"/>
        <v>19661</v>
      </c>
      <c r="V64" s="119">
        <f t="shared" si="2"/>
        <v>1.6384166666666666</v>
      </c>
      <c r="W64" s="118">
        <f t="shared" si="60"/>
        <v>0</v>
      </c>
      <c r="X64" s="118">
        <f t="shared" si="60"/>
        <v>0</v>
      </c>
      <c r="Y64" s="119" t="str">
        <f t="shared" si="3"/>
        <v>-</v>
      </c>
      <c r="Z64" s="118"/>
      <c r="AA64" s="118"/>
      <c r="AB64" s="119" t="str">
        <f t="shared" si="4"/>
        <v>-</v>
      </c>
      <c r="AC64" s="118"/>
      <c r="AD64" s="118"/>
      <c r="AE64" s="119" t="str">
        <f t="shared" si="5"/>
        <v>-</v>
      </c>
      <c r="AF64" s="118"/>
      <c r="AG64" s="118"/>
      <c r="AH64" s="119" t="str">
        <f t="shared" si="6"/>
        <v>-</v>
      </c>
      <c r="AI64" s="120">
        <v>12000</v>
      </c>
      <c r="AJ64" s="118">
        <v>19661</v>
      </c>
      <c r="AK64" s="119">
        <f t="shared" si="7"/>
        <v>1.6384166666666666</v>
      </c>
      <c r="AL64" s="118"/>
      <c r="AM64" s="118"/>
      <c r="AN64" s="119" t="str">
        <f t="shared" si="8"/>
        <v>-</v>
      </c>
      <c r="AO64" s="118">
        <f t="shared" si="61"/>
        <v>0</v>
      </c>
      <c r="AP64" s="118">
        <f t="shared" si="61"/>
        <v>0</v>
      </c>
      <c r="AQ64" s="119" t="str">
        <f t="shared" si="9"/>
        <v>-</v>
      </c>
      <c r="AR64" s="118"/>
      <c r="AS64" s="118"/>
      <c r="AT64" s="119" t="str">
        <f t="shared" si="10"/>
        <v>-</v>
      </c>
      <c r="AU64" s="118"/>
      <c r="AV64" s="118"/>
      <c r="AW64" s="119" t="str">
        <f t="shared" si="11"/>
        <v>-</v>
      </c>
      <c r="AX64" s="118"/>
      <c r="AY64" s="118"/>
      <c r="AZ64" s="119" t="str">
        <f t="shared" si="12"/>
        <v>-</v>
      </c>
      <c r="BA64" s="118"/>
      <c r="BB64" s="118"/>
      <c r="BC64" s="119" t="str">
        <f t="shared" si="13"/>
        <v>-</v>
      </c>
      <c r="BD64" s="118"/>
      <c r="BE64" s="118"/>
      <c r="BF64" s="119" t="str">
        <f t="shared" si="14"/>
        <v>-</v>
      </c>
      <c r="BG64" s="118"/>
      <c r="BH64" s="118"/>
      <c r="BI64" s="119" t="str">
        <f t="shared" si="15"/>
        <v>-</v>
      </c>
      <c r="BJ64" s="118"/>
      <c r="BK64" s="118"/>
      <c r="BL64" s="119" t="str">
        <f t="shared" si="16"/>
        <v>-</v>
      </c>
      <c r="BM64" s="118"/>
      <c r="BN64" s="118"/>
      <c r="BO64" s="119" t="str">
        <f t="shared" si="17"/>
        <v>-</v>
      </c>
      <c r="BP64" s="118"/>
      <c r="BQ64" s="118"/>
      <c r="BR64" s="119" t="str">
        <f t="shared" si="18"/>
        <v>-</v>
      </c>
      <c r="BS64" s="118"/>
      <c r="BT64" s="118"/>
      <c r="BU64" s="119" t="str">
        <f t="shared" si="19"/>
        <v>-</v>
      </c>
      <c r="BV64" s="118"/>
      <c r="BW64" s="118"/>
      <c r="BX64" s="119" t="str">
        <f t="shared" si="20"/>
        <v>-</v>
      </c>
      <c r="BY64" s="118"/>
      <c r="BZ64" s="118"/>
      <c r="CA64" s="119" t="str">
        <f t="shared" si="21"/>
        <v>-</v>
      </c>
      <c r="CB64" s="118"/>
      <c r="CC64" s="118"/>
      <c r="CD64" s="119" t="str">
        <f t="shared" si="22"/>
        <v>-</v>
      </c>
      <c r="CE64" s="118"/>
      <c r="CF64" s="118"/>
      <c r="CG64" s="119" t="str">
        <f t="shared" si="23"/>
        <v>-</v>
      </c>
      <c r="CH64" s="118"/>
      <c r="CI64" s="118"/>
      <c r="CJ64" s="121" t="str">
        <f t="shared" si="24"/>
        <v>-</v>
      </c>
      <c r="CK64" s="122" t="str">
        <f t="shared" si="25"/>
        <v>ok</v>
      </c>
      <c r="CL64" s="122"/>
    </row>
    <row r="65" spans="3:91" s="124" customFormat="1" ht="21" customHeight="1" x14ac:dyDescent="0.75">
      <c r="C65" s="96">
        <v>19</v>
      </c>
      <c r="D65" s="96" t="str">
        <f>IFERROR(INDEX([4]Account!$A:$A,MATCH(K65,[4]Account!$D:$D,0)),"")</f>
        <v/>
      </c>
      <c r="E65" s="96">
        <v>19</v>
      </c>
      <c r="F65" s="96">
        <v>98</v>
      </c>
      <c r="G65" s="96">
        <f>IFERROR(INDEX('[5]Sub Account'!$A:$A,MATCH(L65,'[5]Sub Account'!$D:$D,0)),"")</f>
        <v>493</v>
      </c>
      <c r="H65" s="96">
        <v>1</v>
      </c>
      <c r="I65" s="96">
        <v>1</v>
      </c>
      <c r="J65" s="228"/>
      <c r="K65" s="111"/>
      <c r="L65" s="112">
        <v>71007</v>
      </c>
      <c r="M65" s="113" t="s">
        <v>91</v>
      </c>
      <c r="N65" s="114">
        <f t="shared" si="57"/>
        <v>0</v>
      </c>
      <c r="O65" s="114">
        <f t="shared" si="57"/>
        <v>0</v>
      </c>
      <c r="P65" s="115" t="str">
        <f t="shared" si="0"/>
        <v>-</v>
      </c>
      <c r="Q65" s="116">
        <f t="shared" si="58"/>
        <v>0</v>
      </c>
      <c r="R65" s="116">
        <f t="shared" si="58"/>
        <v>0</v>
      </c>
      <c r="S65" s="117" t="str">
        <f t="shared" si="1"/>
        <v>-</v>
      </c>
      <c r="T65" s="118">
        <f t="shared" si="59"/>
        <v>0</v>
      </c>
      <c r="U65" s="118">
        <f t="shared" si="59"/>
        <v>0</v>
      </c>
      <c r="V65" s="119" t="str">
        <f t="shared" si="2"/>
        <v>-</v>
      </c>
      <c r="W65" s="118">
        <f t="shared" si="60"/>
        <v>0</v>
      </c>
      <c r="X65" s="118">
        <f t="shared" si="60"/>
        <v>0</v>
      </c>
      <c r="Y65" s="119" t="str">
        <f t="shared" si="3"/>
        <v>-</v>
      </c>
      <c r="Z65" s="118"/>
      <c r="AA65" s="118"/>
      <c r="AB65" s="119" t="str">
        <f t="shared" si="4"/>
        <v>-</v>
      </c>
      <c r="AC65" s="118"/>
      <c r="AD65" s="118"/>
      <c r="AE65" s="119" t="str">
        <f t="shared" si="5"/>
        <v>-</v>
      </c>
      <c r="AF65" s="118"/>
      <c r="AG65" s="118"/>
      <c r="AH65" s="119" t="str">
        <f t="shared" si="6"/>
        <v>-</v>
      </c>
      <c r="AI65" s="120">
        <v>0</v>
      </c>
      <c r="AJ65" s="118"/>
      <c r="AK65" s="119" t="str">
        <f t="shared" si="7"/>
        <v>-</v>
      </c>
      <c r="AL65" s="118"/>
      <c r="AM65" s="118"/>
      <c r="AN65" s="119" t="str">
        <f t="shared" si="8"/>
        <v>-</v>
      </c>
      <c r="AO65" s="118">
        <f t="shared" si="61"/>
        <v>0</v>
      </c>
      <c r="AP65" s="118">
        <f t="shared" si="61"/>
        <v>0</v>
      </c>
      <c r="AQ65" s="119" t="str">
        <f t="shared" si="9"/>
        <v>-</v>
      </c>
      <c r="AR65" s="118"/>
      <c r="AS65" s="118"/>
      <c r="AT65" s="119" t="str">
        <f t="shared" si="10"/>
        <v>-</v>
      </c>
      <c r="AU65" s="118"/>
      <c r="AV65" s="118"/>
      <c r="AW65" s="119" t="str">
        <f t="shared" si="11"/>
        <v>-</v>
      </c>
      <c r="AX65" s="118"/>
      <c r="AY65" s="118"/>
      <c r="AZ65" s="119" t="str">
        <f t="shared" si="12"/>
        <v>-</v>
      </c>
      <c r="BA65" s="118"/>
      <c r="BB65" s="118"/>
      <c r="BC65" s="119" t="str">
        <f t="shared" si="13"/>
        <v>-</v>
      </c>
      <c r="BD65" s="118"/>
      <c r="BE65" s="118"/>
      <c r="BF65" s="119" t="str">
        <f t="shared" si="14"/>
        <v>-</v>
      </c>
      <c r="BG65" s="118"/>
      <c r="BH65" s="118"/>
      <c r="BI65" s="119" t="str">
        <f t="shared" si="15"/>
        <v>-</v>
      </c>
      <c r="BJ65" s="118"/>
      <c r="BK65" s="118"/>
      <c r="BL65" s="119" t="str">
        <f t="shared" si="16"/>
        <v>-</v>
      </c>
      <c r="BM65" s="118"/>
      <c r="BN65" s="118"/>
      <c r="BO65" s="119" t="str">
        <f t="shared" si="17"/>
        <v>-</v>
      </c>
      <c r="BP65" s="118"/>
      <c r="BQ65" s="118"/>
      <c r="BR65" s="119" t="str">
        <f t="shared" si="18"/>
        <v>-</v>
      </c>
      <c r="BS65" s="118"/>
      <c r="BT65" s="118"/>
      <c r="BU65" s="119" t="str">
        <f t="shared" si="19"/>
        <v>-</v>
      </c>
      <c r="BV65" s="118"/>
      <c r="BW65" s="118"/>
      <c r="BX65" s="119" t="str">
        <f t="shared" si="20"/>
        <v>-</v>
      </c>
      <c r="BY65" s="118"/>
      <c r="BZ65" s="118"/>
      <c r="CA65" s="119" t="str">
        <f t="shared" si="21"/>
        <v>-</v>
      </c>
      <c r="CB65" s="118"/>
      <c r="CC65" s="118"/>
      <c r="CD65" s="119" t="str">
        <f t="shared" si="22"/>
        <v>-</v>
      </c>
      <c r="CE65" s="118"/>
      <c r="CF65" s="118"/>
      <c r="CG65" s="119" t="str">
        <f t="shared" si="23"/>
        <v>-</v>
      </c>
      <c r="CH65" s="118"/>
      <c r="CI65" s="118"/>
      <c r="CJ65" s="121" t="str">
        <f t="shared" si="24"/>
        <v>-</v>
      </c>
      <c r="CK65" s="122" t="str">
        <f t="shared" si="25"/>
        <v>-</v>
      </c>
      <c r="CL65" s="122"/>
    </row>
    <row r="66" spans="3:91" s="125" customFormat="1" ht="21" customHeight="1" x14ac:dyDescent="0.75">
      <c r="C66" s="96">
        <v>19</v>
      </c>
      <c r="D66" s="96">
        <f>IFERROR(INDEX([4]Account!$A:$A,MATCH(K66,[4]Account!$D:$D,0)),"")</f>
        <v>99</v>
      </c>
      <c r="E66" s="96">
        <v>19</v>
      </c>
      <c r="F66" s="96">
        <f>IFERROR(INDEX([4]Account!$A:$A,MATCH(K66,[4]Account!$D:$D,0)),"")</f>
        <v>99</v>
      </c>
      <c r="G66" s="96" t="str">
        <f>IFERROR(INDEX('[5]Sub Account'!$A:$A,MATCH(L66,'[5]Sub Account'!$D:$D,0)),"")</f>
        <v/>
      </c>
      <c r="H66" s="96">
        <v>1</v>
      </c>
      <c r="I66" s="96">
        <v>1</v>
      </c>
      <c r="J66" s="227"/>
      <c r="K66" s="237">
        <v>7101</v>
      </c>
      <c r="L66" s="98"/>
      <c r="M66" s="99" t="s">
        <v>92</v>
      </c>
      <c r="N66" s="100">
        <f>SUM(N67:N71)</f>
        <v>11700</v>
      </c>
      <c r="O66" s="100">
        <f>SUM(O67:O71)</f>
        <v>43699</v>
      </c>
      <c r="P66" s="101">
        <f t="shared" si="0"/>
        <v>3.7349572649572651</v>
      </c>
      <c r="Q66" s="102">
        <f>SUM(Q67:Q71)</f>
        <v>11700</v>
      </c>
      <c r="R66" s="102">
        <f>SUM(R67:R71)</f>
        <v>43699</v>
      </c>
      <c r="S66" s="103">
        <f t="shared" si="1"/>
        <v>3.7349572649572651</v>
      </c>
      <c r="T66" s="104">
        <f>SUM(T67:T71)</f>
        <v>11700</v>
      </c>
      <c r="U66" s="104">
        <f>SUM(U67:U71)</f>
        <v>43699</v>
      </c>
      <c r="V66" s="105">
        <f t="shared" si="2"/>
        <v>3.7349572649572651</v>
      </c>
      <c r="W66" s="104">
        <f>SUM(W67:W71)</f>
        <v>0</v>
      </c>
      <c r="X66" s="104">
        <f>SUM(X67:X71)</f>
        <v>0</v>
      </c>
      <c r="Y66" s="105" t="str">
        <f t="shared" si="3"/>
        <v>-</v>
      </c>
      <c r="Z66" s="104">
        <f>SUM(Z67:Z71)</f>
        <v>0</v>
      </c>
      <c r="AA66" s="104">
        <f>SUM(AA67:AA71)</f>
        <v>0</v>
      </c>
      <c r="AB66" s="105" t="str">
        <f t="shared" si="4"/>
        <v>-</v>
      </c>
      <c r="AC66" s="104">
        <f>SUM(AC67:AC71)</f>
        <v>0</v>
      </c>
      <c r="AD66" s="104">
        <f>SUM(AD67:AD71)</f>
        <v>0</v>
      </c>
      <c r="AE66" s="105" t="str">
        <f t="shared" si="5"/>
        <v>-</v>
      </c>
      <c r="AF66" s="104">
        <f>SUM(AF67:AF71)</f>
        <v>0</v>
      </c>
      <c r="AG66" s="104">
        <f>SUM(AG67:AG71)</f>
        <v>0</v>
      </c>
      <c r="AH66" s="105" t="str">
        <f t="shared" si="6"/>
        <v>-</v>
      </c>
      <c r="AI66" s="106">
        <f>SUM(AI67:AI71)</f>
        <v>11700</v>
      </c>
      <c r="AJ66" s="104">
        <f>SUM(AJ67:AJ71)</f>
        <v>43699</v>
      </c>
      <c r="AK66" s="105">
        <f t="shared" si="7"/>
        <v>3.7349572649572651</v>
      </c>
      <c r="AL66" s="104">
        <f>SUM(AL67:AL71)</f>
        <v>0</v>
      </c>
      <c r="AM66" s="104">
        <f>SUM(AM67:AM71)</f>
        <v>0</v>
      </c>
      <c r="AN66" s="105" t="str">
        <f t="shared" si="8"/>
        <v>-</v>
      </c>
      <c r="AO66" s="104">
        <f>SUM(AO67:AO71)</f>
        <v>0</v>
      </c>
      <c r="AP66" s="104">
        <f>SUM(AP67:AP71)</f>
        <v>0</v>
      </c>
      <c r="AQ66" s="105" t="str">
        <f t="shared" si="9"/>
        <v>-</v>
      </c>
      <c r="AR66" s="104">
        <f>SUM(AR67:AR71)</f>
        <v>0</v>
      </c>
      <c r="AS66" s="104">
        <f>SUM(AS67:AS71)</f>
        <v>0</v>
      </c>
      <c r="AT66" s="105" t="str">
        <f t="shared" si="10"/>
        <v>-</v>
      </c>
      <c r="AU66" s="104">
        <f>SUM(AU67:AU71)</f>
        <v>0</v>
      </c>
      <c r="AV66" s="104">
        <f>SUM(AV67:AV71)</f>
        <v>0</v>
      </c>
      <c r="AW66" s="105" t="str">
        <f t="shared" si="11"/>
        <v>-</v>
      </c>
      <c r="AX66" s="104">
        <f>SUM(AX67:AX71)</f>
        <v>0</v>
      </c>
      <c r="AY66" s="104">
        <f>SUM(AY67:AY71)</f>
        <v>0</v>
      </c>
      <c r="AZ66" s="105" t="str">
        <f t="shared" si="12"/>
        <v>-</v>
      </c>
      <c r="BA66" s="104">
        <f>SUM(BA67:BA71)</f>
        <v>0</v>
      </c>
      <c r="BB66" s="104">
        <f>SUM(BB67:BB71)</f>
        <v>0</v>
      </c>
      <c r="BC66" s="105" t="str">
        <f t="shared" si="13"/>
        <v>-</v>
      </c>
      <c r="BD66" s="104">
        <f>SUM(BD67:BD71)</f>
        <v>0</v>
      </c>
      <c r="BE66" s="104">
        <f>SUM(BE67:BE71)</f>
        <v>0</v>
      </c>
      <c r="BF66" s="105" t="str">
        <f t="shared" si="14"/>
        <v>-</v>
      </c>
      <c r="BG66" s="104">
        <f>SUM(BG67:BG71)</f>
        <v>0</v>
      </c>
      <c r="BH66" s="104">
        <f>SUM(BH67:BH71)</f>
        <v>0</v>
      </c>
      <c r="BI66" s="105" t="str">
        <f t="shared" si="15"/>
        <v>-</v>
      </c>
      <c r="BJ66" s="104">
        <f>SUM(BJ67:BJ71)</f>
        <v>0</v>
      </c>
      <c r="BK66" s="104">
        <f>SUM(BK67:BK71)</f>
        <v>0</v>
      </c>
      <c r="BL66" s="105" t="str">
        <f t="shared" si="16"/>
        <v>-</v>
      </c>
      <c r="BM66" s="104">
        <f>SUM(BM67:BM71)</f>
        <v>0</v>
      </c>
      <c r="BN66" s="104">
        <f>SUM(BN67:BN71)</f>
        <v>0</v>
      </c>
      <c r="BO66" s="105" t="str">
        <f t="shared" si="17"/>
        <v>-</v>
      </c>
      <c r="BP66" s="104">
        <f>SUM(BP67:BP71)</f>
        <v>0</v>
      </c>
      <c r="BQ66" s="104">
        <f>SUM(BQ67:BQ71)</f>
        <v>0</v>
      </c>
      <c r="BR66" s="105" t="str">
        <f t="shared" si="18"/>
        <v>-</v>
      </c>
      <c r="BS66" s="104">
        <f>SUM(BS67:BS71)</f>
        <v>0</v>
      </c>
      <c r="BT66" s="104">
        <f>SUM(BT67:BT71)</f>
        <v>0</v>
      </c>
      <c r="BU66" s="105" t="str">
        <f t="shared" si="19"/>
        <v>-</v>
      </c>
      <c r="BV66" s="104">
        <f>SUM(BV67:BV71)</f>
        <v>0</v>
      </c>
      <c r="BW66" s="104">
        <f>SUM(BW67:BW71)</f>
        <v>0</v>
      </c>
      <c r="BX66" s="105" t="str">
        <f t="shared" si="20"/>
        <v>-</v>
      </c>
      <c r="BY66" s="104">
        <f>SUM(BY67:BY71)</f>
        <v>0</v>
      </c>
      <c r="BZ66" s="104">
        <f>SUM(BZ67:BZ71)</f>
        <v>0</v>
      </c>
      <c r="CA66" s="105" t="str">
        <f t="shared" si="21"/>
        <v>-</v>
      </c>
      <c r="CB66" s="104">
        <f>SUM(CB67:CB71)</f>
        <v>0</v>
      </c>
      <c r="CC66" s="104">
        <f>SUM(CC67:CC71)</f>
        <v>0</v>
      </c>
      <c r="CD66" s="105" t="str">
        <f t="shared" si="22"/>
        <v>-</v>
      </c>
      <c r="CE66" s="104">
        <f>SUM(CE67:CE71)</f>
        <v>0</v>
      </c>
      <c r="CF66" s="104">
        <f>SUM(CF67:CF71)</f>
        <v>0</v>
      </c>
      <c r="CG66" s="105" t="str">
        <f t="shared" si="23"/>
        <v>-</v>
      </c>
      <c r="CH66" s="104">
        <f>SUM(CH67:CH71)</f>
        <v>0</v>
      </c>
      <c r="CI66" s="104">
        <f>SUM(CI67:CI71)</f>
        <v>0</v>
      </c>
      <c r="CJ66" s="107" t="str">
        <f t="shared" si="24"/>
        <v>-</v>
      </c>
      <c r="CK66" s="108" t="str">
        <f t="shared" si="25"/>
        <v>ok</v>
      </c>
      <c r="CL66" s="108"/>
    </row>
    <row r="67" spans="3:91" s="124" customFormat="1" ht="21" customHeight="1" x14ac:dyDescent="0.75">
      <c r="C67" s="96">
        <v>19</v>
      </c>
      <c r="D67" s="96" t="str">
        <f>IFERROR(INDEX([4]Account!$A:$A,MATCH(K67,[4]Account!$D:$D,0)),"")</f>
        <v/>
      </c>
      <c r="E67" s="96">
        <v>19</v>
      </c>
      <c r="F67" s="96">
        <v>99</v>
      </c>
      <c r="G67" s="96">
        <f>IFERROR(INDEX('[5]Sub Account'!$A:$A,MATCH(L67,'[5]Sub Account'!$D:$D,0)),"")</f>
        <v>494</v>
      </c>
      <c r="H67" s="96">
        <v>1</v>
      </c>
      <c r="I67" s="96">
        <v>1</v>
      </c>
      <c r="J67" s="228"/>
      <c r="K67" s="111"/>
      <c r="L67" s="112">
        <v>71011</v>
      </c>
      <c r="M67" s="113" t="s">
        <v>93</v>
      </c>
      <c r="N67" s="114">
        <f t="shared" ref="N67:O71" si="62">Q67+CH67</f>
        <v>4500</v>
      </c>
      <c r="O67" s="114">
        <f t="shared" si="62"/>
        <v>9842</v>
      </c>
      <c r="P67" s="115">
        <f t="shared" si="0"/>
        <v>2.1871111111111112</v>
      </c>
      <c r="Q67" s="116">
        <f t="shared" ref="Q67:R71" si="63">T67+AO67</f>
        <v>4500</v>
      </c>
      <c r="R67" s="116">
        <f t="shared" si="63"/>
        <v>9842</v>
      </c>
      <c r="S67" s="117">
        <f t="shared" si="1"/>
        <v>2.1871111111111112</v>
      </c>
      <c r="T67" s="118">
        <f t="shared" ref="T67:U71" si="64">W67+AI67+AL67</f>
        <v>4500</v>
      </c>
      <c r="U67" s="118">
        <f t="shared" si="64"/>
        <v>9842</v>
      </c>
      <c r="V67" s="119">
        <f t="shared" si="2"/>
        <v>2.1871111111111112</v>
      </c>
      <c r="W67" s="118">
        <f t="shared" ref="W67:X71" si="65">Z67+AC67+AF67</f>
        <v>0</v>
      </c>
      <c r="X67" s="118">
        <f t="shared" si="65"/>
        <v>0</v>
      </c>
      <c r="Y67" s="119" t="str">
        <f t="shared" si="3"/>
        <v>-</v>
      </c>
      <c r="Z67" s="118"/>
      <c r="AA67" s="118"/>
      <c r="AB67" s="119" t="str">
        <f t="shared" si="4"/>
        <v>-</v>
      </c>
      <c r="AC67" s="118"/>
      <c r="AD67" s="118"/>
      <c r="AE67" s="119" t="str">
        <f t="shared" si="5"/>
        <v>-</v>
      </c>
      <c r="AF67" s="118"/>
      <c r="AG67" s="118"/>
      <c r="AH67" s="119" t="str">
        <f t="shared" si="6"/>
        <v>-</v>
      </c>
      <c r="AI67" s="120">
        <v>4500</v>
      </c>
      <c r="AJ67" s="118">
        <v>9842</v>
      </c>
      <c r="AK67" s="119">
        <f t="shared" si="7"/>
        <v>2.1871111111111112</v>
      </c>
      <c r="AL67" s="118"/>
      <c r="AM67" s="118"/>
      <c r="AN67" s="119" t="str">
        <f t="shared" si="8"/>
        <v>-</v>
      </c>
      <c r="AO67" s="118">
        <f t="shared" ref="AO67:AP71" si="66">AR67+AU67+AX67+BA67+BG67+BJ67+BM67+BP67+BS67+BV67+BY67+CB67+CE67</f>
        <v>0</v>
      </c>
      <c r="AP67" s="118">
        <f t="shared" si="66"/>
        <v>0</v>
      </c>
      <c r="AQ67" s="119" t="str">
        <f t="shared" si="9"/>
        <v>-</v>
      </c>
      <c r="AR67" s="118"/>
      <c r="AS67" s="118"/>
      <c r="AT67" s="119" t="str">
        <f t="shared" si="10"/>
        <v>-</v>
      </c>
      <c r="AU67" s="118"/>
      <c r="AV67" s="118"/>
      <c r="AW67" s="119" t="str">
        <f t="shared" si="11"/>
        <v>-</v>
      </c>
      <c r="AX67" s="118"/>
      <c r="AY67" s="118"/>
      <c r="AZ67" s="119" t="str">
        <f t="shared" si="12"/>
        <v>-</v>
      </c>
      <c r="BA67" s="118"/>
      <c r="BB67" s="118"/>
      <c r="BC67" s="119" t="str">
        <f t="shared" si="13"/>
        <v>-</v>
      </c>
      <c r="BD67" s="118"/>
      <c r="BE67" s="118"/>
      <c r="BF67" s="119" t="str">
        <f t="shared" si="14"/>
        <v>-</v>
      </c>
      <c r="BG67" s="118"/>
      <c r="BH67" s="118"/>
      <c r="BI67" s="119" t="str">
        <f t="shared" si="15"/>
        <v>-</v>
      </c>
      <c r="BJ67" s="118"/>
      <c r="BK67" s="118"/>
      <c r="BL67" s="119" t="str">
        <f t="shared" si="16"/>
        <v>-</v>
      </c>
      <c r="BM67" s="118"/>
      <c r="BN67" s="118"/>
      <c r="BO67" s="119" t="str">
        <f t="shared" si="17"/>
        <v>-</v>
      </c>
      <c r="BP67" s="118"/>
      <c r="BQ67" s="118"/>
      <c r="BR67" s="119" t="str">
        <f t="shared" si="18"/>
        <v>-</v>
      </c>
      <c r="BS67" s="118"/>
      <c r="BT67" s="118"/>
      <c r="BU67" s="119" t="str">
        <f t="shared" si="19"/>
        <v>-</v>
      </c>
      <c r="BV67" s="118"/>
      <c r="BW67" s="118"/>
      <c r="BX67" s="119" t="str">
        <f t="shared" si="20"/>
        <v>-</v>
      </c>
      <c r="BY67" s="118"/>
      <c r="BZ67" s="118"/>
      <c r="CA67" s="119" t="str">
        <f t="shared" si="21"/>
        <v>-</v>
      </c>
      <c r="CB67" s="118"/>
      <c r="CC67" s="118"/>
      <c r="CD67" s="119" t="str">
        <f t="shared" si="22"/>
        <v>-</v>
      </c>
      <c r="CE67" s="118"/>
      <c r="CF67" s="118"/>
      <c r="CG67" s="119" t="str">
        <f t="shared" si="23"/>
        <v>-</v>
      </c>
      <c r="CH67" s="118"/>
      <c r="CI67" s="118"/>
      <c r="CJ67" s="121" t="str">
        <f t="shared" si="24"/>
        <v>-</v>
      </c>
      <c r="CK67" s="122" t="str">
        <f t="shared" si="25"/>
        <v>ok</v>
      </c>
      <c r="CL67" s="122"/>
    </row>
    <row r="68" spans="3:91" s="124" customFormat="1" ht="21" customHeight="1" x14ac:dyDescent="0.75">
      <c r="C68" s="96">
        <v>19</v>
      </c>
      <c r="D68" s="96" t="str">
        <f>IFERROR(INDEX([4]Account!$A:$A,MATCH(K68,[4]Account!$D:$D,0)),"")</f>
        <v/>
      </c>
      <c r="E68" s="96">
        <v>19</v>
      </c>
      <c r="F68" s="96">
        <v>99</v>
      </c>
      <c r="G68" s="96">
        <f>IFERROR(INDEX('[5]Sub Account'!$A:$A,MATCH(L68,'[5]Sub Account'!$D:$D,0)),"")</f>
        <v>495</v>
      </c>
      <c r="H68" s="96">
        <v>1</v>
      </c>
      <c r="I68" s="96">
        <v>1</v>
      </c>
      <c r="J68" s="228"/>
      <c r="K68" s="111"/>
      <c r="L68" s="112">
        <v>71012</v>
      </c>
      <c r="M68" s="113" t="s">
        <v>94</v>
      </c>
      <c r="N68" s="114">
        <f t="shared" si="62"/>
        <v>2700</v>
      </c>
      <c r="O68" s="114">
        <f t="shared" si="62"/>
        <v>21799</v>
      </c>
      <c r="P68" s="115">
        <f t="shared" si="0"/>
        <v>8.0737037037037034</v>
      </c>
      <c r="Q68" s="116">
        <f t="shared" si="63"/>
        <v>2700</v>
      </c>
      <c r="R68" s="116">
        <f t="shared" si="63"/>
        <v>21799</v>
      </c>
      <c r="S68" s="117">
        <f t="shared" si="1"/>
        <v>8.0737037037037034</v>
      </c>
      <c r="T68" s="118">
        <f t="shared" si="64"/>
        <v>2700</v>
      </c>
      <c r="U68" s="118">
        <f t="shared" si="64"/>
        <v>21799</v>
      </c>
      <c r="V68" s="119">
        <f t="shared" si="2"/>
        <v>8.0737037037037034</v>
      </c>
      <c r="W68" s="118">
        <f t="shared" si="65"/>
        <v>0</v>
      </c>
      <c r="X68" s="118">
        <f t="shared" si="65"/>
        <v>0</v>
      </c>
      <c r="Y68" s="119" t="str">
        <f t="shared" si="3"/>
        <v>-</v>
      </c>
      <c r="Z68" s="118"/>
      <c r="AA68" s="118"/>
      <c r="AB68" s="119" t="str">
        <f t="shared" si="4"/>
        <v>-</v>
      </c>
      <c r="AC68" s="118"/>
      <c r="AD68" s="118"/>
      <c r="AE68" s="119" t="str">
        <f t="shared" si="5"/>
        <v>-</v>
      </c>
      <c r="AF68" s="118"/>
      <c r="AG68" s="118"/>
      <c r="AH68" s="119" t="str">
        <f t="shared" si="6"/>
        <v>-</v>
      </c>
      <c r="AI68" s="120">
        <v>2700</v>
      </c>
      <c r="AJ68" s="118">
        <v>21799</v>
      </c>
      <c r="AK68" s="119">
        <f t="shared" si="7"/>
        <v>8.0737037037037034</v>
      </c>
      <c r="AL68" s="118"/>
      <c r="AM68" s="118"/>
      <c r="AN68" s="119" t="str">
        <f t="shared" si="8"/>
        <v>-</v>
      </c>
      <c r="AO68" s="118">
        <f t="shared" si="66"/>
        <v>0</v>
      </c>
      <c r="AP68" s="118">
        <f t="shared" si="66"/>
        <v>0</v>
      </c>
      <c r="AQ68" s="119" t="str">
        <f t="shared" si="9"/>
        <v>-</v>
      </c>
      <c r="AR68" s="118"/>
      <c r="AS68" s="118"/>
      <c r="AT68" s="119" t="str">
        <f t="shared" si="10"/>
        <v>-</v>
      </c>
      <c r="AU68" s="118"/>
      <c r="AV68" s="118"/>
      <c r="AW68" s="119" t="str">
        <f t="shared" si="11"/>
        <v>-</v>
      </c>
      <c r="AX68" s="118"/>
      <c r="AY68" s="118"/>
      <c r="AZ68" s="119" t="str">
        <f t="shared" si="12"/>
        <v>-</v>
      </c>
      <c r="BA68" s="118"/>
      <c r="BB68" s="118"/>
      <c r="BC68" s="119" t="str">
        <f t="shared" si="13"/>
        <v>-</v>
      </c>
      <c r="BD68" s="118"/>
      <c r="BE68" s="118"/>
      <c r="BF68" s="119" t="str">
        <f t="shared" si="14"/>
        <v>-</v>
      </c>
      <c r="BG68" s="118"/>
      <c r="BH68" s="118"/>
      <c r="BI68" s="119" t="str">
        <f t="shared" si="15"/>
        <v>-</v>
      </c>
      <c r="BJ68" s="118"/>
      <c r="BK68" s="118"/>
      <c r="BL68" s="119" t="str">
        <f t="shared" si="16"/>
        <v>-</v>
      </c>
      <c r="BM68" s="118"/>
      <c r="BN68" s="118"/>
      <c r="BO68" s="119" t="str">
        <f t="shared" si="17"/>
        <v>-</v>
      </c>
      <c r="BP68" s="118"/>
      <c r="BQ68" s="118"/>
      <c r="BR68" s="119" t="str">
        <f t="shared" si="18"/>
        <v>-</v>
      </c>
      <c r="BS68" s="118"/>
      <c r="BT68" s="118"/>
      <c r="BU68" s="119" t="str">
        <f t="shared" si="19"/>
        <v>-</v>
      </c>
      <c r="BV68" s="118"/>
      <c r="BW68" s="118"/>
      <c r="BX68" s="119" t="str">
        <f t="shared" si="20"/>
        <v>-</v>
      </c>
      <c r="BY68" s="118"/>
      <c r="BZ68" s="118"/>
      <c r="CA68" s="119" t="str">
        <f t="shared" si="21"/>
        <v>-</v>
      </c>
      <c r="CB68" s="118"/>
      <c r="CC68" s="118"/>
      <c r="CD68" s="119" t="str">
        <f t="shared" si="22"/>
        <v>-</v>
      </c>
      <c r="CE68" s="118"/>
      <c r="CF68" s="118"/>
      <c r="CG68" s="119" t="str">
        <f t="shared" si="23"/>
        <v>-</v>
      </c>
      <c r="CH68" s="118"/>
      <c r="CI68" s="118"/>
      <c r="CJ68" s="121" t="str">
        <f t="shared" si="24"/>
        <v>-</v>
      </c>
      <c r="CK68" s="122" t="str">
        <f t="shared" si="25"/>
        <v>ok</v>
      </c>
      <c r="CL68" s="122"/>
    </row>
    <row r="69" spans="3:91" s="124" customFormat="1" ht="21" customHeight="1" x14ac:dyDescent="0.75">
      <c r="C69" s="96">
        <v>19</v>
      </c>
      <c r="D69" s="96" t="str">
        <f>IFERROR(INDEX([4]Account!$A:$A,MATCH(K69,[4]Account!$D:$D,0)),"")</f>
        <v/>
      </c>
      <c r="E69" s="96">
        <v>19</v>
      </c>
      <c r="F69" s="96">
        <v>99</v>
      </c>
      <c r="G69" s="96">
        <f>IFERROR(INDEX('[5]Sub Account'!$A:$A,MATCH(L69,'[5]Sub Account'!$D:$D,0)),"")</f>
        <v>496</v>
      </c>
      <c r="H69" s="96">
        <v>1</v>
      </c>
      <c r="I69" s="96">
        <v>1</v>
      </c>
      <c r="J69" s="228"/>
      <c r="K69" s="111"/>
      <c r="L69" s="112">
        <v>71014</v>
      </c>
      <c r="M69" s="113" t="s">
        <v>95</v>
      </c>
      <c r="N69" s="114">
        <f t="shared" si="62"/>
        <v>4300</v>
      </c>
      <c r="O69" s="114">
        <f t="shared" si="62"/>
        <v>11885</v>
      </c>
      <c r="P69" s="115">
        <f t="shared" si="0"/>
        <v>2.7639534883720929</v>
      </c>
      <c r="Q69" s="116">
        <f t="shared" si="63"/>
        <v>4300</v>
      </c>
      <c r="R69" s="116">
        <f t="shared" si="63"/>
        <v>11885</v>
      </c>
      <c r="S69" s="117">
        <f t="shared" si="1"/>
        <v>2.7639534883720929</v>
      </c>
      <c r="T69" s="118">
        <f t="shared" si="64"/>
        <v>4300</v>
      </c>
      <c r="U69" s="118">
        <f t="shared" si="64"/>
        <v>11885</v>
      </c>
      <c r="V69" s="119">
        <f t="shared" si="2"/>
        <v>2.7639534883720929</v>
      </c>
      <c r="W69" s="118">
        <f t="shared" si="65"/>
        <v>0</v>
      </c>
      <c r="X69" s="118">
        <f t="shared" si="65"/>
        <v>0</v>
      </c>
      <c r="Y69" s="119" t="str">
        <f t="shared" si="3"/>
        <v>-</v>
      </c>
      <c r="Z69" s="118"/>
      <c r="AA69" s="118"/>
      <c r="AB69" s="119" t="str">
        <f t="shared" si="4"/>
        <v>-</v>
      </c>
      <c r="AC69" s="118"/>
      <c r="AD69" s="118"/>
      <c r="AE69" s="119" t="str">
        <f t="shared" si="5"/>
        <v>-</v>
      </c>
      <c r="AF69" s="118"/>
      <c r="AG69" s="118"/>
      <c r="AH69" s="119" t="str">
        <f t="shared" si="6"/>
        <v>-</v>
      </c>
      <c r="AI69" s="120">
        <v>4300</v>
      </c>
      <c r="AJ69" s="118">
        <v>11885</v>
      </c>
      <c r="AK69" s="119">
        <f t="shared" si="7"/>
        <v>2.7639534883720929</v>
      </c>
      <c r="AL69" s="118"/>
      <c r="AM69" s="118"/>
      <c r="AN69" s="119" t="str">
        <f t="shared" si="8"/>
        <v>-</v>
      </c>
      <c r="AO69" s="118">
        <f t="shared" si="66"/>
        <v>0</v>
      </c>
      <c r="AP69" s="118">
        <f t="shared" si="66"/>
        <v>0</v>
      </c>
      <c r="AQ69" s="119" t="str">
        <f t="shared" si="9"/>
        <v>-</v>
      </c>
      <c r="AR69" s="118"/>
      <c r="AS69" s="118"/>
      <c r="AT69" s="119" t="str">
        <f t="shared" si="10"/>
        <v>-</v>
      </c>
      <c r="AU69" s="118"/>
      <c r="AV69" s="118"/>
      <c r="AW69" s="119" t="str">
        <f t="shared" si="11"/>
        <v>-</v>
      </c>
      <c r="AX69" s="118"/>
      <c r="AY69" s="118"/>
      <c r="AZ69" s="119" t="str">
        <f t="shared" si="12"/>
        <v>-</v>
      </c>
      <c r="BA69" s="118"/>
      <c r="BB69" s="118"/>
      <c r="BC69" s="119" t="str">
        <f t="shared" si="13"/>
        <v>-</v>
      </c>
      <c r="BD69" s="118"/>
      <c r="BE69" s="118"/>
      <c r="BF69" s="119" t="str">
        <f t="shared" si="14"/>
        <v>-</v>
      </c>
      <c r="BG69" s="118"/>
      <c r="BH69" s="118"/>
      <c r="BI69" s="119" t="str">
        <f t="shared" si="15"/>
        <v>-</v>
      </c>
      <c r="BJ69" s="118"/>
      <c r="BK69" s="118"/>
      <c r="BL69" s="119" t="str">
        <f t="shared" si="16"/>
        <v>-</v>
      </c>
      <c r="BM69" s="118"/>
      <c r="BN69" s="118"/>
      <c r="BO69" s="119" t="str">
        <f t="shared" si="17"/>
        <v>-</v>
      </c>
      <c r="BP69" s="118"/>
      <c r="BQ69" s="118"/>
      <c r="BR69" s="119" t="str">
        <f t="shared" si="18"/>
        <v>-</v>
      </c>
      <c r="BS69" s="118"/>
      <c r="BT69" s="118"/>
      <c r="BU69" s="119" t="str">
        <f t="shared" si="19"/>
        <v>-</v>
      </c>
      <c r="BV69" s="118"/>
      <c r="BW69" s="118"/>
      <c r="BX69" s="119" t="str">
        <f t="shared" si="20"/>
        <v>-</v>
      </c>
      <c r="BY69" s="118"/>
      <c r="BZ69" s="118"/>
      <c r="CA69" s="119" t="str">
        <f t="shared" si="21"/>
        <v>-</v>
      </c>
      <c r="CB69" s="118"/>
      <c r="CC69" s="118"/>
      <c r="CD69" s="119" t="str">
        <f t="shared" si="22"/>
        <v>-</v>
      </c>
      <c r="CE69" s="118"/>
      <c r="CF69" s="118"/>
      <c r="CG69" s="119" t="str">
        <f t="shared" si="23"/>
        <v>-</v>
      </c>
      <c r="CH69" s="118"/>
      <c r="CI69" s="118"/>
      <c r="CJ69" s="121" t="str">
        <f t="shared" si="24"/>
        <v>-</v>
      </c>
      <c r="CK69" s="122" t="str">
        <f t="shared" si="25"/>
        <v>ok</v>
      </c>
      <c r="CL69" s="122"/>
    </row>
    <row r="70" spans="3:91" s="124" customFormat="1" ht="21" customHeight="1" x14ac:dyDescent="0.75">
      <c r="C70" s="96">
        <v>19</v>
      </c>
      <c r="D70" s="96" t="str">
        <f>IFERROR(INDEX([4]Account!$A:$A,MATCH(K70,[4]Account!$D:$D,0)),"")</f>
        <v/>
      </c>
      <c r="E70" s="96">
        <v>19</v>
      </c>
      <c r="F70" s="96">
        <v>99</v>
      </c>
      <c r="G70" s="96">
        <f>IFERROR(INDEX('[5]Sub Account'!$A:$A,MATCH(L70,'[5]Sub Account'!$D:$D,0)),"")</f>
        <v>514</v>
      </c>
      <c r="H70" s="96">
        <v>1</v>
      </c>
      <c r="I70" s="96">
        <v>1</v>
      </c>
      <c r="J70" s="228"/>
      <c r="K70" s="111"/>
      <c r="L70" s="112">
        <v>71015</v>
      </c>
      <c r="M70" s="113" t="s">
        <v>96</v>
      </c>
      <c r="N70" s="114">
        <f t="shared" si="62"/>
        <v>0</v>
      </c>
      <c r="O70" s="114">
        <f t="shared" si="62"/>
        <v>0</v>
      </c>
      <c r="P70" s="115" t="str">
        <f t="shared" si="0"/>
        <v>-</v>
      </c>
      <c r="Q70" s="116">
        <f t="shared" si="63"/>
        <v>0</v>
      </c>
      <c r="R70" s="116">
        <f t="shared" si="63"/>
        <v>0</v>
      </c>
      <c r="S70" s="117" t="str">
        <f t="shared" si="1"/>
        <v>-</v>
      </c>
      <c r="T70" s="118">
        <f t="shared" si="64"/>
        <v>0</v>
      </c>
      <c r="U70" s="118">
        <f t="shared" si="64"/>
        <v>0</v>
      </c>
      <c r="V70" s="119" t="str">
        <f t="shared" si="2"/>
        <v>-</v>
      </c>
      <c r="W70" s="118">
        <f t="shared" si="65"/>
        <v>0</v>
      </c>
      <c r="X70" s="118">
        <f t="shared" si="65"/>
        <v>0</v>
      </c>
      <c r="Y70" s="119" t="str">
        <f t="shared" si="3"/>
        <v>-</v>
      </c>
      <c r="Z70" s="118"/>
      <c r="AA70" s="118"/>
      <c r="AB70" s="119" t="str">
        <f t="shared" si="4"/>
        <v>-</v>
      </c>
      <c r="AC70" s="118"/>
      <c r="AD70" s="118"/>
      <c r="AE70" s="119" t="str">
        <f t="shared" si="5"/>
        <v>-</v>
      </c>
      <c r="AF70" s="118"/>
      <c r="AG70" s="118"/>
      <c r="AH70" s="119" t="str">
        <f t="shared" si="6"/>
        <v>-</v>
      </c>
      <c r="AI70" s="120"/>
      <c r="AJ70" s="118"/>
      <c r="AK70" s="119" t="str">
        <f t="shared" si="7"/>
        <v>-</v>
      </c>
      <c r="AL70" s="118"/>
      <c r="AM70" s="118"/>
      <c r="AN70" s="119" t="str">
        <f t="shared" si="8"/>
        <v>-</v>
      </c>
      <c r="AO70" s="118">
        <f t="shared" si="66"/>
        <v>0</v>
      </c>
      <c r="AP70" s="118">
        <f t="shared" si="66"/>
        <v>0</v>
      </c>
      <c r="AQ70" s="119" t="str">
        <f t="shared" si="9"/>
        <v>-</v>
      </c>
      <c r="AR70" s="118"/>
      <c r="AS70" s="118"/>
      <c r="AT70" s="119" t="str">
        <f t="shared" si="10"/>
        <v>-</v>
      </c>
      <c r="AU70" s="118"/>
      <c r="AV70" s="118"/>
      <c r="AW70" s="119" t="str">
        <f t="shared" si="11"/>
        <v>-</v>
      </c>
      <c r="AX70" s="118"/>
      <c r="AY70" s="118"/>
      <c r="AZ70" s="119" t="str">
        <f t="shared" si="12"/>
        <v>-</v>
      </c>
      <c r="BA70" s="118"/>
      <c r="BB70" s="118"/>
      <c r="BC70" s="119" t="str">
        <f t="shared" si="13"/>
        <v>-</v>
      </c>
      <c r="BD70" s="118"/>
      <c r="BE70" s="118"/>
      <c r="BF70" s="119" t="str">
        <f t="shared" si="14"/>
        <v>-</v>
      </c>
      <c r="BG70" s="118"/>
      <c r="BH70" s="118"/>
      <c r="BI70" s="119" t="str">
        <f t="shared" si="15"/>
        <v>-</v>
      </c>
      <c r="BJ70" s="118"/>
      <c r="BK70" s="118"/>
      <c r="BL70" s="119" t="str">
        <f t="shared" si="16"/>
        <v>-</v>
      </c>
      <c r="BM70" s="118"/>
      <c r="BN70" s="118"/>
      <c r="BO70" s="119" t="str">
        <f t="shared" si="17"/>
        <v>-</v>
      </c>
      <c r="BP70" s="118"/>
      <c r="BQ70" s="118"/>
      <c r="BR70" s="119" t="str">
        <f t="shared" si="18"/>
        <v>-</v>
      </c>
      <c r="BS70" s="118"/>
      <c r="BT70" s="118"/>
      <c r="BU70" s="119" t="str">
        <f t="shared" si="19"/>
        <v>-</v>
      </c>
      <c r="BV70" s="118"/>
      <c r="BW70" s="118"/>
      <c r="BX70" s="119" t="str">
        <f t="shared" si="20"/>
        <v>-</v>
      </c>
      <c r="BY70" s="118"/>
      <c r="BZ70" s="118"/>
      <c r="CA70" s="119" t="str">
        <f t="shared" si="21"/>
        <v>-</v>
      </c>
      <c r="CB70" s="118"/>
      <c r="CC70" s="118"/>
      <c r="CD70" s="119" t="str">
        <f t="shared" si="22"/>
        <v>-</v>
      </c>
      <c r="CE70" s="118"/>
      <c r="CF70" s="118"/>
      <c r="CG70" s="119" t="str">
        <f t="shared" si="23"/>
        <v>-</v>
      </c>
      <c r="CH70" s="118"/>
      <c r="CI70" s="118"/>
      <c r="CJ70" s="121" t="str">
        <f t="shared" si="24"/>
        <v>-</v>
      </c>
      <c r="CK70" s="122" t="str">
        <f t="shared" si="25"/>
        <v>-</v>
      </c>
      <c r="CL70" s="122"/>
    </row>
    <row r="71" spans="3:91" s="124" customFormat="1" ht="21" customHeight="1" x14ac:dyDescent="0.75">
      <c r="C71" s="96">
        <v>19</v>
      </c>
      <c r="D71" s="96" t="str">
        <f>IFERROR(INDEX([4]Account!$A:$A,MATCH(K71,[4]Account!$D:$D,0)),"")</f>
        <v/>
      </c>
      <c r="E71" s="96">
        <v>19</v>
      </c>
      <c r="F71" s="96">
        <v>99</v>
      </c>
      <c r="G71" s="96">
        <f>IFERROR(INDEX('[5]Sub Account'!$A:$A,MATCH(L71,'[5]Sub Account'!$D:$D,0)),"")</f>
        <v>497</v>
      </c>
      <c r="H71" s="96">
        <v>1</v>
      </c>
      <c r="I71" s="96">
        <v>1</v>
      </c>
      <c r="J71" s="230"/>
      <c r="K71" s="137"/>
      <c r="L71" s="138">
        <v>71016</v>
      </c>
      <c r="M71" s="139" t="s">
        <v>97</v>
      </c>
      <c r="N71" s="140">
        <f t="shared" si="62"/>
        <v>200</v>
      </c>
      <c r="O71" s="140">
        <f t="shared" si="62"/>
        <v>173</v>
      </c>
      <c r="P71" s="141">
        <f t="shared" si="0"/>
        <v>0.86499999999999999</v>
      </c>
      <c r="Q71" s="142">
        <f t="shared" si="63"/>
        <v>200</v>
      </c>
      <c r="R71" s="142">
        <f t="shared" si="63"/>
        <v>173</v>
      </c>
      <c r="S71" s="143">
        <f t="shared" si="1"/>
        <v>0.86499999999999999</v>
      </c>
      <c r="T71" s="144">
        <f t="shared" si="64"/>
        <v>200</v>
      </c>
      <c r="U71" s="144">
        <f t="shared" si="64"/>
        <v>173</v>
      </c>
      <c r="V71" s="145">
        <f t="shared" si="2"/>
        <v>0.86499999999999999</v>
      </c>
      <c r="W71" s="144">
        <f t="shared" si="65"/>
        <v>0</v>
      </c>
      <c r="X71" s="144">
        <f t="shared" si="65"/>
        <v>0</v>
      </c>
      <c r="Y71" s="145" t="str">
        <f t="shared" si="3"/>
        <v>-</v>
      </c>
      <c r="Z71" s="144"/>
      <c r="AA71" s="144"/>
      <c r="AB71" s="145" t="str">
        <f t="shared" si="4"/>
        <v>-</v>
      </c>
      <c r="AC71" s="144"/>
      <c r="AD71" s="144"/>
      <c r="AE71" s="145" t="str">
        <f t="shared" si="5"/>
        <v>-</v>
      </c>
      <c r="AF71" s="144"/>
      <c r="AG71" s="144"/>
      <c r="AH71" s="145" t="str">
        <f t="shared" si="6"/>
        <v>-</v>
      </c>
      <c r="AI71" s="146">
        <v>200</v>
      </c>
      <c r="AJ71" s="144">
        <v>173</v>
      </c>
      <c r="AK71" s="145">
        <f t="shared" si="7"/>
        <v>0.86499999999999999</v>
      </c>
      <c r="AL71" s="144"/>
      <c r="AM71" s="144"/>
      <c r="AN71" s="145" t="str">
        <f t="shared" si="8"/>
        <v>-</v>
      </c>
      <c r="AO71" s="144">
        <f t="shared" si="66"/>
        <v>0</v>
      </c>
      <c r="AP71" s="144">
        <f t="shared" si="66"/>
        <v>0</v>
      </c>
      <c r="AQ71" s="145" t="str">
        <f t="shared" si="9"/>
        <v>-</v>
      </c>
      <c r="AR71" s="144"/>
      <c r="AS71" s="144"/>
      <c r="AT71" s="145" t="str">
        <f t="shared" si="10"/>
        <v>-</v>
      </c>
      <c r="AU71" s="144"/>
      <c r="AV71" s="144"/>
      <c r="AW71" s="145" t="str">
        <f t="shared" si="11"/>
        <v>-</v>
      </c>
      <c r="AX71" s="144"/>
      <c r="AY71" s="144"/>
      <c r="AZ71" s="145" t="str">
        <f t="shared" si="12"/>
        <v>-</v>
      </c>
      <c r="BA71" s="144"/>
      <c r="BB71" s="144"/>
      <c r="BC71" s="145" t="str">
        <f t="shared" si="13"/>
        <v>-</v>
      </c>
      <c r="BD71" s="144"/>
      <c r="BE71" s="144"/>
      <c r="BF71" s="145" t="str">
        <f t="shared" si="14"/>
        <v>-</v>
      </c>
      <c r="BG71" s="144"/>
      <c r="BH71" s="144"/>
      <c r="BI71" s="145" t="str">
        <f t="shared" si="15"/>
        <v>-</v>
      </c>
      <c r="BJ71" s="144"/>
      <c r="BK71" s="144"/>
      <c r="BL71" s="145" t="str">
        <f t="shared" si="16"/>
        <v>-</v>
      </c>
      <c r="BM71" s="144"/>
      <c r="BN71" s="144"/>
      <c r="BO71" s="145" t="str">
        <f t="shared" si="17"/>
        <v>-</v>
      </c>
      <c r="BP71" s="144"/>
      <c r="BQ71" s="144"/>
      <c r="BR71" s="145" t="str">
        <f t="shared" si="18"/>
        <v>-</v>
      </c>
      <c r="BS71" s="144"/>
      <c r="BT71" s="144"/>
      <c r="BU71" s="145" t="str">
        <f t="shared" si="19"/>
        <v>-</v>
      </c>
      <c r="BV71" s="144"/>
      <c r="BW71" s="144"/>
      <c r="BX71" s="145" t="str">
        <f t="shared" si="20"/>
        <v>-</v>
      </c>
      <c r="BY71" s="144"/>
      <c r="BZ71" s="144"/>
      <c r="CA71" s="145" t="str">
        <f t="shared" si="21"/>
        <v>-</v>
      </c>
      <c r="CB71" s="144"/>
      <c r="CC71" s="144"/>
      <c r="CD71" s="145" t="str">
        <f t="shared" si="22"/>
        <v>-</v>
      </c>
      <c r="CE71" s="144"/>
      <c r="CF71" s="144"/>
      <c r="CG71" s="145" t="str">
        <f t="shared" si="23"/>
        <v>-</v>
      </c>
      <c r="CH71" s="144"/>
      <c r="CI71" s="144"/>
      <c r="CJ71" s="147" t="str">
        <f t="shared" si="24"/>
        <v>-</v>
      </c>
      <c r="CK71" s="122" t="str">
        <f t="shared" si="25"/>
        <v>ok</v>
      </c>
      <c r="CL71" s="122"/>
    </row>
    <row r="72" spans="3:91" s="82" customFormat="1" ht="21" customHeight="1" x14ac:dyDescent="0.75">
      <c r="C72" s="96">
        <v>19</v>
      </c>
      <c r="D72" s="96" t="str">
        <f>IFERROR(INDEX([4]Account!$A:$A,MATCH(K72,[4]Account!$D:$D,0)),"")</f>
        <v/>
      </c>
      <c r="E72" s="96">
        <v>19</v>
      </c>
      <c r="F72" s="96">
        <v>99</v>
      </c>
      <c r="G72" s="96" t="str">
        <f>IFERROR(INDEX('[5]Sub Account'!$A:$A,MATCH(L72,'[5]Sub Account'!$D:$D,0)),"")</f>
        <v/>
      </c>
      <c r="H72" s="96">
        <v>1</v>
      </c>
      <c r="I72" s="96">
        <v>2</v>
      </c>
      <c r="J72" s="225" t="s">
        <v>98</v>
      </c>
      <c r="K72" s="70"/>
      <c r="L72" s="71"/>
      <c r="M72" s="72"/>
      <c r="N72" s="73">
        <f>N73+N99+N104</f>
        <v>427366.1</v>
      </c>
      <c r="O72" s="73">
        <f>O73+O99+O104</f>
        <v>283635.70336099999</v>
      </c>
      <c r="P72" s="74">
        <f t="shared" si="0"/>
        <v>0.66368320594684516</v>
      </c>
      <c r="Q72" s="75">
        <f>Q73+Q99+Q104</f>
        <v>427366.1</v>
      </c>
      <c r="R72" s="75">
        <f>R73+R99+R104</f>
        <v>283635.70336099999</v>
      </c>
      <c r="S72" s="76">
        <f t="shared" si="1"/>
        <v>0.66368320594684516</v>
      </c>
      <c r="T72" s="77">
        <f>T73+T99+T104</f>
        <v>427092.1</v>
      </c>
      <c r="U72" s="77">
        <f>U73+U99+U104</f>
        <v>283237.903361</v>
      </c>
      <c r="V72" s="78">
        <f t="shared" si="2"/>
        <v>0.66317757542459821</v>
      </c>
      <c r="W72" s="77">
        <f>W73+W99+W104</f>
        <v>342992.1</v>
      </c>
      <c r="X72" s="77">
        <f>X73+X99+X104</f>
        <v>176627.00336099998</v>
      </c>
      <c r="Y72" s="78">
        <f t="shared" si="3"/>
        <v>0.51495939224547738</v>
      </c>
      <c r="Z72" s="77">
        <f>Z73+Z99+Z104</f>
        <v>214022.59999999998</v>
      </c>
      <c r="AA72" s="77">
        <f>AA73+AA99+AA104</f>
        <v>42560.338994999998</v>
      </c>
      <c r="AB72" s="78">
        <f t="shared" si="4"/>
        <v>0.19885908775521838</v>
      </c>
      <c r="AC72" s="77">
        <f>AC73+AC99+AC104</f>
        <v>120007</v>
      </c>
      <c r="AD72" s="77">
        <f>AD73+AD99+AD104</f>
        <v>101497.5</v>
      </c>
      <c r="AE72" s="78">
        <f t="shared" si="5"/>
        <v>0.84576316381544414</v>
      </c>
      <c r="AF72" s="77">
        <f>AF73+AF99+AF104</f>
        <v>8962.5</v>
      </c>
      <c r="AG72" s="77">
        <f>AG73+AG99+AG104</f>
        <v>32569.164366000001</v>
      </c>
      <c r="AH72" s="78">
        <f t="shared" si="6"/>
        <v>3.6339374466945609</v>
      </c>
      <c r="AI72" s="79">
        <f>AI73+AI99+AI104</f>
        <v>74000</v>
      </c>
      <c r="AJ72" s="77">
        <f>AJ73+AJ99+AJ104</f>
        <v>98086</v>
      </c>
      <c r="AK72" s="78">
        <f t="shared" si="7"/>
        <v>1.3254864864864866</v>
      </c>
      <c r="AL72" s="77">
        <f>AL73+AL99+AL104</f>
        <v>10100</v>
      </c>
      <c r="AM72" s="77">
        <f>AM73+AM99+AM104</f>
        <v>8524.9000000000015</v>
      </c>
      <c r="AN72" s="78">
        <f t="shared" si="8"/>
        <v>0.84404950495049524</v>
      </c>
      <c r="AO72" s="77">
        <f>AO73+AO99+AO104</f>
        <v>274</v>
      </c>
      <c r="AP72" s="77">
        <f>AP73+AP99+AP104</f>
        <v>397.79999999999995</v>
      </c>
      <c r="AQ72" s="78">
        <f t="shared" si="9"/>
        <v>1.451824817518248</v>
      </c>
      <c r="AR72" s="77">
        <f>AR73+AR99+AR104</f>
        <v>0</v>
      </c>
      <c r="AS72" s="77">
        <f>AS73+AS99+AS104</f>
        <v>3.5</v>
      </c>
      <c r="AT72" s="78" t="str">
        <f t="shared" si="10"/>
        <v>-</v>
      </c>
      <c r="AU72" s="77">
        <f>AU73+AU99+AU104</f>
        <v>0</v>
      </c>
      <c r="AV72" s="77">
        <f>AV73+AV99+AV104</f>
        <v>23</v>
      </c>
      <c r="AW72" s="78" t="str">
        <f t="shared" si="11"/>
        <v>-</v>
      </c>
      <c r="AX72" s="77">
        <f>AX73+AX99+AX104</f>
        <v>0</v>
      </c>
      <c r="AY72" s="77">
        <f>AY73+AY99+AY104</f>
        <v>8.6</v>
      </c>
      <c r="AZ72" s="78" t="str">
        <f t="shared" si="12"/>
        <v>-</v>
      </c>
      <c r="BA72" s="77">
        <f>BA73+BA99+BA104</f>
        <v>0</v>
      </c>
      <c r="BB72" s="77">
        <f>BB73+BB99+BB104</f>
        <v>8.5</v>
      </c>
      <c r="BC72" s="78" t="str">
        <f t="shared" si="13"/>
        <v>-</v>
      </c>
      <c r="BD72" s="77">
        <f>BD73+BD99+BD104</f>
        <v>0</v>
      </c>
      <c r="BE72" s="77">
        <f>BE73+BE99+BE104</f>
        <v>5.2</v>
      </c>
      <c r="BF72" s="78" t="str">
        <f t="shared" si="14"/>
        <v>-</v>
      </c>
      <c r="BG72" s="77">
        <f>BG73+BG99+BG104</f>
        <v>0</v>
      </c>
      <c r="BH72" s="77">
        <f>BH73+BH99+BH104</f>
        <v>2</v>
      </c>
      <c r="BI72" s="78" t="str">
        <f t="shared" si="15"/>
        <v>-</v>
      </c>
      <c r="BJ72" s="77">
        <f>BJ73+BJ99+BJ104</f>
        <v>0</v>
      </c>
      <c r="BK72" s="77">
        <f>BK73+BK99+BK104</f>
        <v>17</v>
      </c>
      <c r="BL72" s="78" t="str">
        <f t="shared" si="16"/>
        <v>-</v>
      </c>
      <c r="BM72" s="77">
        <f>BM73+BM99+BM104</f>
        <v>0</v>
      </c>
      <c r="BN72" s="77">
        <f>BN73+BN99+BN104</f>
        <v>18.7</v>
      </c>
      <c r="BO72" s="78" t="str">
        <f t="shared" si="17"/>
        <v>-</v>
      </c>
      <c r="BP72" s="77">
        <f>BP73+BP99+BP104</f>
        <v>274</v>
      </c>
      <c r="BQ72" s="77">
        <f>BQ73+BQ99+BQ104</f>
        <v>287.79999999999995</v>
      </c>
      <c r="BR72" s="78">
        <f t="shared" si="18"/>
        <v>1.0503649635036494</v>
      </c>
      <c r="BS72" s="77">
        <f>BS73+BS99+BS104</f>
        <v>0</v>
      </c>
      <c r="BT72" s="77">
        <f>BT73+BT99+BT104</f>
        <v>2</v>
      </c>
      <c r="BU72" s="78" t="str">
        <f t="shared" si="19"/>
        <v>-</v>
      </c>
      <c r="BV72" s="77">
        <f>BV73+BV99+BV104</f>
        <v>0</v>
      </c>
      <c r="BW72" s="77">
        <f>BW73+BW99+BW104</f>
        <v>12.5</v>
      </c>
      <c r="BX72" s="78" t="str">
        <f t="shared" si="20"/>
        <v>-</v>
      </c>
      <c r="BY72" s="77">
        <f>BY73+BY99+BY104</f>
        <v>0</v>
      </c>
      <c r="BZ72" s="77">
        <f>BZ73+BZ99+BZ104</f>
        <v>7.5</v>
      </c>
      <c r="CA72" s="78" t="str">
        <f t="shared" si="21"/>
        <v>-</v>
      </c>
      <c r="CB72" s="77">
        <f>CB73+CB99+CB104</f>
        <v>0</v>
      </c>
      <c r="CC72" s="77">
        <f>CC73+CC99+CC104</f>
        <v>1</v>
      </c>
      <c r="CD72" s="78" t="str">
        <f t="shared" si="22"/>
        <v>-</v>
      </c>
      <c r="CE72" s="77">
        <f>CE73+CE99+CE104</f>
        <v>0</v>
      </c>
      <c r="CF72" s="77">
        <f>CF73+CF99+CF104</f>
        <v>0.5</v>
      </c>
      <c r="CG72" s="78" t="str">
        <f t="shared" si="23"/>
        <v>-</v>
      </c>
      <c r="CH72" s="77">
        <f>CH73+CH99+CH104</f>
        <v>0</v>
      </c>
      <c r="CI72" s="77">
        <f>CI73+CI99+CI104</f>
        <v>0</v>
      </c>
      <c r="CJ72" s="80" t="str">
        <f t="shared" si="24"/>
        <v>-</v>
      </c>
      <c r="CK72" s="81" t="str">
        <f t="shared" si="25"/>
        <v>ok</v>
      </c>
      <c r="CL72" s="81"/>
    </row>
    <row r="73" spans="3:91" s="124" customFormat="1" ht="21" customHeight="1" x14ac:dyDescent="0.75">
      <c r="C73" s="96">
        <v>21</v>
      </c>
      <c r="D73" s="96" t="str">
        <f>IFERROR(INDEX([4]Account!$A:$A,MATCH(K73,[4]Account!$D:$D,0)),"")</f>
        <v/>
      </c>
      <c r="E73" s="96">
        <f>IFERROR(INDEX('[3]Account Group'!$A:$A,MATCH(J73,'[3]Account Group'!$B:$B,0)),"-")</f>
        <v>21</v>
      </c>
      <c r="F73" s="96">
        <v>99</v>
      </c>
      <c r="G73" s="96" t="str">
        <f>IFERROR(INDEX('[5]Sub Account'!$A:$A,MATCH(L73,'[5]Sub Account'!$D:$D,0)),"")</f>
        <v/>
      </c>
      <c r="H73" s="96">
        <v>1</v>
      </c>
      <c r="I73" s="96">
        <v>2</v>
      </c>
      <c r="J73" s="238">
        <v>73</v>
      </c>
      <c r="K73" s="126"/>
      <c r="L73" s="127"/>
      <c r="M73" s="128" t="s">
        <v>99</v>
      </c>
      <c r="N73" s="129">
        <f>N74+N76+N79+N83+N85+N88+N93+N96</f>
        <v>307359.09999999998</v>
      </c>
      <c r="O73" s="129">
        <f>O74+O76+O79+O83+O85+O88+O93+O96</f>
        <v>182103.20336099999</v>
      </c>
      <c r="P73" s="130">
        <f t="shared" si="0"/>
        <v>0.59247701909915795</v>
      </c>
      <c r="Q73" s="131">
        <f>Q74+Q76+Q79+Q83+Q85+Q88+Q93+Q96</f>
        <v>307359.09999999998</v>
      </c>
      <c r="R73" s="131">
        <f>R74+R76+R79+R83+R85+R88+R93+R96</f>
        <v>182103.20336099999</v>
      </c>
      <c r="S73" s="132">
        <f t="shared" si="1"/>
        <v>0.59247701909915795</v>
      </c>
      <c r="T73" s="133">
        <f>T74+T76+T79+T83+T85+T88+T93+T96</f>
        <v>307085.09999999998</v>
      </c>
      <c r="U73" s="133">
        <f>U74+U76+U79+U83+U85+U88+U93+U96</f>
        <v>181705.403361</v>
      </c>
      <c r="V73" s="134">
        <f t="shared" si="2"/>
        <v>0.59171025673665056</v>
      </c>
      <c r="W73" s="133">
        <f>W74+W76+W79+W83+W85+W88+W93+W96</f>
        <v>222985.09999999998</v>
      </c>
      <c r="X73" s="133">
        <f>X74+X76+X79+X83+X85+X88+X93+X96</f>
        <v>75129.503360999995</v>
      </c>
      <c r="Y73" s="134">
        <f t="shared" si="3"/>
        <v>0.33692611461931765</v>
      </c>
      <c r="Z73" s="133">
        <f>Z74+Z76+Z79+Z83+Z85+Z88+Z93+Z96</f>
        <v>214022.59999999998</v>
      </c>
      <c r="AA73" s="133">
        <f>AA74+AA76+AA79+AA83+AA85+AA88+AA93+AA96</f>
        <v>42560.338994999998</v>
      </c>
      <c r="AB73" s="134">
        <f t="shared" si="4"/>
        <v>0.19885908775521838</v>
      </c>
      <c r="AC73" s="133">
        <f>AC74+AC76+AC79+AC83+AC85+AC88+AC93+AC96</f>
        <v>0</v>
      </c>
      <c r="AD73" s="133">
        <f>AD74+AD76+AD79+AD83+AD85+AD88+AD93+AD96</f>
        <v>0</v>
      </c>
      <c r="AE73" s="134" t="str">
        <f t="shared" si="5"/>
        <v>-</v>
      </c>
      <c r="AF73" s="133">
        <f>AF74+AF76+AF79+AF83+AF85+AF88+AF93+AF96</f>
        <v>8962.5</v>
      </c>
      <c r="AG73" s="133">
        <f>AG74+AG76+AG79+AG83+AG85+AG88+AG93+AG96</f>
        <v>32569.164366000001</v>
      </c>
      <c r="AH73" s="134">
        <f t="shared" si="6"/>
        <v>3.6339374466945609</v>
      </c>
      <c r="AI73" s="135">
        <f>AI74+AI76+AI79+AI83+AI85+AI88+AI93+AI96</f>
        <v>74000</v>
      </c>
      <c r="AJ73" s="133">
        <f>AJ74+AJ76+AJ79+AJ83+AJ85+AJ88+AJ93+AJ96</f>
        <v>98051</v>
      </c>
      <c r="AK73" s="134">
        <f t="shared" si="7"/>
        <v>1.3250135135135135</v>
      </c>
      <c r="AL73" s="133">
        <f>AL74+AL76+AL79+AL83+AL85+AL88+AL93+AL96</f>
        <v>10100</v>
      </c>
      <c r="AM73" s="133">
        <f>AM74+AM76+AM79+AM83+AM85+AM88+AM93+AM96</f>
        <v>8524.9000000000015</v>
      </c>
      <c r="AN73" s="134">
        <f t="shared" si="8"/>
        <v>0.84404950495049524</v>
      </c>
      <c r="AO73" s="133">
        <f>AO74+AO76+AO79+AO83+AO85+AO88+AO93+AO96</f>
        <v>274</v>
      </c>
      <c r="AP73" s="133">
        <f>AP74+AP76+AP79+AP83+AP85+AP88+AP93+AP96</f>
        <v>397.79999999999995</v>
      </c>
      <c r="AQ73" s="134">
        <f t="shared" si="9"/>
        <v>1.451824817518248</v>
      </c>
      <c r="AR73" s="133">
        <f>AR74+AR76+AR79+AR83+AR85+AR88+AR93+AR96</f>
        <v>0</v>
      </c>
      <c r="AS73" s="133">
        <f>AS74+AS76+AS79+AS83+AS85+AS88+AS93+AS96</f>
        <v>3.5</v>
      </c>
      <c r="AT73" s="134" t="str">
        <f t="shared" si="10"/>
        <v>-</v>
      </c>
      <c r="AU73" s="133">
        <f>AU74+AU76+AU79+AU83+AU85+AU88+AU93+AU96</f>
        <v>0</v>
      </c>
      <c r="AV73" s="133">
        <f>AV74+AV76+AV79+AV83+AV85+AV88+AV93+AV96</f>
        <v>23</v>
      </c>
      <c r="AW73" s="134" t="str">
        <f t="shared" si="11"/>
        <v>-</v>
      </c>
      <c r="AX73" s="133">
        <f>AX74+AX76+AX79+AX83+AX85+AX88+AX93+AX96</f>
        <v>0</v>
      </c>
      <c r="AY73" s="133">
        <f>AY74+AY76+AY79+AY83+AY85+AY88+AY93+AY96</f>
        <v>8.6</v>
      </c>
      <c r="AZ73" s="134" t="str">
        <f t="shared" si="12"/>
        <v>-</v>
      </c>
      <c r="BA73" s="133">
        <f>BA74+BA76+BA79+BA83+BA85+BA88+BA93+BA96</f>
        <v>0</v>
      </c>
      <c r="BB73" s="133">
        <f>BB74+BB76+BB79+BB83+BB85+BB88+BB93+BB96</f>
        <v>8.5</v>
      </c>
      <c r="BC73" s="134" t="str">
        <f t="shared" si="13"/>
        <v>-</v>
      </c>
      <c r="BD73" s="133">
        <f>BD74+BD76+BD79+BD83+BD85+BD88+BD93+BD96</f>
        <v>0</v>
      </c>
      <c r="BE73" s="133">
        <f>BE74+BE76+BE79+BE83+BE85+BE88+BE93+BE96</f>
        <v>5.2</v>
      </c>
      <c r="BF73" s="134" t="str">
        <f t="shared" si="14"/>
        <v>-</v>
      </c>
      <c r="BG73" s="133">
        <f>BG74+BG76+BG79+BG83+BG85+BG88+BG93+BG96</f>
        <v>0</v>
      </c>
      <c r="BH73" s="133">
        <f>BH74+BH76+BH79+BH83+BH85+BH88+BH93+BH96</f>
        <v>2</v>
      </c>
      <c r="BI73" s="134" t="str">
        <f t="shared" si="15"/>
        <v>-</v>
      </c>
      <c r="BJ73" s="133">
        <f>BJ74+BJ76+BJ79+BJ83+BJ85+BJ88+BJ93+BJ96</f>
        <v>0</v>
      </c>
      <c r="BK73" s="133">
        <f>BK74+BK76+BK79+BK83+BK85+BK88+BK93+BK96</f>
        <v>17</v>
      </c>
      <c r="BL73" s="134" t="str">
        <f t="shared" si="16"/>
        <v>-</v>
      </c>
      <c r="BM73" s="133">
        <f>BM74+BM76+BM79+BM83+BM85+BM88+BM93+BM96</f>
        <v>0</v>
      </c>
      <c r="BN73" s="133">
        <f>BN74+BN76+BN79+BN83+BN85+BN88+BN93+BN96</f>
        <v>18.7</v>
      </c>
      <c r="BO73" s="134" t="str">
        <f t="shared" si="17"/>
        <v>-</v>
      </c>
      <c r="BP73" s="133">
        <f>BP74+BP76+BP79+BP83+BP85+BP88+BP93+BP96</f>
        <v>274</v>
      </c>
      <c r="BQ73" s="133">
        <f>BQ74+BQ76+BQ79+BQ83+BQ85+BQ88+BQ93+BQ96</f>
        <v>287.79999999999995</v>
      </c>
      <c r="BR73" s="134">
        <f t="shared" si="18"/>
        <v>1.0503649635036494</v>
      </c>
      <c r="BS73" s="133">
        <f>BS74+BS76+BS79+BS83+BS85+BS88+BS93+BS96</f>
        <v>0</v>
      </c>
      <c r="BT73" s="133">
        <f>BT74+BT76+BT79+BT83+BT85+BT88+BT93+BT96</f>
        <v>2</v>
      </c>
      <c r="BU73" s="134" t="str">
        <f t="shared" si="19"/>
        <v>-</v>
      </c>
      <c r="BV73" s="133">
        <f>BV74+BV76+BV79+BV83+BV85+BV88+BV93+BV96</f>
        <v>0</v>
      </c>
      <c r="BW73" s="133">
        <f>BW74+BW76+BW79+BW83+BW85+BW88+BW93+BW96</f>
        <v>12.5</v>
      </c>
      <c r="BX73" s="134" t="str">
        <f t="shared" si="20"/>
        <v>-</v>
      </c>
      <c r="BY73" s="133">
        <f>BY74+BY76+BY79+BY83+BY85+BY88+BY93+BY96</f>
        <v>0</v>
      </c>
      <c r="BZ73" s="133">
        <f>BZ74+BZ76+BZ79+BZ83+BZ85+BZ88+BZ93+BZ96</f>
        <v>7.5</v>
      </c>
      <c r="CA73" s="134" t="str">
        <f t="shared" si="21"/>
        <v>-</v>
      </c>
      <c r="CB73" s="133">
        <f>CB74+CB76+CB79+CB83+CB85+CB88+CB93+CB96</f>
        <v>0</v>
      </c>
      <c r="CC73" s="133">
        <f>CC74+CC76+CC79+CC83+CC85+CC88+CC93+CC96</f>
        <v>1</v>
      </c>
      <c r="CD73" s="134" t="str">
        <f t="shared" si="22"/>
        <v>-</v>
      </c>
      <c r="CE73" s="133">
        <f>CE74+CE76+CE79+CE83+CE85+CE88+CE93+CE96</f>
        <v>0</v>
      </c>
      <c r="CF73" s="133">
        <f>CF74+CF76+CF79+CF83+CF85+CF88+CF93+CF96</f>
        <v>0.5</v>
      </c>
      <c r="CG73" s="134" t="str">
        <f t="shared" si="23"/>
        <v>-</v>
      </c>
      <c r="CH73" s="133">
        <f>CH74+CH76+CH79+CH83+CH85+CH88+CH93+CH96</f>
        <v>0</v>
      </c>
      <c r="CI73" s="133">
        <f>CI74+CI76+CI79+CI83+CI85+CI88+CI93+CI96</f>
        <v>0</v>
      </c>
      <c r="CJ73" s="136" t="str">
        <f t="shared" si="24"/>
        <v>-</v>
      </c>
      <c r="CK73" s="94" t="str">
        <f t="shared" si="25"/>
        <v>ok</v>
      </c>
      <c r="CL73" s="94"/>
    </row>
    <row r="74" spans="3:91" s="125" customFormat="1" ht="21" customHeight="1" x14ac:dyDescent="0.75">
      <c r="C74" s="96">
        <v>21</v>
      </c>
      <c r="D74" s="96">
        <f>IFERROR(INDEX([4]Account!$A:$A,MATCH(K74,[4]Account!$D:$D,0)),"")</f>
        <v>102</v>
      </c>
      <c r="E74" s="96">
        <v>21</v>
      </c>
      <c r="F74" s="96">
        <f>IFERROR(INDEX([4]Account!$A:$A,MATCH(K74,[4]Account!$D:$D,0)),"")</f>
        <v>102</v>
      </c>
      <c r="G74" s="96" t="str">
        <f>IFERROR(INDEX('[5]Sub Account'!$A:$A,MATCH(L74,'[5]Sub Account'!$D:$D,0)),"")</f>
        <v/>
      </c>
      <c r="H74" s="96">
        <v>1</v>
      </c>
      <c r="I74" s="96">
        <v>2</v>
      </c>
      <c r="J74" s="231"/>
      <c r="K74" s="237">
        <v>7300</v>
      </c>
      <c r="L74" s="98"/>
      <c r="M74" s="99" t="s">
        <v>100</v>
      </c>
      <c r="N74" s="100">
        <f>SUM(N75)</f>
        <v>8916</v>
      </c>
      <c r="O74" s="100">
        <f>SUM(O75)</f>
        <v>32504.464366</v>
      </c>
      <c r="P74" s="101">
        <f t="shared" si="0"/>
        <v>3.6456330603409599</v>
      </c>
      <c r="Q74" s="102">
        <f t="shared" ref="Q74:R74" si="67">SUM(Q75)</f>
        <v>8916</v>
      </c>
      <c r="R74" s="102">
        <f t="shared" si="67"/>
        <v>32504.464366</v>
      </c>
      <c r="S74" s="103">
        <f t="shared" si="1"/>
        <v>3.6456330603409599</v>
      </c>
      <c r="T74" s="104">
        <f t="shared" ref="T74:U74" si="68">SUM(T75)</f>
        <v>8916</v>
      </c>
      <c r="U74" s="104">
        <f t="shared" si="68"/>
        <v>32504.464366</v>
      </c>
      <c r="V74" s="105">
        <f t="shared" si="2"/>
        <v>3.6456330603409599</v>
      </c>
      <c r="W74" s="104">
        <f>SUM(W75)</f>
        <v>8916</v>
      </c>
      <c r="X74" s="104">
        <f>SUM(X75)</f>
        <v>32504.464366</v>
      </c>
      <c r="Y74" s="105">
        <f t="shared" si="3"/>
        <v>3.6456330603409599</v>
      </c>
      <c r="Z74" s="104">
        <f>SUM(Z75)</f>
        <v>0</v>
      </c>
      <c r="AA74" s="104">
        <f>SUM(AA75)</f>
        <v>0</v>
      </c>
      <c r="AB74" s="105" t="str">
        <f t="shared" si="4"/>
        <v>-</v>
      </c>
      <c r="AC74" s="104">
        <f>SUM(AC75)</f>
        <v>0</v>
      </c>
      <c r="AD74" s="104">
        <f>SUM(AD75)</f>
        <v>0</v>
      </c>
      <c r="AE74" s="105" t="str">
        <f t="shared" si="5"/>
        <v>-</v>
      </c>
      <c r="AF74" s="104">
        <f>SUM(AF75)</f>
        <v>8916</v>
      </c>
      <c r="AG74" s="104">
        <f>SUM(AG75)</f>
        <v>32504.464366</v>
      </c>
      <c r="AH74" s="105">
        <f t="shared" si="6"/>
        <v>3.6456330603409599</v>
      </c>
      <c r="AI74" s="106">
        <f>SUM(AI75)</f>
        <v>0</v>
      </c>
      <c r="AJ74" s="104">
        <f>SUM(AJ75)</f>
        <v>0</v>
      </c>
      <c r="AK74" s="105" t="str">
        <f t="shared" si="7"/>
        <v>-</v>
      </c>
      <c r="AL74" s="104">
        <f>SUM(AL75)</f>
        <v>0</v>
      </c>
      <c r="AM74" s="104">
        <f>SUM(AM75)</f>
        <v>0</v>
      </c>
      <c r="AN74" s="105" t="str">
        <f t="shared" si="8"/>
        <v>-</v>
      </c>
      <c r="AO74" s="104">
        <f>SUM(AO75)</f>
        <v>0</v>
      </c>
      <c r="AP74" s="104">
        <f>SUM(AP75)</f>
        <v>0</v>
      </c>
      <c r="AQ74" s="105" t="str">
        <f t="shared" si="9"/>
        <v>-</v>
      </c>
      <c r="AR74" s="104">
        <f>SUM(AR75)</f>
        <v>0</v>
      </c>
      <c r="AS74" s="104">
        <f>SUM(AS75)</f>
        <v>0</v>
      </c>
      <c r="AT74" s="105" t="str">
        <f t="shared" si="10"/>
        <v>-</v>
      </c>
      <c r="AU74" s="104">
        <f>SUM(AU75)</f>
        <v>0</v>
      </c>
      <c r="AV74" s="104">
        <f>SUM(AV75)</f>
        <v>0</v>
      </c>
      <c r="AW74" s="105" t="str">
        <f t="shared" si="11"/>
        <v>-</v>
      </c>
      <c r="AX74" s="104">
        <f>SUM(AX75)</f>
        <v>0</v>
      </c>
      <c r="AY74" s="104">
        <f>SUM(AY75)</f>
        <v>0</v>
      </c>
      <c r="AZ74" s="105" t="str">
        <f t="shared" si="12"/>
        <v>-</v>
      </c>
      <c r="BA74" s="104">
        <f>SUM(BA75)</f>
        <v>0</v>
      </c>
      <c r="BB74" s="104">
        <f>SUM(BB75)</f>
        <v>0</v>
      </c>
      <c r="BC74" s="105" t="str">
        <f t="shared" si="13"/>
        <v>-</v>
      </c>
      <c r="BD74" s="104">
        <f>SUM(BD75)</f>
        <v>0</v>
      </c>
      <c r="BE74" s="104">
        <f>SUM(BE75)</f>
        <v>0</v>
      </c>
      <c r="BF74" s="105" t="str">
        <f t="shared" si="14"/>
        <v>-</v>
      </c>
      <c r="BG74" s="104">
        <f>SUM(BG75)</f>
        <v>0</v>
      </c>
      <c r="BH74" s="104">
        <f>SUM(BH75)</f>
        <v>0</v>
      </c>
      <c r="BI74" s="105" t="str">
        <f t="shared" si="15"/>
        <v>-</v>
      </c>
      <c r="BJ74" s="104">
        <f>SUM(BJ75)</f>
        <v>0</v>
      </c>
      <c r="BK74" s="104">
        <f>SUM(BK75)</f>
        <v>0</v>
      </c>
      <c r="BL74" s="105" t="str">
        <f t="shared" si="16"/>
        <v>-</v>
      </c>
      <c r="BM74" s="104">
        <f>SUM(BM75)</f>
        <v>0</v>
      </c>
      <c r="BN74" s="104">
        <f>SUM(BN75)</f>
        <v>0</v>
      </c>
      <c r="BO74" s="105" t="str">
        <f t="shared" si="17"/>
        <v>-</v>
      </c>
      <c r="BP74" s="104">
        <f>SUM(BP75)</f>
        <v>0</v>
      </c>
      <c r="BQ74" s="104">
        <f>SUM(BQ75)</f>
        <v>0</v>
      </c>
      <c r="BR74" s="105" t="str">
        <f t="shared" si="18"/>
        <v>-</v>
      </c>
      <c r="BS74" s="104">
        <f>SUM(BS75)</f>
        <v>0</v>
      </c>
      <c r="BT74" s="104">
        <f>SUM(BT75)</f>
        <v>0</v>
      </c>
      <c r="BU74" s="105" t="str">
        <f t="shared" si="19"/>
        <v>-</v>
      </c>
      <c r="BV74" s="104">
        <f>SUM(BV75)</f>
        <v>0</v>
      </c>
      <c r="BW74" s="104">
        <f>SUM(BW75)</f>
        <v>0</v>
      </c>
      <c r="BX74" s="105" t="str">
        <f t="shared" si="20"/>
        <v>-</v>
      </c>
      <c r="BY74" s="104">
        <f>SUM(BY75)</f>
        <v>0</v>
      </c>
      <c r="BZ74" s="104">
        <f>SUM(BZ75)</f>
        <v>0</v>
      </c>
      <c r="CA74" s="105" t="str">
        <f t="shared" si="21"/>
        <v>-</v>
      </c>
      <c r="CB74" s="104">
        <f>SUM(CB75)</f>
        <v>0</v>
      </c>
      <c r="CC74" s="104">
        <f>SUM(CC75)</f>
        <v>0</v>
      </c>
      <c r="CD74" s="105" t="str">
        <f t="shared" si="22"/>
        <v>-</v>
      </c>
      <c r="CE74" s="104">
        <f>SUM(CE75)</f>
        <v>0</v>
      </c>
      <c r="CF74" s="104">
        <f>SUM(CF75)</f>
        <v>0</v>
      </c>
      <c r="CG74" s="105" t="str">
        <f t="shared" si="23"/>
        <v>-</v>
      </c>
      <c r="CH74" s="104">
        <f>SUM(CH75)</f>
        <v>0</v>
      </c>
      <c r="CI74" s="104">
        <f>SUM(CI75)</f>
        <v>0</v>
      </c>
      <c r="CJ74" s="107" t="str">
        <f t="shared" si="24"/>
        <v>-</v>
      </c>
      <c r="CK74" s="108" t="str">
        <f t="shared" si="25"/>
        <v>ok</v>
      </c>
      <c r="CL74" s="108"/>
    </row>
    <row r="75" spans="3:91" s="124" customFormat="1" ht="21" customHeight="1" x14ac:dyDescent="0.75">
      <c r="C75" s="96">
        <v>21</v>
      </c>
      <c r="D75" s="96" t="str">
        <f>IFERROR(INDEX([4]Account!$A:$A,MATCH(K75,[4]Account!$D:$D,0)),"")</f>
        <v/>
      </c>
      <c r="E75" s="96">
        <v>21</v>
      </c>
      <c r="F75" s="96">
        <v>102</v>
      </c>
      <c r="G75" s="96">
        <f>IFERROR(INDEX('[5]Sub Account'!$A:$A,MATCH(L75,'[5]Sub Account'!$D:$D,0)),"")</f>
        <v>476</v>
      </c>
      <c r="H75" s="96">
        <v>1</v>
      </c>
      <c r="I75" s="96">
        <v>2</v>
      </c>
      <c r="J75" s="228"/>
      <c r="K75" s="111"/>
      <c r="L75" s="112">
        <v>73001</v>
      </c>
      <c r="M75" s="113" t="s">
        <v>101</v>
      </c>
      <c r="N75" s="114">
        <f>Q75+CH75</f>
        <v>8916</v>
      </c>
      <c r="O75" s="114">
        <f>R75+CI75</f>
        <v>32504.464366</v>
      </c>
      <c r="P75" s="115">
        <f t="shared" si="0"/>
        <v>3.6456330603409599</v>
      </c>
      <c r="Q75" s="116">
        <f>T75+AO75</f>
        <v>8916</v>
      </c>
      <c r="R75" s="116">
        <f>U75+AP75</f>
        <v>32504.464366</v>
      </c>
      <c r="S75" s="117">
        <f t="shared" si="1"/>
        <v>3.6456330603409599</v>
      </c>
      <c r="T75" s="118">
        <f>W75+AI75+AL75</f>
        <v>8916</v>
      </c>
      <c r="U75" s="118">
        <f>X75+AJ75+AM75</f>
        <v>32504.464366</v>
      </c>
      <c r="V75" s="119">
        <f t="shared" si="2"/>
        <v>3.6456330603409599</v>
      </c>
      <c r="W75" s="118">
        <f t="shared" ref="W75:X75" si="69">Z75+AC75+AF75</f>
        <v>8916</v>
      </c>
      <c r="X75" s="118">
        <f t="shared" si="69"/>
        <v>32504.464366</v>
      </c>
      <c r="Y75" s="119">
        <f t="shared" si="3"/>
        <v>3.6456330603409599</v>
      </c>
      <c r="Z75" s="118"/>
      <c r="AA75" s="118"/>
      <c r="AB75" s="119" t="str">
        <f t="shared" si="4"/>
        <v>-</v>
      </c>
      <c r="AC75" s="118"/>
      <c r="AD75" s="118"/>
      <c r="AE75" s="119" t="str">
        <f t="shared" si="5"/>
        <v>-</v>
      </c>
      <c r="AF75" s="118">
        <v>8916</v>
      </c>
      <c r="AG75" s="118">
        <v>32504.464366</v>
      </c>
      <c r="AH75" s="119">
        <f t="shared" si="6"/>
        <v>3.6456330603409599</v>
      </c>
      <c r="AI75" s="120"/>
      <c r="AJ75" s="118"/>
      <c r="AK75" s="119" t="str">
        <f t="shared" si="7"/>
        <v>-</v>
      </c>
      <c r="AL75" s="118"/>
      <c r="AM75" s="118"/>
      <c r="AN75" s="119" t="str">
        <f t="shared" si="8"/>
        <v>-</v>
      </c>
      <c r="AO75" s="118">
        <f>AR75+AU75+AX75+BA75+BG75+BJ75+BM75+BP75+BS75+BV75+BY75+CB75+CE75</f>
        <v>0</v>
      </c>
      <c r="AP75" s="118">
        <f>AS75+AV75+AY75+BB75+BH75+BK75+BN75+BQ75+BT75+BW75+BZ75+CC75+CF75</f>
        <v>0</v>
      </c>
      <c r="AQ75" s="119" t="str">
        <f t="shared" si="9"/>
        <v>-</v>
      </c>
      <c r="AR75" s="118"/>
      <c r="AS75" s="118"/>
      <c r="AT75" s="119" t="str">
        <f t="shared" si="10"/>
        <v>-</v>
      </c>
      <c r="AU75" s="118"/>
      <c r="AV75" s="118"/>
      <c r="AW75" s="119" t="str">
        <f t="shared" si="11"/>
        <v>-</v>
      </c>
      <c r="AX75" s="118"/>
      <c r="AY75" s="118"/>
      <c r="AZ75" s="119" t="str">
        <f t="shared" si="12"/>
        <v>-</v>
      </c>
      <c r="BA75" s="118"/>
      <c r="BB75" s="118"/>
      <c r="BC75" s="119" t="str">
        <f t="shared" si="13"/>
        <v>-</v>
      </c>
      <c r="BD75" s="118"/>
      <c r="BE75" s="118"/>
      <c r="BF75" s="119" t="str">
        <f t="shared" si="14"/>
        <v>-</v>
      </c>
      <c r="BG75" s="118"/>
      <c r="BH75" s="118"/>
      <c r="BI75" s="119" t="str">
        <f t="shared" si="15"/>
        <v>-</v>
      </c>
      <c r="BJ75" s="118"/>
      <c r="BK75" s="118"/>
      <c r="BL75" s="119" t="str">
        <f t="shared" si="16"/>
        <v>-</v>
      </c>
      <c r="BM75" s="118"/>
      <c r="BN75" s="118"/>
      <c r="BO75" s="119" t="str">
        <f t="shared" si="17"/>
        <v>-</v>
      </c>
      <c r="BP75" s="118"/>
      <c r="BQ75" s="118"/>
      <c r="BR75" s="119" t="str">
        <f t="shared" si="18"/>
        <v>-</v>
      </c>
      <c r="BS75" s="118"/>
      <c r="BT75" s="118"/>
      <c r="BU75" s="119" t="str">
        <f t="shared" si="19"/>
        <v>-</v>
      </c>
      <c r="BV75" s="118"/>
      <c r="BW75" s="118"/>
      <c r="BX75" s="119" t="str">
        <f t="shared" si="20"/>
        <v>-</v>
      </c>
      <c r="BY75" s="118"/>
      <c r="BZ75" s="118"/>
      <c r="CA75" s="119" t="str">
        <f t="shared" si="21"/>
        <v>-</v>
      </c>
      <c r="CB75" s="118"/>
      <c r="CC75" s="118"/>
      <c r="CD75" s="119" t="str">
        <f t="shared" si="22"/>
        <v>-</v>
      </c>
      <c r="CE75" s="118"/>
      <c r="CF75" s="118"/>
      <c r="CG75" s="119" t="str">
        <f t="shared" si="23"/>
        <v>-</v>
      </c>
      <c r="CH75" s="118"/>
      <c r="CI75" s="118"/>
      <c r="CJ75" s="121" t="str">
        <f t="shared" si="24"/>
        <v>-</v>
      </c>
      <c r="CK75" s="122" t="str">
        <f t="shared" si="25"/>
        <v>ok</v>
      </c>
      <c r="CL75" s="122"/>
    </row>
    <row r="76" spans="3:91" s="125" customFormat="1" ht="21" customHeight="1" x14ac:dyDescent="0.75">
      <c r="C76" s="96">
        <v>21</v>
      </c>
      <c r="D76" s="96">
        <f>IFERROR(INDEX([4]Account!$A:$A,MATCH(K76,[4]Account!$D:$D,0)),"")</f>
        <v>103</v>
      </c>
      <c r="E76" s="96">
        <v>21</v>
      </c>
      <c r="F76" s="96">
        <f>IFERROR(INDEX([4]Account!$A:$A,MATCH(K76,[4]Account!$D:$D,0)),"")</f>
        <v>103</v>
      </c>
      <c r="G76" s="96" t="str">
        <f>IFERROR(INDEX('[5]Sub Account'!$A:$A,MATCH(L76,'[5]Sub Account'!$D:$D,0)),"")</f>
        <v/>
      </c>
      <c r="H76" s="96">
        <v>1</v>
      </c>
      <c r="I76" s="96">
        <v>2</v>
      </c>
      <c r="J76" s="231"/>
      <c r="K76" s="237">
        <v>7301</v>
      </c>
      <c r="L76" s="98"/>
      <c r="M76" s="99" t="s">
        <v>102</v>
      </c>
      <c r="N76" s="100">
        <f>SUM(N77:N78)</f>
        <v>32150</v>
      </c>
      <c r="O76" s="100">
        <f>SUM(O77:O78)</f>
        <v>30119.599999999999</v>
      </c>
      <c r="P76" s="101">
        <f t="shared" si="0"/>
        <v>0.93684603421461898</v>
      </c>
      <c r="Q76" s="102">
        <f t="shared" ref="Q76:R76" si="70">SUM(Q77:Q78)</f>
        <v>32150</v>
      </c>
      <c r="R76" s="102">
        <f t="shared" si="70"/>
        <v>30119.599999999999</v>
      </c>
      <c r="S76" s="103">
        <f t="shared" si="1"/>
        <v>0.93684603421461898</v>
      </c>
      <c r="T76" s="104">
        <f t="shared" ref="T76:U76" si="71">SUM(T77:T78)</f>
        <v>32150</v>
      </c>
      <c r="U76" s="104">
        <f t="shared" si="71"/>
        <v>30119.599999999999</v>
      </c>
      <c r="V76" s="105">
        <f t="shared" si="2"/>
        <v>0.93684603421461898</v>
      </c>
      <c r="W76" s="104">
        <f t="shared" ref="W76:X76" si="72">SUM(W77:W78)</f>
        <v>0</v>
      </c>
      <c r="X76" s="104">
        <f t="shared" si="72"/>
        <v>0</v>
      </c>
      <c r="Y76" s="105" t="str">
        <f t="shared" si="3"/>
        <v>-</v>
      </c>
      <c r="Z76" s="104">
        <f t="shared" ref="Z76:AA76" si="73">SUM(Z77:Z78)</f>
        <v>0</v>
      </c>
      <c r="AA76" s="104">
        <f t="shared" si="73"/>
        <v>0</v>
      </c>
      <c r="AB76" s="105" t="str">
        <f t="shared" si="4"/>
        <v>-</v>
      </c>
      <c r="AC76" s="104">
        <f t="shared" ref="AC76:AD76" si="74">SUM(AC77:AC78)</f>
        <v>0</v>
      </c>
      <c r="AD76" s="104">
        <f t="shared" si="74"/>
        <v>0</v>
      </c>
      <c r="AE76" s="105" t="str">
        <f t="shared" si="5"/>
        <v>-</v>
      </c>
      <c r="AF76" s="104">
        <f t="shared" ref="AF76:AG76" si="75">SUM(AF77:AF78)</f>
        <v>0</v>
      </c>
      <c r="AG76" s="104">
        <f t="shared" si="75"/>
        <v>0</v>
      </c>
      <c r="AH76" s="105" t="str">
        <f t="shared" si="6"/>
        <v>-</v>
      </c>
      <c r="AI76" s="106">
        <f t="shared" ref="AI76:AJ76" si="76">SUM(AI77:AI78)</f>
        <v>26150</v>
      </c>
      <c r="AJ76" s="104">
        <f t="shared" si="76"/>
        <v>26848</v>
      </c>
      <c r="AK76" s="105">
        <f t="shared" si="7"/>
        <v>1.0266921606118546</v>
      </c>
      <c r="AL76" s="104">
        <f t="shared" ref="AL76:AM76" si="77">SUM(AL77:AL78)</f>
        <v>6000</v>
      </c>
      <c r="AM76" s="104">
        <f t="shared" si="77"/>
        <v>3271.6</v>
      </c>
      <c r="AN76" s="105">
        <f t="shared" si="8"/>
        <v>0.54526666666666668</v>
      </c>
      <c r="AO76" s="104">
        <f t="shared" ref="AO76:AP76" si="78">SUM(AO77:AO78)</f>
        <v>0</v>
      </c>
      <c r="AP76" s="104">
        <f t="shared" si="78"/>
        <v>0</v>
      </c>
      <c r="AQ76" s="105" t="str">
        <f t="shared" si="9"/>
        <v>-</v>
      </c>
      <c r="AR76" s="104">
        <f t="shared" ref="AR76:AS76" si="79">SUM(AR77:AR78)</f>
        <v>0</v>
      </c>
      <c r="AS76" s="104">
        <f t="shared" si="79"/>
        <v>0</v>
      </c>
      <c r="AT76" s="105" t="str">
        <f t="shared" si="10"/>
        <v>-</v>
      </c>
      <c r="AU76" s="104">
        <f t="shared" ref="AU76:AV76" si="80">SUM(AU77:AU78)</f>
        <v>0</v>
      </c>
      <c r="AV76" s="104">
        <f t="shared" si="80"/>
        <v>0</v>
      </c>
      <c r="AW76" s="105" t="str">
        <f t="shared" si="11"/>
        <v>-</v>
      </c>
      <c r="AX76" s="104">
        <f t="shared" ref="AX76:AY76" si="81">SUM(AX77:AX78)</f>
        <v>0</v>
      </c>
      <c r="AY76" s="104">
        <f t="shared" si="81"/>
        <v>0</v>
      </c>
      <c r="AZ76" s="105" t="str">
        <f t="shared" si="12"/>
        <v>-</v>
      </c>
      <c r="BA76" s="104">
        <f t="shared" ref="BA76:BB76" si="82">SUM(BA77:BA78)</f>
        <v>0</v>
      </c>
      <c r="BB76" s="104">
        <f t="shared" si="82"/>
        <v>0</v>
      </c>
      <c r="BC76" s="105" t="str">
        <f t="shared" si="13"/>
        <v>-</v>
      </c>
      <c r="BD76" s="104">
        <f t="shared" ref="BD76:BE76" si="83">SUM(BD77:BD78)</f>
        <v>0</v>
      </c>
      <c r="BE76" s="104">
        <f t="shared" si="83"/>
        <v>0</v>
      </c>
      <c r="BF76" s="105" t="str">
        <f t="shared" si="14"/>
        <v>-</v>
      </c>
      <c r="BG76" s="104">
        <f t="shared" ref="BG76:BH76" si="84">SUM(BG77:BG78)</f>
        <v>0</v>
      </c>
      <c r="BH76" s="104">
        <f t="shared" si="84"/>
        <v>0</v>
      </c>
      <c r="BI76" s="105" t="str">
        <f t="shared" si="15"/>
        <v>-</v>
      </c>
      <c r="BJ76" s="104">
        <f t="shared" ref="BJ76:BK76" si="85">SUM(BJ77:BJ78)</f>
        <v>0</v>
      </c>
      <c r="BK76" s="104">
        <f t="shared" si="85"/>
        <v>0</v>
      </c>
      <c r="BL76" s="105" t="str">
        <f t="shared" si="16"/>
        <v>-</v>
      </c>
      <c r="BM76" s="104">
        <f t="shared" ref="BM76:BN76" si="86">SUM(BM77:BM78)</f>
        <v>0</v>
      </c>
      <c r="BN76" s="104">
        <f t="shared" si="86"/>
        <v>0</v>
      </c>
      <c r="BO76" s="105" t="str">
        <f t="shared" si="17"/>
        <v>-</v>
      </c>
      <c r="BP76" s="104">
        <f t="shared" ref="BP76:BQ76" si="87">SUM(BP77:BP78)</f>
        <v>0</v>
      </c>
      <c r="BQ76" s="104">
        <f t="shared" si="87"/>
        <v>0</v>
      </c>
      <c r="BR76" s="105" t="str">
        <f t="shared" si="18"/>
        <v>-</v>
      </c>
      <c r="BS76" s="104">
        <f t="shared" ref="BS76:BT76" si="88">SUM(BS77:BS78)</f>
        <v>0</v>
      </c>
      <c r="BT76" s="104">
        <f t="shared" si="88"/>
        <v>0</v>
      </c>
      <c r="BU76" s="105" t="str">
        <f t="shared" si="19"/>
        <v>-</v>
      </c>
      <c r="BV76" s="104">
        <f t="shared" ref="BV76:BW76" si="89">SUM(BV77:BV78)</f>
        <v>0</v>
      </c>
      <c r="BW76" s="104">
        <f t="shared" si="89"/>
        <v>0</v>
      </c>
      <c r="BX76" s="105" t="str">
        <f t="shared" si="20"/>
        <v>-</v>
      </c>
      <c r="BY76" s="104">
        <f t="shared" ref="BY76:BZ76" si="90">SUM(BY77:BY78)</f>
        <v>0</v>
      </c>
      <c r="BZ76" s="104">
        <f t="shared" si="90"/>
        <v>0</v>
      </c>
      <c r="CA76" s="105" t="str">
        <f t="shared" si="21"/>
        <v>-</v>
      </c>
      <c r="CB76" s="104">
        <f t="shared" ref="CB76:CC76" si="91">SUM(CB77:CB78)</f>
        <v>0</v>
      </c>
      <c r="CC76" s="104">
        <f t="shared" si="91"/>
        <v>0</v>
      </c>
      <c r="CD76" s="105" t="str">
        <f t="shared" si="22"/>
        <v>-</v>
      </c>
      <c r="CE76" s="104">
        <f t="shared" ref="CE76:CF76" si="92">SUM(CE77:CE78)</f>
        <v>0</v>
      </c>
      <c r="CF76" s="104">
        <f t="shared" si="92"/>
        <v>0</v>
      </c>
      <c r="CG76" s="105" t="str">
        <f t="shared" si="23"/>
        <v>-</v>
      </c>
      <c r="CH76" s="104">
        <f t="shared" ref="CH76:CI76" si="93">SUM(CH77:CH78)</f>
        <v>0</v>
      </c>
      <c r="CI76" s="104">
        <f t="shared" si="93"/>
        <v>0</v>
      </c>
      <c r="CJ76" s="107" t="str">
        <f t="shared" si="24"/>
        <v>-</v>
      </c>
      <c r="CK76" s="108" t="str">
        <f t="shared" si="25"/>
        <v>ok</v>
      </c>
      <c r="CL76" s="108"/>
    </row>
    <row r="77" spans="3:91" s="124" customFormat="1" ht="21" customHeight="1" x14ac:dyDescent="0.75">
      <c r="C77" s="96">
        <v>21</v>
      </c>
      <c r="D77" s="96" t="str">
        <f>IFERROR(INDEX([4]Account!$A:$A,MATCH(K77,[4]Account!$D:$D,0)),"")</f>
        <v/>
      </c>
      <c r="E77" s="96">
        <v>21</v>
      </c>
      <c r="F77" s="96">
        <v>103</v>
      </c>
      <c r="G77" s="96">
        <f>IFERROR(INDEX('[5]Sub Account'!$A:$A,MATCH(L77,'[5]Sub Account'!$D:$D,0)),"")</f>
        <v>515</v>
      </c>
      <c r="H77" s="96">
        <v>1</v>
      </c>
      <c r="I77" s="96">
        <v>2</v>
      </c>
      <c r="J77" s="228"/>
      <c r="K77" s="111"/>
      <c r="L77" s="112">
        <v>73011</v>
      </c>
      <c r="M77" s="113" t="s">
        <v>103</v>
      </c>
      <c r="N77" s="114">
        <f>Q77+CH77</f>
        <v>0</v>
      </c>
      <c r="O77" s="114">
        <f>R77+CI77</f>
        <v>0</v>
      </c>
      <c r="P77" s="115" t="str">
        <f t="shared" si="0"/>
        <v>-</v>
      </c>
      <c r="Q77" s="116">
        <f>T77+AO77</f>
        <v>0</v>
      </c>
      <c r="R77" s="116">
        <f>U77+AP77</f>
        <v>0</v>
      </c>
      <c r="S77" s="117" t="str">
        <f t="shared" si="1"/>
        <v>-</v>
      </c>
      <c r="T77" s="118">
        <f>W77+AI77+AL77</f>
        <v>0</v>
      </c>
      <c r="U77" s="118">
        <f>X77+AJ77+AM77</f>
        <v>0</v>
      </c>
      <c r="V77" s="119" t="str">
        <f t="shared" si="2"/>
        <v>-</v>
      </c>
      <c r="W77" s="118">
        <f t="shared" ref="W77:X78" si="94">Z77+AC77+AF77</f>
        <v>0</v>
      </c>
      <c r="X77" s="118">
        <f t="shared" si="94"/>
        <v>0</v>
      </c>
      <c r="Y77" s="119" t="str">
        <f t="shared" si="3"/>
        <v>-</v>
      </c>
      <c r="Z77" s="118"/>
      <c r="AA77" s="118"/>
      <c r="AB77" s="119" t="str">
        <f t="shared" si="4"/>
        <v>-</v>
      </c>
      <c r="AC77" s="118"/>
      <c r="AD77" s="118"/>
      <c r="AE77" s="119" t="str">
        <f t="shared" si="5"/>
        <v>-</v>
      </c>
      <c r="AF77" s="118"/>
      <c r="AG77" s="118"/>
      <c r="AH77" s="119" t="str">
        <f t="shared" si="6"/>
        <v>-</v>
      </c>
      <c r="AI77" s="120"/>
      <c r="AJ77" s="118"/>
      <c r="AK77" s="119" t="str">
        <f t="shared" si="7"/>
        <v>-</v>
      </c>
      <c r="AL77" s="118"/>
      <c r="AM77" s="118"/>
      <c r="AN77" s="119" t="str">
        <f t="shared" si="8"/>
        <v>-</v>
      </c>
      <c r="AO77" s="118">
        <f t="shared" ref="AO77:AP78" si="95">AR77+AU77+AX77+BA77+BG77+BJ77+BM77+BP77+BS77+BV77+BY77+CB77+CE77</f>
        <v>0</v>
      </c>
      <c r="AP77" s="118">
        <f t="shared" si="95"/>
        <v>0</v>
      </c>
      <c r="AQ77" s="119" t="str">
        <f t="shared" si="9"/>
        <v>-</v>
      </c>
      <c r="AR77" s="118"/>
      <c r="AS77" s="118"/>
      <c r="AT77" s="119" t="str">
        <f t="shared" si="10"/>
        <v>-</v>
      </c>
      <c r="AU77" s="118"/>
      <c r="AV77" s="118"/>
      <c r="AW77" s="119" t="str">
        <f t="shared" si="11"/>
        <v>-</v>
      </c>
      <c r="AX77" s="118"/>
      <c r="AY77" s="118"/>
      <c r="AZ77" s="119" t="str">
        <f t="shared" si="12"/>
        <v>-</v>
      </c>
      <c r="BA77" s="118"/>
      <c r="BB77" s="118"/>
      <c r="BC77" s="119" t="str">
        <f t="shared" si="13"/>
        <v>-</v>
      </c>
      <c r="BD77" s="118"/>
      <c r="BE77" s="118"/>
      <c r="BF77" s="119" t="str">
        <f t="shared" si="14"/>
        <v>-</v>
      </c>
      <c r="BG77" s="118"/>
      <c r="BH77" s="118"/>
      <c r="BI77" s="119" t="str">
        <f t="shared" si="15"/>
        <v>-</v>
      </c>
      <c r="BJ77" s="118"/>
      <c r="BK77" s="118"/>
      <c r="BL77" s="119" t="str">
        <f t="shared" si="16"/>
        <v>-</v>
      </c>
      <c r="BM77" s="118"/>
      <c r="BN77" s="118"/>
      <c r="BO77" s="119" t="str">
        <f t="shared" si="17"/>
        <v>-</v>
      </c>
      <c r="BP77" s="118"/>
      <c r="BQ77" s="118"/>
      <c r="BR77" s="119" t="str">
        <f t="shared" si="18"/>
        <v>-</v>
      </c>
      <c r="BS77" s="118"/>
      <c r="BT77" s="118"/>
      <c r="BU77" s="119" t="str">
        <f t="shared" si="19"/>
        <v>-</v>
      </c>
      <c r="BV77" s="118"/>
      <c r="BW77" s="118"/>
      <c r="BX77" s="119" t="str">
        <f t="shared" si="20"/>
        <v>-</v>
      </c>
      <c r="BY77" s="118"/>
      <c r="BZ77" s="118"/>
      <c r="CA77" s="119" t="str">
        <f t="shared" si="21"/>
        <v>-</v>
      </c>
      <c r="CB77" s="118"/>
      <c r="CC77" s="118"/>
      <c r="CD77" s="119" t="str">
        <f t="shared" si="22"/>
        <v>-</v>
      </c>
      <c r="CE77" s="118"/>
      <c r="CF77" s="118"/>
      <c r="CG77" s="119" t="str">
        <f t="shared" si="23"/>
        <v>-</v>
      </c>
      <c r="CH77" s="118"/>
      <c r="CI77" s="118"/>
      <c r="CJ77" s="121" t="str">
        <f t="shared" si="24"/>
        <v>-</v>
      </c>
      <c r="CK77" s="122" t="str">
        <f t="shared" si="25"/>
        <v>-</v>
      </c>
      <c r="CL77" s="122"/>
    </row>
    <row r="78" spans="3:91" s="124" customFormat="1" ht="21" customHeight="1" x14ac:dyDescent="0.75">
      <c r="C78" s="96">
        <v>21</v>
      </c>
      <c r="D78" s="96" t="str">
        <f>IFERROR(INDEX([4]Account!$A:$A,MATCH(K78,[4]Account!$D:$D,0)),"")</f>
        <v/>
      </c>
      <c r="E78" s="96">
        <v>21</v>
      </c>
      <c r="F78" s="96">
        <v>103</v>
      </c>
      <c r="G78" s="96">
        <f>IFERROR(INDEX('[5]Sub Account'!$A:$A,MATCH(L78,'[5]Sub Account'!$D:$D,0)),"")</f>
        <v>467</v>
      </c>
      <c r="H78" s="96">
        <v>1</v>
      </c>
      <c r="I78" s="96">
        <v>2</v>
      </c>
      <c r="J78" s="228"/>
      <c r="K78" s="111"/>
      <c r="L78" s="112">
        <v>73012</v>
      </c>
      <c r="M78" s="113" t="s">
        <v>104</v>
      </c>
      <c r="N78" s="114">
        <f>Q78+CH78</f>
        <v>32150</v>
      </c>
      <c r="O78" s="114">
        <f>R78+CI78</f>
        <v>30119.599999999999</v>
      </c>
      <c r="P78" s="115">
        <f t="shared" si="0"/>
        <v>0.93684603421461898</v>
      </c>
      <c r="Q78" s="116">
        <f>T78+AO78</f>
        <v>32150</v>
      </c>
      <c r="R78" s="116">
        <f>U78+AP78</f>
        <v>30119.599999999999</v>
      </c>
      <c r="S78" s="117">
        <f t="shared" si="1"/>
        <v>0.93684603421461898</v>
      </c>
      <c r="T78" s="118">
        <f>W78+AI78+AL78</f>
        <v>32150</v>
      </c>
      <c r="U78" s="118">
        <f>X78+AJ78+AM78</f>
        <v>30119.599999999999</v>
      </c>
      <c r="V78" s="119">
        <f t="shared" si="2"/>
        <v>0.93684603421461898</v>
      </c>
      <c r="W78" s="118">
        <f t="shared" si="94"/>
        <v>0</v>
      </c>
      <c r="X78" s="118">
        <f t="shared" si="94"/>
        <v>0</v>
      </c>
      <c r="Y78" s="119" t="str">
        <f t="shared" si="3"/>
        <v>-</v>
      </c>
      <c r="Z78" s="118"/>
      <c r="AA78" s="118"/>
      <c r="AB78" s="119" t="str">
        <f t="shared" si="4"/>
        <v>-</v>
      </c>
      <c r="AC78" s="118"/>
      <c r="AD78" s="118"/>
      <c r="AE78" s="119" t="str">
        <f t="shared" si="5"/>
        <v>-</v>
      </c>
      <c r="AF78" s="118"/>
      <c r="AG78" s="118"/>
      <c r="AH78" s="119" t="str">
        <f t="shared" si="6"/>
        <v>-</v>
      </c>
      <c r="AI78" s="120">
        <v>26150</v>
      </c>
      <c r="AJ78" s="118">
        <v>26848</v>
      </c>
      <c r="AK78" s="119">
        <f t="shared" si="7"/>
        <v>1.0266921606118546</v>
      </c>
      <c r="AL78" s="118">
        <v>6000</v>
      </c>
      <c r="AM78" s="118">
        <v>3271.6</v>
      </c>
      <c r="AN78" s="119">
        <f t="shared" si="8"/>
        <v>0.54526666666666668</v>
      </c>
      <c r="AO78" s="118">
        <f t="shared" si="95"/>
        <v>0</v>
      </c>
      <c r="AP78" s="118">
        <f t="shared" si="95"/>
        <v>0</v>
      </c>
      <c r="AQ78" s="119" t="str">
        <f t="shared" si="9"/>
        <v>-</v>
      </c>
      <c r="AR78" s="118"/>
      <c r="AS78" s="118"/>
      <c r="AT78" s="119" t="str">
        <f t="shared" si="10"/>
        <v>-</v>
      </c>
      <c r="AU78" s="118"/>
      <c r="AV78" s="118"/>
      <c r="AW78" s="119" t="str">
        <f t="shared" si="11"/>
        <v>-</v>
      </c>
      <c r="AX78" s="118"/>
      <c r="AY78" s="118"/>
      <c r="AZ78" s="119" t="str">
        <f t="shared" si="12"/>
        <v>-</v>
      </c>
      <c r="BA78" s="118"/>
      <c r="BB78" s="118"/>
      <c r="BC78" s="119" t="str">
        <f t="shared" si="13"/>
        <v>-</v>
      </c>
      <c r="BD78" s="118"/>
      <c r="BE78" s="118"/>
      <c r="BF78" s="119" t="str">
        <f t="shared" si="14"/>
        <v>-</v>
      </c>
      <c r="BG78" s="118"/>
      <c r="BH78" s="118"/>
      <c r="BI78" s="119" t="str">
        <f t="shared" si="15"/>
        <v>-</v>
      </c>
      <c r="BJ78" s="118"/>
      <c r="BK78" s="118"/>
      <c r="BL78" s="119" t="str">
        <f t="shared" si="16"/>
        <v>-</v>
      </c>
      <c r="BM78" s="118"/>
      <c r="BN78" s="118"/>
      <c r="BO78" s="119" t="str">
        <f t="shared" si="17"/>
        <v>-</v>
      </c>
      <c r="BP78" s="118"/>
      <c r="BQ78" s="118"/>
      <c r="BR78" s="119" t="str">
        <f t="shared" si="18"/>
        <v>-</v>
      </c>
      <c r="BS78" s="118"/>
      <c r="BT78" s="118"/>
      <c r="BU78" s="119" t="str">
        <f t="shared" si="19"/>
        <v>-</v>
      </c>
      <c r="BV78" s="118"/>
      <c r="BW78" s="118"/>
      <c r="BX78" s="119" t="str">
        <f t="shared" si="20"/>
        <v>-</v>
      </c>
      <c r="BY78" s="118"/>
      <c r="BZ78" s="118"/>
      <c r="CA78" s="119" t="str">
        <f t="shared" si="21"/>
        <v>-</v>
      </c>
      <c r="CB78" s="118"/>
      <c r="CC78" s="118"/>
      <c r="CD78" s="119" t="str">
        <f t="shared" si="22"/>
        <v>-</v>
      </c>
      <c r="CE78" s="118"/>
      <c r="CF78" s="118"/>
      <c r="CG78" s="119" t="str">
        <f t="shared" si="23"/>
        <v>-</v>
      </c>
      <c r="CH78" s="118"/>
      <c r="CI78" s="118"/>
      <c r="CJ78" s="121" t="str">
        <f t="shared" si="24"/>
        <v>-</v>
      </c>
      <c r="CK78" s="122" t="str">
        <f t="shared" si="25"/>
        <v>ok</v>
      </c>
      <c r="CL78" s="122"/>
    </row>
    <row r="79" spans="3:91" s="110" customFormat="1" ht="21" customHeight="1" x14ac:dyDescent="0.75">
      <c r="C79" s="96">
        <v>21</v>
      </c>
      <c r="D79" s="96">
        <f>IFERROR(INDEX([4]Account!$A:$A,MATCH(K79,[4]Account!$D:$D,0)),"")</f>
        <v>104</v>
      </c>
      <c r="E79" s="96">
        <v>21</v>
      </c>
      <c r="F79" s="96">
        <f>IFERROR(INDEX([4]Account!$A:$A,MATCH(K79,[4]Account!$D:$D,0)),"")</f>
        <v>104</v>
      </c>
      <c r="G79" s="96" t="str">
        <f>IFERROR(INDEX('[5]Sub Account'!$A:$A,MATCH(L79,'[5]Sub Account'!$D:$D,0)),"")</f>
        <v/>
      </c>
      <c r="H79" s="96">
        <v>1</v>
      </c>
      <c r="I79" s="96">
        <v>2</v>
      </c>
      <c r="J79" s="227"/>
      <c r="K79" s="237">
        <v>7302</v>
      </c>
      <c r="L79" s="98"/>
      <c r="M79" s="99" t="s">
        <v>105</v>
      </c>
      <c r="N79" s="100">
        <f>SUM(N80:N82)</f>
        <v>35672.5</v>
      </c>
      <c r="O79" s="100">
        <f>SUM(O80:O82)</f>
        <v>52345</v>
      </c>
      <c r="P79" s="101">
        <f t="shared" si="0"/>
        <v>1.4673768308921438</v>
      </c>
      <c r="Q79" s="102">
        <f t="shared" ref="Q79:R79" si="96">SUM(Q80:Q82)</f>
        <v>35672.5</v>
      </c>
      <c r="R79" s="102">
        <f t="shared" si="96"/>
        <v>52345</v>
      </c>
      <c r="S79" s="103">
        <f t="shared" si="1"/>
        <v>1.4673768308921438</v>
      </c>
      <c r="T79" s="104">
        <f t="shared" ref="T79:U79" si="97">SUM(T80:T82)</f>
        <v>35672.5</v>
      </c>
      <c r="U79" s="104">
        <f t="shared" si="97"/>
        <v>52235</v>
      </c>
      <c r="V79" s="105">
        <f t="shared" si="2"/>
        <v>1.4642932230709931</v>
      </c>
      <c r="W79" s="104">
        <f t="shared" ref="W79:X79" si="98">SUM(W80:W82)</f>
        <v>1172.5</v>
      </c>
      <c r="X79" s="104">
        <f t="shared" si="98"/>
        <v>517.1</v>
      </c>
      <c r="Y79" s="105">
        <f t="shared" si="3"/>
        <v>0.44102345415778255</v>
      </c>
      <c r="Z79" s="104">
        <f t="shared" ref="Z79:AA79" si="99">SUM(Z80:Z82)</f>
        <v>1171</v>
      </c>
      <c r="AA79" s="104">
        <f t="shared" si="99"/>
        <v>511.8</v>
      </c>
      <c r="AB79" s="105">
        <f t="shared" si="4"/>
        <v>0.43706233988044407</v>
      </c>
      <c r="AC79" s="104">
        <f t="shared" ref="AC79:AD79" si="100">SUM(AC80:AC82)</f>
        <v>0</v>
      </c>
      <c r="AD79" s="104">
        <f t="shared" si="100"/>
        <v>0</v>
      </c>
      <c r="AE79" s="105" t="str">
        <f t="shared" si="5"/>
        <v>-</v>
      </c>
      <c r="AF79" s="104">
        <f t="shared" ref="AF79:AG79" si="101">SUM(AF80:AF82)</f>
        <v>1.5</v>
      </c>
      <c r="AG79" s="104">
        <f t="shared" si="101"/>
        <v>5.3000000000000007</v>
      </c>
      <c r="AH79" s="105">
        <f t="shared" si="6"/>
        <v>3.5333333333333337</v>
      </c>
      <c r="AI79" s="106">
        <f t="shared" ref="AI79:AJ79" si="102">SUM(AI80:AI82)</f>
        <v>33500</v>
      </c>
      <c r="AJ79" s="104">
        <f t="shared" si="102"/>
        <v>50716</v>
      </c>
      <c r="AK79" s="105">
        <f t="shared" si="7"/>
        <v>1.513910447761194</v>
      </c>
      <c r="AL79" s="104">
        <f t="shared" ref="AL79:AM79" si="103">SUM(AL80:AL82)</f>
        <v>1000</v>
      </c>
      <c r="AM79" s="104">
        <f t="shared" si="103"/>
        <v>1001.9</v>
      </c>
      <c r="AN79" s="105">
        <f t="shared" si="8"/>
        <v>1.0019</v>
      </c>
      <c r="AO79" s="104">
        <f t="shared" ref="AO79:AP79" si="104">SUM(AO80:AO82)</f>
        <v>0</v>
      </c>
      <c r="AP79" s="104">
        <f t="shared" si="104"/>
        <v>110.00000000000001</v>
      </c>
      <c r="AQ79" s="105" t="str">
        <f t="shared" si="9"/>
        <v>-</v>
      </c>
      <c r="AR79" s="104">
        <f t="shared" ref="AR79:AS79" si="105">SUM(AR80:AR82)</f>
        <v>0</v>
      </c>
      <c r="AS79" s="104">
        <f t="shared" si="105"/>
        <v>3.5</v>
      </c>
      <c r="AT79" s="105" t="str">
        <f t="shared" si="10"/>
        <v>-</v>
      </c>
      <c r="AU79" s="104">
        <f t="shared" ref="AU79:AV79" si="106">SUM(AU80:AU82)</f>
        <v>0</v>
      </c>
      <c r="AV79" s="104">
        <f t="shared" si="106"/>
        <v>23</v>
      </c>
      <c r="AW79" s="105" t="str">
        <f t="shared" si="11"/>
        <v>-</v>
      </c>
      <c r="AX79" s="104">
        <f t="shared" ref="AX79:AY79" si="107">SUM(AX80:AX82)</f>
        <v>0</v>
      </c>
      <c r="AY79" s="104">
        <f t="shared" si="107"/>
        <v>8.6</v>
      </c>
      <c r="AZ79" s="105" t="str">
        <f t="shared" si="12"/>
        <v>-</v>
      </c>
      <c r="BA79" s="104">
        <f t="shared" ref="BA79:BB79" si="108">SUM(BA80:BA82)</f>
        <v>0</v>
      </c>
      <c r="BB79" s="104">
        <f t="shared" si="108"/>
        <v>8.5</v>
      </c>
      <c r="BC79" s="105" t="str">
        <f t="shared" si="13"/>
        <v>-</v>
      </c>
      <c r="BD79" s="104">
        <f t="shared" ref="BD79:BE79" si="109">SUM(BD80:BD82)</f>
        <v>0</v>
      </c>
      <c r="BE79" s="104">
        <f t="shared" si="109"/>
        <v>5.2</v>
      </c>
      <c r="BF79" s="105" t="str">
        <f t="shared" si="14"/>
        <v>-</v>
      </c>
      <c r="BG79" s="104">
        <f t="shared" ref="BG79:BH79" si="110">SUM(BG80:BG82)</f>
        <v>0</v>
      </c>
      <c r="BH79" s="104">
        <f t="shared" si="110"/>
        <v>2</v>
      </c>
      <c r="BI79" s="105" t="str">
        <f t="shared" si="15"/>
        <v>-</v>
      </c>
      <c r="BJ79" s="104">
        <f t="shared" ref="BJ79:BK79" si="111">SUM(BJ80:BJ82)</f>
        <v>0</v>
      </c>
      <c r="BK79" s="104">
        <f t="shared" si="111"/>
        <v>17</v>
      </c>
      <c r="BL79" s="105" t="str">
        <f t="shared" si="16"/>
        <v>-</v>
      </c>
      <c r="BM79" s="104">
        <f t="shared" ref="BM79:BN79" si="112">SUM(BM80:BM82)</f>
        <v>0</v>
      </c>
      <c r="BN79" s="104">
        <f t="shared" si="112"/>
        <v>18.7</v>
      </c>
      <c r="BO79" s="105" t="str">
        <f t="shared" si="17"/>
        <v>-</v>
      </c>
      <c r="BP79" s="104">
        <f t="shared" ref="BP79:BQ79" si="113">SUM(BP80:BP82)</f>
        <v>0</v>
      </c>
      <c r="BQ79" s="104">
        <f t="shared" si="113"/>
        <v>0</v>
      </c>
      <c r="BR79" s="105" t="str">
        <f t="shared" si="18"/>
        <v>-</v>
      </c>
      <c r="BS79" s="104">
        <f t="shared" ref="BS79:BT79" si="114">SUM(BS80:BS82)</f>
        <v>0</v>
      </c>
      <c r="BT79" s="104">
        <f t="shared" si="114"/>
        <v>2</v>
      </c>
      <c r="BU79" s="105" t="str">
        <f t="shared" si="19"/>
        <v>-</v>
      </c>
      <c r="BV79" s="104">
        <f t="shared" ref="BV79:BW79" si="115">SUM(BV80:BV82)</f>
        <v>0</v>
      </c>
      <c r="BW79" s="104">
        <f t="shared" si="115"/>
        <v>12.5</v>
      </c>
      <c r="BX79" s="105" t="str">
        <f t="shared" si="20"/>
        <v>-</v>
      </c>
      <c r="BY79" s="104">
        <f t="shared" ref="BY79:BZ79" si="116">SUM(BY80:BY82)</f>
        <v>0</v>
      </c>
      <c r="BZ79" s="104">
        <f t="shared" si="116"/>
        <v>7.5</v>
      </c>
      <c r="CA79" s="105" t="str">
        <f t="shared" si="21"/>
        <v>-</v>
      </c>
      <c r="CB79" s="104">
        <f t="shared" ref="CB79:CC79" si="117">SUM(CB80:CB82)</f>
        <v>0</v>
      </c>
      <c r="CC79" s="104">
        <f t="shared" si="117"/>
        <v>1</v>
      </c>
      <c r="CD79" s="105" t="str">
        <f t="shared" si="22"/>
        <v>-</v>
      </c>
      <c r="CE79" s="104">
        <f t="shared" ref="CE79:CF79" si="118">SUM(CE80:CE82)</f>
        <v>0</v>
      </c>
      <c r="CF79" s="104">
        <f t="shared" si="118"/>
        <v>0.5</v>
      </c>
      <c r="CG79" s="105" t="str">
        <f t="shared" si="23"/>
        <v>-</v>
      </c>
      <c r="CH79" s="104">
        <f>SUM(CH80:CH82)</f>
        <v>0</v>
      </c>
      <c r="CI79" s="104">
        <f>CI80+CI81</f>
        <v>0</v>
      </c>
      <c r="CJ79" s="107" t="str">
        <f t="shared" si="24"/>
        <v>-</v>
      </c>
      <c r="CK79" s="108" t="str">
        <f t="shared" si="25"/>
        <v>ok</v>
      </c>
      <c r="CL79" s="108"/>
      <c r="CM79" s="109"/>
    </row>
    <row r="80" spans="3:91" s="124" customFormat="1" ht="21" customHeight="1" x14ac:dyDescent="0.75">
      <c r="C80" s="96">
        <v>21</v>
      </c>
      <c r="D80" s="96" t="str">
        <f>IFERROR(INDEX([4]Account!$A:$A,MATCH(K80,[4]Account!$D:$D,0)),"")</f>
        <v/>
      </c>
      <c r="E80" s="96">
        <v>21</v>
      </c>
      <c r="F80" s="96">
        <v>104</v>
      </c>
      <c r="G80" s="96">
        <f>IFERROR(INDEX('[5]Sub Account'!$A:$A,MATCH(L80,'[5]Sub Account'!$D:$D,0)),"")</f>
        <v>468</v>
      </c>
      <c r="H80" s="96">
        <v>1</v>
      </c>
      <c r="I80" s="96">
        <v>2</v>
      </c>
      <c r="J80" s="228"/>
      <c r="K80" s="111"/>
      <c r="L80" s="112">
        <v>73023</v>
      </c>
      <c r="M80" s="113" t="s">
        <v>106</v>
      </c>
      <c r="N80" s="114">
        <f t="shared" ref="N80:O82" si="119">Q80+CH80</f>
        <v>2172.5</v>
      </c>
      <c r="O80" s="114">
        <f t="shared" si="119"/>
        <v>1629</v>
      </c>
      <c r="P80" s="115">
        <f t="shared" si="0"/>
        <v>0.74982738780207137</v>
      </c>
      <c r="Q80" s="116">
        <f t="shared" ref="Q80:R82" si="120">T80+AO80</f>
        <v>2172.5</v>
      </c>
      <c r="R80" s="116">
        <f t="shared" si="120"/>
        <v>1629</v>
      </c>
      <c r="S80" s="117">
        <f t="shared" si="1"/>
        <v>0.74982738780207137</v>
      </c>
      <c r="T80" s="118">
        <f t="shared" ref="T80:U82" si="121">W80+AI80+AL80</f>
        <v>2172.5</v>
      </c>
      <c r="U80" s="118">
        <f t="shared" si="121"/>
        <v>1519</v>
      </c>
      <c r="V80" s="119">
        <f t="shared" si="2"/>
        <v>0.69919447640966625</v>
      </c>
      <c r="W80" s="118">
        <f t="shared" ref="W80:X82" si="122">Z80+AC80+AF80</f>
        <v>1172.5</v>
      </c>
      <c r="X80" s="118">
        <f t="shared" si="122"/>
        <v>517.1</v>
      </c>
      <c r="Y80" s="119">
        <f t="shared" si="3"/>
        <v>0.44102345415778255</v>
      </c>
      <c r="Z80" s="118">
        <v>1171</v>
      </c>
      <c r="AA80" s="118">
        <v>511.8</v>
      </c>
      <c r="AB80" s="119">
        <f t="shared" si="4"/>
        <v>0.43706233988044407</v>
      </c>
      <c r="AC80" s="118"/>
      <c r="AD80" s="118"/>
      <c r="AE80" s="119" t="str">
        <f t="shared" si="5"/>
        <v>-</v>
      </c>
      <c r="AF80" s="118">
        <v>1.5</v>
      </c>
      <c r="AG80" s="118">
        <v>5.3000000000000007</v>
      </c>
      <c r="AH80" s="119">
        <f t="shared" si="6"/>
        <v>3.5333333333333337</v>
      </c>
      <c r="AI80" s="120"/>
      <c r="AJ80" s="118"/>
      <c r="AK80" s="119" t="str">
        <f t="shared" si="7"/>
        <v>-</v>
      </c>
      <c r="AL80" s="118">
        <v>1000</v>
      </c>
      <c r="AM80" s="118">
        <v>1001.9</v>
      </c>
      <c r="AN80" s="119">
        <f t="shared" si="8"/>
        <v>1.0019</v>
      </c>
      <c r="AO80" s="118">
        <f t="shared" ref="AO80:AP82" si="123">AR80+AU80+AX80+BA80+BG80+BJ80+BM80+BP80+BS80+BV80+BY80+CB80+CE80</f>
        <v>0</v>
      </c>
      <c r="AP80" s="118">
        <f>AS80+AV80+AY80+BB80+BE80+BH80+BK80+BN80+BQ80+BT80+BW80+BZ80+CC80+CF80</f>
        <v>110.00000000000001</v>
      </c>
      <c r="AQ80" s="119" t="str">
        <f t="shared" si="9"/>
        <v>-</v>
      </c>
      <c r="AR80" s="118"/>
      <c r="AS80" s="118">
        <v>3.5</v>
      </c>
      <c r="AT80" s="119" t="str">
        <f t="shared" si="10"/>
        <v>-</v>
      </c>
      <c r="AU80" s="118"/>
      <c r="AV80" s="118">
        <v>23</v>
      </c>
      <c r="AW80" s="119" t="str">
        <f t="shared" si="11"/>
        <v>-</v>
      </c>
      <c r="AX80" s="118"/>
      <c r="AY80" s="118">
        <v>8.6</v>
      </c>
      <c r="AZ80" s="119" t="str">
        <f t="shared" si="12"/>
        <v>-</v>
      </c>
      <c r="BA80" s="118"/>
      <c r="BB80" s="118">
        <v>8.5</v>
      </c>
      <c r="BC80" s="119" t="str">
        <f t="shared" si="13"/>
        <v>-</v>
      </c>
      <c r="BD80" s="118"/>
      <c r="BE80" s="118">
        <v>5.2</v>
      </c>
      <c r="BF80" s="119" t="str">
        <f t="shared" si="14"/>
        <v>-</v>
      </c>
      <c r="BG80" s="118"/>
      <c r="BH80" s="118">
        <v>2</v>
      </c>
      <c r="BI80" s="119" t="str">
        <f t="shared" si="15"/>
        <v>-</v>
      </c>
      <c r="BJ80" s="118"/>
      <c r="BK80" s="118">
        <v>17</v>
      </c>
      <c r="BL80" s="119" t="str">
        <f t="shared" si="16"/>
        <v>-</v>
      </c>
      <c r="BM80" s="118"/>
      <c r="BN80" s="118">
        <v>18.7</v>
      </c>
      <c r="BO80" s="119" t="str">
        <f t="shared" si="17"/>
        <v>-</v>
      </c>
      <c r="BP80" s="118"/>
      <c r="BQ80" s="118"/>
      <c r="BR80" s="119" t="str">
        <f t="shared" si="18"/>
        <v>-</v>
      </c>
      <c r="BS80" s="118"/>
      <c r="BT80" s="118">
        <v>2</v>
      </c>
      <c r="BU80" s="119" t="str">
        <f t="shared" si="19"/>
        <v>-</v>
      </c>
      <c r="BV80" s="118"/>
      <c r="BW80" s="118">
        <v>12.5</v>
      </c>
      <c r="BX80" s="119" t="str">
        <f t="shared" si="20"/>
        <v>-</v>
      </c>
      <c r="BY80" s="118"/>
      <c r="BZ80" s="118">
        <v>7.5</v>
      </c>
      <c r="CA80" s="119" t="str">
        <f t="shared" si="21"/>
        <v>-</v>
      </c>
      <c r="CB80" s="118"/>
      <c r="CC80" s="118">
        <v>1</v>
      </c>
      <c r="CD80" s="119" t="str">
        <f t="shared" si="22"/>
        <v>-</v>
      </c>
      <c r="CE80" s="118"/>
      <c r="CF80" s="118">
        <v>0.5</v>
      </c>
      <c r="CG80" s="119" t="str">
        <f t="shared" si="23"/>
        <v>-</v>
      </c>
      <c r="CH80" s="118"/>
      <c r="CI80" s="118"/>
      <c r="CJ80" s="121" t="str">
        <f t="shared" si="24"/>
        <v>-</v>
      </c>
      <c r="CK80" s="122" t="str">
        <f t="shared" si="25"/>
        <v>ok</v>
      </c>
      <c r="CL80" s="122"/>
    </row>
    <row r="81" spans="3:92" s="124" customFormat="1" ht="21" customHeight="1" x14ac:dyDescent="0.75">
      <c r="C81" s="96">
        <v>21</v>
      </c>
      <c r="D81" s="96" t="str">
        <f>IFERROR(INDEX([4]Account!$A:$A,MATCH(K81,[4]Account!$D:$D,0)),"")</f>
        <v/>
      </c>
      <c r="E81" s="96">
        <v>21</v>
      </c>
      <c r="F81" s="96">
        <v>104</v>
      </c>
      <c r="G81" s="96">
        <f>IFERROR(INDEX('[5]Sub Account'!$A:$A,MATCH(L81,'[5]Sub Account'!$D:$D,0)),"")</f>
        <v>498</v>
      </c>
      <c r="H81" s="96">
        <v>1</v>
      </c>
      <c r="I81" s="96">
        <v>2</v>
      </c>
      <c r="J81" s="228"/>
      <c r="K81" s="111"/>
      <c r="L81" s="112">
        <v>73024</v>
      </c>
      <c r="M81" s="113" t="s">
        <v>107</v>
      </c>
      <c r="N81" s="114">
        <f t="shared" si="119"/>
        <v>50</v>
      </c>
      <c r="O81" s="114">
        <f t="shared" si="119"/>
        <v>0</v>
      </c>
      <c r="P81" s="115">
        <f t="shared" ref="P81:P136" si="124">IFERROR(O81/N81,"-")</f>
        <v>0</v>
      </c>
      <c r="Q81" s="116">
        <f t="shared" si="120"/>
        <v>50</v>
      </c>
      <c r="R81" s="116">
        <f t="shared" si="120"/>
        <v>0</v>
      </c>
      <c r="S81" s="117">
        <f t="shared" ref="S81:S136" si="125">IFERROR(R81/Q81,"-")</f>
        <v>0</v>
      </c>
      <c r="T81" s="118">
        <f t="shared" si="121"/>
        <v>50</v>
      </c>
      <c r="U81" s="118">
        <f t="shared" si="121"/>
        <v>0</v>
      </c>
      <c r="V81" s="119">
        <f t="shared" ref="V81:V136" si="126">IFERROR(U81/T81,"-")</f>
        <v>0</v>
      </c>
      <c r="W81" s="118">
        <f t="shared" si="122"/>
        <v>0</v>
      </c>
      <c r="X81" s="118">
        <f t="shared" si="122"/>
        <v>0</v>
      </c>
      <c r="Y81" s="119" t="str">
        <f t="shared" ref="Y81:Y136" si="127">IFERROR(X81/W81,"-")</f>
        <v>-</v>
      </c>
      <c r="Z81" s="118"/>
      <c r="AA81" s="118"/>
      <c r="AB81" s="119" t="str">
        <f t="shared" ref="AB81:AB136" si="128">IFERROR(AA81/Z81,"-")</f>
        <v>-</v>
      </c>
      <c r="AC81" s="118"/>
      <c r="AD81" s="118"/>
      <c r="AE81" s="119" t="str">
        <f t="shared" ref="AE81:AE136" si="129">IFERROR(AD81/AC81,"-")</f>
        <v>-</v>
      </c>
      <c r="AF81" s="118"/>
      <c r="AG81" s="118"/>
      <c r="AH81" s="119" t="str">
        <f t="shared" ref="AH81:AH136" si="130">IFERROR(AG81/AF81,"-")</f>
        <v>-</v>
      </c>
      <c r="AI81" s="120">
        <v>50</v>
      </c>
      <c r="AJ81" s="118"/>
      <c r="AK81" s="119">
        <f t="shared" ref="AK81:AK136" si="131">IFERROR(AJ81/AI81,"-")</f>
        <v>0</v>
      </c>
      <c r="AL81" s="118"/>
      <c r="AM81" s="118"/>
      <c r="AN81" s="119" t="str">
        <f t="shared" ref="AN81:AN136" si="132">IFERROR(AM81/AL81,"-")</f>
        <v>-</v>
      </c>
      <c r="AO81" s="118">
        <f t="shared" si="123"/>
        <v>0</v>
      </c>
      <c r="AP81" s="118">
        <f t="shared" si="123"/>
        <v>0</v>
      </c>
      <c r="AQ81" s="119" t="str">
        <f t="shared" ref="AQ81:AQ136" si="133">IFERROR(AP81/AO81,"-")</f>
        <v>-</v>
      </c>
      <c r="AR81" s="118"/>
      <c r="AS81" s="118"/>
      <c r="AT81" s="119" t="str">
        <f t="shared" ref="AT81:AT136" si="134">IFERROR(AS81/AR81,"-")</f>
        <v>-</v>
      </c>
      <c r="AU81" s="118"/>
      <c r="AV81" s="118"/>
      <c r="AW81" s="119" t="str">
        <f t="shared" ref="AW81:AW136" si="135">IFERROR(AV81/AU81,"-")</f>
        <v>-</v>
      </c>
      <c r="AX81" s="118"/>
      <c r="AY81" s="118"/>
      <c r="AZ81" s="119" t="str">
        <f t="shared" ref="AZ81:AZ136" si="136">IFERROR(AY81/AX81,"-")</f>
        <v>-</v>
      </c>
      <c r="BA81" s="118"/>
      <c r="BB81" s="118"/>
      <c r="BC81" s="119" t="str">
        <f t="shared" ref="BC81:BC136" si="137">IFERROR(BB81/BA81,"-")</f>
        <v>-</v>
      </c>
      <c r="BD81" s="118"/>
      <c r="BE81" s="118"/>
      <c r="BF81" s="119" t="str">
        <f t="shared" ref="BF81:BF136" si="138">IFERROR(BE81/BD81,"-")</f>
        <v>-</v>
      </c>
      <c r="BG81" s="118"/>
      <c r="BH81" s="118"/>
      <c r="BI81" s="119" t="str">
        <f t="shared" ref="BI81:BI136" si="139">IFERROR(BH81/BG81,"-")</f>
        <v>-</v>
      </c>
      <c r="BJ81" s="118"/>
      <c r="BK81" s="118"/>
      <c r="BL81" s="119" t="str">
        <f t="shared" ref="BL81:BL136" si="140">IFERROR(BK81/BJ81,"-")</f>
        <v>-</v>
      </c>
      <c r="BM81" s="118"/>
      <c r="BN81" s="118"/>
      <c r="BO81" s="119" t="str">
        <f t="shared" ref="BO81:BO136" si="141">IFERROR(BN81/BM81,"-")</f>
        <v>-</v>
      </c>
      <c r="BP81" s="118"/>
      <c r="BQ81" s="118"/>
      <c r="BR81" s="119" t="str">
        <f t="shared" ref="BR81:BR136" si="142">IFERROR(BQ81/BP81,"-")</f>
        <v>-</v>
      </c>
      <c r="BS81" s="118"/>
      <c r="BT81" s="118"/>
      <c r="BU81" s="119" t="str">
        <f t="shared" ref="BU81:BU136" si="143">IFERROR(BT81/BS81,"-")</f>
        <v>-</v>
      </c>
      <c r="BV81" s="118"/>
      <c r="BW81" s="118"/>
      <c r="BX81" s="119" t="str">
        <f t="shared" ref="BX81:BX136" si="144">IFERROR(BW81/BV81,"-")</f>
        <v>-</v>
      </c>
      <c r="BY81" s="118"/>
      <c r="BZ81" s="118"/>
      <c r="CA81" s="119" t="str">
        <f t="shared" ref="CA81:CA136" si="145">IFERROR(BZ81/BY81,"-")</f>
        <v>-</v>
      </c>
      <c r="CB81" s="118"/>
      <c r="CC81" s="118"/>
      <c r="CD81" s="119" t="str">
        <f t="shared" ref="CD81:CD136" si="146">IFERROR(CC81/CB81,"-")</f>
        <v>-</v>
      </c>
      <c r="CE81" s="118"/>
      <c r="CF81" s="118"/>
      <c r="CG81" s="119" t="str">
        <f t="shared" ref="CG81:CG136" si="147">IFERROR(CF81/CE81,"-")</f>
        <v>-</v>
      </c>
      <c r="CH81" s="118"/>
      <c r="CI81" s="118"/>
      <c r="CJ81" s="121" t="str">
        <f t="shared" ref="CJ81:CJ136" si="148">IFERROR(CI81/CH81,"-")</f>
        <v>-</v>
      </c>
      <c r="CK81" s="122" t="str">
        <f t="shared" ref="CK81:CK136" si="149">IF(N81+O81=0,"-","ok")</f>
        <v>ok</v>
      </c>
      <c r="CL81" s="122"/>
    </row>
    <row r="82" spans="3:92" s="124" customFormat="1" ht="21" customHeight="1" x14ac:dyDescent="0.75">
      <c r="C82" s="96">
        <v>21</v>
      </c>
      <c r="D82" s="96" t="str">
        <f>IFERROR(INDEX([4]Account!$A:$A,MATCH(K82,[4]Account!$D:$D,0)),"")</f>
        <v/>
      </c>
      <c r="E82" s="96">
        <v>21</v>
      </c>
      <c r="F82" s="96">
        <v>104</v>
      </c>
      <c r="G82" s="96">
        <f>IFERROR(INDEX('[5]Sub Account'!$A:$A,MATCH(L82,'[5]Sub Account'!$D:$D,0)),"")</f>
        <v>499</v>
      </c>
      <c r="H82" s="96">
        <v>1</v>
      </c>
      <c r="I82" s="96">
        <v>2</v>
      </c>
      <c r="J82" s="228"/>
      <c r="K82" s="111"/>
      <c r="L82" s="112">
        <v>73028</v>
      </c>
      <c r="M82" s="113" t="s">
        <v>108</v>
      </c>
      <c r="N82" s="114">
        <f t="shared" si="119"/>
        <v>33450</v>
      </c>
      <c r="O82" s="114">
        <f t="shared" si="119"/>
        <v>50716</v>
      </c>
      <c r="P82" s="115">
        <f t="shared" si="124"/>
        <v>1.5161733931240657</v>
      </c>
      <c r="Q82" s="116">
        <f t="shared" si="120"/>
        <v>33450</v>
      </c>
      <c r="R82" s="116">
        <f t="shared" si="120"/>
        <v>50716</v>
      </c>
      <c r="S82" s="117">
        <f t="shared" si="125"/>
        <v>1.5161733931240657</v>
      </c>
      <c r="T82" s="118">
        <f t="shared" si="121"/>
        <v>33450</v>
      </c>
      <c r="U82" s="118">
        <f t="shared" si="121"/>
        <v>50716</v>
      </c>
      <c r="V82" s="119">
        <f t="shared" si="126"/>
        <v>1.5161733931240657</v>
      </c>
      <c r="W82" s="118">
        <f t="shared" si="122"/>
        <v>0</v>
      </c>
      <c r="X82" s="118">
        <f t="shared" si="122"/>
        <v>0</v>
      </c>
      <c r="Y82" s="119" t="str">
        <f t="shared" si="127"/>
        <v>-</v>
      </c>
      <c r="Z82" s="118"/>
      <c r="AA82" s="118"/>
      <c r="AB82" s="119" t="str">
        <f t="shared" si="128"/>
        <v>-</v>
      </c>
      <c r="AC82" s="118"/>
      <c r="AD82" s="118"/>
      <c r="AE82" s="119" t="str">
        <f t="shared" si="129"/>
        <v>-</v>
      </c>
      <c r="AF82" s="118"/>
      <c r="AG82" s="118"/>
      <c r="AH82" s="119" t="str">
        <f t="shared" si="130"/>
        <v>-</v>
      </c>
      <c r="AI82" s="120">
        <v>33450</v>
      </c>
      <c r="AJ82" s="118">
        <v>50716</v>
      </c>
      <c r="AK82" s="119">
        <f t="shared" si="131"/>
        <v>1.5161733931240657</v>
      </c>
      <c r="AL82" s="118"/>
      <c r="AM82" s="118"/>
      <c r="AN82" s="119" t="str">
        <f t="shared" si="132"/>
        <v>-</v>
      </c>
      <c r="AO82" s="118">
        <f t="shared" si="123"/>
        <v>0</v>
      </c>
      <c r="AP82" s="118">
        <f t="shared" si="123"/>
        <v>0</v>
      </c>
      <c r="AQ82" s="119" t="str">
        <f t="shared" si="133"/>
        <v>-</v>
      </c>
      <c r="AR82" s="118"/>
      <c r="AS82" s="118"/>
      <c r="AT82" s="119" t="str">
        <f t="shared" si="134"/>
        <v>-</v>
      </c>
      <c r="AU82" s="118"/>
      <c r="AV82" s="118"/>
      <c r="AW82" s="119" t="str">
        <f t="shared" si="135"/>
        <v>-</v>
      </c>
      <c r="AX82" s="118"/>
      <c r="AY82" s="118"/>
      <c r="AZ82" s="119" t="str">
        <f t="shared" si="136"/>
        <v>-</v>
      </c>
      <c r="BA82" s="118"/>
      <c r="BB82" s="118"/>
      <c r="BC82" s="119" t="str">
        <f t="shared" si="137"/>
        <v>-</v>
      </c>
      <c r="BD82" s="118"/>
      <c r="BE82" s="118"/>
      <c r="BF82" s="119" t="str">
        <f t="shared" si="138"/>
        <v>-</v>
      </c>
      <c r="BG82" s="118"/>
      <c r="BH82" s="118"/>
      <c r="BI82" s="119" t="str">
        <f t="shared" si="139"/>
        <v>-</v>
      </c>
      <c r="BJ82" s="118"/>
      <c r="BK82" s="118"/>
      <c r="BL82" s="119" t="str">
        <f t="shared" si="140"/>
        <v>-</v>
      </c>
      <c r="BM82" s="118"/>
      <c r="BN82" s="118"/>
      <c r="BO82" s="119" t="str">
        <f t="shared" si="141"/>
        <v>-</v>
      </c>
      <c r="BP82" s="118"/>
      <c r="BQ82" s="118"/>
      <c r="BR82" s="119" t="str">
        <f t="shared" si="142"/>
        <v>-</v>
      </c>
      <c r="BS82" s="118"/>
      <c r="BT82" s="118"/>
      <c r="BU82" s="119" t="str">
        <f t="shared" si="143"/>
        <v>-</v>
      </c>
      <c r="BV82" s="118"/>
      <c r="BW82" s="118"/>
      <c r="BX82" s="119" t="str">
        <f t="shared" si="144"/>
        <v>-</v>
      </c>
      <c r="BY82" s="118"/>
      <c r="BZ82" s="118"/>
      <c r="CA82" s="119" t="str">
        <f t="shared" si="145"/>
        <v>-</v>
      </c>
      <c r="CB82" s="118"/>
      <c r="CC82" s="118"/>
      <c r="CD82" s="119" t="str">
        <f t="shared" si="146"/>
        <v>-</v>
      </c>
      <c r="CE82" s="118"/>
      <c r="CF82" s="118"/>
      <c r="CG82" s="119" t="str">
        <f t="shared" si="147"/>
        <v>-</v>
      </c>
      <c r="CH82" s="118"/>
      <c r="CI82" s="118"/>
      <c r="CJ82" s="121" t="str">
        <f t="shared" si="148"/>
        <v>-</v>
      </c>
      <c r="CK82" s="122" t="str">
        <f t="shared" si="149"/>
        <v>ok</v>
      </c>
      <c r="CL82" s="122"/>
    </row>
    <row r="83" spans="3:92" s="110" customFormat="1" ht="21" customHeight="1" x14ac:dyDescent="0.75">
      <c r="C83" s="96">
        <v>21</v>
      </c>
      <c r="D83" s="96">
        <f>IFERROR(INDEX([4]Account!$A:$A,MATCH(K83,[4]Account!$D:$D,0)),"")</f>
        <v>138</v>
      </c>
      <c r="E83" s="96">
        <v>21</v>
      </c>
      <c r="F83" s="96">
        <f>IFERROR(INDEX([4]Account!$A:$A,MATCH(K83,[4]Account!$D:$D,0)),"")</f>
        <v>138</v>
      </c>
      <c r="G83" s="96" t="str">
        <f>IFERROR(INDEX('[5]Sub Account'!$A:$A,MATCH(L83,'[5]Sub Account'!$D:$D,0)),"")</f>
        <v/>
      </c>
      <c r="H83" s="96">
        <v>1</v>
      </c>
      <c r="I83" s="96">
        <v>2</v>
      </c>
      <c r="J83" s="227"/>
      <c r="K83" s="237">
        <v>7303</v>
      </c>
      <c r="L83" s="98"/>
      <c r="M83" s="99" t="s">
        <v>109</v>
      </c>
      <c r="N83" s="100">
        <f>N84</f>
        <v>0</v>
      </c>
      <c r="O83" s="100">
        <f>O84</f>
        <v>0</v>
      </c>
      <c r="P83" s="101" t="str">
        <f t="shared" si="124"/>
        <v>-</v>
      </c>
      <c r="Q83" s="102">
        <f>Q84</f>
        <v>0</v>
      </c>
      <c r="R83" s="102">
        <f>R84</f>
        <v>0</v>
      </c>
      <c r="S83" s="103" t="str">
        <f t="shared" si="125"/>
        <v>-</v>
      </c>
      <c r="T83" s="104">
        <f>T84</f>
        <v>0</v>
      </c>
      <c r="U83" s="104">
        <f>U84</f>
        <v>0</v>
      </c>
      <c r="V83" s="105" t="str">
        <f t="shared" si="126"/>
        <v>-</v>
      </c>
      <c r="W83" s="104">
        <f>W84</f>
        <v>0</v>
      </c>
      <c r="X83" s="104">
        <f>X84</f>
        <v>0</v>
      </c>
      <c r="Y83" s="105" t="str">
        <f t="shared" si="127"/>
        <v>-</v>
      </c>
      <c r="Z83" s="104">
        <f>Z84</f>
        <v>0</v>
      </c>
      <c r="AA83" s="104">
        <f>AA84</f>
        <v>0</v>
      </c>
      <c r="AB83" s="105" t="str">
        <f t="shared" si="128"/>
        <v>-</v>
      </c>
      <c r="AC83" s="104">
        <f>AC84</f>
        <v>0</v>
      </c>
      <c r="AD83" s="104">
        <f>AD84</f>
        <v>0</v>
      </c>
      <c r="AE83" s="105" t="str">
        <f t="shared" si="129"/>
        <v>-</v>
      </c>
      <c r="AF83" s="104">
        <f>AF84</f>
        <v>0</v>
      </c>
      <c r="AG83" s="104">
        <f>AG84</f>
        <v>0</v>
      </c>
      <c r="AH83" s="105" t="str">
        <f t="shared" si="130"/>
        <v>-</v>
      </c>
      <c r="AI83" s="106">
        <f>AI84</f>
        <v>0</v>
      </c>
      <c r="AJ83" s="104">
        <f>AJ84</f>
        <v>0</v>
      </c>
      <c r="AK83" s="105" t="str">
        <f t="shared" si="131"/>
        <v>-</v>
      </c>
      <c r="AL83" s="104">
        <f>AL84</f>
        <v>0</v>
      </c>
      <c r="AM83" s="104">
        <f>AM84</f>
        <v>0</v>
      </c>
      <c r="AN83" s="105" t="str">
        <f t="shared" si="132"/>
        <v>-</v>
      </c>
      <c r="AO83" s="104">
        <f>AO84</f>
        <v>0</v>
      </c>
      <c r="AP83" s="104">
        <f>AP84</f>
        <v>0</v>
      </c>
      <c r="AQ83" s="105" t="str">
        <f t="shared" si="133"/>
        <v>-</v>
      </c>
      <c r="AR83" s="104">
        <f>AR84</f>
        <v>0</v>
      </c>
      <c r="AS83" s="104">
        <f>AS84</f>
        <v>0</v>
      </c>
      <c r="AT83" s="105" t="str">
        <f t="shared" si="134"/>
        <v>-</v>
      </c>
      <c r="AU83" s="104">
        <f>AU84</f>
        <v>0</v>
      </c>
      <c r="AV83" s="104">
        <f>AV84</f>
        <v>0</v>
      </c>
      <c r="AW83" s="105" t="str">
        <f t="shared" si="135"/>
        <v>-</v>
      </c>
      <c r="AX83" s="104">
        <f>AX84</f>
        <v>0</v>
      </c>
      <c r="AY83" s="104">
        <f>AY84</f>
        <v>0</v>
      </c>
      <c r="AZ83" s="105" t="str">
        <f t="shared" si="136"/>
        <v>-</v>
      </c>
      <c r="BA83" s="104">
        <f>BA84</f>
        <v>0</v>
      </c>
      <c r="BB83" s="104">
        <f>BB84</f>
        <v>0</v>
      </c>
      <c r="BC83" s="105" t="str">
        <f t="shared" si="137"/>
        <v>-</v>
      </c>
      <c r="BD83" s="104">
        <f>BD84</f>
        <v>0</v>
      </c>
      <c r="BE83" s="104">
        <f>BE84</f>
        <v>0</v>
      </c>
      <c r="BF83" s="105" t="str">
        <f t="shared" si="138"/>
        <v>-</v>
      </c>
      <c r="BG83" s="104">
        <f>BG84</f>
        <v>0</v>
      </c>
      <c r="BH83" s="104">
        <f>BH84</f>
        <v>0</v>
      </c>
      <c r="BI83" s="105" t="str">
        <f t="shared" si="139"/>
        <v>-</v>
      </c>
      <c r="BJ83" s="104">
        <f>BJ84</f>
        <v>0</v>
      </c>
      <c r="BK83" s="104">
        <f>BK84</f>
        <v>0</v>
      </c>
      <c r="BL83" s="105" t="str">
        <f t="shared" si="140"/>
        <v>-</v>
      </c>
      <c r="BM83" s="104">
        <f>BM84</f>
        <v>0</v>
      </c>
      <c r="BN83" s="104">
        <f>BN84</f>
        <v>0</v>
      </c>
      <c r="BO83" s="105" t="str">
        <f t="shared" si="141"/>
        <v>-</v>
      </c>
      <c r="BP83" s="104">
        <f>BP84</f>
        <v>0</v>
      </c>
      <c r="BQ83" s="104">
        <f>BQ84</f>
        <v>0</v>
      </c>
      <c r="BR83" s="105" t="str">
        <f t="shared" si="142"/>
        <v>-</v>
      </c>
      <c r="BS83" s="104">
        <f>BS84</f>
        <v>0</v>
      </c>
      <c r="BT83" s="104">
        <f>BT84</f>
        <v>0</v>
      </c>
      <c r="BU83" s="105" t="str">
        <f t="shared" si="143"/>
        <v>-</v>
      </c>
      <c r="BV83" s="104">
        <f>BV84</f>
        <v>0</v>
      </c>
      <c r="BW83" s="104">
        <f>BW84</f>
        <v>0</v>
      </c>
      <c r="BX83" s="105" t="str">
        <f t="shared" si="144"/>
        <v>-</v>
      </c>
      <c r="BY83" s="104">
        <f>BY84</f>
        <v>0</v>
      </c>
      <c r="BZ83" s="104">
        <f>BZ84</f>
        <v>0</v>
      </c>
      <c r="CA83" s="105" t="str">
        <f t="shared" si="145"/>
        <v>-</v>
      </c>
      <c r="CB83" s="104">
        <f>CB84</f>
        <v>0</v>
      </c>
      <c r="CC83" s="104">
        <f>CC84</f>
        <v>0</v>
      </c>
      <c r="CD83" s="105" t="str">
        <f t="shared" si="146"/>
        <v>-</v>
      </c>
      <c r="CE83" s="104">
        <f>CE84</f>
        <v>0</v>
      </c>
      <c r="CF83" s="104">
        <f>CF84</f>
        <v>0</v>
      </c>
      <c r="CG83" s="105" t="str">
        <f t="shared" si="147"/>
        <v>-</v>
      </c>
      <c r="CH83" s="104">
        <f>CH84</f>
        <v>0</v>
      </c>
      <c r="CI83" s="104">
        <f>CI84</f>
        <v>0</v>
      </c>
      <c r="CJ83" s="107" t="str">
        <f t="shared" si="148"/>
        <v>-</v>
      </c>
      <c r="CK83" s="108" t="str">
        <f t="shared" si="149"/>
        <v>-</v>
      </c>
      <c r="CL83" s="108"/>
      <c r="CM83" s="109"/>
    </row>
    <row r="84" spans="3:92" customFormat="1" ht="21" customHeight="1" x14ac:dyDescent="0.75">
      <c r="C84" s="96">
        <v>21</v>
      </c>
      <c r="D84" s="96" t="str">
        <f>IFERROR(INDEX([4]Account!$A:$A,MATCH(K84,[4]Account!$D:$D,0)),"")</f>
        <v/>
      </c>
      <c r="E84" s="96">
        <v>21</v>
      </c>
      <c r="F84" s="96">
        <v>138</v>
      </c>
      <c r="G84" s="96">
        <f>IFERROR(INDEX('[5]Sub Account'!$A:$A,MATCH(L84,'[5]Sub Account'!$D:$D,0)),"")</f>
        <v>516</v>
      </c>
      <c r="H84" s="96">
        <v>1</v>
      </c>
      <c r="I84" s="96">
        <v>2</v>
      </c>
      <c r="J84" s="228"/>
      <c r="K84" s="111"/>
      <c r="L84" s="112">
        <v>73034</v>
      </c>
      <c r="M84" s="148" t="s">
        <v>110</v>
      </c>
      <c r="N84" s="114">
        <f>Q84+CH84</f>
        <v>0</v>
      </c>
      <c r="O84" s="114">
        <f>R84+CI84</f>
        <v>0</v>
      </c>
      <c r="P84" s="115" t="str">
        <f t="shared" si="124"/>
        <v>-</v>
      </c>
      <c r="Q84" s="116">
        <f>T84+AO84</f>
        <v>0</v>
      </c>
      <c r="R84" s="116">
        <f>U84+AP84</f>
        <v>0</v>
      </c>
      <c r="S84" s="117" t="str">
        <f t="shared" si="125"/>
        <v>-</v>
      </c>
      <c r="T84" s="118">
        <f>W84+AI84+AL84</f>
        <v>0</v>
      </c>
      <c r="U84" s="118">
        <f>X84+AJ84+AM84</f>
        <v>0</v>
      </c>
      <c r="V84" s="119" t="str">
        <f t="shared" si="126"/>
        <v>-</v>
      </c>
      <c r="W84" s="118">
        <f>Z84+AC84+AF84</f>
        <v>0</v>
      </c>
      <c r="X84" s="118">
        <f>AA84+AD84+AG84</f>
        <v>0</v>
      </c>
      <c r="Y84" s="119" t="str">
        <f t="shared" si="127"/>
        <v>-</v>
      </c>
      <c r="Z84" s="118"/>
      <c r="AA84" s="118"/>
      <c r="AB84" s="119" t="str">
        <f t="shared" si="128"/>
        <v>-</v>
      </c>
      <c r="AC84" s="118"/>
      <c r="AD84" s="118"/>
      <c r="AE84" s="119" t="str">
        <f t="shared" si="129"/>
        <v>-</v>
      </c>
      <c r="AF84" s="118"/>
      <c r="AG84" s="118"/>
      <c r="AH84" s="119" t="str">
        <f t="shared" si="130"/>
        <v>-</v>
      </c>
      <c r="AI84" s="120"/>
      <c r="AJ84" s="118"/>
      <c r="AK84" s="119" t="str">
        <f t="shared" si="131"/>
        <v>-</v>
      </c>
      <c r="AL84" s="118"/>
      <c r="AM84" s="118"/>
      <c r="AN84" s="119" t="str">
        <f t="shared" si="132"/>
        <v>-</v>
      </c>
      <c r="AO84" s="118">
        <f>AR84+AU84+AX84+BA84+BG84+BJ84+BM84+BP84+BS84+BV84+BY84+CB84+CE84</f>
        <v>0</v>
      </c>
      <c r="AP84" s="118">
        <f>AS84+AV84+AY84+BB84+BH84+BK84+BN84+BQ84+BT84+BW84+BZ84+CC84+CF84</f>
        <v>0</v>
      </c>
      <c r="AQ84" s="119" t="str">
        <f t="shared" si="133"/>
        <v>-</v>
      </c>
      <c r="AR84" s="149"/>
      <c r="AS84" s="149"/>
      <c r="AT84" s="150" t="str">
        <f t="shared" si="134"/>
        <v>-</v>
      </c>
      <c r="AU84" s="149"/>
      <c r="AV84" s="149"/>
      <c r="AW84" s="150" t="str">
        <f t="shared" si="135"/>
        <v>-</v>
      </c>
      <c r="AX84" s="149"/>
      <c r="AY84" s="149"/>
      <c r="AZ84" s="150" t="str">
        <f t="shared" si="136"/>
        <v>-</v>
      </c>
      <c r="BA84" s="149"/>
      <c r="BB84" s="149"/>
      <c r="BC84" s="150" t="str">
        <f t="shared" si="137"/>
        <v>-</v>
      </c>
      <c r="BD84" s="149"/>
      <c r="BE84" s="149"/>
      <c r="BF84" s="150" t="str">
        <f t="shared" si="138"/>
        <v>-</v>
      </c>
      <c r="BG84" s="149"/>
      <c r="BH84" s="149"/>
      <c r="BI84" s="150" t="str">
        <f t="shared" si="139"/>
        <v>-</v>
      </c>
      <c r="BJ84" s="149"/>
      <c r="BK84" s="149"/>
      <c r="BL84" s="150" t="str">
        <f t="shared" si="140"/>
        <v>-</v>
      </c>
      <c r="BM84" s="149"/>
      <c r="BN84" s="149"/>
      <c r="BO84" s="150" t="str">
        <f t="shared" si="141"/>
        <v>-</v>
      </c>
      <c r="BP84" s="149"/>
      <c r="BQ84" s="149"/>
      <c r="BR84" s="150" t="str">
        <f t="shared" si="142"/>
        <v>-</v>
      </c>
      <c r="BS84" s="149"/>
      <c r="BT84" s="149"/>
      <c r="BU84" s="150" t="str">
        <f t="shared" si="143"/>
        <v>-</v>
      </c>
      <c r="BV84" s="149"/>
      <c r="BW84" s="149"/>
      <c r="BX84" s="150" t="str">
        <f t="shared" si="144"/>
        <v>-</v>
      </c>
      <c r="BY84" s="149"/>
      <c r="BZ84" s="149"/>
      <c r="CA84" s="150" t="str">
        <f t="shared" si="145"/>
        <v>-</v>
      </c>
      <c r="CB84" s="149"/>
      <c r="CC84" s="149"/>
      <c r="CD84" s="150" t="str">
        <f t="shared" si="146"/>
        <v>-</v>
      </c>
      <c r="CE84" s="149"/>
      <c r="CF84" s="149"/>
      <c r="CG84" s="150" t="str">
        <f t="shared" si="147"/>
        <v>-</v>
      </c>
      <c r="CH84" s="149"/>
      <c r="CI84" s="149"/>
      <c r="CJ84" s="151" t="str">
        <f t="shared" si="148"/>
        <v>-</v>
      </c>
      <c r="CK84" s="152" t="str">
        <f t="shared" si="149"/>
        <v>-</v>
      </c>
      <c r="CL84" s="152"/>
    </row>
    <row r="85" spans="3:92" s="110" customFormat="1" ht="21" customHeight="1" x14ac:dyDescent="0.75">
      <c r="C85" s="96">
        <v>21</v>
      </c>
      <c r="D85" s="96">
        <f>IFERROR(INDEX([4]Account!$A:$A,MATCH(K85,[4]Account!$D:$D,0)),"")</f>
        <v>105</v>
      </c>
      <c r="E85" s="96">
        <v>21</v>
      </c>
      <c r="F85" s="96">
        <f>IFERROR(INDEX([4]Account!$A:$A,MATCH(K85,[4]Account!$D:$D,0)),"")</f>
        <v>105</v>
      </c>
      <c r="G85" s="96" t="str">
        <f>IFERROR(INDEX('[5]Sub Account'!$A:$A,MATCH(L85,'[5]Sub Account'!$D:$D,0)),"")</f>
        <v/>
      </c>
      <c r="H85" s="96">
        <v>1</v>
      </c>
      <c r="I85" s="96">
        <v>2</v>
      </c>
      <c r="J85" s="227"/>
      <c r="K85" s="237">
        <v>7304</v>
      </c>
      <c r="L85" s="98"/>
      <c r="M85" s="99" t="s">
        <v>111</v>
      </c>
      <c r="N85" s="100">
        <f>SUM(N86:N87)</f>
        <v>5950.8</v>
      </c>
      <c r="O85" s="100">
        <f>SUM(O86:O87)</f>
        <v>8358.8575000000019</v>
      </c>
      <c r="P85" s="101">
        <f t="shared" si="124"/>
        <v>1.4046611379982525</v>
      </c>
      <c r="Q85" s="102">
        <f t="shared" ref="Q85:R85" si="150">SUM(Q86:Q87)</f>
        <v>5950.8</v>
      </c>
      <c r="R85" s="102">
        <f t="shared" si="150"/>
        <v>8358.8575000000019</v>
      </c>
      <c r="S85" s="103">
        <f t="shared" si="125"/>
        <v>1.4046611379982525</v>
      </c>
      <c r="T85" s="104">
        <f>SUM(T86:T87)</f>
        <v>5950.8</v>
      </c>
      <c r="U85" s="104">
        <f>SUM(U86:U87)</f>
        <v>8358.8575000000019</v>
      </c>
      <c r="V85" s="105">
        <f t="shared" si="126"/>
        <v>1.4046611379982525</v>
      </c>
      <c r="W85" s="104">
        <f>SUM(W86:W87)</f>
        <v>2100.8000000000002</v>
      </c>
      <c r="X85" s="104">
        <f>SUM(X86:X87)</f>
        <v>2346.4575</v>
      </c>
      <c r="Y85" s="105">
        <f t="shared" si="127"/>
        <v>1.1169352151561309</v>
      </c>
      <c r="Z85" s="104">
        <f>SUM(Z86:Z87)</f>
        <v>2100.8000000000002</v>
      </c>
      <c r="AA85" s="104">
        <f>SUM(AA86:AA87)</f>
        <v>2346.4575</v>
      </c>
      <c r="AB85" s="105">
        <f t="shared" si="128"/>
        <v>1.1169352151561309</v>
      </c>
      <c r="AC85" s="104">
        <f>SUM(AC86:AC87)</f>
        <v>0</v>
      </c>
      <c r="AD85" s="104">
        <f>SUM(AD86:AD87)</f>
        <v>0</v>
      </c>
      <c r="AE85" s="105" t="str">
        <f t="shared" si="129"/>
        <v>-</v>
      </c>
      <c r="AF85" s="104">
        <f>SUM(AF86:AF87)</f>
        <v>0</v>
      </c>
      <c r="AG85" s="104">
        <f>SUM(AG86:AG87)</f>
        <v>0</v>
      </c>
      <c r="AH85" s="105" t="str">
        <f t="shared" si="130"/>
        <v>-</v>
      </c>
      <c r="AI85" s="106">
        <f>SUM(AI86:AI87)</f>
        <v>850</v>
      </c>
      <c r="AJ85" s="104">
        <f>SUM(AJ86:AJ87)</f>
        <v>1870</v>
      </c>
      <c r="AK85" s="105">
        <f t="shared" si="131"/>
        <v>2.2000000000000002</v>
      </c>
      <c r="AL85" s="104">
        <f>SUM(AL86:AL87)</f>
        <v>3000</v>
      </c>
      <c r="AM85" s="104">
        <f>SUM(AM86:AM87)</f>
        <v>4142.4000000000005</v>
      </c>
      <c r="AN85" s="105">
        <f t="shared" si="132"/>
        <v>1.3808000000000002</v>
      </c>
      <c r="AO85" s="104">
        <f>SUM(AO86:AO87)</f>
        <v>0</v>
      </c>
      <c r="AP85" s="104">
        <f>SUM(AP86:AP87)</f>
        <v>0</v>
      </c>
      <c r="AQ85" s="105" t="str">
        <f t="shared" si="133"/>
        <v>-</v>
      </c>
      <c r="AR85" s="104">
        <f>SUM(AR86:AR87)</f>
        <v>0</v>
      </c>
      <c r="AS85" s="104">
        <f>SUM(AS86:AS87)</f>
        <v>0</v>
      </c>
      <c r="AT85" s="105" t="str">
        <f t="shared" si="134"/>
        <v>-</v>
      </c>
      <c r="AU85" s="104">
        <f>SUM(AU86:AU87)</f>
        <v>0</v>
      </c>
      <c r="AV85" s="104">
        <f>SUM(AV86:AV87)</f>
        <v>0</v>
      </c>
      <c r="AW85" s="105" t="str">
        <f t="shared" si="135"/>
        <v>-</v>
      </c>
      <c r="AX85" s="104">
        <f>SUM(AX86:AX87)</f>
        <v>0</v>
      </c>
      <c r="AY85" s="104">
        <f>SUM(AY86:AY87)</f>
        <v>0</v>
      </c>
      <c r="AZ85" s="105" t="str">
        <f t="shared" si="136"/>
        <v>-</v>
      </c>
      <c r="BA85" s="104">
        <f>SUM(BA86:BA87)</f>
        <v>0</v>
      </c>
      <c r="BB85" s="104">
        <f>SUM(BB86:BB87)</f>
        <v>0</v>
      </c>
      <c r="BC85" s="105" t="str">
        <f t="shared" si="137"/>
        <v>-</v>
      </c>
      <c r="BD85" s="104">
        <f>SUM(BD86:BD87)</f>
        <v>0</v>
      </c>
      <c r="BE85" s="104">
        <f>SUM(BE86:BE87)</f>
        <v>0</v>
      </c>
      <c r="BF85" s="105" t="str">
        <f t="shared" si="138"/>
        <v>-</v>
      </c>
      <c r="BG85" s="104">
        <f>SUM(BG86:BG87)</f>
        <v>0</v>
      </c>
      <c r="BH85" s="104">
        <f>SUM(BH86:BH87)</f>
        <v>0</v>
      </c>
      <c r="BI85" s="105" t="str">
        <f t="shared" si="139"/>
        <v>-</v>
      </c>
      <c r="BJ85" s="104">
        <f>SUM(BJ86:BJ87)</f>
        <v>0</v>
      </c>
      <c r="BK85" s="104">
        <f>SUM(BK86:BK87)</f>
        <v>0</v>
      </c>
      <c r="BL85" s="105" t="str">
        <f t="shared" si="140"/>
        <v>-</v>
      </c>
      <c r="BM85" s="104">
        <f>SUM(BM86:BM87)</f>
        <v>0</v>
      </c>
      <c r="BN85" s="104">
        <f>SUM(BN86:BN87)</f>
        <v>0</v>
      </c>
      <c r="BO85" s="105" t="str">
        <f t="shared" si="141"/>
        <v>-</v>
      </c>
      <c r="BP85" s="104">
        <f>SUM(BP86:BP87)</f>
        <v>0</v>
      </c>
      <c r="BQ85" s="104">
        <f>SUM(BQ86:BQ87)</f>
        <v>0</v>
      </c>
      <c r="BR85" s="105" t="str">
        <f t="shared" si="142"/>
        <v>-</v>
      </c>
      <c r="BS85" s="104">
        <f>SUM(BS86:BS87)</f>
        <v>0</v>
      </c>
      <c r="BT85" s="104">
        <f>SUM(BT86:BT87)</f>
        <v>0</v>
      </c>
      <c r="BU85" s="105" t="str">
        <f t="shared" si="143"/>
        <v>-</v>
      </c>
      <c r="BV85" s="104">
        <f>SUM(BV86:BV87)</f>
        <v>0</v>
      </c>
      <c r="BW85" s="104">
        <f>SUM(BW86:BW87)</f>
        <v>0</v>
      </c>
      <c r="BX85" s="105" t="str">
        <f t="shared" si="144"/>
        <v>-</v>
      </c>
      <c r="BY85" s="104">
        <f>SUM(BY86:BY87)</f>
        <v>0</v>
      </c>
      <c r="BZ85" s="104">
        <f>SUM(BZ86:BZ87)</f>
        <v>0</v>
      </c>
      <c r="CA85" s="105" t="str">
        <f t="shared" si="145"/>
        <v>-</v>
      </c>
      <c r="CB85" s="104">
        <f>SUM(CB86:CB87)</f>
        <v>0</v>
      </c>
      <c r="CC85" s="104">
        <f>SUM(CC86:CC87)</f>
        <v>0</v>
      </c>
      <c r="CD85" s="105" t="str">
        <f t="shared" si="146"/>
        <v>-</v>
      </c>
      <c r="CE85" s="104">
        <f>SUM(CE86:CE87)</f>
        <v>0</v>
      </c>
      <c r="CF85" s="104">
        <f>SUM(CF86:CF87)</f>
        <v>0</v>
      </c>
      <c r="CG85" s="105" t="str">
        <f t="shared" si="147"/>
        <v>-</v>
      </c>
      <c r="CH85" s="104">
        <f>SUM(CH86:CH87)</f>
        <v>0</v>
      </c>
      <c r="CI85" s="104">
        <f>SUM(CI86:CI87)</f>
        <v>0</v>
      </c>
      <c r="CJ85" s="107" t="str">
        <f t="shared" si="148"/>
        <v>-</v>
      </c>
      <c r="CK85" s="108" t="str">
        <f t="shared" si="149"/>
        <v>ok</v>
      </c>
      <c r="CL85" s="108"/>
      <c r="CM85" s="109"/>
    </row>
    <row r="86" spans="3:92" s="124" customFormat="1" ht="21" customHeight="1" x14ac:dyDescent="0.75">
      <c r="C86" s="96">
        <v>21</v>
      </c>
      <c r="D86" s="96" t="str">
        <f>IFERROR(INDEX([4]Account!$A:$A,MATCH(K86,[4]Account!$D:$D,0)),"")</f>
        <v/>
      </c>
      <c r="E86" s="96">
        <v>21</v>
      </c>
      <c r="F86" s="96">
        <v>105</v>
      </c>
      <c r="G86" s="96">
        <f>IFERROR(INDEX('[5]Sub Account'!$A:$A,MATCH(L86,'[5]Sub Account'!$D:$D,0)),"")</f>
        <v>469</v>
      </c>
      <c r="H86" s="96">
        <v>1</v>
      </c>
      <c r="I86" s="96">
        <v>2</v>
      </c>
      <c r="J86" s="228"/>
      <c r="K86" s="111"/>
      <c r="L86" s="112">
        <v>73047</v>
      </c>
      <c r="M86" s="113" t="s">
        <v>112</v>
      </c>
      <c r="N86" s="114">
        <f>Q86+CH86</f>
        <v>3000</v>
      </c>
      <c r="O86" s="114">
        <f>R86+CI86</f>
        <v>4142.4000000000005</v>
      </c>
      <c r="P86" s="115">
        <f t="shared" si="124"/>
        <v>1.3808000000000002</v>
      </c>
      <c r="Q86" s="116">
        <f>T86+AO86</f>
        <v>3000</v>
      </c>
      <c r="R86" s="116">
        <f>U86+AP86</f>
        <v>4142.4000000000005</v>
      </c>
      <c r="S86" s="117">
        <f t="shared" si="125"/>
        <v>1.3808000000000002</v>
      </c>
      <c r="T86" s="118">
        <f>W86+AI86+AL86</f>
        <v>3000</v>
      </c>
      <c r="U86" s="118">
        <f>X86+AJ86+AM86</f>
        <v>4142.4000000000005</v>
      </c>
      <c r="V86" s="119">
        <f t="shared" si="126"/>
        <v>1.3808000000000002</v>
      </c>
      <c r="W86" s="118">
        <f t="shared" ref="W86:X87" si="151">Z86+AC86+AF86</f>
        <v>0</v>
      </c>
      <c r="X86" s="118">
        <f t="shared" si="151"/>
        <v>0</v>
      </c>
      <c r="Y86" s="119" t="str">
        <f t="shared" si="127"/>
        <v>-</v>
      </c>
      <c r="Z86" s="118"/>
      <c r="AA86" s="118"/>
      <c r="AB86" s="119" t="str">
        <f t="shared" si="128"/>
        <v>-</v>
      </c>
      <c r="AC86" s="118"/>
      <c r="AD86" s="118"/>
      <c r="AE86" s="119" t="str">
        <f t="shared" si="129"/>
        <v>-</v>
      </c>
      <c r="AF86" s="118"/>
      <c r="AG86" s="118"/>
      <c r="AH86" s="119" t="str">
        <f t="shared" si="130"/>
        <v>-</v>
      </c>
      <c r="AI86" s="120"/>
      <c r="AJ86" s="118"/>
      <c r="AK86" s="119" t="str">
        <f t="shared" si="131"/>
        <v>-</v>
      </c>
      <c r="AL86" s="118">
        <v>3000</v>
      </c>
      <c r="AM86" s="118">
        <f>4142.3+0.1</f>
        <v>4142.4000000000005</v>
      </c>
      <c r="AN86" s="119">
        <f t="shared" si="132"/>
        <v>1.3808000000000002</v>
      </c>
      <c r="AO86" s="118">
        <f t="shared" ref="AO86:AP87" si="152">AR86+AU86+AX86+BA86+BG86+BJ86+BM86+BP86+BS86+BV86+BY86+CB86+CE86</f>
        <v>0</v>
      </c>
      <c r="AP86" s="118">
        <f t="shared" si="152"/>
        <v>0</v>
      </c>
      <c r="AQ86" s="119" t="str">
        <f t="shared" si="133"/>
        <v>-</v>
      </c>
      <c r="AR86" s="118"/>
      <c r="AS86" s="118"/>
      <c r="AT86" s="119" t="str">
        <f t="shared" si="134"/>
        <v>-</v>
      </c>
      <c r="AU86" s="118"/>
      <c r="AV86" s="118"/>
      <c r="AW86" s="119" t="str">
        <f t="shared" si="135"/>
        <v>-</v>
      </c>
      <c r="AX86" s="118"/>
      <c r="AY86" s="118"/>
      <c r="AZ86" s="119" t="str">
        <f t="shared" si="136"/>
        <v>-</v>
      </c>
      <c r="BA86" s="118"/>
      <c r="BB86" s="118"/>
      <c r="BC86" s="119" t="str">
        <f t="shared" si="137"/>
        <v>-</v>
      </c>
      <c r="BD86" s="118"/>
      <c r="BE86" s="118"/>
      <c r="BF86" s="119" t="str">
        <f t="shared" si="138"/>
        <v>-</v>
      </c>
      <c r="BG86" s="118"/>
      <c r="BH86" s="118"/>
      <c r="BI86" s="119" t="str">
        <f t="shared" si="139"/>
        <v>-</v>
      </c>
      <c r="BJ86" s="118"/>
      <c r="BK86" s="118"/>
      <c r="BL86" s="119" t="str">
        <f t="shared" si="140"/>
        <v>-</v>
      </c>
      <c r="BM86" s="118"/>
      <c r="BN86" s="118"/>
      <c r="BO86" s="119" t="str">
        <f t="shared" si="141"/>
        <v>-</v>
      </c>
      <c r="BP86" s="118"/>
      <c r="BQ86" s="118"/>
      <c r="BR86" s="119" t="str">
        <f t="shared" si="142"/>
        <v>-</v>
      </c>
      <c r="BS86" s="118"/>
      <c r="BT86" s="118"/>
      <c r="BU86" s="119" t="str">
        <f t="shared" si="143"/>
        <v>-</v>
      </c>
      <c r="BV86" s="118"/>
      <c r="BW86" s="118"/>
      <c r="BX86" s="119" t="str">
        <f t="shared" si="144"/>
        <v>-</v>
      </c>
      <c r="BY86" s="118"/>
      <c r="BZ86" s="118"/>
      <c r="CA86" s="119" t="str">
        <f t="shared" si="145"/>
        <v>-</v>
      </c>
      <c r="CB86" s="118"/>
      <c r="CC86" s="118"/>
      <c r="CD86" s="119" t="str">
        <f t="shared" si="146"/>
        <v>-</v>
      </c>
      <c r="CE86" s="118"/>
      <c r="CF86" s="118"/>
      <c r="CG86" s="119" t="str">
        <f t="shared" si="147"/>
        <v>-</v>
      </c>
      <c r="CH86" s="118"/>
      <c r="CI86" s="118"/>
      <c r="CJ86" s="121" t="str">
        <f t="shared" si="148"/>
        <v>-</v>
      </c>
      <c r="CK86" s="122" t="str">
        <f t="shared" si="149"/>
        <v>ok</v>
      </c>
      <c r="CL86" s="122"/>
    </row>
    <row r="87" spans="3:92" s="124" customFormat="1" ht="21" customHeight="1" x14ac:dyDescent="0.75">
      <c r="C87" s="96">
        <v>21</v>
      </c>
      <c r="D87" s="96" t="str">
        <f>IFERROR(INDEX([4]Account!$A:$A,MATCH(K87,[4]Account!$D:$D,0)),"")</f>
        <v/>
      </c>
      <c r="E87" s="96">
        <v>21</v>
      </c>
      <c r="F87" s="96">
        <v>105</v>
      </c>
      <c r="G87" s="96">
        <f>IFERROR(INDEX('[5]Sub Account'!$A:$A,MATCH(L87,'[5]Sub Account'!$D:$D,0)),"")</f>
        <v>472</v>
      </c>
      <c r="H87" s="96">
        <v>1</v>
      </c>
      <c r="I87" s="96">
        <v>2</v>
      </c>
      <c r="J87" s="228"/>
      <c r="K87" s="111"/>
      <c r="L87" s="112">
        <v>73048</v>
      </c>
      <c r="M87" s="113" t="s">
        <v>113</v>
      </c>
      <c r="N87" s="114">
        <f>Q87+CH87</f>
        <v>2950.8</v>
      </c>
      <c r="O87" s="114">
        <f>R87+CI87</f>
        <v>4216.4575000000004</v>
      </c>
      <c r="P87" s="115">
        <f t="shared" si="124"/>
        <v>1.428920123356378</v>
      </c>
      <c r="Q87" s="116">
        <f>T87+AO87</f>
        <v>2950.8</v>
      </c>
      <c r="R87" s="116">
        <f>U87+AP87</f>
        <v>4216.4575000000004</v>
      </c>
      <c r="S87" s="117">
        <f t="shared" si="125"/>
        <v>1.428920123356378</v>
      </c>
      <c r="T87" s="118">
        <f>W87+AI87+AL87</f>
        <v>2950.8</v>
      </c>
      <c r="U87" s="118">
        <f>X87+AJ87+AM87</f>
        <v>4216.4575000000004</v>
      </c>
      <c r="V87" s="119">
        <f t="shared" si="126"/>
        <v>1.428920123356378</v>
      </c>
      <c r="W87" s="118">
        <f t="shared" si="151"/>
        <v>2100.8000000000002</v>
      </c>
      <c r="X87" s="118">
        <f t="shared" si="151"/>
        <v>2346.4575</v>
      </c>
      <c r="Y87" s="119">
        <f t="shared" si="127"/>
        <v>1.1169352151561309</v>
      </c>
      <c r="Z87" s="118">
        <v>2100.8000000000002</v>
      </c>
      <c r="AA87" s="118">
        <v>2346.4575</v>
      </c>
      <c r="AB87" s="119">
        <f t="shared" si="128"/>
        <v>1.1169352151561309</v>
      </c>
      <c r="AC87" s="118"/>
      <c r="AD87" s="118"/>
      <c r="AE87" s="119" t="str">
        <f t="shared" si="129"/>
        <v>-</v>
      </c>
      <c r="AF87" s="118"/>
      <c r="AG87" s="118"/>
      <c r="AH87" s="119" t="str">
        <f t="shared" si="130"/>
        <v>-</v>
      </c>
      <c r="AI87" s="120">
        <v>850</v>
      </c>
      <c r="AJ87" s="118">
        <v>1870</v>
      </c>
      <c r="AK87" s="119">
        <f t="shared" si="131"/>
        <v>2.2000000000000002</v>
      </c>
      <c r="AL87" s="118"/>
      <c r="AM87" s="118"/>
      <c r="AN87" s="119" t="str">
        <f t="shared" si="132"/>
        <v>-</v>
      </c>
      <c r="AO87" s="118">
        <f t="shared" si="152"/>
        <v>0</v>
      </c>
      <c r="AP87" s="118">
        <f t="shared" si="152"/>
        <v>0</v>
      </c>
      <c r="AQ87" s="119" t="str">
        <f t="shared" si="133"/>
        <v>-</v>
      </c>
      <c r="AR87" s="118"/>
      <c r="AS87" s="118"/>
      <c r="AT87" s="119" t="str">
        <f t="shared" si="134"/>
        <v>-</v>
      </c>
      <c r="AU87" s="118"/>
      <c r="AV87" s="118"/>
      <c r="AW87" s="119" t="str">
        <f t="shared" si="135"/>
        <v>-</v>
      </c>
      <c r="AX87" s="118"/>
      <c r="AY87" s="118"/>
      <c r="AZ87" s="119" t="str">
        <f t="shared" si="136"/>
        <v>-</v>
      </c>
      <c r="BA87" s="118"/>
      <c r="BB87" s="118"/>
      <c r="BC87" s="119" t="str">
        <f t="shared" si="137"/>
        <v>-</v>
      </c>
      <c r="BD87" s="118"/>
      <c r="BE87" s="118"/>
      <c r="BF87" s="119" t="str">
        <f t="shared" si="138"/>
        <v>-</v>
      </c>
      <c r="BG87" s="118"/>
      <c r="BH87" s="118"/>
      <c r="BI87" s="119" t="str">
        <f t="shared" si="139"/>
        <v>-</v>
      </c>
      <c r="BJ87" s="118"/>
      <c r="BK87" s="118"/>
      <c r="BL87" s="119" t="str">
        <f t="shared" si="140"/>
        <v>-</v>
      </c>
      <c r="BM87" s="118"/>
      <c r="BN87" s="118"/>
      <c r="BO87" s="119" t="str">
        <f t="shared" si="141"/>
        <v>-</v>
      </c>
      <c r="BP87" s="118"/>
      <c r="BQ87" s="118"/>
      <c r="BR87" s="119" t="str">
        <f t="shared" si="142"/>
        <v>-</v>
      </c>
      <c r="BS87" s="118"/>
      <c r="BT87" s="118"/>
      <c r="BU87" s="119" t="str">
        <f t="shared" si="143"/>
        <v>-</v>
      </c>
      <c r="BV87" s="118"/>
      <c r="BW87" s="118"/>
      <c r="BX87" s="119" t="str">
        <f t="shared" si="144"/>
        <v>-</v>
      </c>
      <c r="BY87" s="118"/>
      <c r="BZ87" s="118"/>
      <c r="CA87" s="119" t="str">
        <f t="shared" si="145"/>
        <v>-</v>
      </c>
      <c r="CB87" s="118"/>
      <c r="CC87" s="118"/>
      <c r="CD87" s="119" t="str">
        <f t="shared" si="146"/>
        <v>-</v>
      </c>
      <c r="CE87" s="118"/>
      <c r="CF87" s="118"/>
      <c r="CG87" s="119" t="str">
        <f t="shared" si="147"/>
        <v>-</v>
      </c>
      <c r="CH87" s="118"/>
      <c r="CI87" s="118"/>
      <c r="CJ87" s="121" t="str">
        <f t="shared" si="148"/>
        <v>-</v>
      </c>
      <c r="CK87" s="122" t="str">
        <f t="shared" si="149"/>
        <v>ok</v>
      </c>
      <c r="CL87" s="122"/>
    </row>
    <row r="88" spans="3:92" s="110" customFormat="1" ht="21" customHeight="1" x14ac:dyDescent="0.75">
      <c r="C88" s="96">
        <v>21</v>
      </c>
      <c r="D88" s="96">
        <f>IFERROR(INDEX([4]Account!$A:$A,MATCH(K88,[4]Account!$D:$D,0)),"")</f>
        <v>107</v>
      </c>
      <c r="E88" s="96">
        <v>21</v>
      </c>
      <c r="F88" s="96">
        <f>IFERROR(INDEX([4]Account!$A:$A,MATCH(K88,[4]Account!$D:$D,0)),"")</f>
        <v>107</v>
      </c>
      <c r="G88" s="96" t="str">
        <f>IFERROR(INDEX('[5]Sub Account'!$A:$A,MATCH(L88,'[5]Sub Account'!$D:$D,0)),"")</f>
        <v/>
      </c>
      <c r="H88" s="96">
        <v>1</v>
      </c>
      <c r="I88" s="96">
        <v>2</v>
      </c>
      <c r="J88" s="227"/>
      <c r="K88" s="237">
        <v>7306</v>
      </c>
      <c r="L88" s="98"/>
      <c r="M88" s="99" t="s">
        <v>114</v>
      </c>
      <c r="N88" s="100">
        <f>SUM(N89:N92)</f>
        <v>211695.8</v>
      </c>
      <c r="O88" s="100">
        <f>SUM(O89:O92)</f>
        <v>41389.481495</v>
      </c>
      <c r="P88" s="101">
        <f t="shared" si="124"/>
        <v>0.19551394734803432</v>
      </c>
      <c r="Q88" s="102">
        <f>SUM(Q89:Q92)</f>
        <v>211695.8</v>
      </c>
      <c r="R88" s="102">
        <f>SUM(R89:R92)</f>
        <v>41389.481495</v>
      </c>
      <c r="S88" s="103">
        <f t="shared" si="125"/>
        <v>0.19551394734803432</v>
      </c>
      <c r="T88" s="104">
        <f>SUM(T89:T92)</f>
        <v>211695.8</v>
      </c>
      <c r="U88" s="104">
        <f>SUM(U89:U92)</f>
        <v>41389.481495</v>
      </c>
      <c r="V88" s="105">
        <f t="shared" si="126"/>
        <v>0.19551394734803432</v>
      </c>
      <c r="W88" s="104">
        <f>SUM(W89:W92)</f>
        <v>210795.8</v>
      </c>
      <c r="X88" s="104">
        <f>SUM(X89:X92)</f>
        <v>39761.481495</v>
      </c>
      <c r="Y88" s="105">
        <f t="shared" si="127"/>
        <v>0.1886255869187147</v>
      </c>
      <c r="Z88" s="104">
        <f>SUM(Z89:Z92)</f>
        <v>210750.8</v>
      </c>
      <c r="AA88" s="104">
        <f>SUM(AA89:AA92)</f>
        <v>39702.081494999999</v>
      </c>
      <c r="AB88" s="105">
        <f t="shared" si="128"/>
        <v>0.18838401322794504</v>
      </c>
      <c r="AC88" s="104">
        <f>SUM(AC89:AC92)</f>
        <v>0</v>
      </c>
      <c r="AD88" s="104">
        <f>SUM(AD89:AD92)</f>
        <v>0</v>
      </c>
      <c r="AE88" s="105" t="str">
        <f t="shared" si="129"/>
        <v>-</v>
      </c>
      <c r="AF88" s="104">
        <f>SUM(AF89:AF92)</f>
        <v>45</v>
      </c>
      <c r="AG88" s="104">
        <f>SUM(AG89:AG92)</f>
        <v>59.4</v>
      </c>
      <c r="AH88" s="105">
        <f t="shared" si="130"/>
        <v>1.32</v>
      </c>
      <c r="AI88" s="106">
        <f>SUM(AI89:AI92)</f>
        <v>900</v>
      </c>
      <c r="AJ88" s="104">
        <f>SUM(AJ89:AJ92)</f>
        <v>1628</v>
      </c>
      <c r="AK88" s="105">
        <f t="shared" si="131"/>
        <v>1.808888888888889</v>
      </c>
      <c r="AL88" s="104">
        <f>SUM(AL89:AL92)</f>
        <v>0</v>
      </c>
      <c r="AM88" s="104">
        <f>SUM(AM89:AM92)</f>
        <v>0</v>
      </c>
      <c r="AN88" s="105" t="str">
        <f t="shared" si="132"/>
        <v>-</v>
      </c>
      <c r="AO88" s="104">
        <f>SUM(AO89:AO92)</f>
        <v>0</v>
      </c>
      <c r="AP88" s="104">
        <f>SUM(AP89:AP92)</f>
        <v>0</v>
      </c>
      <c r="AQ88" s="105" t="str">
        <f t="shared" si="133"/>
        <v>-</v>
      </c>
      <c r="AR88" s="104">
        <f>SUM(AR89:AR92)</f>
        <v>0</v>
      </c>
      <c r="AS88" s="104">
        <f>SUM(AS89:AS92)</f>
        <v>0</v>
      </c>
      <c r="AT88" s="105" t="str">
        <f t="shared" si="134"/>
        <v>-</v>
      </c>
      <c r="AU88" s="104">
        <f>SUM(AU89:AU92)</f>
        <v>0</v>
      </c>
      <c r="AV88" s="104">
        <f>SUM(AV89:AV92)</f>
        <v>0</v>
      </c>
      <c r="AW88" s="105" t="str">
        <f t="shared" si="135"/>
        <v>-</v>
      </c>
      <c r="AX88" s="104">
        <f>SUM(AX89:AX92)</f>
        <v>0</v>
      </c>
      <c r="AY88" s="104">
        <f>SUM(AY89:AY92)</f>
        <v>0</v>
      </c>
      <c r="AZ88" s="105" t="str">
        <f t="shared" si="136"/>
        <v>-</v>
      </c>
      <c r="BA88" s="104">
        <f>SUM(BA89:BA92)</f>
        <v>0</v>
      </c>
      <c r="BB88" s="104">
        <f>SUM(BB89:BB92)</f>
        <v>0</v>
      </c>
      <c r="BC88" s="105" t="str">
        <f t="shared" si="137"/>
        <v>-</v>
      </c>
      <c r="BD88" s="104">
        <f>SUM(BD89:BD92)</f>
        <v>0</v>
      </c>
      <c r="BE88" s="104">
        <f>SUM(BE89:BE92)</f>
        <v>0</v>
      </c>
      <c r="BF88" s="105" t="str">
        <f t="shared" si="138"/>
        <v>-</v>
      </c>
      <c r="BG88" s="104">
        <f>SUM(BG89:BG92)</f>
        <v>0</v>
      </c>
      <c r="BH88" s="104">
        <f>SUM(BH89:BH92)</f>
        <v>0</v>
      </c>
      <c r="BI88" s="105" t="str">
        <f t="shared" si="139"/>
        <v>-</v>
      </c>
      <c r="BJ88" s="104">
        <f>SUM(BJ89:BJ92)</f>
        <v>0</v>
      </c>
      <c r="BK88" s="104">
        <f>SUM(BK89:BK92)</f>
        <v>0</v>
      </c>
      <c r="BL88" s="105" t="str">
        <f t="shared" si="140"/>
        <v>-</v>
      </c>
      <c r="BM88" s="104">
        <f>SUM(BM89:BM92)</f>
        <v>0</v>
      </c>
      <c r="BN88" s="104">
        <f>SUM(BN89:BN92)</f>
        <v>0</v>
      </c>
      <c r="BO88" s="105" t="str">
        <f t="shared" si="141"/>
        <v>-</v>
      </c>
      <c r="BP88" s="104">
        <f>SUM(BP89:BP92)</f>
        <v>0</v>
      </c>
      <c r="BQ88" s="104">
        <f>SUM(BQ89:BQ92)</f>
        <v>0</v>
      </c>
      <c r="BR88" s="105" t="str">
        <f t="shared" si="142"/>
        <v>-</v>
      </c>
      <c r="BS88" s="104">
        <f>SUM(BS89:BS92)</f>
        <v>0</v>
      </c>
      <c r="BT88" s="104">
        <f>SUM(BT89:BT92)</f>
        <v>0</v>
      </c>
      <c r="BU88" s="105" t="str">
        <f t="shared" si="143"/>
        <v>-</v>
      </c>
      <c r="BV88" s="104">
        <f>SUM(BV89:BV92)</f>
        <v>0</v>
      </c>
      <c r="BW88" s="104">
        <f>SUM(BW89:BW92)</f>
        <v>0</v>
      </c>
      <c r="BX88" s="105" t="str">
        <f t="shared" si="144"/>
        <v>-</v>
      </c>
      <c r="BY88" s="104">
        <f>SUM(BY89:BY92)</f>
        <v>0</v>
      </c>
      <c r="BZ88" s="104">
        <f>SUM(BZ89:BZ92)</f>
        <v>0</v>
      </c>
      <c r="CA88" s="105" t="str">
        <f t="shared" si="145"/>
        <v>-</v>
      </c>
      <c r="CB88" s="104">
        <f>SUM(CB89:CB92)</f>
        <v>0</v>
      </c>
      <c r="CC88" s="104">
        <f>SUM(CC89:CC92)</f>
        <v>0</v>
      </c>
      <c r="CD88" s="105" t="str">
        <f t="shared" si="146"/>
        <v>-</v>
      </c>
      <c r="CE88" s="104">
        <f>SUM(CE89:CE92)</f>
        <v>0</v>
      </c>
      <c r="CF88" s="104">
        <f>SUM(CF89:CF92)</f>
        <v>0</v>
      </c>
      <c r="CG88" s="105" t="str">
        <f t="shared" si="147"/>
        <v>-</v>
      </c>
      <c r="CH88" s="104">
        <f>SUM(CH89:CH92)</f>
        <v>0</v>
      </c>
      <c r="CI88" s="104">
        <f>SUM(CI89:CI92)</f>
        <v>0</v>
      </c>
      <c r="CJ88" s="107" t="str">
        <f t="shared" si="148"/>
        <v>-</v>
      </c>
      <c r="CK88" s="108" t="str">
        <f t="shared" si="149"/>
        <v>ok</v>
      </c>
      <c r="CL88" s="108"/>
      <c r="CM88" s="109"/>
    </row>
    <row r="89" spans="3:92" s="123" customFormat="1" ht="21" customHeight="1" x14ac:dyDescent="2.5">
      <c r="C89" s="96">
        <v>21</v>
      </c>
      <c r="D89" s="96" t="str">
        <f>IFERROR(INDEX([4]Account!$A:$A,MATCH(K89,[4]Account!$D:$D,0)),"")</f>
        <v/>
      </c>
      <c r="E89" s="96">
        <v>21</v>
      </c>
      <c r="F89" s="96">
        <v>107</v>
      </c>
      <c r="G89" s="96">
        <f>IFERROR(INDEX('[5]Sub Account'!$A:$A,MATCH(L89,'[5]Sub Account'!$D:$D,0)),"")</f>
        <v>474</v>
      </c>
      <c r="H89" s="96">
        <v>1</v>
      </c>
      <c r="I89" s="96">
        <v>2</v>
      </c>
      <c r="J89" s="227"/>
      <c r="K89" s="153"/>
      <c r="L89" s="154">
        <v>73061</v>
      </c>
      <c r="M89" s="155" t="s">
        <v>115</v>
      </c>
      <c r="N89" s="114">
        <f t="shared" ref="N89:O92" si="153">Q89+CH89</f>
        <v>198089</v>
      </c>
      <c r="O89" s="114">
        <f t="shared" si="153"/>
        <v>11716.581002999999</v>
      </c>
      <c r="P89" s="115">
        <f t="shared" si="124"/>
        <v>5.9148064773914752E-2</v>
      </c>
      <c r="Q89" s="116">
        <f t="shared" ref="Q89:R92" si="154">T89+AO89</f>
        <v>198089</v>
      </c>
      <c r="R89" s="116">
        <f t="shared" si="154"/>
        <v>11716.581002999999</v>
      </c>
      <c r="S89" s="117">
        <f t="shared" si="125"/>
        <v>5.9148064773914752E-2</v>
      </c>
      <c r="T89" s="118">
        <f t="shared" ref="T89:U92" si="155">W89+AI89+AL89</f>
        <v>198089</v>
      </c>
      <c r="U89" s="118">
        <f t="shared" si="155"/>
        <v>11716.581002999999</v>
      </c>
      <c r="V89" s="119">
        <f t="shared" si="126"/>
        <v>5.9148064773914752E-2</v>
      </c>
      <c r="W89" s="118">
        <f t="shared" ref="W89:X92" si="156">Z89+AC89+AF89</f>
        <v>198089</v>
      </c>
      <c r="X89" s="118">
        <f t="shared" si="156"/>
        <v>11716.581002999999</v>
      </c>
      <c r="Y89" s="119">
        <f t="shared" si="127"/>
        <v>5.9148064773914752E-2</v>
      </c>
      <c r="Z89" s="118">
        <v>198089</v>
      </c>
      <c r="AA89" s="118">
        <v>11716.581002999999</v>
      </c>
      <c r="AB89" s="119">
        <f t="shared" si="128"/>
        <v>5.9148064773914752E-2</v>
      </c>
      <c r="AC89" s="118"/>
      <c r="AD89" s="118"/>
      <c r="AE89" s="119" t="str">
        <f t="shared" si="129"/>
        <v>-</v>
      </c>
      <c r="AF89" s="118"/>
      <c r="AG89" s="118"/>
      <c r="AH89" s="119" t="str">
        <f t="shared" si="130"/>
        <v>-</v>
      </c>
      <c r="AI89" s="120"/>
      <c r="AJ89" s="118"/>
      <c r="AK89" s="119" t="str">
        <f t="shared" si="131"/>
        <v>-</v>
      </c>
      <c r="AL89" s="118"/>
      <c r="AM89" s="118"/>
      <c r="AN89" s="119" t="str">
        <f t="shared" si="132"/>
        <v>-</v>
      </c>
      <c r="AO89" s="118">
        <f t="shared" ref="AO89:AP92" si="157">AR89+AU89+AX89+BA89+BG89+BJ89+BM89+BP89+BS89+BV89+BY89+CB89+CE89</f>
        <v>0</v>
      </c>
      <c r="AP89" s="118">
        <f t="shared" si="157"/>
        <v>0</v>
      </c>
      <c r="AQ89" s="119" t="str">
        <f t="shared" si="133"/>
        <v>-</v>
      </c>
      <c r="AR89" s="156"/>
      <c r="AS89" s="156"/>
      <c r="AT89" s="157" t="str">
        <f t="shared" si="134"/>
        <v>-</v>
      </c>
      <c r="AU89" s="156"/>
      <c r="AV89" s="156"/>
      <c r="AW89" s="157" t="str">
        <f t="shared" si="135"/>
        <v>-</v>
      </c>
      <c r="AX89" s="156"/>
      <c r="AY89" s="156"/>
      <c r="AZ89" s="157" t="str">
        <f t="shared" si="136"/>
        <v>-</v>
      </c>
      <c r="BA89" s="156"/>
      <c r="BB89" s="156"/>
      <c r="BC89" s="157" t="str">
        <f t="shared" si="137"/>
        <v>-</v>
      </c>
      <c r="BD89" s="156"/>
      <c r="BE89" s="156"/>
      <c r="BF89" s="157" t="str">
        <f t="shared" si="138"/>
        <v>-</v>
      </c>
      <c r="BG89" s="156"/>
      <c r="BH89" s="156"/>
      <c r="BI89" s="157" t="str">
        <f t="shared" si="139"/>
        <v>-</v>
      </c>
      <c r="BJ89" s="156"/>
      <c r="BK89" s="156"/>
      <c r="BL89" s="157" t="str">
        <f t="shared" si="140"/>
        <v>-</v>
      </c>
      <c r="BM89" s="156"/>
      <c r="BN89" s="156"/>
      <c r="BO89" s="157" t="str">
        <f t="shared" si="141"/>
        <v>-</v>
      </c>
      <c r="BP89" s="156"/>
      <c r="BQ89" s="156"/>
      <c r="BR89" s="157" t="str">
        <f t="shared" si="142"/>
        <v>-</v>
      </c>
      <c r="BS89" s="156"/>
      <c r="BT89" s="156"/>
      <c r="BU89" s="157" t="str">
        <f t="shared" si="143"/>
        <v>-</v>
      </c>
      <c r="BV89" s="156"/>
      <c r="BW89" s="156"/>
      <c r="BX89" s="157" t="str">
        <f t="shared" si="144"/>
        <v>-</v>
      </c>
      <c r="BY89" s="156"/>
      <c r="BZ89" s="156"/>
      <c r="CA89" s="157" t="str">
        <f t="shared" si="145"/>
        <v>-</v>
      </c>
      <c r="CB89" s="156"/>
      <c r="CC89" s="156"/>
      <c r="CD89" s="157" t="str">
        <f t="shared" si="146"/>
        <v>-</v>
      </c>
      <c r="CE89" s="156"/>
      <c r="CF89" s="156"/>
      <c r="CG89" s="157" t="str">
        <f t="shared" si="147"/>
        <v>-</v>
      </c>
      <c r="CH89" s="156"/>
      <c r="CI89" s="156"/>
      <c r="CJ89" s="158" t="str">
        <f t="shared" si="148"/>
        <v>-</v>
      </c>
      <c r="CK89" s="159" t="str">
        <f t="shared" si="149"/>
        <v>ok</v>
      </c>
      <c r="CL89" s="159"/>
      <c r="CM89" s="160"/>
      <c r="CN89" s="161"/>
    </row>
    <row r="90" spans="3:92" s="123" customFormat="1" ht="21" customHeight="1" x14ac:dyDescent="2.5">
      <c r="C90" s="96">
        <v>21</v>
      </c>
      <c r="D90" s="96" t="str">
        <f>IFERROR(INDEX([4]Account!$A:$A,MATCH(K90,[4]Account!$D:$D,0)),"")</f>
        <v/>
      </c>
      <c r="E90" s="96">
        <v>21</v>
      </c>
      <c r="F90" s="96">
        <v>107</v>
      </c>
      <c r="G90" s="96">
        <f>IFERROR(INDEX('[5]Sub Account'!$A:$A,MATCH(L90,'[5]Sub Account'!$D:$D,0)),"")</f>
        <v>475</v>
      </c>
      <c r="H90" s="96">
        <v>1</v>
      </c>
      <c r="I90" s="96">
        <v>2</v>
      </c>
      <c r="J90" s="227"/>
      <c r="K90" s="153"/>
      <c r="L90" s="154">
        <v>73062</v>
      </c>
      <c r="M90" s="155" t="s">
        <v>116</v>
      </c>
      <c r="N90" s="114">
        <f t="shared" si="153"/>
        <v>3137</v>
      </c>
      <c r="O90" s="114">
        <f t="shared" si="153"/>
        <v>3986.892092</v>
      </c>
      <c r="P90" s="115">
        <f t="shared" si="124"/>
        <v>1.2709251169907556</v>
      </c>
      <c r="Q90" s="116">
        <f t="shared" si="154"/>
        <v>3137</v>
      </c>
      <c r="R90" s="116">
        <f t="shared" si="154"/>
        <v>3986.892092</v>
      </c>
      <c r="S90" s="117">
        <f t="shared" si="125"/>
        <v>1.2709251169907556</v>
      </c>
      <c r="T90" s="118">
        <f t="shared" si="155"/>
        <v>3137</v>
      </c>
      <c r="U90" s="118">
        <f t="shared" si="155"/>
        <v>3986.892092</v>
      </c>
      <c r="V90" s="119">
        <f t="shared" si="126"/>
        <v>1.2709251169907556</v>
      </c>
      <c r="W90" s="118">
        <f t="shared" si="156"/>
        <v>3137</v>
      </c>
      <c r="X90" s="118">
        <f t="shared" si="156"/>
        <v>3986.892092</v>
      </c>
      <c r="Y90" s="119">
        <f t="shared" si="127"/>
        <v>1.2709251169907556</v>
      </c>
      <c r="Z90" s="118">
        <v>3137</v>
      </c>
      <c r="AA90" s="118">
        <v>3986.892092</v>
      </c>
      <c r="AB90" s="119">
        <f t="shared" si="128"/>
        <v>1.2709251169907556</v>
      </c>
      <c r="AC90" s="118"/>
      <c r="AD90" s="118"/>
      <c r="AE90" s="119" t="str">
        <f t="shared" si="129"/>
        <v>-</v>
      </c>
      <c r="AF90" s="118"/>
      <c r="AG90" s="118"/>
      <c r="AH90" s="119" t="str">
        <f t="shared" si="130"/>
        <v>-</v>
      </c>
      <c r="AI90" s="120"/>
      <c r="AJ90" s="118"/>
      <c r="AK90" s="119" t="str">
        <f t="shared" si="131"/>
        <v>-</v>
      </c>
      <c r="AL90" s="118"/>
      <c r="AM90" s="118"/>
      <c r="AN90" s="119" t="str">
        <f t="shared" si="132"/>
        <v>-</v>
      </c>
      <c r="AO90" s="118">
        <f t="shared" si="157"/>
        <v>0</v>
      </c>
      <c r="AP90" s="118">
        <f t="shared" si="157"/>
        <v>0</v>
      </c>
      <c r="AQ90" s="119" t="str">
        <f t="shared" si="133"/>
        <v>-</v>
      </c>
      <c r="AR90" s="156"/>
      <c r="AS90" s="156"/>
      <c r="AT90" s="157" t="str">
        <f t="shared" si="134"/>
        <v>-</v>
      </c>
      <c r="AU90" s="156"/>
      <c r="AV90" s="156"/>
      <c r="AW90" s="157" t="str">
        <f t="shared" si="135"/>
        <v>-</v>
      </c>
      <c r="AX90" s="156"/>
      <c r="AY90" s="156"/>
      <c r="AZ90" s="157" t="str">
        <f t="shared" si="136"/>
        <v>-</v>
      </c>
      <c r="BA90" s="156"/>
      <c r="BB90" s="156"/>
      <c r="BC90" s="157" t="str">
        <f t="shared" si="137"/>
        <v>-</v>
      </c>
      <c r="BD90" s="156"/>
      <c r="BE90" s="156"/>
      <c r="BF90" s="157" t="str">
        <f t="shared" si="138"/>
        <v>-</v>
      </c>
      <c r="BG90" s="156"/>
      <c r="BH90" s="156"/>
      <c r="BI90" s="157" t="str">
        <f t="shared" si="139"/>
        <v>-</v>
      </c>
      <c r="BJ90" s="156"/>
      <c r="BK90" s="156"/>
      <c r="BL90" s="157" t="str">
        <f t="shared" si="140"/>
        <v>-</v>
      </c>
      <c r="BM90" s="156"/>
      <c r="BN90" s="156"/>
      <c r="BO90" s="157" t="str">
        <f t="shared" si="141"/>
        <v>-</v>
      </c>
      <c r="BP90" s="156"/>
      <c r="BQ90" s="156"/>
      <c r="BR90" s="157" t="str">
        <f t="shared" si="142"/>
        <v>-</v>
      </c>
      <c r="BS90" s="156"/>
      <c r="BT90" s="156"/>
      <c r="BU90" s="157" t="str">
        <f t="shared" si="143"/>
        <v>-</v>
      </c>
      <c r="BV90" s="156"/>
      <c r="BW90" s="156"/>
      <c r="BX90" s="157" t="str">
        <f t="shared" si="144"/>
        <v>-</v>
      </c>
      <c r="BY90" s="156"/>
      <c r="BZ90" s="156"/>
      <c r="CA90" s="157" t="str">
        <f t="shared" si="145"/>
        <v>-</v>
      </c>
      <c r="CB90" s="156"/>
      <c r="CC90" s="156"/>
      <c r="CD90" s="157" t="str">
        <f t="shared" si="146"/>
        <v>-</v>
      </c>
      <c r="CE90" s="156"/>
      <c r="CF90" s="156"/>
      <c r="CG90" s="157" t="str">
        <f t="shared" si="147"/>
        <v>-</v>
      </c>
      <c r="CH90" s="156"/>
      <c r="CI90" s="156"/>
      <c r="CJ90" s="158" t="str">
        <f t="shared" si="148"/>
        <v>-</v>
      </c>
      <c r="CK90" s="159" t="str">
        <f t="shared" si="149"/>
        <v>ok</v>
      </c>
      <c r="CL90" s="159"/>
      <c r="CM90" s="160"/>
    </row>
    <row r="91" spans="3:92" s="123" customFormat="1" ht="21" customHeight="1" x14ac:dyDescent="2.5">
      <c r="C91" s="96">
        <v>21</v>
      </c>
      <c r="D91" s="96" t="str">
        <f>IFERROR(INDEX([4]Account!$A:$A,MATCH(K91,[4]Account!$D:$D,0)),"")</f>
        <v/>
      </c>
      <c r="E91" s="96">
        <v>21</v>
      </c>
      <c r="F91" s="96">
        <v>107</v>
      </c>
      <c r="G91" s="96">
        <f>IFERROR(INDEX('[5]Sub Account'!$A:$A,MATCH(L91,'[5]Sub Account'!$D:$D,0)),"")</f>
        <v>521</v>
      </c>
      <c r="H91" s="96">
        <v>1</v>
      </c>
      <c r="I91" s="96">
        <v>2</v>
      </c>
      <c r="J91" s="227"/>
      <c r="K91" s="153"/>
      <c r="L91" s="154">
        <v>73063</v>
      </c>
      <c r="M91" s="155" t="s">
        <v>117</v>
      </c>
      <c r="N91" s="114">
        <f t="shared" si="153"/>
        <v>0</v>
      </c>
      <c r="O91" s="114">
        <f t="shared" si="153"/>
        <v>0</v>
      </c>
      <c r="P91" s="115" t="str">
        <f t="shared" si="124"/>
        <v>-</v>
      </c>
      <c r="Q91" s="116">
        <f t="shared" si="154"/>
        <v>0</v>
      </c>
      <c r="R91" s="116">
        <f t="shared" si="154"/>
        <v>0</v>
      </c>
      <c r="S91" s="117" t="str">
        <f t="shared" si="125"/>
        <v>-</v>
      </c>
      <c r="T91" s="118">
        <f t="shared" si="155"/>
        <v>0</v>
      </c>
      <c r="U91" s="118">
        <f t="shared" si="155"/>
        <v>0</v>
      </c>
      <c r="V91" s="119" t="str">
        <f t="shared" si="126"/>
        <v>-</v>
      </c>
      <c r="W91" s="118">
        <f t="shared" si="156"/>
        <v>0</v>
      </c>
      <c r="X91" s="118">
        <f t="shared" si="156"/>
        <v>0</v>
      </c>
      <c r="Y91" s="119" t="str">
        <f t="shared" si="127"/>
        <v>-</v>
      </c>
      <c r="Z91" s="118"/>
      <c r="AA91" s="118"/>
      <c r="AB91" s="119" t="str">
        <f t="shared" si="128"/>
        <v>-</v>
      </c>
      <c r="AC91" s="118"/>
      <c r="AD91" s="118"/>
      <c r="AE91" s="119" t="str">
        <f t="shared" si="129"/>
        <v>-</v>
      </c>
      <c r="AF91" s="118"/>
      <c r="AG91" s="118"/>
      <c r="AH91" s="119" t="str">
        <f t="shared" si="130"/>
        <v>-</v>
      </c>
      <c r="AI91" s="120"/>
      <c r="AJ91" s="118"/>
      <c r="AK91" s="119" t="str">
        <f t="shared" si="131"/>
        <v>-</v>
      </c>
      <c r="AL91" s="118"/>
      <c r="AM91" s="118"/>
      <c r="AN91" s="119" t="str">
        <f t="shared" si="132"/>
        <v>-</v>
      </c>
      <c r="AO91" s="118">
        <f t="shared" si="157"/>
        <v>0</v>
      </c>
      <c r="AP91" s="118">
        <f t="shared" si="157"/>
        <v>0</v>
      </c>
      <c r="AQ91" s="119" t="str">
        <f t="shared" si="133"/>
        <v>-</v>
      </c>
      <c r="AR91" s="156"/>
      <c r="AS91" s="156"/>
      <c r="AT91" s="157" t="str">
        <f t="shared" si="134"/>
        <v>-</v>
      </c>
      <c r="AU91" s="156"/>
      <c r="AV91" s="156"/>
      <c r="AW91" s="157" t="str">
        <f t="shared" si="135"/>
        <v>-</v>
      </c>
      <c r="AX91" s="156"/>
      <c r="AY91" s="156"/>
      <c r="AZ91" s="157" t="str">
        <f t="shared" si="136"/>
        <v>-</v>
      </c>
      <c r="BA91" s="156"/>
      <c r="BB91" s="156"/>
      <c r="BC91" s="157" t="str">
        <f t="shared" si="137"/>
        <v>-</v>
      </c>
      <c r="BD91" s="156"/>
      <c r="BE91" s="156"/>
      <c r="BF91" s="157" t="str">
        <f t="shared" si="138"/>
        <v>-</v>
      </c>
      <c r="BG91" s="156"/>
      <c r="BH91" s="156"/>
      <c r="BI91" s="157" t="str">
        <f t="shared" si="139"/>
        <v>-</v>
      </c>
      <c r="BJ91" s="156"/>
      <c r="BK91" s="156"/>
      <c r="BL91" s="157" t="str">
        <f t="shared" si="140"/>
        <v>-</v>
      </c>
      <c r="BM91" s="156"/>
      <c r="BN91" s="156"/>
      <c r="BO91" s="157" t="str">
        <f t="shared" si="141"/>
        <v>-</v>
      </c>
      <c r="BP91" s="156"/>
      <c r="BQ91" s="156"/>
      <c r="BR91" s="157" t="str">
        <f t="shared" si="142"/>
        <v>-</v>
      </c>
      <c r="BS91" s="156"/>
      <c r="BT91" s="156"/>
      <c r="BU91" s="157" t="str">
        <f t="shared" si="143"/>
        <v>-</v>
      </c>
      <c r="BV91" s="156"/>
      <c r="BW91" s="156"/>
      <c r="BX91" s="157" t="str">
        <f t="shared" si="144"/>
        <v>-</v>
      </c>
      <c r="BY91" s="156"/>
      <c r="BZ91" s="156"/>
      <c r="CA91" s="157" t="str">
        <f t="shared" si="145"/>
        <v>-</v>
      </c>
      <c r="CB91" s="156"/>
      <c r="CC91" s="156"/>
      <c r="CD91" s="157" t="str">
        <f t="shared" si="146"/>
        <v>-</v>
      </c>
      <c r="CE91" s="156"/>
      <c r="CF91" s="156"/>
      <c r="CG91" s="157" t="str">
        <f t="shared" si="147"/>
        <v>-</v>
      </c>
      <c r="CH91" s="156"/>
      <c r="CI91" s="156"/>
      <c r="CJ91" s="158" t="str">
        <f t="shared" si="148"/>
        <v>-</v>
      </c>
      <c r="CK91" s="159" t="str">
        <f t="shared" si="149"/>
        <v>-</v>
      </c>
      <c r="CL91" s="159"/>
      <c r="CM91" s="160"/>
    </row>
    <row r="92" spans="3:92" s="123" customFormat="1" ht="21" customHeight="1" x14ac:dyDescent="0.75">
      <c r="C92" s="96">
        <v>21</v>
      </c>
      <c r="D92" s="96" t="str">
        <f>IFERROR(INDEX([4]Account!$A:$A,MATCH(K92,[4]Account!$D:$D,0)),"")</f>
        <v/>
      </c>
      <c r="E92" s="96">
        <v>21</v>
      </c>
      <c r="F92" s="96">
        <v>107</v>
      </c>
      <c r="G92" s="96">
        <f>IFERROR(INDEX('[5]Sub Account'!$A:$A,MATCH(L92,'[5]Sub Account'!$D:$D,0)),"")</f>
        <v>473</v>
      </c>
      <c r="H92" s="96">
        <v>1</v>
      </c>
      <c r="I92" s="96">
        <v>2</v>
      </c>
      <c r="J92" s="227"/>
      <c r="K92" s="153"/>
      <c r="L92" s="154">
        <v>73066</v>
      </c>
      <c r="M92" s="155" t="s">
        <v>118</v>
      </c>
      <c r="N92" s="114">
        <f t="shared" si="153"/>
        <v>10469.799999999999</v>
      </c>
      <c r="O92" s="114">
        <f t="shared" si="153"/>
        <v>25686.008400000002</v>
      </c>
      <c r="P92" s="115">
        <f t="shared" si="124"/>
        <v>2.4533427954688727</v>
      </c>
      <c r="Q92" s="116">
        <f t="shared" si="154"/>
        <v>10469.799999999999</v>
      </c>
      <c r="R92" s="116">
        <f t="shared" si="154"/>
        <v>25686.008400000002</v>
      </c>
      <c r="S92" s="117">
        <f t="shared" si="125"/>
        <v>2.4533427954688727</v>
      </c>
      <c r="T92" s="118">
        <f t="shared" si="155"/>
        <v>10469.799999999999</v>
      </c>
      <c r="U92" s="118">
        <f t="shared" si="155"/>
        <v>25686.008400000002</v>
      </c>
      <c r="V92" s="119">
        <f t="shared" si="126"/>
        <v>2.4533427954688727</v>
      </c>
      <c r="W92" s="118">
        <f t="shared" si="156"/>
        <v>9569.7999999999993</v>
      </c>
      <c r="X92" s="118">
        <f t="shared" si="156"/>
        <v>24058.008400000002</v>
      </c>
      <c r="Y92" s="119">
        <f t="shared" si="127"/>
        <v>2.5139510125603466</v>
      </c>
      <c r="Z92" s="118">
        <v>9524.7999999999993</v>
      </c>
      <c r="AA92" s="118">
        <v>23998.608400000001</v>
      </c>
      <c r="AB92" s="119">
        <f t="shared" si="128"/>
        <v>2.5195918444481777</v>
      </c>
      <c r="AC92" s="118"/>
      <c r="AD92" s="118"/>
      <c r="AE92" s="119" t="str">
        <f t="shared" si="129"/>
        <v>-</v>
      </c>
      <c r="AF92" s="118">
        <v>45</v>
      </c>
      <c r="AG92" s="118">
        <v>59.4</v>
      </c>
      <c r="AH92" s="119">
        <f t="shared" si="130"/>
        <v>1.32</v>
      </c>
      <c r="AI92" s="120">
        <v>900</v>
      </c>
      <c r="AJ92" s="118">
        <v>1628</v>
      </c>
      <c r="AK92" s="119">
        <f t="shared" si="131"/>
        <v>1.808888888888889</v>
      </c>
      <c r="AL92" s="118"/>
      <c r="AM92" s="118"/>
      <c r="AN92" s="119" t="str">
        <f t="shared" si="132"/>
        <v>-</v>
      </c>
      <c r="AO92" s="118">
        <f t="shared" si="157"/>
        <v>0</v>
      </c>
      <c r="AP92" s="118">
        <f t="shared" si="157"/>
        <v>0</v>
      </c>
      <c r="AQ92" s="119" t="str">
        <f t="shared" si="133"/>
        <v>-</v>
      </c>
      <c r="AR92" s="156"/>
      <c r="AS92" s="156"/>
      <c r="AT92" s="157" t="str">
        <f t="shared" si="134"/>
        <v>-</v>
      </c>
      <c r="AU92" s="156"/>
      <c r="AV92" s="156"/>
      <c r="AW92" s="157" t="str">
        <f t="shared" si="135"/>
        <v>-</v>
      </c>
      <c r="AX92" s="156"/>
      <c r="AY92" s="156"/>
      <c r="AZ92" s="157" t="str">
        <f t="shared" si="136"/>
        <v>-</v>
      </c>
      <c r="BA92" s="156"/>
      <c r="BB92" s="156"/>
      <c r="BC92" s="157" t="str">
        <f t="shared" si="137"/>
        <v>-</v>
      </c>
      <c r="BD92" s="156"/>
      <c r="BE92" s="156"/>
      <c r="BF92" s="157" t="str">
        <f t="shared" si="138"/>
        <v>-</v>
      </c>
      <c r="BG92" s="156"/>
      <c r="BH92" s="156"/>
      <c r="BI92" s="157" t="str">
        <f t="shared" si="139"/>
        <v>-</v>
      </c>
      <c r="BJ92" s="156"/>
      <c r="BK92" s="156"/>
      <c r="BL92" s="157" t="str">
        <f t="shared" si="140"/>
        <v>-</v>
      </c>
      <c r="BM92" s="156"/>
      <c r="BN92" s="156"/>
      <c r="BO92" s="157" t="str">
        <f t="shared" si="141"/>
        <v>-</v>
      </c>
      <c r="BP92" s="156"/>
      <c r="BQ92" s="156"/>
      <c r="BR92" s="157" t="str">
        <f t="shared" si="142"/>
        <v>-</v>
      </c>
      <c r="BS92" s="156"/>
      <c r="BT92" s="156"/>
      <c r="BU92" s="157" t="str">
        <f t="shared" si="143"/>
        <v>-</v>
      </c>
      <c r="BV92" s="156"/>
      <c r="BW92" s="156"/>
      <c r="BX92" s="157" t="str">
        <f t="shared" si="144"/>
        <v>-</v>
      </c>
      <c r="BY92" s="156"/>
      <c r="BZ92" s="156"/>
      <c r="CA92" s="157" t="str">
        <f t="shared" si="145"/>
        <v>-</v>
      </c>
      <c r="CB92" s="156"/>
      <c r="CC92" s="156"/>
      <c r="CD92" s="157" t="str">
        <f t="shared" si="146"/>
        <v>-</v>
      </c>
      <c r="CE92" s="156"/>
      <c r="CF92" s="156"/>
      <c r="CG92" s="157" t="str">
        <f t="shared" si="147"/>
        <v>-</v>
      </c>
      <c r="CH92" s="156"/>
      <c r="CI92" s="156"/>
      <c r="CJ92" s="158" t="str">
        <f t="shared" si="148"/>
        <v>-</v>
      </c>
      <c r="CK92" s="159" t="str">
        <f t="shared" si="149"/>
        <v>ok</v>
      </c>
      <c r="CL92" s="159"/>
    </row>
    <row r="93" spans="3:92" s="110" customFormat="1" ht="21" customHeight="1" x14ac:dyDescent="0.75">
      <c r="C93" s="96">
        <v>21</v>
      </c>
      <c r="D93" s="96">
        <f>IFERROR(INDEX([4]Account!$A:$A,MATCH(K93,[4]Account!$D:$D,0)),"")</f>
        <v>108</v>
      </c>
      <c r="E93" s="96">
        <v>21</v>
      </c>
      <c r="F93" s="96">
        <f>IFERROR(INDEX([4]Account!$A:$A,MATCH(K93,[4]Account!$D:$D,0)),"")</f>
        <v>108</v>
      </c>
      <c r="G93" s="96" t="str">
        <f>IFERROR(INDEX('[5]Sub Account'!$A:$A,MATCH(L93,'[5]Sub Account'!$D:$D,0)),"")</f>
        <v/>
      </c>
      <c r="H93" s="96">
        <v>1</v>
      </c>
      <c r="I93" s="96">
        <v>2</v>
      </c>
      <c r="J93" s="227"/>
      <c r="K93" s="237">
        <v>7307</v>
      </c>
      <c r="L93" s="98"/>
      <c r="M93" s="99" t="s">
        <v>119</v>
      </c>
      <c r="N93" s="100">
        <f>SUM(N94:N95)</f>
        <v>274</v>
      </c>
      <c r="O93" s="100">
        <f>SUM(O94:O95)</f>
        <v>287.79999999999995</v>
      </c>
      <c r="P93" s="101">
        <f t="shared" si="124"/>
        <v>1.0503649635036494</v>
      </c>
      <c r="Q93" s="102">
        <f t="shared" ref="Q93:R93" si="158">SUM(Q94:Q95)</f>
        <v>274</v>
      </c>
      <c r="R93" s="102">
        <f t="shared" si="158"/>
        <v>287.79999999999995</v>
      </c>
      <c r="S93" s="103">
        <f t="shared" si="125"/>
        <v>1.0503649635036494</v>
      </c>
      <c r="T93" s="104">
        <f>SUM(T94:T95)</f>
        <v>0</v>
      </c>
      <c r="U93" s="104">
        <f>SUM(U94:U95)</f>
        <v>0</v>
      </c>
      <c r="V93" s="105" t="str">
        <f t="shared" si="126"/>
        <v>-</v>
      </c>
      <c r="W93" s="104">
        <f>SUM(W94:W95)</f>
        <v>0</v>
      </c>
      <c r="X93" s="104">
        <f>SUM(X94:X95)</f>
        <v>0</v>
      </c>
      <c r="Y93" s="105" t="str">
        <f t="shared" si="127"/>
        <v>-</v>
      </c>
      <c r="Z93" s="104">
        <f>SUM(Z94:Z95)</f>
        <v>0</v>
      </c>
      <c r="AA93" s="104">
        <f>SUM(AA94:AA95)</f>
        <v>0</v>
      </c>
      <c r="AB93" s="105" t="str">
        <f t="shared" si="128"/>
        <v>-</v>
      </c>
      <c r="AC93" s="104">
        <f>SUM(AC94:AC95)</f>
        <v>0</v>
      </c>
      <c r="AD93" s="104">
        <f>SUM(AD94:AD95)</f>
        <v>0</v>
      </c>
      <c r="AE93" s="105" t="str">
        <f t="shared" si="129"/>
        <v>-</v>
      </c>
      <c r="AF93" s="104">
        <f>SUM(AF94:AF95)</f>
        <v>0</v>
      </c>
      <c r="AG93" s="104">
        <f>SUM(AG94:AG95)</f>
        <v>0</v>
      </c>
      <c r="AH93" s="105" t="str">
        <f t="shared" si="130"/>
        <v>-</v>
      </c>
      <c r="AI93" s="106">
        <f>SUM(AI94:AI95)</f>
        <v>0</v>
      </c>
      <c r="AJ93" s="104">
        <f>SUM(AJ94:AJ95)</f>
        <v>0</v>
      </c>
      <c r="AK93" s="105" t="str">
        <f t="shared" si="131"/>
        <v>-</v>
      </c>
      <c r="AL93" s="104">
        <f>SUM(AL94:AL95)</f>
        <v>0</v>
      </c>
      <c r="AM93" s="104">
        <f>SUM(AM94:AM95)</f>
        <v>0</v>
      </c>
      <c r="AN93" s="105" t="str">
        <f t="shared" si="132"/>
        <v>-</v>
      </c>
      <c r="AO93" s="104">
        <f>SUM(AO94:AO95)</f>
        <v>274</v>
      </c>
      <c r="AP93" s="104">
        <f>SUM(AP94:AP95)</f>
        <v>287.79999999999995</v>
      </c>
      <c r="AQ93" s="105">
        <f t="shared" si="133"/>
        <v>1.0503649635036494</v>
      </c>
      <c r="AR93" s="104">
        <f>SUM(AR94:AR95)</f>
        <v>0</v>
      </c>
      <c r="AS93" s="104">
        <f>SUM(AS94:AS95)</f>
        <v>0</v>
      </c>
      <c r="AT93" s="105" t="str">
        <f t="shared" si="134"/>
        <v>-</v>
      </c>
      <c r="AU93" s="104">
        <f>SUM(AU94:AU95)</f>
        <v>0</v>
      </c>
      <c r="AV93" s="104">
        <f>SUM(AV94:AV95)</f>
        <v>0</v>
      </c>
      <c r="AW93" s="105" t="str">
        <f t="shared" si="135"/>
        <v>-</v>
      </c>
      <c r="AX93" s="104">
        <f>SUM(AX94:AX95)</f>
        <v>0</v>
      </c>
      <c r="AY93" s="104">
        <f>SUM(AY94:AY95)</f>
        <v>0</v>
      </c>
      <c r="AZ93" s="105" t="str">
        <f t="shared" si="136"/>
        <v>-</v>
      </c>
      <c r="BA93" s="104">
        <f>SUM(BA94:BA95)</f>
        <v>0</v>
      </c>
      <c r="BB93" s="104">
        <f>SUM(BB94:BB95)</f>
        <v>0</v>
      </c>
      <c r="BC93" s="105" t="str">
        <f t="shared" si="137"/>
        <v>-</v>
      </c>
      <c r="BD93" s="104">
        <f>SUM(BD94:BD95)</f>
        <v>0</v>
      </c>
      <c r="BE93" s="104">
        <f>SUM(BE94:BE95)</f>
        <v>0</v>
      </c>
      <c r="BF93" s="105" t="str">
        <f t="shared" si="138"/>
        <v>-</v>
      </c>
      <c r="BG93" s="104">
        <f>SUM(BG94:BG95)</f>
        <v>0</v>
      </c>
      <c r="BH93" s="104">
        <f>SUM(BH94:BH95)</f>
        <v>0</v>
      </c>
      <c r="BI93" s="105" t="str">
        <f t="shared" si="139"/>
        <v>-</v>
      </c>
      <c r="BJ93" s="104">
        <f>SUM(BJ94:BJ95)</f>
        <v>0</v>
      </c>
      <c r="BK93" s="104">
        <f>SUM(BK94:BK95)</f>
        <v>0</v>
      </c>
      <c r="BL93" s="105" t="str">
        <f t="shared" si="140"/>
        <v>-</v>
      </c>
      <c r="BM93" s="104">
        <f>SUM(BM94:BM95)</f>
        <v>0</v>
      </c>
      <c r="BN93" s="104">
        <f>SUM(BN94:BN95)</f>
        <v>0</v>
      </c>
      <c r="BO93" s="105" t="str">
        <f t="shared" si="141"/>
        <v>-</v>
      </c>
      <c r="BP93" s="104">
        <f>SUM(BP94:BP95)</f>
        <v>274</v>
      </c>
      <c r="BQ93" s="104">
        <f>SUM(BQ94:BQ95)</f>
        <v>287.79999999999995</v>
      </c>
      <c r="BR93" s="105">
        <f t="shared" si="142"/>
        <v>1.0503649635036494</v>
      </c>
      <c r="BS93" s="104">
        <f>SUM(BS94:BS95)</f>
        <v>0</v>
      </c>
      <c r="BT93" s="104">
        <f>SUM(BT94:BT95)</f>
        <v>0</v>
      </c>
      <c r="BU93" s="105" t="str">
        <f t="shared" si="143"/>
        <v>-</v>
      </c>
      <c r="BV93" s="104">
        <f>SUM(BV94:BV95)</f>
        <v>0</v>
      </c>
      <c r="BW93" s="104">
        <f>SUM(BW94:BW95)</f>
        <v>0</v>
      </c>
      <c r="BX93" s="105" t="str">
        <f t="shared" si="144"/>
        <v>-</v>
      </c>
      <c r="BY93" s="104">
        <f>SUM(BY94:BY95)</f>
        <v>0</v>
      </c>
      <c r="BZ93" s="104">
        <f>SUM(BZ94:BZ95)</f>
        <v>0</v>
      </c>
      <c r="CA93" s="105" t="str">
        <f t="shared" si="145"/>
        <v>-</v>
      </c>
      <c r="CB93" s="104">
        <f>SUM(CB94:CB95)</f>
        <v>0</v>
      </c>
      <c r="CC93" s="104">
        <f>SUM(CC94:CC95)</f>
        <v>0</v>
      </c>
      <c r="CD93" s="105" t="str">
        <f t="shared" si="146"/>
        <v>-</v>
      </c>
      <c r="CE93" s="104">
        <f>SUM(CE94:CE95)</f>
        <v>0</v>
      </c>
      <c r="CF93" s="104">
        <f>SUM(CF94:CF95)</f>
        <v>0</v>
      </c>
      <c r="CG93" s="105" t="str">
        <f t="shared" si="147"/>
        <v>-</v>
      </c>
      <c r="CH93" s="104">
        <f>SUM(CH94:CH95)</f>
        <v>0</v>
      </c>
      <c r="CI93" s="104">
        <f>SUM(CI94:CI95)</f>
        <v>0</v>
      </c>
      <c r="CJ93" s="107" t="str">
        <f t="shared" si="148"/>
        <v>-</v>
      </c>
      <c r="CK93" s="108" t="str">
        <f t="shared" si="149"/>
        <v>ok</v>
      </c>
      <c r="CL93" s="108"/>
      <c r="CM93" s="109"/>
    </row>
    <row r="94" spans="3:92" s="123" customFormat="1" ht="21" customHeight="1" x14ac:dyDescent="2.5">
      <c r="C94" s="96">
        <v>21</v>
      </c>
      <c r="D94" s="96" t="str">
        <f>IFERROR(INDEX([4]Account!$A:$A,MATCH(K94,[4]Account!$D:$D,0)),"")</f>
        <v/>
      </c>
      <c r="E94" s="96">
        <v>21</v>
      </c>
      <c r="F94" s="96">
        <v>108</v>
      </c>
      <c r="G94" s="96">
        <f>IFERROR(INDEX('[5]Sub Account'!$A:$A,MATCH(L94,'[5]Sub Account'!$D:$D,0)),"")</f>
        <v>480</v>
      </c>
      <c r="H94" s="96">
        <v>1</v>
      </c>
      <c r="I94" s="96">
        <v>2</v>
      </c>
      <c r="J94" s="227"/>
      <c r="K94" s="153"/>
      <c r="L94" s="154">
        <v>73071</v>
      </c>
      <c r="M94" s="155" t="s">
        <v>120</v>
      </c>
      <c r="N94" s="114">
        <f>Q94+CH94</f>
        <v>144</v>
      </c>
      <c r="O94" s="114">
        <f>R94+CI94</f>
        <v>145.6</v>
      </c>
      <c r="P94" s="115">
        <f t="shared" si="124"/>
        <v>1.0111111111111111</v>
      </c>
      <c r="Q94" s="116">
        <f t="shared" ref="Q94:R95" si="159">T94+AO94</f>
        <v>144</v>
      </c>
      <c r="R94" s="116">
        <f t="shared" si="159"/>
        <v>145.6</v>
      </c>
      <c r="S94" s="117">
        <f t="shared" si="125"/>
        <v>1.0111111111111111</v>
      </c>
      <c r="T94" s="118">
        <f t="shared" ref="T94:U95" si="160">W94+AI94+AL94</f>
        <v>0</v>
      </c>
      <c r="U94" s="118">
        <f t="shared" si="160"/>
        <v>0</v>
      </c>
      <c r="V94" s="119" t="str">
        <f t="shared" si="126"/>
        <v>-</v>
      </c>
      <c r="W94" s="118">
        <f t="shared" ref="W94:X95" si="161">Z94+AC94+AF94</f>
        <v>0</v>
      </c>
      <c r="X94" s="118">
        <f t="shared" si="161"/>
        <v>0</v>
      </c>
      <c r="Y94" s="119" t="str">
        <f t="shared" si="127"/>
        <v>-</v>
      </c>
      <c r="Z94" s="118"/>
      <c r="AA94" s="118"/>
      <c r="AB94" s="119" t="str">
        <f t="shared" si="128"/>
        <v>-</v>
      </c>
      <c r="AC94" s="118"/>
      <c r="AD94" s="118"/>
      <c r="AE94" s="119" t="str">
        <f t="shared" si="129"/>
        <v>-</v>
      </c>
      <c r="AF94" s="118"/>
      <c r="AG94" s="118"/>
      <c r="AH94" s="119" t="str">
        <f t="shared" si="130"/>
        <v>-</v>
      </c>
      <c r="AI94" s="120"/>
      <c r="AJ94" s="118"/>
      <c r="AK94" s="119" t="str">
        <f t="shared" si="131"/>
        <v>-</v>
      </c>
      <c r="AL94" s="118"/>
      <c r="AM94" s="118"/>
      <c r="AN94" s="119" t="str">
        <f t="shared" si="132"/>
        <v>-</v>
      </c>
      <c r="AO94" s="118">
        <f t="shared" ref="AO94:AP95" si="162">AR94+AU94+AX94+BA94+BG94+BJ94+BM94+BP94+BS94+BV94+BY94+CB94+CE94</f>
        <v>144</v>
      </c>
      <c r="AP94" s="118">
        <f t="shared" si="162"/>
        <v>145.6</v>
      </c>
      <c r="AQ94" s="119">
        <f t="shared" si="133"/>
        <v>1.0111111111111111</v>
      </c>
      <c r="AR94" s="156"/>
      <c r="AS94" s="156"/>
      <c r="AT94" s="157" t="str">
        <f t="shared" si="134"/>
        <v>-</v>
      </c>
      <c r="AU94" s="156"/>
      <c r="AV94" s="156"/>
      <c r="AW94" s="157" t="str">
        <f t="shared" si="135"/>
        <v>-</v>
      </c>
      <c r="AX94" s="156"/>
      <c r="AY94" s="156"/>
      <c r="AZ94" s="157" t="str">
        <f t="shared" si="136"/>
        <v>-</v>
      </c>
      <c r="BA94" s="156"/>
      <c r="BB94" s="156"/>
      <c r="BC94" s="157" t="str">
        <f t="shared" si="137"/>
        <v>-</v>
      </c>
      <c r="BD94" s="156"/>
      <c r="BE94" s="156"/>
      <c r="BF94" s="157" t="str">
        <f t="shared" si="138"/>
        <v>-</v>
      </c>
      <c r="BG94" s="156"/>
      <c r="BH94" s="156"/>
      <c r="BI94" s="157" t="str">
        <f t="shared" si="139"/>
        <v>-</v>
      </c>
      <c r="BJ94" s="156"/>
      <c r="BK94" s="156"/>
      <c r="BL94" s="157" t="str">
        <f t="shared" si="140"/>
        <v>-</v>
      </c>
      <c r="BM94" s="156"/>
      <c r="BN94" s="156"/>
      <c r="BO94" s="157" t="str">
        <f t="shared" si="141"/>
        <v>-</v>
      </c>
      <c r="BP94" s="156">
        <v>144</v>
      </c>
      <c r="BQ94" s="156">
        <v>145.6</v>
      </c>
      <c r="BR94" s="157">
        <f t="shared" si="142"/>
        <v>1.0111111111111111</v>
      </c>
      <c r="BS94" s="156"/>
      <c r="BT94" s="156"/>
      <c r="BU94" s="157" t="str">
        <f t="shared" si="143"/>
        <v>-</v>
      </c>
      <c r="BV94" s="156"/>
      <c r="BW94" s="156"/>
      <c r="BX94" s="157" t="str">
        <f t="shared" si="144"/>
        <v>-</v>
      </c>
      <c r="BY94" s="156"/>
      <c r="BZ94" s="156"/>
      <c r="CA94" s="157" t="str">
        <f t="shared" si="145"/>
        <v>-</v>
      </c>
      <c r="CB94" s="156"/>
      <c r="CC94" s="156"/>
      <c r="CD94" s="157" t="str">
        <f t="shared" si="146"/>
        <v>-</v>
      </c>
      <c r="CE94" s="156"/>
      <c r="CF94" s="156"/>
      <c r="CG94" s="157" t="str">
        <f t="shared" si="147"/>
        <v>-</v>
      </c>
      <c r="CH94" s="156"/>
      <c r="CI94" s="156"/>
      <c r="CJ94" s="158" t="str">
        <f t="shared" si="148"/>
        <v>-</v>
      </c>
      <c r="CK94" s="159" t="str">
        <f t="shared" si="149"/>
        <v>ok</v>
      </c>
      <c r="CL94" s="159"/>
      <c r="CM94" s="160"/>
      <c r="CN94" s="161"/>
    </row>
    <row r="95" spans="3:92" s="123" customFormat="1" ht="21" customHeight="1" x14ac:dyDescent="2.5">
      <c r="C95" s="96">
        <v>21</v>
      </c>
      <c r="D95" s="96" t="str">
        <f>IFERROR(INDEX([4]Account!$A:$A,MATCH(K95,[4]Account!$D:$D,0)),"")</f>
        <v/>
      </c>
      <c r="E95" s="96">
        <v>21</v>
      </c>
      <c r="F95" s="96">
        <v>108</v>
      </c>
      <c r="G95" s="96">
        <f>IFERROR(INDEX('[5]Sub Account'!$A:$A,MATCH(L95,'[5]Sub Account'!$D:$D,0)),"")</f>
        <v>481</v>
      </c>
      <c r="H95" s="96">
        <v>1</v>
      </c>
      <c r="I95" s="96">
        <v>2</v>
      </c>
      <c r="J95" s="227"/>
      <c r="K95" s="153"/>
      <c r="L95" s="154">
        <v>73072</v>
      </c>
      <c r="M95" s="155" t="s">
        <v>121</v>
      </c>
      <c r="N95" s="114">
        <f>Q95+CH95</f>
        <v>130</v>
      </c>
      <c r="O95" s="114">
        <f>R95+CI95</f>
        <v>142.19999999999999</v>
      </c>
      <c r="P95" s="115">
        <f t="shared" si="124"/>
        <v>1.0938461538461537</v>
      </c>
      <c r="Q95" s="116">
        <f t="shared" si="159"/>
        <v>130</v>
      </c>
      <c r="R95" s="116">
        <f t="shared" si="159"/>
        <v>142.19999999999999</v>
      </c>
      <c r="S95" s="117">
        <f t="shared" si="125"/>
        <v>1.0938461538461537</v>
      </c>
      <c r="T95" s="118">
        <f t="shared" si="160"/>
        <v>0</v>
      </c>
      <c r="U95" s="118">
        <f t="shared" si="160"/>
        <v>0</v>
      </c>
      <c r="V95" s="119" t="str">
        <f t="shared" si="126"/>
        <v>-</v>
      </c>
      <c r="W95" s="118">
        <f t="shared" si="161"/>
        <v>0</v>
      </c>
      <c r="X95" s="118">
        <f t="shared" si="161"/>
        <v>0</v>
      </c>
      <c r="Y95" s="119" t="str">
        <f t="shared" si="127"/>
        <v>-</v>
      </c>
      <c r="Z95" s="118"/>
      <c r="AA95" s="118"/>
      <c r="AB95" s="119" t="str">
        <f t="shared" si="128"/>
        <v>-</v>
      </c>
      <c r="AC95" s="118"/>
      <c r="AD95" s="118"/>
      <c r="AE95" s="119" t="str">
        <f t="shared" si="129"/>
        <v>-</v>
      </c>
      <c r="AF95" s="118"/>
      <c r="AG95" s="118"/>
      <c r="AH95" s="119" t="str">
        <f t="shared" si="130"/>
        <v>-</v>
      </c>
      <c r="AI95" s="120"/>
      <c r="AJ95" s="118"/>
      <c r="AK95" s="119" t="str">
        <f t="shared" si="131"/>
        <v>-</v>
      </c>
      <c r="AL95" s="118"/>
      <c r="AM95" s="118"/>
      <c r="AN95" s="119" t="str">
        <f t="shared" si="132"/>
        <v>-</v>
      </c>
      <c r="AO95" s="118">
        <f t="shared" si="162"/>
        <v>130</v>
      </c>
      <c r="AP95" s="118">
        <f t="shared" si="162"/>
        <v>142.19999999999999</v>
      </c>
      <c r="AQ95" s="119">
        <f t="shared" si="133"/>
        <v>1.0938461538461537</v>
      </c>
      <c r="AR95" s="156"/>
      <c r="AS95" s="156"/>
      <c r="AT95" s="157" t="str">
        <f t="shared" si="134"/>
        <v>-</v>
      </c>
      <c r="AU95" s="156"/>
      <c r="AV95" s="156"/>
      <c r="AW95" s="157" t="str">
        <f t="shared" si="135"/>
        <v>-</v>
      </c>
      <c r="AX95" s="156"/>
      <c r="AY95" s="156"/>
      <c r="AZ95" s="157" t="str">
        <f t="shared" si="136"/>
        <v>-</v>
      </c>
      <c r="BA95" s="156"/>
      <c r="BB95" s="156"/>
      <c r="BC95" s="157" t="str">
        <f t="shared" si="137"/>
        <v>-</v>
      </c>
      <c r="BD95" s="156"/>
      <c r="BE95" s="156"/>
      <c r="BF95" s="157" t="str">
        <f t="shared" si="138"/>
        <v>-</v>
      </c>
      <c r="BG95" s="156"/>
      <c r="BH95" s="156"/>
      <c r="BI95" s="157" t="str">
        <f t="shared" si="139"/>
        <v>-</v>
      </c>
      <c r="BJ95" s="156"/>
      <c r="BK95" s="156"/>
      <c r="BL95" s="157" t="str">
        <f t="shared" si="140"/>
        <v>-</v>
      </c>
      <c r="BM95" s="156"/>
      <c r="BN95" s="156"/>
      <c r="BO95" s="157" t="str">
        <f t="shared" si="141"/>
        <v>-</v>
      </c>
      <c r="BP95" s="156">
        <v>130</v>
      </c>
      <c r="BQ95" s="156">
        <v>142.19999999999999</v>
      </c>
      <c r="BR95" s="157">
        <f t="shared" si="142"/>
        <v>1.0938461538461537</v>
      </c>
      <c r="BS95" s="156"/>
      <c r="BT95" s="156"/>
      <c r="BU95" s="157" t="str">
        <f t="shared" si="143"/>
        <v>-</v>
      </c>
      <c r="BV95" s="156"/>
      <c r="BW95" s="156"/>
      <c r="BX95" s="157" t="str">
        <f t="shared" si="144"/>
        <v>-</v>
      </c>
      <c r="BY95" s="156"/>
      <c r="BZ95" s="156"/>
      <c r="CA95" s="157" t="str">
        <f t="shared" si="145"/>
        <v>-</v>
      </c>
      <c r="CB95" s="156"/>
      <c r="CC95" s="156"/>
      <c r="CD95" s="157" t="str">
        <f t="shared" si="146"/>
        <v>-</v>
      </c>
      <c r="CE95" s="156"/>
      <c r="CF95" s="156"/>
      <c r="CG95" s="157" t="str">
        <f t="shared" si="147"/>
        <v>-</v>
      </c>
      <c r="CH95" s="156"/>
      <c r="CI95" s="156"/>
      <c r="CJ95" s="158" t="str">
        <f t="shared" si="148"/>
        <v>-</v>
      </c>
      <c r="CK95" s="159" t="str">
        <f t="shared" si="149"/>
        <v>ok</v>
      </c>
      <c r="CL95" s="159"/>
      <c r="CM95" s="160"/>
    </row>
    <row r="96" spans="3:92" s="110" customFormat="1" ht="21" customHeight="1" x14ac:dyDescent="0.75">
      <c r="C96" s="96">
        <v>21</v>
      </c>
      <c r="D96" s="96">
        <f>IFERROR(INDEX([4]Account!$A:$A,MATCH(K96,[4]Account!$D:$D,0)),"")</f>
        <v>109</v>
      </c>
      <c r="E96" s="96">
        <v>21</v>
      </c>
      <c r="F96" s="96">
        <f>IFERROR(INDEX([4]Account!$A:$A,MATCH(K96,[4]Account!$D:$D,0)),"")</f>
        <v>109</v>
      </c>
      <c r="G96" s="96" t="str">
        <f>IFERROR(INDEX('[5]Sub Account'!$A:$A,MATCH(L96,'[5]Sub Account'!$D:$D,0)),"")</f>
        <v/>
      </c>
      <c r="H96" s="96">
        <v>1</v>
      </c>
      <c r="I96" s="96">
        <v>2</v>
      </c>
      <c r="J96" s="227"/>
      <c r="K96" s="237">
        <v>7308</v>
      </c>
      <c r="L96" s="98"/>
      <c r="M96" s="99" t="s">
        <v>122</v>
      </c>
      <c r="N96" s="100">
        <f>SUM(N97:N98)</f>
        <v>12700</v>
      </c>
      <c r="O96" s="100">
        <f>SUM(O97:O98)</f>
        <v>17098</v>
      </c>
      <c r="P96" s="101">
        <f t="shared" si="124"/>
        <v>1.3462992125984252</v>
      </c>
      <c r="Q96" s="102">
        <f t="shared" ref="Q96:R96" si="163">SUM(Q97:Q98)</f>
        <v>12700</v>
      </c>
      <c r="R96" s="102">
        <f t="shared" si="163"/>
        <v>17098</v>
      </c>
      <c r="S96" s="103">
        <f t="shared" si="125"/>
        <v>1.3462992125984252</v>
      </c>
      <c r="T96" s="104">
        <f t="shared" ref="T96:U96" si="164">SUM(T97:T98)</f>
        <v>12700</v>
      </c>
      <c r="U96" s="104">
        <f t="shared" si="164"/>
        <v>17098</v>
      </c>
      <c r="V96" s="105">
        <f t="shared" si="126"/>
        <v>1.3462992125984252</v>
      </c>
      <c r="W96" s="104">
        <f t="shared" ref="W96:X96" si="165">SUM(W97:W98)</f>
        <v>0</v>
      </c>
      <c r="X96" s="104">
        <f t="shared" si="165"/>
        <v>0</v>
      </c>
      <c r="Y96" s="105" t="str">
        <f t="shared" si="127"/>
        <v>-</v>
      </c>
      <c r="Z96" s="104">
        <f t="shared" ref="Z96:AA96" si="166">SUM(Z97:Z98)</f>
        <v>0</v>
      </c>
      <c r="AA96" s="104">
        <f t="shared" si="166"/>
        <v>0</v>
      </c>
      <c r="AB96" s="105" t="str">
        <f t="shared" si="128"/>
        <v>-</v>
      </c>
      <c r="AC96" s="104">
        <f t="shared" ref="AC96:AD96" si="167">SUM(AC97:AC98)</f>
        <v>0</v>
      </c>
      <c r="AD96" s="104">
        <f t="shared" si="167"/>
        <v>0</v>
      </c>
      <c r="AE96" s="105" t="str">
        <f t="shared" si="129"/>
        <v>-</v>
      </c>
      <c r="AF96" s="104">
        <f t="shared" ref="AF96:AG96" si="168">SUM(AF97:AF98)</f>
        <v>0</v>
      </c>
      <c r="AG96" s="104">
        <f t="shared" si="168"/>
        <v>0</v>
      </c>
      <c r="AH96" s="105" t="str">
        <f t="shared" si="130"/>
        <v>-</v>
      </c>
      <c r="AI96" s="106">
        <f t="shared" ref="AI96:AJ96" si="169">SUM(AI97:AI98)</f>
        <v>12600</v>
      </c>
      <c r="AJ96" s="104">
        <f t="shared" si="169"/>
        <v>16989</v>
      </c>
      <c r="AK96" s="105">
        <f t="shared" si="131"/>
        <v>1.3483333333333334</v>
      </c>
      <c r="AL96" s="104">
        <f t="shared" ref="AL96:AM96" si="170">SUM(AL97:AL98)</f>
        <v>100</v>
      </c>
      <c r="AM96" s="104">
        <f t="shared" si="170"/>
        <v>109</v>
      </c>
      <c r="AN96" s="105">
        <f t="shared" si="132"/>
        <v>1.0900000000000001</v>
      </c>
      <c r="AO96" s="104">
        <f t="shared" ref="AO96:AP96" si="171">SUM(AO97:AO98)</f>
        <v>0</v>
      </c>
      <c r="AP96" s="104">
        <f t="shared" si="171"/>
        <v>0</v>
      </c>
      <c r="AQ96" s="105" t="str">
        <f t="shared" si="133"/>
        <v>-</v>
      </c>
      <c r="AR96" s="104">
        <f t="shared" ref="AR96:AS96" si="172">SUM(AR97:AR98)</f>
        <v>0</v>
      </c>
      <c r="AS96" s="104">
        <f t="shared" si="172"/>
        <v>0</v>
      </c>
      <c r="AT96" s="105" t="str">
        <f t="shared" si="134"/>
        <v>-</v>
      </c>
      <c r="AU96" s="104">
        <f t="shared" ref="AU96:AV96" si="173">SUM(AU97:AU98)</f>
        <v>0</v>
      </c>
      <c r="AV96" s="104">
        <f t="shared" si="173"/>
        <v>0</v>
      </c>
      <c r="AW96" s="105" t="str">
        <f t="shared" si="135"/>
        <v>-</v>
      </c>
      <c r="AX96" s="104">
        <f t="shared" ref="AX96:AY96" si="174">SUM(AX97:AX98)</f>
        <v>0</v>
      </c>
      <c r="AY96" s="104">
        <f t="shared" si="174"/>
        <v>0</v>
      </c>
      <c r="AZ96" s="105" t="str">
        <f t="shared" si="136"/>
        <v>-</v>
      </c>
      <c r="BA96" s="104">
        <f t="shared" ref="BA96:BB96" si="175">SUM(BA97:BA98)</f>
        <v>0</v>
      </c>
      <c r="BB96" s="104">
        <f t="shared" si="175"/>
        <v>0</v>
      </c>
      <c r="BC96" s="105" t="str">
        <f t="shared" si="137"/>
        <v>-</v>
      </c>
      <c r="BD96" s="104">
        <f t="shared" ref="BD96:BE96" si="176">SUM(BD97:BD98)</f>
        <v>0</v>
      </c>
      <c r="BE96" s="104">
        <f t="shared" si="176"/>
        <v>0</v>
      </c>
      <c r="BF96" s="105" t="str">
        <f t="shared" si="138"/>
        <v>-</v>
      </c>
      <c r="BG96" s="104">
        <f t="shared" ref="BG96:BH96" si="177">SUM(BG97:BG98)</f>
        <v>0</v>
      </c>
      <c r="BH96" s="104">
        <f t="shared" si="177"/>
        <v>0</v>
      </c>
      <c r="BI96" s="105" t="str">
        <f t="shared" si="139"/>
        <v>-</v>
      </c>
      <c r="BJ96" s="104">
        <f t="shared" ref="BJ96:BK96" si="178">SUM(BJ97:BJ98)</f>
        <v>0</v>
      </c>
      <c r="BK96" s="104">
        <f t="shared" si="178"/>
        <v>0</v>
      </c>
      <c r="BL96" s="105" t="str">
        <f t="shared" si="140"/>
        <v>-</v>
      </c>
      <c r="BM96" s="104">
        <f t="shared" ref="BM96:BN96" si="179">SUM(BM97:BM98)</f>
        <v>0</v>
      </c>
      <c r="BN96" s="104">
        <f t="shared" si="179"/>
        <v>0</v>
      </c>
      <c r="BO96" s="105" t="str">
        <f t="shared" si="141"/>
        <v>-</v>
      </c>
      <c r="BP96" s="104">
        <f t="shared" ref="BP96:BQ96" si="180">SUM(BP97:BP98)</f>
        <v>0</v>
      </c>
      <c r="BQ96" s="104">
        <f t="shared" si="180"/>
        <v>0</v>
      </c>
      <c r="BR96" s="105" t="str">
        <f t="shared" si="142"/>
        <v>-</v>
      </c>
      <c r="BS96" s="104">
        <f t="shared" ref="BS96:BT96" si="181">SUM(BS97:BS98)</f>
        <v>0</v>
      </c>
      <c r="BT96" s="104">
        <f t="shared" si="181"/>
        <v>0</v>
      </c>
      <c r="BU96" s="105" t="str">
        <f t="shared" si="143"/>
        <v>-</v>
      </c>
      <c r="BV96" s="104">
        <f t="shared" ref="BV96:BW96" si="182">SUM(BV97:BV98)</f>
        <v>0</v>
      </c>
      <c r="BW96" s="104">
        <f t="shared" si="182"/>
        <v>0</v>
      </c>
      <c r="BX96" s="105" t="str">
        <f t="shared" si="144"/>
        <v>-</v>
      </c>
      <c r="BY96" s="104">
        <f t="shared" ref="BY96:BZ96" si="183">SUM(BY97:BY98)</f>
        <v>0</v>
      </c>
      <c r="BZ96" s="104">
        <f t="shared" si="183"/>
        <v>0</v>
      </c>
      <c r="CA96" s="105" t="str">
        <f t="shared" si="145"/>
        <v>-</v>
      </c>
      <c r="CB96" s="104">
        <f t="shared" ref="CB96:CC96" si="184">SUM(CB97:CB98)</f>
        <v>0</v>
      </c>
      <c r="CC96" s="104">
        <f t="shared" si="184"/>
        <v>0</v>
      </c>
      <c r="CD96" s="105" t="str">
        <f t="shared" si="146"/>
        <v>-</v>
      </c>
      <c r="CE96" s="104">
        <f t="shared" ref="CE96:CF96" si="185">SUM(CE97:CE98)</f>
        <v>0</v>
      </c>
      <c r="CF96" s="104">
        <f t="shared" si="185"/>
        <v>0</v>
      </c>
      <c r="CG96" s="105" t="str">
        <f t="shared" si="147"/>
        <v>-</v>
      </c>
      <c r="CH96" s="104">
        <f t="shared" ref="CH96:CI96" si="186">SUM(CH97:CH98)</f>
        <v>0</v>
      </c>
      <c r="CI96" s="104">
        <f t="shared" si="186"/>
        <v>0</v>
      </c>
      <c r="CJ96" s="107" t="str">
        <f t="shared" si="148"/>
        <v>-</v>
      </c>
      <c r="CK96" s="108" t="str">
        <f t="shared" si="149"/>
        <v>ok</v>
      </c>
      <c r="CL96" s="108"/>
      <c r="CM96" s="109"/>
    </row>
    <row r="97" spans="3:92" s="123" customFormat="1" ht="21" customHeight="1" x14ac:dyDescent="2.5">
      <c r="C97" s="96">
        <v>21</v>
      </c>
      <c r="D97" s="96" t="str">
        <f>IFERROR(INDEX([4]Account!$A:$A,MATCH(K97,[4]Account!$D:$D,0)),"")</f>
        <v/>
      </c>
      <c r="E97" s="96">
        <v>21</v>
      </c>
      <c r="F97" s="96">
        <v>109</v>
      </c>
      <c r="G97" s="96">
        <f>IFERROR(INDEX('[5]Sub Account'!$A:$A,MATCH(L97,'[5]Sub Account'!$D:$D,0)),"")</f>
        <v>470</v>
      </c>
      <c r="H97" s="96">
        <v>1</v>
      </c>
      <c r="I97" s="96">
        <v>2</v>
      </c>
      <c r="J97" s="227"/>
      <c r="K97" s="153"/>
      <c r="L97" s="154">
        <v>73084</v>
      </c>
      <c r="M97" s="155" t="s">
        <v>123</v>
      </c>
      <c r="N97" s="114">
        <f>Q97+CH97</f>
        <v>100</v>
      </c>
      <c r="O97" s="114">
        <f>R97+CI97</f>
        <v>109</v>
      </c>
      <c r="P97" s="115">
        <f t="shared" si="124"/>
        <v>1.0900000000000001</v>
      </c>
      <c r="Q97" s="116">
        <f t="shared" ref="Q97:R98" si="187">T97+AO97</f>
        <v>100</v>
      </c>
      <c r="R97" s="116">
        <f t="shared" si="187"/>
        <v>109</v>
      </c>
      <c r="S97" s="117">
        <f t="shared" si="125"/>
        <v>1.0900000000000001</v>
      </c>
      <c r="T97" s="118">
        <f t="shared" ref="T97:U98" si="188">W97+AI97+AL97</f>
        <v>100</v>
      </c>
      <c r="U97" s="118">
        <f t="shared" si="188"/>
        <v>109</v>
      </c>
      <c r="V97" s="119">
        <f t="shared" si="126"/>
        <v>1.0900000000000001</v>
      </c>
      <c r="W97" s="118">
        <f>Z97+AC97+AF97</f>
        <v>0</v>
      </c>
      <c r="X97" s="118">
        <f>AA97+AD97+AG97</f>
        <v>0</v>
      </c>
      <c r="Y97" s="119" t="str">
        <f t="shared" si="127"/>
        <v>-</v>
      </c>
      <c r="Z97" s="118"/>
      <c r="AA97" s="118"/>
      <c r="AB97" s="119" t="str">
        <f t="shared" si="128"/>
        <v>-</v>
      </c>
      <c r="AC97" s="118"/>
      <c r="AD97" s="118"/>
      <c r="AE97" s="119" t="str">
        <f t="shared" si="129"/>
        <v>-</v>
      </c>
      <c r="AF97" s="118"/>
      <c r="AG97" s="118"/>
      <c r="AH97" s="119" t="str">
        <f t="shared" si="130"/>
        <v>-</v>
      </c>
      <c r="AI97" s="120"/>
      <c r="AJ97" s="118"/>
      <c r="AK97" s="119" t="str">
        <f t="shared" si="131"/>
        <v>-</v>
      </c>
      <c r="AL97" s="118">
        <v>100</v>
      </c>
      <c r="AM97" s="118">
        <v>109</v>
      </c>
      <c r="AN97" s="119">
        <f t="shared" si="132"/>
        <v>1.0900000000000001</v>
      </c>
      <c r="AO97" s="118">
        <f t="shared" ref="AO97:AP98" si="189">AR97+AU97+AX97+BA97+BG97+BJ97+BM97+BP97+BS97+BV97+BY97+CB97+CE97</f>
        <v>0</v>
      </c>
      <c r="AP97" s="118">
        <f t="shared" si="189"/>
        <v>0</v>
      </c>
      <c r="AQ97" s="119" t="str">
        <f t="shared" si="133"/>
        <v>-</v>
      </c>
      <c r="AR97" s="156"/>
      <c r="AS97" s="156"/>
      <c r="AT97" s="157" t="str">
        <f t="shared" si="134"/>
        <v>-</v>
      </c>
      <c r="AU97" s="156"/>
      <c r="AV97" s="156"/>
      <c r="AW97" s="157" t="str">
        <f t="shared" si="135"/>
        <v>-</v>
      </c>
      <c r="AX97" s="156"/>
      <c r="AY97" s="156"/>
      <c r="AZ97" s="157" t="str">
        <f t="shared" si="136"/>
        <v>-</v>
      </c>
      <c r="BA97" s="156"/>
      <c r="BB97" s="156"/>
      <c r="BC97" s="157" t="str">
        <f t="shared" si="137"/>
        <v>-</v>
      </c>
      <c r="BD97" s="156"/>
      <c r="BE97" s="156"/>
      <c r="BF97" s="157" t="str">
        <f t="shared" si="138"/>
        <v>-</v>
      </c>
      <c r="BG97" s="156"/>
      <c r="BH97" s="156"/>
      <c r="BI97" s="157" t="str">
        <f t="shared" si="139"/>
        <v>-</v>
      </c>
      <c r="BJ97" s="156"/>
      <c r="BK97" s="156"/>
      <c r="BL97" s="157" t="str">
        <f t="shared" si="140"/>
        <v>-</v>
      </c>
      <c r="BM97" s="156"/>
      <c r="BN97" s="156"/>
      <c r="BO97" s="157" t="str">
        <f t="shared" si="141"/>
        <v>-</v>
      </c>
      <c r="BP97" s="156"/>
      <c r="BQ97" s="156"/>
      <c r="BR97" s="157" t="str">
        <f t="shared" si="142"/>
        <v>-</v>
      </c>
      <c r="BS97" s="156"/>
      <c r="BT97" s="156"/>
      <c r="BU97" s="157" t="str">
        <f t="shared" si="143"/>
        <v>-</v>
      </c>
      <c r="BV97" s="156"/>
      <c r="BW97" s="156"/>
      <c r="BX97" s="157" t="str">
        <f t="shared" si="144"/>
        <v>-</v>
      </c>
      <c r="BY97" s="156"/>
      <c r="BZ97" s="156"/>
      <c r="CA97" s="157" t="str">
        <f t="shared" si="145"/>
        <v>-</v>
      </c>
      <c r="CB97" s="156"/>
      <c r="CC97" s="156"/>
      <c r="CD97" s="157" t="str">
        <f t="shared" si="146"/>
        <v>-</v>
      </c>
      <c r="CE97" s="156"/>
      <c r="CF97" s="156"/>
      <c r="CG97" s="157" t="str">
        <f t="shared" si="147"/>
        <v>-</v>
      </c>
      <c r="CH97" s="156"/>
      <c r="CI97" s="156"/>
      <c r="CJ97" s="158" t="str">
        <f t="shared" si="148"/>
        <v>-</v>
      </c>
      <c r="CK97" s="159" t="str">
        <f t="shared" si="149"/>
        <v>ok</v>
      </c>
      <c r="CL97" s="159"/>
      <c r="CM97" s="160"/>
      <c r="CN97" s="161"/>
    </row>
    <row r="98" spans="3:92" s="123" customFormat="1" ht="21" customHeight="1" x14ac:dyDescent="2.5">
      <c r="C98" s="96">
        <v>21</v>
      </c>
      <c r="D98" s="96" t="str">
        <f>IFERROR(INDEX([4]Account!$A:$A,MATCH(K98,[4]Account!$D:$D,0)),"")</f>
        <v/>
      </c>
      <c r="E98" s="96">
        <v>21</v>
      </c>
      <c r="F98" s="96">
        <v>109</v>
      </c>
      <c r="G98" s="96">
        <f>IFERROR(INDEX('[5]Sub Account'!$A:$A,MATCH(L98,'[5]Sub Account'!$D:$D,0)),"")</f>
        <v>500</v>
      </c>
      <c r="H98" s="96">
        <v>1</v>
      </c>
      <c r="I98" s="96">
        <v>2</v>
      </c>
      <c r="J98" s="227"/>
      <c r="K98" s="153"/>
      <c r="L98" s="154">
        <v>73087</v>
      </c>
      <c r="M98" s="155" t="s">
        <v>124</v>
      </c>
      <c r="N98" s="114">
        <f>Q98+CH98</f>
        <v>12600</v>
      </c>
      <c r="O98" s="114">
        <f>R98+CI98</f>
        <v>16989</v>
      </c>
      <c r="P98" s="115">
        <f t="shared" si="124"/>
        <v>1.3483333333333334</v>
      </c>
      <c r="Q98" s="116">
        <f t="shared" si="187"/>
        <v>12600</v>
      </c>
      <c r="R98" s="116">
        <f t="shared" si="187"/>
        <v>16989</v>
      </c>
      <c r="S98" s="117">
        <f t="shared" si="125"/>
        <v>1.3483333333333334</v>
      </c>
      <c r="T98" s="118">
        <f t="shared" si="188"/>
        <v>12600</v>
      </c>
      <c r="U98" s="118">
        <f t="shared" si="188"/>
        <v>16989</v>
      </c>
      <c r="V98" s="119">
        <f t="shared" si="126"/>
        <v>1.3483333333333334</v>
      </c>
      <c r="W98" s="118">
        <f>Z98+AC98+AF98</f>
        <v>0</v>
      </c>
      <c r="X98" s="118">
        <f>AA98+AD98+AG98</f>
        <v>0</v>
      </c>
      <c r="Y98" s="119" t="str">
        <f t="shared" si="127"/>
        <v>-</v>
      </c>
      <c r="Z98" s="118"/>
      <c r="AA98" s="118"/>
      <c r="AB98" s="119" t="str">
        <f t="shared" si="128"/>
        <v>-</v>
      </c>
      <c r="AC98" s="118"/>
      <c r="AD98" s="118"/>
      <c r="AE98" s="119" t="str">
        <f t="shared" si="129"/>
        <v>-</v>
      </c>
      <c r="AF98" s="118"/>
      <c r="AG98" s="118"/>
      <c r="AH98" s="119" t="str">
        <f t="shared" si="130"/>
        <v>-</v>
      </c>
      <c r="AI98" s="120">
        <v>12600</v>
      </c>
      <c r="AJ98" s="118">
        <v>16989</v>
      </c>
      <c r="AK98" s="119">
        <f t="shared" si="131"/>
        <v>1.3483333333333334</v>
      </c>
      <c r="AL98" s="118"/>
      <c r="AM98" s="118"/>
      <c r="AN98" s="119" t="str">
        <f t="shared" si="132"/>
        <v>-</v>
      </c>
      <c r="AO98" s="118">
        <f t="shared" si="189"/>
        <v>0</v>
      </c>
      <c r="AP98" s="118">
        <f t="shared" si="189"/>
        <v>0</v>
      </c>
      <c r="AQ98" s="119" t="str">
        <f t="shared" si="133"/>
        <v>-</v>
      </c>
      <c r="AR98" s="156"/>
      <c r="AS98" s="156"/>
      <c r="AT98" s="157" t="str">
        <f t="shared" si="134"/>
        <v>-</v>
      </c>
      <c r="AU98" s="156"/>
      <c r="AV98" s="156"/>
      <c r="AW98" s="157" t="str">
        <f t="shared" si="135"/>
        <v>-</v>
      </c>
      <c r="AX98" s="156"/>
      <c r="AY98" s="156"/>
      <c r="AZ98" s="157" t="str">
        <f t="shared" si="136"/>
        <v>-</v>
      </c>
      <c r="BA98" s="156"/>
      <c r="BB98" s="156"/>
      <c r="BC98" s="157" t="str">
        <f t="shared" si="137"/>
        <v>-</v>
      </c>
      <c r="BD98" s="156"/>
      <c r="BE98" s="156"/>
      <c r="BF98" s="157" t="str">
        <f t="shared" si="138"/>
        <v>-</v>
      </c>
      <c r="BG98" s="156"/>
      <c r="BH98" s="156"/>
      <c r="BI98" s="157" t="str">
        <f t="shared" si="139"/>
        <v>-</v>
      </c>
      <c r="BJ98" s="156"/>
      <c r="BK98" s="156"/>
      <c r="BL98" s="157" t="str">
        <f t="shared" si="140"/>
        <v>-</v>
      </c>
      <c r="BM98" s="156"/>
      <c r="BN98" s="156"/>
      <c r="BO98" s="157" t="str">
        <f t="shared" si="141"/>
        <v>-</v>
      </c>
      <c r="BP98" s="156"/>
      <c r="BQ98" s="156"/>
      <c r="BR98" s="157" t="str">
        <f t="shared" si="142"/>
        <v>-</v>
      </c>
      <c r="BS98" s="156"/>
      <c r="BT98" s="156"/>
      <c r="BU98" s="157" t="str">
        <f t="shared" si="143"/>
        <v>-</v>
      </c>
      <c r="BV98" s="156"/>
      <c r="BW98" s="156"/>
      <c r="BX98" s="157" t="str">
        <f t="shared" si="144"/>
        <v>-</v>
      </c>
      <c r="BY98" s="156"/>
      <c r="BZ98" s="156"/>
      <c r="CA98" s="157" t="str">
        <f t="shared" si="145"/>
        <v>-</v>
      </c>
      <c r="CB98" s="156"/>
      <c r="CC98" s="156"/>
      <c r="CD98" s="157" t="str">
        <f t="shared" si="146"/>
        <v>-</v>
      </c>
      <c r="CE98" s="156"/>
      <c r="CF98" s="156"/>
      <c r="CG98" s="157" t="str">
        <f t="shared" si="147"/>
        <v>-</v>
      </c>
      <c r="CH98" s="156"/>
      <c r="CI98" s="156"/>
      <c r="CJ98" s="158" t="str">
        <f t="shared" si="148"/>
        <v>-</v>
      </c>
      <c r="CK98" s="159" t="str">
        <f t="shared" si="149"/>
        <v>ok</v>
      </c>
      <c r="CL98" s="159"/>
      <c r="CM98" s="160"/>
      <c r="CN98" s="161"/>
    </row>
    <row r="99" spans="3:92" s="123" customFormat="1" ht="21" customHeight="1" x14ac:dyDescent="0.75">
      <c r="C99" s="96">
        <v>24</v>
      </c>
      <c r="D99" s="96" t="str">
        <f>IFERROR(INDEX([4]Account!$A:$A,MATCH(K99,[4]Account!$D:$D,0)),"")</f>
        <v/>
      </c>
      <c r="E99" s="96">
        <f>IFERROR(INDEX('[3]Account Group'!$A:$A,MATCH(J99,'[3]Account Group'!$B:$B,0)),"-")</f>
        <v>24</v>
      </c>
      <c r="F99" s="96">
        <v>109</v>
      </c>
      <c r="G99" s="96" t="str">
        <f>IFERROR(INDEX('[5]Sub Account'!$A:$A,MATCH(L99,'[5]Sub Account'!$D:$D,0)),"")</f>
        <v/>
      </c>
      <c r="H99" s="96">
        <v>1</v>
      </c>
      <c r="I99" s="96">
        <v>2</v>
      </c>
      <c r="J99" s="229">
        <v>76</v>
      </c>
      <c r="K99" s="126"/>
      <c r="L99" s="127"/>
      <c r="M99" s="128" t="s">
        <v>125</v>
      </c>
      <c r="N99" s="129">
        <f>N100+N102</f>
        <v>120007</v>
      </c>
      <c r="O99" s="129">
        <f>O100+O102</f>
        <v>101496.7</v>
      </c>
      <c r="P99" s="130">
        <f t="shared" si="124"/>
        <v>0.84575649753764359</v>
      </c>
      <c r="Q99" s="131">
        <f t="shared" ref="Q99:R99" si="190">Q100+Q102</f>
        <v>120007</v>
      </c>
      <c r="R99" s="131">
        <f t="shared" si="190"/>
        <v>101496.7</v>
      </c>
      <c r="S99" s="132">
        <f t="shared" si="125"/>
        <v>0.84575649753764359</v>
      </c>
      <c r="T99" s="133">
        <f t="shared" ref="T99:U99" si="191">T100+T102</f>
        <v>120007</v>
      </c>
      <c r="U99" s="133">
        <f t="shared" si="191"/>
        <v>101496.7</v>
      </c>
      <c r="V99" s="134">
        <f t="shared" si="126"/>
        <v>0.84575649753764359</v>
      </c>
      <c r="W99" s="133">
        <f t="shared" ref="W99:X99" si="192">W100+W102</f>
        <v>120007</v>
      </c>
      <c r="X99" s="133">
        <f t="shared" si="192"/>
        <v>101496.7</v>
      </c>
      <c r="Y99" s="134">
        <f t="shared" si="127"/>
        <v>0.84575649753764359</v>
      </c>
      <c r="Z99" s="133">
        <f t="shared" ref="Z99:AA99" si="193">Z100+Z102</f>
        <v>0</v>
      </c>
      <c r="AA99" s="133">
        <f t="shared" si="193"/>
        <v>0</v>
      </c>
      <c r="AB99" s="134" t="str">
        <f t="shared" si="128"/>
        <v>-</v>
      </c>
      <c r="AC99" s="133">
        <f t="shared" ref="AC99:AD99" si="194">AC100+AC102</f>
        <v>120007</v>
      </c>
      <c r="AD99" s="133">
        <f t="shared" si="194"/>
        <v>101496.7</v>
      </c>
      <c r="AE99" s="134">
        <f t="shared" si="129"/>
        <v>0.84575649753764359</v>
      </c>
      <c r="AF99" s="133">
        <f t="shared" ref="AF99:AG99" si="195">AF100+AF102</f>
        <v>0</v>
      </c>
      <c r="AG99" s="133">
        <f t="shared" si="195"/>
        <v>0</v>
      </c>
      <c r="AH99" s="134" t="str">
        <f t="shared" si="130"/>
        <v>-</v>
      </c>
      <c r="AI99" s="135">
        <f t="shared" ref="AI99:AJ99" si="196">AI100+AI102</f>
        <v>0</v>
      </c>
      <c r="AJ99" s="133">
        <f t="shared" si="196"/>
        <v>0</v>
      </c>
      <c r="AK99" s="134" t="str">
        <f t="shared" si="131"/>
        <v>-</v>
      </c>
      <c r="AL99" s="133">
        <f t="shared" ref="AL99:AM99" si="197">AL100+AL102</f>
        <v>0</v>
      </c>
      <c r="AM99" s="133">
        <f t="shared" si="197"/>
        <v>0</v>
      </c>
      <c r="AN99" s="134" t="str">
        <f t="shared" si="132"/>
        <v>-</v>
      </c>
      <c r="AO99" s="133">
        <f t="shared" ref="AO99:AP99" si="198">AO100+AO102</f>
        <v>0</v>
      </c>
      <c r="AP99" s="133">
        <f t="shared" si="198"/>
        <v>0</v>
      </c>
      <c r="AQ99" s="134" t="str">
        <f t="shared" si="133"/>
        <v>-</v>
      </c>
      <c r="AR99" s="133">
        <f t="shared" ref="AR99:AS99" si="199">AR100+AR102</f>
        <v>0</v>
      </c>
      <c r="AS99" s="133">
        <f t="shared" si="199"/>
        <v>0</v>
      </c>
      <c r="AT99" s="134" t="str">
        <f t="shared" si="134"/>
        <v>-</v>
      </c>
      <c r="AU99" s="133">
        <f t="shared" ref="AU99:AV99" si="200">AU100+AU102</f>
        <v>0</v>
      </c>
      <c r="AV99" s="133">
        <f t="shared" si="200"/>
        <v>0</v>
      </c>
      <c r="AW99" s="134" t="str">
        <f t="shared" si="135"/>
        <v>-</v>
      </c>
      <c r="AX99" s="133">
        <f t="shared" ref="AX99:AY99" si="201">AX100+AX102</f>
        <v>0</v>
      </c>
      <c r="AY99" s="133">
        <f t="shared" si="201"/>
        <v>0</v>
      </c>
      <c r="AZ99" s="134" t="str">
        <f t="shared" si="136"/>
        <v>-</v>
      </c>
      <c r="BA99" s="133">
        <f t="shared" ref="BA99:BB99" si="202">BA100+BA102</f>
        <v>0</v>
      </c>
      <c r="BB99" s="133">
        <f t="shared" si="202"/>
        <v>0</v>
      </c>
      <c r="BC99" s="134" t="str">
        <f t="shared" si="137"/>
        <v>-</v>
      </c>
      <c r="BD99" s="133">
        <f t="shared" ref="BD99:BE99" si="203">BD100+BD102</f>
        <v>0</v>
      </c>
      <c r="BE99" s="133">
        <f t="shared" si="203"/>
        <v>0</v>
      </c>
      <c r="BF99" s="134" t="str">
        <f t="shared" si="138"/>
        <v>-</v>
      </c>
      <c r="BG99" s="133">
        <f t="shared" ref="BG99:BH99" si="204">BG100+BG102</f>
        <v>0</v>
      </c>
      <c r="BH99" s="133">
        <f t="shared" si="204"/>
        <v>0</v>
      </c>
      <c r="BI99" s="134" t="str">
        <f t="shared" si="139"/>
        <v>-</v>
      </c>
      <c r="BJ99" s="133">
        <f t="shared" ref="BJ99:BK99" si="205">BJ100+BJ102</f>
        <v>0</v>
      </c>
      <c r="BK99" s="133">
        <f t="shared" si="205"/>
        <v>0</v>
      </c>
      <c r="BL99" s="134" t="str">
        <f t="shared" si="140"/>
        <v>-</v>
      </c>
      <c r="BM99" s="133">
        <f t="shared" ref="BM99:BN99" si="206">BM100+BM102</f>
        <v>0</v>
      </c>
      <c r="BN99" s="133">
        <f t="shared" si="206"/>
        <v>0</v>
      </c>
      <c r="BO99" s="134" t="str">
        <f t="shared" si="141"/>
        <v>-</v>
      </c>
      <c r="BP99" s="133">
        <f t="shared" ref="BP99:BQ99" si="207">BP100+BP102</f>
        <v>0</v>
      </c>
      <c r="BQ99" s="133">
        <f t="shared" si="207"/>
        <v>0</v>
      </c>
      <c r="BR99" s="134" t="str">
        <f t="shared" si="142"/>
        <v>-</v>
      </c>
      <c r="BS99" s="133">
        <f t="shared" ref="BS99:BT99" si="208">BS100+BS102</f>
        <v>0</v>
      </c>
      <c r="BT99" s="133">
        <f t="shared" si="208"/>
        <v>0</v>
      </c>
      <c r="BU99" s="134" t="str">
        <f t="shared" si="143"/>
        <v>-</v>
      </c>
      <c r="BV99" s="133">
        <f t="shared" ref="BV99:BW99" si="209">BV100+BV102</f>
        <v>0</v>
      </c>
      <c r="BW99" s="133">
        <f t="shared" si="209"/>
        <v>0</v>
      </c>
      <c r="BX99" s="134" t="str">
        <f t="shared" si="144"/>
        <v>-</v>
      </c>
      <c r="BY99" s="133">
        <f t="shared" ref="BY99:BZ99" si="210">BY100+BY102</f>
        <v>0</v>
      </c>
      <c r="BZ99" s="133">
        <f t="shared" si="210"/>
        <v>0</v>
      </c>
      <c r="CA99" s="134" t="str">
        <f t="shared" si="145"/>
        <v>-</v>
      </c>
      <c r="CB99" s="133">
        <f t="shared" ref="CB99:CC99" si="211">CB100+CB102</f>
        <v>0</v>
      </c>
      <c r="CC99" s="133">
        <f t="shared" si="211"/>
        <v>0</v>
      </c>
      <c r="CD99" s="134" t="str">
        <f t="shared" si="146"/>
        <v>-</v>
      </c>
      <c r="CE99" s="133">
        <f t="shared" ref="CE99:CF99" si="212">CE100+CE102</f>
        <v>0</v>
      </c>
      <c r="CF99" s="133">
        <f t="shared" si="212"/>
        <v>0</v>
      </c>
      <c r="CG99" s="134" t="str">
        <f t="shared" si="147"/>
        <v>-</v>
      </c>
      <c r="CH99" s="133">
        <f t="shared" ref="CH99:CI99" si="213">CH100+CH102</f>
        <v>0</v>
      </c>
      <c r="CI99" s="133">
        <f t="shared" si="213"/>
        <v>0</v>
      </c>
      <c r="CJ99" s="136" t="str">
        <f t="shared" si="148"/>
        <v>-</v>
      </c>
      <c r="CK99" s="94" t="str">
        <f t="shared" si="149"/>
        <v>ok</v>
      </c>
      <c r="CL99" s="94"/>
      <c r="CM99" s="162"/>
    </row>
    <row r="100" spans="3:92" s="110" customFormat="1" ht="21" customHeight="1" x14ac:dyDescent="0.75">
      <c r="C100" s="96">
        <v>24</v>
      </c>
      <c r="D100" s="96">
        <f>IFERROR(INDEX([4]Account!$A:$A,MATCH(K100,[4]Account!$D:$D,0)),"")</f>
        <v>127</v>
      </c>
      <c r="E100" s="96">
        <v>24</v>
      </c>
      <c r="F100" s="96">
        <f>IFERROR(INDEX([4]Account!$A:$A,MATCH(K100,[4]Account!$D:$D,0)),"")</f>
        <v>127</v>
      </c>
      <c r="G100" s="96" t="str">
        <f>IFERROR(INDEX('[5]Sub Account'!$A:$A,MATCH(L100,'[5]Sub Account'!$D:$D,0)),"")</f>
        <v/>
      </c>
      <c r="H100" s="96">
        <v>1</v>
      </c>
      <c r="I100" s="96">
        <v>2</v>
      </c>
      <c r="J100" s="227"/>
      <c r="K100" s="97">
        <v>7601</v>
      </c>
      <c r="L100" s="98"/>
      <c r="M100" s="99" t="s">
        <v>126</v>
      </c>
      <c r="N100" s="100">
        <f>N101</f>
        <v>120007</v>
      </c>
      <c r="O100" s="100">
        <f>O101</f>
        <v>101496.7</v>
      </c>
      <c r="P100" s="101">
        <f t="shared" si="124"/>
        <v>0.84575649753764359</v>
      </c>
      <c r="Q100" s="102">
        <f>Q101</f>
        <v>120007</v>
      </c>
      <c r="R100" s="102">
        <f>R101</f>
        <v>101496.7</v>
      </c>
      <c r="S100" s="103">
        <f t="shared" si="125"/>
        <v>0.84575649753764359</v>
      </c>
      <c r="T100" s="104">
        <f>T101</f>
        <v>120007</v>
      </c>
      <c r="U100" s="104">
        <f>U101</f>
        <v>101496.7</v>
      </c>
      <c r="V100" s="105">
        <f t="shared" si="126"/>
        <v>0.84575649753764359</v>
      </c>
      <c r="W100" s="104">
        <f>W101</f>
        <v>120007</v>
      </c>
      <c r="X100" s="104">
        <f>X101</f>
        <v>101496.7</v>
      </c>
      <c r="Y100" s="105">
        <f t="shared" si="127"/>
        <v>0.84575649753764359</v>
      </c>
      <c r="Z100" s="104">
        <f>Z101</f>
        <v>0</v>
      </c>
      <c r="AA100" s="104">
        <f>AA101</f>
        <v>0</v>
      </c>
      <c r="AB100" s="105" t="str">
        <f t="shared" si="128"/>
        <v>-</v>
      </c>
      <c r="AC100" s="104">
        <f>AC101</f>
        <v>120007</v>
      </c>
      <c r="AD100" s="104">
        <f>AD101</f>
        <v>101496.7</v>
      </c>
      <c r="AE100" s="105">
        <f t="shared" si="129"/>
        <v>0.84575649753764359</v>
      </c>
      <c r="AF100" s="104">
        <f>AF101</f>
        <v>0</v>
      </c>
      <c r="AG100" s="104">
        <f>AG101</f>
        <v>0</v>
      </c>
      <c r="AH100" s="105" t="str">
        <f t="shared" si="130"/>
        <v>-</v>
      </c>
      <c r="AI100" s="106">
        <f>AI101</f>
        <v>0</v>
      </c>
      <c r="AJ100" s="104">
        <f>AJ101</f>
        <v>0</v>
      </c>
      <c r="AK100" s="105" t="str">
        <f t="shared" si="131"/>
        <v>-</v>
      </c>
      <c r="AL100" s="104">
        <f>AL101</f>
        <v>0</v>
      </c>
      <c r="AM100" s="104">
        <f>AM101</f>
        <v>0</v>
      </c>
      <c r="AN100" s="105" t="str">
        <f t="shared" si="132"/>
        <v>-</v>
      </c>
      <c r="AO100" s="104">
        <f>AO101</f>
        <v>0</v>
      </c>
      <c r="AP100" s="104">
        <f>AP101</f>
        <v>0</v>
      </c>
      <c r="AQ100" s="105" t="str">
        <f t="shared" si="133"/>
        <v>-</v>
      </c>
      <c r="AR100" s="104">
        <f>AR101</f>
        <v>0</v>
      </c>
      <c r="AS100" s="104">
        <f>AS101</f>
        <v>0</v>
      </c>
      <c r="AT100" s="105" t="str">
        <f t="shared" si="134"/>
        <v>-</v>
      </c>
      <c r="AU100" s="104">
        <f>AU101</f>
        <v>0</v>
      </c>
      <c r="AV100" s="104">
        <f>AV101</f>
        <v>0</v>
      </c>
      <c r="AW100" s="105" t="str">
        <f t="shared" si="135"/>
        <v>-</v>
      </c>
      <c r="AX100" s="104">
        <f>AX101</f>
        <v>0</v>
      </c>
      <c r="AY100" s="104">
        <f>AY101</f>
        <v>0</v>
      </c>
      <c r="AZ100" s="105" t="str">
        <f t="shared" si="136"/>
        <v>-</v>
      </c>
      <c r="BA100" s="104">
        <f>BA101</f>
        <v>0</v>
      </c>
      <c r="BB100" s="104">
        <f>BB101</f>
        <v>0</v>
      </c>
      <c r="BC100" s="105" t="str">
        <f t="shared" si="137"/>
        <v>-</v>
      </c>
      <c r="BD100" s="104">
        <f>BD101</f>
        <v>0</v>
      </c>
      <c r="BE100" s="104">
        <f>BE101</f>
        <v>0</v>
      </c>
      <c r="BF100" s="105" t="str">
        <f t="shared" si="138"/>
        <v>-</v>
      </c>
      <c r="BG100" s="104">
        <f>BG101</f>
        <v>0</v>
      </c>
      <c r="BH100" s="104">
        <f>BH101</f>
        <v>0</v>
      </c>
      <c r="BI100" s="105" t="str">
        <f t="shared" si="139"/>
        <v>-</v>
      </c>
      <c r="BJ100" s="104">
        <f>BJ101</f>
        <v>0</v>
      </c>
      <c r="BK100" s="104">
        <f>BK101</f>
        <v>0</v>
      </c>
      <c r="BL100" s="105" t="str">
        <f t="shared" si="140"/>
        <v>-</v>
      </c>
      <c r="BM100" s="104">
        <f>BM101</f>
        <v>0</v>
      </c>
      <c r="BN100" s="104">
        <f>BN101</f>
        <v>0</v>
      </c>
      <c r="BO100" s="105" t="str">
        <f t="shared" si="141"/>
        <v>-</v>
      </c>
      <c r="BP100" s="104">
        <f>BP101</f>
        <v>0</v>
      </c>
      <c r="BQ100" s="104">
        <f>BQ101</f>
        <v>0</v>
      </c>
      <c r="BR100" s="105" t="str">
        <f t="shared" si="142"/>
        <v>-</v>
      </c>
      <c r="BS100" s="104">
        <f>BS101</f>
        <v>0</v>
      </c>
      <c r="BT100" s="104">
        <f>BT101</f>
        <v>0</v>
      </c>
      <c r="BU100" s="105" t="str">
        <f t="shared" si="143"/>
        <v>-</v>
      </c>
      <c r="BV100" s="104">
        <f>BV101</f>
        <v>0</v>
      </c>
      <c r="BW100" s="104">
        <f>BW101</f>
        <v>0</v>
      </c>
      <c r="BX100" s="105" t="str">
        <f t="shared" si="144"/>
        <v>-</v>
      </c>
      <c r="BY100" s="104">
        <f>BY101</f>
        <v>0</v>
      </c>
      <c r="BZ100" s="104">
        <f>BZ101</f>
        <v>0</v>
      </c>
      <c r="CA100" s="105" t="str">
        <f t="shared" si="145"/>
        <v>-</v>
      </c>
      <c r="CB100" s="104">
        <f>CB101</f>
        <v>0</v>
      </c>
      <c r="CC100" s="104">
        <f>CC101</f>
        <v>0</v>
      </c>
      <c r="CD100" s="105" t="str">
        <f t="shared" si="146"/>
        <v>-</v>
      </c>
      <c r="CE100" s="104">
        <f>CE101</f>
        <v>0</v>
      </c>
      <c r="CF100" s="104">
        <f>CF101</f>
        <v>0</v>
      </c>
      <c r="CG100" s="105" t="str">
        <f t="shared" si="147"/>
        <v>-</v>
      </c>
      <c r="CH100" s="104">
        <f>CH101</f>
        <v>0</v>
      </c>
      <c r="CI100" s="104">
        <f>CI101</f>
        <v>0</v>
      </c>
      <c r="CJ100" s="107" t="str">
        <f t="shared" si="148"/>
        <v>-</v>
      </c>
      <c r="CK100" s="108" t="str">
        <f t="shared" si="149"/>
        <v>ok</v>
      </c>
      <c r="CL100" s="108"/>
      <c r="CM100" s="109"/>
    </row>
    <row r="101" spans="3:92" s="123" customFormat="1" ht="21" customHeight="1" x14ac:dyDescent="2.5">
      <c r="C101" s="96">
        <v>24</v>
      </c>
      <c r="D101" s="96" t="str">
        <f>IFERROR(INDEX([4]Account!$A:$A,MATCH(K101,[4]Account!$D:$D,0)),"")</f>
        <v/>
      </c>
      <c r="E101" s="96">
        <v>24</v>
      </c>
      <c r="F101" s="96">
        <v>127</v>
      </c>
      <c r="G101" s="96">
        <f>IFERROR(INDEX('[5]Sub Account'!$A:$A,MATCH(L101,'[5]Sub Account'!$D:$D,0)),"")</f>
        <v>477</v>
      </c>
      <c r="H101" s="96">
        <v>1</v>
      </c>
      <c r="I101" s="96">
        <v>2</v>
      </c>
      <c r="J101" s="232"/>
      <c r="K101" s="163"/>
      <c r="L101" s="164">
        <v>76011</v>
      </c>
      <c r="M101" s="165" t="s">
        <v>127</v>
      </c>
      <c r="N101" s="140">
        <f>Q101+CH101</f>
        <v>120007</v>
      </c>
      <c r="O101" s="140">
        <f>R101+CI101</f>
        <v>101496.7</v>
      </c>
      <c r="P101" s="141">
        <f t="shared" si="124"/>
        <v>0.84575649753764359</v>
      </c>
      <c r="Q101" s="142">
        <f>T101+AO101</f>
        <v>120007</v>
      </c>
      <c r="R101" s="142">
        <f>U101+AP101</f>
        <v>101496.7</v>
      </c>
      <c r="S101" s="143">
        <f t="shared" si="125"/>
        <v>0.84575649753764359</v>
      </c>
      <c r="T101" s="144">
        <f>W101+AI101+AL101</f>
        <v>120007</v>
      </c>
      <c r="U101" s="144">
        <f>X101+AJ101+AM101</f>
        <v>101496.7</v>
      </c>
      <c r="V101" s="145">
        <f t="shared" si="126"/>
        <v>0.84575649753764359</v>
      </c>
      <c r="W101" s="144">
        <f>Z101+AC101+AF101</f>
        <v>120007</v>
      </c>
      <c r="X101" s="144">
        <f>AA101+AD101+AG101</f>
        <v>101496.7</v>
      </c>
      <c r="Y101" s="145">
        <f t="shared" si="127"/>
        <v>0.84575649753764359</v>
      </c>
      <c r="Z101" s="144"/>
      <c r="AA101" s="144"/>
      <c r="AB101" s="145" t="str">
        <f t="shared" si="128"/>
        <v>-</v>
      </c>
      <c r="AC101" s="144">
        <v>120007</v>
      </c>
      <c r="AD101" s="144">
        <v>101496.7</v>
      </c>
      <c r="AE101" s="145">
        <f t="shared" si="129"/>
        <v>0.84575649753764359</v>
      </c>
      <c r="AF101" s="144"/>
      <c r="AG101" s="144"/>
      <c r="AH101" s="145" t="str">
        <f t="shared" si="130"/>
        <v>-</v>
      </c>
      <c r="AI101" s="146"/>
      <c r="AJ101" s="144"/>
      <c r="AK101" s="145" t="str">
        <f t="shared" si="131"/>
        <v>-</v>
      </c>
      <c r="AL101" s="144"/>
      <c r="AM101" s="144"/>
      <c r="AN101" s="145" t="str">
        <f t="shared" si="132"/>
        <v>-</v>
      </c>
      <c r="AO101" s="144">
        <f>AR101+AU101+AX101+BA101+BG101+BJ101+BM101+BP101+BS101+BV101+BY101+CB101+CE101</f>
        <v>0</v>
      </c>
      <c r="AP101" s="144">
        <f>AS101+AV101+AY101+BB101+BH101+BK101+BN101+BQ101+BT101+BW101+BZ101+CC101+CF101</f>
        <v>0</v>
      </c>
      <c r="AQ101" s="145" t="str">
        <f t="shared" si="133"/>
        <v>-</v>
      </c>
      <c r="AR101" s="166"/>
      <c r="AS101" s="166"/>
      <c r="AT101" s="167" t="str">
        <f t="shared" si="134"/>
        <v>-</v>
      </c>
      <c r="AU101" s="166"/>
      <c r="AV101" s="166"/>
      <c r="AW101" s="167" t="str">
        <f t="shared" si="135"/>
        <v>-</v>
      </c>
      <c r="AX101" s="166"/>
      <c r="AY101" s="166"/>
      <c r="AZ101" s="167" t="str">
        <f t="shared" si="136"/>
        <v>-</v>
      </c>
      <c r="BA101" s="166"/>
      <c r="BB101" s="166"/>
      <c r="BC101" s="167" t="str">
        <f t="shared" si="137"/>
        <v>-</v>
      </c>
      <c r="BD101" s="166"/>
      <c r="BE101" s="166"/>
      <c r="BF101" s="167" t="str">
        <f t="shared" si="138"/>
        <v>-</v>
      </c>
      <c r="BG101" s="166"/>
      <c r="BH101" s="166"/>
      <c r="BI101" s="167" t="str">
        <f t="shared" si="139"/>
        <v>-</v>
      </c>
      <c r="BJ101" s="166"/>
      <c r="BK101" s="166"/>
      <c r="BL101" s="167" t="str">
        <f t="shared" si="140"/>
        <v>-</v>
      </c>
      <c r="BM101" s="166"/>
      <c r="BN101" s="166"/>
      <c r="BO101" s="167" t="str">
        <f t="shared" si="141"/>
        <v>-</v>
      </c>
      <c r="BP101" s="166"/>
      <c r="BQ101" s="166"/>
      <c r="BR101" s="167" t="str">
        <f t="shared" si="142"/>
        <v>-</v>
      </c>
      <c r="BS101" s="166"/>
      <c r="BT101" s="166"/>
      <c r="BU101" s="167" t="str">
        <f t="shared" si="143"/>
        <v>-</v>
      </c>
      <c r="BV101" s="166"/>
      <c r="BW101" s="166"/>
      <c r="BX101" s="167" t="str">
        <f t="shared" si="144"/>
        <v>-</v>
      </c>
      <c r="BY101" s="166"/>
      <c r="BZ101" s="166"/>
      <c r="CA101" s="167" t="str">
        <f t="shared" si="145"/>
        <v>-</v>
      </c>
      <c r="CB101" s="166"/>
      <c r="CC101" s="166"/>
      <c r="CD101" s="167" t="str">
        <f t="shared" si="146"/>
        <v>-</v>
      </c>
      <c r="CE101" s="166"/>
      <c r="CF101" s="166"/>
      <c r="CG101" s="167" t="str">
        <f t="shared" si="147"/>
        <v>-</v>
      </c>
      <c r="CH101" s="166"/>
      <c r="CI101" s="166"/>
      <c r="CJ101" s="168" t="str">
        <f t="shared" si="148"/>
        <v>-</v>
      </c>
      <c r="CK101" s="159" t="str">
        <f t="shared" si="149"/>
        <v>ok</v>
      </c>
      <c r="CL101" s="159"/>
      <c r="CM101" s="160"/>
    </row>
    <row r="102" spans="3:92" s="110" customFormat="1" ht="21" customHeight="1" x14ac:dyDescent="0.75">
      <c r="C102" s="96">
        <v>24</v>
      </c>
      <c r="D102" s="96">
        <f>IFERROR(INDEX([4]Account!$A:$A,MATCH(K102,[4]Account!$D:$D,0)),"")</f>
        <v>131</v>
      </c>
      <c r="E102" s="96">
        <v>24</v>
      </c>
      <c r="F102" s="96">
        <f>IFERROR(INDEX([4]Account!$A:$A,MATCH(K102,[4]Account!$D:$D,0)),"")</f>
        <v>131</v>
      </c>
      <c r="G102" s="96" t="str">
        <f>IFERROR(INDEX('[5]Sub Account'!$A:$A,MATCH(L102,'[5]Sub Account'!$D:$D,0)),"")</f>
        <v/>
      </c>
      <c r="H102" s="96">
        <v>1</v>
      </c>
      <c r="I102" s="96">
        <v>2</v>
      </c>
      <c r="J102" s="227"/>
      <c r="K102" s="237">
        <v>7698</v>
      </c>
      <c r="L102" s="98"/>
      <c r="M102" s="99" t="s">
        <v>128</v>
      </c>
      <c r="N102" s="100">
        <f>N103</f>
        <v>0</v>
      </c>
      <c r="O102" s="100">
        <f>O103</f>
        <v>0</v>
      </c>
      <c r="P102" s="101" t="str">
        <f t="shared" si="124"/>
        <v>-</v>
      </c>
      <c r="Q102" s="102">
        <f>Q103</f>
        <v>0</v>
      </c>
      <c r="R102" s="102">
        <f>R103</f>
        <v>0</v>
      </c>
      <c r="S102" s="103" t="str">
        <f t="shared" si="125"/>
        <v>-</v>
      </c>
      <c r="T102" s="104">
        <f>T103</f>
        <v>0</v>
      </c>
      <c r="U102" s="104">
        <f>U103</f>
        <v>0</v>
      </c>
      <c r="V102" s="105" t="str">
        <f t="shared" si="126"/>
        <v>-</v>
      </c>
      <c r="W102" s="104">
        <f>W103</f>
        <v>0</v>
      </c>
      <c r="X102" s="104">
        <f>X103</f>
        <v>0</v>
      </c>
      <c r="Y102" s="105" t="str">
        <f t="shared" si="127"/>
        <v>-</v>
      </c>
      <c r="Z102" s="104">
        <f>Z103</f>
        <v>0</v>
      </c>
      <c r="AA102" s="104">
        <f>AA103</f>
        <v>0</v>
      </c>
      <c r="AB102" s="105" t="str">
        <f t="shared" si="128"/>
        <v>-</v>
      </c>
      <c r="AC102" s="104">
        <f>AC103</f>
        <v>0</v>
      </c>
      <c r="AD102" s="104">
        <f>AD103</f>
        <v>0</v>
      </c>
      <c r="AE102" s="105" t="str">
        <f t="shared" si="129"/>
        <v>-</v>
      </c>
      <c r="AF102" s="104">
        <f>AF103</f>
        <v>0</v>
      </c>
      <c r="AG102" s="104">
        <f>AG103</f>
        <v>0</v>
      </c>
      <c r="AH102" s="105" t="str">
        <f t="shared" si="130"/>
        <v>-</v>
      </c>
      <c r="AI102" s="106">
        <f>AI103</f>
        <v>0</v>
      </c>
      <c r="AJ102" s="104">
        <f>AJ103</f>
        <v>0</v>
      </c>
      <c r="AK102" s="105" t="str">
        <f t="shared" si="131"/>
        <v>-</v>
      </c>
      <c r="AL102" s="104">
        <f>AL103</f>
        <v>0</v>
      </c>
      <c r="AM102" s="104">
        <f>AM103</f>
        <v>0</v>
      </c>
      <c r="AN102" s="105" t="str">
        <f t="shared" si="132"/>
        <v>-</v>
      </c>
      <c r="AO102" s="104">
        <f>AO103</f>
        <v>0</v>
      </c>
      <c r="AP102" s="104">
        <f>AP103</f>
        <v>0</v>
      </c>
      <c r="AQ102" s="105" t="str">
        <f t="shared" si="133"/>
        <v>-</v>
      </c>
      <c r="AR102" s="104">
        <f>AR103</f>
        <v>0</v>
      </c>
      <c r="AS102" s="104">
        <f>AS103</f>
        <v>0</v>
      </c>
      <c r="AT102" s="105" t="str">
        <f t="shared" si="134"/>
        <v>-</v>
      </c>
      <c r="AU102" s="104">
        <f>AU103</f>
        <v>0</v>
      </c>
      <c r="AV102" s="104">
        <f>AV103</f>
        <v>0</v>
      </c>
      <c r="AW102" s="105" t="str">
        <f t="shared" si="135"/>
        <v>-</v>
      </c>
      <c r="AX102" s="104">
        <f>AX103</f>
        <v>0</v>
      </c>
      <c r="AY102" s="104">
        <f>AY103</f>
        <v>0</v>
      </c>
      <c r="AZ102" s="105" t="str">
        <f t="shared" si="136"/>
        <v>-</v>
      </c>
      <c r="BA102" s="104">
        <f>BA103</f>
        <v>0</v>
      </c>
      <c r="BB102" s="104">
        <f>BB103</f>
        <v>0</v>
      </c>
      <c r="BC102" s="105" t="str">
        <f t="shared" si="137"/>
        <v>-</v>
      </c>
      <c r="BD102" s="104">
        <f>BD103</f>
        <v>0</v>
      </c>
      <c r="BE102" s="104">
        <f>BE103</f>
        <v>0</v>
      </c>
      <c r="BF102" s="105" t="str">
        <f t="shared" si="138"/>
        <v>-</v>
      </c>
      <c r="BG102" s="104">
        <f>BG103</f>
        <v>0</v>
      </c>
      <c r="BH102" s="104">
        <f>BH103</f>
        <v>0</v>
      </c>
      <c r="BI102" s="105" t="str">
        <f t="shared" si="139"/>
        <v>-</v>
      </c>
      <c r="BJ102" s="104">
        <f>BJ103</f>
        <v>0</v>
      </c>
      <c r="BK102" s="104">
        <f>BK103</f>
        <v>0</v>
      </c>
      <c r="BL102" s="105" t="str">
        <f t="shared" si="140"/>
        <v>-</v>
      </c>
      <c r="BM102" s="104">
        <f>BM103</f>
        <v>0</v>
      </c>
      <c r="BN102" s="104">
        <f>BN103</f>
        <v>0</v>
      </c>
      <c r="BO102" s="105" t="str">
        <f t="shared" si="141"/>
        <v>-</v>
      </c>
      <c r="BP102" s="104">
        <f>BP103</f>
        <v>0</v>
      </c>
      <c r="BQ102" s="104">
        <f>BQ103</f>
        <v>0</v>
      </c>
      <c r="BR102" s="105" t="str">
        <f t="shared" si="142"/>
        <v>-</v>
      </c>
      <c r="BS102" s="104">
        <f>BS103</f>
        <v>0</v>
      </c>
      <c r="BT102" s="104">
        <f>BT103</f>
        <v>0</v>
      </c>
      <c r="BU102" s="105" t="str">
        <f t="shared" si="143"/>
        <v>-</v>
      </c>
      <c r="BV102" s="104">
        <f>BV103</f>
        <v>0</v>
      </c>
      <c r="BW102" s="104">
        <f>BW103</f>
        <v>0</v>
      </c>
      <c r="BX102" s="105" t="str">
        <f t="shared" si="144"/>
        <v>-</v>
      </c>
      <c r="BY102" s="104">
        <f>BY103</f>
        <v>0</v>
      </c>
      <c r="BZ102" s="104">
        <f>BZ103</f>
        <v>0</v>
      </c>
      <c r="CA102" s="105" t="str">
        <f t="shared" si="145"/>
        <v>-</v>
      </c>
      <c r="CB102" s="104">
        <f>CB103</f>
        <v>0</v>
      </c>
      <c r="CC102" s="104">
        <f>CC103</f>
        <v>0</v>
      </c>
      <c r="CD102" s="105" t="str">
        <f t="shared" si="146"/>
        <v>-</v>
      </c>
      <c r="CE102" s="104">
        <f>CE103</f>
        <v>0</v>
      </c>
      <c r="CF102" s="104">
        <f>CF103</f>
        <v>0</v>
      </c>
      <c r="CG102" s="105" t="str">
        <f t="shared" si="147"/>
        <v>-</v>
      </c>
      <c r="CH102" s="104">
        <f>CH103</f>
        <v>0</v>
      </c>
      <c r="CI102" s="104">
        <f>CI103</f>
        <v>0</v>
      </c>
      <c r="CJ102" s="107" t="str">
        <f t="shared" si="148"/>
        <v>-</v>
      </c>
      <c r="CK102" s="108" t="str">
        <f t="shared" si="149"/>
        <v>-</v>
      </c>
      <c r="CL102" s="108"/>
      <c r="CM102" s="109"/>
    </row>
    <row r="103" spans="3:92" s="123" customFormat="1" ht="21" customHeight="1" x14ac:dyDescent="2.5">
      <c r="C103" s="96">
        <v>24</v>
      </c>
      <c r="D103" s="96" t="str">
        <f>IFERROR(INDEX([4]Account!$A:$A,MATCH(K103,[4]Account!$D:$D,0)),"")</f>
        <v/>
      </c>
      <c r="E103" s="96">
        <v>24</v>
      </c>
      <c r="F103" s="96">
        <v>131</v>
      </c>
      <c r="G103" s="96">
        <f>IFERROR(INDEX('[5]Sub Account'!$A:$A,MATCH(L103,'[5]Sub Account'!$D:$D,0)),"")</f>
        <v>517</v>
      </c>
      <c r="H103" s="96">
        <v>1</v>
      </c>
      <c r="I103" s="96">
        <v>2</v>
      </c>
      <c r="J103" s="232"/>
      <c r="K103" s="163"/>
      <c r="L103" s="164">
        <v>76981</v>
      </c>
      <c r="M103" s="165" t="s">
        <v>129</v>
      </c>
      <c r="N103" s="140">
        <f>Q103+CH103</f>
        <v>0</v>
      </c>
      <c r="O103" s="140">
        <f>R103+CI103</f>
        <v>0</v>
      </c>
      <c r="P103" s="141" t="str">
        <f t="shared" si="124"/>
        <v>-</v>
      </c>
      <c r="Q103" s="142">
        <f>T103+AO103</f>
        <v>0</v>
      </c>
      <c r="R103" s="142">
        <f>U103+AP103</f>
        <v>0</v>
      </c>
      <c r="S103" s="143" t="str">
        <f t="shared" si="125"/>
        <v>-</v>
      </c>
      <c r="T103" s="144">
        <f>W103+AI103+AL103</f>
        <v>0</v>
      </c>
      <c r="U103" s="144">
        <f>X103+AJ103+AM103</f>
        <v>0</v>
      </c>
      <c r="V103" s="145" t="str">
        <f t="shared" si="126"/>
        <v>-</v>
      </c>
      <c r="W103" s="144">
        <f>Z103+AC103+AF103</f>
        <v>0</v>
      </c>
      <c r="X103" s="144">
        <f>AA103+AD103+AG103</f>
        <v>0</v>
      </c>
      <c r="Y103" s="145" t="str">
        <f t="shared" si="127"/>
        <v>-</v>
      </c>
      <c r="Z103" s="144"/>
      <c r="AA103" s="144"/>
      <c r="AB103" s="145" t="str">
        <f t="shared" si="128"/>
        <v>-</v>
      </c>
      <c r="AC103" s="144">
        <v>0</v>
      </c>
      <c r="AD103" s="144">
        <v>0</v>
      </c>
      <c r="AE103" s="145" t="str">
        <f t="shared" si="129"/>
        <v>-</v>
      </c>
      <c r="AF103" s="144"/>
      <c r="AG103" s="144"/>
      <c r="AH103" s="145" t="str">
        <f t="shared" si="130"/>
        <v>-</v>
      </c>
      <c r="AI103" s="146"/>
      <c r="AJ103" s="144"/>
      <c r="AK103" s="145" t="str">
        <f t="shared" si="131"/>
        <v>-</v>
      </c>
      <c r="AL103" s="144"/>
      <c r="AM103" s="144"/>
      <c r="AN103" s="145" t="str">
        <f t="shared" si="132"/>
        <v>-</v>
      </c>
      <c r="AO103" s="144">
        <f>AR103+AU103+AX103+BA103+BG103+BJ103+BM103+BP103+BS103+BV103+BY103+CB103+CE103</f>
        <v>0</v>
      </c>
      <c r="AP103" s="144">
        <f>AS103+AV103+AY103+BB103+BH103+BK103+BN103+BQ103+BT103+BW103+BZ103+CC103+CF103</f>
        <v>0</v>
      </c>
      <c r="AQ103" s="145" t="str">
        <f t="shared" si="133"/>
        <v>-</v>
      </c>
      <c r="AR103" s="166"/>
      <c r="AS103" s="166"/>
      <c r="AT103" s="167" t="str">
        <f t="shared" si="134"/>
        <v>-</v>
      </c>
      <c r="AU103" s="166"/>
      <c r="AV103" s="166"/>
      <c r="AW103" s="167" t="str">
        <f t="shared" si="135"/>
        <v>-</v>
      </c>
      <c r="AX103" s="166"/>
      <c r="AY103" s="166"/>
      <c r="AZ103" s="167" t="str">
        <f t="shared" si="136"/>
        <v>-</v>
      </c>
      <c r="BA103" s="166"/>
      <c r="BB103" s="166"/>
      <c r="BC103" s="167" t="str">
        <f t="shared" si="137"/>
        <v>-</v>
      </c>
      <c r="BD103" s="166"/>
      <c r="BE103" s="166"/>
      <c r="BF103" s="167" t="str">
        <f t="shared" si="138"/>
        <v>-</v>
      </c>
      <c r="BG103" s="166"/>
      <c r="BH103" s="166"/>
      <c r="BI103" s="167" t="str">
        <f t="shared" si="139"/>
        <v>-</v>
      </c>
      <c r="BJ103" s="166"/>
      <c r="BK103" s="166"/>
      <c r="BL103" s="167" t="str">
        <f t="shared" si="140"/>
        <v>-</v>
      </c>
      <c r="BM103" s="166"/>
      <c r="BN103" s="166"/>
      <c r="BO103" s="167" t="str">
        <f t="shared" si="141"/>
        <v>-</v>
      </c>
      <c r="BP103" s="166"/>
      <c r="BQ103" s="166"/>
      <c r="BR103" s="167" t="str">
        <f t="shared" si="142"/>
        <v>-</v>
      </c>
      <c r="BS103" s="166"/>
      <c r="BT103" s="166"/>
      <c r="BU103" s="167" t="str">
        <f t="shared" si="143"/>
        <v>-</v>
      </c>
      <c r="BV103" s="166"/>
      <c r="BW103" s="166"/>
      <c r="BX103" s="167" t="str">
        <f t="shared" si="144"/>
        <v>-</v>
      </c>
      <c r="BY103" s="166"/>
      <c r="BZ103" s="166"/>
      <c r="CA103" s="167" t="str">
        <f t="shared" si="145"/>
        <v>-</v>
      </c>
      <c r="CB103" s="166"/>
      <c r="CC103" s="166"/>
      <c r="CD103" s="167" t="str">
        <f t="shared" si="146"/>
        <v>-</v>
      </c>
      <c r="CE103" s="166"/>
      <c r="CF103" s="166"/>
      <c r="CG103" s="167" t="str">
        <f t="shared" si="147"/>
        <v>-</v>
      </c>
      <c r="CH103" s="166"/>
      <c r="CI103" s="166"/>
      <c r="CJ103" s="168" t="str">
        <f t="shared" si="148"/>
        <v>-</v>
      </c>
      <c r="CK103" s="159" t="str">
        <f t="shared" si="149"/>
        <v>-</v>
      </c>
      <c r="CL103" s="159"/>
      <c r="CM103" s="160"/>
    </row>
    <row r="104" spans="3:92" s="123" customFormat="1" ht="21" customHeight="1" x14ac:dyDescent="0.75">
      <c r="C104" s="96">
        <v>25</v>
      </c>
      <c r="D104" s="96" t="str">
        <f>IFERROR(INDEX([4]Account!$A:$A,MATCH(K104,[4]Account!$D:$D,0)),"")</f>
        <v/>
      </c>
      <c r="E104" s="96">
        <f>IFERROR(INDEX('[3]Account Group'!$A:$A,MATCH(J104,'[3]Account Group'!$B:$B,0)),"-")</f>
        <v>25</v>
      </c>
      <c r="F104" s="96">
        <v>131</v>
      </c>
      <c r="G104" s="96" t="str">
        <f>IFERROR(INDEX('[5]Sub Account'!$A:$A,MATCH(L104,'[5]Sub Account'!$D:$D,0)),"")</f>
        <v/>
      </c>
      <c r="H104" s="96">
        <v>1</v>
      </c>
      <c r="I104" s="96">
        <v>2</v>
      </c>
      <c r="J104" s="238">
        <v>77</v>
      </c>
      <c r="K104" s="126"/>
      <c r="L104" s="127"/>
      <c r="M104" s="128" t="s">
        <v>130</v>
      </c>
      <c r="N104" s="129">
        <f>N105</f>
        <v>0</v>
      </c>
      <c r="O104" s="129">
        <f>O105</f>
        <v>35.799999999999997</v>
      </c>
      <c r="P104" s="130" t="str">
        <f t="shared" si="124"/>
        <v>-</v>
      </c>
      <c r="Q104" s="131">
        <f>Q105</f>
        <v>0</v>
      </c>
      <c r="R104" s="131">
        <f>R105</f>
        <v>35.799999999999997</v>
      </c>
      <c r="S104" s="132" t="str">
        <f t="shared" si="125"/>
        <v>-</v>
      </c>
      <c r="T104" s="133">
        <f>T105</f>
        <v>0</v>
      </c>
      <c r="U104" s="133">
        <f>U105</f>
        <v>35.799999999999997</v>
      </c>
      <c r="V104" s="134" t="str">
        <f t="shared" si="126"/>
        <v>-</v>
      </c>
      <c r="W104" s="133">
        <f>W105</f>
        <v>0</v>
      </c>
      <c r="X104" s="133">
        <f>X105</f>
        <v>0.8</v>
      </c>
      <c r="Y104" s="134" t="str">
        <f t="shared" si="127"/>
        <v>-</v>
      </c>
      <c r="Z104" s="133">
        <f>Z105</f>
        <v>0</v>
      </c>
      <c r="AA104" s="133">
        <f>AA105</f>
        <v>0</v>
      </c>
      <c r="AB104" s="134" t="str">
        <f t="shared" si="128"/>
        <v>-</v>
      </c>
      <c r="AC104" s="133">
        <f>AC105</f>
        <v>0</v>
      </c>
      <c r="AD104" s="133">
        <f>AD105</f>
        <v>0.8</v>
      </c>
      <c r="AE104" s="134" t="str">
        <f t="shared" si="129"/>
        <v>-</v>
      </c>
      <c r="AF104" s="133">
        <f>AF105</f>
        <v>0</v>
      </c>
      <c r="AG104" s="133">
        <f>AG105</f>
        <v>0</v>
      </c>
      <c r="AH104" s="134" t="str">
        <f t="shared" si="130"/>
        <v>-</v>
      </c>
      <c r="AI104" s="135">
        <f>AI105</f>
        <v>0</v>
      </c>
      <c r="AJ104" s="133">
        <f>AJ105</f>
        <v>35</v>
      </c>
      <c r="AK104" s="134" t="str">
        <f t="shared" si="131"/>
        <v>-</v>
      </c>
      <c r="AL104" s="133">
        <f>AL105</f>
        <v>0</v>
      </c>
      <c r="AM104" s="133">
        <f>AM105</f>
        <v>0</v>
      </c>
      <c r="AN104" s="134" t="str">
        <f t="shared" si="132"/>
        <v>-</v>
      </c>
      <c r="AO104" s="133">
        <f>AO105</f>
        <v>0</v>
      </c>
      <c r="AP104" s="133">
        <f>AP105</f>
        <v>0</v>
      </c>
      <c r="AQ104" s="134" t="str">
        <f t="shared" si="133"/>
        <v>-</v>
      </c>
      <c r="AR104" s="133">
        <f>AR105</f>
        <v>0</v>
      </c>
      <c r="AS104" s="133">
        <f>AS105</f>
        <v>0</v>
      </c>
      <c r="AT104" s="134" t="str">
        <f t="shared" si="134"/>
        <v>-</v>
      </c>
      <c r="AU104" s="133">
        <f>AU105</f>
        <v>0</v>
      </c>
      <c r="AV104" s="133">
        <f>AV105</f>
        <v>0</v>
      </c>
      <c r="AW104" s="134" t="str">
        <f t="shared" si="135"/>
        <v>-</v>
      </c>
      <c r="AX104" s="133">
        <f>AX105</f>
        <v>0</v>
      </c>
      <c r="AY104" s="133">
        <f>AY105</f>
        <v>0</v>
      </c>
      <c r="AZ104" s="134" t="str">
        <f t="shared" si="136"/>
        <v>-</v>
      </c>
      <c r="BA104" s="133">
        <f>BA105</f>
        <v>0</v>
      </c>
      <c r="BB104" s="133">
        <f>BB105</f>
        <v>0</v>
      </c>
      <c r="BC104" s="134" t="str">
        <f t="shared" si="137"/>
        <v>-</v>
      </c>
      <c r="BD104" s="133">
        <f>BD105</f>
        <v>0</v>
      </c>
      <c r="BE104" s="133">
        <f>BE105</f>
        <v>0</v>
      </c>
      <c r="BF104" s="134" t="str">
        <f t="shared" si="138"/>
        <v>-</v>
      </c>
      <c r="BG104" s="133">
        <f>BG105</f>
        <v>0</v>
      </c>
      <c r="BH104" s="133">
        <f>BH105</f>
        <v>0</v>
      </c>
      <c r="BI104" s="134" t="str">
        <f t="shared" si="139"/>
        <v>-</v>
      </c>
      <c r="BJ104" s="133">
        <f>BJ105</f>
        <v>0</v>
      </c>
      <c r="BK104" s="133">
        <f>BK105</f>
        <v>0</v>
      </c>
      <c r="BL104" s="134" t="str">
        <f t="shared" si="140"/>
        <v>-</v>
      </c>
      <c r="BM104" s="133">
        <f>BM105</f>
        <v>0</v>
      </c>
      <c r="BN104" s="133">
        <f>BN105</f>
        <v>0</v>
      </c>
      <c r="BO104" s="134" t="str">
        <f t="shared" si="141"/>
        <v>-</v>
      </c>
      <c r="BP104" s="133">
        <f>BP105</f>
        <v>0</v>
      </c>
      <c r="BQ104" s="133">
        <f>BQ105</f>
        <v>0</v>
      </c>
      <c r="BR104" s="134" t="str">
        <f t="shared" si="142"/>
        <v>-</v>
      </c>
      <c r="BS104" s="133">
        <f>BS105</f>
        <v>0</v>
      </c>
      <c r="BT104" s="133">
        <f>BT105</f>
        <v>0</v>
      </c>
      <c r="BU104" s="134" t="str">
        <f t="shared" si="143"/>
        <v>-</v>
      </c>
      <c r="BV104" s="133">
        <f>BV105</f>
        <v>0</v>
      </c>
      <c r="BW104" s="133">
        <f>BW105</f>
        <v>0</v>
      </c>
      <c r="BX104" s="134" t="str">
        <f t="shared" si="144"/>
        <v>-</v>
      </c>
      <c r="BY104" s="133">
        <f>BY105</f>
        <v>0</v>
      </c>
      <c r="BZ104" s="133">
        <f>BZ105</f>
        <v>0</v>
      </c>
      <c r="CA104" s="134" t="str">
        <f t="shared" si="145"/>
        <v>-</v>
      </c>
      <c r="CB104" s="133">
        <f>CB105</f>
        <v>0</v>
      </c>
      <c r="CC104" s="133">
        <f>CC105</f>
        <v>0</v>
      </c>
      <c r="CD104" s="134" t="str">
        <f t="shared" si="146"/>
        <v>-</v>
      </c>
      <c r="CE104" s="133">
        <f>CE105</f>
        <v>0</v>
      </c>
      <c r="CF104" s="133">
        <f>CF105</f>
        <v>0</v>
      </c>
      <c r="CG104" s="134" t="str">
        <f t="shared" si="147"/>
        <v>-</v>
      </c>
      <c r="CH104" s="133">
        <f>CH105</f>
        <v>0</v>
      </c>
      <c r="CI104" s="133">
        <f>CI105</f>
        <v>0</v>
      </c>
      <c r="CJ104" s="136" t="str">
        <f t="shared" si="148"/>
        <v>-</v>
      </c>
      <c r="CK104" s="94" t="str">
        <f t="shared" si="149"/>
        <v>ok</v>
      </c>
      <c r="CL104" s="94"/>
      <c r="CM104" s="162"/>
    </row>
    <row r="105" spans="3:92" s="110" customFormat="1" ht="21" customHeight="1" x14ac:dyDescent="0.75">
      <c r="C105" s="96">
        <v>25</v>
      </c>
      <c r="D105" s="96">
        <f>IFERROR(INDEX([4]Account!$A:$A,MATCH(K105,[4]Account!$D:$D,0)),"")</f>
        <v>137</v>
      </c>
      <c r="E105" s="96">
        <v>25</v>
      </c>
      <c r="F105" s="96">
        <f>IFERROR(INDEX([4]Account!$A:$A,MATCH(K105,[4]Account!$D:$D,0)),"")</f>
        <v>137</v>
      </c>
      <c r="G105" s="96" t="str">
        <f>IFERROR(INDEX('[5]Sub Account'!$A:$A,MATCH(L105,'[5]Sub Account'!$D:$D,0)),"")</f>
        <v/>
      </c>
      <c r="H105" s="96">
        <v>1</v>
      </c>
      <c r="I105" s="96">
        <v>2</v>
      </c>
      <c r="J105" s="227"/>
      <c r="K105" s="237">
        <v>7798</v>
      </c>
      <c r="L105" s="98"/>
      <c r="M105" s="99" t="s">
        <v>131</v>
      </c>
      <c r="N105" s="100">
        <f>N106</f>
        <v>0</v>
      </c>
      <c r="O105" s="100">
        <f>O106</f>
        <v>35.799999999999997</v>
      </c>
      <c r="P105" s="101" t="str">
        <f t="shared" si="124"/>
        <v>-</v>
      </c>
      <c r="Q105" s="102">
        <f>Q106</f>
        <v>0</v>
      </c>
      <c r="R105" s="102">
        <f>R106</f>
        <v>35.799999999999997</v>
      </c>
      <c r="S105" s="103" t="str">
        <f t="shared" si="125"/>
        <v>-</v>
      </c>
      <c r="T105" s="104">
        <f>T106</f>
        <v>0</v>
      </c>
      <c r="U105" s="104">
        <f>U106</f>
        <v>35.799999999999997</v>
      </c>
      <c r="V105" s="105" t="str">
        <f t="shared" si="126"/>
        <v>-</v>
      </c>
      <c r="W105" s="104">
        <f>W106</f>
        <v>0</v>
      </c>
      <c r="X105" s="104">
        <f>X106</f>
        <v>0.8</v>
      </c>
      <c r="Y105" s="105" t="str">
        <f t="shared" si="127"/>
        <v>-</v>
      </c>
      <c r="Z105" s="104">
        <f>Z106</f>
        <v>0</v>
      </c>
      <c r="AA105" s="104">
        <f>AA106</f>
        <v>0</v>
      </c>
      <c r="AB105" s="105" t="str">
        <f t="shared" si="128"/>
        <v>-</v>
      </c>
      <c r="AC105" s="104">
        <f>AC106</f>
        <v>0</v>
      </c>
      <c r="AD105" s="104">
        <f>AD106</f>
        <v>0.8</v>
      </c>
      <c r="AE105" s="105" t="str">
        <f t="shared" si="129"/>
        <v>-</v>
      </c>
      <c r="AF105" s="104">
        <f>AF106</f>
        <v>0</v>
      </c>
      <c r="AG105" s="104">
        <f>AG106</f>
        <v>0</v>
      </c>
      <c r="AH105" s="105" t="str">
        <f t="shared" si="130"/>
        <v>-</v>
      </c>
      <c r="AI105" s="106">
        <f>AI106</f>
        <v>0</v>
      </c>
      <c r="AJ105" s="104">
        <f>AJ106</f>
        <v>35</v>
      </c>
      <c r="AK105" s="105" t="str">
        <f t="shared" si="131"/>
        <v>-</v>
      </c>
      <c r="AL105" s="104">
        <f>AL106</f>
        <v>0</v>
      </c>
      <c r="AM105" s="104">
        <f>AM106</f>
        <v>0</v>
      </c>
      <c r="AN105" s="105" t="str">
        <f t="shared" si="132"/>
        <v>-</v>
      </c>
      <c r="AO105" s="104">
        <f>AO106</f>
        <v>0</v>
      </c>
      <c r="AP105" s="104">
        <f>AP106</f>
        <v>0</v>
      </c>
      <c r="AQ105" s="105" t="str">
        <f t="shared" si="133"/>
        <v>-</v>
      </c>
      <c r="AR105" s="104">
        <f>AR106</f>
        <v>0</v>
      </c>
      <c r="AS105" s="104">
        <f>AS106</f>
        <v>0</v>
      </c>
      <c r="AT105" s="105" t="str">
        <f t="shared" si="134"/>
        <v>-</v>
      </c>
      <c r="AU105" s="104">
        <f>AU106</f>
        <v>0</v>
      </c>
      <c r="AV105" s="104">
        <f>AV106</f>
        <v>0</v>
      </c>
      <c r="AW105" s="105" t="str">
        <f t="shared" si="135"/>
        <v>-</v>
      </c>
      <c r="AX105" s="104">
        <f>AX106</f>
        <v>0</v>
      </c>
      <c r="AY105" s="104">
        <f>AY106</f>
        <v>0</v>
      </c>
      <c r="AZ105" s="105" t="str">
        <f t="shared" si="136"/>
        <v>-</v>
      </c>
      <c r="BA105" s="104">
        <f>BA106</f>
        <v>0</v>
      </c>
      <c r="BB105" s="104">
        <f>BB106</f>
        <v>0</v>
      </c>
      <c r="BC105" s="105" t="str">
        <f t="shared" si="137"/>
        <v>-</v>
      </c>
      <c r="BD105" s="104">
        <f>BD106</f>
        <v>0</v>
      </c>
      <c r="BE105" s="104">
        <f>BE106</f>
        <v>0</v>
      </c>
      <c r="BF105" s="105" t="str">
        <f t="shared" si="138"/>
        <v>-</v>
      </c>
      <c r="BG105" s="104">
        <f>BG106</f>
        <v>0</v>
      </c>
      <c r="BH105" s="104">
        <f>BH106</f>
        <v>0</v>
      </c>
      <c r="BI105" s="105" t="str">
        <f t="shared" si="139"/>
        <v>-</v>
      </c>
      <c r="BJ105" s="104">
        <f>BJ106</f>
        <v>0</v>
      </c>
      <c r="BK105" s="104">
        <f>BK106</f>
        <v>0</v>
      </c>
      <c r="BL105" s="105" t="str">
        <f t="shared" si="140"/>
        <v>-</v>
      </c>
      <c r="BM105" s="104">
        <f>BM106</f>
        <v>0</v>
      </c>
      <c r="BN105" s="104">
        <f>BN106</f>
        <v>0</v>
      </c>
      <c r="BO105" s="105" t="str">
        <f t="shared" si="141"/>
        <v>-</v>
      </c>
      <c r="BP105" s="104">
        <f>BP106</f>
        <v>0</v>
      </c>
      <c r="BQ105" s="104">
        <f>BQ106</f>
        <v>0</v>
      </c>
      <c r="BR105" s="105" t="str">
        <f t="shared" si="142"/>
        <v>-</v>
      </c>
      <c r="BS105" s="104">
        <f>BS106</f>
        <v>0</v>
      </c>
      <c r="BT105" s="104">
        <f>BT106</f>
        <v>0</v>
      </c>
      <c r="BU105" s="105" t="str">
        <f t="shared" si="143"/>
        <v>-</v>
      </c>
      <c r="BV105" s="104">
        <f>BV106</f>
        <v>0</v>
      </c>
      <c r="BW105" s="104">
        <f>BW106</f>
        <v>0</v>
      </c>
      <c r="BX105" s="105" t="str">
        <f t="shared" si="144"/>
        <v>-</v>
      </c>
      <c r="BY105" s="104">
        <f>BY106</f>
        <v>0</v>
      </c>
      <c r="BZ105" s="104">
        <f>BZ106</f>
        <v>0</v>
      </c>
      <c r="CA105" s="105" t="str">
        <f t="shared" si="145"/>
        <v>-</v>
      </c>
      <c r="CB105" s="104">
        <f>CB106</f>
        <v>0</v>
      </c>
      <c r="CC105" s="104">
        <f>CC106</f>
        <v>0</v>
      </c>
      <c r="CD105" s="105" t="str">
        <f t="shared" si="146"/>
        <v>-</v>
      </c>
      <c r="CE105" s="104">
        <f>CE106</f>
        <v>0</v>
      </c>
      <c r="CF105" s="104">
        <f>CF106</f>
        <v>0</v>
      </c>
      <c r="CG105" s="105" t="str">
        <f t="shared" si="147"/>
        <v>-</v>
      </c>
      <c r="CH105" s="104">
        <f>CH106</f>
        <v>0</v>
      </c>
      <c r="CI105" s="104">
        <f>CI106</f>
        <v>0</v>
      </c>
      <c r="CJ105" s="107" t="str">
        <f t="shared" si="148"/>
        <v>-</v>
      </c>
      <c r="CK105" s="108" t="str">
        <f t="shared" si="149"/>
        <v>ok</v>
      </c>
      <c r="CL105" s="108"/>
      <c r="CM105" s="109"/>
    </row>
    <row r="106" spans="3:92" s="123" customFormat="1" ht="21" customHeight="1" x14ac:dyDescent="2.5">
      <c r="C106" s="96">
        <v>25</v>
      </c>
      <c r="D106" s="96" t="str">
        <f>IFERROR(INDEX([4]Account!$A:$A,MATCH(K106,[4]Account!$D:$D,0)),"")</f>
        <v/>
      </c>
      <c r="E106" s="96">
        <v>25</v>
      </c>
      <c r="F106" s="96">
        <v>137</v>
      </c>
      <c r="G106" s="96">
        <f>IFERROR(INDEX('[5]Sub Account'!$A:$A,MATCH(L106,'[5]Sub Account'!$D:$D,0)),"")</f>
        <v>518</v>
      </c>
      <c r="H106" s="96">
        <v>1</v>
      </c>
      <c r="I106" s="96">
        <v>2</v>
      </c>
      <c r="J106" s="232"/>
      <c r="K106" s="163"/>
      <c r="L106" s="164">
        <v>77981</v>
      </c>
      <c r="M106" s="165" t="s">
        <v>131</v>
      </c>
      <c r="N106" s="140">
        <f>Q106+CH106</f>
        <v>0</v>
      </c>
      <c r="O106" s="140">
        <f>R106+CI106</f>
        <v>35.799999999999997</v>
      </c>
      <c r="P106" s="141" t="str">
        <f t="shared" si="124"/>
        <v>-</v>
      </c>
      <c r="Q106" s="142">
        <f>T106+AO106</f>
        <v>0</v>
      </c>
      <c r="R106" s="142">
        <f>U106+AP106</f>
        <v>35.799999999999997</v>
      </c>
      <c r="S106" s="143" t="str">
        <f t="shared" si="125"/>
        <v>-</v>
      </c>
      <c r="T106" s="144">
        <f>W106+AI106+AL106</f>
        <v>0</v>
      </c>
      <c r="U106" s="144">
        <f>X106+AJ106+AM106</f>
        <v>35.799999999999997</v>
      </c>
      <c r="V106" s="145" t="str">
        <f t="shared" si="126"/>
        <v>-</v>
      </c>
      <c r="W106" s="144">
        <f>Z106+AC106+AF106</f>
        <v>0</v>
      </c>
      <c r="X106" s="144">
        <f>AA106+AD106+AG106</f>
        <v>0.8</v>
      </c>
      <c r="Y106" s="145" t="str">
        <f t="shared" si="127"/>
        <v>-</v>
      </c>
      <c r="Z106" s="144"/>
      <c r="AA106" s="144"/>
      <c r="AB106" s="145" t="str">
        <f t="shared" si="128"/>
        <v>-</v>
      </c>
      <c r="AC106" s="144"/>
      <c r="AD106" s="144">
        <v>0.8</v>
      </c>
      <c r="AE106" s="145" t="str">
        <f t="shared" si="129"/>
        <v>-</v>
      </c>
      <c r="AF106" s="144"/>
      <c r="AG106" s="144"/>
      <c r="AH106" s="145" t="str">
        <f t="shared" si="130"/>
        <v>-</v>
      </c>
      <c r="AI106" s="146"/>
      <c r="AJ106" s="144">
        <v>35</v>
      </c>
      <c r="AK106" s="145" t="str">
        <f t="shared" si="131"/>
        <v>-</v>
      </c>
      <c r="AL106" s="144"/>
      <c r="AM106" s="144"/>
      <c r="AN106" s="145" t="str">
        <f t="shared" si="132"/>
        <v>-</v>
      </c>
      <c r="AO106" s="144">
        <f>AR106+AU106+AX106+BA106+BG106+BJ106+BM106+BP106+BS106+BV106+BY106+CB106+CE106</f>
        <v>0</v>
      </c>
      <c r="AP106" s="144">
        <f>AS106+AV106+AY106+BB106+BH106+BK106+BN106+BQ106+BT106+BW106+BZ106+CC106+CF106</f>
        <v>0</v>
      </c>
      <c r="AQ106" s="145" t="str">
        <f t="shared" si="133"/>
        <v>-</v>
      </c>
      <c r="AR106" s="166"/>
      <c r="AS106" s="166"/>
      <c r="AT106" s="167" t="str">
        <f t="shared" si="134"/>
        <v>-</v>
      </c>
      <c r="AU106" s="166"/>
      <c r="AV106" s="166"/>
      <c r="AW106" s="167" t="str">
        <f t="shared" si="135"/>
        <v>-</v>
      </c>
      <c r="AX106" s="166"/>
      <c r="AY106" s="166"/>
      <c r="AZ106" s="167" t="str">
        <f t="shared" si="136"/>
        <v>-</v>
      </c>
      <c r="BA106" s="166"/>
      <c r="BB106" s="166"/>
      <c r="BC106" s="167" t="str">
        <f t="shared" si="137"/>
        <v>-</v>
      </c>
      <c r="BD106" s="166"/>
      <c r="BE106" s="166"/>
      <c r="BF106" s="167" t="str">
        <f t="shared" si="138"/>
        <v>-</v>
      </c>
      <c r="BG106" s="166"/>
      <c r="BH106" s="166"/>
      <c r="BI106" s="167" t="str">
        <f t="shared" si="139"/>
        <v>-</v>
      </c>
      <c r="BJ106" s="166"/>
      <c r="BK106" s="166"/>
      <c r="BL106" s="167" t="str">
        <f t="shared" si="140"/>
        <v>-</v>
      </c>
      <c r="BM106" s="166"/>
      <c r="BN106" s="166"/>
      <c r="BO106" s="167" t="str">
        <f t="shared" si="141"/>
        <v>-</v>
      </c>
      <c r="BP106" s="166"/>
      <c r="BQ106" s="166"/>
      <c r="BR106" s="167" t="str">
        <f t="shared" si="142"/>
        <v>-</v>
      </c>
      <c r="BS106" s="166"/>
      <c r="BT106" s="166"/>
      <c r="BU106" s="167" t="str">
        <f t="shared" si="143"/>
        <v>-</v>
      </c>
      <c r="BV106" s="166"/>
      <c r="BW106" s="166"/>
      <c r="BX106" s="167" t="str">
        <f t="shared" si="144"/>
        <v>-</v>
      </c>
      <c r="BY106" s="166"/>
      <c r="BZ106" s="166"/>
      <c r="CA106" s="167" t="str">
        <f t="shared" si="145"/>
        <v>-</v>
      </c>
      <c r="CB106" s="166"/>
      <c r="CC106" s="166"/>
      <c r="CD106" s="167" t="str">
        <f t="shared" si="146"/>
        <v>-</v>
      </c>
      <c r="CE106" s="166"/>
      <c r="CF106" s="166"/>
      <c r="CG106" s="167" t="str">
        <f t="shared" si="147"/>
        <v>-</v>
      </c>
      <c r="CH106" s="166"/>
      <c r="CI106" s="166"/>
      <c r="CJ106" s="168" t="str">
        <f t="shared" si="148"/>
        <v>-</v>
      </c>
      <c r="CK106" s="159" t="str">
        <f t="shared" si="149"/>
        <v>ok</v>
      </c>
      <c r="CL106" s="159"/>
      <c r="CM106" s="160"/>
    </row>
    <row r="107" spans="3:92" s="31" customFormat="1" ht="21" customHeight="1" x14ac:dyDescent="0.75">
      <c r="C107" s="96">
        <v>25</v>
      </c>
      <c r="D107" s="96" t="str">
        <f>IFERROR(INDEX([4]Account!$A:$A,MATCH(K107,[4]Account!$D:$D,0)),"")</f>
        <v/>
      </c>
      <c r="E107" s="96">
        <v>25</v>
      </c>
      <c r="F107" s="96">
        <v>137</v>
      </c>
      <c r="G107" s="96" t="str">
        <f>IFERROR(INDEX('[5]Sub Account'!$A:$A,MATCH(L107,'[5]Sub Account'!$D:$D,0)),"")</f>
        <v/>
      </c>
      <c r="H107" s="96">
        <v>1</v>
      </c>
      <c r="I107" s="96"/>
      <c r="J107" s="233" t="s">
        <v>132</v>
      </c>
      <c r="K107" s="169"/>
      <c r="L107" s="170"/>
      <c r="M107" s="171"/>
      <c r="N107" s="172">
        <f>N108+N124</f>
        <v>6544353</v>
      </c>
      <c r="O107" s="172">
        <f>O108+O124</f>
        <v>5406276.7999999998</v>
      </c>
      <c r="P107" s="173">
        <f t="shared" si="124"/>
        <v>0.82609798096160147</v>
      </c>
      <c r="Q107" s="174">
        <f>Q108+Q124</f>
        <v>6544353</v>
      </c>
      <c r="R107" s="174">
        <f>R108+R124</f>
        <v>5406276.7999999998</v>
      </c>
      <c r="S107" s="175">
        <f t="shared" si="125"/>
        <v>0.82609798096160147</v>
      </c>
      <c r="T107" s="176">
        <f>T108+T124</f>
        <v>6544353</v>
      </c>
      <c r="U107" s="176">
        <f>U108+U124</f>
        <v>5406276.7999999998</v>
      </c>
      <c r="V107" s="177">
        <f t="shared" si="126"/>
        <v>0.82609798096160147</v>
      </c>
      <c r="W107" s="176">
        <f>W108+W124</f>
        <v>6544353</v>
      </c>
      <c r="X107" s="176">
        <f>X108+X124</f>
        <v>5406276.7999999998</v>
      </c>
      <c r="Y107" s="177">
        <f t="shared" si="127"/>
        <v>0.82609798096160147</v>
      </c>
      <c r="Z107" s="176">
        <f>Z108+Z124</f>
        <v>0</v>
      </c>
      <c r="AA107" s="176">
        <f>AA108+AA124</f>
        <v>106</v>
      </c>
      <c r="AB107" s="177" t="str">
        <f t="shared" si="128"/>
        <v>-</v>
      </c>
      <c r="AC107" s="176">
        <f>AC108+AC124</f>
        <v>6544353</v>
      </c>
      <c r="AD107" s="176">
        <f>AD108+AD124</f>
        <v>5406170.7999999998</v>
      </c>
      <c r="AE107" s="177">
        <f t="shared" si="129"/>
        <v>0.82608178379130826</v>
      </c>
      <c r="AF107" s="176">
        <f>AF108+AF124</f>
        <v>0</v>
      </c>
      <c r="AG107" s="176">
        <f>AG108+AG124</f>
        <v>0</v>
      </c>
      <c r="AH107" s="177" t="str">
        <f t="shared" si="130"/>
        <v>-</v>
      </c>
      <c r="AI107" s="178">
        <f>AI108+AI124</f>
        <v>0</v>
      </c>
      <c r="AJ107" s="176">
        <f>AJ108+AJ124</f>
        <v>0</v>
      </c>
      <c r="AK107" s="177" t="str">
        <f t="shared" si="131"/>
        <v>-</v>
      </c>
      <c r="AL107" s="176">
        <f>AL108+AL124</f>
        <v>0</v>
      </c>
      <c r="AM107" s="176">
        <f>AM108+AM124</f>
        <v>0</v>
      </c>
      <c r="AN107" s="177" t="str">
        <f t="shared" si="132"/>
        <v>-</v>
      </c>
      <c r="AO107" s="176">
        <f>AO108+AO124</f>
        <v>0</v>
      </c>
      <c r="AP107" s="176">
        <f>AP108+AP124</f>
        <v>0</v>
      </c>
      <c r="AQ107" s="177" t="str">
        <f t="shared" si="133"/>
        <v>-</v>
      </c>
      <c r="AR107" s="176">
        <f>AR108+AR124</f>
        <v>0</v>
      </c>
      <c r="AS107" s="176">
        <f>AS108+AS124</f>
        <v>0</v>
      </c>
      <c r="AT107" s="177" t="str">
        <f t="shared" si="134"/>
        <v>-</v>
      </c>
      <c r="AU107" s="176">
        <f>AU108+AU124</f>
        <v>0</v>
      </c>
      <c r="AV107" s="176">
        <f>AV108+AV124</f>
        <v>0</v>
      </c>
      <c r="AW107" s="177" t="str">
        <f t="shared" si="135"/>
        <v>-</v>
      </c>
      <c r="AX107" s="176">
        <f>AX108+AX124</f>
        <v>0</v>
      </c>
      <c r="AY107" s="176">
        <f>AY108+AY124</f>
        <v>0</v>
      </c>
      <c r="AZ107" s="177" t="str">
        <f t="shared" si="136"/>
        <v>-</v>
      </c>
      <c r="BA107" s="176">
        <f>BA108+BA124</f>
        <v>0</v>
      </c>
      <c r="BB107" s="176">
        <f>BB108+BB124</f>
        <v>0</v>
      </c>
      <c r="BC107" s="177" t="str">
        <f t="shared" si="137"/>
        <v>-</v>
      </c>
      <c r="BD107" s="176">
        <f>BD108+BD124</f>
        <v>0</v>
      </c>
      <c r="BE107" s="176">
        <f>BE108+BE124</f>
        <v>0</v>
      </c>
      <c r="BF107" s="177" t="str">
        <f t="shared" si="138"/>
        <v>-</v>
      </c>
      <c r="BG107" s="176">
        <f>BG108+BG124</f>
        <v>0</v>
      </c>
      <c r="BH107" s="176">
        <f>BH108+BH124</f>
        <v>0</v>
      </c>
      <c r="BI107" s="177" t="str">
        <f t="shared" si="139"/>
        <v>-</v>
      </c>
      <c r="BJ107" s="176">
        <f>BJ108+BJ124</f>
        <v>0</v>
      </c>
      <c r="BK107" s="176">
        <f>BK108+BK124</f>
        <v>0</v>
      </c>
      <c r="BL107" s="177" t="str">
        <f t="shared" si="140"/>
        <v>-</v>
      </c>
      <c r="BM107" s="176">
        <f>BM108+BM124</f>
        <v>0</v>
      </c>
      <c r="BN107" s="176">
        <f>BN108+BN124</f>
        <v>0</v>
      </c>
      <c r="BO107" s="177" t="str">
        <f t="shared" si="141"/>
        <v>-</v>
      </c>
      <c r="BP107" s="176">
        <f>BP108+BP124</f>
        <v>0</v>
      </c>
      <c r="BQ107" s="176">
        <f>BQ108+BQ124</f>
        <v>0</v>
      </c>
      <c r="BR107" s="177" t="str">
        <f t="shared" si="142"/>
        <v>-</v>
      </c>
      <c r="BS107" s="176">
        <f>BS108+BS124</f>
        <v>0</v>
      </c>
      <c r="BT107" s="176">
        <f>BT108+BT124</f>
        <v>0</v>
      </c>
      <c r="BU107" s="177" t="str">
        <f t="shared" si="143"/>
        <v>-</v>
      </c>
      <c r="BV107" s="176">
        <f>BV108+BV124</f>
        <v>0</v>
      </c>
      <c r="BW107" s="176">
        <f>BW108+BW124</f>
        <v>0</v>
      </c>
      <c r="BX107" s="177" t="str">
        <f t="shared" si="144"/>
        <v>-</v>
      </c>
      <c r="BY107" s="176">
        <f>BY108+BY124</f>
        <v>0</v>
      </c>
      <c r="BZ107" s="176">
        <f>BZ108+BZ124</f>
        <v>0</v>
      </c>
      <c r="CA107" s="177" t="str">
        <f t="shared" si="145"/>
        <v>-</v>
      </c>
      <c r="CB107" s="176">
        <f>CB108+CB124</f>
        <v>0</v>
      </c>
      <c r="CC107" s="176">
        <f>CC108+CC124</f>
        <v>0</v>
      </c>
      <c r="CD107" s="177" t="str">
        <f t="shared" si="146"/>
        <v>-</v>
      </c>
      <c r="CE107" s="176">
        <f>CE108+CE124</f>
        <v>0</v>
      </c>
      <c r="CF107" s="176">
        <f>CF108+CF124</f>
        <v>0</v>
      </c>
      <c r="CG107" s="177" t="str">
        <f t="shared" si="147"/>
        <v>-</v>
      </c>
      <c r="CH107" s="176">
        <f>CH108+CH124</f>
        <v>0</v>
      </c>
      <c r="CI107" s="176">
        <f>CI108+CI124</f>
        <v>0</v>
      </c>
      <c r="CJ107" s="179" t="str">
        <f t="shared" si="148"/>
        <v>-</v>
      </c>
      <c r="CK107" s="30" t="str">
        <f t="shared" si="149"/>
        <v>ok</v>
      </c>
      <c r="CL107" s="30"/>
    </row>
    <row r="108" spans="3:92" s="31" customFormat="1" ht="21" customHeight="1" x14ac:dyDescent="0.75">
      <c r="C108" s="96">
        <v>25</v>
      </c>
      <c r="D108" s="96" t="str">
        <f>IFERROR(INDEX([4]Account!$A:$A,MATCH(K108,[4]Account!$D:$D,0)),"")</f>
        <v/>
      </c>
      <c r="E108" s="96">
        <v>25</v>
      </c>
      <c r="F108" s="96">
        <v>137</v>
      </c>
      <c r="G108" s="96" t="str">
        <f>IFERROR(INDEX('[5]Sub Account'!$A:$A,MATCH(L108,'[5]Sub Account'!$D:$D,0)),"")</f>
        <v/>
      </c>
      <c r="H108" s="96">
        <v>1</v>
      </c>
      <c r="I108" s="96"/>
      <c r="J108" s="223" t="s">
        <v>133</v>
      </c>
      <c r="K108" s="46"/>
      <c r="L108" s="47"/>
      <c r="M108" s="48"/>
      <c r="N108" s="49">
        <f>N109</f>
        <v>1078703</v>
      </c>
      <c r="O108" s="49">
        <f>O109</f>
        <v>1128320.7999999998</v>
      </c>
      <c r="P108" s="50">
        <f t="shared" si="124"/>
        <v>1.0459976471744306</v>
      </c>
      <c r="Q108" s="51">
        <f>Q109</f>
        <v>1078703</v>
      </c>
      <c r="R108" s="51">
        <f>R109</f>
        <v>1128320.7999999998</v>
      </c>
      <c r="S108" s="52">
        <f t="shared" si="125"/>
        <v>1.0459976471744306</v>
      </c>
      <c r="T108" s="53">
        <f>T109</f>
        <v>1078703</v>
      </c>
      <c r="U108" s="53">
        <f>U109</f>
        <v>1128320.7999999998</v>
      </c>
      <c r="V108" s="54">
        <f t="shared" si="126"/>
        <v>1.0459976471744306</v>
      </c>
      <c r="W108" s="53">
        <f>W109</f>
        <v>1078703</v>
      </c>
      <c r="X108" s="53">
        <f>X109</f>
        <v>1128320.7999999998</v>
      </c>
      <c r="Y108" s="54">
        <f t="shared" si="127"/>
        <v>1.0459976471744306</v>
      </c>
      <c r="Z108" s="53">
        <f>Z109</f>
        <v>0</v>
      </c>
      <c r="AA108" s="53">
        <f>AA109</f>
        <v>0</v>
      </c>
      <c r="AB108" s="54" t="str">
        <f t="shared" si="128"/>
        <v>-</v>
      </c>
      <c r="AC108" s="53">
        <f>AC109</f>
        <v>1078703</v>
      </c>
      <c r="AD108" s="53">
        <f>AD109</f>
        <v>1128320.7999999998</v>
      </c>
      <c r="AE108" s="54">
        <f t="shared" si="129"/>
        <v>1.0459976471744306</v>
      </c>
      <c r="AF108" s="53">
        <f>AF109</f>
        <v>0</v>
      </c>
      <c r="AG108" s="53">
        <f>AG109</f>
        <v>0</v>
      </c>
      <c r="AH108" s="54" t="str">
        <f t="shared" si="130"/>
        <v>-</v>
      </c>
      <c r="AI108" s="55">
        <f>AI109</f>
        <v>0</v>
      </c>
      <c r="AJ108" s="53">
        <f>AJ109</f>
        <v>0</v>
      </c>
      <c r="AK108" s="54" t="str">
        <f t="shared" si="131"/>
        <v>-</v>
      </c>
      <c r="AL108" s="53">
        <f>AL109</f>
        <v>0</v>
      </c>
      <c r="AM108" s="53">
        <f>AM109</f>
        <v>0</v>
      </c>
      <c r="AN108" s="54" t="str">
        <f t="shared" si="132"/>
        <v>-</v>
      </c>
      <c r="AO108" s="53">
        <f>AO109</f>
        <v>0</v>
      </c>
      <c r="AP108" s="53">
        <f>AP109</f>
        <v>0</v>
      </c>
      <c r="AQ108" s="54" t="str">
        <f t="shared" si="133"/>
        <v>-</v>
      </c>
      <c r="AR108" s="53">
        <f>AR109</f>
        <v>0</v>
      </c>
      <c r="AS108" s="53">
        <f>AS109</f>
        <v>0</v>
      </c>
      <c r="AT108" s="54" t="str">
        <f t="shared" si="134"/>
        <v>-</v>
      </c>
      <c r="AU108" s="53">
        <f>AU109</f>
        <v>0</v>
      </c>
      <c r="AV108" s="53">
        <f>AV109</f>
        <v>0</v>
      </c>
      <c r="AW108" s="54" t="str">
        <f t="shared" si="135"/>
        <v>-</v>
      </c>
      <c r="AX108" s="53">
        <f>AX109</f>
        <v>0</v>
      </c>
      <c r="AY108" s="53">
        <f>AY109</f>
        <v>0</v>
      </c>
      <c r="AZ108" s="54" t="str">
        <f t="shared" si="136"/>
        <v>-</v>
      </c>
      <c r="BA108" s="53">
        <f>BA109</f>
        <v>0</v>
      </c>
      <c r="BB108" s="53">
        <f>BB109</f>
        <v>0</v>
      </c>
      <c r="BC108" s="54" t="str">
        <f t="shared" si="137"/>
        <v>-</v>
      </c>
      <c r="BD108" s="53">
        <f>BD109</f>
        <v>0</v>
      </c>
      <c r="BE108" s="53">
        <f>BE109</f>
        <v>0</v>
      </c>
      <c r="BF108" s="54" t="str">
        <f t="shared" si="138"/>
        <v>-</v>
      </c>
      <c r="BG108" s="53">
        <f>BG109</f>
        <v>0</v>
      </c>
      <c r="BH108" s="53">
        <f>BH109</f>
        <v>0</v>
      </c>
      <c r="BI108" s="54" t="str">
        <f t="shared" si="139"/>
        <v>-</v>
      </c>
      <c r="BJ108" s="53">
        <f>BJ109</f>
        <v>0</v>
      </c>
      <c r="BK108" s="53">
        <f>BK109</f>
        <v>0</v>
      </c>
      <c r="BL108" s="54" t="str">
        <f t="shared" si="140"/>
        <v>-</v>
      </c>
      <c r="BM108" s="53">
        <f>BM109</f>
        <v>0</v>
      </c>
      <c r="BN108" s="53">
        <f>BN109</f>
        <v>0</v>
      </c>
      <c r="BO108" s="54" t="str">
        <f t="shared" si="141"/>
        <v>-</v>
      </c>
      <c r="BP108" s="53">
        <f>BP109</f>
        <v>0</v>
      </c>
      <c r="BQ108" s="53">
        <f>BQ109</f>
        <v>0</v>
      </c>
      <c r="BR108" s="54" t="str">
        <f t="shared" si="142"/>
        <v>-</v>
      </c>
      <c r="BS108" s="53">
        <f>BS109</f>
        <v>0</v>
      </c>
      <c r="BT108" s="53">
        <f>BT109</f>
        <v>0</v>
      </c>
      <c r="BU108" s="54" t="str">
        <f t="shared" si="143"/>
        <v>-</v>
      </c>
      <c r="BV108" s="53">
        <f>BV109</f>
        <v>0</v>
      </c>
      <c r="BW108" s="53">
        <f>BW109</f>
        <v>0</v>
      </c>
      <c r="BX108" s="54" t="str">
        <f t="shared" si="144"/>
        <v>-</v>
      </c>
      <c r="BY108" s="53">
        <f>BY109</f>
        <v>0</v>
      </c>
      <c r="BZ108" s="53">
        <f>BZ109</f>
        <v>0</v>
      </c>
      <c r="CA108" s="54" t="str">
        <f t="shared" si="145"/>
        <v>-</v>
      </c>
      <c r="CB108" s="53">
        <f>CB109</f>
        <v>0</v>
      </c>
      <c r="CC108" s="53">
        <f>CC109</f>
        <v>0</v>
      </c>
      <c r="CD108" s="54" t="str">
        <f t="shared" si="146"/>
        <v>-</v>
      </c>
      <c r="CE108" s="53">
        <f>CE109</f>
        <v>0</v>
      </c>
      <c r="CF108" s="53">
        <f>CF109</f>
        <v>0</v>
      </c>
      <c r="CG108" s="54" t="str">
        <f t="shared" si="147"/>
        <v>-</v>
      </c>
      <c r="CH108" s="53">
        <f>CH109</f>
        <v>0</v>
      </c>
      <c r="CI108" s="53">
        <f>CI109</f>
        <v>0</v>
      </c>
      <c r="CJ108" s="56" t="str">
        <f t="shared" si="148"/>
        <v>-</v>
      </c>
      <c r="CK108" s="30" t="str">
        <f t="shared" si="149"/>
        <v>ok</v>
      </c>
      <c r="CL108" s="30"/>
    </row>
    <row r="109" spans="3:92" s="69" customFormat="1" ht="21" customHeight="1" x14ac:dyDescent="0.75">
      <c r="C109" s="96">
        <v>25</v>
      </c>
      <c r="D109" s="96" t="str">
        <f>IFERROR(INDEX([4]Account!$A:$A,MATCH(K109,[4]Account!$D:$D,0)),"")</f>
        <v/>
      </c>
      <c r="E109" s="96">
        <v>25</v>
      </c>
      <c r="F109" s="96">
        <v>137</v>
      </c>
      <c r="G109" s="96" t="str">
        <f>IFERROR(INDEX('[5]Sub Account'!$A:$A,MATCH(L109,'[5]Sub Account'!$D:$D,0)),"")</f>
        <v/>
      </c>
      <c r="H109" s="96">
        <v>1</v>
      </c>
      <c r="I109" s="96"/>
      <c r="J109" s="224" t="s">
        <v>43</v>
      </c>
      <c r="K109" s="57"/>
      <c r="L109" s="58"/>
      <c r="M109" s="59"/>
      <c r="N109" s="60">
        <f>N110+N115</f>
        <v>1078703</v>
      </c>
      <c r="O109" s="60">
        <f>O110+O115</f>
        <v>1128320.7999999998</v>
      </c>
      <c r="P109" s="61">
        <f t="shared" si="124"/>
        <v>1.0459976471744306</v>
      </c>
      <c r="Q109" s="62">
        <f>Q110+Q115</f>
        <v>1078703</v>
      </c>
      <c r="R109" s="62">
        <f>R110+R115</f>
        <v>1128320.7999999998</v>
      </c>
      <c r="S109" s="63">
        <f t="shared" si="125"/>
        <v>1.0459976471744306</v>
      </c>
      <c r="T109" s="64">
        <f>T110+T115</f>
        <v>1078703</v>
      </c>
      <c r="U109" s="64">
        <f>U110+U115</f>
        <v>1128320.7999999998</v>
      </c>
      <c r="V109" s="65">
        <f t="shared" si="126"/>
        <v>1.0459976471744306</v>
      </c>
      <c r="W109" s="64">
        <f>W110+W115</f>
        <v>1078703</v>
      </c>
      <c r="X109" s="64">
        <f>X110+X115</f>
        <v>1128320.7999999998</v>
      </c>
      <c r="Y109" s="65">
        <f t="shared" si="127"/>
        <v>1.0459976471744306</v>
      </c>
      <c r="Z109" s="64">
        <f>Z110+Z115</f>
        <v>0</v>
      </c>
      <c r="AA109" s="64">
        <f>AA110+AA115</f>
        <v>0</v>
      </c>
      <c r="AB109" s="65" t="str">
        <f t="shared" si="128"/>
        <v>-</v>
      </c>
      <c r="AC109" s="64">
        <f>AC110+AC115</f>
        <v>1078703</v>
      </c>
      <c r="AD109" s="64">
        <f>AD110+AD115</f>
        <v>1128320.7999999998</v>
      </c>
      <c r="AE109" s="65">
        <f t="shared" si="129"/>
        <v>1.0459976471744306</v>
      </c>
      <c r="AF109" s="64">
        <f>AF110+AF115</f>
        <v>0</v>
      </c>
      <c r="AG109" s="64">
        <f>AG110+AG115</f>
        <v>0</v>
      </c>
      <c r="AH109" s="65" t="str">
        <f t="shared" si="130"/>
        <v>-</v>
      </c>
      <c r="AI109" s="66">
        <f>AI110+AI115</f>
        <v>0</v>
      </c>
      <c r="AJ109" s="64">
        <f>AJ110+AJ115</f>
        <v>0</v>
      </c>
      <c r="AK109" s="65" t="str">
        <f t="shared" si="131"/>
        <v>-</v>
      </c>
      <c r="AL109" s="64">
        <f>AL110+AL115</f>
        <v>0</v>
      </c>
      <c r="AM109" s="64">
        <f>AM110+AM115</f>
        <v>0</v>
      </c>
      <c r="AN109" s="65" t="str">
        <f t="shared" si="132"/>
        <v>-</v>
      </c>
      <c r="AO109" s="64">
        <f>AO110+AO115</f>
        <v>0</v>
      </c>
      <c r="AP109" s="64">
        <f>AP110+AP115</f>
        <v>0</v>
      </c>
      <c r="AQ109" s="65" t="str">
        <f t="shared" si="133"/>
        <v>-</v>
      </c>
      <c r="AR109" s="64">
        <f>AR110+AR115</f>
        <v>0</v>
      </c>
      <c r="AS109" s="64">
        <f>AS110+AS115</f>
        <v>0</v>
      </c>
      <c r="AT109" s="65" t="str">
        <f t="shared" si="134"/>
        <v>-</v>
      </c>
      <c r="AU109" s="64">
        <f>AU110+AU115</f>
        <v>0</v>
      </c>
      <c r="AV109" s="64">
        <f>AV110+AV115</f>
        <v>0</v>
      </c>
      <c r="AW109" s="65" t="str">
        <f t="shared" si="135"/>
        <v>-</v>
      </c>
      <c r="AX109" s="64">
        <f>AX110+AX115</f>
        <v>0</v>
      </c>
      <c r="AY109" s="64">
        <f>AY110+AY115</f>
        <v>0</v>
      </c>
      <c r="AZ109" s="65" t="str">
        <f t="shared" si="136"/>
        <v>-</v>
      </c>
      <c r="BA109" s="64">
        <f>BA110+BA115</f>
        <v>0</v>
      </c>
      <c r="BB109" s="64">
        <f>BB110+BB115</f>
        <v>0</v>
      </c>
      <c r="BC109" s="65" t="str">
        <f t="shared" si="137"/>
        <v>-</v>
      </c>
      <c r="BD109" s="64">
        <f>BD110+BD115</f>
        <v>0</v>
      </c>
      <c r="BE109" s="64">
        <f>BE110+BE115</f>
        <v>0</v>
      </c>
      <c r="BF109" s="65" t="str">
        <f t="shared" si="138"/>
        <v>-</v>
      </c>
      <c r="BG109" s="64">
        <f>BG110+BG115</f>
        <v>0</v>
      </c>
      <c r="BH109" s="64">
        <f>BH110+BH115</f>
        <v>0</v>
      </c>
      <c r="BI109" s="65" t="str">
        <f t="shared" si="139"/>
        <v>-</v>
      </c>
      <c r="BJ109" s="64">
        <f>BJ110+BJ115</f>
        <v>0</v>
      </c>
      <c r="BK109" s="64">
        <f>BK110+BK115</f>
        <v>0</v>
      </c>
      <c r="BL109" s="65" t="str">
        <f t="shared" si="140"/>
        <v>-</v>
      </c>
      <c r="BM109" s="64">
        <f>BM110+BM115</f>
        <v>0</v>
      </c>
      <c r="BN109" s="64">
        <f>BN110+BN115</f>
        <v>0</v>
      </c>
      <c r="BO109" s="65" t="str">
        <f t="shared" si="141"/>
        <v>-</v>
      </c>
      <c r="BP109" s="64">
        <f>BP110+BP115</f>
        <v>0</v>
      </c>
      <c r="BQ109" s="64">
        <f>BQ110+BQ115</f>
        <v>0</v>
      </c>
      <c r="BR109" s="65" t="str">
        <f t="shared" si="142"/>
        <v>-</v>
      </c>
      <c r="BS109" s="64">
        <f>BS110+BS115</f>
        <v>0</v>
      </c>
      <c r="BT109" s="64">
        <f>BT110+BT115</f>
        <v>0</v>
      </c>
      <c r="BU109" s="65" t="str">
        <f t="shared" si="143"/>
        <v>-</v>
      </c>
      <c r="BV109" s="64">
        <f>BV110+BV115</f>
        <v>0</v>
      </c>
      <c r="BW109" s="64">
        <f>BW110+BW115</f>
        <v>0</v>
      </c>
      <c r="BX109" s="65" t="str">
        <f t="shared" si="144"/>
        <v>-</v>
      </c>
      <c r="BY109" s="64">
        <f>BY110+BY115</f>
        <v>0</v>
      </c>
      <c r="BZ109" s="64">
        <f>BZ110+BZ115</f>
        <v>0</v>
      </c>
      <c r="CA109" s="65" t="str">
        <f t="shared" si="145"/>
        <v>-</v>
      </c>
      <c r="CB109" s="64">
        <f>CB110+CB115</f>
        <v>0</v>
      </c>
      <c r="CC109" s="64">
        <f>CC110+CC115</f>
        <v>0</v>
      </c>
      <c r="CD109" s="65" t="str">
        <f t="shared" si="146"/>
        <v>-</v>
      </c>
      <c r="CE109" s="64">
        <f>CE110+CE115</f>
        <v>0</v>
      </c>
      <c r="CF109" s="64">
        <f>CF110+CF115</f>
        <v>0</v>
      </c>
      <c r="CG109" s="65" t="str">
        <f t="shared" si="147"/>
        <v>-</v>
      </c>
      <c r="CH109" s="64">
        <f>CH110+CH115</f>
        <v>0</v>
      </c>
      <c r="CI109" s="64">
        <f>CI110+CI115</f>
        <v>0</v>
      </c>
      <c r="CJ109" s="67" t="str">
        <f t="shared" si="148"/>
        <v>-</v>
      </c>
      <c r="CK109" s="68" t="str">
        <f t="shared" si="149"/>
        <v>ok</v>
      </c>
      <c r="CL109" s="68"/>
    </row>
    <row r="110" spans="3:92" s="82" customFormat="1" ht="21" customHeight="1" x14ac:dyDescent="0.75">
      <c r="C110" s="96">
        <v>25</v>
      </c>
      <c r="D110" s="96" t="str">
        <f>IFERROR(INDEX([4]Account!$A:$A,MATCH(K110,[4]Account!$D:$D,0)),"")</f>
        <v/>
      </c>
      <c r="E110" s="96">
        <v>25</v>
      </c>
      <c r="F110" s="96">
        <v>137</v>
      </c>
      <c r="G110" s="96" t="str">
        <f>IFERROR(INDEX('[5]Sub Account'!$A:$A,MATCH(L110,'[5]Sub Account'!$D:$D,0)),"")</f>
        <v/>
      </c>
      <c r="H110" s="96">
        <v>1</v>
      </c>
      <c r="I110" s="96"/>
      <c r="J110" s="225" t="s">
        <v>134</v>
      </c>
      <c r="K110" s="70"/>
      <c r="L110" s="71"/>
      <c r="M110" s="72"/>
      <c r="N110" s="73">
        <f t="shared" ref="N110:O111" si="214">N111</f>
        <v>221203</v>
      </c>
      <c r="O110" s="73">
        <f t="shared" si="214"/>
        <v>56881.9</v>
      </c>
      <c r="P110" s="74">
        <f t="shared" si="124"/>
        <v>0.25714795911447857</v>
      </c>
      <c r="Q110" s="75">
        <f t="shared" ref="Q110:R111" si="215">Q111</f>
        <v>221203</v>
      </c>
      <c r="R110" s="75">
        <f t="shared" si="215"/>
        <v>56881.9</v>
      </c>
      <c r="S110" s="76">
        <f t="shared" si="125"/>
        <v>0.25714795911447857</v>
      </c>
      <c r="T110" s="77">
        <f t="shared" ref="T110:U111" si="216">T111</f>
        <v>221203</v>
      </c>
      <c r="U110" s="77">
        <f t="shared" si="216"/>
        <v>56881.9</v>
      </c>
      <c r="V110" s="78">
        <f t="shared" si="126"/>
        <v>0.25714795911447857</v>
      </c>
      <c r="W110" s="77">
        <f t="shared" ref="W110:X111" si="217">W111</f>
        <v>221203</v>
      </c>
      <c r="X110" s="77">
        <f t="shared" si="217"/>
        <v>56881.9</v>
      </c>
      <c r="Y110" s="78">
        <f t="shared" si="127"/>
        <v>0.25714795911447857</v>
      </c>
      <c r="Z110" s="77">
        <f t="shared" ref="Z110:AM111" si="218">Z111</f>
        <v>0</v>
      </c>
      <c r="AA110" s="77">
        <f t="shared" si="218"/>
        <v>0</v>
      </c>
      <c r="AB110" s="78" t="str">
        <f t="shared" si="128"/>
        <v>-</v>
      </c>
      <c r="AC110" s="77">
        <f t="shared" si="218"/>
        <v>221203</v>
      </c>
      <c r="AD110" s="77">
        <f t="shared" si="218"/>
        <v>56881.9</v>
      </c>
      <c r="AE110" s="78">
        <f t="shared" si="129"/>
        <v>0.25714795911447857</v>
      </c>
      <c r="AF110" s="77">
        <f t="shared" si="218"/>
        <v>0</v>
      </c>
      <c r="AG110" s="77">
        <f t="shared" si="218"/>
        <v>0</v>
      </c>
      <c r="AH110" s="78" t="str">
        <f t="shared" si="130"/>
        <v>-</v>
      </c>
      <c r="AI110" s="79">
        <f t="shared" si="218"/>
        <v>0</v>
      </c>
      <c r="AJ110" s="77">
        <f t="shared" si="218"/>
        <v>0</v>
      </c>
      <c r="AK110" s="78" t="str">
        <f t="shared" si="131"/>
        <v>-</v>
      </c>
      <c r="AL110" s="77">
        <f t="shared" si="218"/>
        <v>0</v>
      </c>
      <c r="AM110" s="77">
        <f t="shared" si="218"/>
        <v>0</v>
      </c>
      <c r="AN110" s="78" t="str">
        <f t="shared" si="132"/>
        <v>-</v>
      </c>
      <c r="AO110" s="77">
        <f t="shared" ref="AO110:AP111" si="219">AO111</f>
        <v>0</v>
      </c>
      <c r="AP110" s="77">
        <f t="shared" si="219"/>
        <v>0</v>
      </c>
      <c r="AQ110" s="78" t="str">
        <f t="shared" si="133"/>
        <v>-</v>
      </c>
      <c r="AR110" s="77">
        <f t="shared" ref="AR110:AS111" si="220">AR111</f>
        <v>0</v>
      </c>
      <c r="AS110" s="77">
        <f t="shared" si="220"/>
        <v>0</v>
      </c>
      <c r="AT110" s="78" t="str">
        <f t="shared" si="134"/>
        <v>-</v>
      </c>
      <c r="AU110" s="77">
        <f t="shared" ref="AU110:AV111" si="221">AU111</f>
        <v>0</v>
      </c>
      <c r="AV110" s="77">
        <f t="shared" si="221"/>
        <v>0</v>
      </c>
      <c r="AW110" s="78" t="str">
        <f t="shared" si="135"/>
        <v>-</v>
      </c>
      <c r="AX110" s="77">
        <f t="shared" ref="AX110:AY111" si="222">AX111</f>
        <v>0</v>
      </c>
      <c r="AY110" s="77">
        <f t="shared" si="222"/>
        <v>0</v>
      </c>
      <c r="AZ110" s="78" t="str">
        <f t="shared" si="136"/>
        <v>-</v>
      </c>
      <c r="BA110" s="77">
        <f t="shared" ref="BA110:BB111" si="223">BA111</f>
        <v>0</v>
      </c>
      <c r="BB110" s="77">
        <f t="shared" si="223"/>
        <v>0</v>
      </c>
      <c r="BC110" s="78" t="str">
        <f t="shared" si="137"/>
        <v>-</v>
      </c>
      <c r="BD110" s="77">
        <f t="shared" ref="BD110:BE111" si="224">BD111</f>
        <v>0</v>
      </c>
      <c r="BE110" s="77">
        <f t="shared" si="224"/>
        <v>0</v>
      </c>
      <c r="BF110" s="78" t="str">
        <f t="shared" si="138"/>
        <v>-</v>
      </c>
      <c r="BG110" s="77">
        <f t="shared" ref="BG110:BH111" si="225">BG111</f>
        <v>0</v>
      </c>
      <c r="BH110" s="77">
        <f t="shared" si="225"/>
        <v>0</v>
      </c>
      <c r="BI110" s="78" t="str">
        <f t="shared" si="139"/>
        <v>-</v>
      </c>
      <c r="BJ110" s="77">
        <f t="shared" ref="BJ110:BK111" si="226">BJ111</f>
        <v>0</v>
      </c>
      <c r="BK110" s="77">
        <f t="shared" si="226"/>
        <v>0</v>
      </c>
      <c r="BL110" s="78" t="str">
        <f t="shared" si="140"/>
        <v>-</v>
      </c>
      <c r="BM110" s="77">
        <f t="shared" ref="BM110:BN111" si="227">BM111</f>
        <v>0</v>
      </c>
      <c r="BN110" s="77">
        <f t="shared" si="227"/>
        <v>0</v>
      </c>
      <c r="BO110" s="78" t="str">
        <f t="shared" si="141"/>
        <v>-</v>
      </c>
      <c r="BP110" s="77">
        <f t="shared" ref="BP110:BQ111" si="228">BP111</f>
        <v>0</v>
      </c>
      <c r="BQ110" s="77">
        <f t="shared" si="228"/>
        <v>0</v>
      </c>
      <c r="BR110" s="78" t="str">
        <f t="shared" si="142"/>
        <v>-</v>
      </c>
      <c r="BS110" s="77">
        <f t="shared" ref="BS110:BT111" si="229">BS111</f>
        <v>0</v>
      </c>
      <c r="BT110" s="77">
        <f t="shared" si="229"/>
        <v>0</v>
      </c>
      <c r="BU110" s="78" t="str">
        <f t="shared" si="143"/>
        <v>-</v>
      </c>
      <c r="BV110" s="77">
        <f t="shared" ref="BV110:BW111" si="230">BV111</f>
        <v>0</v>
      </c>
      <c r="BW110" s="77">
        <f t="shared" si="230"/>
        <v>0</v>
      </c>
      <c r="BX110" s="78" t="str">
        <f t="shared" si="144"/>
        <v>-</v>
      </c>
      <c r="BY110" s="77">
        <f t="shared" ref="BY110:BZ111" si="231">BY111</f>
        <v>0</v>
      </c>
      <c r="BZ110" s="77">
        <f t="shared" si="231"/>
        <v>0</v>
      </c>
      <c r="CA110" s="78" t="str">
        <f t="shared" si="145"/>
        <v>-</v>
      </c>
      <c r="CB110" s="77">
        <f t="shared" ref="CB110:CC111" si="232">CB111</f>
        <v>0</v>
      </c>
      <c r="CC110" s="77">
        <f t="shared" si="232"/>
        <v>0</v>
      </c>
      <c r="CD110" s="78" t="str">
        <f t="shared" si="146"/>
        <v>-</v>
      </c>
      <c r="CE110" s="77">
        <f t="shared" ref="CE110:CF111" si="233">CE111</f>
        <v>0</v>
      </c>
      <c r="CF110" s="77">
        <f t="shared" si="233"/>
        <v>0</v>
      </c>
      <c r="CG110" s="78" t="str">
        <f t="shared" si="147"/>
        <v>-</v>
      </c>
      <c r="CH110" s="77">
        <f t="shared" ref="CH110:CI111" si="234">CH111</f>
        <v>0</v>
      </c>
      <c r="CI110" s="77">
        <f t="shared" si="234"/>
        <v>0</v>
      </c>
      <c r="CJ110" s="80" t="str">
        <f t="shared" si="148"/>
        <v>-</v>
      </c>
      <c r="CK110" s="81" t="str">
        <f t="shared" si="149"/>
        <v>ok</v>
      </c>
      <c r="CL110" s="81"/>
    </row>
    <row r="111" spans="3:92" s="123" customFormat="1" ht="21" customHeight="1" x14ac:dyDescent="0.75">
      <c r="C111" s="96">
        <v>6</v>
      </c>
      <c r="D111" s="96" t="str">
        <f>IFERROR(INDEX([4]Account!$A:$A,MATCH(K111,[4]Account!$D:$D,0)),"")</f>
        <v/>
      </c>
      <c r="E111" s="96">
        <f>IFERROR(INDEX('[3]Account Group'!$A:$A,MATCH(J111,'[3]Account Group'!$B:$B,0)),"-")</f>
        <v>6</v>
      </c>
      <c r="F111" s="96">
        <v>137</v>
      </c>
      <c r="G111" s="96" t="str">
        <f>IFERROR(INDEX('[5]Sub Account'!$A:$A,MATCH(L111,'[5]Sub Account'!$D:$D,0)),"")</f>
        <v/>
      </c>
      <c r="H111" s="96">
        <v>1</v>
      </c>
      <c r="I111" s="96">
        <v>4</v>
      </c>
      <c r="J111" s="226">
        <v>27</v>
      </c>
      <c r="K111" s="83"/>
      <c r="L111" s="84"/>
      <c r="M111" s="85" t="s">
        <v>135</v>
      </c>
      <c r="N111" s="86">
        <f t="shared" si="214"/>
        <v>221203</v>
      </c>
      <c r="O111" s="86">
        <f t="shared" si="214"/>
        <v>56881.9</v>
      </c>
      <c r="P111" s="87">
        <f t="shared" si="124"/>
        <v>0.25714795911447857</v>
      </c>
      <c r="Q111" s="88">
        <f t="shared" si="215"/>
        <v>221203</v>
      </c>
      <c r="R111" s="88">
        <f t="shared" si="215"/>
        <v>56881.9</v>
      </c>
      <c r="S111" s="89">
        <f t="shared" si="125"/>
        <v>0.25714795911447857</v>
      </c>
      <c r="T111" s="90">
        <f t="shared" si="216"/>
        <v>221203</v>
      </c>
      <c r="U111" s="90">
        <f t="shared" si="216"/>
        <v>56881.9</v>
      </c>
      <c r="V111" s="91">
        <f t="shared" si="126"/>
        <v>0.25714795911447857</v>
      </c>
      <c r="W111" s="90">
        <f t="shared" si="217"/>
        <v>221203</v>
      </c>
      <c r="X111" s="90">
        <f t="shared" si="217"/>
        <v>56881.9</v>
      </c>
      <c r="Y111" s="91">
        <f t="shared" si="127"/>
        <v>0.25714795911447857</v>
      </c>
      <c r="Z111" s="90">
        <f t="shared" si="218"/>
        <v>0</v>
      </c>
      <c r="AA111" s="90">
        <f t="shared" si="218"/>
        <v>0</v>
      </c>
      <c r="AB111" s="91" t="str">
        <f t="shared" si="128"/>
        <v>-</v>
      </c>
      <c r="AC111" s="90">
        <f t="shared" si="218"/>
        <v>221203</v>
      </c>
      <c r="AD111" s="90">
        <f t="shared" si="218"/>
        <v>56881.9</v>
      </c>
      <c r="AE111" s="91">
        <f t="shared" si="129"/>
        <v>0.25714795911447857</v>
      </c>
      <c r="AF111" s="90">
        <f t="shared" si="218"/>
        <v>0</v>
      </c>
      <c r="AG111" s="90">
        <f t="shared" si="218"/>
        <v>0</v>
      </c>
      <c r="AH111" s="91" t="str">
        <f t="shared" si="130"/>
        <v>-</v>
      </c>
      <c r="AI111" s="92">
        <f t="shared" si="218"/>
        <v>0</v>
      </c>
      <c r="AJ111" s="90">
        <f t="shared" si="218"/>
        <v>0</v>
      </c>
      <c r="AK111" s="91" t="str">
        <f t="shared" si="131"/>
        <v>-</v>
      </c>
      <c r="AL111" s="90">
        <f t="shared" si="218"/>
        <v>0</v>
      </c>
      <c r="AM111" s="90">
        <f t="shared" si="218"/>
        <v>0</v>
      </c>
      <c r="AN111" s="91" t="str">
        <f t="shared" si="132"/>
        <v>-</v>
      </c>
      <c r="AO111" s="90">
        <f t="shared" si="219"/>
        <v>0</v>
      </c>
      <c r="AP111" s="90">
        <f t="shared" si="219"/>
        <v>0</v>
      </c>
      <c r="AQ111" s="91" t="str">
        <f t="shared" si="133"/>
        <v>-</v>
      </c>
      <c r="AR111" s="90">
        <f t="shared" si="220"/>
        <v>0</v>
      </c>
      <c r="AS111" s="90">
        <f t="shared" si="220"/>
        <v>0</v>
      </c>
      <c r="AT111" s="91" t="str">
        <f t="shared" si="134"/>
        <v>-</v>
      </c>
      <c r="AU111" s="90">
        <f t="shared" si="221"/>
        <v>0</v>
      </c>
      <c r="AV111" s="90">
        <f t="shared" si="221"/>
        <v>0</v>
      </c>
      <c r="AW111" s="91" t="str">
        <f t="shared" si="135"/>
        <v>-</v>
      </c>
      <c r="AX111" s="90">
        <f t="shared" si="222"/>
        <v>0</v>
      </c>
      <c r="AY111" s="90">
        <f t="shared" si="222"/>
        <v>0</v>
      </c>
      <c r="AZ111" s="91" t="str">
        <f t="shared" si="136"/>
        <v>-</v>
      </c>
      <c r="BA111" s="90">
        <f t="shared" si="223"/>
        <v>0</v>
      </c>
      <c r="BB111" s="90">
        <f t="shared" si="223"/>
        <v>0</v>
      </c>
      <c r="BC111" s="91" t="str">
        <f t="shared" si="137"/>
        <v>-</v>
      </c>
      <c r="BD111" s="90">
        <f t="shared" si="224"/>
        <v>0</v>
      </c>
      <c r="BE111" s="90">
        <f t="shared" si="224"/>
        <v>0</v>
      </c>
      <c r="BF111" s="91" t="str">
        <f t="shared" si="138"/>
        <v>-</v>
      </c>
      <c r="BG111" s="90">
        <f t="shared" si="225"/>
        <v>0</v>
      </c>
      <c r="BH111" s="90">
        <f t="shared" si="225"/>
        <v>0</v>
      </c>
      <c r="BI111" s="91" t="str">
        <f t="shared" si="139"/>
        <v>-</v>
      </c>
      <c r="BJ111" s="90">
        <f t="shared" si="226"/>
        <v>0</v>
      </c>
      <c r="BK111" s="90">
        <f t="shared" si="226"/>
        <v>0</v>
      </c>
      <c r="BL111" s="91" t="str">
        <f t="shared" si="140"/>
        <v>-</v>
      </c>
      <c r="BM111" s="90">
        <f t="shared" si="227"/>
        <v>0</v>
      </c>
      <c r="BN111" s="90">
        <f t="shared" si="227"/>
        <v>0</v>
      </c>
      <c r="BO111" s="91" t="str">
        <f t="shared" si="141"/>
        <v>-</v>
      </c>
      <c r="BP111" s="90">
        <f t="shared" si="228"/>
        <v>0</v>
      </c>
      <c r="BQ111" s="90">
        <f t="shared" si="228"/>
        <v>0</v>
      </c>
      <c r="BR111" s="91" t="str">
        <f t="shared" si="142"/>
        <v>-</v>
      </c>
      <c r="BS111" s="90">
        <f t="shared" si="229"/>
        <v>0</v>
      </c>
      <c r="BT111" s="90">
        <f t="shared" si="229"/>
        <v>0</v>
      </c>
      <c r="BU111" s="91" t="str">
        <f t="shared" si="143"/>
        <v>-</v>
      </c>
      <c r="BV111" s="90">
        <f t="shared" si="230"/>
        <v>0</v>
      </c>
      <c r="BW111" s="90">
        <f t="shared" si="230"/>
        <v>0</v>
      </c>
      <c r="BX111" s="91" t="str">
        <f t="shared" si="144"/>
        <v>-</v>
      </c>
      <c r="BY111" s="90">
        <f t="shared" si="231"/>
        <v>0</v>
      </c>
      <c r="BZ111" s="90">
        <f t="shared" si="231"/>
        <v>0</v>
      </c>
      <c r="CA111" s="91" t="str">
        <f t="shared" si="145"/>
        <v>-</v>
      </c>
      <c r="CB111" s="90">
        <f t="shared" si="232"/>
        <v>0</v>
      </c>
      <c r="CC111" s="90">
        <f t="shared" si="232"/>
        <v>0</v>
      </c>
      <c r="CD111" s="91" t="str">
        <f t="shared" si="146"/>
        <v>-</v>
      </c>
      <c r="CE111" s="90">
        <f t="shared" si="233"/>
        <v>0</v>
      </c>
      <c r="CF111" s="90">
        <f t="shared" si="233"/>
        <v>0</v>
      </c>
      <c r="CG111" s="91" t="str">
        <f t="shared" si="147"/>
        <v>-</v>
      </c>
      <c r="CH111" s="90">
        <f t="shared" si="234"/>
        <v>0</v>
      </c>
      <c r="CI111" s="90">
        <f t="shared" si="234"/>
        <v>0</v>
      </c>
      <c r="CJ111" s="93" t="str">
        <f t="shared" si="148"/>
        <v>-</v>
      </c>
      <c r="CK111" s="94" t="str">
        <f t="shared" si="149"/>
        <v>ok</v>
      </c>
      <c r="CL111" s="94"/>
      <c r="CM111" s="162"/>
    </row>
    <row r="112" spans="3:92" s="110" customFormat="1" ht="21" customHeight="1" x14ac:dyDescent="0.75">
      <c r="C112" s="96">
        <v>6</v>
      </c>
      <c r="D112" s="96">
        <f>IFERROR(INDEX([4]Account!$A:$A,MATCH(K112,[4]Account!$D:$D,0)),"")</f>
        <v>19</v>
      </c>
      <c r="E112" s="96">
        <v>6</v>
      </c>
      <c r="F112" s="96">
        <f>IFERROR(INDEX([4]Account!$A:$A,MATCH(K112,[4]Account!$D:$D,0)),"")</f>
        <v>19</v>
      </c>
      <c r="G112" s="96" t="str">
        <f>IFERROR(INDEX('[5]Sub Account'!$A:$A,MATCH(L112,'[5]Sub Account'!$D:$D,0)),"")</f>
        <v/>
      </c>
      <c r="H112" s="96">
        <v>1</v>
      </c>
      <c r="I112" s="96">
        <v>4</v>
      </c>
      <c r="J112" s="227"/>
      <c r="K112" s="237">
        <v>2701</v>
      </c>
      <c r="L112" s="98"/>
      <c r="M112" s="99" t="s">
        <v>136</v>
      </c>
      <c r="N112" s="100">
        <f>N113+N114</f>
        <v>221203</v>
      </c>
      <c r="O112" s="100">
        <f>O113+O114</f>
        <v>56881.9</v>
      </c>
      <c r="P112" s="101">
        <f t="shared" si="124"/>
        <v>0.25714795911447857</v>
      </c>
      <c r="Q112" s="102">
        <f>Q113+Q114</f>
        <v>221203</v>
      </c>
      <c r="R112" s="102">
        <f>R113+R114</f>
        <v>56881.9</v>
      </c>
      <c r="S112" s="103">
        <f t="shared" si="125"/>
        <v>0.25714795911447857</v>
      </c>
      <c r="T112" s="104">
        <f>T113+T114</f>
        <v>221203</v>
      </c>
      <c r="U112" s="104">
        <f>U113+U114</f>
        <v>56881.9</v>
      </c>
      <c r="V112" s="105">
        <f t="shared" si="126"/>
        <v>0.25714795911447857</v>
      </c>
      <c r="W112" s="104">
        <f>W113+W114</f>
        <v>221203</v>
      </c>
      <c r="X112" s="104">
        <f>X113+X114</f>
        <v>56881.9</v>
      </c>
      <c r="Y112" s="105">
        <f t="shared" si="127"/>
        <v>0.25714795911447857</v>
      </c>
      <c r="Z112" s="104">
        <f>Z113+Z114</f>
        <v>0</v>
      </c>
      <c r="AA112" s="104">
        <f>AA113+AA114</f>
        <v>0</v>
      </c>
      <c r="AB112" s="105" t="str">
        <f t="shared" si="128"/>
        <v>-</v>
      </c>
      <c r="AC112" s="104">
        <f>AC113+AC114</f>
        <v>221203</v>
      </c>
      <c r="AD112" s="104">
        <f>AD113+AD114</f>
        <v>56881.9</v>
      </c>
      <c r="AE112" s="105">
        <f t="shared" si="129"/>
        <v>0.25714795911447857</v>
      </c>
      <c r="AF112" s="104">
        <f>AF113+AF114</f>
        <v>0</v>
      </c>
      <c r="AG112" s="104">
        <f>AG113+AG114</f>
        <v>0</v>
      </c>
      <c r="AH112" s="105" t="str">
        <f t="shared" si="130"/>
        <v>-</v>
      </c>
      <c r="AI112" s="106">
        <f>AI113+AI114</f>
        <v>0</v>
      </c>
      <c r="AJ112" s="104">
        <f>AJ113+AJ114</f>
        <v>0</v>
      </c>
      <c r="AK112" s="105" t="str">
        <f t="shared" si="131"/>
        <v>-</v>
      </c>
      <c r="AL112" s="104">
        <f>AL113+AL114</f>
        <v>0</v>
      </c>
      <c r="AM112" s="104">
        <f>AM113+AM114</f>
        <v>0</v>
      </c>
      <c r="AN112" s="105" t="str">
        <f t="shared" si="132"/>
        <v>-</v>
      </c>
      <c r="AO112" s="104">
        <f>AO113+AO114</f>
        <v>0</v>
      </c>
      <c r="AP112" s="104">
        <f>AP113+AP114</f>
        <v>0</v>
      </c>
      <c r="AQ112" s="105" t="str">
        <f t="shared" si="133"/>
        <v>-</v>
      </c>
      <c r="AR112" s="104">
        <f>AR113+AR114</f>
        <v>0</v>
      </c>
      <c r="AS112" s="104">
        <f>AS113+AS114</f>
        <v>0</v>
      </c>
      <c r="AT112" s="105" t="str">
        <f t="shared" si="134"/>
        <v>-</v>
      </c>
      <c r="AU112" s="104">
        <f>AU113+AU114</f>
        <v>0</v>
      </c>
      <c r="AV112" s="104">
        <f>AV113+AV114</f>
        <v>0</v>
      </c>
      <c r="AW112" s="105" t="str">
        <f t="shared" si="135"/>
        <v>-</v>
      </c>
      <c r="AX112" s="104">
        <f>AX113+AX114</f>
        <v>0</v>
      </c>
      <c r="AY112" s="104">
        <f>AY113+AY114</f>
        <v>0</v>
      </c>
      <c r="AZ112" s="105" t="str">
        <f t="shared" si="136"/>
        <v>-</v>
      </c>
      <c r="BA112" s="104">
        <f>BA113+BA114</f>
        <v>0</v>
      </c>
      <c r="BB112" s="104">
        <f>BB113+BB114</f>
        <v>0</v>
      </c>
      <c r="BC112" s="105" t="str">
        <f t="shared" si="137"/>
        <v>-</v>
      </c>
      <c r="BD112" s="104">
        <f>BD113+BD114</f>
        <v>0</v>
      </c>
      <c r="BE112" s="104">
        <f>BE113+BE114</f>
        <v>0</v>
      </c>
      <c r="BF112" s="105" t="str">
        <f t="shared" si="138"/>
        <v>-</v>
      </c>
      <c r="BG112" s="104">
        <f>BG113+BG114</f>
        <v>0</v>
      </c>
      <c r="BH112" s="104">
        <f>BH113+BH114</f>
        <v>0</v>
      </c>
      <c r="BI112" s="105" t="str">
        <f t="shared" si="139"/>
        <v>-</v>
      </c>
      <c r="BJ112" s="104">
        <f>BJ113+BJ114</f>
        <v>0</v>
      </c>
      <c r="BK112" s="104">
        <f>BK113+BK114</f>
        <v>0</v>
      </c>
      <c r="BL112" s="105" t="str">
        <f t="shared" si="140"/>
        <v>-</v>
      </c>
      <c r="BM112" s="104">
        <f>BM113+BM114</f>
        <v>0</v>
      </c>
      <c r="BN112" s="104">
        <f>BN113+BN114</f>
        <v>0</v>
      </c>
      <c r="BO112" s="105" t="str">
        <f t="shared" si="141"/>
        <v>-</v>
      </c>
      <c r="BP112" s="104">
        <f>BP113+BP114</f>
        <v>0</v>
      </c>
      <c r="BQ112" s="104">
        <f>BQ113+BQ114</f>
        <v>0</v>
      </c>
      <c r="BR112" s="105" t="str">
        <f t="shared" si="142"/>
        <v>-</v>
      </c>
      <c r="BS112" s="104">
        <f>BS113+BS114</f>
        <v>0</v>
      </c>
      <c r="BT112" s="104">
        <f>BT113+BT114</f>
        <v>0</v>
      </c>
      <c r="BU112" s="105" t="str">
        <f t="shared" si="143"/>
        <v>-</v>
      </c>
      <c r="BV112" s="104">
        <f>BV113+BV114</f>
        <v>0</v>
      </c>
      <c r="BW112" s="104">
        <f>BW113+BW114</f>
        <v>0</v>
      </c>
      <c r="BX112" s="105" t="str">
        <f t="shared" si="144"/>
        <v>-</v>
      </c>
      <c r="BY112" s="104">
        <f>BY113+BY114</f>
        <v>0</v>
      </c>
      <c r="BZ112" s="104">
        <f>BZ113+BZ114</f>
        <v>0</v>
      </c>
      <c r="CA112" s="105" t="str">
        <f t="shared" si="145"/>
        <v>-</v>
      </c>
      <c r="CB112" s="104">
        <f>CB113+CB114</f>
        <v>0</v>
      </c>
      <c r="CC112" s="104">
        <f>CC113+CC114</f>
        <v>0</v>
      </c>
      <c r="CD112" s="105" t="str">
        <f t="shared" si="146"/>
        <v>-</v>
      </c>
      <c r="CE112" s="104">
        <f>CE113+CE114</f>
        <v>0</v>
      </c>
      <c r="CF112" s="104">
        <f>CF113+CF114</f>
        <v>0</v>
      </c>
      <c r="CG112" s="105" t="str">
        <f t="shared" si="147"/>
        <v>-</v>
      </c>
      <c r="CH112" s="104">
        <f>CH113+CH114</f>
        <v>0</v>
      </c>
      <c r="CI112" s="104">
        <f>CI113+CI114</f>
        <v>0</v>
      </c>
      <c r="CJ112" s="107" t="str">
        <f t="shared" si="148"/>
        <v>-</v>
      </c>
      <c r="CK112" s="108" t="str">
        <f t="shared" si="149"/>
        <v>ok</v>
      </c>
      <c r="CL112" s="108"/>
      <c r="CM112" s="109"/>
    </row>
    <row r="113" spans="3:91" customFormat="1" ht="21" customHeight="1" x14ac:dyDescent="0.75">
      <c r="C113" s="96">
        <v>6</v>
      </c>
      <c r="D113" s="96" t="str">
        <f>IFERROR(INDEX([4]Account!$A:$A,MATCH(K113,[4]Account!$D:$D,0)),"")</f>
        <v/>
      </c>
      <c r="E113" s="96">
        <v>6</v>
      </c>
      <c r="F113" s="96">
        <v>19</v>
      </c>
      <c r="G113" s="96">
        <f>IFERROR(INDEX('[5]Sub Account'!$A:$A,MATCH(L113,'[5]Sub Account'!$D:$D,0)),"")</f>
        <v>208</v>
      </c>
      <c r="H113" s="96">
        <v>1</v>
      </c>
      <c r="I113" s="96">
        <v>4</v>
      </c>
      <c r="J113" s="234"/>
      <c r="K113" s="180"/>
      <c r="L113" s="138">
        <v>27011</v>
      </c>
      <c r="M113" s="181" t="s">
        <v>137</v>
      </c>
      <c r="N113" s="140">
        <f>Q113+CH113</f>
        <v>221203</v>
      </c>
      <c r="O113" s="140">
        <f>R113+CI113</f>
        <v>54496.800000000003</v>
      </c>
      <c r="P113" s="141">
        <f t="shared" si="124"/>
        <v>0.24636555562085508</v>
      </c>
      <c r="Q113" s="142">
        <f>T113+AO113</f>
        <v>221203</v>
      </c>
      <c r="R113" s="142">
        <f>U113+AP113</f>
        <v>54496.800000000003</v>
      </c>
      <c r="S113" s="143">
        <f t="shared" si="125"/>
        <v>0.24636555562085508</v>
      </c>
      <c r="T113" s="144">
        <f>W113+AI113+AL113</f>
        <v>221203</v>
      </c>
      <c r="U113" s="144">
        <f>X113+AJ113+AM113</f>
        <v>54496.800000000003</v>
      </c>
      <c r="V113" s="145">
        <f t="shared" si="126"/>
        <v>0.24636555562085508</v>
      </c>
      <c r="W113" s="144">
        <f>Z113+AC113+AF113</f>
        <v>221203</v>
      </c>
      <c r="X113" s="144">
        <f>AA113+AD113+AG113</f>
        <v>54496.800000000003</v>
      </c>
      <c r="Y113" s="145">
        <f t="shared" si="127"/>
        <v>0.24636555562085508</v>
      </c>
      <c r="Z113" s="144"/>
      <c r="AA113" s="144"/>
      <c r="AB113" s="145" t="str">
        <f t="shared" si="128"/>
        <v>-</v>
      </c>
      <c r="AC113" s="144">
        <v>221203</v>
      </c>
      <c r="AD113" s="144">
        <v>54496.800000000003</v>
      </c>
      <c r="AE113" s="145">
        <f t="shared" si="129"/>
        <v>0.24636555562085508</v>
      </c>
      <c r="AF113" s="144"/>
      <c r="AG113" s="144"/>
      <c r="AH113" s="145" t="str">
        <f t="shared" si="130"/>
        <v>-</v>
      </c>
      <c r="AI113" s="146"/>
      <c r="AJ113" s="144"/>
      <c r="AK113" s="145" t="str">
        <f t="shared" si="131"/>
        <v>-</v>
      </c>
      <c r="AL113" s="144"/>
      <c r="AM113" s="144"/>
      <c r="AN113" s="145" t="str">
        <f t="shared" si="132"/>
        <v>-</v>
      </c>
      <c r="AO113" s="144">
        <f t="shared" ref="AO113:AP114" si="235">AR113+AU113+AX113+BA113+BG113+BJ113+BM113+BP113+BS113+BV113+BY113+CB113+CE113</f>
        <v>0</v>
      </c>
      <c r="AP113" s="144">
        <f t="shared" si="235"/>
        <v>0</v>
      </c>
      <c r="AQ113" s="145" t="str">
        <f t="shared" si="133"/>
        <v>-</v>
      </c>
      <c r="AR113" s="182"/>
      <c r="AS113" s="182"/>
      <c r="AT113" s="183" t="str">
        <f t="shared" si="134"/>
        <v>-</v>
      </c>
      <c r="AU113" s="182"/>
      <c r="AV113" s="182"/>
      <c r="AW113" s="183" t="str">
        <f t="shared" si="135"/>
        <v>-</v>
      </c>
      <c r="AX113" s="182"/>
      <c r="AY113" s="182"/>
      <c r="AZ113" s="183" t="str">
        <f t="shared" si="136"/>
        <v>-</v>
      </c>
      <c r="BA113" s="182"/>
      <c r="BB113" s="182"/>
      <c r="BC113" s="183" t="str">
        <f t="shared" si="137"/>
        <v>-</v>
      </c>
      <c r="BD113" s="182"/>
      <c r="BE113" s="182"/>
      <c r="BF113" s="183" t="str">
        <f t="shared" si="138"/>
        <v>-</v>
      </c>
      <c r="BG113" s="182"/>
      <c r="BH113" s="182"/>
      <c r="BI113" s="183" t="str">
        <f t="shared" si="139"/>
        <v>-</v>
      </c>
      <c r="BJ113" s="182"/>
      <c r="BK113" s="182"/>
      <c r="BL113" s="183" t="str">
        <f t="shared" si="140"/>
        <v>-</v>
      </c>
      <c r="BM113" s="182"/>
      <c r="BN113" s="182"/>
      <c r="BO113" s="183" t="str">
        <f t="shared" si="141"/>
        <v>-</v>
      </c>
      <c r="BP113" s="182"/>
      <c r="BQ113" s="182"/>
      <c r="BR113" s="183" t="str">
        <f t="shared" si="142"/>
        <v>-</v>
      </c>
      <c r="BS113" s="182"/>
      <c r="BT113" s="182"/>
      <c r="BU113" s="183" t="str">
        <f t="shared" si="143"/>
        <v>-</v>
      </c>
      <c r="BV113" s="182"/>
      <c r="BW113" s="182"/>
      <c r="BX113" s="183" t="str">
        <f t="shared" si="144"/>
        <v>-</v>
      </c>
      <c r="BY113" s="182"/>
      <c r="BZ113" s="182"/>
      <c r="CA113" s="183" t="str">
        <f t="shared" si="145"/>
        <v>-</v>
      </c>
      <c r="CB113" s="182"/>
      <c r="CC113" s="182"/>
      <c r="CD113" s="183" t="str">
        <f t="shared" si="146"/>
        <v>-</v>
      </c>
      <c r="CE113" s="182"/>
      <c r="CF113" s="182"/>
      <c r="CG113" s="183" t="str">
        <f t="shared" si="147"/>
        <v>-</v>
      </c>
      <c r="CH113" s="182"/>
      <c r="CI113" s="182"/>
      <c r="CJ113" s="184" t="str">
        <f t="shared" si="148"/>
        <v>-</v>
      </c>
      <c r="CK113" s="152" t="str">
        <f t="shared" si="149"/>
        <v>ok</v>
      </c>
      <c r="CL113" s="152"/>
    </row>
    <row r="114" spans="3:91" customFormat="1" ht="21" customHeight="1" x14ac:dyDescent="0.75">
      <c r="C114" s="96">
        <v>6</v>
      </c>
      <c r="D114" s="96" t="str">
        <f>IFERROR(INDEX([4]Account!$A:$A,MATCH(K114,[4]Account!$D:$D,0)),"")</f>
        <v/>
      </c>
      <c r="E114" s="96">
        <v>6</v>
      </c>
      <c r="F114" s="96">
        <v>19</v>
      </c>
      <c r="G114" s="96">
        <f>IFERROR(INDEX('[5]Sub Account'!$A:$A,MATCH(L114,'[5]Sub Account'!$D:$D,0)),"")</f>
        <v>209</v>
      </c>
      <c r="H114" s="96">
        <v>1</v>
      </c>
      <c r="I114" s="96">
        <v>4</v>
      </c>
      <c r="J114" s="234"/>
      <c r="K114" s="180"/>
      <c r="L114" s="138">
        <v>27012</v>
      </c>
      <c r="M114" s="181" t="s">
        <v>137</v>
      </c>
      <c r="N114" s="140">
        <f>Q114+CH114</f>
        <v>0</v>
      </c>
      <c r="O114" s="140">
        <f>R114+CI114</f>
        <v>2385.1</v>
      </c>
      <c r="P114" s="141" t="str">
        <f t="shared" si="124"/>
        <v>-</v>
      </c>
      <c r="Q114" s="142">
        <f>T114+AO114</f>
        <v>0</v>
      </c>
      <c r="R114" s="142">
        <f>U114+AP114</f>
        <v>2385.1</v>
      </c>
      <c r="S114" s="143" t="str">
        <f t="shared" si="125"/>
        <v>-</v>
      </c>
      <c r="T114" s="144">
        <f>W114+AI114+AL114</f>
        <v>0</v>
      </c>
      <c r="U114" s="144">
        <f>X114+AJ114+AM114</f>
        <v>2385.1</v>
      </c>
      <c r="V114" s="145" t="str">
        <f t="shared" si="126"/>
        <v>-</v>
      </c>
      <c r="W114" s="144">
        <f>Z114+AC114+AF114</f>
        <v>0</v>
      </c>
      <c r="X114" s="144">
        <f>AA114+AD114+AG114</f>
        <v>2385.1</v>
      </c>
      <c r="Y114" s="145" t="str">
        <f t="shared" si="127"/>
        <v>-</v>
      </c>
      <c r="Z114" s="144"/>
      <c r="AA114" s="144"/>
      <c r="AB114" s="145" t="str">
        <f t="shared" si="128"/>
        <v>-</v>
      </c>
      <c r="AC114" s="144"/>
      <c r="AD114" s="144">
        <v>2385.1</v>
      </c>
      <c r="AE114" s="145" t="str">
        <f t="shared" si="129"/>
        <v>-</v>
      </c>
      <c r="AF114" s="144"/>
      <c r="AG114" s="144"/>
      <c r="AH114" s="145" t="str">
        <f t="shared" si="130"/>
        <v>-</v>
      </c>
      <c r="AI114" s="146"/>
      <c r="AJ114" s="144"/>
      <c r="AK114" s="145" t="str">
        <f t="shared" si="131"/>
        <v>-</v>
      </c>
      <c r="AL114" s="144"/>
      <c r="AM114" s="144"/>
      <c r="AN114" s="145" t="str">
        <f t="shared" si="132"/>
        <v>-</v>
      </c>
      <c r="AO114" s="144">
        <f t="shared" si="235"/>
        <v>0</v>
      </c>
      <c r="AP114" s="144">
        <f t="shared" si="235"/>
        <v>0</v>
      </c>
      <c r="AQ114" s="145" t="str">
        <f t="shared" si="133"/>
        <v>-</v>
      </c>
      <c r="AR114" s="182"/>
      <c r="AS114" s="182"/>
      <c r="AT114" s="183" t="str">
        <f t="shared" si="134"/>
        <v>-</v>
      </c>
      <c r="AU114" s="182"/>
      <c r="AV114" s="182"/>
      <c r="AW114" s="183" t="str">
        <f t="shared" si="135"/>
        <v>-</v>
      </c>
      <c r="AX114" s="182"/>
      <c r="AY114" s="182"/>
      <c r="AZ114" s="183" t="str">
        <f t="shared" si="136"/>
        <v>-</v>
      </c>
      <c r="BA114" s="182"/>
      <c r="BB114" s="182"/>
      <c r="BC114" s="183" t="str">
        <f t="shared" si="137"/>
        <v>-</v>
      </c>
      <c r="BD114" s="182"/>
      <c r="BE114" s="182"/>
      <c r="BF114" s="183" t="str">
        <f t="shared" si="138"/>
        <v>-</v>
      </c>
      <c r="BG114" s="182"/>
      <c r="BH114" s="182"/>
      <c r="BI114" s="183" t="str">
        <f t="shared" si="139"/>
        <v>-</v>
      </c>
      <c r="BJ114" s="182"/>
      <c r="BK114" s="182"/>
      <c r="BL114" s="183" t="str">
        <f t="shared" si="140"/>
        <v>-</v>
      </c>
      <c r="BM114" s="182"/>
      <c r="BN114" s="182"/>
      <c r="BO114" s="183" t="str">
        <f t="shared" si="141"/>
        <v>-</v>
      </c>
      <c r="BP114" s="182"/>
      <c r="BQ114" s="182"/>
      <c r="BR114" s="183" t="str">
        <f t="shared" si="142"/>
        <v>-</v>
      </c>
      <c r="BS114" s="182"/>
      <c r="BT114" s="182"/>
      <c r="BU114" s="183" t="str">
        <f t="shared" si="143"/>
        <v>-</v>
      </c>
      <c r="BV114" s="182"/>
      <c r="BW114" s="182"/>
      <c r="BX114" s="183" t="str">
        <f t="shared" si="144"/>
        <v>-</v>
      </c>
      <c r="BY114" s="182"/>
      <c r="BZ114" s="182"/>
      <c r="CA114" s="183" t="str">
        <f t="shared" si="145"/>
        <v>-</v>
      </c>
      <c r="CB114" s="182"/>
      <c r="CC114" s="182"/>
      <c r="CD114" s="183" t="str">
        <f t="shared" si="146"/>
        <v>-</v>
      </c>
      <c r="CE114" s="182"/>
      <c r="CF114" s="182"/>
      <c r="CG114" s="183" t="str">
        <f t="shared" si="147"/>
        <v>-</v>
      </c>
      <c r="CH114" s="182"/>
      <c r="CI114" s="182"/>
      <c r="CJ114" s="184" t="str">
        <f t="shared" si="148"/>
        <v>-</v>
      </c>
      <c r="CK114" s="152" t="str">
        <f t="shared" si="149"/>
        <v>ok</v>
      </c>
      <c r="CL114" s="152"/>
    </row>
    <row r="115" spans="3:91" s="82" customFormat="1" ht="21" customHeight="1" x14ac:dyDescent="0.75">
      <c r="C115" s="96">
        <v>6</v>
      </c>
      <c r="D115" s="96" t="str">
        <f>IFERROR(INDEX([4]Account!$A:$A,MATCH(K115,[4]Account!$D:$D,0)),"")</f>
        <v/>
      </c>
      <c r="E115" s="96">
        <v>6</v>
      </c>
      <c r="F115" s="96">
        <v>19</v>
      </c>
      <c r="G115" s="96" t="str">
        <f>IFERROR(INDEX('[5]Sub Account'!$A:$A,MATCH(L115,'[5]Sub Account'!$D:$D,0)),"")</f>
        <v/>
      </c>
      <c r="H115" s="96">
        <v>1</v>
      </c>
      <c r="I115" s="96"/>
      <c r="J115" s="225" t="s">
        <v>138</v>
      </c>
      <c r="K115" s="70"/>
      <c r="L115" s="71"/>
      <c r="M115" s="72"/>
      <c r="N115" s="73">
        <f>N116+N120</f>
        <v>857500</v>
      </c>
      <c r="O115" s="73">
        <f>O116+O120</f>
        <v>1071438.8999999999</v>
      </c>
      <c r="P115" s="74">
        <f t="shared" si="124"/>
        <v>1.2494914285714285</v>
      </c>
      <c r="Q115" s="75">
        <f>Q116+Q120</f>
        <v>857500</v>
      </c>
      <c r="R115" s="75">
        <f>R116+R120</f>
        <v>1071438.8999999999</v>
      </c>
      <c r="S115" s="76">
        <f t="shared" si="125"/>
        <v>1.2494914285714285</v>
      </c>
      <c r="T115" s="77">
        <f>T116+T120</f>
        <v>857500</v>
      </c>
      <c r="U115" s="77">
        <f>U116+U120</f>
        <v>1071438.8999999999</v>
      </c>
      <c r="V115" s="78">
        <f t="shared" si="126"/>
        <v>1.2494914285714285</v>
      </c>
      <c r="W115" s="77">
        <f>W116+W120</f>
        <v>857500</v>
      </c>
      <c r="X115" s="77">
        <f>X116+X120</f>
        <v>1071438.8999999999</v>
      </c>
      <c r="Y115" s="78">
        <f t="shared" si="127"/>
        <v>1.2494914285714285</v>
      </c>
      <c r="Z115" s="77">
        <f>Z116+Z120</f>
        <v>0</v>
      </c>
      <c r="AA115" s="77">
        <f>AA116+AA120</f>
        <v>0</v>
      </c>
      <c r="AB115" s="78" t="str">
        <f t="shared" si="128"/>
        <v>-</v>
      </c>
      <c r="AC115" s="77">
        <f>AC116+AC120</f>
        <v>857500</v>
      </c>
      <c r="AD115" s="77">
        <f>AD116+AD120</f>
        <v>1071438.8999999999</v>
      </c>
      <c r="AE115" s="78">
        <f t="shared" si="129"/>
        <v>1.2494914285714285</v>
      </c>
      <c r="AF115" s="77">
        <f>AF116+AF120</f>
        <v>0</v>
      </c>
      <c r="AG115" s="77">
        <f>AG116+AG120</f>
        <v>0</v>
      </c>
      <c r="AH115" s="78" t="str">
        <f t="shared" si="130"/>
        <v>-</v>
      </c>
      <c r="AI115" s="79">
        <f>AI116+AI120</f>
        <v>0</v>
      </c>
      <c r="AJ115" s="77">
        <f>AJ116+AJ120</f>
        <v>0</v>
      </c>
      <c r="AK115" s="78" t="str">
        <f t="shared" si="131"/>
        <v>-</v>
      </c>
      <c r="AL115" s="77">
        <f>AL116+AL120</f>
        <v>0</v>
      </c>
      <c r="AM115" s="77">
        <f>AM116+AM120</f>
        <v>0</v>
      </c>
      <c r="AN115" s="78" t="str">
        <f t="shared" si="132"/>
        <v>-</v>
      </c>
      <c r="AO115" s="77">
        <f>AO116+AO120</f>
        <v>0</v>
      </c>
      <c r="AP115" s="77">
        <f>AP116+AP120</f>
        <v>0</v>
      </c>
      <c r="AQ115" s="78" t="str">
        <f t="shared" si="133"/>
        <v>-</v>
      </c>
      <c r="AR115" s="77">
        <f>AR116+AR120</f>
        <v>0</v>
      </c>
      <c r="AS115" s="77">
        <f>AS116+AS120</f>
        <v>0</v>
      </c>
      <c r="AT115" s="78" t="str">
        <f t="shared" si="134"/>
        <v>-</v>
      </c>
      <c r="AU115" s="77">
        <f>AU116+AU120</f>
        <v>0</v>
      </c>
      <c r="AV115" s="77">
        <f>AV116+AV120</f>
        <v>0</v>
      </c>
      <c r="AW115" s="78" t="str">
        <f t="shared" si="135"/>
        <v>-</v>
      </c>
      <c r="AX115" s="77">
        <f>AX116+AX120</f>
        <v>0</v>
      </c>
      <c r="AY115" s="77">
        <f>AY116+AY120</f>
        <v>0</v>
      </c>
      <c r="AZ115" s="78" t="str">
        <f t="shared" si="136"/>
        <v>-</v>
      </c>
      <c r="BA115" s="77">
        <f>BA116+BA120</f>
        <v>0</v>
      </c>
      <c r="BB115" s="77">
        <f>BB116+BB120</f>
        <v>0</v>
      </c>
      <c r="BC115" s="78" t="str">
        <f t="shared" si="137"/>
        <v>-</v>
      </c>
      <c r="BD115" s="77">
        <f>BD116+BD120</f>
        <v>0</v>
      </c>
      <c r="BE115" s="77">
        <f>BE116+BE120</f>
        <v>0</v>
      </c>
      <c r="BF115" s="78" t="str">
        <f t="shared" si="138"/>
        <v>-</v>
      </c>
      <c r="BG115" s="77">
        <f>BG116+BG120</f>
        <v>0</v>
      </c>
      <c r="BH115" s="77">
        <f>BH116+BH120</f>
        <v>0</v>
      </c>
      <c r="BI115" s="78" t="str">
        <f t="shared" si="139"/>
        <v>-</v>
      </c>
      <c r="BJ115" s="77">
        <f>BJ116+BJ120</f>
        <v>0</v>
      </c>
      <c r="BK115" s="77">
        <f>BK116+BK120</f>
        <v>0</v>
      </c>
      <c r="BL115" s="78" t="str">
        <f t="shared" si="140"/>
        <v>-</v>
      </c>
      <c r="BM115" s="77">
        <f>BM116+BM120</f>
        <v>0</v>
      </c>
      <c r="BN115" s="77">
        <f>BN116+BN120</f>
        <v>0</v>
      </c>
      <c r="BO115" s="78" t="str">
        <f t="shared" si="141"/>
        <v>-</v>
      </c>
      <c r="BP115" s="77">
        <f>BP116+BP120</f>
        <v>0</v>
      </c>
      <c r="BQ115" s="77">
        <f>BQ116+BQ120</f>
        <v>0</v>
      </c>
      <c r="BR115" s="78" t="str">
        <f t="shared" si="142"/>
        <v>-</v>
      </c>
      <c r="BS115" s="77">
        <f>BS116+BS120</f>
        <v>0</v>
      </c>
      <c r="BT115" s="77">
        <f>BT116+BT120</f>
        <v>0</v>
      </c>
      <c r="BU115" s="78" t="str">
        <f t="shared" si="143"/>
        <v>-</v>
      </c>
      <c r="BV115" s="77">
        <f>BV116+BV120</f>
        <v>0</v>
      </c>
      <c r="BW115" s="77">
        <f>BW116+BW120</f>
        <v>0</v>
      </c>
      <c r="BX115" s="78" t="str">
        <f t="shared" si="144"/>
        <v>-</v>
      </c>
      <c r="BY115" s="77">
        <f>BY116+BY120</f>
        <v>0</v>
      </c>
      <c r="BZ115" s="77">
        <f>BZ116+BZ120</f>
        <v>0</v>
      </c>
      <c r="CA115" s="78" t="str">
        <f t="shared" si="145"/>
        <v>-</v>
      </c>
      <c r="CB115" s="77">
        <f>CB116+CB120</f>
        <v>0</v>
      </c>
      <c r="CC115" s="77">
        <f>CC116+CC120</f>
        <v>0</v>
      </c>
      <c r="CD115" s="78" t="str">
        <f t="shared" si="146"/>
        <v>-</v>
      </c>
      <c r="CE115" s="77">
        <f>CE116+CE120</f>
        <v>0</v>
      </c>
      <c r="CF115" s="77">
        <f>CF116+CF120</f>
        <v>0</v>
      </c>
      <c r="CG115" s="78" t="str">
        <f t="shared" si="147"/>
        <v>-</v>
      </c>
      <c r="CH115" s="77">
        <f>CH116+CH120</f>
        <v>0</v>
      </c>
      <c r="CI115" s="77">
        <f>CI116+CI120</f>
        <v>0</v>
      </c>
      <c r="CJ115" s="80" t="str">
        <f t="shared" si="148"/>
        <v>-</v>
      </c>
      <c r="CK115" s="81" t="str">
        <f t="shared" si="149"/>
        <v>ok</v>
      </c>
      <c r="CL115" s="81"/>
    </row>
    <row r="116" spans="3:91" s="123" customFormat="1" ht="21" customHeight="1" x14ac:dyDescent="0.75">
      <c r="C116" s="96">
        <v>23</v>
      </c>
      <c r="D116" s="96" t="str">
        <f>IFERROR(INDEX([4]Account!$A:$A,MATCH(K116,[4]Account!$D:$D,0)),"")</f>
        <v/>
      </c>
      <c r="E116" s="96">
        <f>IFERROR(INDEX('[3]Account Group'!$A:$A,MATCH(J116,'[3]Account Group'!$B:$B,0)),"-")</f>
        <v>23</v>
      </c>
      <c r="F116" s="96">
        <v>19</v>
      </c>
      <c r="G116" s="96" t="str">
        <f>IFERROR(INDEX('[5]Sub Account'!$A:$A,MATCH(L116,'[5]Sub Account'!$D:$D,0)),"")</f>
        <v/>
      </c>
      <c r="H116" s="96">
        <v>1</v>
      </c>
      <c r="I116" s="96">
        <v>5</v>
      </c>
      <c r="J116" s="213">
        <v>75</v>
      </c>
      <c r="K116" s="83"/>
      <c r="L116" s="84"/>
      <c r="M116" s="85" t="s">
        <v>139</v>
      </c>
      <c r="N116" s="86">
        <f>N117</f>
        <v>100000</v>
      </c>
      <c r="O116" s="86">
        <f>O117</f>
        <v>106059.5</v>
      </c>
      <c r="P116" s="87">
        <f t="shared" si="124"/>
        <v>1.060595</v>
      </c>
      <c r="Q116" s="88">
        <f>Q117</f>
        <v>100000</v>
      </c>
      <c r="R116" s="88">
        <f>R117</f>
        <v>106059.5</v>
      </c>
      <c r="S116" s="89">
        <f t="shared" si="125"/>
        <v>1.060595</v>
      </c>
      <c r="T116" s="90">
        <f>T117</f>
        <v>100000</v>
      </c>
      <c r="U116" s="90">
        <f>U117</f>
        <v>106059.5</v>
      </c>
      <c r="V116" s="91">
        <f t="shared" si="126"/>
        <v>1.060595</v>
      </c>
      <c r="W116" s="90">
        <f>W117</f>
        <v>100000</v>
      </c>
      <c r="X116" s="90">
        <f>X117</f>
        <v>106059.5</v>
      </c>
      <c r="Y116" s="91">
        <f t="shared" si="127"/>
        <v>1.060595</v>
      </c>
      <c r="Z116" s="90">
        <f>Z117</f>
        <v>0</v>
      </c>
      <c r="AA116" s="90">
        <f>AA117</f>
        <v>0</v>
      </c>
      <c r="AB116" s="91" t="str">
        <f t="shared" si="128"/>
        <v>-</v>
      </c>
      <c r="AC116" s="90">
        <f>AC117</f>
        <v>100000</v>
      </c>
      <c r="AD116" s="90">
        <f>AD117</f>
        <v>106059.5</v>
      </c>
      <c r="AE116" s="91">
        <f t="shared" si="129"/>
        <v>1.060595</v>
      </c>
      <c r="AF116" s="90">
        <f>AF117</f>
        <v>0</v>
      </c>
      <c r="AG116" s="90">
        <f>AG117</f>
        <v>0</v>
      </c>
      <c r="AH116" s="91" t="str">
        <f t="shared" si="130"/>
        <v>-</v>
      </c>
      <c r="AI116" s="92">
        <f>AI117</f>
        <v>0</v>
      </c>
      <c r="AJ116" s="90">
        <f>AJ117</f>
        <v>0</v>
      </c>
      <c r="AK116" s="91" t="str">
        <f t="shared" si="131"/>
        <v>-</v>
      </c>
      <c r="AL116" s="90">
        <f>AL117</f>
        <v>0</v>
      </c>
      <c r="AM116" s="90">
        <f>AM117</f>
        <v>0</v>
      </c>
      <c r="AN116" s="91" t="str">
        <f t="shared" si="132"/>
        <v>-</v>
      </c>
      <c r="AO116" s="90">
        <f>AO117</f>
        <v>0</v>
      </c>
      <c r="AP116" s="90">
        <f>AP117</f>
        <v>0</v>
      </c>
      <c r="AQ116" s="91" t="str">
        <f t="shared" si="133"/>
        <v>-</v>
      </c>
      <c r="AR116" s="90">
        <f>AR117</f>
        <v>0</v>
      </c>
      <c r="AS116" s="90">
        <f>AS117</f>
        <v>0</v>
      </c>
      <c r="AT116" s="91" t="str">
        <f t="shared" si="134"/>
        <v>-</v>
      </c>
      <c r="AU116" s="90">
        <f>AU117</f>
        <v>0</v>
      </c>
      <c r="AV116" s="90">
        <f>AV117</f>
        <v>0</v>
      </c>
      <c r="AW116" s="91" t="str">
        <f t="shared" si="135"/>
        <v>-</v>
      </c>
      <c r="AX116" s="90">
        <f>AX117</f>
        <v>0</v>
      </c>
      <c r="AY116" s="90">
        <f>AY117</f>
        <v>0</v>
      </c>
      <c r="AZ116" s="91" t="str">
        <f t="shared" si="136"/>
        <v>-</v>
      </c>
      <c r="BA116" s="90">
        <f>BA117</f>
        <v>0</v>
      </c>
      <c r="BB116" s="90">
        <f>BB117</f>
        <v>0</v>
      </c>
      <c r="BC116" s="91" t="str">
        <f t="shared" si="137"/>
        <v>-</v>
      </c>
      <c r="BD116" s="90">
        <f>BD117</f>
        <v>0</v>
      </c>
      <c r="BE116" s="90">
        <f>BE117</f>
        <v>0</v>
      </c>
      <c r="BF116" s="91" t="str">
        <f t="shared" si="138"/>
        <v>-</v>
      </c>
      <c r="BG116" s="90">
        <f>BG117</f>
        <v>0</v>
      </c>
      <c r="BH116" s="90">
        <f>BH117</f>
        <v>0</v>
      </c>
      <c r="BI116" s="91" t="str">
        <f t="shared" si="139"/>
        <v>-</v>
      </c>
      <c r="BJ116" s="90">
        <f>BJ117</f>
        <v>0</v>
      </c>
      <c r="BK116" s="90">
        <f>BK117</f>
        <v>0</v>
      </c>
      <c r="BL116" s="91" t="str">
        <f t="shared" si="140"/>
        <v>-</v>
      </c>
      <c r="BM116" s="90">
        <f>BM117</f>
        <v>0</v>
      </c>
      <c r="BN116" s="90">
        <f>BN117</f>
        <v>0</v>
      </c>
      <c r="BO116" s="91" t="str">
        <f t="shared" si="141"/>
        <v>-</v>
      </c>
      <c r="BP116" s="90">
        <f>BP117</f>
        <v>0</v>
      </c>
      <c r="BQ116" s="90">
        <f>BQ117</f>
        <v>0</v>
      </c>
      <c r="BR116" s="91" t="str">
        <f t="shared" si="142"/>
        <v>-</v>
      </c>
      <c r="BS116" s="90">
        <f>BS117</f>
        <v>0</v>
      </c>
      <c r="BT116" s="90">
        <f>BT117</f>
        <v>0</v>
      </c>
      <c r="BU116" s="91" t="str">
        <f t="shared" si="143"/>
        <v>-</v>
      </c>
      <c r="BV116" s="90">
        <f>BV117</f>
        <v>0</v>
      </c>
      <c r="BW116" s="90">
        <f>BW117</f>
        <v>0</v>
      </c>
      <c r="BX116" s="91" t="str">
        <f t="shared" si="144"/>
        <v>-</v>
      </c>
      <c r="BY116" s="90">
        <f>BY117</f>
        <v>0</v>
      </c>
      <c r="BZ116" s="90">
        <f>BZ117</f>
        <v>0</v>
      </c>
      <c r="CA116" s="91" t="str">
        <f t="shared" si="145"/>
        <v>-</v>
      </c>
      <c r="CB116" s="90">
        <f>CB117</f>
        <v>0</v>
      </c>
      <c r="CC116" s="90">
        <f>CC117</f>
        <v>0</v>
      </c>
      <c r="CD116" s="91" t="str">
        <f t="shared" si="146"/>
        <v>-</v>
      </c>
      <c r="CE116" s="90">
        <f>CE117</f>
        <v>0</v>
      </c>
      <c r="CF116" s="90">
        <f>CF117</f>
        <v>0</v>
      </c>
      <c r="CG116" s="91" t="str">
        <f t="shared" si="147"/>
        <v>-</v>
      </c>
      <c r="CH116" s="90">
        <f>CH117</f>
        <v>0</v>
      </c>
      <c r="CI116" s="90">
        <f>CI117</f>
        <v>0</v>
      </c>
      <c r="CJ116" s="93" t="str">
        <f t="shared" si="148"/>
        <v>-</v>
      </c>
      <c r="CK116" s="94" t="str">
        <f t="shared" si="149"/>
        <v>ok</v>
      </c>
      <c r="CL116" s="94"/>
      <c r="CM116" s="162"/>
    </row>
    <row r="117" spans="3:91" s="195" customFormat="1" ht="21" customHeight="1" x14ac:dyDescent="0.75">
      <c r="C117" s="96">
        <v>23</v>
      </c>
      <c r="D117" s="96">
        <f>IFERROR(INDEX([4]Account!$A:$A,MATCH(K117,[4]Account!$D:$D,0)),"")</f>
        <v>124</v>
      </c>
      <c r="E117" s="96">
        <v>23</v>
      </c>
      <c r="F117" s="96">
        <f>IFERROR(INDEX([4]Account!$A:$A,MATCH(K117,[4]Account!$D:$D,0)),"")</f>
        <v>124</v>
      </c>
      <c r="G117" s="96" t="str">
        <f>IFERROR(INDEX('[5]Sub Account'!$A:$A,MATCH(L117,'[5]Sub Account'!$D:$D,0)),"")</f>
        <v/>
      </c>
      <c r="H117" s="96">
        <v>1</v>
      </c>
      <c r="I117" s="96">
        <v>5</v>
      </c>
      <c r="J117" s="231"/>
      <c r="K117" s="97">
        <v>7514</v>
      </c>
      <c r="L117" s="98"/>
      <c r="M117" s="185" t="s">
        <v>140</v>
      </c>
      <c r="N117" s="186">
        <f>SUM(N118:N119)</f>
        <v>100000</v>
      </c>
      <c r="O117" s="186">
        <f>SUM(O118:O119)</f>
        <v>106059.5</v>
      </c>
      <c r="P117" s="187">
        <f t="shared" si="124"/>
        <v>1.060595</v>
      </c>
      <c r="Q117" s="188">
        <f>SUM(Q118:Q119)</f>
        <v>100000</v>
      </c>
      <c r="R117" s="188">
        <f>SUM(R118:R119)</f>
        <v>106059.5</v>
      </c>
      <c r="S117" s="189">
        <f t="shared" si="125"/>
        <v>1.060595</v>
      </c>
      <c r="T117" s="190">
        <f>SUM(T118:T119)</f>
        <v>100000</v>
      </c>
      <c r="U117" s="190">
        <f>SUM(U118:U119)</f>
        <v>106059.5</v>
      </c>
      <c r="V117" s="191">
        <f t="shared" si="126"/>
        <v>1.060595</v>
      </c>
      <c r="W117" s="190">
        <f>SUM(W118:W119)</f>
        <v>100000</v>
      </c>
      <c r="X117" s="190">
        <f>SUM(X118:X119)</f>
        <v>106059.5</v>
      </c>
      <c r="Y117" s="191">
        <f t="shared" si="127"/>
        <v>1.060595</v>
      </c>
      <c r="Z117" s="190">
        <f>SUM(Z118:Z119)</f>
        <v>0</v>
      </c>
      <c r="AA117" s="190">
        <f>SUM(AA118:AA119)</f>
        <v>0</v>
      </c>
      <c r="AB117" s="191" t="str">
        <f t="shared" si="128"/>
        <v>-</v>
      </c>
      <c r="AC117" s="190">
        <f>SUM(AC118:AC119)</f>
        <v>100000</v>
      </c>
      <c r="AD117" s="190">
        <f>SUM(AD118:AD119)</f>
        <v>106059.5</v>
      </c>
      <c r="AE117" s="191">
        <f t="shared" si="129"/>
        <v>1.060595</v>
      </c>
      <c r="AF117" s="190">
        <f>SUM(AF118:AF119)</f>
        <v>0</v>
      </c>
      <c r="AG117" s="190">
        <f>SUM(AG118:AG119)</f>
        <v>0</v>
      </c>
      <c r="AH117" s="191" t="str">
        <f t="shared" si="130"/>
        <v>-</v>
      </c>
      <c r="AI117" s="192">
        <f>SUM(AI118:AI119)</f>
        <v>0</v>
      </c>
      <c r="AJ117" s="190">
        <f>SUM(AJ118:AJ119)</f>
        <v>0</v>
      </c>
      <c r="AK117" s="191" t="str">
        <f t="shared" si="131"/>
        <v>-</v>
      </c>
      <c r="AL117" s="190">
        <f>SUM(AL118:AL119)</f>
        <v>0</v>
      </c>
      <c r="AM117" s="190">
        <f>SUM(AM118:AM119)</f>
        <v>0</v>
      </c>
      <c r="AN117" s="191" t="str">
        <f t="shared" si="132"/>
        <v>-</v>
      </c>
      <c r="AO117" s="190">
        <f>SUM(AO118:AO119)</f>
        <v>0</v>
      </c>
      <c r="AP117" s="190">
        <f>SUM(AP118:AP119)</f>
        <v>0</v>
      </c>
      <c r="AQ117" s="191" t="str">
        <f t="shared" si="133"/>
        <v>-</v>
      </c>
      <c r="AR117" s="190">
        <f>SUM(AR118:AR119)</f>
        <v>0</v>
      </c>
      <c r="AS117" s="190">
        <f>SUM(AS118:AS119)</f>
        <v>0</v>
      </c>
      <c r="AT117" s="191" t="str">
        <f t="shared" si="134"/>
        <v>-</v>
      </c>
      <c r="AU117" s="190">
        <f>SUM(AU118:AU119)</f>
        <v>0</v>
      </c>
      <c r="AV117" s="190">
        <f>SUM(AV118:AV119)</f>
        <v>0</v>
      </c>
      <c r="AW117" s="191" t="str">
        <f t="shared" si="135"/>
        <v>-</v>
      </c>
      <c r="AX117" s="190">
        <f>SUM(AX118:AX119)</f>
        <v>0</v>
      </c>
      <c r="AY117" s="190">
        <f>SUM(AY118:AY119)</f>
        <v>0</v>
      </c>
      <c r="AZ117" s="191" t="str">
        <f t="shared" si="136"/>
        <v>-</v>
      </c>
      <c r="BA117" s="190">
        <f>SUM(BA118:BA119)</f>
        <v>0</v>
      </c>
      <c r="BB117" s="190">
        <f>SUM(BB118:BB119)</f>
        <v>0</v>
      </c>
      <c r="BC117" s="191" t="str">
        <f t="shared" si="137"/>
        <v>-</v>
      </c>
      <c r="BD117" s="190">
        <f>SUM(BD118:BD119)</f>
        <v>0</v>
      </c>
      <c r="BE117" s="190">
        <f>SUM(BE118:BE119)</f>
        <v>0</v>
      </c>
      <c r="BF117" s="191" t="str">
        <f t="shared" si="138"/>
        <v>-</v>
      </c>
      <c r="BG117" s="190">
        <f>SUM(BG118:BG119)</f>
        <v>0</v>
      </c>
      <c r="BH117" s="190">
        <f>SUM(BH118:BH119)</f>
        <v>0</v>
      </c>
      <c r="BI117" s="191" t="str">
        <f t="shared" si="139"/>
        <v>-</v>
      </c>
      <c r="BJ117" s="190">
        <f>SUM(BJ118:BJ119)</f>
        <v>0</v>
      </c>
      <c r="BK117" s="190">
        <f>SUM(BK118:BK119)</f>
        <v>0</v>
      </c>
      <c r="BL117" s="191" t="str">
        <f t="shared" si="140"/>
        <v>-</v>
      </c>
      <c r="BM117" s="190">
        <f>SUM(BM118:BM119)</f>
        <v>0</v>
      </c>
      <c r="BN117" s="190">
        <f>SUM(BN118:BN119)</f>
        <v>0</v>
      </c>
      <c r="BO117" s="191" t="str">
        <f t="shared" si="141"/>
        <v>-</v>
      </c>
      <c r="BP117" s="190">
        <f>SUM(BP118:BP119)</f>
        <v>0</v>
      </c>
      <c r="BQ117" s="190">
        <f>SUM(BQ118:BQ119)</f>
        <v>0</v>
      </c>
      <c r="BR117" s="191" t="str">
        <f t="shared" si="142"/>
        <v>-</v>
      </c>
      <c r="BS117" s="190">
        <f>SUM(BS118:BS119)</f>
        <v>0</v>
      </c>
      <c r="BT117" s="190">
        <f>SUM(BT118:BT119)</f>
        <v>0</v>
      </c>
      <c r="BU117" s="191" t="str">
        <f t="shared" si="143"/>
        <v>-</v>
      </c>
      <c r="BV117" s="190">
        <f>SUM(BV118:BV119)</f>
        <v>0</v>
      </c>
      <c r="BW117" s="190">
        <f>SUM(BW118:BW119)</f>
        <v>0</v>
      </c>
      <c r="BX117" s="191" t="str">
        <f t="shared" si="144"/>
        <v>-</v>
      </c>
      <c r="BY117" s="190">
        <f>SUM(BY118:BY119)</f>
        <v>0</v>
      </c>
      <c r="BZ117" s="190">
        <f>SUM(BZ118:BZ119)</f>
        <v>0</v>
      </c>
      <c r="CA117" s="191" t="str">
        <f t="shared" si="145"/>
        <v>-</v>
      </c>
      <c r="CB117" s="190">
        <f>SUM(CB118:CB119)</f>
        <v>0</v>
      </c>
      <c r="CC117" s="190">
        <f>SUM(CC118:CC119)</f>
        <v>0</v>
      </c>
      <c r="CD117" s="191" t="str">
        <f t="shared" si="146"/>
        <v>-</v>
      </c>
      <c r="CE117" s="190">
        <f>SUM(CE118:CE119)</f>
        <v>0</v>
      </c>
      <c r="CF117" s="190">
        <f>SUM(CF118:CF119)</f>
        <v>0</v>
      </c>
      <c r="CG117" s="191" t="str">
        <f t="shared" si="147"/>
        <v>-</v>
      </c>
      <c r="CH117" s="190">
        <f>SUM(CH118:CH119)</f>
        <v>0</v>
      </c>
      <c r="CI117" s="190">
        <f>SUM(CI118:CI119)</f>
        <v>0</v>
      </c>
      <c r="CJ117" s="193" t="str">
        <f t="shared" si="148"/>
        <v>-</v>
      </c>
      <c r="CK117" s="194" t="str">
        <f t="shared" si="149"/>
        <v>ok</v>
      </c>
      <c r="CL117" s="194"/>
    </row>
    <row r="118" spans="3:91" s="123" customFormat="1" ht="21" customHeight="1" x14ac:dyDescent="2.5">
      <c r="C118" s="96">
        <v>23</v>
      </c>
      <c r="D118" s="96" t="str">
        <f>IFERROR(INDEX([4]Account!$A:$A,MATCH(K118,[4]Account!$D:$D,0)),"")</f>
        <v/>
      </c>
      <c r="E118" s="96">
        <v>23</v>
      </c>
      <c r="F118" s="96">
        <v>124</v>
      </c>
      <c r="G118" s="96">
        <f>IFERROR(INDEX('[5]Sub Account'!$A:$A,MATCH(L118,'[5]Sub Account'!$D:$D,0)),"")</f>
        <v>478</v>
      </c>
      <c r="H118" s="96">
        <v>1</v>
      </c>
      <c r="I118" s="96">
        <v>5</v>
      </c>
      <c r="J118" s="232"/>
      <c r="K118" s="163"/>
      <c r="L118" s="164">
        <v>75141</v>
      </c>
      <c r="M118" s="165" t="s">
        <v>141</v>
      </c>
      <c r="N118" s="140">
        <f>Q118+CH118</f>
        <v>0</v>
      </c>
      <c r="O118" s="140">
        <f>R118+CI118</f>
        <v>10177.5</v>
      </c>
      <c r="P118" s="141" t="str">
        <f t="shared" si="124"/>
        <v>-</v>
      </c>
      <c r="Q118" s="142">
        <f>T118+AO118</f>
        <v>0</v>
      </c>
      <c r="R118" s="142">
        <f>U118+AP118</f>
        <v>10177.5</v>
      </c>
      <c r="S118" s="143" t="str">
        <f t="shared" si="125"/>
        <v>-</v>
      </c>
      <c r="T118" s="144">
        <f>W118+AI118+AL118</f>
        <v>0</v>
      </c>
      <c r="U118" s="144">
        <f>X118+AJ118+AM118</f>
        <v>10177.5</v>
      </c>
      <c r="V118" s="145" t="str">
        <f t="shared" si="126"/>
        <v>-</v>
      </c>
      <c r="W118" s="144">
        <f t="shared" ref="W118:X119" si="236">Z118+AC118+AF118</f>
        <v>0</v>
      </c>
      <c r="X118" s="144">
        <f t="shared" si="236"/>
        <v>10177.5</v>
      </c>
      <c r="Y118" s="145" t="str">
        <f t="shared" si="127"/>
        <v>-</v>
      </c>
      <c r="Z118" s="144"/>
      <c r="AA118" s="144"/>
      <c r="AB118" s="145" t="str">
        <f t="shared" si="128"/>
        <v>-</v>
      </c>
      <c r="AC118" s="144"/>
      <c r="AD118" s="144">
        <v>10177.5</v>
      </c>
      <c r="AE118" s="145" t="str">
        <f t="shared" si="129"/>
        <v>-</v>
      </c>
      <c r="AF118" s="144"/>
      <c r="AG118" s="144"/>
      <c r="AH118" s="145" t="str">
        <f t="shared" si="130"/>
        <v>-</v>
      </c>
      <c r="AI118" s="146"/>
      <c r="AJ118" s="144"/>
      <c r="AK118" s="145" t="str">
        <f t="shared" si="131"/>
        <v>-</v>
      </c>
      <c r="AL118" s="144"/>
      <c r="AM118" s="144"/>
      <c r="AN118" s="145" t="str">
        <f t="shared" si="132"/>
        <v>-</v>
      </c>
      <c r="AO118" s="144">
        <f t="shared" ref="AO118:AP119" si="237">AR118+AU118+AX118+BA118+BG118+BJ118+BM118+BP118+BS118+BV118+BY118+CB118+CE118</f>
        <v>0</v>
      </c>
      <c r="AP118" s="144">
        <f t="shared" si="237"/>
        <v>0</v>
      </c>
      <c r="AQ118" s="145" t="str">
        <f t="shared" si="133"/>
        <v>-</v>
      </c>
      <c r="AR118" s="166"/>
      <c r="AS118" s="166"/>
      <c r="AT118" s="167" t="str">
        <f t="shared" si="134"/>
        <v>-</v>
      </c>
      <c r="AU118" s="166"/>
      <c r="AV118" s="166"/>
      <c r="AW118" s="167" t="str">
        <f t="shared" si="135"/>
        <v>-</v>
      </c>
      <c r="AX118" s="166"/>
      <c r="AY118" s="166"/>
      <c r="AZ118" s="167" t="str">
        <f t="shared" si="136"/>
        <v>-</v>
      </c>
      <c r="BA118" s="166"/>
      <c r="BB118" s="166"/>
      <c r="BC118" s="167" t="str">
        <f t="shared" si="137"/>
        <v>-</v>
      </c>
      <c r="BD118" s="166"/>
      <c r="BE118" s="166"/>
      <c r="BF118" s="167" t="str">
        <f t="shared" si="138"/>
        <v>-</v>
      </c>
      <c r="BG118" s="166"/>
      <c r="BH118" s="166"/>
      <c r="BI118" s="167" t="str">
        <f t="shared" si="139"/>
        <v>-</v>
      </c>
      <c r="BJ118" s="166"/>
      <c r="BK118" s="166"/>
      <c r="BL118" s="167" t="str">
        <f t="shared" si="140"/>
        <v>-</v>
      </c>
      <c r="BM118" s="166"/>
      <c r="BN118" s="166"/>
      <c r="BO118" s="167" t="str">
        <f t="shared" si="141"/>
        <v>-</v>
      </c>
      <c r="BP118" s="166"/>
      <c r="BQ118" s="166"/>
      <c r="BR118" s="167" t="str">
        <f t="shared" si="142"/>
        <v>-</v>
      </c>
      <c r="BS118" s="166"/>
      <c r="BT118" s="166"/>
      <c r="BU118" s="167" t="str">
        <f t="shared" si="143"/>
        <v>-</v>
      </c>
      <c r="BV118" s="166"/>
      <c r="BW118" s="166"/>
      <c r="BX118" s="167" t="str">
        <f t="shared" si="144"/>
        <v>-</v>
      </c>
      <c r="BY118" s="166"/>
      <c r="BZ118" s="166"/>
      <c r="CA118" s="167" t="str">
        <f t="shared" si="145"/>
        <v>-</v>
      </c>
      <c r="CB118" s="166"/>
      <c r="CC118" s="166"/>
      <c r="CD118" s="167" t="str">
        <f t="shared" si="146"/>
        <v>-</v>
      </c>
      <c r="CE118" s="166"/>
      <c r="CF118" s="166"/>
      <c r="CG118" s="167" t="str">
        <f t="shared" si="147"/>
        <v>-</v>
      </c>
      <c r="CH118" s="166"/>
      <c r="CI118" s="166"/>
      <c r="CJ118" s="168" t="str">
        <f t="shared" si="148"/>
        <v>-</v>
      </c>
      <c r="CK118" s="159" t="str">
        <f t="shared" si="149"/>
        <v>ok</v>
      </c>
      <c r="CL118" s="159"/>
      <c r="CM118" s="160"/>
    </row>
    <row r="119" spans="3:91" s="123" customFormat="1" ht="21" customHeight="1" x14ac:dyDescent="2.5">
      <c r="C119" s="96">
        <v>23</v>
      </c>
      <c r="D119" s="96" t="str">
        <f>IFERROR(INDEX([4]Account!$A:$A,MATCH(K119,[4]Account!$D:$D,0)),"")</f>
        <v/>
      </c>
      <c r="E119" s="96">
        <v>23</v>
      </c>
      <c r="F119" s="96">
        <v>124</v>
      </c>
      <c r="G119" s="96">
        <f>IFERROR(INDEX('[5]Sub Account'!$A:$A,MATCH(L119,'[5]Sub Account'!$D:$D,0)),"")</f>
        <v>479</v>
      </c>
      <c r="H119" s="96">
        <v>1</v>
      </c>
      <c r="I119" s="96">
        <v>5</v>
      </c>
      <c r="J119" s="232"/>
      <c r="K119" s="163"/>
      <c r="L119" s="164">
        <v>75142</v>
      </c>
      <c r="M119" s="165" t="s">
        <v>142</v>
      </c>
      <c r="N119" s="140">
        <f>Q119+CH119</f>
        <v>100000</v>
      </c>
      <c r="O119" s="140">
        <f>R119+CI119</f>
        <v>95882</v>
      </c>
      <c r="P119" s="141">
        <f t="shared" si="124"/>
        <v>0.95882000000000001</v>
      </c>
      <c r="Q119" s="142">
        <f>T119+AO119</f>
        <v>100000</v>
      </c>
      <c r="R119" s="142">
        <f>U119+AP119</f>
        <v>95882</v>
      </c>
      <c r="S119" s="143">
        <f t="shared" si="125"/>
        <v>0.95882000000000001</v>
      </c>
      <c r="T119" s="144">
        <f>W119+AI119+AL119</f>
        <v>100000</v>
      </c>
      <c r="U119" s="144">
        <f>X119+AJ119+AM119</f>
        <v>95882</v>
      </c>
      <c r="V119" s="145">
        <f t="shared" si="126"/>
        <v>0.95882000000000001</v>
      </c>
      <c r="W119" s="144">
        <f t="shared" si="236"/>
        <v>100000</v>
      </c>
      <c r="X119" s="144">
        <f t="shared" si="236"/>
        <v>95882</v>
      </c>
      <c r="Y119" s="145">
        <f t="shared" si="127"/>
        <v>0.95882000000000001</v>
      </c>
      <c r="Z119" s="144"/>
      <c r="AA119" s="144"/>
      <c r="AB119" s="145" t="str">
        <f t="shared" si="128"/>
        <v>-</v>
      </c>
      <c r="AC119" s="144">
        <v>100000</v>
      </c>
      <c r="AD119" s="144">
        <v>95882</v>
      </c>
      <c r="AE119" s="145">
        <f t="shared" si="129"/>
        <v>0.95882000000000001</v>
      </c>
      <c r="AF119" s="144"/>
      <c r="AG119" s="144"/>
      <c r="AH119" s="145" t="str">
        <f t="shared" si="130"/>
        <v>-</v>
      </c>
      <c r="AI119" s="146"/>
      <c r="AJ119" s="144"/>
      <c r="AK119" s="145" t="str">
        <f t="shared" si="131"/>
        <v>-</v>
      </c>
      <c r="AL119" s="144"/>
      <c r="AM119" s="144"/>
      <c r="AN119" s="145" t="str">
        <f t="shared" si="132"/>
        <v>-</v>
      </c>
      <c r="AO119" s="144">
        <f t="shared" si="237"/>
        <v>0</v>
      </c>
      <c r="AP119" s="144">
        <f t="shared" si="237"/>
        <v>0</v>
      </c>
      <c r="AQ119" s="145" t="str">
        <f t="shared" si="133"/>
        <v>-</v>
      </c>
      <c r="AR119" s="166"/>
      <c r="AS119" s="166"/>
      <c r="AT119" s="167" t="str">
        <f t="shared" si="134"/>
        <v>-</v>
      </c>
      <c r="AU119" s="166"/>
      <c r="AV119" s="166"/>
      <c r="AW119" s="167" t="str">
        <f t="shared" si="135"/>
        <v>-</v>
      </c>
      <c r="AX119" s="166"/>
      <c r="AY119" s="166"/>
      <c r="AZ119" s="167" t="str">
        <f t="shared" si="136"/>
        <v>-</v>
      </c>
      <c r="BA119" s="166"/>
      <c r="BB119" s="166"/>
      <c r="BC119" s="167" t="str">
        <f t="shared" si="137"/>
        <v>-</v>
      </c>
      <c r="BD119" s="166"/>
      <c r="BE119" s="166"/>
      <c r="BF119" s="167" t="str">
        <f t="shared" si="138"/>
        <v>-</v>
      </c>
      <c r="BG119" s="166"/>
      <c r="BH119" s="166"/>
      <c r="BI119" s="167" t="str">
        <f t="shared" si="139"/>
        <v>-</v>
      </c>
      <c r="BJ119" s="166"/>
      <c r="BK119" s="166"/>
      <c r="BL119" s="167" t="str">
        <f t="shared" si="140"/>
        <v>-</v>
      </c>
      <c r="BM119" s="166"/>
      <c r="BN119" s="166"/>
      <c r="BO119" s="167" t="str">
        <f t="shared" si="141"/>
        <v>-</v>
      </c>
      <c r="BP119" s="166"/>
      <c r="BQ119" s="166"/>
      <c r="BR119" s="167" t="str">
        <f t="shared" si="142"/>
        <v>-</v>
      </c>
      <c r="BS119" s="166"/>
      <c r="BT119" s="166"/>
      <c r="BU119" s="167" t="str">
        <f t="shared" si="143"/>
        <v>-</v>
      </c>
      <c r="BV119" s="166"/>
      <c r="BW119" s="166"/>
      <c r="BX119" s="167" t="str">
        <f t="shared" si="144"/>
        <v>-</v>
      </c>
      <c r="BY119" s="166"/>
      <c r="BZ119" s="166"/>
      <c r="CA119" s="167" t="str">
        <f t="shared" si="145"/>
        <v>-</v>
      </c>
      <c r="CB119" s="166"/>
      <c r="CC119" s="166"/>
      <c r="CD119" s="167" t="str">
        <f t="shared" si="146"/>
        <v>-</v>
      </c>
      <c r="CE119" s="166"/>
      <c r="CF119" s="166"/>
      <c r="CG119" s="167" t="str">
        <f t="shared" si="147"/>
        <v>-</v>
      </c>
      <c r="CH119" s="166"/>
      <c r="CI119" s="166"/>
      <c r="CJ119" s="168" t="str">
        <f t="shared" si="148"/>
        <v>-</v>
      </c>
      <c r="CK119" s="159" t="str">
        <f t="shared" si="149"/>
        <v>ok</v>
      </c>
      <c r="CL119" s="159"/>
      <c r="CM119" s="160"/>
    </row>
    <row r="120" spans="3:91" s="123" customFormat="1" ht="21" customHeight="1" x14ac:dyDescent="0.75">
      <c r="C120" s="96">
        <v>7</v>
      </c>
      <c r="D120" s="96" t="str">
        <f>IFERROR(INDEX([4]Account!$A:$A,MATCH(K120,[4]Account!$D:$D,0)),"")</f>
        <v/>
      </c>
      <c r="E120" s="96">
        <f>IFERROR(INDEX('[3]Account Group'!$A:$A,MATCH(J120,'[3]Account Group'!$B:$B,0)),"-")</f>
        <v>7</v>
      </c>
      <c r="F120" s="96">
        <v>124</v>
      </c>
      <c r="G120" s="96" t="str">
        <f>IFERROR(INDEX('[5]Sub Account'!$A:$A,MATCH(L120,'[5]Sub Account'!$D:$D,0)),"")</f>
        <v/>
      </c>
      <c r="H120" s="96">
        <v>1</v>
      </c>
      <c r="I120" s="96">
        <v>5</v>
      </c>
      <c r="J120" s="238">
        <v>50</v>
      </c>
      <c r="K120" s="126"/>
      <c r="L120" s="127"/>
      <c r="M120" s="128" t="s">
        <v>143</v>
      </c>
      <c r="N120" s="129">
        <f>N121</f>
        <v>757500</v>
      </c>
      <c r="O120" s="129">
        <f>O121</f>
        <v>965379.4</v>
      </c>
      <c r="P120" s="130">
        <f t="shared" si="124"/>
        <v>1.2744282508250826</v>
      </c>
      <c r="Q120" s="131">
        <f>Q121</f>
        <v>757500</v>
      </c>
      <c r="R120" s="131">
        <f>R121</f>
        <v>965379.4</v>
      </c>
      <c r="S120" s="132">
        <f t="shared" si="125"/>
        <v>1.2744282508250826</v>
      </c>
      <c r="T120" s="133">
        <f>T121</f>
        <v>757500</v>
      </c>
      <c r="U120" s="133">
        <f>U121</f>
        <v>965379.4</v>
      </c>
      <c r="V120" s="134">
        <f t="shared" si="126"/>
        <v>1.2744282508250826</v>
      </c>
      <c r="W120" s="133">
        <f>W121</f>
        <v>757500</v>
      </c>
      <c r="X120" s="133">
        <f>X121</f>
        <v>965379.4</v>
      </c>
      <c r="Y120" s="134">
        <f t="shared" si="127"/>
        <v>1.2744282508250826</v>
      </c>
      <c r="Z120" s="133">
        <f>Z121</f>
        <v>0</v>
      </c>
      <c r="AA120" s="133">
        <f>AA121</f>
        <v>0</v>
      </c>
      <c r="AB120" s="134" t="str">
        <f t="shared" si="128"/>
        <v>-</v>
      </c>
      <c r="AC120" s="133">
        <f>AC121</f>
        <v>757500</v>
      </c>
      <c r="AD120" s="133">
        <f>AD121</f>
        <v>965379.4</v>
      </c>
      <c r="AE120" s="134">
        <f t="shared" si="129"/>
        <v>1.2744282508250826</v>
      </c>
      <c r="AF120" s="133">
        <f>AF121</f>
        <v>0</v>
      </c>
      <c r="AG120" s="133">
        <f>AG121</f>
        <v>0</v>
      </c>
      <c r="AH120" s="134" t="str">
        <f t="shared" si="130"/>
        <v>-</v>
      </c>
      <c r="AI120" s="135">
        <f>AI121</f>
        <v>0</v>
      </c>
      <c r="AJ120" s="133">
        <f>AJ121</f>
        <v>0</v>
      </c>
      <c r="AK120" s="134" t="str">
        <f t="shared" si="131"/>
        <v>-</v>
      </c>
      <c r="AL120" s="133">
        <f>AL121</f>
        <v>0</v>
      </c>
      <c r="AM120" s="133">
        <f>AM121</f>
        <v>0</v>
      </c>
      <c r="AN120" s="134" t="str">
        <f t="shared" si="132"/>
        <v>-</v>
      </c>
      <c r="AO120" s="133">
        <f>AO121</f>
        <v>0</v>
      </c>
      <c r="AP120" s="133">
        <f>AP121</f>
        <v>0</v>
      </c>
      <c r="AQ120" s="134" t="str">
        <f t="shared" si="133"/>
        <v>-</v>
      </c>
      <c r="AR120" s="133">
        <f>AR121</f>
        <v>0</v>
      </c>
      <c r="AS120" s="133">
        <f>AS121</f>
        <v>0</v>
      </c>
      <c r="AT120" s="134" t="str">
        <f t="shared" si="134"/>
        <v>-</v>
      </c>
      <c r="AU120" s="133">
        <f>AU121</f>
        <v>0</v>
      </c>
      <c r="AV120" s="133">
        <f>AV121</f>
        <v>0</v>
      </c>
      <c r="AW120" s="134" t="str">
        <f t="shared" si="135"/>
        <v>-</v>
      </c>
      <c r="AX120" s="133">
        <f>AX121</f>
        <v>0</v>
      </c>
      <c r="AY120" s="133">
        <f>AY121</f>
        <v>0</v>
      </c>
      <c r="AZ120" s="134" t="str">
        <f t="shared" si="136"/>
        <v>-</v>
      </c>
      <c r="BA120" s="133">
        <f>BA121</f>
        <v>0</v>
      </c>
      <c r="BB120" s="133">
        <f>BB121</f>
        <v>0</v>
      </c>
      <c r="BC120" s="134" t="str">
        <f t="shared" si="137"/>
        <v>-</v>
      </c>
      <c r="BD120" s="133">
        <f>BD121</f>
        <v>0</v>
      </c>
      <c r="BE120" s="133">
        <f>BE121</f>
        <v>0</v>
      </c>
      <c r="BF120" s="134" t="str">
        <f t="shared" si="138"/>
        <v>-</v>
      </c>
      <c r="BG120" s="133">
        <f>BG121</f>
        <v>0</v>
      </c>
      <c r="BH120" s="133">
        <f>BH121</f>
        <v>0</v>
      </c>
      <c r="BI120" s="134" t="str">
        <f t="shared" si="139"/>
        <v>-</v>
      </c>
      <c r="BJ120" s="133">
        <f>BJ121</f>
        <v>0</v>
      </c>
      <c r="BK120" s="133">
        <f>BK121</f>
        <v>0</v>
      </c>
      <c r="BL120" s="134" t="str">
        <f t="shared" si="140"/>
        <v>-</v>
      </c>
      <c r="BM120" s="133">
        <f>BM121</f>
        <v>0</v>
      </c>
      <c r="BN120" s="133">
        <f>BN121</f>
        <v>0</v>
      </c>
      <c r="BO120" s="134" t="str">
        <f t="shared" si="141"/>
        <v>-</v>
      </c>
      <c r="BP120" s="133">
        <f>BP121</f>
        <v>0</v>
      </c>
      <c r="BQ120" s="133">
        <f>BQ121</f>
        <v>0</v>
      </c>
      <c r="BR120" s="134" t="str">
        <f t="shared" si="142"/>
        <v>-</v>
      </c>
      <c r="BS120" s="133">
        <f>BS121</f>
        <v>0</v>
      </c>
      <c r="BT120" s="133">
        <f>BT121</f>
        <v>0</v>
      </c>
      <c r="BU120" s="134" t="str">
        <f t="shared" si="143"/>
        <v>-</v>
      </c>
      <c r="BV120" s="133">
        <f>BV121</f>
        <v>0</v>
      </c>
      <c r="BW120" s="133">
        <f>BW121</f>
        <v>0</v>
      </c>
      <c r="BX120" s="134" t="str">
        <f t="shared" si="144"/>
        <v>-</v>
      </c>
      <c r="BY120" s="133">
        <f>BY121</f>
        <v>0</v>
      </c>
      <c r="BZ120" s="133">
        <f>BZ121</f>
        <v>0</v>
      </c>
      <c r="CA120" s="134" t="str">
        <f t="shared" si="145"/>
        <v>-</v>
      </c>
      <c r="CB120" s="133">
        <f>CB121</f>
        <v>0</v>
      </c>
      <c r="CC120" s="133">
        <f>CC121</f>
        <v>0</v>
      </c>
      <c r="CD120" s="134" t="str">
        <f t="shared" si="146"/>
        <v>-</v>
      </c>
      <c r="CE120" s="133">
        <f>CE121</f>
        <v>0</v>
      </c>
      <c r="CF120" s="133">
        <f>CF121</f>
        <v>0</v>
      </c>
      <c r="CG120" s="134" t="str">
        <f t="shared" si="147"/>
        <v>-</v>
      </c>
      <c r="CH120" s="133">
        <f>CH121</f>
        <v>0</v>
      </c>
      <c r="CI120" s="133">
        <f>CI121</f>
        <v>0</v>
      </c>
      <c r="CJ120" s="136" t="str">
        <f t="shared" si="148"/>
        <v>-</v>
      </c>
      <c r="CK120" s="94" t="str">
        <f t="shared" si="149"/>
        <v>ok</v>
      </c>
      <c r="CL120" s="94"/>
      <c r="CM120" s="162"/>
    </row>
    <row r="121" spans="3:91" s="195" customFormat="1" ht="21" customHeight="1" x14ac:dyDescent="0.75">
      <c r="C121" s="96">
        <v>7</v>
      </c>
      <c r="D121" s="96">
        <f>IFERROR(INDEX([4]Account!$A:$A,MATCH(K121,[4]Account!$D:$D,0)),"")</f>
        <v>22</v>
      </c>
      <c r="E121" s="96">
        <v>7</v>
      </c>
      <c r="F121" s="96">
        <f>IFERROR(INDEX([4]Account!$A:$A,MATCH(K121,[4]Account!$D:$D,0)),"")</f>
        <v>22</v>
      </c>
      <c r="G121" s="96" t="str">
        <f>IFERROR(INDEX('[5]Sub Account'!$A:$A,MATCH(L121,'[5]Sub Account'!$D:$D,0)),"")</f>
        <v/>
      </c>
      <c r="H121" s="96">
        <v>1</v>
      </c>
      <c r="I121" s="96">
        <v>5</v>
      </c>
      <c r="J121" s="231"/>
      <c r="K121" s="97">
        <v>5002</v>
      </c>
      <c r="L121" s="98"/>
      <c r="M121" s="185" t="s">
        <v>144</v>
      </c>
      <c r="N121" s="186">
        <f>SUM(N122:N123)</f>
        <v>757500</v>
      </c>
      <c r="O121" s="186">
        <f>SUM(O122:O123)</f>
        <v>965379.4</v>
      </c>
      <c r="P121" s="187">
        <f t="shared" si="124"/>
        <v>1.2744282508250826</v>
      </c>
      <c r="Q121" s="188">
        <f>SUM(Q122:Q123)</f>
        <v>757500</v>
      </c>
      <c r="R121" s="188">
        <f>SUM(R122:R123)</f>
        <v>965379.4</v>
      </c>
      <c r="S121" s="189">
        <f t="shared" si="125"/>
        <v>1.2744282508250826</v>
      </c>
      <c r="T121" s="190">
        <f>SUM(T122:T123)</f>
        <v>757500</v>
      </c>
      <c r="U121" s="190">
        <f>SUM(U122:U123)</f>
        <v>965379.4</v>
      </c>
      <c r="V121" s="191">
        <f t="shared" si="126"/>
        <v>1.2744282508250826</v>
      </c>
      <c r="W121" s="190">
        <f>SUM(W122:W123)</f>
        <v>757500</v>
      </c>
      <c r="X121" s="190">
        <f>SUM(X122:X123)</f>
        <v>965379.4</v>
      </c>
      <c r="Y121" s="191">
        <f t="shared" si="127"/>
        <v>1.2744282508250826</v>
      </c>
      <c r="Z121" s="190">
        <f>SUM(Z122:Z123)</f>
        <v>0</v>
      </c>
      <c r="AA121" s="190">
        <f>SUM(AA122:AA123)</f>
        <v>0</v>
      </c>
      <c r="AB121" s="191" t="str">
        <f t="shared" si="128"/>
        <v>-</v>
      </c>
      <c r="AC121" s="190">
        <f>SUM(AC122:AC123)</f>
        <v>757500</v>
      </c>
      <c r="AD121" s="190">
        <f>SUM(AD122:AD123)</f>
        <v>965379.4</v>
      </c>
      <c r="AE121" s="191">
        <f t="shared" si="129"/>
        <v>1.2744282508250826</v>
      </c>
      <c r="AF121" s="190">
        <f>SUM(AF122:AF123)</f>
        <v>0</v>
      </c>
      <c r="AG121" s="190">
        <f>SUM(AG122:AG123)</f>
        <v>0</v>
      </c>
      <c r="AH121" s="191" t="str">
        <f t="shared" si="130"/>
        <v>-</v>
      </c>
      <c r="AI121" s="192">
        <f>SUM(AI122:AI123)</f>
        <v>0</v>
      </c>
      <c r="AJ121" s="190">
        <f>SUM(AJ122:AJ123)</f>
        <v>0</v>
      </c>
      <c r="AK121" s="191" t="str">
        <f t="shared" si="131"/>
        <v>-</v>
      </c>
      <c r="AL121" s="190">
        <f>SUM(AL122:AL123)</f>
        <v>0</v>
      </c>
      <c r="AM121" s="190">
        <f>SUM(AM122:AM123)</f>
        <v>0</v>
      </c>
      <c r="AN121" s="191" t="str">
        <f t="shared" si="132"/>
        <v>-</v>
      </c>
      <c r="AO121" s="190">
        <f>SUM(AO122:AO123)</f>
        <v>0</v>
      </c>
      <c r="AP121" s="190">
        <f>SUM(AP122:AP123)</f>
        <v>0</v>
      </c>
      <c r="AQ121" s="191" t="str">
        <f t="shared" si="133"/>
        <v>-</v>
      </c>
      <c r="AR121" s="190">
        <f>SUM(AR122:AR123)</f>
        <v>0</v>
      </c>
      <c r="AS121" s="190">
        <f>SUM(AS122:AS123)</f>
        <v>0</v>
      </c>
      <c r="AT121" s="191" t="str">
        <f t="shared" si="134"/>
        <v>-</v>
      </c>
      <c r="AU121" s="190">
        <f>SUM(AU122:AU123)</f>
        <v>0</v>
      </c>
      <c r="AV121" s="190">
        <f>SUM(AV122:AV123)</f>
        <v>0</v>
      </c>
      <c r="AW121" s="191" t="str">
        <f t="shared" si="135"/>
        <v>-</v>
      </c>
      <c r="AX121" s="190">
        <f>SUM(AX122:AX123)</f>
        <v>0</v>
      </c>
      <c r="AY121" s="190">
        <f>SUM(AY122:AY123)</f>
        <v>0</v>
      </c>
      <c r="AZ121" s="191" t="str">
        <f t="shared" si="136"/>
        <v>-</v>
      </c>
      <c r="BA121" s="190">
        <f>SUM(BA122:BA123)</f>
        <v>0</v>
      </c>
      <c r="BB121" s="190">
        <f>SUM(BB122:BB123)</f>
        <v>0</v>
      </c>
      <c r="BC121" s="191" t="str">
        <f t="shared" si="137"/>
        <v>-</v>
      </c>
      <c r="BD121" s="190">
        <f>SUM(BD122:BD123)</f>
        <v>0</v>
      </c>
      <c r="BE121" s="190">
        <f>SUM(BE122:BE123)</f>
        <v>0</v>
      </c>
      <c r="BF121" s="191" t="str">
        <f t="shared" si="138"/>
        <v>-</v>
      </c>
      <c r="BG121" s="190">
        <f>SUM(BG122:BG123)</f>
        <v>0</v>
      </c>
      <c r="BH121" s="190">
        <f>SUM(BH122:BH123)</f>
        <v>0</v>
      </c>
      <c r="BI121" s="191" t="str">
        <f t="shared" si="139"/>
        <v>-</v>
      </c>
      <c r="BJ121" s="190">
        <f>SUM(BJ122:BJ123)</f>
        <v>0</v>
      </c>
      <c r="BK121" s="190">
        <f>SUM(BK122:BK123)</f>
        <v>0</v>
      </c>
      <c r="BL121" s="191" t="str">
        <f t="shared" si="140"/>
        <v>-</v>
      </c>
      <c r="BM121" s="190">
        <f>SUM(BM122:BM123)</f>
        <v>0</v>
      </c>
      <c r="BN121" s="190">
        <f>SUM(BN122:BN123)</f>
        <v>0</v>
      </c>
      <c r="BO121" s="191" t="str">
        <f t="shared" si="141"/>
        <v>-</v>
      </c>
      <c r="BP121" s="190">
        <f>SUM(BP122:BP123)</f>
        <v>0</v>
      </c>
      <c r="BQ121" s="190">
        <f>SUM(BQ122:BQ123)</f>
        <v>0</v>
      </c>
      <c r="BR121" s="191" t="str">
        <f t="shared" si="142"/>
        <v>-</v>
      </c>
      <c r="BS121" s="190">
        <f>SUM(BS122:BS123)</f>
        <v>0</v>
      </c>
      <c r="BT121" s="190">
        <f>SUM(BT122:BT123)</f>
        <v>0</v>
      </c>
      <c r="BU121" s="191" t="str">
        <f t="shared" si="143"/>
        <v>-</v>
      </c>
      <c r="BV121" s="190">
        <f>SUM(BV122:BV123)</f>
        <v>0</v>
      </c>
      <c r="BW121" s="190">
        <f>SUM(BW122:BW123)</f>
        <v>0</v>
      </c>
      <c r="BX121" s="191" t="str">
        <f t="shared" si="144"/>
        <v>-</v>
      </c>
      <c r="BY121" s="190">
        <f>SUM(BY122:BY123)</f>
        <v>0</v>
      </c>
      <c r="BZ121" s="190">
        <f>SUM(BZ122:BZ123)</f>
        <v>0</v>
      </c>
      <c r="CA121" s="191" t="str">
        <f t="shared" si="145"/>
        <v>-</v>
      </c>
      <c r="CB121" s="190">
        <f>SUM(CB122:CB123)</f>
        <v>0</v>
      </c>
      <c r="CC121" s="190">
        <f>SUM(CC122:CC123)</f>
        <v>0</v>
      </c>
      <c r="CD121" s="191" t="str">
        <f t="shared" si="146"/>
        <v>-</v>
      </c>
      <c r="CE121" s="190">
        <f>SUM(CE122:CE123)</f>
        <v>0</v>
      </c>
      <c r="CF121" s="190">
        <f>SUM(CF122:CF123)</f>
        <v>0</v>
      </c>
      <c r="CG121" s="191" t="str">
        <f t="shared" si="147"/>
        <v>-</v>
      </c>
      <c r="CH121" s="190">
        <f>SUM(CH122:CH123)</f>
        <v>0</v>
      </c>
      <c r="CI121" s="190">
        <f>SUM(CI122:CI123)</f>
        <v>0</v>
      </c>
      <c r="CJ121" s="193" t="str">
        <f t="shared" si="148"/>
        <v>-</v>
      </c>
      <c r="CK121" s="194" t="str">
        <f t="shared" si="149"/>
        <v>ok</v>
      </c>
      <c r="CL121" s="194"/>
    </row>
    <row r="122" spans="3:91" s="123" customFormat="1" ht="21" customHeight="1" x14ac:dyDescent="2.5">
      <c r="C122" s="96">
        <v>7</v>
      </c>
      <c r="D122" s="96" t="str">
        <f>IFERROR(INDEX([4]Account!$A:$A,MATCH(K122,[4]Account!$D:$D,0)),"")</f>
        <v/>
      </c>
      <c r="E122" s="96">
        <v>7</v>
      </c>
      <c r="F122" s="96">
        <v>22</v>
      </c>
      <c r="G122" s="96">
        <f>IFERROR(INDEX('[5]Sub Account'!$A:$A,MATCH(L122,'[5]Sub Account'!$D:$D,0)),"")</f>
        <v>217</v>
      </c>
      <c r="H122" s="96">
        <v>1</v>
      </c>
      <c r="I122" s="96">
        <v>5</v>
      </c>
      <c r="J122" s="232"/>
      <c r="K122" s="163"/>
      <c r="L122" s="164">
        <v>50021</v>
      </c>
      <c r="M122" s="165" t="s">
        <v>145</v>
      </c>
      <c r="N122" s="140">
        <f>Q122+CH122</f>
        <v>757500</v>
      </c>
      <c r="O122" s="140">
        <f>R122+CI122</f>
        <v>1215.5</v>
      </c>
      <c r="P122" s="141">
        <f t="shared" si="124"/>
        <v>1.6046204620462046E-3</v>
      </c>
      <c r="Q122" s="142">
        <f>T122+AO122</f>
        <v>757500</v>
      </c>
      <c r="R122" s="142">
        <f>U122+AP122</f>
        <v>1215.5</v>
      </c>
      <c r="S122" s="143">
        <f t="shared" si="125"/>
        <v>1.6046204620462046E-3</v>
      </c>
      <c r="T122" s="144">
        <f>W122+AI122+AL122</f>
        <v>757500</v>
      </c>
      <c r="U122" s="144">
        <f>X122+AJ122+AM122</f>
        <v>1215.5</v>
      </c>
      <c r="V122" s="145">
        <f t="shared" si="126"/>
        <v>1.6046204620462046E-3</v>
      </c>
      <c r="W122" s="144">
        <f t="shared" ref="W122:X123" si="238">Z122+AC122+AF122</f>
        <v>757500</v>
      </c>
      <c r="X122" s="144">
        <f t="shared" si="238"/>
        <v>1215.5</v>
      </c>
      <c r="Y122" s="145">
        <f t="shared" si="127"/>
        <v>1.6046204620462046E-3</v>
      </c>
      <c r="Z122" s="144"/>
      <c r="AA122" s="144"/>
      <c r="AB122" s="145" t="str">
        <f t="shared" si="128"/>
        <v>-</v>
      </c>
      <c r="AC122" s="144">
        <v>757500</v>
      </c>
      <c r="AD122" s="144">
        <v>1215.5</v>
      </c>
      <c r="AE122" s="145">
        <f t="shared" si="129"/>
        <v>1.6046204620462046E-3</v>
      </c>
      <c r="AF122" s="144"/>
      <c r="AG122" s="144"/>
      <c r="AH122" s="145" t="str">
        <f t="shared" si="130"/>
        <v>-</v>
      </c>
      <c r="AI122" s="146"/>
      <c r="AJ122" s="144"/>
      <c r="AK122" s="145" t="str">
        <f t="shared" si="131"/>
        <v>-</v>
      </c>
      <c r="AL122" s="144"/>
      <c r="AM122" s="144"/>
      <c r="AN122" s="145" t="str">
        <f t="shared" si="132"/>
        <v>-</v>
      </c>
      <c r="AO122" s="144">
        <f t="shared" ref="AO122:AP123" si="239">AR122+AU122+AX122+BA122+BG122+BJ122+BM122+BP122+BS122+BV122+BY122+CB122+CE122</f>
        <v>0</v>
      </c>
      <c r="AP122" s="144">
        <f t="shared" si="239"/>
        <v>0</v>
      </c>
      <c r="AQ122" s="145" t="str">
        <f t="shared" si="133"/>
        <v>-</v>
      </c>
      <c r="AR122" s="166"/>
      <c r="AS122" s="166"/>
      <c r="AT122" s="167" t="str">
        <f t="shared" si="134"/>
        <v>-</v>
      </c>
      <c r="AU122" s="166"/>
      <c r="AV122" s="166"/>
      <c r="AW122" s="167" t="str">
        <f t="shared" si="135"/>
        <v>-</v>
      </c>
      <c r="AX122" s="166"/>
      <c r="AY122" s="166"/>
      <c r="AZ122" s="167" t="str">
        <f t="shared" si="136"/>
        <v>-</v>
      </c>
      <c r="BA122" s="166"/>
      <c r="BB122" s="166"/>
      <c r="BC122" s="167" t="str">
        <f t="shared" si="137"/>
        <v>-</v>
      </c>
      <c r="BD122" s="166"/>
      <c r="BE122" s="166"/>
      <c r="BF122" s="167" t="str">
        <f t="shared" si="138"/>
        <v>-</v>
      </c>
      <c r="BG122" s="166"/>
      <c r="BH122" s="166"/>
      <c r="BI122" s="167" t="str">
        <f t="shared" si="139"/>
        <v>-</v>
      </c>
      <c r="BJ122" s="166"/>
      <c r="BK122" s="166"/>
      <c r="BL122" s="167" t="str">
        <f t="shared" si="140"/>
        <v>-</v>
      </c>
      <c r="BM122" s="166"/>
      <c r="BN122" s="166"/>
      <c r="BO122" s="167" t="str">
        <f t="shared" si="141"/>
        <v>-</v>
      </c>
      <c r="BP122" s="166"/>
      <c r="BQ122" s="166"/>
      <c r="BR122" s="167" t="str">
        <f t="shared" si="142"/>
        <v>-</v>
      </c>
      <c r="BS122" s="166"/>
      <c r="BT122" s="166"/>
      <c r="BU122" s="167" t="str">
        <f t="shared" si="143"/>
        <v>-</v>
      </c>
      <c r="BV122" s="166"/>
      <c r="BW122" s="166"/>
      <c r="BX122" s="167" t="str">
        <f t="shared" si="144"/>
        <v>-</v>
      </c>
      <c r="BY122" s="166"/>
      <c r="BZ122" s="166"/>
      <c r="CA122" s="167" t="str">
        <f t="shared" si="145"/>
        <v>-</v>
      </c>
      <c r="CB122" s="166"/>
      <c r="CC122" s="166"/>
      <c r="CD122" s="167" t="str">
        <f t="shared" si="146"/>
        <v>-</v>
      </c>
      <c r="CE122" s="166"/>
      <c r="CF122" s="166"/>
      <c r="CG122" s="167" t="str">
        <f t="shared" si="147"/>
        <v>-</v>
      </c>
      <c r="CH122" s="166"/>
      <c r="CI122" s="166"/>
      <c r="CJ122" s="168" t="str">
        <f t="shared" si="148"/>
        <v>-</v>
      </c>
      <c r="CK122" s="159" t="str">
        <f t="shared" si="149"/>
        <v>ok</v>
      </c>
      <c r="CL122" s="159"/>
      <c r="CM122" s="160"/>
    </row>
    <row r="123" spans="3:91" s="123" customFormat="1" ht="21" customHeight="1" x14ac:dyDescent="2.5">
      <c r="C123" s="96">
        <v>7</v>
      </c>
      <c r="D123" s="96" t="str">
        <f>IFERROR(INDEX([4]Account!$A:$A,MATCH(K123,[4]Account!$D:$D,0)),"")</f>
        <v/>
      </c>
      <c r="E123" s="96">
        <v>7</v>
      </c>
      <c r="F123" s="96">
        <v>22</v>
      </c>
      <c r="G123" s="96">
        <f>IFERROR(INDEX('[5]Sub Account'!$A:$A,MATCH(L123,'[5]Sub Account'!$D:$D,0)),"")</f>
        <v>218</v>
      </c>
      <c r="H123" s="96">
        <v>1</v>
      </c>
      <c r="I123" s="96">
        <v>5</v>
      </c>
      <c r="J123" s="227"/>
      <c r="K123" s="153"/>
      <c r="L123" s="154">
        <v>50022</v>
      </c>
      <c r="M123" s="155" t="s">
        <v>146</v>
      </c>
      <c r="N123" s="114">
        <f>Q123+CH123</f>
        <v>0</v>
      </c>
      <c r="O123" s="114">
        <f>R123+CI123</f>
        <v>964163.9</v>
      </c>
      <c r="P123" s="115" t="str">
        <f t="shared" si="124"/>
        <v>-</v>
      </c>
      <c r="Q123" s="116">
        <f>T123+AO123</f>
        <v>0</v>
      </c>
      <c r="R123" s="116">
        <f>U123+AP123</f>
        <v>964163.9</v>
      </c>
      <c r="S123" s="117" t="str">
        <f t="shared" si="125"/>
        <v>-</v>
      </c>
      <c r="T123" s="118">
        <f>W123+AI123+AL123</f>
        <v>0</v>
      </c>
      <c r="U123" s="118">
        <f>X123+AJ123+AM123</f>
        <v>964163.9</v>
      </c>
      <c r="V123" s="119" t="str">
        <f t="shared" si="126"/>
        <v>-</v>
      </c>
      <c r="W123" s="118">
        <f t="shared" si="238"/>
        <v>0</v>
      </c>
      <c r="X123" s="118">
        <f t="shared" si="238"/>
        <v>964163.9</v>
      </c>
      <c r="Y123" s="119" t="str">
        <f t="shared" si="127"/>
        <v>-</v>
      </c>
      <c r="Z123" s="118"/>
      <c r="AA123" s="118"/>
      <c r="AB123" s="119" t="str">
        <f t="shared" si="128"/>
        <v>-</v>
      </c>
      <c r="AC123" s="118"/>
      <c r="AD123" s="118">
        <v>964163.9</v>
      </c>
      <c r="AE123" s="119" t="str">
        <f t="shared" si="129"/>
        <v>-</v>
      </c>
      <c r="AF123" s="118"/>
      <c r="AG123" s="118"/>
      <c r="AH123" s="119" t="str">
        <f t="shared" si="130"/>
        <v>-</v>
      </c>
      <c r="AI123" s="120"/>
      <c r="AJ123" s="118"/>
      <c r="AK123" s="119" t="str">
        <f t="shared" si="131"/>
        <v>-</v>
      </c>
      <c r="AL123" s="118"/>
      <c r="AM123" s="118"/>
      <c r="AN123" s="119" t="str">
        <f t="shared" si="132"/>
        <v>-</v>
      </c>
      <c r="AO123" s="118">
        <f t="shared" si="239"/>
        <v>0</v>
      </c>
      <c r="AP123" s="118">
        <f t="shared" si="239"/>
        <v>0</v>
      </c>
      <c r="AQ123" s="119" t="str">
        <f t="shared" si="133"/>
        <v>-</v>
      </c>
      <c r="AR123" s="156"/>
      <c r="AS123" s="156"/>
      <c r="AT123" s="157" t="str">
        <f t="shared" si="134"/>
        <v>-</v>
      </c>
      <c r="AU123" s="156"/>
      <c r="AV123" s="156"/>
      <c r="AW123" s="157" t="str">
        <f t="shared" si="135"/>
        <v>-</v>
      </c>
      <c r="AX123" s="156"/>
      <c r="AY123" s="156"/>
      <c r="AZ123" s="157" t="str">
        <f t="shared" si="136"/>
        <v>-</v>
      </c>
      <c r="BA123" s="156"/>
      <c r="BB123" s="156"/>
      <c r="BC123" s="157" t="str">
        <f t="shared" si="137"/>
        <v>-</v>
      </c>
      <c r="BD123" s="156"/>
      <c r="BE123" s="156"/>
      <c r="BF123" s="157" t="str">
        <f t="shared" si="138"/>
        <v>-</v>
      </c>
      <c r="BG123" s="156"/>
      <c r="BH123" s="156"/>
      <c r="BI123" s="157" t="str">
        <f t="shared" si="139"/>
        <v>-</v>
      </c>
      <c r="BJ123" s="156"/>
      <c r="BK123" s="156"/>
      <c r="BL123" s="157" t="str">
        <f t="shared" si="140"/>
        <v>-</v>
      </c>
      <c r="BM123" s="156"/>
      <c r="BN123" s="156"/>
      <c r="BO123" s="157" t="str">
        <f t="shared" si="141"/>
        <v>-</v>
      </c>
      <c r="BP123" s="156"/>
      <c r="BQ123" s="156"/>
      <c r="BR123" s="157" t="str">
        <f t="shared" si="142"/>
        <v>-</v>
      </c>
      <c r="BS123" s="156"/>
      <c r="BT123" s="156"/>
      <c r="BU123" s="157" t="str">
        <f t="shared" si="143"/>
        <v>-</v>
      </c>
      <c r="BV123" s="156"/>
      <c r="BW123" s="156"/>
      <c r="BX123" s="157" t="str">
        <f t="shared" si="144"/>
        <v>-</v>
      </c>
      <c r="BY123" s="156"/>
      <c r="BZ123" s="156"/>
      <c r="CA123" s="157" t="str">
        <f t="shared" si="145"/>
        <v>-</v>
      </c>
      <c r="CB123" s="156"/>
      <c r="CC123" s="156"/>
      <c r="CD123" s="157" t="str">
        <f t="shared" si="146"/>
        <v>-</v>
      </c>
      <c r="CE123" s="156"/>
      <c r="CF123" s="156"/>
      <c r="CG123" s="157" t="str">
        <f t="shared" si="147"/>
        <v>-</v>
      </c>
      <c r="CH123" s="156"/>
      <c r="CI123" s="156"/>
      <c r="CJ123" s="158" t="str">
        <f t="shared" si="148"/>
        <v>-</v>
      </c>
      <c r="CK123" s="159" t="str">
        <f t="shared" si="149"/>
        <v>ok</v>
      </c>
      <c r="CL123" s="159"/>
      <c r="CM123" s="160"/>
    </row>
    <row r="124" spans="3:91" s="31" customFormat="1" ht="50.5" x14ac:dyDescent="0.75">
      <c r="C124" s="96">
        <v>7</v>
      </c>
      <c r="D124" s="96" t="str">
        <f>IFERROR(INDEX([4]Account!$A:$A,MATCH(K124,[4]Account!$D:$D,0)),"")</f>
        <v/>
      </c>
      <c r="E124" s="96">
        <v>7</v>
      </c>
      <c r="F124" s="96">
        <v>22</v>
      </c>
      <c r="G124" s="96" t="str">
        <f>IFERROR(INDEX('[5]Sub Account'!$A:$A,MATCH(L124,'[5]Sub Account'!$D:$D,0)),"")</f>
        <v/>
      </c>
      <c r="H124" s="96">
        <v>1</v>
      </c>
      <c r="I124" s="96"/>
      <c r="J124" s="235" t="s">
        <v>147</v>
      </c>
      <c r="K124" s="196"/>
      <c r="L124" s="197"/>
      <c r="M124" s="198"/>
      <c r="N124" s="22">
        <f>N125</f>
        <v>5465650</v>
      </c>
      <c r="O124" s="22">
        <f>O125</f>
        <v>4277956</v>
      </c>
      <c r="P124" s="23">
        <f t="shared" si="124"/>
        <v>0.7826984896581376</v>
      </c>
      <c r="Q124" s="24">
        <f>Q125</f>
        <v>5465650</v>
      </c>
      <c r="R124" s="24">
        <f>R125</f>
        <v>4277956</v>
      </c>
      <c r="S124" s="25">
        <f t="shared" si="125"/>
        <v>0.7826984896581376</v>
      </c>
      <c r="T124" s="26">
        <f>T125</f>
        <v>5465650</v>
      </c>
      <c r="U124" s="26">
        <f>U125</f>
        <v>4277956</v>
      </c>
      <c r="V124" s="27">
        <f t="shared" si="126"/>
        <v>0.7826984896581376</v>
      </c>
      <c r="W124" s="26">
        <f>W125</f>
        <v>5465650</v>
      </c>
      <c r="X124" s="26">
        <f>X125</f>
        <v>4277956</v>
      </c>
      <c r="Y124" s="27">
        <f t="shared" si="127"/>
        <v>0.7826984896581376</v>
      </c>
      <c r="Z124" s="26">
        <f>Z125</f>
        <v>0</v>
      </c>
      <c r="AA124" s="26">
        <f>AA125</f>
        <v>106</v>
      </c>
      <c r="AB124" s="27" t="str">
        <f t="shared" si="128"/>
        <v>-</v>
      </c>
      <c r="AC124" s="26">
        <f>AC125</f>
        <v>5465650</v>
      </c>
      <c r="AD124" s="26">
        <f>AD125</f>
        <v>4277850</v>
      </c>
      <c r="AE124" s="27">
        <f t="shared" si="129"/>
        <v>0.78267909580745199</v>
      </c>
      <c r="AF124" s="26">
        <f>AF125</f>
        <v>0</v>
      </c>
      <c r="AG124" s="26">
        <f>AG125</f>
        <v>0</v>
      </c>
      <c r="AH124" s="27" t="str">
        <f t="shared" si="130"/>
        <v>-</v>
      </c>
      <c r="AI124" s="28">
        <f>AI125</f>
        <v>0</v>
      </c>
      <c r="AJ124" s="26">
        <f>AJ125</f>
        <v>0</v>
      </c>
      <c r="AK124" s="27" t="str">
        <f t="shared" si="131"/>
        <v>-</v>
      </c>
      <c r="AL124" s="26">
        <f>AL125</f>
        <v>0</v>
      </c>
      <c r="AM124" s="26">
        <f>AM125</f>
        <v>0</v>
      </c>
      <c r="AN124" s="27" t="str">
        <f t="shared" si="132"/>
        <v>-</v>
      </c>
      <c r="AO124" s="26">
        <f>AO125</f>
        <v>0</v>
      </c>
      <c r="AP124" s="26">
        <f>AP125</f>
        <v>0</v>
      </c>
      <c r="AQ124" s="27" t="str">
        <f t="shared" si="133"/>
        <v>-</v>
      </c>
      <c r="AR124" s="26">
        <f>AR125</f>
        <v>0</v>
      </c>
      <c r="AS124" s="26">
        <f>AS125</f>
        <v>0</v>
      </c>
      <c r="AT124" s="27" t="str">
        <f t="shared" si="134"/>
        <v>-</v>
      </c>
      <c r="AU124" s="26">
        <f>AU125</f>
        <v>0</v>
      </c>
      <c r="AV124" s="26">
        <f>AV125</f>
        <v>0</v>
      </c>
      <c r="AW124" s="27" t="str">
        <f t="shared" si="135"/>
        <v>-</v>
      </c>
      <c r="AX124" s="26">
        <f>AX125</f>
        <v>0</v>
      </c>
      <c r="AY124" s="26">
        <f>AY125</f>
        <v>0</v>
      </c>
      <c r="AZ124" s="27" t="str">
        <f t="shared" si="136"/>
        <v>-</v>
      </c>
      <c r="BA124" s="26">
        <f>BA125</f>
        <v>0</v>
      </c>
      <c r="BB124" s="26">
        <f>BB125</f>
        <v>0</v>
      </c>
      <c r="BC124" s="27" t="str">
        <f t="shared" si="137"/>
        <v>-</v>
      </c>
      <c r="BD124" s="26">
        <f>BD125</f>
        <v>0</v>
      </c>
      <c r="BE124" s="26">
        <f>BE125</f>
        <v>0</v>
      </c>
      <c r="BF124" s="27" t="str">
        <f t="shared" si="138"/>
        <v>-</v>
      </c>
      <c r="BG124" s="26">
        <f>BG125</f>
        <v>0</v>
      </c>
      <c r="BH124" s="26">
        <f>BH125</f>
        <v>0</v>
      </c>
      <c r="BI124" s="27" t="str">
        <f t="shared" si="139"/>
        <v>-</v>
      </c>
      <c r="BJ124" s="26">
        <f>BJ125</f>
        <v>0</v>
      </c>
      <c r="BK124" s="26">
        <f>BK125</f>
        <v>0</v>
      </c>
      <c r="BL124" s="27" t="str">
        <f t="shared" si="140"/>
        <v>-</v>
      </c>
      <c r="BM124" s="26">
        <f>BM125</f>
        <v>0</v>
      </c>
      <c r="BN124" s="26">
        <f>BN125</f>
        <v>0</v>
      </c>
      <c r="BO124" s="27" t="str">
        <f t="shared" si="141"/>
        <v>-</v>
      </c>
      <c r="BP124" s="26">
        <f>BP125</f>
        <v>0</v>
      </c>
      <c r="BQ124" s="26">
        <f>BQ125</f>
        <v>0</v>
      </c>
      <c r="BR124" s="27" t="str">
        <f t="shared" si="142"/>
        <v>-</v>
      </c>
      <c r="BS124" s="26">
        <f>BS125</f>
        <v>0</v>
      </c>
      <c r="BT124" s="26">
        <f>BT125</f>
        <v>0</v>
      </c>
      <c r="BU124" s="27" t="str">
        <f t="shared" si="143"/>
        <v>-</v>
      </c>
      <c r="BV124" s="26">
        <f>BV125</f>
        <v>0</v>
      </c>
      <c r="BW124" s="26">
        <f>BW125</f>
        <v>0</v>
      </c>
      <c r="BX124" s="27" t="str">
        <f t="shared" si="144"/>
        <v>-</v>
      </c>
      <c r="BY124" s="26">
        <f>BY125</f>
        <v>0</v>
      </c>
      <c r="BZ124" s="26">
        <f>BZ125</f>
        <v>0</v>
      </c>
      <c r="CA124" s="27" t="str">
        <f t="shared" si="145"/>
        <v>-</v>
      </c>
      <c r="CB124" s="26">
        <f>CB125</f>
        <v>0</v>
      </c>
      <c r="CC124" s="26">
        <f>CC125</f>
        <v>0</v>
      </c>
      <c r="CD124" s="27" t="str">
        <f t="shared" si="146"/>
        <v>-</v>
      </c>
      <c r="CE124" s="26">
        <f>CE125</f>
        <v>0</v>
      </c>
      <c r="CF124" s="26">
        <f>CF125</f>
        <v>0</v>
      </c>
      <c r="CG124" s="27" t="str">
        <f t="shared" si="147"/>
        <v>-</v>
      </c>
      <c r="CH124" s="26">
        <f>CH125</f>
        <v>0</v>
      </c>
      <c r="CI124" s="26">
        <f>CI125</f>
        <v>0</v>
      </c>
      <c r="CJ124" s="29" t="str">
        <f t="shared" si="148"/>
        <v>-</v>
      </c>
      <c r="CK124" s="30" t="str">
        <f t="shared" si="149"/>
        <v>ok</v>
      </c>
      <c r="CL124" s="30"/>
    </row>
    <row r="125" spans="3:91" s="82" customFormat="1" ht="21" customHeight="1" x14ac:dyDescent="0.75">
      <c r="C125" s="96">
        <v>7</v>
      </c>
      <c r="D125" s="96" t="str">
        <f>IFERROR(INDEX([4]Account!$A:$A,MATCH(K125,[4]Account!$D:$D,0)),"")</f>
        <v/>
      </c>
      <c r="E125" s="96">
        <v>7</v>
      </c>
      <c r="F125" s="96">
        <v>22</v>
      </c>
      <c r="G125" s="96" t="str">
        <f>IFERROR(INDEX('[5]Sub Account'!$A:$A,MATCH(L125,'[5]Sub Account'!$D:$D,0)),"")</f>
        <v/>
      </c>
      <c r="H125" s="96">
        <v>1</v>
      </c>
      <c r="I125" s="96"/>
      <c r="J125" s="225" t="s">
        <v>138</v>
      </c>
      <c r="K125" s="70"/>
      <c r="L125" s="71"/>
      <c r="M125" s="72"/>
      <c r="N125" s="73">
        <f>N126+N129+N133</f>
        <v>5465650</v>
      </c>
      <c r="O125" s="73">
        <f>O126+O129+O133</f>
        <v>4277956</v>
      </c>
      <c r="P125" s="74">
        <f t="shared" si="124"/>
        <v>0.7826984896581376</v>
      </c>
      <c r="Q125" s="75">
        <f>Q126+Q129+Q133</f>
        <v>5465650</v>
      </c>
      <c r="R125" s="75">
        <f>R126+R129+R133</f>
        <v>4277956</v>
      </c>
      <c r="S125" s="76">
        <f t="shared" si="125"/>
        <v>0.7826984896581376</v>
      </c>
      <c r="T125" s="77">
        <f>T126+T129+T133</f>
        <v>5465650</v>
      </c>
      <c r="U125" s="77">
        <f>U126+U129+U133</f>
        <v>4277956</v>
      </c>
      <c r="V125" s="78">
        <f t="shared" si="126"/>
        <v>0.7826984896581376</v>
      </c>
      <c r="W125" s="77">
        <f>W126+W129+W133</f>
        <v>5465650</v>
      </c>
      <c r="X125" s="77">
        <f>X126+X129+X133</f>
        <v>4277956</v>
      </c>
      <c r="Y125" s="78">
        <f t="shared" si="127"/>
        <v>0.7826984896581376</v>
      </c>
      <c r="Z125" s="77">
        <f>Z126+Z129+Z133</f>
        <v>0</v>
      </c>
      <c r="AA125" s="77">
        <f>AA126+AA129+AA133</f>
        <v>106</v>
      </c>
      <c r="AB125" s="78" t="str">
        <f t="shared" si="128"/>
        <v>-</v>
      </c>
      <c r="AC125" s="77">
        <f>AC126+AC129+AC133</f>
        <v>5465650</v>
      </c>
      <c r="AD125" s="77">
        <f>AD126+AD129+AD133</f>
        <v>4277850</v>
      </c>
      <c r="AE125" s="78">
        <f t="shared" si="129"/>
        <v>0.78267909580745199</v>
      </c>
      <c r="AF125" s="77">
        <f>AF126+AF129+AF133</f>
        <v>0</v>
      </c>
      <c r="AG125" s="77">
        <f>AG126+AG129+AG133</f>
        <v>0</v>
      </c>
      <c r="AH125" s="78" t="str">
        <f t="shared" si="130"/>
        <v>-</v>
      </c>
      <c r="AI125" s="79">
        <f>AI126+AI129+AI133</f>
        <v>0</v>
      </c>
      <c r="AJ125" s="77">
        <f>AJ126+AJ129+AJ133</f>
        <v>0</v>
      </c>
      <c r="AK125" s="78" t="str">
        <f t="shared" si="131"/>
        <v>-</v>
      </c>
      <c r="AL125" s="77">
        <f>AL126+AL129+AL133</f>
        <v>0</v>
      </c>
      <c r="AM125" s="77">
        <f>AM126+AM129+AM133</f>
        <v>0</v>
      </c>
      <c r="AN125" s="78" t="str">
        <f t="shared" si="132"/>
        <v>-</v>
      </c>
      <c r="AO125" s="77">
        <f>AO126+AO129+AO133</f>
        <v>0</v>
      </c>
      <c r="AP125" s="77">
        <f>AP126+AP129+AP133</f>
        <v>0</v>
      </c>
      <c r="AQ125" s="78" t="str">
        <f t="shared" si="133"/>
        <v>-</v>
      </c>
      <c r="AR125" s="77">
        <f>AR126+AR129+AR133</f>
        <v>0</v>
      </c>
      <c r="AS125" s="77">
        <f>AS126+AS129+AS133</f>
        <v>0</v>
      </c>
      <c r="AT125" s="78" t="str">
        <f t="shared" si="134"/>
        <v>-</v>
      </c>
      <c r="AU125" s="77">
        <f>AU126+AU129+AU133</f>
        <v>0</v>
      </c>
      <c r="AV125" s="77">
        <f>AV126+AV129+AV133</f>
        <v>0</v>
      </c>
      <c r="AW125" s="78" t="str">
        <f t="shared" si="135"/>
        <v>-</v>
      </c>
      <c r="AX125" s="77">
        <f>AX126+AX129+AX133</f>
        <v>0</v>
      </c>
      <c r="AY125" s="77">
        <f>AY126+AY129+AY133</f>
        <v>0</v>
      </c>
      <c r="AZ125" s="78" t="str">
        <f t="shared" si="136"/>
        <v>-</v>
      </c>
      <c r="BA125" s="77">
        <f>BA126+BA129+BA133</f>
        <v>0</v>
      </c>
      <c r="BB125" s="77">
        <f>BB126+BB129+BB133</f>
        <v>0</v>
      </c>
      <c r="BC125" s="78" t="str">
        <f t="shared" si="137"/>
        <v>-</v>
      </c>
      <c r="BD125" s="77">
        <f>BD126+BD129+BD133</f>
        <v>0</v>
      </c>
      <c r="BE125" s="77">
        <f>BE126+BE129+BE133</f>
        <v>0</v>
      </c>
      <c r="BF125" s="78" t="str">
        <f t="shared" si="138"/>
        <v>-</v>
      </c>
      <c r="BG125" s="77">
        <f>BG126+BG129+BG133</f>
        <v>0</v>
      </c>
      <c r="BH125" s="77">
        <f>BH126+BH129+BH133</f>
        <v>0</v>
      </c>
      <c r="BI125" s="78" t="str">
        <f t="shared" si="139"/>
        <v>-</v>
      </c>
      <c r="BJ125" s="77">
        <f>BJ126+BJ129+BJ133</f>
        <v>0</v>
      </c>
      <c r="BK125" s="77">
        <f>BK126+BK129+BK133</f>
        <v>0</v>
      </c>
      <c r="BL125" s="78" t="str">
        <f t="shared" si="140"/>
        <v>-</v>
      </c>
      <c r="BM125" s="77">
        <f>BM126+BM129+BM133</f>
        <v>0</v>
      </c>
      <c r="BN125" s="77">
        <f>BN126+BN129+BN133</f>
        <v>0</v>
      </c>
      <c r="BO125" s="78" t="str">
        <f t="shared" si="141"/>
        <v>-</v>
      </c>
      <c r="BP125" s="77">
        <f>BP126+BP129+BP133</f>
        <v>0</v>
      </c>
      <c r="BQ125" s="77">
        <f>BQ126+BQ129+BQ133</f>
        <v>0</v>
      </c>
      <c r="BR125" s="78" t="str">
        <f t="shared" si="142"/>
        <v>-</v>
      </c>
      <c r="BS125" s="77">
        <f>BS126+BS129+BS133</f>
        <v>0</v>
      </c>
      <c r="BT125" s="77">
        <f>BT126+BT129+BT133</f>
        <v>0</v>
      </c>
      <c r="BU125" s="78" t="str">
        <f t="shared" si="143"/>
        <v>-</v>
      </c>
      <c r="BV125" s="77">
        <f>BV126+BV129+BV133</f>
        <v>0</v>
      </c>
      <c r="BW125" s="77">
        <f>BW126+BW129+BW133</f>
        <v>0</v>
      </c>
      <c r="BX125" s="78" t="str">
        <f t="shared" si="144"/>
        <v>-</v>
      </c>
      <c r="BY125" s="77">
        <f>BY126+BY129+BY133</f>
        <v>0</v>
      </c>
      <c r="BZ125" s="77">
        <f>BZ126+BZ129+BZ133</f>
        <v>0</v>
      </c>
      <c r="CA125" s="78" t="str">
        <f t="shared" si="145"/>
        <v>-</v>
      </c>
      <c r="CB125" s="77">
        <f>CB126+CB129+CB133</f>
        <v>0</v>
      </c>
      <c r="CC125" s="77">
        <f>CC126+CC129+CC133</f>
        <v>0</v>
      </c>
      <c r="CD125" s="78" t="str">
        <f t="shared" si="146"/>
        <v>-</v>
      </c>
      <c r="CE125" s="77">
        <f>CE126+CE129+CE133</f>
        <v>0</v>
      </c>
      <c r="CF125" s="77">
        <f>CF126+CF129+CF133</f>
        <v>0</v>
      </c>
      <c r="CG125" s="78" t="str">
        <f t="shared" si="147"/>
        <v>-</v>
      </c>
      <c r="CH125" s="77">
        <f>CH126+CH129+CH133</f>
        <v>0</v>
      </c>
      <c r="CI125" s="77">
        <f>CI126+CI129+CI133</f>
        <v>0</v>
      </c>
      <c r="CJ125" s="80" t="str">
        <f t="shared" si="148"/>
        <v>-</v>
      </c>
      <c r="CK125" s="81" t="str">
        <f t="shared" si="149"/>
        <v>ok</v>
      </c>
      <c r="CL125" s="81"/>
    </row>
    <row r="126" spans="3:91" s="123" customFormat="1" ht="21" customHeight="1" x14ac:dyDescent="0.75">
      <c r="C126" s="96">
        <v>22</v>
      </c>
      <c r="D126" s="96" t="str">
        <f>IFERROR(INDEX([4]Account!$A:$A,MATCH(K126,[4]Account!$D:$D,0)),"")</f>
        <v/>
      </c>
      <c r="E126" s="96">
        <f>IFERROR(INDEX('[3]Account Group'!$A:$A,MATCH(J126,'[3]Account Group'!$B:$B,0)),"-")</f>
        <v>22</v>
      </c>
      <c r="F126" s="96">
        <v>22</v>
      </c>
      <c r="G126" s="96" t="str">
        <f>IFERROR(INDEX('[5]Sub Account'!$A:$A,MATCH(L126,'[5]Sub Account'!$D:$D,0)),"")</f>
        <v/>
      </c>
      <c r="H126" s="96">
        <v>1</v>
      </c>
      <c r="I126" s="96">
        <v>5</v>
      </c>
      <c r="J126" s="213">
        <v>74</v>
      </c>
      <c r="K126" s="83"/>
      <c r="L126" s="84"/>
      <c r="M126" s="85" t="s">
        <v>148</v>
      </c>
      <c r="N126" s="86">
        <f>N127</f>
        <v>0</v>
      </c>
      <c r="O126" s="86">
        <f>O127</f>
        <v>106</v>
      </c>
      <c r="P126" s="87" t="str">
        <f t="shared" si="124"/>
        <v>-</v>
      </c>
      <c r="Q126" s="88">
        <f>Q127</f>
        <v>0</v>
      </c>
      <c r="R126" s="88">
        <f>R127</f>
        <v>106</v>
      </c>
      <c r="S126" s="89" t="str">
        <f t="shared" si="125"/>
        <v>-</v>
      </c>
      <c r="T126" s="90">
        <f>T127</f>
        <v>0</v>
      </c>
      <c r="U126" s="90">
        <f>U127</f>
        <v>106</v>
      </c>
      <c r="V126" s="91" t="str">
        <f t="shared" si="126"/>
        <v>-</v>
      </c>
      <c r="W126" s="90">
        <f>W127</f>
        <v>0</v>
      </c>
      <c r="X126" s="90">
        <f>X127</f>
        <v>106</v>
      </c>
      <c r="Y126" s="91" t="str">
        <f t="shared" si="127"/>
        <v>-</v>
      </c>
      <c r="Z126" s="90">
        <f>Z127</f>
        <v>0</v>
      </c>
      <c r="AA126" s="90">
        <f>AA127</f>
        <v>106</v>
      </c>
      <c r="AB126" s="91" t="str">
        <f t="shared" si="128"/>
        <v>-</v>
      </c>
      <c r="AC126" s="90">
        <f>AC127</f>
        <v>0</v>
      </c>
      <c r="AD126" s="90">
        <f>AD127</f>
        <v>0</v>
      </c>
      <c r="AE126" s="91" t="str">
        <f t="shared" si="129"/>
        <v>-</v>
      </c>
      <c r="AF126" s="90">
        <f>AF127</f>
        <v>0</v>
      </c>
      <c r="AG126" s="90">
        <f>AG127</f>
        <v>0</v>
      </c>
      <c r="AH126" s="91" t="str">
        <f t="shared" si="130"/>
        <v>-</v>
      </c>
      <c r="AI126" s="92">
        <f>AI127</f>
        <v>0</v>
      </c>
      <c r="AJ126" s="90">
        <f>AJ127</f>
        <v>0</v>
      </c>
      <c r="AK126" s="91" t="str">
        <f t="shared" si="131"/>
        <v>-</v>
      </c>
      <c r="AL126" s="90">
        <f>AL127</f>
        <v>0</v>
      </c>
      <c r="AM126" s="90">
        <f>AM127</f>
        <v>0</v>
      </c>
      <c r="AN126" s="91" t="str">
        <f t="shared" si="132"/>
        <v>-</v>
      </c>
      <c r="AO126" s="90">
        <f>AO127</f>
        <v>0</v>
      </c>
      <c r="AP126" s="90">
        <f>AP127</f>
        <v>0</v>
      </c>
      <c r="AQ126" s="91" t="str">
        <f t="shared" si="133"/>
        <v>-</v>
      </c>
      <c r="AR126" s="90">
        <f>AR127</f>
        <v>0</v>
      </c>
      <c r="AS126" s="90">
        <f>AS127</f>
        <v>0</v>
      </c>
      <c r="AT126" s="91" t="str">
        <f t="shared" si="134"/>
        <v>-</v>
      </c>
      <c r="AU126" s="90">
        <f>AU127</f>
        <v>0</v>
      </c>
      <c r="AV126" s="90">
        <f>AV127</f>
        <v>0</v>
      </c>
      <c r="AW126" s="91" t="str">
        <f t="shared" si="135"/>
        <v>-</v>
      </c>
      <c r="AX126" s="90">
        <f>AX127</f>
        <v>0</v>
      </c>
      <c r="AY126" s="90">
        <f>AY127</f>
        <v>0</v>
      </c>
      <c r="AZ126" s="91" t="str">
        <f t="shared" si="136"/>
        <v>-</v>
      </c>
      <c r="BA126" s="90">
        <f>BA127</f>
        <v>0</v>
      </c>
      <c r="BB126" s="90">
        <f>BB127</f>
        <v>0</v>
      </c>
      <c r="BC126" s="91" t="str">
        <f t="shared" si="137"/>
        <v>-</v>
      </c>
      <c r="BD126" s="90">
        <f>BD127</f>
        <v>0</v>
      </c>
      <c r="BE126" s="90">
        <f>BE127</f>
        <v>0</v>
      </c>
      <c r="BF126" s="91" t="str">
        <f t="shared" si="138"/>
        <v>-</v>
      </c>
      <c r="BG126" s="90">
        <f>BG127</f>
        <v>0</v>
      </c>
      <c r="BH126" s="90">
        <f>BH127</f>
        <v>0</v>
      </c>
      <c r="BI126" s="91" t="str">
        <f t="shared" si="139"/>
        <v>-</v>
      </c>
      <c r="BJ126" s="90">
        <f>BJ127</f>
        <v>0</v>
      </c>
      <c r="BK126" s="90">
        <f>BK127</f>
        <v>0</v>
      </c>
      <c r="BL126" s="91" t="str">
        <f t="shared" si="140"/>
        <v>-</v>
      </c>
      <c r="BM126" s="90">
        <f>BM127</f>
        <v>0</v>
      </c>
      <c r="BN126" s="90">
        <f>BN127</f>
        <v>0</v>
      </c>
      <c r="BO126" s="91" t="str">
        <f t="shared" si="141"/>
        <v>-</v>
      </c>
      <c r="BP126" s="90">
        <f>BP127</f>
        <v>0</v>
      </c>
      <c r="BQ126" s="90">
        <f>BQ127</f>
        <v>0</v>
      </c>
      <c r="BR126" s="91" t="str">
        <f t="shared" si="142"/>
        <v>-</v>
      </c>
      <c r="BS126" s="90">
        <f>BS127</f>
        <v>0</v>
      </c>
      <c r="BT126" s="90">
        <f>BT127</f>
        <v>0</v>
      </c>
      <c r="BU126" s="91" t="str">
        <f t="shared" si="143"/>
        <v>-</v>
      </c>
      <c r="BV126" s="90">
        <f>BV127</f>
        <v>0</v>
      </c>
      <c r="BW126" s="90">
        <f>BW127</f>
        <v>0</v>
      </c>
      <c r="BX126" s="91" t="str">
        <f t="shared" si="144"/>
        <v>-</v>
      </c>
      <c r="BY126" s="90">
        <f>BY127</f>
        <v>0</v>
      </c>
      <c r="BZ126" s="90">
        <f>BZ127</f>
        <v>0</v>
      </c>
      <c r="CA126" s="91" t="str">
        <f t="shared" si="145"/>
        <v>-</v>
      </c>
      <c r="CB126" s="90">
        <f>CB127</f>
        <v>0</v>
      </c>
      <c r="CC126" s="90">
        <f>CC127</f>
        <v>0</v>
      </c>
      <c r="CD126" s="91" t="str">
        <f t="shared" si="146"/>
        <v>-</v>
      </c>
      <c r="CE126" s="90">
        <f>CE127</f>
        <v>0</v>
      </c>
      <c r="CF126" s="90">
        <f>CF127</f>
        <v>0</v>
      </c>
      <c r="CG126" s="91" t="str">
        <f t="shared" si="147"/>
        <v>-</v>
      </c>
      <c r="CH126" s="90">
        <f>CH127</f>
        <v>0</v>
      </c>
      <c r="CI126" s="90">
        <f>CI127</f>
        <v>0</v>
      </c>
      <c r="CJ126" s="93" t="str">
        <f t="shared" si="148"/>
        <v>-</v>
      </c>
      <c r="CK126" s="94" t="str">
        <f t="shared" si="149"/>
        <v>ok</v>
      </c>
      <c r="CL126" s="94"/>
      <c r="CM126" s="162"/>
    </row>
    <row r="127" spans="3:91" s="195" customFormat="1" ht="21" customHeight="1" x14ac:dyDescent="0.75">
      <c r="C127" s="96">
        <v>22</v>
      </c>
      <c r="D127" s="96">
        <f>IFERROR(INDEX([4]Account!$A:$A,MATCH(K127,[4]Account!$D:$D,0)),"")</f>
        <v>110</v>
      </c>
      <c r="E127" s="96">
        <v>22</v>
      </c>
      <c r="F127" s="96">
        <f>IFERROR(INDEX([4]Account!$A:$A,MATCH(K127,[4]Account!$D:$D,0)),"")</f>
        <v>110</v>
      </c>
      <c r="G127" s="96" t="str">
        <f>IFERROR(INDEX('[5]Sub Account'!$A:$A,MATCH(L127,'[5]Sub Account'!$D:$D,0)),"")</f>
        <v/>
      </c>
      <c r="H127" s="96">
        <v>1</v>
      </c>
      <c r="I127" s="96">
        <v>5</v>
      </c>
      <c r="J127" s="231"/>
      <c r="K127" s="237">
        <v>7401</v>
      </c>
      <c r="L127" s="98"/>
      <c r="M127" s="185" t="s">
        <v>149</v>
      </c>
      <c r="N127" s="186">
        <f>N128</f>
        <v>0</v>
      </c>
      <c r="O127" s="186">
        <f>O128</f>
        <v>106</v>
      </c>
      <c r="P127" s="187" t="str">
        <f t="shared" si="124"/>
        <v>-</v>
      </c>
      <c r="Q127" s="188">
        <f>Q128</f>
        <v>0</v>
      </c>
      <c r="R127" s="188">
        <f>R128</f>
        <v>106</v>
      </c>
      <c r="S127" s="189" t="str">
        <f t="shared" si="125"/>
        <v>-</v>
      </c>
      <c r="T127" s="190">
        <f>T128</f>
        <v>0</v>
      </c>
      <c r="U127" s="190">
        <f>U128</f>
        <v>106</v>
      </c>
      <c r="V127" s="191" t="str">
        <f t="shared" si="126"/>
        <v>-</v>
      </c>
      <c r="W127" s="190">
        <f>W128</f>
        <v>0</v>
      </c>
      <c r="X127" s="190">
        <f>X128</f>
        <v>106</v>
      </c>
      <c r="Y127" s="191" t="str">
        <f t="shared" si="127"/>
        <v>-</v>
      </c>
      <c r="Z127" s="190">
        <f>Z128</f>
        <v>0</v>
      </c>
      <c r="AA127" s="190">
        <f>AA128</f>
        <v>106</v>
      </c>
      <c r="AB127" s="191" t="str">
        <f t="shared" si="128"/>
        <v>-</v>
      </c>
      <c r="AC127" s="190">
        <f>AC128</f>
        <v>0</v>
      </c>
      <c r="AD127" s="190">
        <f>AD128</f>
        <v>0</v>
      </c>
      <c r="AE127" s="191" t="str">
        <f t="shared" si="129"/>
        <v>-</v>
      </c>
      <c r="AF127" s="190">
        <f>AF128</f>
        <v>0</v>
      </c>
      <c r="AG127" s="190">
        <f>AG128</f>
        <v>0</v>
      </c>
      <c r="AH127" s="191" t="str">
        <f t="shared" si="130"/>
        <v>-</v>
      </c>
      <c r="AI127" s="192">
        <f>AI128</f>
        <v>0</v>
      </c>
      <c r="AJ127" s="190">
        <f>AJ128</f>
        <v>0</v>
      </c>
      <c r="AK127" s="191" t="str">
        <f t="shared" si="131"/>
        <v>-</v>
      </c>
      <c r="AL127" s="190">
        <f>AL128</f>
        <v>0</v>
      </c>
      <c r="AM127" s="190">
        <f>AM128</f>
        <v>0</v>
      </c>
      <c r="AN127" s="191" t="str">
        <f t="shared" si="132"/>
        <v>-</v>
      </c>
      <c r="AO127" s="190">
        <f>AO128</f>
        <v>0</v>
      </c>
      <c r="AP127" s="190">
        <f>AP128</f>
        <v>0</v>
      </c>
      <c r="AQ127" s="191" t="str">
        <f t="shared" si="133"/>
        <v>-</v>
      </c>
      <c r="AR127" s="190">
        <f>AR128</f>
        <v>0</v>
      </c>
      <c r="AS127" s="190">
        <f>AS128</f>
        <v>0</v>
      </c>
      <c r="AT127" s="191" t="str">
        <f t="shared" si="134"/>
        <v>-</v>
      </c>
      <c r="AU127" s="190">
        <f>AU128</f>
        <v>0</v>
      </c>
      <c r="AV127" s="190">
        <f>AV128</f>
        <v>0</v>
      </c>
      <c r="AW127" s="191" t="str">
        <f t="shared" si="135"/>
        <v>-</v>
      </c>
      <c r="AX127" s="190">
        <f>AX128</f>
        <v>0</v>
      </c>
      <c r="AY127" s="190">
        <f>AY128</f>
        <v>0</v>
      </c>
      <c r="AZ127" s="191" t="str">
        <f t="shared" si="136"/>
        <v>-</v>
      </c>
      <c r="BA127" s="190">
        <f>BA128</f>
        <v>0</v>
      </c>
      <c r="BB127" s="190">
        <f>BB128</f>
        <v>0</v>
      </c>
      <c r="BC127" s="191" t="str">
        <f t="shared" si="137"/>
        <v>-</v>
      </c>
      <c r="BD127" s="190">
        <f>BD128</f>
        <v>0</v>
      </c>
      <c r="BE127" s="190">
        <f>BE128</f>
        <v>0</v>
      </c>
      <c r="BF127" s="191" t="str">
        <f t="shared" si="138"/>
        <v>-</v>
      </c>
      <c r="BG127" s="190">
        <f>BG128</f>
        <v>0</v>
      </c>
      <c r="BH127" s="190">
        <f>BH128</f>
        <v>0</v>
      </c>
      <c r="BI127" s="191" t="str">
        <f t="shared" si="139"/>
        <v>-</v>
      </c>
      <c r="BJ127" s="190">
        <f>BJ128</f>
        <v>0</v>
      </c>
      <c r="BK127" s="190">
        <f>BK128</f>
        <v>0</v>
      </c>
      <c r="BL127" s="191" t="str">
        <f t="shared" si="140"/>
        <v>-</v>
      </c>
      <c r="BM127" s="190">
        <f>BM128</f>
        <v>0</v>
      </c>
      <c r="BN127" s="190">
        <f>BN128</f>
        <v>0</v>
      </c>
      <c r="BO127" s="191" t="str">
        <f t="shared" si="141"/>
        <v>-</v>
      </c>
      <c r="BP127" s="190">
        <f>BP128</f>
        <v>0</v>
      </c>
      <c r="BQ127" s="190">
        <f>BQ128</f>
        <v>0</v>
      </c>
      <c r="BR127" s="191" t="str">
        <f t="shared" si="142"/>
        <v>-</v>
      </c>
      <c r="BS127" s="190">
        <f>BS128</f>
        <v>0</v>
      </c>
      <c r="BT127" s="190">
        <f>BT128</f>
        <v>0</v>
      </c>
      <c r="BU127" s="191" t="str">
        <f t="shared" si="143"/>
        <v>-</v>
      </c>
      <c r="BV127" s="190">
        <f>BV128</f>
        <v>0</v>
      </c>
      <c r="BW127" s="190">
        <f>BW128</f>
        <v>0</v>
      </c>
      <c r="BX127" s="191" t="str">
        <f t="shared" si="144"/>
        <v>-</v>
      </c>
      <c r="BY127" s="190">
        <f>BY128</f>
        <v>0</v>
      </c>
      <c r="BZ127" s="190">
        <f>BZ128</f>
        <v>0</v>
      </c>
      <c r="CA127" s="191" t="str">
        <f t="shared" si="145"/>
        <v>-</v>
      </c>
      <c r="CB127" s="190">
        <f>CB128</f>
        <v>0</v>
      </c>
      <c r="CC127" s="190">
        <f>CC128</f>
        <v>0</v>
      </c>
      <c r="CD127" s="191" t="str">
        <f t="shared" si="146"/>
        <v>-</v>
      </c>
      <c r="CE127" s="190">
        <f>CE128</f>
        <v>0</v>
      </c>
      <c r="CF127" s="190">
        <f>CF128</f>
        <v>0</v>
      </c>
      <c r="CG127" s="191" t="str">
        <f t="shared" si="147"/>
        <v>-</v>
      </c>
      <c r="CH127" s="190">
        <f>CH128</f>
        <v>0</v>
      </c>
      <c r="CI127" s="190">
        <f>CI128</f>
        <v>0</v>
      </c>
      <c r="CJ127" s="193" t="str">
        <f t="shared" si="148"/>
        <v>-</v>
      </c>
      <c r="CK127" s="194" t="str">
        <f t="shared" si="149"/>
        <v>ok</v>
      </c>
      <c r="CL127" s="194"/>
    </row>
    <row r="128" spans="3:91" s="123" customFormat="1" ht="21" customHeight="1" x14ac:dyDescent="2.5">
      <c r="C128" s="96">
        <v>22</v>
      </c>
      <c r="D128" s="96" t="str">
        <f>IFERROR(INDEX([4]Account!$A:$A,MATCH(K128,[4]Account!$D:$D,0)),"")</f>
        <v/>
      </c>
      <c r="E128" s="96">
        <v>22</v>
      </c>
      <c r="F128" s="96">
        <v>110</v>
      </c>
      <c r="G128" s="96">
        <f>IFERROR(INDEX('[5]Sub Account'!$A:$A,MATCH(L128,'[5]Sub Account'!$D:$D,0)),"")</f>
        <v>519</v>
      </c>
      <c r="H128" s="96">
        <v>1</v>
      </c>
      <c r="I128" s="96">
        <v>5</v>
      </c>
      <c r="J128" s="232"/>
      <c r="K128" s="163"/>
      <c r="L128" s="164">
        <v>74012</v>
      </c>
      <c r="M128" s="165" t="s">
        <v>150</v>
      </c>
      <c r="N128" s="140">
        <f>Q128+CH128</f>
        <v>0</v>
      </c>
      <c r="O128" s="140">
        <f>R128+CI128</f>
        <v>106</v>
      </c>
      <c r="P128" s="141" t="str">
        <f t="shared" si="124"/>
        <v>-</v>
      </c>
      <c r="Q128" s="142">
        <f>T128+AO128</f>
        <v>0</v>
      </c>
      <c r="R128" s="142">
        <f>U128+AP128</f>
        <v>106</v>
      </c>
      <c r="S128" s="143" t="str">
        <f t="shared" si="125"/>
        <v>-</v>
      </c>
      <c r="T128" s="144">
        <f>W128+AI128+AL128</f>
        <v>0</v>
      </c>
      <c r="U128" s="144">
        <f>X128+AJ128+AM128</f>
        <v>106</v>
      </c>
      <c r="V128" s="145" t="str">
        <f t="shared" si="126"/>
        <v>-</v>
      </c>
      <c r="W128" s="144">
        <f t="shared" ref="W128:X128" si="240">Z128+AC128+AF128</f>
        <v>0</v>
      </c>
      <c r="X128" s="144">
        <f t="shared" si="240"/>
        <v>106</v>
      </c>
      <c r="Y128" s="145" t="str">
        <f t="shared" si="127"/>
        <v>-</v>
      </c>
      <c r="Z128" s="144"/>
      <c r="AA128" s="144">
        <v>106</v>
      </c>
      <c r="AB128" s="145" t="str">
        <f t="shared" si="128"/>
        <v>-</v>
      </c>
      <c r="AC128" s="144"/>
      <c r="AD128" s="144"/>
      <c r="AE128" s="145" t="str">
        <f t="shared" si="129"/>
        <v>-</v>
      </c>
      <c r="AF128" s="144"/>
      <c r="AG128" s="144"/>
      <c r="AH128" s="145" t="str">
        <f t="shared" si="130"/>
        <v>-</v>
      </c>
      <c r="AI128" s="146"/>
      <c r="AJ128" s="144"/>
      <c r="AK128" s="145" t="str">
        <f t="shared" si="131"/>
        <v>-</v>
      </c>
      <c r="AL128" s="144"/>
      <c r="AM128" s="144"/>
      <c r="AN128" s="145" t="str">
        <f t="shared" si="132"/>
        <v>-</v>
      </c>
      <c r="AO128" s="144">
        <f>AR128+AU128+AX128+BA128+BG128+BJ128+BM128+BP128+BS128+BV128+BY128+CB128+CE128</f>
        <v>0</v>
      </c>
      <c r="AP128" s="144">
        <f>AS128+AV128+AY128+BB128+BH128+BK128+BN128+BQ128+BT128+BW128+BZ128+CC128+CF128</f>
        <v>0</v>
      </c>
      <c r="AQ128" s="145" t="str">
        <f t="shared" si="133"/>
        <v>-</v>
      </c>
      <c r="AR128" s="166"/>
      <c r="AS128" s="166"/>
      <c r="AT128" s="167" t="str">
        <f t="shared" si="134"/>
        <v>-</v>
      </c>
      <c r="AU128" s="166"/>
      <c r="AV128" s="166"/>
      <c r="AW128" s="167" t="str">
        <f t="shared" si="135"/>
        <v>-</v>
      </c>
      <c r="AX128" s="166"/>
      <c r="AY128" s="166"/>
      <c r="AZ128" s="167" t="str">
        <f t="shared" si="136"/>
        <v>-</v>
      </c>
      <c r="BA128" s="166"/>
      <c r="BB128" s="166"/>
      <c r="BC128" s="167" t="str">
        <f t="shared" si="137"/>
        <v>-</v>
      </c>
      <c r="BD128" s="166"/>
      <c r="BE128" s="166"/>
      <c r="BF128" s="167" t="str">
        <f t="shared" si="138"/>
        <v>-</v>
      </c>
      <c r="BG128" s="166"/>
      <c r="BH128" s="166"/>
      <c r="BI128" s="167" t="str">
        <f t="shared" si="139"/>
        <v>-</v>
      </c>
      <c r="BJ128" s="166"/>
      <c r="BK128" s="166"/>
      <c r="BL128" s="167" t="str">
        <f t="shared" si="140"/>
        <v>-</v>
      </c>
      <c r="BM128" s="166"/>
      <c r="BN128" s="166"/>
      <c r="BO128" s="167" t="str">
        <f t="shared" si="141"/>
        <v>-</v>
      </c>
      <c r="BP128" s="166"/>
      <c r="BQ128" s="166"/>
      <c r="BR128" s="167" t="str">
        <f t="shared" si="142"/>
        <v>-</v>
      </c>
      <c r="BS128" s="166"/>
      <c r="BT128" s="166"/>
      <c r="BU128" s="167" t="str">
        <f t="shared" si="143"/>
        <v>-</v>
      </c>
      <c r="BV128" s="166"/>
      <c r="BW128" s="166"/>
      <c r="BX128" s="167" t="str">
        <f t="shared" si="144"/>
        <v>-</v>
      </c>
      <c r="BY128" s="166"/>
      <c r="BZ128" s="166"/>
      <c r="CA128" s="167" t="str">
        <f t="shared" si="145"/>
        <v>-</v>
      </c>
      <c r="CB128" s="166"/>
      <c r="CC128" s="166"/>
      <c r="CD128" s="167" t="str">
        <f t="shared" si="146"/>
        <v>-</v>
      </c>
      <c r="CE128" s="166"/>
      <c r="CF128" s="166"/>
      <c r="CG128" s="167" t="str">
        <f t="shared" si="147"/>
        <v>-</v>
      </c>
      <c r="CH128" s="166"/>
      <c r="CI128" s="166"/>
      <c r="CJ128" s="168" t="str">
        <f t="shared" si="148"/>
        <v>-</v>
      </c>
      <c r="CK128" s="159" t="str">
        <f t="shared" si="149"/>
        <v>ok</v>
      </c>
      <c r="CL128" s="159"/>
      <c r="CM128" s="160"/>
    </row>
    <row r="129" spans="3:91" s="123" customFormat="1" ht="21" customHeight="1" x14ac:dyDescent="0.75">
      <c r="C129" s="96">
        <v>23</v>
      </c>
      <c r="D129" s="96" t="str">
        <f>IFERROR(INDEX([4]Account!$A:$A,MATCH(K129,[4]Account!$D:$D,0)),"")</f>
        <v/>
      </c>
      <c r="E129" s="96">
        <f>IFERROR(INDEX('[3]Account Group'!$A:$A,MATCH(J129,'[3]Account Group'!$B:$B,0)),"-")</f>
        <v>23</v>
      </c>
      <c r="F129" s="96">
        <v>110</v>
      </c>
      <c r="G129" s="96" t="str">
        <f>IFERROR(INDEX('[5]Sub Account'!$A:$A,MATCH(L129,'[5]Sub Account'!$D:$D,0)),"")</f>
        <v/>
      </c>
      <c r="H129" s="96">
        <v>1</v>
      </c>
      <c r="I129" s="96">
        <v>5</v>
      </c>
      <c r="J129" s="213">
        <v>75</v>
      </c>
      <c r="K129" s="83"/>
      <c r="L129" s="84"/>
      <c r="M129" s="85" t="s">
        <v>139</v>
      </c>
      <c r="N129" s="86">
        <f>N130</f>
        <v>862450</v>
      </c>
      <c r="O129" s="86">
        <f>O130</f>
        <v>214031.8</v>
      </c>
      <c r="P129" s="87">
        <f t="shared" si="124"/>
        <v>0.24816719809844048</v>
      </c>
      <c r="Q129" s="88">
        <f>Q130</f>
        <v>862450</v>
      </c>
      <c r="R129" s="88">
        <f>R130</f>
        <v>214031.8</v>
      </c>
      <c r="S129" s="89">
        <f t="shared" si="125"/>
        <v>0.24816719809844048</v>
      </c>
      <c r="T129" s="90">
        <f>T130</f>
        <v>862450</v>
      </c>
      <c r="U129" s="90">
        <f>U130</f>
        <v>214031.8</v>
      </c>
      <c r="V129" s="91">
        <f t="shared" si="126"/>
        <v>0.24816719809844048</v>
      </c>
      <c r="W129" s="90">
        <f>W130</f>
        <v>862450</v>
      </c>
      <c r="X129" s="90">
        <f>X130</f>
        <v>214031.8</v>
      </c>
      <c r="Y129" s="91">
        <f t="shared" si="127"/>
        <v>0.24816719809844048</v>
      </c>
      <c r="Z129" s="90">
        <f>Z130</f>
        <v>0</v>
      </c>
      <c r="AA129" s="90">
        <f>AA130</f>
        <v>0</v>
      </c>
      <c r="AB129" s="91" t="str">
        <f t="shared" si="128"/>
        <v>-</v>
      </c>
      <c r="AC129" s="90">
        <f>AC130</f>
        <v>862450</v>
      </c>
      <c r="AD129" s="90">
        <f>AD130</f>
        <v>214031.8</v>
      </c>
      <c r="AE129" s="91">
        <f t="shared" si="129"/>
        <v>0.24816719809844048</v>
      </c>
      <c r="AF129" s="90">
        <f>AF130</f>
        <v>0</v>
      </c>
      <c r="AG129" s="90">
        <f>AG130</f>
        <v>0</v>
      </c>
      <c r="AH129" s="91" t="str">
        <f t="shared" si="130"/>
        <v>-</v>
      </c>
      <c r="AI129" s="92">
        <f>AI130</f>
        <v>0</v>
      </c>
      <c r="AJ129" s="90">
        <f>AJ130</f>
        <v>0</v>
      </c>
      <c r="AK129" s="91" t="str">
        <f t="shared" si="131"/>
        <v>-</v>
      </c>
      <c r="AL129" s="90">
        <f>AL130</f>
        <v>0</v>
      </c>
      <c r="AM129" s="90">
        <f>AM130</f>
        <v>0</v>
      </c>
      <c r="AN129" s="91" t="str">
        <f t="shared" si="132"/>
        <v>-</v>
      </c>
      <c r="AO129" s="90">
        <f>AO130</f>
        <v>0</v>
      </c>
      <c r="AP129" s="90">
        <f>AP130</f>
        <v>0</v>
      </c>
      <c r="AQ129" s="91" t="str">
        <f t="shared" si="133"/>
        <v>-</v>
      </c>
      <c r="AR129" s="90">
        <f>AR130</f>
        <v>0</v>
      </c>
      <c r="AS129" s="90">
        <f>AS130</f>
        <v>0</v>
      </c>
      <c r="AT129" s="91" t="str">
        <f t="shared" si="134"/>
        <v>-</v>
      </c>
      <c r="AU129" s="90">
        <f>AU130</f>
        <v>0</v>
      </c>
      <c r="AV129" s="90">
        <f>AV130</f>
        <v>0</v>
      </c>
      <c r="AW129" s="91" t="str">
        <f t="shared" si="135"/>
        <v>-</v>
      </c>
      <c r="AX129" s="90">
        <f>AX130</f>
        <v>0</v>
      </c>
      <c r="AY129" s="90">
        <f>AY130</f>
        <v>0</v>
      </c>
      <c r="AZ129" s="91" t="str">
        <f t="shared" si="136"/>
        <v>-</v>
      </c>
      <c r="BA129" s="90">
        <f>BA130</f>
        <v>0</v>
      </c>
      <c r="BB129" s="90">
        <f>BB130</f>
        <v>0</v>
      </c>
      <c r="BC129" s="91" t="str">
        <f t="shared" si="137"/>
        <v>-</v>
      </c>
      <c r="BD129" s="90">
        <f>BD130</f>
        <v>0</v>
      </c>
      <c r="BE129" s="90">
        <f>BE130</f>
        <v>0</v>
      </c>
      <c r="BF129" s="91" t="str">
        <f t="shared" si="138"/>
        <v>-</v>
      </c>
      <c r="BG129" s="90">
        <f>BG130</f>
        <v>0</v>
      </c>
      <c r="BH129" s="90">
        <f>BH130</f>
        <v>0</v>
      </c>
      <c r="BI129" s="91" t="str">
        <f t="shared" si="139"/>
        <v>-</v>
      </c>
      <c r="BJ129" s="90">
        <f>BJ130</f>
        <v>0</v>
      </c>
      <c r="BK129" s="90">
        <f>BK130</f>
        <v>0</v>
      </c>
      <c r="BL129" s="91" t="str">
        <f t="shared" si="140"/>
        <v>-</v>
      </c>
      <c r="BM129" s="90">
        <f>BM130</f>
        <v>0</v>
      </c>
      <c r="BN129" s="90">
        <f>BN130</f>
        <v>0</v>
      </c>
      <c r="BO129" s="91" t="str">
        <f t="shared" si="141"/>
        <v>-</v>
      </c>
      <c r="BP129" s="90">
        <f>BP130</f>
        <v>0</v>
      </c>
      <c r="BQ129" s="90">
        <f>BQ130</f>
        <v>0</v>
      </c>
      <c r="BR129" s="91" t="str">
        <f t="shared" si="142"/>
        <v>-</v>
      </c>
      <c r="BS129" s="90">
        <f>BS130</f>
        <v>0</v>
      </c>
      <c r="BT129" s="90">
        <f>BT130</f>
        <v>0</v>
      </c>
      <c r="BU129" s="91" t="str">
        <f t="shared" si="143"/>
        <v>-</v>
      </c>
      <c r="BV129" s="90">
        <f>BV130</f>
        <v>0</v>
      </c>
      <c r="BW129" s="90">
        <f>BW130</f>
        <v>0</v>
      </c>
      <c r="BX129" s="91" t="str">
        <f t="shared" si="144"/>
        <v>-</v>
      </c>
      <c r="BY129" s="90">
        <f>BY130</f>
        <v>0</v>
      </c>
      <c r="BZ129" s="90">
        <f>BZ130</f>
        <v>0</v>
      </c>
      <c r="CA129" s="91" t="str">
        <f t="shared" si="145"/>
        <v>-</v>
      </c>
      <c r="CB129" s="90">
        <f>CB130</f>
        <v>0</v>
      </c>
      <c r="CC129" s="90">
        <f>CC130</f>
        <v>0</v>
      </c>
      <c r="CD129" s="91" t="str">
        <f t="shared" si="146"/>
        <v>-</v>
      </c>
      <c r="CE129" s="90">
        <f>CE130</f>
        <v>0</v>
      </c>
      <c r="CF129" s="90">
        <f>CF130</f>
        <v>0</v>
      </c>
      <c r="CG129" s="91" t="str">
        <f t="shared" si="147"/>
        <v>-</v>
      </c>
      <c r="CH129" s="90">
        <f>CH130</f>
        <v>0</v>
      </c>
      <c r="CI129" s="90">
        <f>CI130</f>
        <v>0</v>
      </c>
      <c r="CJ129" s="93" t="str">
        <f t="shared" si="148"/>
        <v>-</v>
      </c>
      <c r="CK129" s="94" t="str">
        <f t="shared" si="149"/>
        <v>ok</v>
      </c>
      <c r="CL129" s="94"/>
      <c r="CM129" s="162"/>
    </row>
    <row r="130" spans="3:91" s="195" customFormat="1" ht="21" customHeight="1" x14ac:dyDescent="0.75">
      <c r="C130" s="96">
        <v>23</v>
      </c>
      <c r="D130" s="96">
        <f>IFERROR(INDEX([4]Account!$A:$A,MATCH(K130,[4]Account!$D:$D,0)),"")</f>
        <v>124</v>
      </c>
      <c r="E130" s="96">
        <v>23</v>
      </c>
      <c r="F130" s="96">
        <f>IFERROR(INDEX([4]Account!$A:$A,MATCH(K130,[4]Account!$D:$D,0)),"")</f>
        <v>124</v>
      </c>
      <c r="G130" s="96" t="str">
        <f>IFERROR(INDEX('[5]Sub Account'!$A:$A,MATCH(L130,'[5]Sub Account'!$D:$D,0)),"")</f>
        <v/>
      </c>
      <c r="H130" s="96">
        <v>1</v>
      </c>
      <c r="I130" s="96">
        <v>5</v>
      </c>
      <c r="J130" s="231"/>
      <c r="K130" s="97">
        <v>7514</v>
      </c>
      <c r="L130" s="98"/>
      <c r="M130" s="185" t="s">
        <v>140</v>
      </c>
      <c r="N130" s="186">
        <f>SUM(N131:N132)</f>
        <v>862450</v>
      </c>
      <c r="O130" s="186">
        <f>SUM(O131:O132)</f>
        <v>214031.8</v>
      </c>
      <c r="P130" s="187">
        <f t="shared" si="124"/>
        <v>0.24816719809844048</v>
      </c>
      <c r="Q130" s="188">
        <f>SUM(Q131:Q132)</f>
        <v>862450</v>
      </c>
      <c r="R130" s="188">
        <f>SUM(R131:R132)</f>
        <v>214031.8</v>
      </c>
      <c r="S130" s="189">
        <f t="shared" si="125"/>
        <v>0.24816719809844048</v>
      </c>
      <c r="T130" s="190">
        <f>SUM(T131:T132)</f>
        <v>862450</v>
      </c>
      <c r="U130" s="190">
        <f>SUM(U131:U132)</f>
        <v>214031.8</v>
      </c>
      <c r="V130" s="191">
        <f t="shared" si="126"/>
        <v>0.24816719809844048</v>
      </c>
      <c r="W130" s="190">
        <f>SUM(W131:W132)</f>
        <v>862450</v>
      </c>
      <c r="X130" s="190">
        <f>SUM(X131:X132)</f>
        <v>214031.8</v>
      </c>
      <c r="Y130" s="191">
        <f t="shared" si="127"/>
        <v>0.24816719809844048</v>
      </c>
      <c r="Z130" s="190">
        <f>SUM(Z131:Z132)</f>
        <v>0</v>
      </c>
      <c r="AA130" s="190">
        <f>SUM(AA131:AA132)</f>
        <v>0</v>
      </c>
      <c r="AB130" s="191" t="str">
        <f t="shared" si="128"/>
        <v>-</v>
      </c>
      <c r="AC130" s="190">
        <f>SUM(AC131:AC132)</f>
        <v>862450</v>
      </c>
      <c r="AD130" s="190">
        <f>SUM(AD131:AD132)</f>
        <v>214031.8</v>
      </c>
      <c r="AE130" s="191">
        <f t="shared" si="129"/>
        <v>0.24816719809844048</v>
      </c>
      <c r="AF130" s="190">
        <f>SUM(AF131:AF132)</f>
        <v>0</v>
      </c>
      <c r="AG130" s="190">
        <f>SUM(AG131:AG132)</f>
        <v>0</v>
      </c>
      <c r="AH130" s="191" t="str">
        <f t="shared" si="130"/>
        <v>-</v>
      </c>
      <c r="AI130" s="192">
        <f>SUM(AI131:AI132)</f>
        <v>0</v>
      </c>
      <c r="AJ130" s="190">
        <f>SUM(AJ131:AJ132)</f>
        <v>0</v>
      </c>
      <c r="AK130" s="191" t="str">
        <f t="shared" si="131"/>
        <v>-</v>
      </c>
      <c r="AL130" s="190">
        <f>SUM(AL131:AL132)</f>
        <v>0</v>
      </c>
      <c r="AM130" s="190">
        <f>SUM(AM131:AM132)</f>
        <v>0</v>
      </c>
      <c r="AN130" s="191" t="str">
        <f t="shared" si="132"/>
        <v>-</v>
      </c>
      <c r="AO130" s="190">
        <f>SUM(AO131:AO132)</f>
        <v>0</v>
      </c>
      <c r="AP130" s="190">
        <f>SUM(AP131:AP132)</f>
        <v>0</v>
      </c>
      <c r="AQ130" s="191" t="str">
        <f t="shared" si="133"/>
        <v>-</v>
      </c>
      <c r="AR130" s="190">
        <f>SUM(AR131:AR132)</f>
        <v>0</v>
      </c>
      <c r="AS130" s="190">
        <f>SUM(AS131:AS132)</f>
        <v>0</v>
      </c>
      <c r="AT130" s="191" t="str">
        <f t="shared" si="134"/>
        <v>-</v>
      </c>
      <c r="AU130" s="190">
        <f>SUM(AU131:AU132)</f>
        <v>0</v>
      </c>
      <c r="AV130" s="190">
        <f>SUM(AV131:AV132)</f>
        <v>0</v>
      </c>
      <c r="AW130" s="191" t="str">
        <f t="shared" si="135"/>
        <v>-</v>
      </c>
      <c r="AX130" s="190">
        <f>SUM(AX131:AX132)</f>
        <v>0</v>
      </c>
      <c r="AY130" s="190">
        <f>SUM(AY131:AY132)</f>
        <v>0</v>
      </c>
      <c r="AZ130" s="191" t="str">
        <f t="shared" si="136"/>
        <v>-</v>
      </c>
      <c r="BA130" s="190">
        <f>SUM(BA131:BA132)</f>
        <v>0</v>
      </c>
      <c r="BB130" s="190">
        <f>SUM(BB131:BB132)</f>
        <v>0</v>
      </c>
      <c r="BC130" s="191" t="str">
        <f t="shared" si="137"/>
        <v>-</v>
      </c>
      <c r="BD130" s="190">
        <f>SUM(BD131:BD132)</f>
        <v>0</v>
      </c>
      <c r="BE130" s="190">
        <f>SUM(BE131:BE132)</f>
        <v>0</v>
      </c>
      <c r="BF130" s="191" t="str">
        <f t="shared" si="138"/>
        <v>-</v>
      </c>
      <c r="BG130" s="190">
        <f>SUM(BG131:BG132)</f>
        <v>0</v>
      </c>
      <c r="BH130" s="190">
        <f>SUM(BH131:BH132)</f>
        <v>0</v>
      </c>
      <c r="BI130" s="191" t="str">
        <f t="shared" si="139"/>
        <v>-</v>
      </c>
      <c r="BJ130" s="190">
        <f>SUM(BJ131:BJ132)</f>
        <v>0</v>
      </c>
      <c r="BK130" s="190">
        <f>SUM(BK131:BK132)</f>
        <v>0</v>
      </c>
      <c r="BL130" s="191" t="str">
        <f t="shared" si="140"/>
        <v>-</v>
      </c>
      <c r="BM130" s="190">
        <f>SUM(BM131:BM132)</f>
        <v>0</v>
      </c>
      <c r="BN130" s="190">
        <f>SUM(BN131:BN132)</f>
        <v>0</v>
      </c>
      <c r="BO130" s="191" t="str">
        <f t="shared" si="141"/>
        <v>-</v>
      </c>
      <c r="BP130" s="190">
        <f>SUM(BP131:BP132)</f>
        <v>0</v>
      </c>
      <c r="BQ130" s="190">
        <f>SUM(BQ131:BQ132)</f>
        <v>0</v>
      </c>
      <c r="BR130" s="191" t="str">
        <f t="shared" si="142"/>
        <v>-</v>
      </c>
      <c r="BS130" s="190">
        <f>SUM(BS131:BS132)</f>
        <v>0</v>
      </c>
      <c r="BT130" s="190">
        <f>SUM(BT131:BT132)</f>
        <v>0</v>
      </c>
      <c r="BU130" s="191" t="str">
        <f t="shared" si="143"/>
        <v>-</v>
      </c>
      <c r="BV130" s="190">
        <f>SUM(BV131:BV132)</f>
        <v>0</v>
      </c>
      <c r="BW130" s="190">
        <f>SUM(BW131:BW132)</f>
        <v>0</v>
      </c>
      <c r="BX130" s="191" t="str">
        <f t="shared" si="144"/>
        <v>-</v>
      </c>
      <c r="BY130" s="190">
        <f>SUM(BY131:BY132)</f>
        <v>0</v>
      </c>
      <c r="BZ130" s="190">
        <f>SUM(BZ131:BZ132)</f>
        <v>0</v>
      </c>
      <c r="CA130" s="191" t="str">
        <f t="shared" si="145"/>
        <v>-</v>
      </c>
      <c r="CB130" s="190">
        <f>SUM(CB131:CB132)</f>
        <v>0</v>
      </c>
      <c r="CC130" s="190">
        <f>SUM(CC131:CC132)</f>
        <v>0</v>
      </c>
      <c r="CD130" s="191" t="str">
        <f t="shared" si="146"/>
        <v>-</v>
      </c>
      <c r="CE130" s="190">
        <f>SUM(CE131:CE132)</f>
        <v>0</v>
      </c>
      <c r="CF130" s="190">
        <f>SUM(CF131:CF132)</f>
        <v>0</v>
      </c>
      <c r="CG130" s="191" t="str">
        <f t="shared" si="147"/>
        <v>-</v>
      </c>
      <c r="CH130" s="190">
        <f>SUM(CH131:CH132)</f>
        <v>0</v>
      </c>
      <c r="CI130" s="190">
        <f>SUM(CI131:CI132)</f>
        <v>0</v>
      </c>
      <c r="CJ130" s="193" t="str">
        <f t="shared" si="148"/>
        <v>-</v>
      </c>
      <c r="CK130" s="194" t="str">
        <f t="shared" si="149"/>
        <v>ok</v>
      </c>
      <c r="CL130" s="194"/>
    </row>
    <row r="131" spans="3:91" s="123" customFormat="1" ht="21" customHeight="1" x14ac:dyDescent="2.5">
      <c r="C131" s="96">
        <v>23</v>
      </c>
      <c r="D131" s="96" t="str">
        <f>IFERROR(INDEX([4]Account!$A:$A,MATCH(K131,[4]Account!$D:$D,0)),"")</f>
        <v/>
      </c>
      <c r="E131" s="96">
        <v>23</v>
      </c>
      <c r="F131" s="96">
        <v>124</v>
      </c>
      <c r="G131" s="96">
        <f>IFERROR(INDEX('[5]Sub Account'!$A:$A,MATCH(L131,'[5]Sub Account'!$D:$D,0)),"")</f>
        <v>478</v>
      </c>
      <c r="H131" s="96">
        <v>1</v>
      </c>
      <c r="I131" s="96">
        <v>5</v>
      </c>
      <c r="J131" s="232"/>
      <c r="K131" s="163"/>
      <c r="L131" s="164">
        <v>75141</v>
      </c>
      <c r="M131" s="165" t="s">
        <v>141</v>
      </c>
      <c r="N131" s="140">
        <f>Q131+CH131</f>
        <v>258735</v>
      </c>
      <c r="O131" s="140">
        <f>R131+CI131</f>
        <v>3373.5</v>
      </c>
      <c r="P131" s="141">
        <f t="shared" si="124"/>
        <v>1.3038437010841208E-2</v>
      </c>
      <c r="Q131" s="142">
        <f>T131+AO131</f>
        <v>258735</v>
      </c>
      <c r="R131" s="142">
        <f>U131+AP131</f>
        <v>3373.5</v>
      </c>
      <c r="S131" s="143">
        <f t="shared" si="125"/>
        <v>1.3038437010841208E-2</v>
      </c>
      <c r="T131" s="144">
        <f>W131+AI131+AL131</f>
        <v>258735</v>
      </c>
      <c r="U131" s="144">
        <f>X131+AJ131+AM131</f>
        <v>3373.5</v>
      </c>
      <c r="V131" s="145">
        <f t="shared" si="126"/>
        <v>1.3038437010841208E-2</v>
      </c>
      <c r="W131" s="144">
        <f t="shared" ref="W131:X132" si="241">Z131+AC131+AF131</f>
        <v>258735</v>
      </c>
      <c r="X131" s="144">
        <f t="shared" si="241"/>
        <v>3373.5</v>
      </c>
      <c r="Y131" s="145">
        <f t="shared" si="127"/>
        <v>1.3038437010841208E-2</v>
      </c>
      <c r="Z131" s="144"/>
      <c r="AA131" s="144"/>
      <c r="AB131" s="145" t="str">
        <f t="shared" si="128"/>
        <v>-</v>
      </c>
      <c r="AC131" s="144">
        <v>258735</v>
      </c>
      <c r="AD131" s="144">
        <v>3373.5</v>
      </c>
      <c r="AE131" s="145">
        <f t="shared" si="129"/>
        <v>1.3038437010841208E-2</v>
      </c>
      <c r="AF131" s="144"/>
      <c r="AG131" s="144"/>
      <c r="AH131" s="145" t="str">
        <f t="shared" si="130"/>
        <v>-</v>
      </c>
      <c r="AI131" s="146"/>
      <c r="AJ131" s="144"/>
      <c r="AK131" s="145" t="str">
        <f t="shared" si="131"/>
        <v>-</v>
      </c>
      <c r="AL131" s="144"/>
      <c r="AM131" s="144"/>
      <c r="AN131" s="145" t="str">
        <f t="shared" si="132"/>
        <v>-</v>
      </c>
      <c r="AO131" s="144">
        <f t="shared" ref="AO131:AP132" si="242">AR131+AU131+AX131+BA131+BG131+BJ131+BM131+BP131+BS131+BV131+BY131+CB131+CE131</f>
        <v>0</v>
      </c>
      <c r="AP131" s="144">
        <f t="shared" si="242"/>
        <v>0</v>
      </c>
      <c r="AQ131" s="145" t="str">
        <f t="shared" si="133"/>
        <v>-</v>
      </c>
      <c r="AR131" s="166"/>
      <c r="AS131" s="166"/>
      <c r="AT131" s="167" t="str">
        <f t="shared" si="134"/>
        <v>-</v>
      </c>
      <c r="AU131" s="166"/>
      <c r="AV131" s="166"/>
      <c r="AW131" s="167" t="str">
        <f t="shared" si="135"/>
        <v>-</v>
      </c>
      <c r="AX131" s="166"/>
      <c r="AY131" s="166"/>
      <c r="AZ131" s="167" t="str">
        <f t="shared" si="136"/>
        <v>-</v>
      </c>
      <c r="BA131" s="166"/>
      <c r="BB131" s="166"/>
      <c r="BC131" s="167" t="str">
        <f t="shared" si="137"/>
        <v>-</v>
      </c>
      <c r="BD131" s="166"/>
      <c r="BE131" s="166"/>
      <c r="BF131" s="167" t="str">
        <f t="shared" si="138"/>
        <v>-</v>
      </c>
      <c r="BG131" s="166"/>
      <c r="BH131" s="166"/>
      <c r="BI131" s="167" t="str">
        <f t="shared" si="139"/>
        <v>-</v>
      </c>
      <c r="BJ131" s="166"/>
      <c r="BK131" s="166"/>
      <c r="BL131" s="167" t="str">
        <f t="shared" si="140"/>
        <v>-</v>
      </c>
      <c r="BM131" s="166"/>
      <c r="BN131" s="166"/>
      <c r="BO131" s="167" t="str">
        <f t="shared" si="141"/>
        <v>-</v>
      </c>
      <c r="BP131" s="166"/>
      <c r="BQ131" s="166"/>
      <c r="BR131" s="167" t="str">
        <f t="shared" si="142"/>
        <v>-</v>
      </c>
      <c r="BS131" s="166"/>
      <c r="BT131" s="166"/>
      <c r="BU131" s="167" t="str">
        <f t="shared" si="143"/>
        <v>-</v>
      </c>
      <c r="BV131" s="166"/>
      <c r="BW131" s="166"/>
      <c r="BX131" s="167" t="str">
        <f t="shared" si="144"/>
        <v>-</v>
      </c>
      <c r="BY131" s="166"/>
      <c r="BZ131" s="166"/>
      <c r="CA131" s="167" t="str">
        <f t="shared" si="145"/>
        <v>-</v>
      </c>
      <c r="CB131" s="166"/>
      <c r="CC131" s="166"/>
      <c r="CD131" s="167" t="str">
        <f t="shared" si="146"/>
        <v>-</v>
      </c>
      <c r="CE131" s="166"/>
      <c r="CF131" s="166"/>
      <c r="CG131" s="167" t="str">
        <f t="shared" si="147"/>
        <v>-</v>
      </c>
      <c r="CH131" s="166"/>
      <c r="CI131" s="166"/>
      <c r="CJ131" s="168" t="str">
        <f t="shared" si="148"/>
        <v>-</v>
      </c>
      <c r="CK131" s="159" t="str">
        <f t="shared" si="149"/>
        <v>ok</v>
      </c>
      <c r="CL131" s="159"/>
      <c r="CM131" s="160"/>
    </row>
    <row r="132" spans="3:91" s="123" customFormat="1" ht="21" customHeight="1" x14ac:dyDescent="2.5">
      <c r="C132" s="96">
        <v>23</v>
      </c>
      <c r="D132" s="96" t="str">
        <f>IFERROR(INDEX([4]Account!$A:$A,MATCH(K132,[4]Account!$D:$D,0)),"")</f>
        <v/>
      </c>
      <c r="E132" s="96">
        <v>23</v>
      </c>
      <c r="F132" s="96">
        <v>124</v>
      </c>
      <c r="G132" s="96">
        <f>IFERROR(INDEX('[5]Sub Account'!$A:$A,MATCH(L132,'[5]Sub Account'!$D:$D,0)),"")</f>
        <v>479</v>
      </c>
      <c r="H132" s="96">
        <v>1</v>
      </c>
      <c r="I132" s="96">
        <v>5</v>
      </c>
      <c r="J132" s="232"/>
      <c r="K132" s="163"/>
      <c r="L132" s="164">
        <v>75142</v>
      </c>
      <c r="M132" s="165" t="s">
        <v>142</v>
      </c>
      <c r="N132" s="140">
        <f>Q132+CH132</f>
        <v>603715</v>
      </c>
      <c r="O132" s="140">
        <f>R132+CI132</f>
        <v>210658.3</v>
      </c>
      <c r="P132" s="141">
        <f t="shared" si="124"/>
        <v>0.34893666713598304</v>
      </c>
      <c r="Q132" s="142">
        <f>T132+AO132</f>
        <v>603715</v>
      </c>
      <c r="R132" s="142">
        <f>U132+AP132</f>
        <v>210658.3</v>
      </c>
      <c r="S132" s="143">
        <f t="shared" si="125"/>
        <v>0.34893666713598304</v>
      </c>
      <c r="T132" s="144">
        <f>W132+AI132+AL132</f>
        <v>603715</v>
      </c>
      <c r="U132" s="144">
        <f>X132+AJ132+AM132</f>
        <v>210658.3</v>
      </c>
      <c r="V132" s="145">
        <f t="shared" si="126"/>
        <v>0.34893666713598304</v>
      </c>
      <c r="W132" s="144">
        <f t="shared" si="241"/>
        <v>603715</v>
      </c>
      <c r="X132" s="144">
        <f t="shared" si="241"/>
        <v>210658.3</v>
      </c>
      <c r="Y132" s="145">
        <f t="shared" si="127"/>
        <v>0.34893666713598304</v>
      </c>
      <c r="Z132" s="144"/>
      <c r="AA132" s="144"/>
      <c r="AB132" s="145" t="str">
        <f t="shared" si="128"/>
        <v>-</v>
      </c>
      <c r="AC132" s="144">
        <v>603715</v>
      </c>
      <c r="AD132" s="144">
        <v>210658.3</v>
      </c>
      <c r="AE132" s="145">
        <f t="shared" si="129"/>
        <v>0.34893666713598304</v>
      </c>
      <c r="AF132" s="144"/>
      <c r="AG132" s="144"/>
      <c r="AH132" s="145" t="str">
        <f t="shared" si="130"/>
        <v>-</v>
      </c>
      <c r="AI132" s="146"/>
      <c r="AJ132" s="144"/>
      <c r="AK132" s="145" t="str">
        <f t="shared" si="131"/>
        <v>-</v>
      </c>
      <c r="AL132" s="144"/>
      <c r="AM132" s="144"/>
      <c r="AN132" s="145" t="str">
        <f t="shared" si="132"/>
        <v>-</v>
      </c>
      <c r="AO132" s="144">
        <f t="shared" si="242"/>
        <v>0</v>
      </c>
      <c r="AP132" s="144">
        <f t="shared" si="242"/>
        <v>0</v>
      </c>
      <c r="AQ132" s="145" t="str">
        <f t="shared" si="133"/>
        <v>-</v>
      </c>
      <c r="AR132" s="166"/>
      <c r="AS132" s="166"/>
      <c r="AT132" s="167" t="str">
        <f t="shared" si="134"/>
        <v>-</v>
      </c>
      <c r="AU132" s="166"/>
      <c r="AV132" s="166"/>
      <c r="AW132" s="167" t="str">
        <f t="shared" si="135"/>
        <v>-</v>
      </c>
      <c r="AX132" s="166"/>
      <c r="AY132" s="166"/>
      <c r="AZ132" s="167" t="str">
        <f t="shared" si="136"/>
        <v>-</v>
      </c>
      <c r="BA132" s="166"/>
      <c r="BB132" s="166"/>
      <c r="BC132" s="167" t="str">
        <f t="shared" si="137"/>
        <v>-</v>
      </c>
      <c r="BD132" s="166"/>
      <c r="BE132" s="166"/>
      <c r="BF132" s="167" t="str">
        <f t="shared" si="138"/>
        <v>-</v>
      </c>
      <c r="BG132" s="166"/>
      <c r="BH132" s="166"/>
      <c r="BI132" s="167" t="str">
        <f t="shared" si="139"/>
        <v>-</v>
      </c>
      <c r="BJ132" s="166"/>
      <c r="BK132" s="166"/>
      <c r="BL132" s="167" t="str">
        <f t="shared" si="140"/>
        <v>-</v>
      </c>
      <c r="BM132" s="166"/>
      <c r="BN132" s="166"/>
      <c r="BO132" s="167" t="str">
        <f t="shared" si="141"/>
        <v>-</v>
      </c>
      <c r="BP132" s="166"/>
      <c r="BQ132" s="166"/>
      <c r="BR132" s="167" t="str">
        <f t="shared" si="142"/>
        <v>-</v>
      </c>
      <c r="BS132" s="166"/>
      <c r="BT132" s="166"/>
      <c r="BU132" s="167" t="str">
        <f t="shared" si="143"/>
        <v>-</v>
      </c>
      <c r="BV132" s="166"/>
      <c r="BW132" s="166"/>
      <c r="BX132" s="167" t="str">
        <f t="shared" si="144"/>
        <v>-</v>
      </c>
      <c r="BY132" s="166"/>
      <c r="BZ132" s="166"/>
      <c r="CA132" s="167" t="str">
        <f t="shared" si="145"/>
        <v>-</v>
      </c>
      <c r="CB132" s="166"/>
      <c r="CC132" s="166"/>
      <c r="CD132" s="167" t="str">
        <f t="shared" si="146"/>
        <v>-</v>
      </c>
      <c r="CE132" s="166"/>
      <c r="CF132" s="166"/>
      <c r="CG132" s="167" t="str">
        <f t="shared" si="147"/>
        <v>-</v>
      </c>
      <c r="CH132" s="166"/>
      <c r="CI132" s="166"/>
      <c r="CJ132" s="168" t="str">
        <f t="shared" si="148"/>
        <v>-</v>
      </c>
      <c r="CK132" s="159" t="str">
        <f t="shared" si="149"/>
        <v>ok</v>
      </c>
      <c r="CL132" s="159"/>
      <c r="CM132" s="160"/>
    </row>
    <row r="133" spans="3:91" s="123" customFormat="1" ht="21" customHeight="1" x14ac:dyDescent="0.75">
      <c r="C133" s="96">
        <v>7</v>
      </c>
      <c r="D133" s="96" t="str">
        <f>IFERROR(INDEX([4]Account!$A:$A,MATCH(K133,[4]Account!$D:$D,0)),"")</f>
        <v/>
      </c>
      <c r="E133" s="96">
        <f>IFERROR(INDEX('[3]Account Group'!$A:$A,MATCH(J133,'[3]Account Group'!$B:$B,0)),"-")</f>
        <v>7</v>
      </c>
      <c r="F133" s="96">
        <v>124</v>
      </c>
      <c r="G133" s="96" t="str">
        <f>IFERROR(INDEX('[5]Sub Account'!$A:$A,MATCH(L133,'[5]Sub Account'!$D:$D,0)),"")</f>
        <v/>
      </c>
      <c r="H133" s="96">
        <v>1</v>
      </c>
      <c r="I133" s="96">
        <v>5</v>
      </c>
      <c r="J133" s="238">
        <v>50</v>
      </c>
      <c r="K133" s="126"/>
      <c r="L133" s="127"/>
      <c r="M133" s="128" t="s">
        <v>143</v>
      </c>
      <c r="N133" s="129">
        <f>N134</f>
        <v>4603200</v>
      </c>
      <c r="O133" s="129">
        <f>O134</f>
        <v>4063818.2</v>
      </c>
      <c r="P133" s="130">
        <f t="shared" si="124"/>
        <v>0.88282460027806742</v>
      </c>
      <c r="Q133" s="131">
        <f>Q134</f>
        <v>4603200</v>
      </c>
      <c r="R133" s="131">
        <f>R134</f>
        <v>4063818.2</v>
      </c>
      <c r="S133" s="132">
        <f t="shared" si="125"/>
        <v>0.88282460027806742</v>
      </c>
      <c r="T133" s="133">
        <f>T134</f>
        <v>4603200</v>
      </c>
      <c r="U133" s="133">
        <f>U134</f>
        <v>4063818.2</v>
      </c>
      <c r="V133" s="134">
        <f t="shared" si="126"/>
        <v>0.88282460027806742</v>
      </c>
      <c r="W133" s="133">
        <f>W134</f>
        <v>4603200</v>
      </c>
      <c r="X133" s="133">
        <f>X134</f>
        <v>4063818.2</v>
      </c>
      <c r="Y133" s="134">
        <f t="shared" si="127"/>
        <v>0.88282460027806742</v>
      </c>
      <c r="Z133" s="133">
        <f>Z134</f>
        <v>0</v>
      </c>
      <c r="AA133" s="133">
        <f>AA134</f>
        <v>0</v>
      </c>
      <c r="AB133" s="134" t="str">
        <f t="shared" si="128"/>
        <v>-</v>
      </c>
      <c r="AC133" s="133">
        <f>AC134</f>
        <v>4603200</v>
      </c>
      <c r="AD133" s="133">
        <f>AD134</f>
        <v>4063818.2</v>
      </c>
      <c r="AE133" s="134">
        <f t="shared" si="129"/>
        <v>0.88282460027806742</v>
      </c>
      <c r="AF133" s="133">
        <f>AF134</f>
        <v>0</v>
      </c>
      <c r="AG133" s="133">
        <f>AG134</f>
        <v>0</v>
      </c>
      <c r="AH133" s="134" t="str">
        <f t="shared" si="130"/>
        <v>-</v>
      </c>
      <c r="AI133" s="135">
        <f>AI134</f>
        <v>0</v>
      </c>
      <c r="AJ133" s="133">
        <f>AJ134</f>
        <v>0</v>
      </c>
      <c r="AK133" s="134" t="str">
        <f t="shared" si="131"/>
        <v>-</v>
      </c>
      <c r="AL133" s="133">
        <f>AL134</f>
        <v>0</v>
      </c>
      <c r="AM133" s="133">
        <f>AM134</f>
        <v>0</v>
      </c>
      <c r="AN133" s="134" t="str">
        <f t="shared" si="132"/>
        <v>-</v>
      </c>
      <c r="AO133" s="133">
        <f>AO134</f>
        <v>0</v>
      </c>
      <c r="AP133" s="133">
        <f>AP134</f>
        <v>0</v>
      </c>
      <c r="AQ133" s="134" t="str">
        <f t="shared" si="133"/>
        <v>-</v>
      </c>
      <c r="AR133" s="133">
        <f>AR134</f>
        <v>0</v>
      </c>
      <c r="AS133" s="133">
        <f>AS134</f>
        <v>0</v>
      </c>
      <c r="AT133" s="134" t="str">
        <f t="shared" si="134"/>
        <v>-</v>
      </c>
      <c r="AU133" s="133">
        <f>AU134</f>
        <v>0</v>
      </c>
      <c r="AV133" s="133">
        <f>AV134</f>
        <v>0</v>
      </c>
      <c r="AW133" s="134" t="str">
        <f t="shared" si="135"/>
        <v>-</v>
      </c>
      <c r="AX133" s="133">
        <f>AX134</f>
        <v>0</v>
      </c>
      <c r="AY133" s="133">
        <f>AY134</f>
        <v>0</v>
      </c>
      <c r="AZ133" s="134" t="str">
        <f t="shared" si="136"/>
        <v>-</v>
      </c>
      <c r="BA133" s="133">
        <f>BA134</f>
        <v>0</v>
      </c>
      <c r="BB133" s="133">
        <f>BB134</f>
        <v>0</v>
      </c>
      <c r="BC133" s="134" t="str">
        <f t="shared" si="137"/>
        <v>-</v>
      </c>
      <c r="BD133" s="133">
        <f>BD134</f>
        <v>0</v>
      </c>
      <c r="BE133" s="133">
        <f>BE134</f>
        <v>0</v>
      </c>
      <c r="BF133" s="134" t="str">
        <f t="shared" si="138"/>
        <v>-</v>
      </c>
      <c r="BG133" s="133">
        <f>BG134</f>
        <v>0</v>
      </c>
      <c r="BH133" s="133">
        <f>BH134</f>
        <v>0</v>
      </c>
      <c r="BI133" s="134" t="str">
        <f t="shared" si="139"/>
        <v>-</v>
      </c>
      <c r="BJ133" s="133">
        <f>BJ134</f>
        <v>0</v>
      </c>
      <c r="BK133" s="133">
        <f>BK134</f>
        <v>0</v>
      </c>
      <c r="BL133" s="134" t="str">
        <f t="shared" si="140"/>
        <v>-</v>
      </c>
      <c r="BM133" s="133">
        <f>BM134</f>
        <v>0</v>
      </c>
      <c r="BN133" s="133">
        <f>BN134</f>
        <v>0</v>
      </c>
      <c r="BO133" s="134" t="str">
        <f t="shared" si="141"/>
        <v>-</v>
      </c>
      <c r="BP133" s="133">
        <f>BP134</f>
        <v>0</v>
      </c>
      <c r="BQ133" s="133">
        <f>BQ134</f>
        <v>0</v>
      </c>
      <c r="BR133" s="134" t="str">
        <f t="shared" si="142"/>
        <v>-</v>
      </c>
      <c r="BS133" s="133">
        <f>BS134</f>
        <v>0</v>
      </c>
      <c r="BT133" s="133">
        <f>BT134</f>
        <v>0</v>
      </c>
      <c r="BU133" s="134" t="str">
        <f t="shared" si="143"/>
        <v>-</v>
      </c>
      <c r="BV133" s="133">
        <f>BV134</f>
        <v>0</v>
      </c>
      <c r="BW133" s="133">
        <f>BW134</f>
        <v>0</v>
      </c>
      <c r="BX133" s="134" t="str">
        <f t="shared" si="144"/>
        <v>-</v>
      </c>
      <c r="BY133" s="133">
        <f>BY134</f>
        <v>0</v>
      </c>
      <c r="BZ133" s="133">
        <f>BZ134</f>
        <v>0</v>
      </c>
      <c r="CA133" s="134" t="str">
        <f t="shared" si="145"/>
        <v>-</v>
      </c>
      <c r="CB133" s="133">
        <f>CB134</f>
        <v>0</v>
      </c>
      <c r="CC133" s="133">
        <f>CC134</f>
        <v>0</v>
      </c>
      <c r="CD133" s="134" t="str">
        <f t="shared" si="146"/>
        <v>-</v>
      </c>
      <c r="CE133" s="133">
        <f>CE134</f>
        <v>0</v>
      </c>
      <c r="CF133" s="133">
        <f>CF134</f>
        <v>0</v>
      </c>
      <c r="CG133" s="134" t="str">
        <f t="shared" si="147"/>
        <v>-</v>
      </c>
      <c r="CH133" s="133">
        <f>CH134</f>
        <v>0</v>
      </c>
      <c r="CI133" s="133">
        <f>CI134</f>
        <v>0</v>
      </c>
      <c r="CJ133" s="136" t="str">
        <f t="shared" si="148"/>
        <v>-</v>
      </c>
      <c r="CK133" s="94" t="str">
        <f t="shared" si="149"/>
        <v>ok</v>
      </c>
      <c r="CL133" s="94"/>
      <c r="CM133" s="162"/>
    </row>
    <row r="134" spans="3:91" s="195" customFormat="1" ht="21" customHeight="1" x14ac:dyDescent="0.75">
      <c r="C134" s="96">
        <v>7</v>
      </c>
      <c r="D134" s="96">
        <f>IFERROR(INDEX([4]Account!$A:$A,MATCH(K134,[4]Account!$D:$D,0)),"")</f>
        <v>22</v>
      </c>
      <c r="E134" s="96">
        <v>7</v>
      </c>
      <c r="F134" s="96">
        <f>IFERROR(INDEX([4]Account!$A:$A,MATCH(K134,[4]Account!$D:$D,0)),"")</f>
        <v>22</v>
      </c>
      <c r="G134" s="96" t="str">
        <f>IFERROR(INDEX('[5]Sub Account'!$A:$A,MATCH(L134,'[5]Sub Account'!$D:$D,0)),"")</f>
        <v/>
      </c>
      <c r="H134" s="96">
        <v>1</v>
      </c>
      <c r="I134" s="96">
        <v>5</v>
      </c>
      <c r="J134" s="231"/>
      <c r="K134" s="97">
        <v>5002</v>
      </c>
      <c r="L134" s="98"/>
      <c r="M134" s="185" t="s">
        <v>144</v>
      </c>
      <c r="N134" s="186">
        <f>SUM(N135:N136)</f>
        <v>4603200</v>
      </c>
      <c r="O134" s="186">
        <f>SUM(O135:O136)</f>
        <v>4063818.2</v>
      </c>
      <c r="P134" s="187">
        <f t="shared" si="124"/>
        <v>0.88282460027806742</v>
      </c>
      <c r="Q134" s="188">
        <f>SUM(Q135:Q136)</f>
        <v>4603200</v>
      </c>
      <c r="R134" s="188">
        <f>SUM(R135:R136)</f>
        <v>4063818.2</v>
      </c>
      <c r="S134" s="189">
        <f t="shared" si="125"/>
        <v>0.88282460027806742</v>
      </c>
      <c r="T134" s="190">
        <f>SUM(T135:T136)</f>
        <v>4603200</v>
      </c>
      <c r="U134" s="190">
        <f>SUM(U135:U136)</f>
        <v>4063818.2</v>
      </c>
      <c r="V134" s="191">
        <f t="shared" si="126"/>
        <v>0.88282460027806742</v>
      </c>
      <c r="W134" s="190">
        <f>SUM(W135:W136)</f>
        <v>4603200</v>
      </c>
      <c r="X134" s="190">
        <f>SUM(X135:X136)</f>
        <v>4063818.2</v>
      </c>
      <c r="Y134" s="191">
        <f t="shared" si="127"/>
        <v>0.88282460027806742</v>
      </c>
      <c r="Z134" s="190">
        <f>SUM(Z135:Z136)</f>
        <v>0</v>
      </c>
      <c r="AA134" s="190">
        <f>SUM(AA135:AA136)</f>
        <v>0</v>
      </c>
      <c r="AB134" s="191" t="str">
        <f t="shared" si="128"/>
        <v>-</v>
      </c>
      <c r="AC134" s="190">
        <f>SUM(AC135:AC136)</f>
        <v>4603200</v>
      </c>
      <c r="AD134" s="190">
        <f>SUM(AD135:AD136)</f>
        <v>4063818.2</v>
      </c>
      <c r="AE134" s="191">
        <f t="shared" si="129"/>
        <v>0.88282460027806742</v>
      </c>
      <c r="AF134" s="190">
        <f>SUM(AF135:AF136)</f>
        <v>0</v>
      </c>
      <c r="AG134" s="190">
        <f>SUM(AG135:AG136)</f>
        <v>0</v>
      </c>
      <c r="AH134" s="191" t="str">
        <f t="shared" si="130"/>
        <v>-</v>
      </c>
      <c r="AI134" s="192">
        <f>SUM(AI135:AI136)</f>
        <v>0</v>
      </c>
      <c r="AJ134" s="190">
        <f>SUM(AJ135:AJ136)</f>
        <v>0</v>
      </c>
      <c r="AK134" s="191" t="str">
        <f t="shared" si="131"/>
        <v>-</v>
      </c>
      <c r="AL134" s="190">
        <f>SUM(AL135:AL136)</f>
        <v>0</v>
      </c>
      <c r="AM134" s="190">
        <f>SUM(AM135:AM136)</f>
        <v>0</v>
      </c>
      <c r="AN134" s="191" t="str">
        <f t="shared" si="132"/>
        <v>-</v>
      </c>
      <c r="AO134" s="190">
        <f>SUM(AO135:AO136)</f>
        <v>0</v>
      </c>
      <c r="AP134" s="190">
        <f>SUM(AP135:AP136)</f>
        <v>0</v>
      </c>
      <c r="AQ134" s="191" t="str">
        <f t="shared" si="133"/>
        <v>-</v>
      </c>
      <c r="AR134" s="190">
        <f>SUM(AR135:AR136)</f>
        <v>0</v>
      </c>
      <c r="AS134" s="190">
        <f>SUM(AS135:AS136)</f>
        <v>0</v>
      </c>
      <c r="AT134" s="191" t="str">
        <f t="shared" si="134"/>
        <v>-</v>
      </c>
      <c r="AU134" s="190">
        <f>SUM(AU135:AU136)</f>
        <v>0</v>
      </c>
      <c r="AV134" s="190">
        <f>SUM(AV135:AV136)</f>
        <v>0</v>
      </c>
      <c r="AW134" s="191" t="str">
        <f t="shared" si="135"/>
        <v>-</v>
      </c>
      <c r="AX134" s="190">
        <f>SUM(AX135:AX136)</f>
        <v>0</v>
      </c>
      <c r="AY134" s="190">
        <f>SUM(AY135:AY136)</f>
        <v>0</v>
      </c>
      <c r="AZ134" s="191" t="str">
        <f t="shared" si="136"/>
        <v>-</v>
      </c>
      <c r="BA134" s="190">
        <f>SUM(BA135:BA136)</f>
        <v>0</v>
      </c>
      <c r="BB134" s="190">
        <f>SUM(BB135:BB136)</f>
        <v>0</v>
      </c>
      <c r="BC134" s="191" t="str">
        <f t="shared" si="137"/>
        <v>-</v>
      </c>
      <c r="BD134" s="190">
        <f>SUM(BD135:BD136)</f>
        <v>0</v>
      </c>
      <c r="BE134" s="190">
        <f>SUM(BE135:BE136)</f>
        <v>0</v>
      </c>
      <c r="BF134" s="191" t="str">
        <f t="shared" si="138"/>
        <v>-</v>
      </c>
      <c r="BG134" s="190">
        <f>SUM(BG135:BG136)</f>
        <v>0</v>
      </c>
      <c r="BH134" s="190">
        <f>SUM(BH135:BH136)</f>
        <v>0</v>
      </c>
      <c r="BI134" s="191" t="str">
        <f t="shared" si="139"/>
        <v>-</v>
      </c>
      <c r="BJ134" s="190">
        <f>SUM(BJ135:BJ136)</f>
        <v>0</v>
      </c>
      <c r="BK134" s="190">
        <f>SUM(BK135:BK136)</f>
        <v>0</v>
      </c>
      <c r="BL134" s="191" t="str">
        <f t="shared" si="140"/>
        <v>-</v>
      </c>
      <c r="BM134" s="190">
        <f>SUM(BM135:BM136)</f>
        <v>0</v>
      </c>
      <c r="BN134" s="190">
        <f>SUM(BN135:BN136)</f>
        <v>0</v>
      </c>
      <c r="BO134" s="191" t="str">
        <f t="shared" si="141"/>
        <v>-</v>
      </c>
      <c r="BP134" s="190">
        <f>SUM(BP135:BP136)</f>
        <v>0</v>
      </c>
      <c r="BQ134" s="190">
        <f>SUM(BQ135:BQ136)</f>
        <v>0</v>
      </c>
      <c r="BR134" s="191" t="str">
        <f t="shared" si="142"/>
        <v>-</v>
      </c>
      <c r="BS134" s="190">
        <f>SUM(BS135:BS136)</f>
        <v>0</v>
      </c>
      <c r="BT134" s="190">
        <f>SUM(BT135:BT136)</f>
        <v>0</v>
      </c>
      <c r="BU134" s="191" t="str">
        <f t="shared" si="143"/>
        <v>-</v>
      </c>
      <c r="BV134" s="190">
        <f>SUM(BV135:BV136)</f>
        <v>0</v>
      </c>
      <c r="BW134" s="190">
        <f>SUM(BW135:BW136)</f>
        <v>0</v>
      </c>
      <c r="BX134" s="191" t="str">
        <f t="shared" si="144"/>
        <v>-</v>
      </c>
      <c r="BY134" s="190">
        <f>SUM(BY135:BY136)</f>
        <v>0</v>
      </c>
      <c r="BZ134" s="190">
        <f>SUM(BZ135:BZ136)</f>
        <v>0</v>
      </c>
      <c r="CA134" s="191" t="str">
        <f t="shared" si="145"/>
        <v>-</v>
      </c>
      <c r="CB134" s="190">
        <f>SUM(CB135:CB136)</f>
        <v>0</v>
      </c>
      <c r="CC134" s="190">
        <f>SUM(CC135:CC136)</f>
        <v>0</v>
      </c>
      <c r="CD134" s="191" t="str">
        <f t="shared" si="146"/>
        <v>-</v>
      </c>
      <c r="CE134" s="190">
        <f>SUM(CE135:CE136)</f>
        <v>0</v>
      </c>
      <c r="CF134" s="190">
        <f>SUM(CF135:CF136)</f>
        <v>0</v>
      </c>
      <c r="CG134" s="191" t="str">
        <f t="shared" si="147"/>
        <v>-</v>
      </c>
      <c r="CH134" s="190">
        <f>SUM(CH135:CH136)</f>
        <v>0</v>
      </c>
      <c r="CI134" s="190">
        <f>SUM(CI135:CI136)</f>
        <v>0</v>
      </c>
      <c r="CJ134" s="193" t="str">
        <f t="shared" si="148"/>
        <v>-</v>
      </c>
      <c r="CK134" s="194" t="str">
        <f t="shared" si="149"/>
        <v>ok</v>
      </c>
      <c r="CL134" s="194"/>
    </row>
    <row r="135" spans="3:91" s="123" customFormat="1" ht="21" customHeight="1" x14ac:dyDescent="2.5">
      <c r="C135" s="96">
        <v>7</v>
      </c>
      <c r="D135" s="96" t="str">
        <f>IFERROR(INDEX([4]Account!$A:$A,MATCH(K135,[4]Account!$D:$D,0)),"")</f>
        <v/>
      </c>
      <c r="E135" s="96">
        <v>7</v>
      </c>
      <c r="F135" s="96">
        <v>22</v>
      </c>
      <c r="G135" s="96">
        <f>IFERROR(INDEX('[5]Sub Account'!$A:$A,MATCH(L135,'[5]Sub Account'!$D:$D,0)),"")</f>
        <v>217</v>
      </c>
      <c r="H135" s="96">
        <v>1</v>
      </c>
      <c r="I135" s="96">
        <v>5</v>
      </c>
      <c r="J135" s="232"/>
      <c r="K135" s="163"/>
      <c r="L135" s="164">
        <v>50021</v>
      </c>
      <c r="M135" s="165" t="s">
        <v>145</v>
      </c>
      <c r="N135" s="140">
        <f>Q135+CH135</f>
        <v>1841280</v>
      </c>
      <c r="O135" s="140">
        <f>R135+CI135</f>
        <v>1270572.2</v>
      </c>
      <c r="P135" s="141">
        <f t="shared" si="124"/>
        <v>0.69004833594021553</v>
      </c>
      <c r="Q135" s="142">
        <f>T135+AO135</f>
        <v>1841280</v>
      </c>
      <c r="R135" s="142">
        <f>U135+AP135</f>
        <v>1270572.2</v>
      </c>
      <c r="S135" s="143">
        <f t="shared" si="125"/>
        <v>0.69004833594021553</v>
      </c>
      <c r="T135" s="144">
        <f>W135+AI135+AL135</f>
        <v>1841280</v>
      </c>
      <c r="U135" s="144">
        <f>X135+AJ135+AM135</f>
        <v>1270572.2</v>
      </c>
      <c r="V135" s="145">
        <f t="shared" si="126"/>
        <v>0.69004833594021553</v>
      </c>
      <c r="W135" s="144">
        <f t="shared" ref="W135:X136" si="243">Z135+AC135+AF135</f>
        <v>1841280</v>
      </c>
      <c r="X135" s="144">
        <f t="shared" si="243"/>
        <v>1270572.2</v>
      </c>
      <c r="Y135" s="145">
        <f t="shared" si="127"/>
        <v>0.69004833594021553</v>
      </c>
      <c r="Z135" s="144"/>
      <c r="AA135" s="144"/>
      <c r="AB135" s="145" t="str">
        <f t="shared" si="128"/>
        <v>-</v>
      </c>
      <c r="AC135" s="144">
        <v>1841280</v>
      </c>
      <c r="AD135" s="144">
        <v>1270572.2</v>
      </c>
      <c r="AE135" s="145">
        <f t="shared" si="129"/>
        <v>0.69004833594021553</v>
      </c>
      <c r="AF135" s="144"/>
      <c r="AG135" s="144"/>
      <c r="AH135" s="145" t="str">
        <f t="shared" si="130"/>
        <v>-</v>
      </c>
      <c r="AI135" s="146"/>
      <c r="AJ135" s="144"/>
      <c r="AK135" s="145" t="str">
        <f t="shared" si="131"/>
        <v>-</v>
      </c>
      <c r="AL135" s="144"/>
      <c r="AM135" s="144"/>
      <c r="AN135" s="145" t="str">
        <f t="shared" si="132"/>
        <v>-</v>
      </c>
      <c r="AO135" s="144">
        <f t="shared" ref="AO135:AP136" si="244">AR135+AU135+AX135+BA135+BG135+BJ135+BM135+BP135+BS135+BV135+BY135+CB135+CE135</f>
        <v>0</v>
      </c>
      <c r="AP135" s="144">
        <f t="shared" si="244"/>
        <v>0</v>
      </c>
      <c r="AQ135" s="145" t="str">
        <f t="shared" si="133"/>
        <v>-</v>
      </c>
      <c r="AR135" s="166"/>
      <c r="AS135" s="166"/>
      <c r="AT135" s="167" t="str">
        <f t="shared" si="134"/>
        <v>-</v>
      </c>
      <c r="AU135" s="166"/>
      <c r="AV135" s="166"/>
      <c r="AW135" s="167" t="str">
        <f t="shared" si="135"/>
        <v>-</v>
      </c>
      <c r="AX135" s="166"/>
      <c r="AY135" s="166"/>
      <c r="AZ135" s="167" t="str">
        <f t="shared" si="136"/>
        <v>-</v>
      </c>
      <c r="BA135" s="166"/>
      <c r="BB135" s="166"/>
      <c r="BC135" s="167" t="str">
        <f t="shared" si="137"/>
        <v>-</v>
      </c>
      <c r="BD135" s="166"/>
      <c r="BE135" s="166"/>
      <c r="BF135" s="167" t="str">
        <f t="shared" si="138"/>
        <v>-</v>
      </c>
      <c r="BG135" s="166"/>
      <c r="BH135" s="166"/>
      <c r="BI135" s="167" t="str">
        <f t="shared" si="139"/>
        <v>-</v>
      </c>
      <c r="BJ135" s="166"/>
      <c r="BK135" s="166"/>
      <c r="BL135" s="167" t="str">
        <f t="shared" si="140"/>
        <v>-</v>
      </c>
      <c r="BM135" s="166"/>
      <c r="BN135" s="166"/>
      <c r="BO135" s="167" t="str">
        <f t="shared" si="141"/>
        <v>-</v>
      </c>
      <c r="BP135" s="166"/>
      <c r="BQ135" s="166"/>
      <c r="BR135" s="167" t="str">
        <f t="shared" si="142"/>
        <v>-</v>
      </c>
      <c r="BS135" s="166"/>
      <c r="BT135" s="166"/>
      <c r="BU135" s="167" t="str">
        <f t="shared" si="143"/>
        <v>-</v>
      </c>
      <c r="BV135" s="166"/>
      <c r="BW135" s="166"/>
      <c r="BX135" s="167" t="str">
        <f t="shared" si="144"/>
        <v>-</v>
      </c>
      <c r="BY135" s="166"/>
      <c r="BZ135" s="166"/>
      <c r="CA135" s="167" t="str">
        <f t="shared" si="145"/>
        <v>-</v>
      </c>
      <c r="CB135" s="166"/>
      <c r="CC135" s="166"/>
      <c r="CD135" s="167" t="str">
        <f t="shared" si="146"/>
        <v>-</v>
      </c>
      <c r="CE135" s="166"/>
      <c r="CF135" s="166"/>
      <c r="CG135" s="167" t="str">
        <f t="shared" si="147"/>
        <v>-</v>
      </c>
      <c r="CH135" s="166"/>
      <c r="CI135" s="166"/>
      <c r="CJ135" s="168" t="str">
        <f t="shared" si="148"/>
        <v>-</v>
      </c>
      <c r="CK135" s="159" t="str">
        <f t="shared" si="149"/>
        <v>ok</v>
      </c>
      <c r="CL135" s="159"/>
      <c r="CM135" s="160"/>
    </row>
    <row r="136" spans="3:91" s="123" customFormat="1" ht="21" customHeight="1" thickBot="1" x14ac:dyDescent="2.65">
      <c r="C136" s="96">
        <v>7</v>
      </c>
      <c r="D136" s="96" t="str">
        <f>IFERROR(INDEX([4]Account!$A:$A,MATCH(K136,[4]Account!$D:$D,0)),"")</f>
        <v/>
      </c>
      <c r="E136" s="96">
        <v>7</v>
      </c>
      <c r="F136" s="96">
        <v>22</v>
      </c>
      <c r="G136" s="96">
        <f>IFERROR(INDEX('[5]Sub Account'!$A:$A,MATCH(L136,'[5]Sub Account'!$D:$D,0)),"")</f>
        <v>218</v>
      </c>
      <c r="H136" s="96">
        <v>1</v>
      </c>
      <c r="I136" s="96">
        <v>5</v>
      </c>
      <c r="J136" s="236"/>
      <c r="K136" s="199"/>
      <c r="L136" s="200">
        <v>50022</v>
      </c>
      <c r="M136" s="201" t="s">
        <v>146</v>
      </c>
      <c r="N136" s="202">
        <f>Q136+CH136</f>
        <v>2761920</v>
      </c>
      <c r="O136" s="202">
        <f>R136+CI136</f>
        <v>2793246</v>
      </c>
      <c r="P136" s="203">
        <f t="shared" si="124"/>
        <v>1.0113421098366353</v>
      </c>
      <c r="Q136" s="204">
        <f>T136+AO136</f>
        <v>2761920</v>
      </c>
      <c r="R136" s="204">
        <f>U136+AP136</f>
        <v>2793246</v>
      </c>
      <c r="S136" s="205">
        <f t="shared" si="125"/>
        <v>1.0113421098366353</v>
      </c>
      <c r="T136" s="206">
        <f>W136+AI136+AL136</f>
        <v>2761920</v>
      </c>
      <c r="U136" s="206">
        <f>X136+AJ136+AM136</f>
        <v>2793246</v>
      </c>
      <c r="V136" s="207">
        <f t="shared" si="126"/>
        <v>1.0113421098366353</v>
      </c>
      <c r="W136" s="206">
        <f t="shared" si="243"/>
        <v>2761920</v>
      </c>
      <c r="X136" s="206">
        <f t="shared" si="243"/>
        <v>2793246</v>
      </c>
      <c r="Y136" s="207">
        <f t="shared" si="127"/>
        <v>1.0113421098366353</v>
      </c>
      <c r="Z136" s="206"/>
      <c r="AA136" s="206"/>
      <c r="AB136" s="207" t="str">
        <f t="shared" si="128"/>
        <v>-</v>
      </c>
      <c r="AC136" s="206">
        <v>2761920</v>
      </c>
      <c r="AD136" s="206">
        <v>2793246</v>
      </c>
      <c r="AE136" s="207">
        <f t="shared" si="129"/>
        <v>1.0113421098366353</v>
      </c>
      <c r="AF136" s="206"/>
      <c r="AG136" s="206"/>
      <c r="AH136" s="207" t="str">
        <f t="shared" si="130"/>
        <v>-</v>
      </c>
      <c r="AI136" s="208"/>
      <c r="AJ136" s="206"/>
      <c r="AK136" s="207" t="str">
        <f t="shared" si="131"/>
        <v>-</v>
      </c>
      <c r="AL136" s="206"/>
      <c r="AM136" s="206"/>
      <c r="AN136" s="207" t="str">
        <f t="shared" si="132"/>
        <v>-</v>
      </c>
      <c r="AO136" s="206">
        <f t="shared" si="244"/>
        <v>0</v>
      </c>
      <c r="AP136" s="206">
        <f t="shared" si="244"/>
        <v>0</v>
      </c>
      <c r="AQ136" s="207" t="str">
        <f t="shared" si="133"/>
        <v>-</v>
      </c>
      <c r="AR136" s="209"/>
      <c r="AS136" s="209"/>
      <c r="AT136" s="210" t="str">
        <f t="shared" si="134"/>
        <v>-</v>
      </c>
      <c r="AU136" s="209"/>
      <c r="AV136" s="209"/>
      <c r="AW136" s="210" t="str">
        <f t="shared" si="135"/>
        <v>-</v>
      </c>
      <c r="AX136" s="209"/>
      <c r="AY136" s="209"/>
      <c r="AZ136" s="210" t="str">
        <f t="shared" si="136"/>
        <v>-</v>
      </c>
      <c r="BA136" s="209"/>
      <c r="BB136" s="209"/>
      <c r="BC136" s="210" t="str">
        <f t="shared" si="137"/>
        <v>-</v>
      </c>
      <c r="BD136" s="209"/>
      <c r="BE136" s="209"/>
      <c r="BF136" s="210" t="str">
        <f t="shared" si="138"/>
        <v>-</v>
      </c>
      <c r="BG136" s="209"/>
      <c r="BH136" s="209"/>
      <c r="BI136" s="210" t="str">
        <f t="shared" si="139"/>
        <v>-</v>
      </c>
      <c r="BJ136" s="209"/>
      <c r="BK136" s="209"/>
      <c r="BL136" s="210" t="str">
        <f t="shared" si="140"/>
        <v>-</v>
      </c>
      <c r="BM136" s="209"/>
      <c r="BN136" s="209"/>
      <c r="BO136" s="210" t="str">
        <f t="shared" si="141"/>
        <v>-</v>
      </c>
      <c r="BP136" s="209"/>
      <c r="BQ136" s="209"/>
      <c r="BR136" s="210" t="str">
        <f t="shared" si="142"/>
        <v>-</v>
      </c>
      <c r="BS136" s="209"/>
      <c r="BT136" s="209"/>
      <c r="BU136" s="210" t="str">
        <f t="shared" si="143"/>
        <v>-</v>
      </c>
      <c r="BV136" s="209"/>
      <c r="BW136" s="209"/>
      <c r="BX136" s="210" t="str">
        <f t="shared" si="144"/>
        <v>-</v>
      </c>
      <c r="BY136" s="209"/>
      <c r="BZ136" s="209"/>
      <c r="CA136" s="210" t="str">
        <f t="shared" si="145"/>
        <v>-</v>
      </c>
      <c r="CB136" s="209"/>
      <c r="CC136" s="209"/>
      <c r="CD136" s="210" t="str">
        <f t="shared" si="146"/>
        <v>-</v>
      </c>
      <c r="CE136" s="209"/>
      <c r="CF136" s="209"/>
      <c r="CG136" s="210" t="str">
        <f t="shared" si="147"/>
        <v>-</v>
      </c>
      <c r="CH136" s="209"/>
      <c r="CI136" s="209"/>
      <c r="CJ136" s="211" t="str">
        <f t="shared" si="148"/>
        <v>-</v>
      </c>
      <c r="CK136" s="159" t="str">
        <f t="shared" si="149"/>
        <v>ok</v>
      </c>
      <c r="CL136" s="159"/>
      <c r="CM136" s="160"/>
    </row>
    <row r="137" spans="3:91" ht="24.75" customHeight="1" x14ac:dyDescent="0.75">
      <c r="J137" s="220"/>
      <c r="K137" s="2"/>
      <c r="N137" s="212"/>
      <c r="O137" s="212"/>
      <c r="P137" s="212"/>
      <c r="Q137" s="212"/>
      <c r="R137" s="212"/>
      <c r="S137" s="212"/>
      <c r="T137" s="212"/>
      <c r="U137" s="212"/>
      <c r="V137" s="212"/>
      <c r="W137" s="212"/>
      <c r="X137" s="212"/>
      <c r="Y137" s="212"/>
      <c r="Z137" s="212"/>
      <c r="AA137" s="212"/>
      <c r="AB137" s="212"/>
      <c r="AC137" s="212"/>
      <c r="AD137" s="212"/>
      <c r="AE137" s="212"/>
      <c r="AF137" s="212"/>
      <c r="AG137" s="212"/>
      <c r="AH137" s="212"/>
      <c r="AI137" s="212"/>
      <c r="AJ137" s="212"/>
      <c r="AK137" s="212"/>
      <c r="AL137" s="212"/>
      <c r="AM137" s="212"/>
      <c r="AN137" s="212"/>
      <c r="AO137" s="212"/>
      <c r="AP137" s="212"/>
      <c r="AQ137" s="212"/>
      <c r="AR137" s="212"/>
      <c r="AS137" s="212"/>
      <c r="AT137" s="212"/>
      <c r="AU137" s="212"/>
      <c r="AV137" s="212"/>
      <c r="AW137" s="212"/>
      <c r="AX137" s="212"/>
      <c r="AY137" s="212"/>
      <c r="AZ137" s="212"/>
      <c r="BA137" s="212"/>
      <c r="BB137" s="212"/>
      <c r="BC137" s="212"/>
      <c r="BD137" s="212"/>
      <c r="BE137" s="212"/>
      <c r="BF137" s="212"/>
      <c r="BG137" s="212"/>
      <c r="BH137" s="212"/>
      <c r="BI137" s="212"/>
      <c r="BJ137" s="212"/>
      <c r="BK137" s="212"/>
      <c r="BL137" s="212"/>
      <c r="BM137" s="212"/>
      <c r="BN137" s="212"/>
      <c r="BO137" s="212"/>
      <c r="BP137" s="212"/>
      <c r="BQ137" s="212"/>
      <c r="BR137" s="212"/>
      <c r="BS137" s="212"/>
      <c r="BT137" s="212"/>
      <c r="BU137" s="212"/>
      <c r="BV137" s="212"/>
      <c r="BW137" s="212"/>
      <c r="BX137" s="212"/>
      <c r="BY137" s="212"/>
      <c r="BZ137" s="212"/>
      <c r="CA137" s="212"/>
      <c r="CB137" s="212"/>
      <c r="CC137" s="212"/>
      <c r="CD137" s="212"/>
      <c r="CE137" s="212"/>
      <c r="CF137" s="212"/>
      <c r="CG137" s="212"/>
      <c r="CH137" s="212"/>
      <c r="CI137" s="212"/>
      <c r="CJ137" s="212"/>
      <c r="CK137" s="212"/>
      <c r="CL137" s="212"/>
    </row>
    <row r="138" spans="3:91" ht="24.75" customHeight="1" x14ac:dyDescent="0.75">
      <c r="J138" s="220"/>
      <c r="K138" s="2"/>
      <c r="N138" s="212"/>
      <c r="O138" s="212"/>
      <c r="P138" s="212"/>
      <c r="Q138" s="212"/>
      <c r="R138" s="212"/>
      <c r="S138" s="212"/>
      <c r="T138" s="212"/>
      <c r="U138" s="212"/>
      <c r="V138" s="212"/>
      <c r="W138" s="212"/>
      <c r="X138" s="212"/>
      <c r="Y138" s="212"/>
      <c r="Z138" s="212"/>
      <c r="AA138" s="212"/>
      <c r="AB138" s="212"/>
      <c r="AC138" s="212"/>
      <c r="AD138" s="212"/>
      <c r="AE138" s="212"/>
      <c r="AF138" s="212"/>
      <c r="AG138" s="212"/>
      <c r="AH138" s="212"/>
      <c r="AI138" s="212"/>
      <c r="AJ138" s="212"/>
      <c r="AK138" s="212"/>
      <c r="AL138" s="212"/>
      <c r="AM138" s="212"/>
      <c r="AN138" s="212"/>
      <c r="AO138" s="212"/>
      <c r="AP138" s="212"/>
      <c r="AQ138" s="212"/>
      <c r="AR138" s="212"/>
      <c r="AS138" s="212"/>
      <c r="AT138" s="212"/>
      <c r="AU138" s="212"/>
      <c r="AV138" s="212"/>
      <c r="AW138" s="212"/>
      <c r="AX138" s="212"/>
      <c r="AY138" s="212"/>
      <c r="AZ138" s="212"/>
      <c r="BA138" s="212"/>
      <c r="BB138" s="212"/>
      <c r="BC138" s="212"/>
      <c r="BD138" s="212"/>
      <c r="BE138" s="212"/>
      <c r="BF138" s="212"/>
      <c r="BG138" s="212"/>
      <c r="BH138" s="212"/>
      <c r="BI138" s="212"/>
      <c r="BJ138" s="212"/>
      <c r="BK138" s="212"/>
      <c r="BL138" s="212"/>
      <c r="BM138" s="212"/>
      <c r="BN138" s="212"/>
      <c r="BO138" s="212"/>
      <c r="BP138" s="212"/>
      <c r="BQ138" s="212"/>
      <c r="BR138" s="212"/>
      <c r="BS138" s="212"/>
      <c r="BT138" s="212"/>
      <c r="BU138" s="212"/>
      <c r="BV138" s="212"/>
      <c r="BW138" s="212"/>
      <c r="BX138" s="212"/>
      <c r="BY138" s="212"/>
      <c r="BZ138" s="212"/>
      <c r="CA138" s="212"/>
      <c r="CB138" s="212"/>
      <c r="CC138" s="212"/>
      <c r="CD138" s="212"/>
      <c r="CE138" s="212"/>
      <c r="CF138" s="212"/>
      <c r="CG138" s="212"/>
      <c r="CH138" s="212"/>
      <c r="CI138" s="212"/>
      <c r="CJ138" s="212"/>
      <c r="CK138" s="212"/>
      <c r="CL138" s="212"/>
    </row>
    <row r="139" spans="3:91" ht="24.75" customHeight="1" x14ac:dyDescent="0.75">
      <c r="J139" s="220"/>
      <c r="K139" s="2"/>
      <c r="N139" s="212"/>
      <c r="O139" s="212"/>
      <c r="P139" s="212"/>
      <c r="Q139" s="212"/>
      <c r="R139" s="212"/>
      <c r="S139" s="212"/>
      <c r="T139" s="212"/>
      <c r="U139" s="212"/>
      <c r="V139" s="212"/>
      <c r="W139" s="212"/>
      <c r="X139" s="212"/>
      <c r="Y139" s="212"/>
      <c r="Z139" s="212"/>
      <c r="AA139" s="212"/>
      <c r="AB139" s="212"/>
      <c r="AC139" s="212"/>
      <c r="AD139" s="212"/>
      <c r="AE139" s="212"/>
      <c r="AF139" s="212"/>
      <c r="AG139" s="212"/>
      <c r="AH139" s="212"/>
      <c r="AI139" s="212"/>
      <c r="AJ139" s="212"/>
      <c r="AK139" s="212"/>
      <c r="AL139" s="212"/>
      <c r="AM139" s="212"/>
      <c r="AN139" s="212"/>
      <c r="AO139" s="212"/>
      <c r="AP139" s="212"/>
      <c r="AQ139" s="212"/>
      <c r="AR139" s="212"/>
      <c r="AS139" s="212"/>
      <c r="AT139" s="212"/>
      <c r="AU139" s="212"/>
      <c r="AV139" s="212"/>
      <c r="AW139" s="212"/>
      <c r="AX139" s="212"/>
      <c r="AY139" s="212"/>
      <c r="AZ139" s="212"/>
      <c r="BA139" s="212"/>
      <c r="BB139" s="212"/>
      <c r="BC139" s="212"/>
      <c r="BD139" s="212"/>
      <c r="BE139" s="212"/>
      <c r="BF139" s="212"/>
      <c r="BG139" s="212"/>
      <c r="BH139" s="212"/>
      <c r="BI139" s="212"/>
      <c r="BJ139" s="212"/>
      <c r="BK139" s="212"/>
      <c r="BL139" s="212"/>
      <c r="BM139" s="212"/>
      <c r="BN139" s="212"/>
      <c r="BO139" s="212"/>
      <c r="BP139" s="212"/>
      <c r="BQ139" s="212"/>
      <c r="BR139" s="212"/>
      <c r="BS139" s="212"/>
      <c r="BT139" s="212"/>
      <c r="BU139" s="212"/>
      <c r="BV139" s="212"/>
      <c r="BW139" s="212"/>
      <c r="BX139" s="212"/>
      <c r="BY139" s="212"/>
      <c r="BZ139" s="212"/>
      <c r="CA139" s="212"/>
      <c r="CB139" s="212"/>
      <c r="CC139" s="212"/>
      <c r="CD139" s="212"/>
      <c r="CE139" s="212"/>
      <c r="CF139" s="212"/>
      <c r="CG139" s="212"/>
      <c r="CH139" s="212"/>
      <c r="CI139" s="212"/>
      <c r="CJ139" s="212"/>
      <c r="CK139" s="212"/>
      <c r="CL139" s="212"/>
    </row>
    <row r="140" spans="3:91" ht="24.75" customHeight="1" x14ac:dyDescent="0.75">
      <c r="J140" s="220"/>
      <c r="K140" s="2"/>
      <c r="N140" s="212"/>
      <c r="O140" s="212"/>
      <c r="P140" s="212"/>
      <c r="Q140" s="212"/>
      <c r="R140" s="212"/>
      <c r="S140" s="212"/>
      <c r="T140" s="212"/>
      <c r="U140" s="212"/>
      <c r="V140" s="212"/>
      <c r="W140" s="212"/>
      <c r="X140" s="212"/>
      <c r="Y140" s="212"/>
      <c r="Z140" s="212"/>
      <c r="AA140" s="212"/>
      <c r="AB140" s="212"/>
      <c r="AC140" s="212"/>
      <c r="AD140" s="212"/>
      <c r="AE140" s="212"/>
      <c r="AF140" s="212"/>
      <c r="AG140" s="212"/>
      <c r="AH140" s="212"/>
      <c r="AI140" s="212"/>
      <c r="AJ140" s="212"/>
      <c r="AK140" s="212"/>
      <c r="AL140" s="212"/>
      <c r="AM140" s="212"/>
      <c r="AN140" s="212"/>
      <c r="AO140" s="212"/>
      <c r="AP140" s="212"/>
      <c r="AQ140" s="212"/>
      <c r="AR140" s="212"/>
      <c r="AS140" s="212"/>
      <c r="AT140" s="212"/>
      <c r="AU140" s="212"/>
      <c r="AV140" s="212"/>
      <c r="AW140" s="212"/>
      <c r="AX140" s="212"/>
      <c r="AY140" s="212"/>
      <c r="AZ140" s="212"/>
      <c r="BA140" s="212"/>
      <c r="BB140" s="212"/>
      <c r="BC140" s="212"/>
      <c r="BD140" s="212"/>
      <c r="BE140" s="212"/>
      <c r="BF140" s="212"/>
      <c r="BG140" s="212"/>
      <c r="BH140" s="212"/>
      <c r="BI140" s="212"/>
      <c r="BJ140" s="212"/>
      <c r="BK140" s="212"/>
      <c r="BL140" s="212"/>
      <c r="BM140" s="212"/>
      <c r="BN140" s="212"/>
      <c r="BO140" s="212"/>
      <c r="BP140" s="212"/>
      <c r="BQ140" s="212"/>
      <c r="BR140" s="212"/>
      <c r="BS140" s="212"/>
      <c r="BT140" s="212"/>
      <c r="BU140" s="212"/>
      <c r="BV140" s="212"/>
      <c r="BW140" s="212"/>
      <c r="BX140" s="212"/>
      <c r="BY140" s="212"/>
      <c r="BZ140" s="212"/>
      <c r="CA140" s="212"/>
      <c r="CB140" s="212"/>
      <c r="CC140" s="212"/>
      <c r="CD140" s="212"/>
      <c r="CE140" s="212"/>
      <c r="CF140" s="212"/>
      <c r="CG140" s="212"/>
      <c r="CH140" s="212"/>
      <c r="CI140" s="212"/>
      <c r="CJ140" s="212"/>
      <c r="CK140" s="212"/>
      <c r="CL140" s="212"/>
    </row>
    <row r="141" spans="3:91" ht="24.75" customHeight="1" x14ac:dyDescent="0.75">
      <c r="J141" s="220"/>
      <c r="K141" s="2"/>
      <c r="N141" s="212"/>
      <c r="O141" s="212"/>
      <c r="P141" s="212"/>
      <c r="Q141" s="212"/>
      <c r="R141" s="212"/>
      <c r="S141" s="212"/>
      <c r="T141" s="212"/>
      <c r="U141" s="212"/>
      <c r="V141" s="212"/>
      <c r="W141" s="212"/>
      <c r="X141" s="212"/>
      <c r="Y141" s="212"/>
      <c r="Z141" s="212"/>
      <c r="AA141" s="212"/>
      <c r="AB141" s="212"/>
      <c r="AC141" s="212"/>
      <c r="AD141" s="212"/>
      <c r="AE141" s="212"/>
      <c r="AF141" s="212"/>
      <c r="AG141" s="212"/>
      <c r="AH141" s="212"/>
      <c r="AI141" s="212"/>
      <c r="AJ141" s="212"/>
      <c r="AK141" s="212"/>
      <c r="AL141" s="212"/>
      <c r="AM141" s="212"/>
      <c r="AN141" s="212"/>
      <c r="AO141" s="212"/>
      <c r="AP141" s="212"/>
      <c r="AQ141" s="212"/>
      <c r="AR141" s="212"/>
      <c r="AS141" s="212"/>
      <c r="AT141" s="212"/>
      <c r="AU141" s="212"/>
      <c r="AV141" s="212"/>
      <c r="AW141" s="212"/>
      <c r="AX141" s="212"/>
      <c r="AY141" s="212"/>
      <c r="AZ141" s="212"/>
      <c r="BA141" s="212"/>
      <c r="BB141" s="212"/>
      <c r="BC141" s="212"/>
      <c r="BD141" s="212"/>
      <c r="BE141" s="212"/>
      <c r="BF141" s="212"/>
      <c r="BG141" s="212"/>
      <c r="BH141" s="212"/>
      <c r="BI141" s="212"/>
      <c r="BJ141" s="212"/>
      <c r="BK141" s="212"/>
      <c r="BL141" s="212"/>
      <c r="BM141" s="212"/>
      <c r="BN141" s="212"/>
      <c r="BO141" s="212"/>
      <c r="BP141" s="212"/>
      <c r="BQ141" s="212"/>
      <c r="BR141" s="212"/>
      <c r="BS141" s="212"/>
      <c r="BT141" s="212"/>
      <c r="BU141" s="212"/>
      <c r="BV141" s="212"/>
      <c r="BW141" s="212"/>
      <c r="BX141" s="212"/>
      <c r="BY141" s="212"/>
      <c r="BZ141" s="212"/>
      <c r="CA141" s="212"/>
      <c r="CB141" s="212"/>
      <c r="CC141" s="212"/>
      <c r="CD141" s="212"/>
      <c r="CE141" s="212"/>
      <c r="CF141" s="212"/>
      <c r="CG141" s="212"/>
      <c r="CH141" s="212"/>
      <c r="CI141" s="212"/>
      <c r="CJ141" s="212"/>
      <c r="CK141" s="212"/>
      <c r="CL141" s="212"/>
    </row>
    <row r="142" spans="3:91" ht="24.75" customHeight="1" x14ac:dyDescent="0.75">
      <c r="J142" s="220"/>
      <c r="K142" s="2"/>
      <c r="N142" s="212"/>
      <c r="O142" s="212"/>
      <c r="P142" s="212"/>
      <c r="Q142" s="212"/>
      <c r="R142" s="212"/>
      <c r="S142" s="212"/>
      <c r="T142" s="212"/>
      <c r="U142" s="212"/>
      <c r="V142" s="212"/>
      <c r="W142" s="212"/>
      <c r="X142" s="212"/>
      <c r="Y142" s="212"/>
      <c r="Z142" s="212"/>
      <c r="AA142" s="212"/>
      <c r="AB142" s="212"/>
      <c r="AC142" s="212"/>
      <c r="AD142" s="212"/>
      <c r="AE142" s="212"/>
      <c r="AF142" s="212"/>
      <c r="AG142" s="212"/>
      <c r="AH142" s="212"/>
      <c r="AI142" s="212"/>
      <c r="AJ142" s="212"/>
      <c r="AK142" s="212"/>
      <c r="AL142" s="212"/>
      <c r="AM142" s="212"/>
      <c r="AN142" s="212"/>
      <c r="AO142" s="212"/>
      <c r="AP142" s="212"/>
      <c r="AQ142" s="212"/>
      <c r="AR142" s="212"/>
      <c r="AS142" s="212"/>
      <c r="AT142" s="212"/>
      <c r="AU142" s="212"/>
      <c r="AV142" s="212"/>
      <c r="AW142" s="212"/>
      <c r="AX142" s="212"/>
      <c r="AY142" s="212"/>
      <c r="AZ142" s="212"/>
      <c r="BA142" s="212"/>
      <c r="BB142" s="212"/>
      <c r="BC142" s="212"/>
      <c r="BD142" s="212"/>
      <c r="BE142" s="212"/>
      <c r="BF142" s="212"/>
      <c r="BG142" s="212"/>
      <c r="BH142" s="212"/>
      <c r="BI142" s="212"/>
      <c r="BJ142" s="212"/>
      <c r="BK142" s="212"/>
      <c r="BL142" s="212"/>
      <c r="BM142" s="212"/>
      <c r="BN142" s="212"/>
      <c r="BO142" s="212"/>
      <c r="BP142" s="212"/>
      <c r="BQ142" s="212"/>
      <c r="BR142" s="212"/>
      <c r="BS142" s="212"/>
      <c r="BT142" s="212"/>
      <c r="BU142" s="212"/>
      <c r="BV142" s="212"/>
      <c r="BW142" s="212"/>
      <c r="BX142" s="212"/>
      <c r="BY142" s="212"/>
      <c r="BZ142" s="212"/>
      <c r="CA142" s="212"/>
      <c r="CB142" s="212"/>
      <c r="CC142" s="212"/>
      <c r="CD142" s="212"/>
      <c r="CE142" s="212"/>
      <c r="CF142" s="212"/>
      <c r="CG142" s="212"/>
      <c r="CH142" s="212"/>
      <c r="CI142" s="212"/>
      <c r="CJ142" s="212"/>
      <c r="CK142" s="212"/>
      <c r="CL142" s="212"/>
    </row>
    <row r="143" spans="3:91" ht="24.75" customHeight="1" x14ac:dyDescent="0.75">
      <c r="J143" s="220"/>
      <c r="K143" s="2"/>
      <c r="N143" s="212"/>
      <c r="O143" s="212"/>
      <c r="P143" s="212"/>
      <c r="Q143" s="212"/>
      <c r="R143" s="212"/>
      <c r="S143" s="212"/>
      <c r="T143" s="212"/>
      <c r="U143" s="212"/>
      <c r="V143" s="212"/>
      <c r="W143" s="212"/>
      <c r="X143" s="212"/>
      <c r="Y143" s="212"/>
      <c r="Z143" s="212"/>
      <c r="AA143" s="212"/>
      <c r="AB143" s="212"/>
      <c r="AC143" s="212"/>
      <c r="AD143" s="212"/>
      <c r="AE143" s="212"/>
      <c r="AF143" s="212"/>
      <c r="AG143" s="212"/>
      <c r="AH143" s="212"/>
      <c r="AI143" s="212"/>
      <c r="AJ143" s="212"/>
      <c r="AK143" s="212"/>
      <c r="AL143" s="212"/>
      <c r="AM143" s="212"/>
      <c r="AN143" s="212"/>
      <c r="AO143" s="212"/>
      <c r="AP143" s="212"/>
      <c r="AQ143" s="212"/>
      <c r="AR143" s="212"/>
      <c r="AS143" s="212"/>
      <c r="AT143" s="212"/>
      <c r="AU143" s="212"/>
      <c r="AV143" s="212"/>
      <c r="AW143" s="212"/>
      <c r="AX143" s="212"/>
      <c r="AY143" s="212"/>
      <c r="AZ143" s="212"/>
      <c r="BA143" s="212"/>
      <c r="BB143" s="212"/>
      <c r="BC143" s="212"/>
      <c r="BD143" s="212"/>
      <c r="BE143" s="212"/>
      <c r="BF143" s="212"/>
      <c r="BG143" s="212"/>
      <c r="BH143" s="212"/>
      <c r="BI143" s="212"/>
      <c r="BJ143" s="212"/>
      <c r="BK143" s="212"/>
      <c r="BL143" s="212"/>
      <c r="BM143" s="212"/>
      <c r="BN143" s="212"/>
      <c r="BO143" s="212"/>
      <c r="BP143" s="212"/>
      <c r="BQ143" s="212"/>
      <c r="BR143" s="212"/>
      <c r="BS143" s="212"/>
      <c r="BT143" s="212"/>
      <c r="BU143" s="212"/>
      <c r="BV143" s="212"/>
      <c r="BW143" s="212"/>
      <c r="BX143" s="212"/>
      <c r="BY143" s="212"/>
      <c r="BZ143" s="212"/>
      <c r="CA143" s="212"/>
      <c r="CB143" s="212"/>
      <c r="CC143" s="212"/>
      <c r="CD143" s="212"/>
      <c r="CE143" s="212"/>
      <c r="CF143" s="212"/>
      <c r="CG143" s="212"/>
      <c r="CH143" s="212"/>
      <c r="CI143" s="212"/>
      <c r="CJ143" s="212"/>
      <c r="CK143" s="212"/>
      <c r="CL143" s="212"/>
    </row>
    <row r="144" spans="3:91" ht="24.75" customHeight="1" x14ac:dyDescent="0.75">
      <c r="J144" s="220"/>
      <c r="K144" s="2"/>
      <c r="N144" s="212"/>
      <c r="O144" s="212"/>
      <c r="P144" s="212"/>
      <c r="Q144" s="212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2"/>
      <c r="AU144" s="212"/>
      <c r="AV144" s="212"/>
      <c r="AW144" s="212"/>
      <c r="AX144" s="212"/>
      <c r="AY144" s="212"/>
      <c r="AZ144" s="212"/>
      <c r="BA144" s="212"/>
      <c r="BB144" s="212"/>
      <c r="BC144" s="212"/>
      <c r="BD144" s="212"/>
      <c r="BE144" s="212"/>
      <c r="BF144" s="212"/>
      <c r="BG144" s="212"/>
      <c r="BH144" s="212"/>
      <c r="BI144" s="212"/>
      <c r="BJ144" s="212"/>
      <c r="BK144" s="212"/>
      <c r="BL144" s="212"/>
      <c r="BM144" s="212"/>
      <c r="BN144" s="212"/>
      <c r="BO144" s="212"/>
      <c r="BP144" s="212"/>
      <c r="BQ144" s="212"/>
      <c r="BR144" s="212"/>
      <c r="BS144" s="212"/>
      <c r="BT144" s="212"/>
      <c r="BU144" s="212"/>
      <c r="BV144" s="212"/>
      <c r="BW144" s="212"/>
      <c r="BX144" s="212"/>
      <c r="BY144" s="212"/>
      <c r="BZ144" s="212"/>
      <c r="CA144" s="212"/>
      <c r="CB144" s="212"/>
      <c r="CC144" s="212"/>
      <c r="CD144" s="212"/>
      <c r="CE144" s="212"/>
      <c r="CF144" s="212"/>
      <c r="CG144" s="212"/>
      <c r="CH144" s="212"/>
      <c r="CI144" s="212"/>
      <c r="CJ144" s="212"/>
      <c r="CK144" s="212"/>
      <c r="CL144" s="212"/>
    </row>
    <row r="145" spans="10:90" ht="24.75" customHeight="1" x14ac:dyDescent="0.75">
      <c r="J145" s="220"/>
      <c r="K145" s="2"/>
      <c r="N145" s="212"/>
      <c r="O145" s="212"/>
      <c r="P145" s="212"/>
      <c r="Q145" s="212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2"/>
      <c r="AU145" s="212"/>
      <c r="AV145" s="212"/>
      <c r="AW145" s="212"/>
      <c r="AX145" s="212"/>
      <c r="AY145" s="212"/>
      <c r="AZ145" s="212"/>
      <c r="BA145" s="212"/>
      <c r="BB145" s="212"/>
      <c r="BC145" s="212"/>
      <c r="BD145" s="212"/>
      <c r="BE145" s="212"/>
      <c r="BF145" s="212"/>
      <c r="BG145" s="212"/>
      <c r="BH145" s="212"/>
      <c r="BI145" s="212"/>
      <c r="BJ145" s="212"/>
      <c r="BK145" s="212"/>
      <c r="BL145" s="212"/>
      <c r="BM145" s="212"/>
      <c r="BN145" s="212"/>
      <c r="BO145" s="212"/>
      <c r="BP145" s="212"/>
      <c r="BQ145" s="212"/>
      <c r="BR145" s="212"/>
      <c r="BS145" s="212"/>
      <c r="BT145" s="212"/>
      <c r="BU145" s="212"/>
      <c r="BV145" s="212"/>
      <c r="BW145" s="212"/>
      <c r="BX145" s="212"/>
      <c r="BY145" s="212"/>
      <c r="BZ145" s="212"/>
      <c r="CA145" s="212"/>
      <c r="CB145" s="212"/>
      <c r="CC145" s="212"/>
      <c r="CD145" s="212"/>
      <c r="CE145" s="212"/>
      <c r="CF145" s="212"/>
      <c r="CG145" s="212"/>
      <c r="CH145" s="212"/>
      <c r="CI145" s="212"/>
      <c r="CJ145" s="212"/>
      <c r="CK145" s="212"/>
      <c r="CL145" s="212"/>
    </row>
    <row r="146" spans="10:90" ht="24.75" customHeight="1" x14ac:dyDescent="0.75">
      <c r="J146" s="220"/>
      <c r="K146" s="2"/>
      <c r="N146" s="212"/>
      <c r="O146" s="212"/>
      <c r="P146" s="212"/>
      <c r="Q146" s="212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2"/>
      <c r="AU146" s="212"/>
      <c r="AV146" s="212"/>
      <c r="AW146" s="212"/>
      <c r="AX146" s="212"/>
      <c r="AY146" s="212"/>
      <c r="AZ146" s="212"/>
      <c r="BA146" s="212"/>
      <c r="BB146" s="212"/>
      <c r="BC146" s="212"/>
      <c r="BD146" s="212"/>
      <c r="BE146" s="212"/>
      <c r="BF146" s="212"/>
      <c r="BG146" s="212"/>
      <c r="BH146" s="212"/>
      <c r="BI146" s="212"/>
      <c r="BJ146" s="212"/>
      <c r="BK146" s="212"/>
      <c r="BL146" s="212"/>
      <c r="BM146" s="212"/>
      <c r="BN146" s="212"/>
      <c r="BO146" s="212"/>
      <c r="BP146" s="212"/>
      <c r="BQ146" s="212"/>
      <c r="BR146" s="212"/>
      <c r="BS146" s="212"/>
      <c r="BT146" s="212"/>
      <c r="BU146" s="212"/>
      <c r="BV146" s="212"/>
      <c r="BW146" s="212"/>
      <c r="BX146" s="212"/>
      <c r="BY146" s="212"/>
      <c r="BZ146" s="212"/>
      <c r="CA146" s="212"/>
      <c r="CB146" s="212"/>
      <c r="CC146" s="212"/>
      <c r="CD146" s="212"/>
      <c r="CE146" s="212"/>
      <c r="CF146" s="212"/>
      <c r="CG146" s="212"/>
      <c r="CH146" s="212"/>
      <c r="CI146" s="212"/>
      <c r="CJ146" s="212"/>
      <c r="CK146" s="212"/>
      <c r="CL146" s="212"/>
    </row>
    <row r="147" spans="10:90" ht="24.75" customHeight="1" x14ac:dyDescent="0.75">
      <c r="J147" s="220"/>
      <c r="K147" s="2"/>
      <c r="N147" s="212"/>
      <c r="O147" s="212"/>
      <c r="P147" s="212"/>
      <c r="Q147" s="212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2"/>
      <c r="AU147" s="212"/>
      <c r="AV147" s="212"/>
      <c r="AW147" s="212"/>
      <c r="AX147" s="212"/>
      <c r="AY147" s="212"/>
      <c r="AZ147" s="212"/>
      <c r="BA147" s="212"/>
      <c r="BB147" s="212"/>
      <c r="BC147" s="212"/>
      <c r="BD147" s="212"/>
      <c r="BE147" s="212"/>
      <c r="BF147" s="212"/>
      <c r="BG147" s="212"/>
      <c r="BH147" s="212"/>
      <c r="BI147" s="212"/>
      <c r="BJ147" s="212"/>
      <c r="BK147" s="212"/>
      <c r="BL147" s="212"/>
      <c r="BM147" s="212"/>
      <c r="BN147" s="212"/>
      <c r="BO147" s="212"/>
      <c r="BP147" s="212"/>
      <c r="BQ147" s="212"/>
      <c r="BR147" s="212"/>
      <c r="BS147" s="212"/>
      <c r="BT147" s="212"/>
      <c r="BU147" s="212"/>
      <c r="BV147" s="212"/>
      <c r="BW147" s="212"/>
      <c r="BX147" s="212"/>
      <c r="BY147" s="212"/>
      <c r="BZ147" s="212"/>
      <c r="CA147" s="212"/>
      <c r="CB147" s="212"/>
      <c r="CC147" s="212"/>
      <c r="CD147" s="212"/>
      <c r="CE147" s="212"/>
      <c r="CF147" s="212"/>
      <c r="CG147" s="212"/>
      <c r="CH147" s="212"/>
      <c r="CI147" s="212"/>
      <c r="CJ147" s="212"/>
      <c r="CK147" s="212"/>
      <c r="CL147" s="212"/>
    </row>
    <row r="148" spans="10:90" ht="24.75" customHeight="1" x14ac:dyDescent="0.75">
      <c r="J148" s="220"/>
      <c r="K148" s="2"/>
      <c r="N148" s="212"/>
      <c r="O148" s="212"/>
      <c r="P148" s="212"/>
      <c r="Q148" s="212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2"/>
      <c r="AU148" s="212"/>
      <c r="AV148" s="212"/>
      <c r="AW148" s="212"/>
      <c r="AX148" s="212"/>
      <c r="AY148" s="212"/>
      <c r="AZ148" s="212"/>
      <c r="BA148" s="212"/>
      <c r="BB148" s="212"/>
      <c r="BC148" s="212"/>
      <c r="BD148" s="212"/>
      <c r="BE148" s="212"/>
      <c r="BF148" s="212"/>
      <c r="BG148" s="212"/>
      <c r="BH148" s="212"/>
      <c r="BI148" s="212"/>
      <c r="BJ148" s="212"/>
      <c r="BK148" s="212"/>
      <c r="BL148" s="212"/>
      <c r="BM148" s="212"/>
      <c r="BN148" s="212"/>
      <c r="BO148" s="212"/>
      <c r="BP148" s="212"/>
      <c r="BQ148" s="212"/>
      <c r="BR148" s="212"/>
      <c r="BS148" s="212"/>
      <c r="BT148" s="212"/>
      <c r="BU148" s="212"/>
      <c r="BV148" s="212"/>
      <c r="BW148" s="212"/>
      <c r="BX148" s="212"/>
      <c r="BY148" s="212"/>
      <c r="BZ148" s="212"/>
      <c r="CA148" s="212"/>
      <c r="CB148" s="212"/>
      <c r="CC148" s="212"/>
      <c r="CD148" s="212"/>
      <c r="CE148" s="212"/>
      <c r="CF148" s="212"/>
      <c r="CG148" s="212"/>
      <c r="CH148" s="212"/>
      <c r="CI148" s="212"/>
      <c r="CJ148" s="212"/>
      <c r="CK148" s="212"/>
      <c r="CL148" s="212"/>
    </row>
    <row r="149" spans="10:90" ht="24.75" customHeight="1" x14ac:dyDescent="0.75">
      <c r="J149" s="220"/>
      <c r="K149" s="2"/>
      <c r="N149" s="212"/>
      <c r="O149" s="212"/>
      <c r="P149" s="212"/>
      <c r="Q149" s="212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2"/>
      <c r="AU149" s="212"/>
      <c r="AV149" s="212"/>
      <c r="AW149" s="212"/>
      <c r="AX149" s="212"/>
      <c r="AY149" s="212"/>
      <c r="AZ149" s="212"/>
      <c r="BA149" s="212"/>
      <c r="BB149" s="212"/>
      <c r="BC149" s="212"/>
      <c r="BD149" s="212"/>
      <c r="BE149" s="212"/>
      <c r="BF149" s="212"/>
      <c r="BG149" s="212"/>
      <c r="BH149" s="212"/>
      <c r="BI149" s="212"/>
      <c r="BJ149" s="212"/>
      <c r="BK149" s="212"/>
      <c r="BL149" s="212"/>
      <c r="BM149" s="212"/>
      <c r="BN149" s="212"/>
      <c r="BO149" s="212"/>
      <c r="BP149" s="212"/>
      <c r="BQ149" s="212"/>
      <c r="BR149" s="212"/>
      <c r="BS149" s="212"/>
      <c r="BT149" s="212"/>
      <c r="BU149" s="212"/>
      <c r="BV149" s="212"/>
      <c r="BW149" s="212"/>
      <c r="BX149" s="212"/>
      <c r="BY149" s="212"/>
      <c r="BZ149" s="212"/>
      <c r="CA149" s="212"/>
      <c r="CB149" s="212"/>
      <c r="CC149" s="212"/>
      <c r="CD149" s="212"/>
      <c r="CE149" s="212"/>
      <c r="CF149" s="212"/>
      <c r="CG149" s="212"/>
      <c r="CH149" s="212"/>
      <c r="CI149" s="212"/>
      <c r="CJ149" s="212"/>
      <c r="CK149" s="212"/>
      <c r="CL149" s="212"/>
    </row>
    <row r="150" spans="10:90" ht="24.75" customHeight="1" x14ac:dyDescent="0.75">
      <c r="J150" s="220"/>
      <c r="K150" s="2"/>
      <c r="N150" s="212"/>
      <c r="O150" s="212"/>
      <c r="P150" s="212"/>
      <c r="Q150" s="212"/>
      <c r="R150" s="212"/>
      <c r="S150" s="212"/>
      <c r="T150" s="212"/>
      <c r="U150" s="212"/>
      <c r="V150" s="212"/>
      <c r="W150" s="212"/>
      <c r="X150" s="212"/>
      <c r="Y150" s="212"/>
      <c r="Z150" s="212"/>
      <c r="AA150" s="212"/>
      <c r="AB150" s="212"/>
      <c r="AC150" s="212"/>
      <c r="AD150" s="212"/>
      <c r="AE150" s="212"/>
      <c r="AF150" s="212"/>
      <c r="AG150" s="212"/>
      <c r="AH150" s="212"/>
      <c r="AI150" s="212"/>
      <c r="AJ150" s="212"/>
      <c r="AK150" s="212"/>
      <c r="AL150" s="212"/>
      <c r="AM150" s="212"/>
      <c r="AN150" s="212"/>
      <c r="AO150" s="212"/>
      <c r="AP150" s="212"/>
      <c r="AQ150" s="212"/>
      <c r="AR150" s="212"/>
      <c r="AS150" s="212"/>
      <c r="AT150" s="212"/>
      <c r="AU150" s="212"/>
      <c r="AV150" s="212"/>
      <c r="AW150" s="212"/>
      <c r="AX150" s="212"/>
      <c r="AY150" s="212"/>
      <c r="AZ150" s="212"/>
      <c r="BA150" s="212"/>
      <c r="BB150" s="212"/>
      <c r="BC150" s="212"/>
      <c r="BD150" s="212"/>
      <c r="BE150" s="212"/>
      <c r="BF150" s="212"/>
      <c r="BG150" s="212"/>
      <c r="BH150" s="212"/>
      <c r="BI150" s="212"/>
      <c r="BJ150" s="212"/>
      <c r="BK150" s="212"/>
      <c r="BL150" s="212"/>
      <c r="BM150" s="212"/>
      <c r="BN150" s="212"/>
      <c r="BO150" s="212"/>
      <c r="BP150" s="212"/>
      <c r="BQ150" s="212"/>
      <c r="BR150" s="212"/>
      <c r="BS150" s="212"/>
      <c r="BT150" s="212"/>
      <c r="BU150" s="212"/>
      <c r="BV150" s="212"/>
      <c r="BW150" s="212"/>
      <c r="BX150" s="212"/>
      <c r="BY150" s="212"/>
      <c r="BZ150" s="212"/>
      <c r="CA150" s="212"/>
      <c r="CB150" s="212"/>
      <c r="CC150" s="212"/>
      <c r="CD150" s="212"/>
      <c r="CE150" s="212"/>
      <c r="CF150" s="212"/>
      <c r="CG150" s="212"/>
      <c r="CH150" s="212"/>
      <c r="CI150" s="212"/>
      <c r="CJ150" s="212"/>
      <c r="CK150" s="212"/>
      <c r="CL150" s="212"/>
    </row>
    <row r="151" spans="10:90" ht="24.75" customHeight="1" x14ac:dyDescent="0.75">
      <c r="J151" s="220"/>
      <c r="K151" s="2"/>
      <c r="N151" s="212"/>
      <c r="O151" s="212"/>
      <c r="P151" s="212"/>
      <c r="Q151" s="212"/>
      <c r="R151" s="212"/>
      <c r="S151" s="212"/>
      <c r="T151" s="212"/>
      <c r="U151" s="212"/>
      <c r="V151" s="212"/>
      <c r="W151" s="212"/>
      <c r="X151" s="212"/>
      <c r="Y151" s="212"/>
      <c r="Z151" s="212"/>
      <c r="AA151" s="212"/>
      <c r="AB151" s="212"/>
      <c r="AC151" s="212"/>
      <c r="AD151" s="212"/>
      <c r="AE151" s="212"/>
      <c r="AF151" s="212"/>
      <c r="AG151" s="212"/>
      <c r="AH151" s="212"/>
      <c r="AI151" s="212"/>
      <c r="AJ151" s="212"/>
      <c r="AK151" s="212"/>
      <c r="AL151" s="212"/>
      <c r="AM151" s="212"/>
      <c r="AN151" s="212"/>
      <c r="AO151" s="212"/>
      <c r="AP151" s="212"/>
      <c r="AQ151" s="212"/>
      <c r="AR151" s="212"/>
      <c r="AS151" s="212"/>
      <c r="AT151" s="212"/>
      <c r="AU151" s="212"/>
      <c r="AV151" s="212"/>
      <c r="AW151" s="212"/>
      <c r="AX151" s="212"/>
      <c r="AY151" s="212"/>
      <c r="AZ151" s="212"/>
      <c r="BA151" s="212"/>
      <c r="BB151" s="212"/>
      <c r="BC151" s="212"/>
      <c r="BD151" s="212"/>
      <c r="BE151" s="212"/>
      <c r="BF151" s="212"/>
      <c r="BG151" s="212"/>
      <c r="BH151" s="212"/>
      <c r="BI151" s="212"/>
      <c r="BJ151" s="212"/>
      <c r="BK151" s="212"/>
      <c r="BL151" s="212"/>
      <c r="BM151" s="212"/>
      <c r="BN151" s="212"/>
      <c r="BO151" s="212"/>
      <c r="BP151" s="212"/>
      <c r="BQ151" s="212"/>
      <c r="BR151" s="212"/>
      <c r="BS151" s="212"/>
      <c r="BT151" s="212"/>
      <c r="BU151" s="212"/>
      <c r="BV151" s="212"/>
      <c r="BW151" s="212"/>
      <c r="BX151" s="212"/>
      <c r="BY151" s="212"/>
      <c r="BZ151" s="212"/>
      <c r="CA151" s="212"/>
      <c r="CB151" s="212"/>
      <c r="CC151" s="212"/>
      <c r="CD151" s="212"/>
      <c r="CE151" s="212"/>
      <c r="CF151" s="212"/>
      <c r="CG151" s="212"/>
      <c r="CH151" s="212"/>
      <c r="CI151" s="212"/>
      <c r="CJ151" s="212"/>
      <c r="CK151" s="212"/>
      <c r="CL151" s="212"/>
    </row>
    <row r="152" spans="10:90" ht="24.75" customHeight="1" x14ac:dyDescent="0.75">
      <c r="J152" s="220"/>
      <c r="K152" s="2"/>
      <c r="N152" s="212"/>
      <c r="O152" s="212"/>
      <c r="P152" s="212"/>
      <c r="Q152" s="212"/>
      <c r="R152" s="212"/>
      <c r="S152" s="212"/>
      <c r="T152" s="212"/>
      <c r="U152" s="212"/>
      <c r="V152" s="212"/>
      <c r="W152" s="212"/>
      <c r="X152" s="212"/>
      <c r="Y152" s="212"/>
      <c r="Z152" s="212"/>
      <c r="AA152" s="212"/>
      <c r="AB152" s="212"/>
      <c r="AC152" s="212"/>
      <c r="AD152" s="212"/>
      <c r="AE152" s="212"/>
      <c r="AF152" s="212"/>
      <c r="AG152" s="212"/>
      <c r="AH152" s="212"/>
      <c r="AI152" s="212"/>
      <c r="AJ152" s="212"/>
      <c r="AK152" s="212"/>
      <c r="AL152" s="212"/>
      <c r="AM152" s="212"/>
      <c r="AN152" s="212"/>
      <c r="AO152" s="212"/>
      <c r="AP152" s="212"/>
      <c r="AQ152" s="212"/>
      <c r="AR152" s="212"/>
      <c r="AS152" s="212"/>
      <c r="AT152" s="212"/>
      <c r="AU152" s="212"/>
      <c r="AV152" s="212"/>
      <c r="AW152" s="212"/>
      <c r="AX152" s="212"/>
      <c r="AY152" s="212"/>
      <c r="AZ152" s="212"/>
      <c r="BA152" s="212"/>
      <c r="BB152" s="212"/>
      <c r="BC152" s="212"/>
      <c r="BD152" s="212"/>
      <c r="BE152" s="212"/>
      <c r="BF152" s="212"/>
      <c r="BG152" s="212"/>
      <c r="BH152" s="212"/>
      <c r="BI152" s="212"/>
      <c r="BJ152" s="212"/>
      <c r="BK152" s="212"/>
      <c r="BL152" s="212"/>
      <c r="BM152" s="212"/>
      <c r="BN152" s="212"/>
      <c r="BO152" s="212"/>
      <c r="BP152" s="212"/>
      <c r="BQ152" s="212"/>
      <c r="BR152" s="212"/>
      <c r="BS152" s="212"/>
      <c r="BT152" s="212"/>
      <c r="BU152" s="212"/>
      <c r="BV152" s="212"/>
      <c r="BW152" s="212"/>
      <c r="BX152" s="212"/>
      <c r="BY152" s="212"/>
      <c r="BZ152" s="212"/>
      <c r="CA152" s="212"/>
      <c r="CB152" s="212"/>
      <c r="CC152" s="212"/>
      <c r="CD152" s="212"/>
      <c r="CE152" s="212"/>
      <c r="CF152" s="212"/>
      <c r="CG152" s="212"/>
      <c r="CH152" s="212"/>
      <c r="CI152" s="212"/>
      <c r="CJ152" s="212"/>
      <c r="CK152" s="212"/>
      <c r="CL152" s="212"/>
    </row>
    <row r="153" spans="10:90" ht="24.75" customHeight="1" x14ac:dyDescent="0.75">
      <c r="J153" s="220"/>
      <c r="K153" s="2"/>
      <c r="N153" s="212"/>
      <c r="O153" s="212"/>
      <c r="P153" s="212"/>
      <c r="Q153" s="212"/>
      <c r="R153" s="212"/>
      <c r="S153" s="212"/>
      <c r="T153" s="212"/>
      <c r="U153" s="212"/>
      <c r="V153" s="212"/>
      <c r="W153" s="212"/>
      <c r="X153" s="212"/>
      <c r="Y153" s="212"/>
      <c r="Z153" s="212"/>
      <c r="AA153" s="212"/>
      <c r="AB153" s="212"/>
      <c r="AC153" s="212"/>
      <c r="AD153" s="212"/>
      <c r="AE153" s="212"/>
      <c r="AF153" s="212"/>
      <c r="AG153" s="212"/>
      <c r="AH153" s="212"/>
      <c r="AI153" s="212"/>
      <c r="AJ153" s="212"/>
      <c r="AK153" s="212"/>
      <c r="AL153" s="212"/>
      <c r="AM153" s="212"/>
      <c r="AN153" s="212"/>
      <c r="AO153" s="212"/>
      <c r="AP153" s="212"/>
      <c r="AQ153" s="212"/>
      <c r="AR153" s="212"/>
      <c r="AS153" s="212"/>
      <c r="AT153" s="212"/>
      <c r="AU153" s="212"/>
      <c r="AV153" s="212"/>
      <c r="AW153" s="212"/>
      <c r="AX153" s="212"/>
      <c r="AY153" s="212"/>
      <c r="AZ153" s="212"/>
      <c r="BA153" s="212"/>
      <c r="BB153" s="212"/>
      <c r="BC153" s="212"/>
      <c r="BD153" s="212"/>
      <c r="BE153" s="212"/>
      <c r="BF153" s="212"/>
      <c r="BG153" s="212"/>
      <c r="BH153" s="212"/>
      <c r="BI153" s="212"/>
      <c r="BJ153" s="212"/>
      <c r="BK153" s="212"/>
      <c r="BL153" s="212"/>
      <c r="BM153" s="212"/>
      <c r="BN153" s="212"/>
      <c r="BO153" s="212"/>
      <c r="BP153" s="212"/>
      <c r="BQ153" s="212"/>
      <c r="BR153" s="212"/>
      <c r="BS153" s="212"/>
      <c r="BT153" s="212"/>
      <c r="BU153" s="212"/>
      <c r="BV153" s="212"/>
      <c r="BW153" s="212"/>
      <c r="BX153" s="212"/>
      <c r="BY153" s="212"/>
      <c r="BZ153" s="212"/>
      <c r="CA153" s="212"/>
      <c r="CB153" s="212"/>
      <c r="CC153" s="212"/>
      <c r="CD153" s="212"/>
      <c r="CE153" s="212"/>
      <c r="CF153" s="212"/>
      <c r="CG153" s="212"/>
      <c r="CH153" s="212"/>
      <c r="CI153" s="212"/>
      <c r="CJ153" s="212"/>
      <c r="CK153" s="212"/>
      <c r="CL153" s="212"/>
    </row>
    <row r="154" spans="10:90" ht="24.75" customHeight="1" x14ac:dyDescent="0.75">
      <c r="J154" s="220"/>
      <c r="K154" s="2"/>
      <c r="N154" s="212"/>
      <c r="O154" s="212"/>
      <c r="P154" s="212"/>
      <c r="Q154" s="212"/>
      <c r="R154" s="212"/>
      <c r="S154" s="212"/>
      <c r="T154" s="212"/>
      <c r="U154" s="212"/>
      <c r="V154" s="212"/>
      <c r="W154" s="212"/>
      <c r="X154" s="212"/>
      <c r="Y154" s="212"/>
      <c r="Z154" s="212"/>
      <c r="AA154" s="212"/>
      <c r="AB154" s="212"/>
      <c r="AC154" s="212"/>
      <c r="AD154" s="212"/>
      <c r="AE154" s="212"/>
      <c r="AF154" s="212"/>
      <c r="AG154" s="212"/>
      <c r="AH154" s="212"/>
      <c r="AI154" s="212"/>
      <c r="AJ154" s="212"/>
      <c r="AK154" s="212"/>
      <c r="AL154" s="212"/>
      <c r="AM154" s="212"/>
      <c r="AN154" s="212"/>
      <c r="AO154" s="212"/>
      <c r="AP154" s="212"/>
      <c r="AQ154" s="212"/>
      <c r="AR154" s="212"/>
      <c r="AS154" s="212"/>
      <c r="AT154" s="212"/>
      <c r="AU154" s="212"/>
      <c r="AV154" s="212"/>
      <c r="AW154" s="212"/>
      <c r="AX154" s="212"/>
      <c r="AY154" s="212"/>
      <c r="AZ154" s="212"/>
      <c r="BA154" s="212"/>
      <c r="BB154" s="212"/>
      <c r="BC154" s="212"/>
      <c r="BD154" s="212"/>
      <c r="BE154" s="212"/>
      <c r="BF154" s="212"/>
      <c r="BG154" s="212"/>
      <c r="BH154" s="212"/>
      <c r="BI154" s="212"/>
      <c r="BJ154" s="212"/>
      <c r="BK154" s="212"/>
      <c r="BL154" s="212"/>
      <c r="BM154" s="212"/>
      <c r="BN154" s="212"/>
      <c r="BO154" s="212"/>
      <c r="BP154" s="212"/>
      <c r="BQ154" s="212"/>
      <c r="BR154" s="212"/>
      <c r="BS154" s="212"/>
      <c r="BT154" s="212"/>
      <c r="BU154" s="212"/>
      <c r="BV154" s="212"/>
      <c r="BW154" s="212"/>
      <c r="BX154" s="212"/>
      <c r="BY154" s="212"/>
      <c r="BZ154" s="212"/>
      <c r="CA154" s="212"/>
      <c r="CB154" s="212"/>
      <c r="CC154" s="212"/>
      <c r="CD154" s="212"/>
      <c r="CE154" s="212"/>
      <c r="CF154" s="212"/>
      <c r="CG154" s="212"/>
      <c r="CH154" s="212"/>
      <c r="CI154" s="212"/>
      <c r="CJ154" s="212"/>
      <c r="CK154" s="212"/>
      <c r="CL154" s="212"/>
    </row>
    <row r="155" spans="10:90" ht="24.75" customHeight="1" x14ac:dyDescent="0.75">
      <c r="J155" s="220"/>
      <c r="K155" s="2"/>
      <c r="N155" s="212"/>
      <c r="O155" s="212"/>
      <c r="P155" s="212"/>
      <c r="Q155" s="212"/>
      <c r="R155" s="212"/>
      <c r="S155" s="212"/>
      <c r="T155" s="212"/>
      <c r="U155" s="212"/>
      <c r="V155" s="212"/>
      <c r="W155" s="212"/>
      <c r="X155" s="212"/>
      <c r="Y155" s="212"/>
      <c r="Z155" s="212"/>
      <c r="AA155" s="212"/>
      <c r="AB155" s="212"/>
      <c r="AC155" s="212"/>
      <c r="AD155" s="212"/>
      <c r="AE155" s="212"/>
      <c r="AF155" s="212"/>
      <c r="AG155" s="212"/>
      <c r="AH155" s="212"/>
      <c r="AI155" s="212"/>
      <c r="AJ155" s="212"/>
      <c r="AK155" s="212"/>
      <c r="AL155" s="212"/>
      <c r="AM155" s="212"/>
      <c r="AN155" s="212"/>
      <c r="AO155" s="212"/>
      <c r="AP155" s="212"/>
      <c r="AQ155" s="212"/>
      <c r="AR155" s="212"/>
      <c r="AS155" s="212"/>
      <c r="AT155" s="212"/>
      <c r="AU155" s="212"/>
      <c r="AV155" s="212"/>
      <c r="AW155" s="212"/>
      <c r="AX155" s="212"/>
      <c r="AY155" s="212"/>
      <c r="AZ155" s="212"/>
      <c r="BA155" s="212"/>
      <c r="BB155" s="212"/>
      <c r="BC155" s="212"/>
      <c r="BD155" s="212"/>
      <c r="BE155" s="212"/>
      <c r="BF155" s="212"/>
      <c r="BG155" s="212"/>
      <c r="BH155" s="212"/>
      <c r="BI155" s="212"/>
      <c r="BJ155" s="212"/>
      <c r="BK155" s="212"/>
      <c r="BL155" s="212"/>
      <c r="BM155" s="212"/>
      <c r="BN155" s="212"/>
      <c r="BO155" s="212"/>
      <c r="BP155" s="212"/>
      <c r="BQ155" s="212"/>
      <c r="BR155" s="212"/>
      <c r="BS155" s="212"/>
      <c r="BT155" s="212"/>
      <c r="BU155" s="212"/>
      <c r="BV155" s="212"/>
      <c r="BW155" s="212"/>
      <c r="BX155" s="212"/>
      <c r="BY155" s="212"/>
      <c r="BZ155" s="212"/>
      <c r="CA155" s="212"/>
      <c r="CB155" s="212"/>
      <c r="CC155" s="212"/>
      <c r="CD155" s="212"/>
      <c r="CE155" s="212"/>
      <c r="CF155" s="212"/>
      <c r="CG155" s="212"/>
      <c r="CH155" s="212"/>
      <c r="CI155" s="212"/>
      <c r="CJ155" s="212"/>
      <c r="CK155" s="212"/>
      <c r="CL155" s="212"/>
    </row>
    <row r="156" spans="10:90" ht="24.75" customHeight="1" x14ac:dyDescent="0.75">
      <c r="J156" s="220"/>
      <c r="K156" s="2"/>
      <c r="N156" s="212"/>
      <c r="O156" s="212"/>
      <c r="P156" s="212"/>
      <c r="Q156" s="212"/>
      <c r="R156" s="212"/>
      <c r="S156" s="212"/>
      <c r="T156" s="212"/>
      <c r="U156" s="212"/>
      <c r="V156" s="212"/>
      <c r="W156" s="212"/>
      <c r="X156" s="212"/>
      <c r="Y156" s="212"/>
      <c r="Z156" s="212"/>
      <c r="AA156" s="212"/>
      <c r="AB156" s="212"/>
      <c r="AC156" s="212"/>
      <c r="AD156" s="212"/>
      <c r="AE156" s="212"/>
      <c r="AF156" s="212"/>
      <c r="AG156" s="212"/>
      <c r="AH156" s="212"/>
      <c r="AI156" s="212"/>
      <c r="AJ156" s="212"/>
      <c r="AK156" s="212"/>
      <c r="AL156" s="212"/>
      <c r="AM156" s="212"/>
      <c r="AN156" s="212"/>
      <c r="AO156" s="212"/>
      <c r="AP156" s="212"/>
      <c r="AQ156" s="212"/>
      <c r="AR156" s="212"/>
      <c r="AS156" s="212"/>
      <c r="AT156" s="212"/>
      <c r="AU156" s="212"/>
      <c r="AV156" s="212"/>
      <c r="AW156" s="212"/>
      <c r="AX156" s="212"/>
      <c r="AY156" s="212"/>
      <c r="AZ156" s="212"/>
      <c r="BA156" s="212"/>
      <c r="BB156" s="212"/>
      <c r="BC156" s="212"/>
      <c r="BD156" s="212"/>
      <c r="BE156" s="212"/>
      <c r="BF156" s="212"/>
      <c r="BG156" s="212"/>
      <c r="BH156" s="212"/>
      <c r="BI156" s="212"/>
      <c r="BJ156" s="212"/>
      <c r="BK156" s="212"/>
      <c r="BL156" s="212"/>
      <c r="BM156" s="212"/>
      <c r="BN156" s="212"/>
      <c r="BO156" s="212"/>
      <c r="BP156" s="212"/>
      <c r="BQ156" s="212"/>
      <c r="BR156" s="212"/>
      <c r="BS156" s="212"/>
      <c r="BT156" s="212"/>
      <c r="BU156" s="212"/>
      <c r="BV156" s="212"/>
      <c r="BW156" s="212"/>
      <c r="BX156" s="212"/>
      <c r="BY156" s="212"/>
      <c r="BZ156" s="212"/>
      <c r="CA156" s="212"/>
      <c r="CB156" s="212"/>
      <c r="CC156" s="212"/>
      <c r="CD156" s="212"/>
      <c r="CE156" s="212"/>
      <c r="CF156" s="212"/>
      <c r="CG156" s="212"/>
      <c r="CH156" s="212"/>
      <c r="CI156" s="212"/>
      <c r="CJ156" s="212"/>
      <c r="CK156" s="212"/>
      <c r="CL156" s="212"/>
    </row>
    <row r="157" spans="10:90" ht="24.75" customHeight="1" x14ac:dyDescent="0.75">
      <c r="J157" s="220"/>
      <c r="K157" s="2"/>
      <c r="N157" s="212"/>
      <c r="O157" s="212"/>
      <c r="P157" s="212"/>
      <c r="Q157" s="212"/>
      <c r="R157" s="212"/>
      <c r="S157" s="212"/>
      <c r="T157" s="212"/>
      <c r="U157" s="212"/>
      <c r="V157" s="212"/>
      <c r="W157" s="212"/>
      <c r="X157" s="212"/>
      <c r="Y157" s="212"/>
      <c r="Z157" s="212"/>
      <c r="AA157" s="212"/>
      <c r="AB157" s="212"/>
      <c r="AC157" s="212"/>
      <c r="AD157" s="212"/>
      <c r="AE157" s="212"/>
      <c r="AF157" s="212"/>
      <c r="AG157" s="212"/>
      <c r="AH157" s="212"/>
      <c r="AI157" s="212"/>
      <c r="AJ157" s="212"/>
      <c r="AK157" s="212"/>
      <c r="AL157" s="212"/>
      <c r="AM157" s="212"/>
      <c r="AN157" s="212"/>
      <c r="AO157" s="212"/>
      <c r="AP157" s="212"/>
      <c r="AQ157" s="212"/>
      <c r="AR157" s="212"/>
      <c r="AS157" s="212"/>
      <c r="AT157" s="212"/>
      <c r="AU157" s="212"/>
      <c r="AV157" s="212"/>
      <c r="AW157" s="212"/>
      <c r="AX157" s="212"/>
      <c r="AY157" s="212"/>
      <c r="AZ157" s="212"/>
      <c r="BA157" s="212"/>
      <c r="BB157" s="212"/>
      <c r="BC157" s="212"/>
      <c r="BD157" s="212"/>
      <c r="BE157" s="212"/>
      <c r="BF157" s="212"/>
      <c r="BG157" s="212"/>
      <c r="BH157" s="212"/>
      <c r="BI157" s="212"/>
      <c r="BJ157" s="212"/>
      <c r="BK157" s="212"/>
      <c r="BL157" s="212"/>
      <c r="BM157" s="212"/>
      <c r="BN157" s="212"/>
      <c r="BO157" s="212"/>
      <c r="BP157" s="212"/>
      <c r="BQ157" s="212"/>
      <c r="BR157" s="212"/>
      <c r="BS157" s="212"/>
      <c r="BT157" s="212"/>
      <c r="BU157" s="212"/>
      <c r="BV157" s="212"/>
      <c r="BW157" s="212"/>
      <c r="BX157" s="212"/>
      <c r="BY157" s="212"/>
      <c r="BZ157" s="212"/>
      <c r="CA157" s="212"/>
      <c r="CB157" s="212"/>
      <c r="CC157" s="212"/>
      <c r="CD157" s="212"/>
      <c r="CE157" s="212"/>
      <c r="CF157" s="212"/>
      <c r="CG157" s="212"/>
      <c r="CH157" s="212"/>
      <c r="CI157" s="212"/>
      <c r="CJ157" s="212"/>
      <c r="CK157" s="212"/>
      <c r="CL157" s="212"/>
    </row>
    <row r="158" spans="10:90" ht="24.75" customHeight="1" x14ac:dyDescent="0.75">
      <c r="J158" s="220"/>
      <c r="K158" s="2"/>
      <c r="N158" s="212"/>
      <c r="O158" s="212"/>
      <c r="P158" s="212"/>
      <c r="Q158" s="212"/>
      <c r="R158" s="212"/>
      <c r="S158" s="212"/>
      <c r="T158" s="212"/>
      <c r="U158" s="212"/>
      <c r="V158" s="212"/>
      <c r="W158" s="212"/>
      <c r="X158" s="212"/>
      <c r="Y158" s="212"/>
      <c r="Z158" s="212"/>
      <c r="AA158" s="212"/>
      <c r="AB158" s="212"/>
      <c r="AC158" s="212"/>
      <c r="AD158" s="212"/>
      <c r="AE158" s="212"/>
      <c r="AF158" s="212"/>
      <c r="AG158" s="212"/>
      <c r="AH158" s="212"/>
      <c r="AI158" s="212"/>
      <c r="AJ158" s="212"/>
      <c r="AK158" s="212"/>
      <c r="AL158" s="212"/>
      <c r="AM158" s="212"/>
      <c r="AN158" s="212"/>
      <c r="AO158" s="212"/>
      <c r="AP158" s="212"/>
      <c r="AQ158" s="212"/>
      <c r="AR158" s="212"/>
      <c r="AS158" s="212"/>
      <c r="AT158" s="212"/>
      <c r="AU158" s="212"/>
      <c r="AV158" s="212"/>
      <c r="AW158" s="212"/>
      <c r="AX158" s="212"/>
      <c r="AY158" s="212"/>
      <c r="AZ158" s="212"/>
      <c r="BA158" s="212"/>
      <c r="BB158" s="212"/>
      <c r="BC158" s="212"/>
      <c r="BD158" s="212"/>
      <c r="BE158" s="212"/>
      <c r="BF158" s="212"/>
      <c r="BG158" s="212"/>
      <c r="BH158" s="212"/>
      <c r="BI158" s="212"/>
      <c r="BJ158" s="212"/>
      <c r="BK158" s="212"/>
      <c r="BL158" s="212"/>
      <c r="BM158" s="212"/>
      <c r="BN158" s="212"/>
      <c r="BO158" s="212"/>
      <c r="BP158" s="212"/>
      <c r="BQ158" s="212"/>
      <c r="BR158" s="212"/>
      <c r="BS158" s="212"/>
      <c r="BT158" s="212"/>
      <c r="BU158" s="212"/>
      <c r="BV158" s="212"/>
      <c r="BW158" s="212"/>
      <c r="BX158" s="212"/>
      <c r="BY158" s="212"/>
      <c r="BZ158" s="212"/>
      <c r="CA158" s="212"/>
      <c r="CB158" s="212"/>
      <c r="CC158" s="212"/>
      <c r="CD158" s="212"/>
      <c r="CE158" s="212"/>
      <c r="CF158" s="212"/>
      <c r="CG158" s="212"/>
      <c r="CH158" s="212"/>
      <c r="CI158" s="212"/>
      <c r="CJ158" s="212"/>
      <c r="CK158" s="212"/>
      <c r="CL158" s="212"/>
    </row>
    <row r="159" spans="10:90" ht="24.75" customHeight="1" x14ac:dyDescent="0.75">
      <c r="J159" s="220"/>
      <c r="K159" s="2"/>
      <c r="N159" s="212"/>
      <c r="O159" s="212"/>
      <c r="P159" s="212"/>
      <c r="Q159" s="212"/>
      <c r="R159" s="212"/>
      <c r="S159" s="212"/>
      <c r="T159" s="212"/>
      <c r="U159" s="212"/>
      <c r="V159" s="212"/>
      <c r="W159" s="212"/>
      <c r="X159" s="212"/>
      <c r="Y159" s="212"/>
      <c r="Z159" s="212"/>
      <c r="AA159" s="212"/>
      <c r="AB159" s="212"/>
      <c r="AC159" s="212"/>
      <c r="AD159" s="212"/>
      <c r="AE159" s="212"/>
      <c r="AF159" s="212"/>
      <c r="AG159" s="212"/>
      <c r="AH159" s="212"/>
      <c r="AI159" s="212"/>
      <c r="AJ159" s="212"/>
      <c r="AK159" s="212"/>
      <c r="AL159" s="212"/>
      <c r="AM159" s="212"/>
      <c r="AN159" s="212"/>
      <c r="AO159" s="212"/>
      <c r="AP159" s="212"/>
      <c r="AQ159" s="212"/>
      <c r="AR159" s="212"/>
      <c r="AS159" s="212"/>
      <c r="AT159" s="212"/>
      <c r="AU159" s="212"/>
      <c r="AV159" s="212"/>
      <c r="AW159" s="212"/>
      <c r="AX159" s="212"/>
      <c r="AY159" s="212"/>
      <c r="AZ159" s="212"/>
      <c r="BA159" s="212"/>
      <c r="BB159" s="212"/>
      <c r="BC159" s="212"/>
      <c r="BD159" s="212"/>
      <c r="BE159" s="212"/>
      <c r="BF159" s="212"/>
      <c r="BG159" s="212"/>
      <c r="BH159" s="212"/>
      <c r="BI159" s="212"/>
      <c r="BJ159" s="212"/>
      <c r="BK159" s="212"/>
      <c r="BL159" s="212"/>
      <c r="BM159" s="212"/>
      <c r="BN159" s="212"/>
      <c r="BO159" s="212"/>
      <c r="BP159" s="212"/>
      <c r="BQ159" s="212"/>
      <c r="BR159" s="212"/>
      <c r="BS159" s="212"/>
      <c r="BT159" s="212"/>
      <c r="BU159" s="212"/>
      <c r="BV159" s="212"/>
      <c r="BW159" s="212"/>
      <c r="BX159" s="212"/>
      <c r="BY159" s="212"/>
      <c r="BZ159" s="212"/>
      <c r="CA159" s="212"/>
      <c r="CB159" s="212"/>
      <c r="CC159" s="212"/>
      <c r="CD159" s="212"/>
      <c r="CE159" s="212"/>
      <c r="CF159" s="212"/>
      <c r="CG159" s="212"/>
      <c r="CH159" s="212"/>
      <c r="CI159" s="212"/>
      <c r="CJ159" s="212"/>
      <c r="CK159" s="212"/>
      <c r="CL159" s="212"/>
    </row>
    <row r="160" spans="10:90" ht="24.75" customHeight="1" x14ac:dyDescent="0.75">
      <c r="J160" s="220"/>
      <c r="K160" s="2"/>
      <c r="N160" s="212"/>
      <c r="O160" s="212"/>
      <c r="P160" s="212"/>
      <c r="Q160" s="212"/>
      <c r="R160" s="212"/>
      <c r="S160" s="212"/>
      <c r="T160" s="212"/>
      <c r="U160" s="212"/>
      <c r="V160" s="212"/>
      <c r="W160" s="212"/>
      <c r="X160" s="212"/>
      <c r="Y160" s="212"/>
      <c r="Z160" s="212"/>
      <c r="AA160" s="212"/>
      <c r="AB160" s="212"/>
      <c r="AC160" s="212"/>
      <c r="AD160" s="212"/>
      <c r="AE160" s="212"/>
      <c r="AF160" s="212"/>
      <c r="AG160" s="212"/>
      <c r="AH160" s="212"/>
      <c r="AI160" s="212"/>
      <c r="AJ160" s="212"/>
      <c r="AK160" s="212"/>
      <c r="AL160" s="212"/>
      <c r="AM160" s="212"/>
      <c r="AN160" s="212"/>
      <c r="AO160" s="212"/>
      <c r="AP160" s="212"/>
      <c r="AQ160" s="212"/>
      <c r="AR160" s="212"/>
      <c r="AS160" s="212"/>
      <c r="AT160" s="212"/>
      <c r="AU160" s="212"/>
      <c r="AV160" s="212"/>
      <c r="AW160" s="212"/>
      <c r="AX160" s="212"/>
      <c r="AY160" s="212"/>
      <c r="AZ160" s="212"/>
      <c r="BA160" s="212"/>
      <c r="BB160" s="212"/>
      <c r="BC160" s="212"/>
      <c r="BD160" s="212"/>
      <c r="BE160" s="212"/>
      <c r="BF160" s="212"/>
      <c r="BG160" s="212"/>
      <c r="BH160" s="212"/>
      <c r="BI160" s="212"/>
      <c r="BJ160" s="212"/>
      <c r="BK160" s="212"/>
      <c r="BL160" s="212"/>
      <c r="BM160" s="212"/>
      <c r="BN160" s="212"/>
      <c r="BO160" s="212"/>
      <c r="BP160" s="212"/>
      <c r="BQ160" s="212"/>
      <c r="BR160" s="212"/>
      <c r="BS160" s="212"/>
      <c r="BT160" s="212"/>
      <c r="BU160" s="212"/>
      <c r="BV160" s="212"/>
      <c r="BW160" s="212"/>
      <c r="BX160" s="212"/>
      <c r="BY160" s="212"/>
      <c r="BZ160" s="212"/>
      <c r="CA160" s="212"/>
      <c r="CB160" s="212"/>
      <c r="CC160" s="212"/>
      <c r="CD160" s="212"/>
      <c r="CE160" s="212"/>
      <c r="CF160" s="212"/>
      <c r="CG160" s="212"/>
      <c r="CH160" s="212"/>
      <c r="CI160" s="212"/>
      <c r="CJ160" s="212"/>
      <c r="CK160" s="212"/>
      <c r="CL160" s="212"/>
    </row>
    <row r="161" spans="10:90" ht="24.75" customHeight="1" x14ac:dyDescent="0.75">
      <c r="J161" s="220"/>
      <c r="K161" s="2"/>
      <c r="N161" s="212"/>
      <c r="O161" s="212"/>
      <c r="P161" s="212"/>
      <c r="Q161" s="212"/>
      <c r="R161" s="212"/>
      <c r="S161" s="212"/>
      <c r="T161" s="212"/>
      <c r="U161" s="212"/>
      <c r="V161" s="212"/>
      <c r="W161" s="212"/>
      <c r="X161" s="212"/>
      <c r="Y161" s="212"/>
      <c r="Z161" s="212"/>
      <c r="AA161" s="212"/>
      <c r="AB161" s="212"/>
      <c r="AC161" s="212"/>
      <c r="AD161" s="212"/>
      <c r="AE161" s="212"/>
      <c r="AF161" s="212"/>
      <c r="AG161" s="212"/>
      <c r="AH161" s="212"/>
      <c r="AI161" s="212"/>
      <c r="AJ161" s="212"/>
      <c r="AK161" s="212"/>
      <c r="AL161" s="212"/>
      <c r="AM161" s="212"/>
      <c r="AN161" s="212"/>
      <c r="AO161" s="212"/>
      <c r="AP161" s="212"/>
      <c r="AQ161" s="212"/>
      <c r="AR161" s="212"/>
      <c r="AS161" s="212"/>
      <c r="AT161" s="212"/>
      <c r="AU161" s="212"/>
      <c r="AV161" s="212"/>
      <c r="AW161" s="212"/>
      <c r="AX161" s="212"/>
      <c r="AY161" s="212"/>
      <c r="AZ161" s="212"/>
      <c r="BA161" s="212"/>
      <c r="BB161" s="212"/>
      <c r="BC161" s="212"/>
      <c r="BD161" s="212"/>
      <c r="BE161" s="212"/>
      <c r="BF161" s="212"/>
      <c r="BG161" s="212"/>
      <c r="BH161" s="212"/>
      <c r="BI161" s="212"/>
      <c r="BJ161" s="212"/>
      <c r="BK161" s="212"/>
      <c r="BL161" s="212"/>
      <c r="BM161" s="212"/>
      <c r="BN161" s="212"/>
      <c r="BO161" s="212"/>
      <c r="BP161" s="212"/>
      <c r="BQ161" s="212"/>
      <c r="BR161" s="212"/>
      <c r="BS161" s="212"/>
      <c r="BT161" s="212"/>
      <c r="BU161" s="212"/>
      <c r="BV161" s="212"/>
      <c r="BW161" s="212"/>
      <c r="BX161" s="212"/>
      <c r="BY161" s="212"/>
      <c r="BZ161" s="212"/>
      <c r="CA161" s="212"/>
      <c r="CB161" s="212"/>
      <c r="CC161" s="212"/>
      <c r="CD161" s="212"/>
      <c r="CE161" s="212"/>
      <c r="CF161" s="212"/>
      <c r="CG161" s="212"/>
      <c r="CH161" s="212"/>
      <c r="CI161" s="212"/>
      <c r="CJ161" s="212"/>
      <c r="CK161" s="212"/>
      <c r="CL161" s="212"/>
    </row>
    <row r="162" spans="10:90" ht="24.75" customHeight="1" x14ac:dyDescent="0.75">
      <c r="J162" s="220"/>
      <c r="K162" s="2"/>
      <c r="N162" s="212"/>
      <c r="O162" s="212"/>
      <c r="P162" s="212"/>
      <c r="Q162" s="212"/>
      <c r="R162" s="212"/>
      <c r="S162" s="212"/>
      <c r="T162" s="212"/>
      <c r="U162" s="212"/>
      <c r="V162" s="212"/>
      <c r="W162" s="212"/>
      <c r="X162" s="212"/>
      <c r="Y162" s="212"/>
      <c r="Z162" s="212"/>
      <c r="AA162" s="212"/>
      <c r="AB162" s="212"/>
      <c r="AC162" s="212"/>
      <c r="AD162" s="212"/>
      <c r="AE162" s="212"/>
      <c r="AF162" s="212"/>
      <c r="AG162" s="212"/>
      <c r="AH162" s="212"/>
      <c r="AI162" s="212"/>
      <c r="AJ162" s="212"/>
      <c r="AK162" s="212"/>
      <c r="AL162" s="212"/>
      <c r="AM162" s="212"/>
      <c r="AN162" s="212"/>
      <c r="AO162" s="212"/>
      <c r="AP162" s="212"/>
      <c r="AQ162" s="212"/>
      <c r="AR162" s="212"/>
      <c r="AS162" s="212"/>
      <c r="AT162" s="212"/>
      <c r="AU162" s="212"/>
      <c r="AV162" s="212"/>
      <c r="AW162" s="212"/>
      <c r="AX162" s="212"/>
      <c r="AY162" s="212"/>
      <c r="AZ162" s="212"/>
      <c r="BA162" s="212"/>
      <c r="BB162" s="212"/>
      <c r="BC162" s="212"/>
      <c r="BD162" s="212"/>
      <c r="BE162" s="212"/>
      <c r="BF162" s="212"/>
      <c r="BG162" s="212"/>
      <c r="BH162" s="212"/>
      <c r="BI162" s="212"/>
      <c r="BJ162" s="212"/>
      <c r="BK162" s="212"/>
      <c r="BL162" s="212"/>
      <c r="BM162" s="212"/>
      <c r="BN162" s="212"/>
      <c r="BO162" s="212"/>
      <c r="BP162" s="212"/>
      <c r="BQ162" s="212"/>
      <c r="BR162" s="212"/>
      <c r="BS162" s="212"/>
      <c r="BT162" s="212"/>
      <c r="BU162" s="212"/>
      <c r="BV162" s="212"/>
      <c r="BW162" s="212"/>
      <c r="BX162" s="212"/>
      <c r="BY162" s="212"/>
      <c r="BZ162" s="212"/>
      <c r="CA162" s="212"/>
      <c r="CB162" s="212"/>
      <c r="CC162" s="212"/>
      <c r="CD162" s="212"/>
      <c r="CE162" s="212"/>
      <c r="CF162" s="212"/>
      <c r="CG162" s="212"/>
      <c r="CH162" s="212"/>
      <c r="CI162" s="212"/>
      <c r="CJ162" s="212"/>
      <c r="CK162" s="212"/>
      <c r="CL162" s="212"/>
    </row>
    <row r="163" spans="10:90" ht="24.75" customHeight="1" x14ac:dyDescent="0.75">
      <c r="J163" s="220"/>
      <c r="K163" s="2"/>
      <c r="N163" s="212"/>
      <c r="O163" s="212"/>
      <c r="P163" s="212"/>
      <c r="Q163" s="212"/>
      <c r="R163" s="212"/>
      <c r="S163" s="212"/>
      <c r="T163" s="212"/>
      <c r="U163" s="212"/>
      <c r="V163" s="212"/>
      <c r="W163" s="212"/>
      <c r="X163" s="212"/>
      <c r="Y163" s="212"/>
      <c r="Z163" s="212"/>
      <c r="AA163" s="212"/>
      <c r="AB163" s="212"/>
      <c r="AC163" s="212"/>
      <c r="AD163" s="212"/>
      <c r="AE163" s="212"/>
      <c r="AF163" s="212"/>
      <c r="AG163" s="212"/>
      <c r="AH163" s="212"/>
      <c r="AI163" s="212"/>
      <c r="AJ163" s="212"/>
      <c r="AK163" s="212"/>
      <c r="AL163" s="212"/>
      <c r="AM163" s="212"/>
      <c r="AN163" s="212"/>
      <c r="AO163" s="212"/>
      <c r="AP163" s="212"/>
      <c r="AQ163" s="212"/>
      <c r="AR163" s="212"/>
      <c r="AS163" s="212"/>
      <c r="AT163" s="212"/>
      <c r="AU163" s="212"/>
      <c r="AV163" s="212"/>
      <c r="AW163" s="212"/>
      <c r="AX163" s="212"/>
      <c r="AY163" s="212"/>
      <c r="AZ163" s="212"/>
      <c r="BA163" s="212"/>
      <c r="BB163" s="212"/>
      <c r="BC163" s="212"/>
      <c r="BD163" s="212"/>
      <c r="BE163" s="212"/>
      <c r="BF163" s="212"/>
      <c r="BG163" s="212"/>
      <c r="BH163" s="212"/>
      <c r="BI163" s="212"/>
      <c r="BJ163" s="212"/>
      <c r="BK163" s="212"/>
      <c r="BL163" s="212"/>
      <c r="BM163" s="212"/>
      <c r="BN163" s="212"/>
      <c r="BO163" s="212"/>
      <c r="BP163" s="212"/>
      <c r="BQ163" s="212"/>
      <c r="BR163" s="212"/>
      <c r="BS163" s="212"/>
      <c r="BT163" s="212"/>
      <c r="BU163" s="212"/>
      <c r="BV163" s="212"/>
      <c r="BW163" s="212"/>
      <c r="BX163" s="212"/>
      <c r="BY163" s="212"/>
      <c r="BZ163" s="212"/>
      <c r="CA163" s="212"/>
      <c r="CB163" s="212"/>
      <c r="CC163" s="212"/>
      <c r="CD163" s="212"/>
      <c r="CE163" s="212"/>
      <c r="CF163" s="212"/>
      <c r="CG163" s="212"/>
      <c r="CH163" s="212"/>
      <c r="CI163" s="212"/>
      <c r="CJ163" s="212"/>
      <c r="CK163" s="212"/>
      <c r="CL163" s="212"/>
    </row>
    <row r="164" spans="10:90" ht="24.75" customHeight="1" x14ac:dyDescent="0.75">
      <c r="J164" s="220"/>
      <c r="K164" s="2"/>
      <c r="N164" s="212"/>
      <c r="O164" s="212"/>
      <c r="P164" s="212"/>
      <c r="Q164" s="212"/>
      <c r="R164" s="212"/>
      <c r="S164" s="212"/>
      <c r="T164" s="212"/>
      <c r="U164" s="212"/>
      <c r="V164" s="212"/>
      <c r="W164" s="212"/>
      <c r="X164" s="212"/>
      <c r="Y164" s="212"/>
      <c r="Z164" s="212"/>
      <c r="AA164" s="212"/>
      <c r="AB164" s="212"/>
      <c r="AC164" s="212"/>
      <c r="AD164" s="212"/>
      <c r="AE164" s="212"/>
      <c r="AF164" s="212"/>
      <c r="AG164" s="212"/>
      <c r="AH164" s="212"/>
      <c r="AI164" s="212"/>
      <c r="AJ164" s="212"/>
      <c r="AK164" s="212"/>
      <c r="AL164" s="212"/>
      <c r="AM164" s="212"/>
      <c r="AN164" s="212"/>
      <c r="AO164" s="212"/>
      <c r="AP164" s="212"/>
      <c r="AQ164" s="212"/>
      <c r="AR164" s="212"/>
      <c r="AS164" s="212"/>
      <c r="AT164" s="212"/>
      <c r="AU164" s="212"/>
      <c r="AV164" s="212"/>
      <c r="AW164" s="212"/>
      <c r="AX164" s="212"/>
      <c r="AY164" s="212"/>
      <c r="AZ164" s="212"/>
      <c r="BA164" s="212"/>
      <c r="BB164" s="212"/>
      <c r="BC164" s="212"/>
      <c r="BD164" s="212"/>
      <c r="BE164" s="212"/>
      <c r="BF164" s="212"/>
      <c r="BG164" s="212"/>
      <c r="BH164" s="212"/>
      <c r="BI164" s="212"/>
      <c r="BJ164" s="212"/>
      <c r="BK164" s="212"/>
      <c r="BL164" s="212"/>
      <c r="BM164" s="212"/>
      <c r="BN164" s="212"/>
      <c r="BO164" s="212"/>
      <c r="BP164" s="212"/>
      <c r="BQ164" s="212"/>
      <c r="BR164" s="212"/>
      <c r="BS164" s="212"/>
      <c r="BT164" s="212"/>
      <c r="BU164" s="212"/>
      <c r="BV164" s="212"/>
      <c r="BW164" s="212"/>
      <c r="BX164" s="212"/>
      <c r="BY164" s="212"/>
      <c r="BZ164" s="212"/>
      <c r="CA164" s="212"/>
      <c r="CB164" s="212"/>
      <c r="CC164" s="212"/>
      <c r="CD164" s="212"/>
      <c r="CE164" s="212"/>
      <c r="CF164" s="212"/>
      <c r="CG164" s="212"/>
      <c r="CH164" s="212"/>
      <c r="CI164" s="212"/>
      <c r="CJ164" s="212"/>
      <c r="CK164" s="212"/>
      <c r="CL164" s="212"/>
    </row>
    <row r="165" spans="10:90" ht="24.75" customHeight="1" x14ac:dyDescent="0.75">
      <c r="J165" s="220"/>
      <c r="K165" s="2"/>
      <c r="N165" s="212"/>
      <c r="O165" s="212"/>
      <c r="P165" s="212"/>
      <c r="Q165" s="212"/>
      <c r="R165" s="212"/>
      <c r="S165" s="212"/>
      <c r="T165" s="212"/>
      <c r="U165" s="212"/>
      <c r="V165" s="212"/>
      <c r="W165" s="212"/>
      <c r="X165" s="212"/>
      <c r="Y165" s="212"/>
      <c r="Z165" s="212"/>
      <c r="AA165" s="212"/>
      <c r="AB165" s="212"/>
      <c r="AC165" s="212"/>
      <c r="AD165" s="212"/>
      <c r="AE165" s="212"/>
      <c r="AF165" s="212"/>
      <c r="AG165" s="212"/>
      <c r="AH165" s="212"/>
      <c r="AI165" s="212"/>
      <c r="AJ165" s="212"/>
      <c r="AK165" s="212"/>
      <c r="AL165" s="212"/>
      <c r="AM165" s="212"/>
      <c r="AN165" s="212"/>
      <c r="AO165" s="212"/>
      <c r="AP165" s="212"/>
      <c r="AQ165" s="212"/>
      <c r="AR165" s="212"/>
      <c r="AS165" s="212"/>
      <c r="AT165" s="212"/>
      <c r="AU165" s="212"/>
      <c r="AV165" s="212"/>
      <c r="AW165" s="212"/>
      <c r="AX165" s="212"/>
      <c r="AY165" s="212"/>
      <c r="AZ165" s="212"/>
      <c r="BA165" s="212"/>
      <c r="BB165" s="212"/>
      <c r="BC165" s="212"/>
      <c r="BD165" s="212"/>
      <c r="BE165" s="212"/>
      <c r="BF165" s="212"/>
      <c r="BG165" s="212"/>
      <c r="BH165" s="212"/>
      <c r="BI165" s="212"/>
      <c r="BJ165" s="212"/>
      <c r="BK165" s="212"/>
      <c r="BL165" s="212"/>
      <c r="BM165" s="212"/>
      <c r="BN165" s="212"/>
      <c r="BO165" s="212"/>
      <c r="BP165" s="212"/>
      <c r="BQ165" s="212"/>
      <c r="BR165" s="212"/>
      <c r="BS165" s="212"/>
      <c r="BT165" s="212"/>
      <c r="BU165" s="212"/>
      <c r="BV165" s="212"/>
      <c r="BW165" s="212"/>
      <c r="BX165" s="212"/>
      <c r="BY165" s="212"/>
      <c r="BZ165" s="212"/>
      <c r="CA165" s="212"/>
      <c r="CB165" s="212"/>
      <c r="CC165" s="212"/>
      <c r="CD165" s="212"/>
      <c r="CE165" s="212"/>
      <c r="CF165" s="212"/>
      <c r="CG165" s="212"/>
      <c r="CH165" s="212"/>
      <c r="CI165" s="212"/>
      <c r="CJ165" s="212"/>
      <c r="CK165" s="212"/>
      <c r="CL165" s="212"/>
    </row>
    <row r="166" spans="10:90" ht="24.75" customHeight="1" x14ac:dyDescent="0.75">
      <c r="J166" s="220"/>
      <c r="K166" s="2"/>
      <c r="N166" s="212"/>
      <c r="O166" s="212"/>
      <c r="P166" s="212"/>
      <c r="Q166" s="212"/>
      <c r="R166" s="212"/>
      <c r="S166" s="212"/>
      <c r="T166" s="212"/>
      <c r="U166" s="212"/>
      <c r="V166" s="212"/>
      <c r="W166" s="212"/>
      <c r="X166" s="212"/>
      <c r="Y166" s="212"/>
      <c r="Z166" s="212"/>
      <c r="AA166" s="212"/>
      <c r="AB166" s="212"/>
      <c r="AC166" s="212"/>
      <c r="AD166" s="212"/>
      <c r="AE166" s="212"/>
      <c r="AF166" s="212"/>
      <c r="AG166" s="212"/>
      <c r="AH166" s="212"/>
      <c r="AI166" s="212"/>
      <c r="AJ166" s="212"/>
      <c r="AK166" s="212"/>
      <c r="AL166" s="212"/>
      <c r="AM166" s="212"/>
      <c r="AN166" s="212"/>
      <c r="AO166" s="212"/>
      <c r="AP166" s="212"/>
      <c r="AQ166" s="212"/>
      <c r="AR166" s="212"/>
      <c r="AS166" s="212"/>
      <c r="AT166" s="212"/>
      <c r="AU166" s="212"/>
      <c r="AV166" s="212"/>
      <c r="AW166" s="212"/>
      <c r="AX166" s="212"/>
      <c r="AY166" s="212"/>
      <c r="AZ166" s="212"/>
      <c r="BA166" s="212"/>
      <c r="BB166" s="212"/>
      <c r="BC166" s="212"/>
      <c r="BD166" s="212"/>
      <c r="BE166" s="212"/>
      <c r="BF166" s="212"/>
      <c r="BG166" s="212"/>
      <c r="BH166" s="212"/>
      <c r="BI166" s="212"/>
      <c r="BJ166" s="212"/>
      <c r="BK166" s="212"/>
      <c r="BL166" s="212"/>
      <c r="BM166" s="212"/>
      <c r="BN166" s="212"/>
      <c r="BO166" s="212"/>
      <c r="BP166" s="212"/>
      <c r="BQ166" s="212"/>
      <c r="BR166" s="212"/>
      <c r="BS166" s="212"/>
      <c r="BT166" s="212"/>
      <c r="BU166" s="212"/>
      <c r="BV166" s="212"/>
      <c r="BW166" s="212"/>
      <c r="BX166" s="212"/>
      <c r="BY166" s="212"/>
      <c r="BZ166" s="212"/>
      <c r="CA166" s="212"/>
      <c r="CB166" s="212"/>
      <c r="CC166" s="212"/>
      <c r="CD166" s="212"/>
      <c r="CE166" s="212"/>
      <c r="CF166" s="212"/>
      <c r="CG166" s="212"/>
      <c r="CH166" s="212"/>
      <c r="CI166" s="212"/>
      <c r="CJ166" s="212"/>
      <c r="CK166" s="212"/>
      <c r="CL166" s="212"/>
    </row>
    <row r="167" spans="10:90" ht="24.75" customHeight="1" x14ac:dyDescent="0.75">
      <c r="J167" s="220"/>
      <c r="K167" s="2"/>
      <c r="N167" s="212"/>
      <c r="O167" s="212"/>
      <c r="P167" s="212"/>
      <c r="Q167" s="212"/>
      <c r="R167" s="212"/>
      <c r="S167" s="212"/>
      <c r="T167" s="212"/>
      <c r="U167" s="212"/>
      <c r="V167" s="212"/>
      <c r="W167" s="212"/>
      <c r="X167" s="212"/>
      <c r="Y167" s="212"/>
      <c r="Z167" s="212"/>
      <c r="AA167" s="212"/>
      <c r="AB167" s="212"/>
      <c r="AC167" s="212"/>
      <c r="AD167" s="212"/>
      <c r="AE167" s="212"/>
      <c r="AF167" s="212"/>
      <c r="AG167" s="212"/>
      <c r="AH167" s="212"/>
      <c r="AI167" s="212"/>
      <c r="AJ167" s="212"/>
      <c r="AK167" s="212"/>
      <c r="AL167" s="212"/>
      <c r="AM167" s="212"/>
      <c r="AN167" s="212"/>
      <c r="AO167" s="212"/>
      <c r="AP167" s="212"/>
      <c r="AQ167" s="212"/>
      <c r="AR167" s="212"/>
      <c r="AS167" s="212"/>
      <c r="AT167" s="212"/>
      <c r="AU167" s="212"/>
      <c r="AV167" s="212"/>
      <c r="AW167" s="212"/>
      <c r="AX167" s="212"/>
      <c r="AY167" s="212"/>
      <c r="AZ167" s="212"/>
      <c r="BA167" s="212"/>
      <c r="BB167" s="212"/>
      <c r="BC167" s="212"/>
      <c r="BD167" s="212"/>
      <c r="BE167" s="212"/>
      <c r="BF167" s="212"/>
      <c r="BG167" s="212"/>
      <c r="BH167" s="212"/>
      <c r="BI167" s="212"/>
      <c r="BJ167" s="212"/>
      <c r="BK167" s="212"/>
      <c r="BL167" s="212"/>
      <c r="BM167" s="212"/>
      <c r="BN167" s="212"/>
      <c r="BO167" s="212"/>
      <c r="BP167" s="212"/>
      <c r="BQ167" s="212"/>
      <c r="BR167" s="212"/>
      <c r="BS167" s="212"/>
      <c r="BT167" s="212"/>
      <c r="BU167" s="212"/>
      <c r="BV167" s="212"/>
      <c r="BW167" s="212"/>
      <c r="BX167" s="212"/>
      <c r="BY167" s="212"/>
      <c r="BZ167" s="212"/>
      <c r="CA167" s="212"/>
      <c r="CB167" s="212"/>
      <c r="CC167" s="212"/>
      <c r="CD167" s="212"/>
      <c r="CE167" s="212"/>
      <c r="CF167" s="212"/>
      <c r="CG167" s="212"/>
      <c r="CH167" s="212"/>
      <c r="CI167" s="212"/>
      <c r="CJ167" s="212"/>
      <c r="CK167" s="212"/>
      <c r="CL167" s="212"/>
    </row>
    <row r="168" spans="10:90" ht="24.75" customHeight="1" x14ac:dyDescent="0.75">
      <c r="J168" s="220"/>
      <c r="K168" s="2"/>
      <c r="N168" s="212"/>
      <c r="O168" s="212"/>
      <c r="P168" s="212"/>
      <c r="Q168" s="212"/>
      <c r="R168" s="212"/>
      <c r="S168" s="212"/>
      <c r="T168" s="212"/>
      <c r="U168" s="212"/>
      <c r="V168" s="212"/>
      <c r="W168" s="212"/>
      <c r="X168" s="212"/>
      <c r="Y168" s="212"/>
      <c r="Z168" s="212"/>
      <c r="AA168" s="212"/>
      <c r="AB168" s="212"/>
      <c r="AC168" s="212"/>
      <c r="AD168" s="212"/>
      <c r="AE168" s="212"/>
      <c r="AF168" s="212"/>
      <c r="AG168" s="212"/>
      <c r="AH168" s="212"/>
      <c r="AI168" s="212"/>
      <c r="AJ168" s="212"/>
      <c r="AK168" s="212"/>
      <c r="AL168" s="212"/>
      <c r="AM168" s="212"/>
      <c r="AN168" s="212"/>
      <c r="AO168" s="212"/>
      <c r="AP168" s="212"/>
      <c r="AQ168" s="212"/>
      <c r="AR168" s="212"/>
      <c r="AS168" s="212"/>
      <c r="AT168" s="212"/>
      <c r="AU168" s="212"/>
      <c r="AV168" s="212"/>
      <c r="AW168" s="212"/>
      <c r="AX168" s="212"/>
      <c r="AY168" s="212"/>
      <c r="AZ168" s="212"/>
      <c r="BA168" s="212"/>
      <c r="BB168" s="212"/>
      <c r="BC168" s="212"/>
      <c r="BD168" s="212"/>
      <c r="BE168" s="212"/>
      <c r="BF168" s="212"/>
      <c r="BG168" s="212"/>
      <c r="BH168" s="212"/>
      <c r="BI168" s="212"/>
      <c r="BJ168" s="212"/>
      <c r="BK168" s="212"/>
      <c r="BL168" s="212"/>
      <c r="BM168" s="212"/>
      <c r="BN168" s="212"/>
      <c r="BO168" s="212"/>
      <c r="BP168" s="212"/>
      <c r="BQ168" s="212"/>
      <c r="BR168" s="212"/>
      <c r="BS168" s="212"/>
      <c r="BT168" s="212"/>
      <c r="BU168" s="212"/>
      <c r="BV168" s="212"/>
      <c r="BW168" s="212"/>
      <c r="BX168" s="212"/>
      <c r="BY168" s="212"/>
      <c r="BZ168" s="212"/>
      <c r="CA168" s="212"/>
      <c r="CB168" s="212"/>
      <c r="CC168" s="212"/>
      <c r="CD168" s="212"/>
      <c r="CE168" s="212"/>
      <c r="CF168" s="212"/>
      <c r="CG168" s="212"/>
      <c r="CH168" s="212"/>
      <c r="CI168" s="212"/>
      <c r="CJ168" s="212"/>
      <c r="CK168" s="212"/>
      <c r="CL168" s="212"/>
    </row>
    <row r="169" spans="10:90" ht="24.75" customHeight="1" x14ac:dyDescent="0.75">
      <c r="J169" s="220"/>
      <c r="K169" s="2"/>
      <c r="N169" s="212"/>
      <c r="O169" s="212"/>
      <c r="P169" s="212"/>
      <c r="Q169" s="212"/>
      <c r="R169" s="212"/>
      <c r="S169" s="212"/>
      <c r="T169" s="212"/>
      <c r="U169" s="212"/>
      <c r="V169" s="212"/>
      <c r="W169" s="212"/>
      <c r="X169" s="212"/>
      <c r="Y169" s="212"/>
      <c r="Z169" s="212"/>
      <c r="AA169" s="212"/>
      <c r="AB169" s="212"/>
      <c r="AC169" s="212"/>
      <c r="AD169" s="212"/>
      <c r="AE169" s="212"/>
      <c r="AF169" s="212"/>
      <c r="AG169" s="212"/>
      <c r="AH169" s="212"/>
      <c r="AI169" s="212"/>
      <c r="AJ169" s="212"/>
      <c r="AK169" s="212"/>
      <c r="AL169" s="212"/>
      <c r="AM169" s="212"/>
      <c r="AN169" s="212"/>
      <c r="AO169" s="212"/>
      <c r="AP169" s="212"/>
      <c r="AQ169" s="212"/>
      <c r="AR169" s="212"/>
      <c r="AS169" s="212"/>
      <c r="AT169" s="212"/>
      <c r="AU169" s="212"/>
      <c r="AV169" s="212"/>
      <c r="AW169" s="212"/>
      <c r="AX169" s="212"/>
      <c r="AY169" s="212"/>
      <c r="AZ169" s="212"/>
      <c r="BA169" s="212"/>
      <c r="BB169" s="212"/>
      <c r="BC169" s="212"/>
      <c r="BD169" s="212"/>
      <c r="BE169" s="212"/>
      <c r="BF169" s="212"/>
      <c r="BG169" s="212"/>
      <c r="BH169" s="212"/>
      <c r="BI169" s="212"/>
      <c r="BJ169" s="212"/>
      <c r="BK169" s="212"/>
      <c r="BL169" s="212"/>
      <c r="BM169" s="212"/>
      <c r="BN169" s="212"/>
      <c r="BO169" s="212"/>
      <c r="BP169" s="212"/>
      <c r="BQ169" s="212"/>
      <c r="BR169" s="212"/>
      <c r="BS169" s="212"/>
      <c r="BT169" s="212"/>
      <c r="BU169" s="212"/>
      <c r="BV169" s="212"/>
      <c r="BW169" s="212"/>
      <c r="BX169" s="212"/>
      <c r="BY169" s="212"/>
      <c r="BZ169" s="212"/>
      <c r="CA169" s="212"/>
      <c r="CB169" s="212"/>
      <c r="CC169" s="212"/>
      <c r="CD169" s="212"/>
      <c r="CE169" s="212"/>
      <c r="CF169" s="212"/>
      <c r="CG169" s="212"/>
      <c r="CH169" s="212"/>
      <c r="CI169" s="212"/>
      <c r="CJ169" s="212"/>
      <c r="CK169" s="212"/>
      <c r="CL169" s="212"/>
    </row>
    <row r="170" spans="10:90" ht="24.75" customHeight="1" x14ac:dyDescent="0.75">
      <c r="J170" s="220"/>
      <c r="K170" s="2"/>
      <c r="N170" s="212"/>
      <c r="O170" s="212"/>
      <c r="P170" s="212"/>
      <c r="Q170" s="212"/>
      <c r="R170" s="212"/>
      <c r="S170" s="212"/>
      <c r="T170" s="212"/>
      <c r="U170" s="212"/>
      <c r="V170" s="212"/>
      <c r="W170" s="212"/>
      <c r="X170" s="212"/>
      <c r="Y170" s="212"/>
      <c r="Z170" s="212"/>
      <c r="AA170" s="212"/>
      <c r="AB170" s="212"/>
      <c r="AC170" s="212"/>
      <c r="AD170" s="212"/>
      <c r="AE170" s="212"/>
      <c r="AF170" s="212"/>
      <c r="AG170" s="212"/>
      <c r="AH170" s="212"/>
      <c r="AI170" s="212"/>
      <c r="AJ170" s="212"/>
      <c r="AK170" s="212"/>
      <c r="AL170" s="212"/>
      <c r="AM170" s="212"/>
      <c r="AN170" s="212"/>
      <c r="AO170" s="212"/>
      <c r="AP170" s="212"/>
      <c r="AQ170" s="212"/>
      <c r="AR170" s="212"/>
      <c r="AS170" s="212"/>
      <c r="AT170" s="212"/>
      <c r="AU170" s="212"/>
      <c r="AV170" s="212"/>
      <c r="AW170" s="212"/>
      <c r="AX170" s="212"/>
      <c r="AY170" s="212"/>
      <c r="AZ170" s="212"/>
      <c r="BA170" s="212"/>
      <c r="BB170" s="212"/>
      <c r="BC170" s="212"/>
      <c r="BD170" s="212"/>
      <c r="BE170" s="212"/>
      <c r="BF170" s="212"/>
      <c r="BG170" s="212"/>
      <c r="BH170" s="212"/>
      <c r="BI170" s="212"/>
      <c r="BJ170" s="212"/>
      <c r="BK170" s="212"/>
      <c r="BL170" s="212"/>
      <c r="BM170" s="212"/>
      <c r="BN170" s="212"/>
      <c r="BO170" s="212"/>
      <c r="BP170" s="212"/>
      <c r="BQ170" s="212"/>
      <c r="BR170" s="212"/>
      <c r="BS170" s="212"/>
      <c r="BT170" s="212"/>
      <c r="BU170" s="212"/>
      <c r="BV170" s="212"/>
      <c r="BW170" s="212"/>
      <c r="BX170" s="212"/>
      <c r="BY170" s="212"/>
      <c r="BZ170" s="212"/>
      <c r="CA170" s="212"/>
      <c r="CB170" s="212"/>
      <c r="CC170" s="212"/>
      <c r="CD170" s="212"/>
      <c r="CE170" s="212"/>
      <c r="CF170" s="212"/>
      <c r="CG170" s="212"/>
      <c r="CH170" s="212"/>
      <c r="CI170" s="212"/>
      <c r="CJ170" s="212"/>
      <c r="CK170" s="212"/>
      <c r="CL170" s="212"/>
    </row>
    <row r="171" spans="10:90" ht="24.75" customHeight="1" x14ac:dyDescent="0.75">
      <c r="J171" s="220"/>
      <c r="K171" s="2"/>
      <c r="N171" s="212"/>
      <c r="O171" s="212"/>
      <c r="P171" s="212"/>
      <c r="Q171" s="212"/>
      <c r="R171" s="212"/>
      <c r="S171" s="212"/>
      <c r="T171" s="212"/>
      <c r="U171" s="212"/>
      <c r="V171" s="212"/>
      <c r="W171" s="212"/>
      <c r="X171" s="212"/>
      <c r="Y171" s="212"/>
      <c r="Z171" s="212"/>
      <c r="AA171" s="212"/>
      <c r="AB171" s="212"/>
      <c r="AC171" s="212"/>
      <c r="AD171" s="212"/>
      <c r="AE171" s="212"/>
      <c r="AF171" s="212"/>
      <c r="AG171" s="212"/>
      <c r="AH171" s="212"/>
      <c r="AI171" s="212"/>
      <c r="AJ171" s="212"/>
      <c r="AK171" s="212"/>
      <c r="AL171" s="212"/>
      <c r="AM171" s="212"/>
      <c r="AN171" s="212"/>
      <c r="AO171" s="212"/>
      <c r="AP171" s="212"/>
      <c r="AQ171" s="212"/>
      <c r="AR171" s="212"/>
      <c r="AS171" s="212"/>
      <c r="AT171" s="212"/>
      <c r="AU171" s="212"/>
      <c r="AV171" s="212"/>
      <c r="AW171" s="212"/>
      <c r="AX171" s="212"/>
      <c r="AY171" s="212"/>
      <c r="AZ171" s="212"/>
      <c r="BA171" s="212"/>
      <c r="BB171" s="212"/>
      <c r="BC171" s="212"/>
      <c r="BD171" s="212"/>
      <c r="BE171" s="212"/>
      <c r="BF171" s="212"/>
      <c r="BG171" s="212"/>
      <c r="BH171" s="212"/>
      <c r="BI171" s="212"/>
      <c r="BJ171" s="212"/>
      <c r="BK171" s="212"/>
      <c r="BL171" s="212"/>
      <c r="BM171" s="212"/>
      <c r="BN171" s="212"/>
      <c r="BO171" s="212"/>
      <c r="BP171" s="212"/>
      <c r="BQ171" s="212"/>
      <c r="BR171" s="212"/>
      <c r="BS171" s="212"/>
      <c r="BT171" s="212"/>
      <c r="BU171" s="212"/>
      <c r="BV171" s="212"/>
      <c r="BW171" s="212"/>
      <c r="BX171" s="212"/>
      <c r="BY171" s="212"/>
      <c r="BZ171" s="212"/>
      <c r="CA171" s="212"/>
      <c r="CB171" s="212"/>
      <c r="CC171" s="212"/>
      <c r="CD171" s="212"/>
      <c r="CE171" s="212"/>
      <c r="CF171" s="212"/>
      <c r="CG171" s="212"/>
      <c r="CH171" s="212"/>
      <c r="CI171" s="212"/>
      <c r="CJ171" s="212"/>
      <c r="CK171" s="212"/>
      <c r="CL171" s="212"/>
    </row>
    <row r="172" spans="10:90" ht="24.75" customHeight="1" x14ac:dyDescent="0.75">
      <c r="J172" s="220"/>
      <c r="K172" s="2"/>
      <c r="N172" s="212"/>
      <c r="O172" s="212"/>
      <c r="P172" s="212"/>
      <c r="Q172" s="212"/>
      <c r="R172" s="212"/>
      <c r="S172" s="212"/>
      <c r="T172" s="212"/>
      <c r="U172" s="212"/>
      <c r="V172" s="212"/>
      <c r="W172" s="212"/>
      <c r="X172" s="212"/>
      <c r="Y172" s="212"/>
      <c r="Z172" s="212"/>
      <c r="AA172" s="212"/>
      <c r="AB172" s="212"/>
      <c r="AC172" s="212"/>
      <c r="AD172" s="212"/>
      <c r="AE172" s="212"/>
      <c r="AF172" s="212"/>
      <c r="AG172" s="212"/>
      <c r="AH172" s="212"/>
      <c r="AI172" s="212"/>
      <c r="AJ172" s="212"/>
      <c r="AK172" s="212"/>
      <c r="AL172" s="212"/>
      <c r="AM172" s="212"/>
      <c r="AN172" s="212"/>
      <c r="AO172" s="212"/>
      <c r="AP172" s="212"/>
      <c r="AQ172" s="212"/>
      <c r="AR172" s="212"/>
      <c r="AS172" s="212"/>
      <c r="AT172" s="212"/>
      <c r="AU172" s="212"/>
      <c r="AV172" s="212"/>
      <c r="AW172" s="212"/>
      <c r="AX172" s="212"/>
      <c r="AY172" s="212"/>
      <c r="AZ172" s="212"/>
      <c r="BA172" s="212"/>
      <c r="BB172" s="212"/>
      <c r="BC172" s="212"/>
      <c r="BD172" s="212"/>
      <c r="BE172" s="212"/>
      <c r="BF172" s="212"/>
      <c r="BG172" s="212"/>
      <c r="BH172" s="212"/>
      <c r="BI172" s="212"/>
      <c r="BJ172" s="212"/>
      <c r="BK172" s="212"/>
      <c r="BL172" s="212"/>
      <c r="BM172" s="212"/>
      <c r="BN172" s="212"/>
      <c r="BO172" s="212"/>
      <c r="BP172" s="212"/>
      <c r="BQ172" s="212"/>
      <c r="BR172" s="212"/>
      <c r="BS172" s="212"/>
      <c r="BT172" s="212"/>
      <c r="BU172" s="212"/>
      <c r="BV172" s="212"/>
      <c r="BW172" s="212"/>
      <c r="BX172" s="212"/>
      <c r="BY172" s="212"/>
      <c r="BZ172" s="212"/>
      <c r="CA172" s="212"/>
      <c r="CB172" s="212"/>
      <c r="CC172" s="212"/>
      <c r="CD172" s="212"/>
      <c r="CE172" s="212"/>
      <c r="CF172" s="212"/>
      <c r="CG172" s="212"/>
      <c r="CH172" s="212"/>
      <c r="CI172" s="212"/>
      <c r="CJ172" s="212"/>
      <c r="CK172" s="212"/>
      <c r="CL172" s="212"/>
    </row>
    <row r="173" spans="10:90" ht="24.75" customHeight="1" x14ac:dyDescent="0.75">
      <c r="J173" s="220"/>
      <c r="K173" s="2"/>
      <c r="N173" s="212"/>
      <c r="O173" s="212"/>
      <c r="P173" s="212"/>
      <c r="Q173" s="212"/>
      <c r="R173" s="212"/>
      <c r="S173" s="212"/>
      <c r="T173" s="212"/>
      <c r="U173" s="212"/>
      <c r="V173" s="212"/>
      <c r="W173" s="212"/>
      <c r="X173" s="212"/>
      <c r="Y173" s="212"/>
      <c r="Z173" s="212"/>
      <c r="AA173" s="212"/>
      <c r="AB173" s="212"/>
      <c r="AC173" s="212"/>
      <c r="AD173" s="212"/>
      <c r="AE173" s="212"/>
      <c r="AF173" s="212"/>
      <c r="AG173" s="212"/>
      <c r="AH173" s="212"/>
      <c r="AI173" s="212"/>
      <c r="AJ173" s="212"/>
      <c r="AK173" s="212"/>
      <c r="AL173" s="212"/>
      <c r="AM173" s="212"/>
      <c r="AN173" s="212"/>
      <c r="AO173" s="212"/>
      <c r="AP173" s="212"/>
      <c r="AQ173" s="212"/>
      <c r="AR173" s="212"/>
      <c r="AS173" s="212"/>
      <c r="AT173" s="212"/>
      <c r="AU173" s="212"/>
      <c r="AV173" s="212"/>
      <c r="AW173" s="212"/>
      <c r="AX173" s="212"/>
      <c r="AY173" s="212"/>
      <c r="AZ173" s="212"/>
      <c r="BA173" s="212"/>
      <c r="BB173" s="212"/>
      <c r="BC173" s="212"/>
      <c r="BD173" s="212"/>
      <c r="BE173" s="212"/>
      <c r="BF173" s="212"/>
      <c r="BG173" s="212"/>
      <c r="BH173" s="212"/>
      <c r="BI173" s="212"/>
      <c r="BJ173" s="212"/>
      <c r="BK173" s="212"/>
      <c r="BL173" s="212"/>
      <c r="BM173" s="212"/>
      <c r="BN173" s="212"/>
      <c r="BO173" s="212"/>
      <c r="BP173" s="212"/>
      <c r="BQ173" s="212"/>
      <c r="BR173" s="212"/>
      <c r="BS173" s="212"/>
      <c r="BT173" s="212"/>
      <c r="BU173" s="212"/>
      <c r="BV173" s="212"/>
      <c r="BW173" s="212"/>
      <c r="BX173" s="212"/>
      <c r="BY173" s="212"/>
      <c r="BZ173" s="212"/>
      <c r="CA173" s="212"/>
      <c r="CB173" s="212"/>
      <c r="CC173" s="212"/>
      <c r="CD173" s="212"/>
      <c r="CE173" s="212"/>
      <c r="CF173" s="212"/>
      <c r="CG173" s="212"/>
      <c r="CH173" s="212"/>
      <c r="CI173" s="212"/>
      <c r="CJ173" s="212"/>
      <c r="CK173" s="212"/>
      <c r="CL173" s="212"/>
    </row>
    <row r="174" spans="10:90" ht="24.75" customHeight="1" x14ac:dyDescent="0.75">
      <c r="J174" s="220"/>
      <c r="K174" s="2"/>
      <c r="N174" s="212"/>
      <c r="O174" s="212"/>
      <c r="P174" s="212"/>
      <c r="Q174" s="212"/>
      <c r="R174" s="212"/>
      <c r="S174" s="212"/>
      <c r="T174" s="212"/>
      <c r="U174" s="212"/>
      <c r="V174" s="212"/>
      <c r="W174" s="212"/>
      <c r="X174" s="212"/>
      <c r="Y174" s="212"/>
      <c r="Z174" s="212"/>
      <c r="AA174" s="212"/>
      <c r="AB174" s="212"/>
      <c r="AC174" s="212"/>
      <c r="AD174" s="212"/>
      <c r="AE174" s="212"/>
      <c r="AF174" s="212"/>
      <c r="AG174" s="212"/>
      <c r="AH174" s="212"/>
      <c r="AI174" s="212"/>
      <c r="AJ174" s="212"/>
      <c r="AK174" s="212"/>
      <c r="AL174" s="212"/>
      <c r="AM174" s="212"/>
      <c r="AN174" s="212"/>
      <c r="AO174" s="212"/>
      <c r="AP174" s="212"/>
      <c r="AQ174" s="212"/>
      <c r="AR174" s="212"/>
      <c r="AS174" s="212"/>
      <c r="AT174" s="212"/>
      <c r="AU174" s="212"/>
      <c r="AV174" s="212"/>
      <c r="AW174" s="212"/>
      <c r="AX174" s="212"/>
      <c r="AY174" s="212"/>
      <c r="AZ174" s="212"/>
      <c r="BA174" s="212"/>
      <c r="BB174" s="212"/>
      <c r="BC174" s="212"/>
      <c r="BD174" s="212"/>
      <c r="BE174" s="212"/>
      <c r="BF174" s="212"/>
      <c r="BG174" s="212"/>
      <c r="BH174" s="212"/>
      <c r="BI174" s="212"/>
      <c r="BJ174" s="212"/>
      <c r="BK174" s="212"/>
      <c r="BL174" s="212"/>
      <c r="BM174" s="212"/>
      <c r="BN174" s="212"/>
      <c r="BO174" s="212"/>
      <c r="BP174" s="212"/>
      <c r="BQ174" s="212"/>
      <c r="BR174" s="212"/>
      <c r="BS174" s="212"/>
      <c r="BT174" s="212"/>
      <c r="BU174" s="212"/>
      <c r="BV174" s="212"/>
      <c r="BW174" s="212"/>
      <c r="BX174" s="212"/>
      <c r="BY174" s="212"/>
      <c r="BZ174" s="212"/>
      <c r="CA174" s="212"/>
      <c r="CB174" s="212"/>
      <c r="CC174" s="212"/>
      <c r="CD174" s="212"/>
      <c r="CE174" s="212"/>
      <c r="CF174" s="212"/>
      <c r="CG174" s="212"/>
      <c r="CH174" s="212"/>
      <c r="CI174" s="212"/>
      <c r="CJ174" s="212"/>
      <c r="CK174" s="212"/>
      <c r="CL174" s="212"/>
    </row>
    <row r="175" spans="10:90" ht="24.75" customHeight="1" x14ac:dyDescent="0.75">
      <c r="J175" s="220"/>
      <c r="K175" s="2"/>
      <c r="N175" s="212"/>
      <c r="O175" s="212"/>
      <c r="P175" s="212"/>
      <c r="Q175" s="212"/>
      <c r="R175" s="212"/>
      <c r="S175" s="212"/>
      <c r="T175" s="212"/>
      <c r="U175" s="212"/>
      <c r="V175" s="212"/>
      <c r="W175" s="212"/>
      <c r="X175" s="212"/>
      <c r="Y175" s="212"/>
      <c r="Z175" s="212"/>
      <c r="AA175" s="212"/>
      <c r="AB175" s="212"/>
      <c r="AC175" s="212"/>
      <c r="AD175" s="212"/>
      <c r="AE175" s="212"/>
      <c r="AF175" s="212"/>
      <c r="AG175" s="212"/>
      <c r="AH175" s="212"/>
      <c r="AI175" s="212"/>
      <c r="AJ175" s="212"/>
      <c r="AK175" s="212"/>
      <c r="AL175" s="212"/>
      <c r="AM175" s="212"/>
      <c r="AN175" s="212"/>
      <c r="AO175" s="212"/>
      <c r="AP175" s="212"/>
      <c r="AQ175" s="212"/>
      <c r="AR175" s="212"/>
      <c r="AS175" s="212"/>
      <c r="AT175" s="212"/>
      <c r="AU175" s="212"/>
      <c r="AV175" s="212"/>
      <c r="AW175" s="212"/>
      <c r="AX175" s="212"/>
      <c r="AY175" s="212"/>
      <c r="AZ175" s="212"/>
      <c r="BA175" s="212"/>
      <c r="BB175" s="212"/>
      <c r="BC175" s="212"/>
      <c r="BD175" s="212"/>
      <c r="BE175" s="212"/>
      <c r="BF175" s="212"/>
      <c r="BG175" s="212"/>
      <c r="BH175" s="212"/>
      <c r="BI175" s="212"/>
      <c r="BJ175" s="212"/>
      <c r="BK175" s="212"/>
      <c r="BL175" s="212"/>
      <c r="BM175" s="212"/>
      <c r="BN175" s="212"/>
      <c r="BO175" s="212"/>
      <c r="BP175" s="212"/>
      <c r="BQ175" s="212"/>
      <c r="BR175" s="212"/>
      <c r="BS175" s="212"/>
      <c r="BT175" s="212"/>
      <c r="BU175" s="212"/>
      <c r="BV175" s="212"/>
      <c r="BW175" s="212"/>
      <c r="BX175" s="212"/>
      <c r="BY175" s="212"/>
      <c r="BZ175" s="212"/>
      <c r="CA175" s="212"/>
      <c r="CB175" s="212"/>
      <c r="CC175" s="212"/>
      <c r="CD175" s="212"/>
      <c r="CE175" s="212"/>
      <c r="CF175" s="212"/>
      <c r="CG175" s="212"/>
      <c r="CH175" s="212"/>
      <c r="CI175" s="212"/>
      <c r="CJ175" s="212"/>
      <c r="CK175" s="212"/>
      <c r="CL175" s="212"/>
    </row>
    <row r="176" spans="10:90" ht="24.75" customHeight="1" x14ac:dyDescent="0.75">
      <c r="J176" s="220"/>
      <c r="K176" s="2"/>
      <c r="N176" s="212"/>
      <c r="O176" s="212"/>
      <c r="P176" s="212"/>
      <c r="Q176" s="212"/>
      <c r="R176" s="212"/>
      <c r="S176" s="212"/>
      <c r="T176" s="212"/>
      <c r="U176" s="212"/>
      <c r="V176" s="212"/>
      <c r="W176" s="212"/>
      <c r="X176" s="212"/>
      <c r="Y176" s="212"/>
      <c r="Z176" s="212"/>
      <c r="AA176" s="212"/>
      <c r="AB176" s="212"/>
      <c r="AC176" s="212"/>
      <c r="AD176" s="212"/>
      <c r="AE176" s="212"/>
      <c r="AF176" s="212"/>
      <c r="AG176" s="212"/>
      <c r="AH176" s="212"/>
      <c r="AI176" s="212"/>
      <c r="AJ176" s="212"/>
      <c r="AK176" s="212"/>
      <c r="AL176" s="212"/>
      <c r="AM176" s="212"/>
      <c r="AN176" s="212"/>
      <c r="AO176" s="212"/>
      <c r="AP176" s="212"/>
      <c r="AQ176" s="212"/>
      <c r="AR176" s="212"/>
      <c r="AS176" s="212"/>
      <c r="AT176" s="212"/>
      <c r="AU176" s="212"/>
      <c r="AV176" s="212"/>
      <c r="AW176" s="212"/>
      <c r="AX176" s="212"/>
      <c r="AY176" s="212"/>
      <c r="AZ176" s="212"/>
      <c r="BA176" s="212"/>
      <c r="BB176" s="212"/>
      <c r="BC176" s="212"/>
      <c r="BD176" s="212"/>
      <c r="BE176" s="212"/>
      <c r="BF176" s="212"/>
      <c r="BG176" s="212"/>
      <c r="BH176" s="212"/>
      <c r="BI176" s="212"/>
      <c r="BJ176" s="212"/>
      <c r="BK176" s="212"/>
      <c r="BL176" s="212"/>
      <c r="BM176" s="212"/>
      <c r="BN176" s="212"/>
      <c r="BO176" s="212"/>
      <c r="BP176" s="212"/>
      <c r="BQ176" s="212"/>
      <c r="BR176" s="212"/>
      <c r="BS176" s="212"/>
      <c r="BT176" s="212"/>
      <c r="BU176" s="212"/>
      <c r="BV176" s="212"/>
      <c r="BW176" s="212"/>
      <c r="BX176" s="212"/>
      <c r="BY176" s="212"/>
      <c r="BZ176" s="212"/>
      <c r="CA176" s="212"/>
      <c r="CB176" s="212"/>
      <c r="CC176" s="212"/>
      <c r="CD176" s="212"/>
      <c r="CE176" s="212"/>
      <c r="CF176" s="212"/>
      <c r="CG176" s="212"/>
      <c r="CH176" s="212"/>
      <c r="CI176" s="212"/>
      <c r="CJ176" s="212"/>
      <c r="CK176" s="212"/>
      <c r="CL176" s="212"/>
    </row>
    <row r="177" spans="10:90" ht="24.75" customHeight="1" x14ac:dyDescent="0.75">
      <c r="J177" s="220"/>
      <c r="K177" s="2"/>
      <c r="N177" s="212"/>
      <c r="O177" s="212"/>
      <c r="P177" s="212"/>
      <c r="Q177" s="212"/>
      <c r="R177" s="212"/>
      <c r="S177" s="212"/>
      <c r="T177" s="212"/>
      <c r="U177" s="212"/>
      <c r="V177" s="212"/>
      <c r="W177" s="212"/>
      <c r="X177" s="212"/>
      <c r="Y177" s="212"/>
      <c r="Z177" s="212"/>
      <c r="AA177" s="212"/>
      <c r="AB177" s="212"/>
      <c r="AC177" s="212"/>
      <c r="AD177" s="212"/>
      <c r="AE177" s="212"/>
      <c r="AF177" s="212"/>
      <c r="AG177" s="212"/>
      <c r="AH177" s="212"/>
      <c r="AI177" s="212"/>
      <c r="AJ177" s="212"/>
      <c r="AK177" s="212"/>
      <c r="AL177" s="212"/>
      <c r="AM177" s="212"/>
      <c r="AN177" s="212"/>
      <c r="AO177" s="212"/>
      <c r="AP177" s="212"/>
      <c r="AQ177" s="212"/>
      <c r="AR177" s="212"/>
      <c r="AS177" s="212"/>
      <c r="AT177" s="212"/>
      <c r="AU177" s="212"/>
      <c r="AV177" s="212"/>
      <c r="AW177" s="212"/>
      <c r="AX177" s="212"/>
      <c r="AY177" s="212"/>
      <c r="AZ177" s="212"/>
      <c r="BA177" s="212"/>
      <c r="BB177" s="212"/>
      <c r="BC177" s="212"/>
      <c r="BD177" s="212"/>
      <c r="BE177" s="212"/>
      <c r="BF177" s="212"/>
      <c r="BG177" s="212"/>
      <c r="BH177" s="212"/>
      <c r="BI177" s="212"/>
      <c r="BJ177" s="212"/>
      <c r="BK177" s="212"/>
      <c r="BL177" s="212"/>
      <c r="BM177" s="212"/>
      <c r="BN177" s="212"/>
      <c r="BO177" s="212"/>
      <c r="BP177" s="212"/>
      <c r="BQ177" s="212"/>
      <c r="BR177" s="212"/>
      <c r="BS177" s="212"/>
      <c r="BT177" s="212"/>
      <c r="BU177" s="212"/>
      <c r="BV177" s="212"/>
      <c r="BW177" s="212"/>
      <c r="BX177" s="212"/>
      <c r="BY177" s="212"/>
      <c r="BZ177" s="212"/>
      <c r="CA177" s="212"/>
      <c r="CB177" s="212"/>
      <c r="CC177" s="212"/>
      <c r="CD177" s="212"/>
      <c r="CE177" s="212"/>
      <c r="CF177" s="212"/>
      <c r="CG177" s="212"/>
      <c r="CH177" s="212"/>
      <c r="CI177" s="212"/>
      <c r="CJ177" s="212"/>
      <c r="CK177" s="212"/>
      <c r="CL177" s="212"/>
    </row>
    <row r="178" spans="10:90" ht="24.75" customHeight="1" x14ac:dyDescent="0.75">
      <c r="J178" s="220"/>
      <c r="K178" s="2"/>
      <c r="N178" s="212"/>
      <c r="O178" s="212"/>
      <c r="P178" s="212"/>
      <c r="Q178" s="212"/>
      <c r="R178" s="212"/>
      <c r="S178" s="212"/>
      <c r="T178" s="212"/>
      <c r="U178" s="212"/>
      <c r="V178" s="212"/>
      <c r="W178" s="212"/>
      <c r="X178" s="212"/>
      <c r="Y178" s="212"/>
      <c r="Z178" s="212"/>
      <c r="AA178" s="212"/>
      <c r="AB178" s="212"/>
      <c r="AC178" s="212"/>
      <c r="AD178" s="212"/>
      <c r="AE178" s="212"/>
      <c r="AF178" s="212"/>
      <c r="AG178" s="212"/>
      <c r="AH178" s="212"/>
      <c r="AI178" s="212"/>
      <c r="AJ178" s="212"/>
      <c r="AK178" s="212"/>
      <c r="AL178" s="212"/>
      <c r="AM178" s="212"/>
      <c r="AN178" s="212"/>
      <c r="AO178" s="212"/>
      <c r="AP178" s="212"/>
      <c r="AQ178" s="212"/>
      <c r="AR178" s="212"/>
      <c r="AS178" s="212"/>
      <c r="AT178" s="212"/>
      <c r="AU178" s="212"/>
      <c r="AV178" s="212"/>
      <c r="AW178" s="212"/>
      <c r="AX178" s="212"/>
      <c r="AY178" s="212"/>
      <c r="AZ178" s="212"/>
      <c r="BA178" s="212"/>
      <c r="BB178" s="212"/>
      <c r="BC178" s="212"/>
      <c r="BD178" s="212"/>
      <c r="BE178" s="212"/>
      <c r="BF178" s="212"/>
      <c r="BG178" s="212"/>
      <c r="BH178" s="212"/>
      <c r="BI178" s="212"/>
      <c r="BJ178" s="212"/>
      <c r="BK178" s="212"/>
      <c r="BL178" s="212"/>
      <c r="BM178" s="212"/>
      <c r="BN178" s="212"/>
      <c r="BO178" s="212"/>
      <c r="BP178" s="212"/>
      <c r="BQ178" s="212"/>
      <c r="BR178" s="212"/>
      <c r="BS178" s="212"/>
      <c r="BT178" s="212"/>
      <c r="BU178" s="212"/>
      <c r="BV178" s="212"/>
      <c r="BW178" s="212"/>
      <c r="BX178" s="212"/>
      <c r="BY178" s="212"/>
      <c r="BZ178" s="212"/>
      <c r="CA178" s="212"/>
      <c r="CB178" s="212"/>
      <c r="CC178" s="212"/>
      <c r="CD178" s="212"/>
      <c r="CE178" s="212"/>
      <c r="CF178" s="212"/>
      <c r="CG178" s="212"/>
      <c r="CH178" s="212"/>
      <c r="CI178" s="212"/>
      <c r="CJ178" s="212"/>
      <c r="CK178" s="212"/>
      <c r="CL178" s="212"/>
    </row>
    <row r="179" spans="10:90" ht="24.75" customHeight="1" x14ac:dyDescent="0.75">
      <c r="J179" s="220"/>
      <c r="K179" s="2"/>
      <c r="N179" s="212"/>
      <c r="O179" s="212"/>
      <c r="P179" s="212"/>
      <c r="Q179" s="212"/>
      <c r="R179" s="212"/>
      <c r="S179" s="212"/>
      <c r="T179" s="212"/>
      <c r="U179" s="212"/>
      <c r="V179" s="212"/>
      <c r="W179" s="212"/>
      <c r="X179" s="212"/>
      <c r="Y179" s="212"/>
      <c r="Z179" s="212"/>
      <c r="AA179" s="212"/>
      <c r="AB179" s="212"/>
      <c r="AC179" s="212"/>
      <c r="AD179" s="212"/>
      <c r="AE179" s="212"/>
      <c r="AF179" s="212"/>
      <c r="AG179" s="212"/>
      <c r="AH179" s="212"/>
      <c r="AI179" s="212"/>
      <c r="AJ179" s="212"/>
      <c r="AK179" s="212"/>
      <c r="AL179" s="212"/>
      <c r="AM179" s="212"/>
      <c r="AN179" s="212"/>
      <c r="AO179" s="212"/>
      <c r="AP179" s="212"/>
      <c r="AQ179" s="212"/>
      <c r="AR179" s="212"/>
      <c r="AS179" s="212"/>
      <c r="AT179" s="212"/>
      <c r="AU179" s="212"/>
      <c r="AV179" s="212"/>
      <c r="AW179" s="212"/>
      <c r="AX179" s="212"/>
      <c r="AY179" s="212"/>
      <c r="AZ179" s="212"/>
      <c r="BA179" s="212"/>
      <c r="BB179" s="212"/>
      <c r="BC179" s="212"/>
      <c r="BD179" s="212"/>
      <c r="BE179" s="212"/>
      <c r="BF179" s="212"/>
      <c r="BG179" s="212"/>
      <c r="BH179" s="212"/>
      <c r="BI179" s="212"/>
      <c r="BJ179" s="212"/>
      <c r="BK179" s="212"/>
      <c r="BL179" s="212"/>
      <c r="BM179" s="212"/>
      <c r="BN179" s="212"/>
      <c r="BO179" s="212"/>
      <c r="BP179" s="212"/>
      <c r="BQ179" s="212"/>
      <c r="BR179" s="212"/>
      <c r="BS179" s="212"/>
      <c r="BT179" s="212"/>
      <c r="BU179" s="212"/>
      <c r="BV179" s="212"/>
      <c r="BW179" s="212"/>
      <c r="BX179" s="212"/>
      <c r="BY179" s="212"/>
      <c r="BZ179" s="212"/>
      <c r="CA179" s="212"/>
      <c r="CB179" s="212"/>
      <c r="CC179" s="212"/>
      <c r="CD179" s="212"/>
      <c r="CE179" s="212"/>
      <c r="CF179" s="212"/>
      <c r="CG179" s="212"/>
      <c r="CH179" s="212"/>
      <c r="CI179" s="212"/>
      <c r="CJ179" s="212"/>
      <c r="CK179" s="212"/>
      <c r="CL179" s="212"/>
    </row>
    <row r="180" spans="10:90" ht="24.75" customHeight="1" x14ac:dyDescent="0.75">
      <c r="J180" s="220"/>
      <c r="K180" s="2"/>
      <c r="N180" s="212"/>
      <c r="O180" s="212"/>
      <c r="P180" s="212"/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2"/>
      <c r="BI180" s="212"/>
      <c r="BJ180" s="212"/>
      <c r="BK180" s="212"/>
      <c r="BL180" s="212"/>
      <c r="BM180" s="212"/>
      <c r="BN180" s="212"/>
      <c r="BO180" s="212"/>
      <c r="BP180" s="212"/>
      <c r="BQ180" s="212"/>
      <c r="BR180" s="212"/>
      <c r="BS180" s="212"/>
      <c r="BT180" s="212"/>
      <c r="BU180" s="212"/>
      <c r="BV180" s="212"/>
      <c r="BW180" s="212"/>
      <c r="BX180" s="212"/>
      <c r="BY180" s="212"/>
      <c r="BZ180" s="212"/>
      <c r="CA180" s="212"/>
      <c r="CB180" s="212"/>
      <c r="CC180" s="212"/>
      <c r="CD180" s="212"/>
      <c r="CE180" s="212"/>
      <c r="CF180" s="212"/>
      <c r="CG180" s="212"/>
      <c r="CH180" s="212"/>
      <c r="CI180" s="212"/>
      <c r="CJ180" s="212"/>
      <c r="CK180" s="212"/>
      <c r="CL180" s="212"/>
    </row>
    <row r="181" spans="10:90" ht="24.75" customHeight="1" x14ac:dyDescent="0.75">
      <c r="J181" s="220"/>
      <c r="K181" s="2"/>
      <c r="N181" s="212"/>
      <c r="O181" s="212"/>
      <c r="P181" s="212"/>
      <c r="Q181" s="212"/>
      <c r="R181" s="212"/>
      <c r="S181" s="212"/>
      <c r="T181" s="212"/>
      <c r="U181" s="212"/>
      <c r="V181" s="212"/>
      <c r="W181" s="212"/>
      <c r="X181" s="212"/>
      <c r="Y181" s="212"/>
      <c r="Z181" s="212"/>
      <c r="AA181" s="212"/>
      <c r="AB181" s="212"/>
      <c r="AC181" s="212"/>
      <c r="AD181" s="212"/>
      <c r="AE181" s="212"/>
      <c r="AF181" s="212"/>
      <c r="AG181" s="212"/>
      <c r="AH181" s="212"/>
      <c r="AI181" s="212"/>
      <c r="AJ181" s="212"/>
      <c r="AK181" s="212"/>
      <c r="AL181" s="212"/>
      <c r="AM181" s="212"/>
      <c r="AN181" s="212"/>
      <c r="AO181" s="212"/>
      <c r="AP181" s="212"/>
      <c r="AQ181" s="212"/>
      <c r="AR181" s="212"/>
      <c r="AS181" s="212"/>
      <c r="AT181" s="212"/>
      <c r="AU181" s="212"/>
      <c r="AV181" s="212"/>
      <c r="AW181" s="212"/>
      <c r="AX181" s="212"/>
      <c r="AY181" s="212"/>
      <c r="AZ181" s="212"/>
      <c r="BA181" s="212"/>
      <c r="BB181" s="212"/>
      <c r="BC181" s="212"/>
      <c r="BD181" s="212"/>
      <c r="BE181" s="212"/>
      <c r="BF181" s="212"/>
      <c r="BG181" s="212"/>
      <c r="BH181" s="212"/>
      <c r="BI181" s="212"/>
      <c r="BJ181" s="212"/>
      <c r="BK181" s="212"/>
      <c r="BL181" s="212"/>
      <c r="BM181" s="212"/>
      <c r="BN181" s="212"/>
      <c r="BO181" s="212"/>
      <c r="BP181" s="212"/>
      <c r="BQ181" s="212"/>
      <c r="BR181" s="212"/>
      <c r="BS181" s="212"/>
      <c r="BT181" s="212"/>
      <c r="BU181" s="212"/>
      <c r="BV181" s="212"/>
      <c r="BW181" s="212"/>
      <c r="BX181" s="212"/>
      <c r="BY181" s="212"/>
      <c r="BZ181" s="212"/>
      <c r="CA181" s="212"/>
      <c r="CB181" s="212"/>
      <c r="CC181" s="212"/>
      <c r="CD181" s="212"/>
      <c r="CE181" s="212"/>
      <c r="CF181" s="212"/>
      <c r="CG181" s="212"/>
      <c r="CH181" s="212"/>
      <c r="CI181" s="212"/>
      <c r="CJ181" s="212"/>
      <c r="CK181" s="212"/>
      <c r="CL181" s="212"/>
    </row>
    <row r="182" spans="10:90" ht="24.75" customHeight="1" x14ac:dyDescent="0.75">
      <c r="J182" s="220"/>
      <c r="K182" s="2"/>
      <c r="N182" s="212"/>
      <c r="O182" s="212"/>
      <c r="P182" s="212"/>
      <c r="Q182" s="212"/>
      <c r="R182" s="212"/>
      <c r="S182" s="212"/>
      <c r="T182" s="212"/>
      <c r="U182" s="212"/>
      <c r="V182" s="212"/>
      <c r="W182" s="212"/>
      <c r="X182" s="212"/>
      <c r="Y182" s="212"/>
      <c r="Z182" s="212"/>
      <c r="AA182" s="212"/>
      <c r="AB182" s="212"/>
      <c r="AC182" s="212"/>
      <c r="AD182" s="212"/>
      <c r="AE182" s="212"/>
      <c r="AF182" s="212"/>
      <c r="AG182" s="212"/>
      <c r="AH182" s="212"/>
      <c r="AI182" s="212"/>
      <c r="AJ182" s="212"/>
      <c r="AK182" s="212"/>
      <c r="AL182" s="212"/>
      <c r="AM182" s="212"/>
      <c r="AN182" s="212"/>
      <c r="AO182" s="212"/>
      <c r="AP182" s="212"/>
      <c r="AQ182" s="212"/>
      <c r="AR182" s="212"/>
      <c r="AS182" s="212"/>
      <c r="AT182" s="212"/>
      <c r="AU182" s="212"/>
      <c r="AV182" s="212"/>
      <c r="AW182" s="212"/>
      <c r="AX182" s="212"/>
      <c r="AY182" s="212"/>
      <c r="AZ182" s="212"/>
      <c r="BA182" s="212"/>
      <c r="BB182" s="212"/>
      <c r="BC182" s="212"/>
      <c r="BD182" s="212"/>
      <c r="BE182" s="212"/>
      <c r="BF182" s="212"/>
      <c r="BG182" s="212"/>
      <c r="BH182" s="212"/>
      <c r="BI182" s="212"/>
      <c r="BJ182" s="212"/>
      <c r="BK182" s="212"/>
      <c r="BL182" s="212"/>
      <c r="BM182" s="212"/>
      <c r="BN182" s="212"/>
      <c r="BO182" s="212"/>
      <c r="BP182" s="212"/>
      <c r="BQ182" s="212"/>
      <c r="BR182" s="212"/>
      <c r="BS182" s="212"/>
      <c r="BT182" s="212"/>
      <c r="BU182" s="212"/>
      <c r="BV182" s="212"/>
      <c r="BW182" s="212"/>
      <c r="BX182" s="212"/>
      <c r="BY182" s="212"/>
      <c r="BZ182" s="212"/>
      <c r="CA182" s="212"/>
      <c r="CB182" s="212"/>
      <c r="CC182" s="212"/>
      <c r="CD182" s="212"/>
      <c r="CE182" s="212"/>
      <c r="CF182" s="212"/>
      <c r="CG182" s="212"/>
      <c r="CH182" s="212"/>
      <c r="CI182" s="212"/>
      <c r="CJ182" s="212"/>
      <c r="CK182" s="212"/>
      <c r="CL182" s="212"/>
    </row>
    <row r="183" spans="10:90" ht="24.75" customHeight="1" x14ac:dyDescent="0.75">
      <c r="J183" s="220"/>
      <c r="K183" s="2"/>
      <c r="N183" s="212"/>
      <c r="O183" s="212"/>
      <c r="P183" s="212"/>
      <c r="Q183" s="212"/>
      <c r="R183" s="212"/>
      <c r="S183" s="212"/>
      <c r="T183" s="212"/>
      <c r="U183" s="212"/>
      <c r="V183" s="212"/>
      <c r="W183" s="212"/>
      <c r="X183" s="212"/>
      <c r="Y183" s="212"/>
      <c r="Z183" s="212"/>
      <c r="AA183" s="212"/>
      <c r="AB183" s="212"/>
      <c r="AC183" s="212"/>
      <c r="AD183" s="212"/>
      <c r="AE183" s="212"/>
      <c r="AF183" s="212"/>
      <c r="AG183" s="212"/>
      <c r="AH183" s="212"/>
      <c r="AI183" s="212"/>
      <c r="AJ183" s="212"/>
      <c r="AK183" s="212"/>
      <c r="AL183" s="212"/>
      <c r="AM183" s="212"/>
      <c r="AN183" s="212"/>
      <c r="AO183" s="212"/>
      <c r="AP183" s="212"/>
      <c r="AQ183" s="212"/>
      <c r="AR183" s="212"/>
      <c r="AS183" s="212"/>
      <c r="AT183" s="212"/>
      <c r="AU183" s="212"/>
      <c r="AV183" s="212"/>
      <c r="AW183" s="212"/>
      <c r="AX183" s="212"/>
      <c r="AY183" s="212"/>
      <c r="AZ183" s="212"/>
      <c r="BA183" s="212"/>
      <c r="BB183" s="212"/>
      <c r="BC183" s="212"/>
      <c r="BD183" s="212"/>
      <c r="BE183" s="212"/>
      <c r="BF183" s="212"/>
      <c r="BG183" s="212"/>
      <c r="BH183" s="212"/>
      <c r="BI183" s="212"/>
      <c r="BJ183" s="212"/>
      <c r="BK183" s="212"/>
      <c r="BL183" s="212"/>
      <c r="BM183" s="212"/>
      <c r="BN183" s="212"/>
      <c r="BO183" s="212"/>
      <c r="BP183" s="212"/>
      <c r="BQ183" s="212"/>
      <c r="BR183" s="212"/>
      <c r="BS183" s="212"/>
      <c r="BT183" s="212"/>
      <c r="BU183" s="212"/>
      <c r="BV183" s="212"/>
      <c r="BW183" s="212"/>
      <c r="BX183" s="212"/>
      <c r="BY183" s="212"/>
      <c r="BZ183" s="212"/>
      <c r="CA183" s="212"/>
      <c r="CB183" s="212"/>
      <c r="CC183" s="212"/>
      <c r="CD183" s="212"/>
      <c r="CE183" s="212"/>
      <c r="CF183" s="212"/>
      <c r="CG183" s="212"/>
      <c r="CH183" s="212"/>
      <c r="CI183" s="212"/>
      <c r="CJ183" s="212"/>
      <c r="CK183" s="212"/>
      <c r="CL183" s="212"/>
    </row>
    <row r="184" spans="10:90" ht="24.75" customHeight="1" x14ac:dyDescent="0.75">
      <c r="J184" s="220"/>
      <c r="K184" s="2"/>
      <c r="N184" s="212"/>
      <c r="O184" s="212"/>
      <c r="P184" s="212"/>
      <c r="Q184" s="212"/>
      <c r="R184" s="212"/>
      <c r="S184" s="212"/>
      <c r="T184" s="212"/>
      <c r="U184" s="212"/>
      <c r="V184" s="212"/>
      <c r="W184" s="212"/>
      <c r="X184" s="212"/>
      <c r="Y184" s="212"/>
      <c r="Z184" s="212"/>
      <c r="AA184" s="212"/>
      <c r="AB184" s="212"/>
      <c r="AC184" s="212"/>
      <c r="AD184" s="212"/>
      <c r="AE184" s="212"/>
      <c r="AF184" s="212"/>
      <c r="AG184" s="212"/>
      <c r="AH184" s="212"/>
      <c r="AI184" s="212"/>
      <c r="AJ184" s="212"/>
      <c r="AK184" s="212"/>
      <c r="AL184" s="212"/>
      <c r="AM184" s="212"/>
      <c r="AN184" s="212"/>
      <c r="AO184" s="212"/>
      <c r="AP184" s="212"/>
      <c r="AQ184" s="212"/>
      <c r="AR184" s="212"/>
      <c r="AS184" s="212"/>
      <c r="AT184" s="212"/>
      <c r="AU184" s="212"/>
      <c r="AV184" s="212"/>
      <c r="AW184" s="212"/>
      <c r="AX184" s="212"/>
      <c r="AY184" s="212"/>
      <c r="AZ184" s="212"/>
      <c r="BA184" s="212"/>
      <c r="BB184" s="212"/>
      <c r="BC184" s="212"/>
      <c r="BD184" s="212"/>
      <c r="BE184" s="212"/>
      <c r="BF184" s="212"/>
      <c r="BG184" s="212"/>
      <c r="BH184" s="212"/>
      <c r="BI184" s="212"/>
      <c r="BJ184" s="212"/>
      <c r="BK184" s="212"/>
      <c r="BL184" s="212"/>
      <c r="BM184" s="212"/>
      <c r="BN184" s="212"/>
      <c r="BO184" s="212"/>
      <c r="BP184" s="212"/>
      <c r="BQ184" s="212"/>
      <c r="BR184" s="212"/>
      <c r="BS184" s="212"/>
      <c r="BT184" s="212"/>
      <c r="BU184" s="212"/>
      <c r="BV184" s="212"/>
      <c r="BW184" s="212"/>
      <c r="BX184" s="212"/>
      <c r="BY184" s="212"/>
      <c r="BZ184" s="212"/>
      <c r="CA184" s="212"/>
      <c r="CB184" s="212"/>
      <c r="CC184" s="212"/>
      <c r="CD184" s="212"/>
      <c r="CE184" s="212"/>
      <c r="CF184" s="212"/>
      <c r="CG184" s="212"/>
      <c r="CH184" s="212"/>
      <c r="CI184" s="212"/>
      <c r="CJ184" s="212"/>
      <c r="CK184" s="212"/>
      <c r="CL184" s="212"/>
    </row>
    <row r="185" spans="10:90" ht="24.75" customHeight="1" x14ac:dyDescent="0.75">
      <c r="J185" s="220"/>
      <c r="K185" s="2"/>
      <c r="N185" s="212"/>
      <c r="O185" s="212"/>
      <c r="P185" s="212"/>
      <c r="Q185" s="212"/>
      <c r="R185" s="212"/>
      <c r="S185" s="212"/>
      <c r="T185" s="212"/>
      <c r="U185" s="212"/>
      <c r="V185" s="212"/>
      <c r="W185" s="212"/>
      <c r="X185" s="212"/>
      <c r="Y185" s="212"/>
      <c r="Z185" s="212"/>
      <c r="AA185" s="212"/>
      <c r="AB185" s="212"/>
      <c r="AC185" s="212"/>
      <c r="AD185" s="212"/>
      <c r="AE185" s="212"/>
      <c r="AF185" s="212"/>
      <c r="AG185" s="212"/>
      <c r="AH185" s="212"/>
      <c r="AI185" s="212"/>
      <c r="AJ185" s="212"/>
      <c r="AK185" s="212"/>
      <c r="AL185" s="212"/>
      <c r="AM185" s="212"/>
      <c r="AN185" s="212"/>
      <c r="AO185" s="212"/>
      <c r="AP185" s="212"/>
      <c r="AQ185" s="212"/>
      <c r="AR185" s="212"/>
      <c r="AS185" s="212"/>
      <c r="AT185" s="212"/>
      <c r="AU185" s="212"/>
      <c r="AV185" s="212"/>
      <c r="AW185" s="212"/>
      <c r="AX185" s="212"/>
      <c r="AY185" s="212"/>
      <c r="AZ185" s="212"/>
      <c r="BA185" s="212"/>
      <c r="BB185" s="212"/>
      <c r="BC185" s="212"/>
      <c r="BD185" s="212"/>
      <c r="BE185" s="212"/>
      <c r="BF185" s="212"/>
      <c r="BG185" s="212"/>
      <c r="BH185" s="212"/>
      <c r="BI185" s="212"/>
      <c r="BJ185" s="212"/>
      <c r="BK185" s="212"/>
      <c r="BL185" s="212"/>
      <c r="BM185" s="212"/>
      <c r="BN185" s="212"/>
      <c r="BO185" s="212"/>
      <c r="BP185" s="212"/>
      <c r="BQ185" s="212"/>
      <c r="BR185" s="212"/>
      <c r="BS185" s="212"/>
      <c r="BT185" s="212"/>
      <c r="BU185" s="212"/>
      <c r="BV185" s="212"/>
      <c r="BW185" s="212"/>
      <c r="BX185" s="212"/>
      <c r="BY185" s="212"/>
      <c r="BZ185" s="212"/>
      <c r="CA185" s="212"/>
      <c r="CB185" s="212"/>
      <c r="CC185" s="212"/>
      <c r="CD185" s="212"/>
      <c r="CE185" s="212"/>
      <c r="CF185" s="212"/>
      <c r="CG185" s="212"/>
      <c r="CH185" s="212"/>
      <c r="CI185" s="212"/>
      <c r="CJ185" s="212"/>
      <c r="CK185" s="212"/>
      <c r="CL185" s="212"/>
    </row>
    <row r="186" spans="10:90" ht="24.75" customHeight="1" x14ac:dyDescent="0.75">
      <c r="J186" s="220"/>
      <c r="K186" s="2"/>
      <c r="N186" s="212"/>
      <c r="O186" s="212"/>
      <c r="P186" s="212"/>
      <c r="Q186" s="212"/>
      <c r="R186" s="212"/>
      <c r="S186" s="212"/>
      <c r="T186" s="212"/>
      <c r="U186" s="212"/>
      <c r="V186" s="212"/>
      <c r="W186" s="212"/>
      <c r="X186" s="212"/>
      <c r="Y186" s="212"/>
      <c r="Z186" s="212"/>
      <c r="AA186" s="212"/>
      <c r="AB186" s="212"/>
      <c r="AC186" s="212"/>
      <c r="AD186" s="212"/>
      <c r="AE186" s="212"/>
      <c r="AF186" s="212"/>
      <c r="AG186" s="212"/>
      <c r="AH186" s="212"/>
      <c r="AI186" s="212"/>
      <c r="AJ186" s="212"/>
      <c r="AK186" s="212"/>
      <c r="AL186" s="212"/>
      <c r="AM186" s="212"/>
      <c r="AN186" s="212"/>
      <c r="AO186" s="212"/>
      <c r="AP186" s="212"/>
      <c r="AQ186" s="212"/>
      <c r="AR186" s="212"/>
      <c r="AS186" s="212"/>
      <c r="AT186" s="212"/>
      <c r="AU186" s="212"/>
      <c r="AV186" s="212"/>
      <c r="AW186" s="212"/>
      <c r="AX186" s="212"/>
      <c r="AY186" s="212"/>
      <c r="AZ186" s="212"/>
      <c r="BA186" s="212"/>
      <c r="BB186" s="212"/>
      <c r="BC186" s="212"/>
      <c r="BD186" s="212"/>
      <c r="BE186" s="212"/>
      <c r="BF186" s="212"/>
      <c r="BG186" s="212"/>
      <c r="BH186" s="212"/>
      <c r="BI186" s="212"/>
      <c r="BJ186" s="212"/>
      <c r="BK186" s="212"/>
      <c r="BL186" s="212"/>
      <c r="BM186" s="212"/>
      <c r="BN186" s="212"/>
      <c r="BO186" s="212"/>
      <c r="BP186" s="212"/>
      <c r="BQ186" s="212"/>
      <c r="BR186" s="212"/>
      <c r="BS186" s="212"/>
      <c r="BT186" s="212"/>
      <c r="BU186" s="212"/>
      <c r="BV186" s="212"/>
      <c r="BW186" s="212"/>
      <c r="BX186" s="212"/>
      <c r="BY186" s="212"/>
      <c r="BZ186" s="212"/>
      <c r="CA186" s="212"/>
      <c r="CB186" s="212"/>
      <c r="CC186" s="212"/>
      <c r="CD186" s="212"/>
      <c r="CE186" s="212"/>
      <c r="CF186" s="212"/>
      <c r="CG186" s="212"/>
      <c r="CH186" s="212"/>
      <c r="CI186" s="212"/>
      <c r="CJ186" s="212"/>
      <c r="CK186" s="212"/>
      <c r="CL186" s="212"/>
    </row>
    <row r="187" spans="10:90" ht="24.75" customHeight="1" x14ac:dyDescent="0.75">
      <c r="J187" s="220"/>
      <c r="K187" s="2"/>
      <c r="N187" s="212"/>
      <c r="O187" s="212"/>
      <c r="P187" s="212"/>
      <c r="Q187" s="212"/>
      <c r="R187" s="212"/>
      <c r="S187" s="212"/>
      <c r="T187" s="212"/>
      <c r="U187" s="212"/>
      <c r="V187" s="212"/>
      <c r="W187" s="212"/>
      <c r="X187" s="212"/>
      <c r="Y187" s="212"/>
      <c r="Z187" s="212"/>
      <c r="AA187" s="212"/>
      <c r="AB187" s="212"/>
      <c r="AC187" s="212"/>
      <c r="AD187" s="212"/>
      <c r="AE187" s="212"/>
      <c r="AF187" s="212"/>
      <c r="AG187" s="212"/>
      <c r="AH187" s="212"/>
      <c r="AI187" s="212"/>
      <c r="AJ187" s="212"/>
      <c r="AK187" s="212"/>
      <c r="AL187" s="212"/>
      <c r="AM187" s="212"/>
      <c r="AN187" s="212"/>
      <c r="AO187" s="212"/>
      <c r="AP187" s="212"/>
      <c r="AQ187" s="212"/>
      <c r="AR187" s="212"/>
      <c r="AS187" s="212"/>
      <c r="AT187" s="212"/>
      <c r="AU187" s="212"/>
      <c r="AV187" s="212"/>
      <c r="AW187" s="212"/>
      <c r="AX187" s="212"/>
      <c r="AY187" s="212"/>
      <c r="AZ187" s="212"/>
      <c r="BA187" s="212"/>
      <c r="BB187" s="212"/>
      <c r="BC187" s="212"/>
      <c r="BD187" s="212"/>
      <c r="BE187" s="212"/>
      <c r="BF187" s="212"/>
      <c r="BG187" s="212"/>
      <c r="BH187" s="212"/>
      <c r="BI187" s="212"/>
      <c r="BJ187" s="212"/>
      <c r="BK187" s="212"/>
      <c r="BL187" s="212"/>
      <c r="BM187" s="212"/>
      <c r="BN187" s="212"/>
      <c r="BO187" s="212"/>
      <c r="BP187" s="212"/>
      <c r="BQ187" s="212"/>
      <c r="BR187" s="212"/>
      <c r="BS187" s="212"/>
      <c r="BT187" s="212"/>
      <c r="BU187" s="212"/>
      <c r="BV187" s="212"/>
      <c r="BW187" s="212"/>
      <c r="BX187" s="212"/>
      <c r="BY187" s="212"/>
      <c r="BZ187" s="212"/>
      <c r="CA187" s="212"/>
      <c r="CB187" s="212"/>
      <c r="CC187" s="212"/>
      <c r="CD187" s="212"/>
      <c r="CE187" s="212"/>
      <c r="CF187" s="212"/>
      <c r="CG187" s="212"/>
      <c r="CH187" s="212"/>
      <c r="CI187" s="212"/>
      <c r="CJ187" s="212"/>
      <c r="CK187" s="212"/>
      <c r="CL187" s="212"/>
    </row>
    <row r="188" spans="10:90" ht="24.75" customHeight="1" x14ac:dyDescent="0.75">
      <c r="J188" s="220"/>
      <c r="K188" s="2"/>
      <c r="N188" s="212"/>
      <c r="O188" s="212"/>
      <c r="P188" s="212"/>
      <c r="Q188" s="212"/>
      <c r="R188" s="212"/>
      <c r="S188" s="212"/>
      <c r="T188" s="212"/>
      <c r="U188" s="212"/>
      <c r="V188" s="212"/>
      <c r="W188" s="212"/>
      <c r="X188" s="212"/>
      <c r="Y188" s="212"/>
      <c r="Z188" s="212"/>
      <c r="AA188" s="212"/>
      <c r="AB188" s="212"/>
      <c r="AC188" s="212"/>
      <c r="AD188" s="212"/>
      <c r="AE188" s="212"/>
      <c r="AF188" s="212"/>
      <c r="AG188" s="212"/>
      <c r="AH188" s="212"/>
      <c r="AI188" s="212"/>
      <c r="AJ188" s="212"/>
      <c r="AK188" s="212"/>
      <c r="AL188" s="212"/>
      <c r="AM188" s="212"/>
      <c r="AN188" s="212"/>
      <c r="AO188" s="212"/>
      <c r="AP188" s="212"/>
      <c r="AQ188" s="212"/>
      <c r="AR188" s="212"/>
      <c r="AS188" s="212"/>
      <c r="AT188" s="212"/>
      <c r="AU188" s="212"/>
      <c r="AV188" s="212"/>
      <c r="AW188" s="212"/>
      <c r="AX188" s="212"/>
      <c r="AY188" s="212"/>
      <c r="AZ188" s="212"/>
      <c r="BA188" s="212"/>
      <c r="BB188" s="212"/>
      <c r="BC188" s="212"/>
      <c r="BD188" s="212"/>
      <c r="BE188" s="212"/>
      <c r="BF188" s="212"/>
      <c r="BG188" s="212"/>
      <c r="BH188" s="212"/>
      <c r="BI188" s="212"/>
      <c r="BJ188" s="212"/>
      <c r="BK188" s="212"/>
      <c r="BL188" s="212"/>
      <c r="BM188" s="212"/>
      <c r="BN188" s="212"/>
      <c r="BO188" s="212"/>
      <c r="BP188" s="212"/>
      <c r="BQ188" s="212"/>
      <c r="BR188" s="212"/>
      <c r="BS188" s="212"/>
      <c r="BT188" s="212"/>
      <c r="BU188" s="212"/>
      <c r="BV188" s="212"/>
      <c r="BW188" s="212"/>
      <c r="BX188" s="212"/>
      <c r="BY188" s="212"/>
      <c r="BZ188" s="212"/>
      <c r="CA188" s="212"/>
      <c r="CB188" s="212"/>
      <c r="CC188" s="212"/>
      <c r="CD188" s="212"/>
      <c r="CE188" s="212"/>
      <c r="CF188" s="212"/>
      <c r="CG188" s="212"/>
      <c r="CH188" s="212"/>
      <c r="CI188" s="212"/>
      <c r="CJ188" s="212"/>
      <c r="CK188" s="212"/>
      <c r="CL188" s="212"/>
    </row>
    <row r="189" spans="10:90" ht="24.75" customHeight="1" x14ac:dyDescent="0.75">
      <c r="J189" s="220"/>
      <c r="K189" s="2"/>
      <c r="N189" s="212"/>
      <c r="O189" s="212"/>
      <c r="P189" s="212"/>
      <c r="Q189" s="212"/>
      <c r="R189" s="212"/>
      <c r="S189" s="212"/>
      <c r="T189" s="212"/>
      <c r="U189" s="212"/>
      <c r="V189" s="212"/>
      <c r="W189" s="212"/>
      <c r="X189" s="212"/>
      <c r="Y189" s="212"/>
      <c r="Z189" s="212"/>
      <c r="AA189" s="212"/>
      <c r="AB189" s="212"/>
      <c r="AC189" s="212"/>
      <c r="AD189" s="212"/>
      <c r="AE189" s="212"/>
      <c r="AF189" s="212"/>
      <c r="AG189" s="212"/>
      <c r="AH189" s="212"/>
      <c r="AI189" s="212"/>
      <c r="AJ189" s="212"/>
      <c r="AK189" s="212"/>
      <c r="AL189" s="212"/>
      <c r="AM189" s="212"/>
      <c r="AN189" s="212"/>
      <c r="AO189" s="212"/>
      <c r="AP189" s="212"/>
      <c r="AQ189" s="212"/>
      <c r="AR189" s="212"/>
      <c r="AS189" s="212"/>
      <c r="AT189" s="212"/>
      <c r="AU189" s="212"/>
      <c r="AV189" s="212"/>
      <c r="AW189" s="212"/>
      <c r="AX189" s="212"/>
      <c r="AY189" s="212"/>
      <c r="AZ189" s="212"/>
      <c r="BA189" s="212"/>
      <c r="BB189" s="212"/>
      <c r="BC189" s="212"/>
      <c r="BD189" s="212"/>
      <c r="BE189" s="212"/>
      <c r="BF189" s="212"/>
      <c r="BG189" s="212"/>
      <c r="BH189" s="212"/>
      <c r="BI189" s="212"/>
      <c r="BJ189" s="212"/>
      <c r="BK189" s="212"/>
      <c r="BL189" s="212"/>
      <c r="BM189" s="212"/>
      <c r="BN189" s="212"/>
      <c r="BO189" s="212"/>
      <c r="BP189" s="212"/>
      <c r="BQ189" s="212"/>
      <c r="BR189" s="212"/>
      <c r="BS189" s="212"/>
      <c r="BT189" s="212"/>
      <c r="BU189" s="212"/>
      <c r="BV189" s="212"/>
      <c r="BW189" s="212"/>
      <c r="BX189" s="212"/>
      <c r="BY189" s="212"/>
      <c r="BZ189" s="212"/>
      <c r="CA189" s="212"/>
      <c r="CB189" s="212"/>
      <c r="CC189" s="212"/>
      <c r="CD189" s="212"/>
      <c r="CE189" s="212"/>
      <c r="CF189" s="212"/>
      <c r="CG189" s="212"/>
      <c r="CH189" s="212"/>
      <c r="CI189" s="212"/>
      <c r="CJ189" s="212"/>
      <c r="CK189" s="212"/>
      <c r="CL189" s="212"/>
    </row>
    <row r="190" spans="10:90" ht="24.75" customHeight="1" x14ac:dyDescent="0.75">
      <c r="J190" s="220"/>
      <c r="K190" s="2"/>
      <c r="N190" s="212"/>
      <c r="O190" s="212"/>
      <c r="P190" s="212"/>
      <c r="Q190" s="212"/>
      <c r="R190" s="212"/>
      <c r="S190" s="212"/>
      <c r="T190" s="212"/>
      <c r="U190" s="212"/>
      <c r="V190" s="212"/>
      <c r="W190" s="212"/>
      <c r="X190" s="212"/>
      <c r="Y190" s="212"/>
      <c r="Z190" s="212"/>
      <c r="AA190" s="212"/>
      <c r="AB190" s="212"/>
      <c r="AC190" s="212"/>
      <c r="AD190" s="212"/>
      <c r="AE190" s="212"/>
      <c r="AF190" s="212"/>
      <c r="AG190" s="212"/>
      <c r="AH190" s="212"/>
      <c r="AI190" s="212"/>
      <c r="AJ190" s="212"/>
      <c r="AK190" s="212"/>
      <c r="AL190" s="212"/>
      <c r="AM190" s="212"/>
      <c r="AN190" s="212"/>
      <c r="AO190" s="212"/>
      <c r="AP190" s="212"/>
      <c r="AQ190" s="212"/>
      <c r="AR190" s="212"/>
      <c r="AS190" s="212"/>
      <c r="AT190" s="212"/>
      <c r="AU190" s="212"/>
      <c r="AV190" s="212"/>
      <c r="AW190" s="212"/>
      <c r="AX190" s="212"/>
      <c r="AY190" s="212"/>
      <c r="AZ190" s="212"/>
      <c r="BA190" s="212"/>
      <c r="BB190" s="212"/>
      <c r="BC190" s="212"/>
      <c r="BD190" s="212"/>
      <c r="BE190" s="212"/>
      <c r="BF190" s="212"/>
      <c r="BG190" s="212"/>
      <c r="BH190" s="212"/>
      <c r="BI190" s="212"/>
      <c r="BJ190" s="212"/>
      <c r="BK190" s="212"/>
      <c r="BL190" s="212"/>
      <c r="BM190" s="212"/>
      <c r="BN190" s="212"/>
      <c r="BO190" s="212"/>
      <c r="BP190" s="212"/>
      <c r="BQ190" s="212"/>
      <c r="BR190" s="212"/>
      <c r="BS190" s="212"/>
      <c r="BT190" s="212"/>
      <c r="BU190" s="212"/>
      <c r="BV190" s="212"/>
      <c r="BW190" s="212"/>
      <c r="BX190" s="212"/>
      <c r="BY190" s="212"/>
      <c r="BZ190" s="212"/>
      <c r="CA190" s="212"/>
      <c r="CB190" s="212"/>
      <c r="CC190" s="212"/>
      <c r="CD190" s="212"/>
      <c r="CE190" s="212"/>
      <c r="CF190" s="212"/>
      <c r="CG190" s="212"/>
      <c r="CH190" s="212"/>
      <c r="CI190" s="212"/>
      <c r="CJ190" s="212"/>
      <c r="CK190" s="212"/>
      <c r="CL190" s="212"/>
    </row>
    <row r="191" spans="10:90" ht="24.75" customHeight="1" x14ac:dyDescent="0.75">
      <c r="J191" s="220"/>
      <c r="K191" s="2"/>
      <c r="N191" s="212"/>
      <c r="O191" s="212"/>
      <c r="P191" s="212"/>
      <c r="Q191" s="212"/>
      <c r="R191" s="212"/>
      <c r="S191" s="212"/>
      <c r="T191" s="212"/>
      <c r="U191" s="212"/>
      <c r="V191" s="212"/>
      <c r="W191" s="212"/>
      <c r="X191" s="212"/>
      <c r="Y191" s="212"/>
      <c r="Z191" s="212"/>
      <c r="AA191" s="212"/>
      <c r="AB191" s="212"/>
      <c r="AC191" s="212"/>
      <c r="AD191" s="212"/>
      <c r="AE191" s="212"/>
      <c r="AF191" s="212"/>
      <c r="AG191" s="212"/>
      <c r="AH191" s="212"/>
      <c r="AI191" s="212"/>
      <c r="AJ191" s="212"/>
      <c r="AK191" s="212"/>
      <c r="AL191" s="212"/>
      <c r="AM191" s="212"/>
      <c r="AN191" s="212"/>
      <c r="AO191" s="212"/>
      <c r="AP191" s="212"/>
      <c r="AQ191" s="212"/>
      <c r="AR191" s="212"/>
      <c r="AS191" s="212"/>
      <c r="AT191" s="212"/>
      <c r="AU191" s="212"/>
      <c r="AV191" s="212"/>
      <c r="AW191" s="212"/>
      <c r="AX191" s="212"/>
      <c r="AY191" s="212"/>
      <c r="AZ191" s="212"/>
      <c r="BA191" s="212"/>
      <c r="BB191" s="212"/>
      <c r="BC191" s="212"/>
      <c r="BD191" s="212"/>
      <c r="BE191" s="212"/>
      <c r="BF191" s="212"/>
      <c r="BG191" s="212"/>
      <c r="BH191" s="212"/>
      <c r="BI191" s="212"/>
      <c r="BJ191" s="212"/>
      <c r="BK191" s="212"/>
      <c r="BL191" s="212"/>
      <c r="BM191" s="212"/>
      <c r="BN191" s="212"/>
      <c r="BO191" s="212"/>
      <c r="BP191" s="212"/>
      <c r="BQ191" s="212"/>
      <c r="BR191" s="212"/>
      <c r="BS191" s="212"/>
      <c r="BT191" s="212"/>
      <c r="BU191" s="212"/>
      <c r="BV191" s="212"/>
      <c r="BW191" s="212"/>
      <c r="BX191" s="212"/>
      <c r="BY191" s="212"/>
      <c r="BZ191" s="212"/>
      <c r="CA191" s="212"/>
      <c r="CB191" s="212"/>
      <c r="CC191" s="212"/>
      <c r="CD191" s="212"/>
      <c r="CE191" s="212"/>
      <c r="CF191" s="212"/>
      <c r="CG191" s="212"/>
      <c r="CH191" s="212"/>
      <c r="CI191" s="212"/>
      <c r="CJ191" s="212"/>
      <c r="CK191" s="212"/>
      <c r="CL191" s="212"/>
    </row>
    <row r="192" spans="10:90" ht="24.75" customHeight="1" x14ac:dyDescent="0.75">
      <c r="J192" s="220"/>
      <c r="K192" s="2"/>
      <c r="N192" s="212"/>
      <c r="O192" s="212"/>
      <c r="P192" s="212"/>
      <c r="Q192" s="212"/>
      <c r="R192" s="212"/>
      <c r="S192" s="212"/>
      <c r="T192" s="212"/>
      <c r="U192" s="212"/>
      <c r="V192" s="212"/>
      <c r="W192" s="212"/>
      <c r="X192" s="212"/>
      <c r="Y192" s="212"/>
      <c r="Z192" s="212"/>
      <c r="AA192" s="212"/>
      <c r="AB192" s="212"/>
      <c r="AC192" s="212"/>
      <c r="AD192" s="212"/>
      <c r="AE192" s="212"/>
      <c r="AF192" s="212"/>
      <c r="AG192" s="212"/>
      <c r="AH192" s="212"/>
      <c r="AI192" s="212"/>
      <c r="AJ192" s="212"/>
      <c r="AK192" s="212"/>
      <c r="AL192" s="212"/>
      <c r="AM192" s="212"/>
      <c r="AN192" s="212"/>
      <c r="AO192" s="212"/>
      <c r="AP192" s="212"/>
      <c r="AQ192" s="212"/>
      <c r="AR192" s="212"/>
      <c r="AS192" s="212"/>
      <c r="AT192" s="212"/>
      <c r="AU192" s="212"/>
      <c r="AV192" s="212"/>
      <c r="AW192" s="212"/>
      <c r="AX192" s="212"/>
      <c r="AY192" s="212"/>
      <c r="AZ192" s="212"/>
      <c r="BA192" s="212"/>
      <c r="BB192" s="212"/>
      <c r="BC192" s="212"/>
      <c r="BD192" s="212"/>
      <c r="BE192" s="212"/>
      <c r="BF192" s="212"/>
      <c r="BG192" s="212"/>
      <c r="BH192" s="212"/>
      <c r="BI192" s="212"/>
      <c r="BJ192" s="212"/>
      <c r="BK192" s="212"/>
      <c r="BL192" s="212"/>
      <c r="BM192" s="212"/>
      <c r="BN192" s="212"/>
      <c r="BO192" s="212"/>
      <c r="BP192" s="212"/>
      <c r="BQ192" s="212"/>
      <c r="BR192" s="212"/>
      <c r="BS192" s="212"/>
      <c r="BT192" s="212"/>
      <c r="BU192" s="212"/>
      <c r="BV192" s="212"/>
      <c r="BW192" s="212"/>
      <c r="BX192" s="212"/>
      <c r="BY192" s="212"/>
      <c r="BZ192" s="212"/>
      <c r="CA192" s="212"/>
      <c r="CB192" s="212"/>
      <c r="CC192" s="212"/>
      <c r="CD192" s="212"/>
      <c r="CE192" s="212"/>
      <c r="CF192" s="212"/>
      <c r="CG192" s="212"/>
      <c r="CH192" s="212"/>
      <c r="CI192" s="212"/>
      <c r="CJ192" s="212"/>
      <c r="CK192" s="212"/>
      <c r="CL192" s="212"/>
    </row>
    <row r="193" spans="10:90" ht="24.75" customHeight="1" x14ac:dyDescent="0.75">
      <c r="J193" s="220"/>
      <c r="K193" s="2"/>
      <c r="N193" s="212"/>
      <c r="O193" s="212"/>
      <c r="P193" s="212"/>
      <c r="Q193" s="212"/>
      <c r="R193" s="212"/>
      <c r="S193" s="212"/>
      <c r="T193" s="212"/>
      <c r="U193" s="212"/>
      <c r="V193" s="212"/>
      <c r="W193" s="212"/>
      <c r="X193" s="212"/>
      <c r="Y193" s="212"/>
      <c r="Z193" s="212"/>
      <c r="AA193" s="212"/>
      <c r="AB193" s="212"/>
      <c r="AC193" s="212"/>
      <c r="AD193" s="212"/>
      <c r="AE193" s="212"/>
      <c r="AF193" s="212"/>
      <c r="AG193" s="212"/>
      <c r="AH193" s="212"/>
      <c r="AI193" s="212"/>
      <c r="AJ193" s="212"/>
      <c r="AK193" s="212"/>
      <c r="AL193" s="212"/>
      <c r="AM193" s="212"/>
      <c r="AN193" s="212"/>
      <c r="AO193" s="212"/>
      <c r="AP193" s="212"/>
      <c r="AQ193" s="212"/>
      <c r="AR193" s="212"/>
      <c r="AS193" s="212"/>
      <c r="AT193" s="212"/>
      <c r="AU193" s="212"/>
      <c r="AV193" s="212"/>
      <c r="AW193" s="212"/>
      <c r="AX193" s="212"/>
      <c r="AY193" s="212"/>
      <c r="AZ193" s="212"/>
      <c r="BA193" s="212"/>
      <c r="BB193" s="212"/>
      <c r="BC193" s="212"/>
      <c r="BD193" s="212"/>
      <c r="BE193" s="212"/>
      <c r="BF193" s="212"/>
      <c r="BG193" s="212"/>
      <c r="BH193" s="212"/>
      <c r="BI193" s="212"/>
      <c r="BJ193" s="212"/>
      <c r="BK193" s="212"/>
      <c r="BL193" s="212"/>
      <c r="BM193" s="212"/>
      <c r="BN193" s="212"/>
      <c r="BO193" s="212"/>
      <c r="BP193" s="212"/>
      <c r="BQ193" s="212"/>
      <c r="BR193" s="212"/>
      <c r="BS193" s="212"/>
      <c r="BT193" s="212"/>
      <c r="BU193" s="212"/>
      <c r="BV193" s="212"/>
      <c r="BW193" s="212"/>
      <c r="BX193" s="212"/>
      <c r="BY193" s="212"/>
      <c r="BZ193" s="212"/>
      <c r="CA193" s="212"/>
      <c r="CB193" s="212"/>
      <c r="CC193" s="212"/>
      <c r="CD193" s="212"/>
      <c r="CE193" s="212"/>
      <c r="CF193" s="212"/>
      <c r="CG193" s="212"/>
      <c r="CH193" s="212"/>
      <c r="CI193" s="212"/>
      <c r="CJ193" s="212"/>
      <c r="CK193" s="212"/>
      <c r="CL193" s="212"/>
    </row>
    <row r="194" spans="10:90" ht="24.75" customHeight="1" x14ac:dyDescent="0.75">
      <c r="J194" s="220"/>
      <c r="K194" s="2"/>
      <c r="N194" s="212"/>
      <c r="O194" s="212"/>
      <c r="P194" s="212"/>
      <c r="Q194" s="212"/>
      <c r="R194" s="212"/>
      <c r="S194" s="212"/>
      <c r="T194" s="212"/>
      <c r="U194" s="212"/>
      <c r="V194" s="212"/>
      <c r="W194" s="212"/>
      <c r="X194" s="212"/>
      <c r="Y194" s="212"/>
      <c r="Z194" s="212"/>
      <c r="AA194" s="212"/>
      <c r="AB194" s="212"/>
      <c r="AC194" s="212"/>
      <c r="AD194" s="212"/>
      <c r="AE194" s="212"/>
      <c r="AF194" s="212"/>
      <c r="AG194" s="212"/>
      <c r="AH194" s="212"/>
      <c r="AI194" s="212"/>
      <c r="AJ194" s="212"/>
      <c r="AK194" s="212"/>
      <c r="AL194" s="212"/>
      <c r="AM194" s="212"/>
      <c r="AN194" s="212"/>
      <c r="AO194" s="212"/>
      <c r="AP194" s="212"/>
      <c r="AQ194" s="212"/>
      <c r="AR194" s="212"/>
      <c r="AS194" s="212"/>
      <c r="AT194" s="212"/>
      <c r="AU194" s="212"/>
      <c r="AV194" s="212"/>
      <c r="AW194" s="212"/>
      <c r="AX194" s="212"/>
      <c r="AY194" s="212"/>
      <c r="AZ194" s="212"/>
      <c r="BA194" s="212"/>
      <c r="BB194" s="212"/>
      <c r="BC194" s="212"/>
      <c r="BD194" s="212"/>
      <c r="BE194" s="212"/>
      <c r="BF194" s="212"/>
      <c r="BG194" s="212"/>
      <c r="BH194" s="212"/>
      <c r="BI194" s="212"/>
      <c r="BJ194" s="212"/>
      <c r="BK194" s="212"/>
      <c r="BL194" s="212"/>
      <c r="BM194" s="212"/>
      <c r="BN194" s="212"/>
      <c r="BO194" s="212"/>
      <c r="BP194" s="212"/>
      <c r="BQ194" s="212"/>
      <c r="BR194" s="212"/>
      <c r="BS194" s="212"/>
      <c r="BT194" s="212"/>
      <c r="BU194" s="212"/>
      <c r="BV194" s="212"/>
      <c r="BW194" s="212"/>
      <c r="BX194" s="212"/>
      <c r="BY194" s="212"/>
      <c r="BZ194" s="212"/>
      <c r="CA194" s="212"/>
      <c r="CB194" s="212"/>
      <c r="CC194" s="212"/>
      <c r="CD194" s="212"/>
      <c r="CE194" s="212"/>
      <c r="CF194" s="212"/>
      <c r="CG194" s="212"/>
      <c r="CH194" s="212"/>
      <c r="CI194" s="212"/>
      <c r="CJ194" s="212"/>
      <c r="CK194" s="212"/>
      <c r="CL194" s="212"/>
    </row>
    <row r="195" spans="10:90" ht="24.75" customHeight="1" x14ac:dyDescent="0.75">
      <c r="J195" s="220"/>
      <c r="K195" s="2"/>
      <c r="N195" s="212"/>
      <c r="O195" s="212"/>
      <c r="P195" s="212"/>
      <c r="Q195" s="212"/>
      <c r="R195" s="212"/>
      <c r="S195" s="212"/>
      <c r="T195" s="212"/>
      <c r="U195" s="212"/>
      <c r="V195" s="212"/>
      <c r="W195" s="212"/>
      <c r="X195" s="212"/>
      <c r="Y195" s="212"/>
      <c r="Z195" s="212"/>
      <c r="AA195" s="212"/>
      <c r="AB195" s="212"/>
      <c r="AC195" s="212"/>
      <c r="AD195" s="212"/>
      <c r="AE195" s="212"/>
      <c r="AF195" s="212"/>
      <c r="AG195" s="212"/>
      <c r="AH195" s="212"/>
      <c r="AI195" s="212"/>
      <c r="AJ195" s="212"/>
      <c r="AK195" s="212"/>
      <c r="AL195" s="212"/>
      <c r="AM195" s="212"/>
      <c r="AN195" s="212"/>
      <c r="AO195" s="212"/>
      <c r="AP195" s="212"/>
      <c r="AQ195" s="212"/>
      <c r="AR195" s="212"/>
      <c r="AS195" s="212"/>
      <c r="AT195" s="212"/>
      <c r="AU195" s="212"/>
      <c r="AV195" s="212"/>
      <c r="AW195" s="212"/>
      <c r="AX195" s="212"/>
      <c r="AY195" s="212"/>
      <c r="AZ195" s="212"/>
      <c r="BA195" s="212"/>
      <c r="BB195" s="212"/>
      <c r="BC195" s="212"/>
      <c r="BD195" s="212"/>
      <c r="BE195" s="212"/>
      <c r="BF195" s="212"/>
      <c r="BG195" s="212"/>
      <c r="BH195" s="212"/>
      <c r="BI195" s="212"/>
      <c r="BJ195" s="212"/>
      <c r="BK195" s="212"/>
      <c r="BL195" s="212"/>
      <c r="BM195" s="212"/>
      <c r="BN195" s="212"/>
      <c r="BO195" s="212"/>
      <c r="BP195" s="212"/>
      <c r="BQ195" s="212"/>
      <c r="BR195" s="212"/>
      <c r="BS195" s="212"/>
      <c r="BT195" s="212"/>
      <c r="BU195" s="212"/>
      <c r="BV195" s="212"/>
      <c r="BW195" s="212"/>
      <c r="BX195" s="212"/>
      <c r="BY195" s="212"/>
      <c r="BZ195" s="212"/>
      <c r="CA195" s="212"/>
      <c r="CB195" s="212"/>
      <c r="CC195" s="212"/>
      <c r="CD195" s="212"/>
      <c r="CE195" s="212"/>
      <c r="CF195" s="212"/>
      <c r="CG195" s="212"/>
      <c r="CH195" s="212"/>
      <c r="CI195" s="212"/>
      <c r="CJ195" s="212"/>
      <c r="CK195" s="212"/>
      <c r="CL195" s="212"/>
    </row>
    <row r="196" spans="10:90" ht="24.75" customHeight="1" x14ac:dyDescent="0.75">
      <c r="J196" s="220"/>
      <c r="K196" s="2"/>
      <c r="N196" s="212"/>
      <c r="O196" s="212"/>
      <c r="P196" s="212"/>
      <c r="Q196" s="212"/>
      <c r="R196" s="212"/>
      <c r="S196" s="212"/>
      <c r="T196" s="212"/>
      <c r="U196" s="212"/>
      <c r="V196" s="212"/>
      <c r="W196" s="212"/>
      <c r="X196" s="212"/>
      <c r="Y196" s="212"/>
      <c r="Z196" s="212"/>
      <c r="AA196" s="212"/>
      <c r="AB196" s="212"/>
      <c r="AC196" s="212"/>
      <c r="AD196" s="212"/>
      <c r="AE196" s="212"/>
      <c r="AF196" s="212"/>
      <c r="AG196" s="212"/>
      <c r="AH196" s="212"/>
      <c r="AI196" s="212"/>
      <c r="AJ196" s="212"/>
      <c r="AK196" s="212"/>
      <c r="AL196" s="212"/>
      <c r="AM196" s="212"/>
      <c r="AN196" s="212"/>
      <c r="AO196" s="212"/>
      <c r="AP196" s="212"/>
      <c r="AQ196" s="212"/>
      <c r="AR196" s="212"/>
      <c r="AS196" s="212"/>
      <c r="AT196" s="212"/>
      <c r="AU196" s="212"/>
      <c r="AV196" s="212"/>
      <c r="AW196" s="212"/>
      <c r="AX196" s="212"/>
      <c r="AY196" s="212"/>
      <c r="AZ196" s="212"/>
      <c r="BA196" s="212"/>
      <c r="BB196" s="212"/>
      <c r="BC196" s="212"/>
      <c r="BD196" s="212"/>
      <c r="BE196" s="212"/>
      <c r="BF196" s="212"/>
      <c r="BG196" s="212"/>
      <c r="BH196" s="212"/>
      <c r="BI196" s="212"/>
      <c r="BJ196" s="212"/>
      <c r="BK196" s="212"/>
      <c r="BL196" s="212"/>
      <c r="BM196" s="212"/>
      <c r="BN196" s="212"/>
      <c r="BO196" s="212"/>
      <c r="BP196" s="212"/>
      <c r="BQ196" s="212"/>
      <c r="BR196" s="212"/>
      <c r="BS196" s="212"/>
      <c r="BT196" s="212"/>
      <c r="BU196" s="212"/>
      <c r="BV196" s="212"/>
      <c r="BW196" s="212"/>
      <c r="BX196" s="212"/>
      <c r="BY196" s="212"/>
      <c r="BZ196" s="212"/>
      <c r="CA196" s="212"/>
      <c r="CB196" s="212"/>
      <c r="CC196" s="212"/>
      <c r="CD196" s="212"/>
      <c r="CE196" s="212"/>
      <c r="CF196" s="212"/>
      <c r="CG196" s="212"/>
      <c r="CH196" s="212"/>
      <c r="CI196" s="212"/>
      <c r="CJ196" s="212"/>
      <c r="CK196" s="212"/>
      <c r="CL196" s="212"/>
    </row>
    <row r="197" spans="10:90" ht="24.75" customHeight="1" x14ac:dyDescent="0.75">
      <c r="J197" s="220"/>
      <c r="K197" s="2"/>
      <c r="N197" s="212"/>
      <c r="O197" s="212"/>
      <c r="P197" s="212"/>
      <c r="Q197" s="212"/>
      <c r="R197" s="212"/>
      <c r="S197" s="212"/>
      <c r="T197" s="212"/>
      <c r="U197" s="212"/>
      <c r="V197" s="212"/>
      <c r="W197" s="212"/>
      <c r="X197" s="212"/>
      <c r="Y197" s="212"/>
      <c r="Z197" s="212"/>
      <c r="AA197" s="212"/>
      <c r="AB197" s="212"/>
      <c r="AC197" s="212"/>
      <c r="AD197" s="212"/>
      <c r="AE197" s="212"/>
      <c r="AF197" s="212"/>
      <c r="AG197" s="212"/>
      <c r="AH197" s="212"/>
      <c r="AI197" s="212"/>
      <c r="AJ197" s="212"/>
      <c r="AK197" s="212"/>
      <c r="AL197" s="212"/>
      <c r="AM197" s="212"/>
      <c r="AN197" s="212"/>
      <c r="AO197" s="212"/>
      <c r="AP197" s="212"/>
      <c r="AQ197" s="212"/>
      <c r="AR197" s="212"/>
      <c r="AS197" s="212"/>
      <c r="AT197" s="212"/>
      <c r="AU197" s="212"/>
      <c r="AV197" s="212"/>
      <c r="AW197" s="212"/>
      <c r="AX197" s="212"/>
      <c r="AY197" s="212"/>
      <c r="AZ197" s="212"/>
      <c r="BA197" s="212"/>
      <c r="BB197" s="212"/>
      <c r="BC197" s="212"/>
      <c r="BD197" s="212"/>
      <c r="BE197" s="212"/>
      <c r="BF197" s="212"/>
      <c r="BG197" s="212"/>
      <c r="BH197" s="212"/>
      <c r="BI197" s="212"/>
      <c r="BJ197" s="212"/>
      <c r="BK197" s="212"/>
      <c r="BL197" s="212"/>
      <c r="BM197" s="212"/>
      <c r="BN197" s="212"/>
      <c r="BO197" s="212"/>
      <c r="BP197" s="212"/>
      <c r="BQ197" s="212"/>
      <c r="BR197" s="212"/>
      <c r="BS197" s="212"/>
      <c r="BT197" s="212"/>
      <c r="BU197" s="212"/>
      <c r="BV197" s="212"/>
      <c r="BW197" s="212"/>
      <c r="BX197" s="212"/>
      <c r="BY197" s="212"/>
      <c r="BZ197" s="212"/>
      <c r="CA197" s="212"/>
      <c r="CB197" s="212"/>
      <c r="CC197" s="212"/>
      <c r="CD197" s="212"/>
      <c r="CE197" s="212"/>
      <c r="CF197" s="212"/>
      <c r="CG197" s="212"/>
      <c r="CH197" s="212"/>
      <c r="CI197" s="212"/>
      <c r="CJ197" s="212"/>
      <c r="CK197" s="212"/>
      <c r="CL197" s="212"/>
    </row>
    <row r="198" spans="10:90" ht="24.75" customHeight="1" x14ac:dyDescent="0.75">
      <c r="J198" s="220"/>
      <c r="K198" s="2"/>
      <c r="N198" s="212"/>
      <c r="O198" s="212"/>
      <c r="P198" s="212"/>
      <c r="Q198" s="212"/>
      <c r="R198" s="212"/>
      <c r="S198" s="212"/>
      <c r="T198" s="212"/>
      <c r="U198" s="212"/>
      <c r="V198" s="212"/>
      <c r="W198" s="212"/>
      <c r="X198" s="212"/>
      <c r="Y198" s="212"/>
      <c r="Z198" s="212"/>
      <c r="AA198" s="212"/>
      <c r="AB198" s="212"/>
      <c r="AC198" s="212"/>
      <c r="AD198" s="212"/>
      <c r="AE198" s="212"/>
      <c r="AF198" s="212"/>
      <c r="AG198" s="212"/>
      <c r="AH198" s="212"/>
      <c r="AI198" s="212"/>
      <c r="AJ198" s="212"/>
      <c r="AK198" s="212"/>
      <c r="AL198" s="212"/>
      <c r="AM198" s="212"/>
      <c r="AN198" s="212"/>
      <c r="AO198" s="212"/>
      <c r="AP198" s="212"/>
      <c r="AQ198" s="212"/>
      <c r="AR198" s="212"/>
      <c r="AS198" s="212"/>
      <c r="AT198" s="212"/>
      <c r="AU198" s="212"/>
      <c r="AV198" s="212"/>
      <c r="AW198" s="212"/>
      <c r="AX198" s="212"/>
      <c r="AY198" s="212"/>
      <c r="AZ198" s="212"/>
      <c r="BA198" s="212"/>
      <c r="BB198" s="212"/>
      <c r="BC198" s="212"/>
      <c r="BD198" s="212"/>
      <c r="BE198" s="212"/>
      <c r="BF198" s="212"/>
      <c r="BG198" s="212"/>
      <c r="BH198" s="212"/>
      <c r="BI198" s="212"/>
      <c r="BJ198" s="212"/>
      <c r="BK198" s="212"/>
      <c r="BL198" s="212"/>
      <c r="BM198" s="212"/>
      <c r="BN198" s="212"/>
      <c r="BO198" s="212"/>
      <c r="BP198" s="212"/>
      <c r="BQ198" s="212"/>
      <c r="BR198" s="212"/>
      <c r="BS198" s="212"/>
      <c r="BT198" s="212"/>
      <c r="BU198" s="212"/>
      <c r="BV198" s="212"/>
      <c r="BW198" s="212"/>
      <c r="BX198" s="212"/>
      <c r="BY198" s="212"/>
      <c r="BZ198" s="212"/>
      <c r="CA198" s="212"/>
      <c r="CB198" s="212"/>
      <c r="CC198" s="212"/>
      <c r="CD198" s="212"/>
      <c r="CE198" s="212"/>
      <c r="CF198" s="212"/>
      <c r="CG198" s="212"/>
      <c r="CH198" s="212"/>
      <c r="CI198" s="212"/>
      <c r="CJ198" s="212"/>
      <c r="CK198" s="212"/>
      <c r="CL198" s="212"/>
    </row>
    <row r="199" spans="10:90" ht="24.75" customHeight="1" x14ac:dyDescent="0.75">
      <c r="J199" s="220"/>
      <c r="K199" s="2"/>
      <c r="N199" s="212"/>
      <c r="O199" s="212"/>
      <c r="P199" s="212"/>
      <c r="Q199" s="212"/>
      <c r="R199" s="212"/>
      <c r="S199" s="212"/>
      <c r="T199" s="212"/>
      <c r="U199" s="212"/>
      <c r="V199" s="212"/>
      <c r="W199" s="212"/>
      <c r="X199" s="212"/>
      <c r="Y199" s="212"/>
      <c r="Z199" s="212"/>
      <c r="AA199" s="212"/>
      <c r="AB199" s="212"/>
      <c r="AC199" s="212"/>
      <c r="AD199" s="212"/>
      <c r="AE199" s="212"/>
      <c r="AF199" s="212"/>
      <c r="AG199" s="212"/>
      <c r="AH199" s="212"/>
      <c r="AI199" s="212"/>
      <c r="AJ199" s="212"/>
      <c r="AK199" s="212"/>
      <c r="AL199" s="212"/>
      <c r="AM199" s="212"/>
      <c r="AN199" s="212"/>
      <c r="AO199" s="212"/>
      <c r="AP199" s="212"/>
      <c r="AQ199" s="212"/>
      <c r="AR199" s="212"/>
      <c r="AS199" s="212"/>
      <c r="AT199" s="212"/>
      <c r="AU199" s="212"/>
      <c r="AV199" s="212"/>
      <c r="AW199" s="212"/>
      <c r="AX199" s="212"/>
      <c r="AY199" s="212"/>
      <c r="AZ199" s="212"/>
      <c r="BA199" s="212"/>
      <c r="BB199" s="212"/>
      <c r="BC199" s="212"/>
      <c r="BD199" s="212"/>
      <c r="BE199" s="212"/>
      <c r="BF199" s="212"/>
      <c r="BG199" s="212"/>
      <c r="BH199" s="212"/>
      <c r="BI199" s="212"/>
      <c r="BJ199" s="212"/>
      <c r="BK199" s="212"/>
      <c r="BL199" s="212"/>
      <c r="BM199" s="212"/>
      <c r="BN199" s="212"/>
      <c r="BO199" s="212"/>
      <c r="BP199" s="212"/>
      <c r="BQ199" s="212"/>
      <c r="BR199" s="212"/>
      <c r="BS199" s="212"/>
      <c r="BT199" s="212"/>
      <c r="BU199" s="212"/>
      <c r="BV199" s="212"/>
      <c r="BW199" s="212"/>
      <c r="BX199" s="212"/>
      <c r="BY199" s="212"/>
      <c r="BZ199" s="212"/>
      <c r="CA199" s="212"/>
      <c r="CB199" s="212"/>
      <c r="CC199" s="212"/>
      <c r="CD199" s="212"/>
      <c r="CE199" s="212"/>
      <c r="CF199" s="212"/>
      <c r="CG199" s="212"/>
      <c r="CH199" s="212"/>
      <c r="CI199" s="212"/>
      <c r="CJ199" s="212"/>
      <c r="CK199" s="212"/>
      <c r="CL199" s="212"/>
    </row>
    <row r="200" spans="10:90" ht="24.75" customHeight="1" x14ac:dyDescent="0.75">
      <c r="J200" s="220"/>
      <c r="K200" s="2"/>
      <c r="N200" s="212"/>
      <c r="O200" s="212"/>
      <c r="P200" s="212"/>
      <c r="Q200" s="212"/>
      <c r="R200" s="212"/>
      <c r="S200" s="212"/>
      <c r="T200" s="212"/>
      <c r="U200" s="212"/>
      <c r="V200" s="212"/>
      <c r="W200" s="212"/>
      <c r="X200" s="212"/>
      <c r="Y200" s="212"/>
      <c r="Z200" s="212"/>
      <c r="AA200" s="212"/>
      <c r="AB200" s="212"/>
      <c r="AC200" s="212"/>
      <c r="AD200" s="212"/>
      <c r="AE200" s="212"/>
      <c r="AF200" s="212"/>
      <c r="AG200" s="212"/>
      <c r="AH200" s="212"/>
      <c r="AI200" s="212"/>
      <c r="AJ200" s="212"/>
      <c r="AK200" s="212"/>
      <c r="AL200" s="212"/>
      <c r="AM200" s="212"/>
      <c r="AN200" s="212"/>
      <c r="AO200" s="212"/>
      <c r="AP200" s="212"/>
      <c r="AQ200" s="212"/>
      <c r="AR200" s="212"/>
      <c r="AS200" s="212"/>
      <c r="AT200" s="212"/>
      <c r="AU200" s="212"/>
      <c r="AV200" s="212"/>
      <c r="AW200" s="212"/>
      <c r="AX200" s="212"/>
      <c r="AY200" s="212"/>
      <c r="AZ200" s="212"/>
      <c r="BA200" s="212"/>
      <c r="BB200" s="212"/>
      <c r="BC200" s="212"/>
      <c r="BD200" s="212"/>
      <c r="BE200" s="212"/>
      <c r="BF200" s="212"/>
      <c r="BG200" s="212"/>
      <c r="BH200" s="212"/>
      <c r="BI200" s="212"/>
      <c r="BJ200" s="212"/>
      <c r="BK200" s="212"/>
      <c r="BL200" s="212"/>
      <c r="BM200" s="212"/>
      <c r="BN200" s="212"/>
      <c r="BO200" s="212"/>
      <c r="BP200" s="212"/>
      <c r="BQ200" s="212"/>
      <c r="BR200" s="212"/>
      <c r="BS200" s="212"/>
      <c r="BT200" s="212"/>
      <c r="BU200" s="212"/>
      <c r="BV200" s="212"/>
      <c r="BW200" s="212"/>
      <c r="BX200" s="212"/>
      <c r="BY200" s="212"/>
      <c r="BZ200" s="212"/>
      <c r="CA200" s="212"/>
      <c r="CB200" s="212"/>
      <c r="CC200" s="212"/>
      <c r="CD200" s="212"/>
      <c r="CE200" s="212"/>
      <c r="CF200" s="212"/>
      <c r="CG200" s="212"/>
      <c r="CH200" s="212"/>
      <c r="CI200" s="212"/>
      <c r="CJ200" s="212"/>
      <c r="CK200" s="212"/>
      <c r="CL200" s="212"/>
    </row>
    <row r="201" spans="10:90" ht="24.75" customHeight="1" x14ac:dyDescent="0.75">
      <c r="J201" s="220"/>
      <c r="K201" s="2"/>
      <c r="N201" s="212"/>
      <c r="O201" s="212"/>
      <c r="P201" s="212"/>
      <c r="Q201" s="212"/>
      <c r="R201" s="212"/>
      <c r="S201" s="212"/>
      <c r="T201" s="212"/>
      <c r="U201" s="212"/>
      <c r="V201" s="212"/>
      <c r="W201" s="212"/>
      <c r="X201" s="212"/>
      <c r="Y201" s="212"/>
      <c r="Z201" s="212"/>
      <c r="AA201" s="212"/>
      <c r="AB201" s="212"/>
      <c r="AC201" s="212"/>
      <c r="AD201" s="212"/>
      <c r="AE201" s="212"/>
      <c r="AF201" s="212"/>
      <c r="AG201" s="212"/>
      <c r="AH201" s="212"/>
      <c r="AI201" s="212"/>
      <c r="AJ201" s="212"/>
      <c r="AK201" s="212"/>
      <c r="AL201" s="212"/>
      <c r="AM201" s="212"/>
      <c r="AN201" s="212"/>
      <c r="AO201" s="212"/>
      <c r="AP201" s="212"/>
      <c r="AQ201" s="212"/>
      <c r="AR201" s="212"/>
      <c r="AS201" s="212"/>
      <c r="AT201" s="212"/>
      <c r="AU201" s="212"/>
      <c r="AV201" s="212"/>
      <c r="AW201" s="212"/>
      <c r="AX201" s="212"/>
      <c r="AY201" s="212"/>
      <c r="AZ201" s="212"/>
      <c r="BA201" s="212"/>
      <c r="BB201" s="212"/>
      <c r="BC201" s="212"/>
      <c r="BD201" s="212"/>
      <c r="BE201" s="212"/>
      <c r="BF201" s="212"/>
      <c r="BG201" s="212"/>
      <c r="BH201" s="212"/>
      <c r="BI201" s="212"/>
      <c r="BJ201" s="212"/>
      <c r="BK201" s="212"/>
      <c r="BL201" s="212"/>
      <c r="BM201" s="212"/>
      <c r="BN201" s="212"/>
      <c r="BO201" s="212"/>
      <c r="BP201" s="212"/>
      <c r="BQ201" s="212"/>
      <c r="BR201" s="212"/>
      <c r="BS201" s="212"/>
      <c r="BT201" s="212"/>
      <c r="BU201" s="212"/>
      <c r="BV201" s="212"/>
      <c r="BW201" s="212"/>
      <c r="BX201" s="212"/>
      <c r="BY201" s="212"/>
      <c r="BZ201" s="212"/>
      <c r="CA201" s="212"/>
      <c r="CB201" s="212"/>
      <c r="CC201" s="212"/>
      <c r="CD201" s="212"/>
      <c r="CE201" s="212"/>
      <c r="CF201" s="212"/>
      <c r="CG201" s="212"/>
      <c r="CH201" s="212"/>
      <c r="CI201" s="212"/>
      <c r="CJ201" s="212"/>
      <c r="CK201" s="212"/>
      <c r="CL201" s="212"/>
    </row>
    <row r="202" spans="10:90" ht="24.75" customHeight="1" x14ac:dyDescent="0.75">
      <c r="J202" s="220"/>
      <c r="K202" s="2"/>
      <c r="N202" s="212"/>
      <c r="O202" s="212"/>
      <c r="P202" s="212"/>
      <c r="Q202" s="212"/>
      <c r="R202" s="212"/>
      <c r="S202" s="212"/>
      <c r="T202" s="212"/>
      <c r="U202" s="212"/>
      <c r="V202" s="212"/>
      <c r="W202" s="212"/>
      <c r="X202" s="212"/>
      <c r="Y202" s="212"/>
      <c r="Z202" s="212"/>
      <c r="AA202" s="212"/>
      <c r="AB202" s="212"/>
      <c r="AC202" s="212"/>
      <c r="AD202" s="212"/>
      <c r="AE202" s="212"/>
      <c r="AF202" s="212"/>
      <c r="AG202" s="212"/>
      <c r="AH202" s="212"/>
      <c r="AI202" s="212"/>
      <c r="AJ202" s="212"/>
      <c r="AK202" s="212"/>
      <c r="AL202" s="212"/>
      <c r="AM202" s="212"/>
      <c r="AN202" s="212"/>
      <c r="AO202" s="212"/>
      <c r="AP202" s="212"/>
      <c r="AQ202" s="212"/>
      <c r="AR202" s="212"/>
      <c r="AS202" s="212"/>
      <c r="AT202" s="212"/>
      <c r="AU202" s="212"/>
      <c r="AV202" s="212"/>
      <c r="AW202" s="212"/>
      <c r="AX202" s="212"/>
      <c r="AY202" s="212"/>
      <c r="AZ202" s="212"/>
      <c r="BA202" s="212"/>
      <c r="BB202" s="212"/>
      <c r="BC202" s="212"/>
      <c r="BD202" s="212"/>
      <c r="BE202" s="212"/>
      <c r="BF202" s="212"/>
      <c r="BG202" s="212"/>
      <c r="BH202" s="212"/>
      <c r="BI202" s="212"/>
      <c r="BJ202" s="212"/>
      <c r="BK202" s="212"/>
      <c r="BL202" s="212"/>
      <c r="BM202" s="212"/>
      <c r="BN202" s="212"/>
      <c r="BO202" s="212"/>
      <c r="BP202" s="212"/>
      <c r="BQ202" s="212"/>
      <c r="BR202" s="212"/>
      <c r="BS202" s="212"/>
      <c r="BT202" s="212"/>
      <c r="BU202" s="212"/>
      <c r="BV202" s="212"/>
      <c r="BW202" s="212"/>
      <c r="BX202" s="212"/>
      <c r="BY202" s="212"/>
      <c r="BZ202" s="212"/>
      <c r="CA202" s="212"/>
      <c r="CB202" s="212"/>
      <c r="CC202" s="212"/>
      <c r="CD202" s="212"/>
      <c r="CE202" s="212"/>
      <c r="CF202" s="212"/>
      <c r="CG202" s="212"/>
      <c r="CH202" s="212"/>
      <c r="CI202" s="212"/>
      <c r="CJ202" s="212"/>
      <c r="CK202" s="212"/>
      <c r="CL202" s="212"/>
    </row>
    <row r="203" spans="10:90" ht="24.75" customHeight="1" x14ac:dyDescent="0.75">
      <c r="J203" s="220"/>
      <c r="K203" s="2"/>
      <c r="N203" s="212"/>
      <c r="O203" s="212"/>
      <c r="P203" s="212"/>
      <c r="Q203" s="212"/>
      <c r="R203" s="212"/>
      <c r="S203" s="212"/>
      <c r="T203" s="212"/>
      <c r="U203" s="212"/>
      <c r="V203" s="212"/>
      <c r="W203" s="212"/>
      <c r="X203" s="212"/>
      <c r="Y203" s="212"/>
      <c r="Z203" s="212"/>
      <c r="AA203" s="212"/>
      <c r="AB203" s="212"/>
      <c r="AC203" s="212"/>
      <c r="AD203" s="212"/>
      <c r="AE203" s="212"/>
      <c r="AF203" s="212"/>
      <c r="AG203" s="212"/>
      <c r="AH203" s="212"/>
      <c r="AI203" s="212"/>
      <c r="AJ203" s="212"/>
      <c r="AK203" s="212"/>
      <c r="AL203" s="212"/>
      <c r="AM203" s="212"/>
      <c r="AN203" s="212"/>
      <c r="AO203" s="212"/>
      <c r="AP203" s="212"/>
      <c r="AQ203" s="212"/>
      <c r="AR203" s="212"/>
      <c r="AS203" s="212"/>
      <c r="AT203" s="212"/>
      <c r="AU203" s="212"/>
      <c r="AV203" s="212"/>
      <c r="AW203" s="212"/>
      <c r="AX203" s="212"/>
      <c r="AY203" s="212"/>
      <c r="AZ203" s="212"/>
      <c r="BA203" s="212"/>
      <c r="BB203" s="212"/>
      <c r="BC203" s="212"/>
      <c r="BD203" s="212"/>
      <c r="BE203" s="212"/>
      <c r="BF203" s="212"/>
      <c r="BG203" s="212"/>
      <c r="BH203" s="212"/>
      <c r="BI203" s="212"/>
      <c r="BJ203" s="212"/>
      <c r="BK203" s="212"/>
      <c r="BL203" s="212"/>
      <c r="BM203" s="212"/>
      <c r="BN203" s="212"/>
      <c r="BO203" s="212"/>
      <c r="BP203" s="212"/>
      <c r="BQ203" s="212"/>
      <c r="BR203" s="212"/>
      <c r="BS203" s="212"/>
      <c r="BT203" s="212"/>
      <c r="BU203" s="212"/>
      <c r="BV203" s="212"/>
      <c r="BW203" s="212"/>
      <c r="BX203" s="212"/>
      <c r="BY203" s="212"/>
      <c r="BZ203" s="212"/>
      <c r="CA203" s="212"/>
      <c r="CB203" s="212"/>
      <c r="CC203" s="212"/>
      <c r="CD203" s="212"/>
      <c r="CE203" s="212"/>
      <c r="CF203" s="212"/>
      <c r="CG203" s="212"/>
      <c r="CH203" s="212"/>
      <c r="CI203" s="212"/>
      <c r="CJ203" s="212"/>
      <c r="CK203" s="212"/>
      <c r="CL203" s="212"/>
    </row>
    <row r="204" spans="10:90" ht="24.75" customHeight="1" x14ac:dyDescent="0.75">
      <c r="J204" s="220"/>
      <c r="K204" s="2"/>
      <c r="N204" s="212"/>
      <c r="O204" s="212"/>
      <c r="P204" s="212"/>
      <c r="Q204" s="212"/>
      <c r="R204" s="212"/>
      <c r="S204" s="212"/>
      <c r="T204" s="212"/>
      <c r="U204" s="212"/>
      <c r="V204" s="212"/>
      <c r="W204" s="212"/>
      <c r="X204" s="212"/>
      <c r="Y204" s="212"/>
      <c r="Z204" s="212"/>
      <c r="AA204" s="212"/>
      <c r="AB204" s="212"/>
      <c r="AC204" s="212"/>
      <c r="AD204" s="212"/>
      <c r="AE204" s="212"/>
      <c r="AF204" s="212"/>
      <c r="AG204" s="212"/>
      <c r="AH204" s="212"/>
      <c r="AI204" s="212"/>
      <c r="AJ204" s="212"/>
      <c r="AK204" s="212"/>
      <c r="AL204" s="212"/>
      <c r="AM204" s="212"/>
      <c r="AN204" s="212"/>
      <c r="AO204" s="212"/>
      <c r="AP204" s="212"/>
      <c r="AQ204" s="212"/>
      <c r="AR204" s="212"/>
      <c r="AS204" s="212"/>
      <c r="AT204" s="212"/>
      <c r="AU204" s="212"/>
      <c r="AV204" s="212"/>
      <c r="AW204" s="212"/>
      <c r="AX204" s="212"/>
      <c r="AY204" s="212"/>
      <c r="AZ204" s="212"/>
      <c r="BA204" s="212"/>
      <c r="BB204" s="212"/>
      <c r="BC204" s="212"/>
      <c r="BD204" s="212"/>
      <c r="BE204" s="212"/>
      <c r="BF204" s="212"/>
      <c r="BG204" s="212"/>
      <c r="BH204" s="212"/>
      <c r="BI204" s="212"/>
      <c r="BJ204" s="212"/>
      <c r="BK204" s="212"/>
      <c r="BL204" s="212"/>
      <c r="BM204" s="212"/>
      <c r="BN204" s="212"/>
      <c r="BO204" s="212"/>
      <c r="BP204" s="212"/>
      <c r="BQ204" s="212"/>
      <c r="BR204" s="212"/>
      <c r="BS204" s="212"/>
      <c r="BT204" s="212"/>
      <c r="BU204" s="212"/>
      <c r="BV204" s="212"/>
      <c r="BW204" s="212"/>
      <c r="BX204" s="212"/>
      <c r="BY204" s="212"/>
      <c r="BZ204" s="212"/>
      <c r="CA204" s="212"/>
      <c r="CB204" s="212"/>
      <c r="CC204" s="212"/>
      <c r="CD204" s="212"/>
      <c r="CE204" s="212"/>
      <c r="CF204" s="212"/>
      <c r="CG204" s="212"/>
      <c r="CH204" s="212"/>
      <c r="CI204" s="212"/>
      <c r="CJ204" s="212"/>
      <c r="CK204" s="212"/>
      <c r="CL204" s="212"/>
    </row>
    <row r="205" spans="10:90" ht="24.75" customHeight="1" x14ac:dyDescent="0.75">
      <c r="J205" s="220"/>
      <c r="K205" s="2"/>
      <c r="N205" s="212"/>
      <c r="O205" s="212"/>
      <c r="P205" s="212"/>
      <c r="Q205" s="212"/>
      <c r="R205" s="212"/>
      <c r="S205" s="212"/>
      <c r="T205" s="212"/>
      <c r="U205" s="212"/>
      <c r="V205" s="212"/>
      <c r="W205" s="212"/>
      <c r="X205" s="212"/>
      <c r="Y205" s="212"/>
      <c r="Z205" s="212"/>
      <c r="AA205" s="212"/>
      <c r="AB205" s="212"/>
      <c r="AC205" s="212"/>
      <c r="AD205" s="212"/>
      <c r="AE205" s="212"/>
      <c r="AF205" s="212"/>
      <c r="AG205" s="212"/>
      <c r="AH205" s="212"/>
      <c r="AI205" s="212"/>
      <c r="AJ205" s="212"/>
      <c r="AK205" s="212"/>
      <c r="AL205" s="212"/>
      <c r="AM205" s="212"/>
      <c r="AN205" s="212"/>
      <c r="AO205" s="212"/>
      <c r="AP205" s="212"/>
      <c r="AQ205" s="212"/>
      <c r="AR205" s="212"/>
      <c r="AS205" s="212"/>
      <c r="AT205" s="212"/>
      <c r="AU205" s="212"/>
      <c r="AV205" s="212"/>
      <c r="AW205" s="212"/>
      <c r="AX205" s="212"/>
      <c r="AY205" s="212"/>
      <c r="AZ205" s="212"/>
      <c r="BA205" s="212"/>
      <c r="BB205" s="212"/>
      <c r="BC205" s="212"/>
      <c r="BD205" s="212"/>
      <c r="BE205" s="212"/>
      <c r="BF205" s="212"/>
      <c r="BG205" s="212"/>
      <c r="BH205" s="212"/>
      <c r="BI205" s="212"/>
      <c r="BJ205" s="212"/>
      <c r="BK205" s="212"/>
      <c r="BL205" s="212"/>
      <c r="BM205" s="212"/>
      <c r="BN205" s="212"/>
      <c r="BO205" s="212"/>
      <c r="BP205" s="212"/>
      <c r="BQ205" s="212"/>
      <c r="BR205" s="212"/>
      <c r="BS205" s="212"/>
      <c r="BT205" s="212"/>
      <c r="BU205" s="212"/>
      <c r="BV205" s="212"/>
      <c r="BW205" s="212"/>
      <c r="BX205" s="212"/>
      <c r="BY205" s="212"/>
      <c r="BZ205" s="212"/>
      <c r="CA205" s="212"/>
      <c r="CB205" s="212"/>
      <c r="CC205" s="212"/>
      <c r="CD205" s="212"/>
      <c r="CE205" s="212"/>
      <c r="CF205" s="212"/>
      <c r="CG205" s="212"/>
      <c r="CH205" s="212"/>
      <c r="CI205" s="212"/>
      <c r="CJ205" s="212"/>
      <c r="CK205" s="212"/>
      <c r="CL205" s="212"/>
    </row>
    <row r="206" spans="10:90" ht="24.75" customHeight="1" x14ac:dyDescent="0.75">
      <c r="J206" s="220"/>
      <c r="K206" s="2"/>
      <c r="N206" s="212"/>
      <c r="O206" s="212"/>
      <c r="P206" s="212"/>
      <c r="Q206" s="212"/>
      <c r="R206" s="212"/>
      <c r="S206" s="212"/>
      <c r="T206" s="212"/>
      <c r="U206" s="212"/>
      <c r="V206" s="212"/>
      <c r="W206" s="212"/>
      <c r="X206" s="212"/>
      <c r="Y206" s="212"/>
      <c r="Z206" s="212"/>
      <c r="AA206" s="212"/>
      <c r="AB206" s="212"/>
      <c r="AC206" s="212"/>
      <c r="AD206" s="212"/>
      <c r="AE206" s="212"/>
      <c r="AF206" s="212"/>
      <c r="AG206" s="212"/>
      <c r="AH206" s="212"/>
      <c r="AI206" s="212"/>
      <c r="AJ206" s="212"/>
      <c r="AK206" s="212"/>
      <c r="AL206" s="212"/>
      <c r="AM206" s="212"/>
      <c r="AN206" s="212"/>
      <c r="AO206" s="212"/>
      <c r="AP206" s="212"/>
      <c r="AQ206" s="212"/>
      <c r="AR206" s="212"/>
      <c r="AS206" s="212"/>
      <c r="AT206" s="212"/>
      <c r="AU206" s="212"/>
      <c r="AV206" s="212"/>
      <c r="AW206" s="212"/>
      <c r="AX206" s="212"/>
      <c r="AY206" s="212"/>
      <c r="AZ206" s="212"/>
      <c r="BA206" s="212"/>
      <c r="BB206" s="212"/>
      <c r="BC206" s="212"/>
      <c r="BD206" s="212"/>
      <c r="BE206" s="212"/>
      <c r="BF206" s="212"/>
      <c r="BG206" s="212"/>
      <c r="BH206" s="212"/>
      <c r="BI206" s="212"/>
      <c r="BJ206" s="212"/>
      <c r="BK206" s="212"/>
      <c r="BL206" s="212"/>
      <c r="BM206" s="212"/>
      <c r="BN206" s="212"/>
      <c r="BO206" s="212"/>
      <c r="BP206" s="212"/>
      <c r="BQ206" s="212"/>
      <c r="BR206" s="212"/>
      <c r="BS206" s="212"/>
      <c r="BT206" s="212"/>
      <c r="BU206" s="212"/>
      <c r="BV206" s="212"/>
      <c r="BW206" s="212"/>
      <c r="BX206" s="212"/>
      <c r="BY206" s="212"/>
      <c r="BZ206" s="212"/>
      <c r="CA206" s="212"/>
      <c r="CB206" s="212"/>
      <c r="CC206" s="212"/>
      <c r="CD206" s="212"/>
      <c r="CE206" s="212"/>
      <c r="CF206" s="212"/>
      <c r="CG206" s="212"/>
      <c r="CH206" s="212"/>
      <c r="CI206" s="212"/>
      <c r="CJ206" s="212"/>
      <c r="CK206" s="212"/>
      <c r="CL206" s="212"/>
    </row>
    <row r="207" spans="10:90" ht="24.75" customHeight="1" x14ac:dyDescent="0.75">
      <c r="J207" s="220"/>
      <c r="K207" s="2"/>
      <c r="N207" s="212"/>
      <c r="O207" s="212"/>
      <c r="P207" s="212"/>
      <c r="Q207" s="212"/>
      <c r="R207" s="212"/>
      <c r="S207" s="212"/>
      <c r="T207" s="212"/>
      <c r="U207" s="212"/>
      <c r="V207" s="212"/>
      <c r="W207" s="212"/>
      <c r="X207" s="212"/>
      <c r="Y207" s="212"/>
      <c r="Z207" s="212"/>
      <c r="AA207" s="212"/>
      <c r="AB207" s="212"/>
      <c r="AC207" s="212"/>
      <c r="AD207" s="212"/>
      <c r="AE207" s="212"/>
      <c r="AF207" s="212"/>
      <c r="AG207" s="212"/>
      <c r="AH207" s="212"/>
      <c r="AI207" s="212"/>
      <c r="AJ207" s="212"/>
      <c r="AK207" s="212"/>
      <c r="AL207" s="212"/>
      <c r="AM207" s="212"/>
      <c r="AN207" s="212"/>
      <c r="AO207" s="212"/>
      <c r="AP207" s="212"/>
      <c r="AQ207" s="212"/>
      <c r="AR207" s="212"/>
      <c r="AS207" s="212"/>
      <c r="AT207" s="212"/>
      <c r="AU207" s="212"/>
      <c r="AV207" s="212"/>
      <c r="AW207" s="212"/>
      <c r="AX207" s="212"/>
      <c r="AY207" s="212"/>
      <c r="AZ207" s="212"/>
      <c r="BA207" s="212"/>
      <c r="BB207" s="212"/>
      <c r="BC207" s="212"/>
      <c r="BD207" s="212"/>
      <c r="BE207" s="212"/>
      <c r="BF207" s="212"/>
      <c r="BG207" s="212"/>
      <c r="BH207" s="212"/>
      <c r="BI207" s="212"/>
      <c r="BJ207" s="212"/>
      <c r="BK207" s="212"/>
      <c r="BL207" s="212"/>
      <c r="BM207" s="212"/>
      <c r="BN207" s="212"/>
      <c r="BO207" s="212"/>
      <c r="BP207" s="212"/>
      <c r="BQ207" s="212"/>
      <c r="BR207" s="212"/>
      <c r="BS207" s="212"/>
      <c r="BT207" s="212"/>
      <c r="BU207" s="212"/>
      <c r="BV207" s="212"/>
      <c r="BW207" s="212"/>
      <c r="BX207" s="212"/>
      <c r="BY207" s="212"/>
      <c r="BZ207" s="212"/>
      <c r="CA207" s="212"/>
      <c r="CB207" s="212"/>
      <c r="CC207" s="212"/>
      <c r="CD207" s="212"/>
      <c r="CE207" s="212"/>
      <c r="CF207" s="212"/>
      <c r="CG207" s="212"/>
      <c r="CH207" s="212"/>
      <c r="CI207" s="212"/>
      <c r="CJ207" s="212"/>
      <c r="CK207" s="212"/>
      <c r="CL207" s="212"/>
    </row>
    <row r="208" spans="10:90" ht="24.75" customHeight="1" x14ac:dyDescent="0.75">
      <c r="J208" s="220"/>
      <c r="K208" s="2"/>
      <c r="N208" s="212"/>
      <c r="O208" s="212"/>
      <c r="P208" s="212"/>
      <c r="Q208" s="212"/>
      <c r="R208" s="212"/>
      <c r="S208" s="212"/>
      <c r="T208" s="212"/>
      <c r="U208" s="212"/>
      <c r="V208" s="212"/>
      <c r="W208" s="212"/>
      <c r="X208" s="212"/>
      <c r="Y208" s="212"/>
      <c r="Z208" s="212"/>
      <c r="AA208" s="212"/>
      <c r="AB208" s="212"/>
      <c r="AC208" s="212"/>
      <c r="AD208" s="212"/>
      <c r="AE208" s="212"/>
      <c r="AF208" s="212"/>
      <c r="AG208" s="212"/>
      <c r="AH208" s="212"/>
      <c r="AI208" s="212"/>
      <c r="AJ208" s="212"/>
      <c r="AK208" s="212"/>
      <c r="AL208" s="212"/>
      <c r="AM208" s="212"/>
      <c r="AN208" s="212"/>
      <c r="AO208" s="212"/>
      <c r="AP208" s="212"/>
      <c r="AQ208" s="212"/>
      <c r="AR208" s="212"/>
      <c r="AS208" s="212"/>
      <c r="AT208" s="212"/>
      <c r="AU208" s="212"/>
      <c r="AV208" s="212"/>
      <c r="AW208" s="212"/>
      <c r="AX208" s="212"/>
      <c r="AY208" s="212"/>
      <c r="AZ208" s="212"/>
      <c r="BA208" s="212"/>
      <c r="BB208" s="212"/>
      <c r="BC208" s="212"/>
      <c r="BD208" s="212"/>
      <c r="BE208" s="212"/>
      <c r="BF208" s="212"/>
      <c r="BG208" s="212"/>
      <c r="BH208" s="212"/>
      <c r="BI208" s="212"/>
      <c r="BJ208" s="212"/>
      <c r="BK208" s="212"/>
      <c r="BL208" s="212"/>
      <c r="BM208" s="212"/>
      <c r="BN208" s="212"/>
      <c r="BO208" s="212"/>
      <c r="BP208" s="212"/>
      <c r="BQ208" s="212"/>
      <c r="BR208" s="212"/>
      <c r="BS208" s="212"/>
      <c r="BT208" s="212"/>
      <c r="BU208" s="212"/>
      <c r="BV208" s="212"/>
      <c r="BW208" s="212"/>
      <c r="BX208" s="212"/>
      <c r="BY208" s="212"/>
      <c r="BZ208" s="212"/>
      <c r="CA208" s="212"/>
      <c r="CB208" s="212"/>
      <c r="CC208" s="212"/>
      <c r="CD208" s="212"/>
      <c r="CE208" s="212"/>
      <c r="CF208" s="212"/>
      <c r="CG208" s="212"/>
      <c r="CH208" s="212"/>
      <c r="CI208" s="212"/>
      <c r="CJ208" s="212"/>
      <c r="CK208" s="212"/>
      <c r="CL208" s="212"/>
    </row>
    <row r="209" spans="10:90" ht="24.75" customHeight="1" x14ac:dyDescent="0.75">
      <c r="J209" s="220"/>
      <c r="K209" s="2"/>
      <c r="N209" s="212"/>
      <c r="O209" s="212"/>
      <c r="P209" s="212"/>
      <c r="Q209" s="212"/>
      <c r="R209" s="212"/>
      <c r="S209" s="212"/>
      <c r="T209" s="212"/>
      <c r="U209" s="212"/>
      <c r="V209" s="212"/>
      <c r="W209" s="212"/>
      <c r="X209" s="212"/>
      <c r="Y209" s="212"/>
      <c r="Z209" s="212"/>
      <c r="AA209" s="212"/>
      <c r="AB209" s="212"/>
      <c r="AC209" s="212"/>
      <c r="AD209" s="212"/>
      <c r="AE209" s="212"/>
      <c r="AF209" s="212"/>
      <c r="AG209" s="212"/>
      <c r="AH209" s="212"/>
      <c r="AI209" s="212"/>
      <c r="AJ209" s="212"/>
      <c r="AK209" s="212"/>
      <c r="AL209" s="212"/>
      <c r="AM209" s="212"/>
      <c r="AN209" s="212"/>
      <c r="AO209" s="212"/>
      <c r="AP209" s="212"/>
      <c r="AQ209" s="212"/>
      <c r="AR209" s="212"/>
      <c r="AS209" s="212"/>
      <c r="AT209" s="212"/>
      <c r="AU209" s="212"/>
      <c r="AV209" s="212"/>
      <c r="AW209" s="212"/>
      <c r="AX209" s="212"/>
      <c r="AY209" s="212"/>
      <c r="AZ209" s="212"/>
      <c r="BA209" s="212"/>
      <c r="BB209" s="212"/>
      <c r="BC209" s="212"/>
      <c r="BD209" s="212"/>
      <c r="BE209" s="212"/>
      <c r="BF209" s="212"/>
      <c r="BG209" s="212"/>
      <c r="BH209" s="212"/>
      <c r="BI209" s="212"/>
      <c r="BJ209" s="212"/>
      <c r="BK209" s="212"/>
      <c r="BL209" s="212"/>
      <c r="BM209" s="212"/>
      <c r="BN209" s="212"/>
      <c r="BO209" s="212"/>
      <c r="BP209" s="212"/>
      <c r="BQ209" s="212"/>
      <c r="BR209" s="212"/>
      <c r="BS209" s="212"/>
      <c r="BT209" s="212"/>
      <c r="BU209" s="212"/>
      <c r="BV209" s="212"/>
      <c r="BW209" s="212"/>
      <c r="BX209" s="212"/>
      <c r="BY209" s="212"/>
      <c r="BZ209" s="212"/>
      <c r="CA209" s="212"/>
      <c r="CB209" s="212"/>
      <c r="CC209" s="212"/>
      <c r="CD209" s="212"/>
      <c r="CE209" s="212"/>
      <c r="CF209" s="212"/>
      <c r="CG209" s="212"/>
      <c r="CH209" s="212"/>
      <c r="CI209" s="212"/>
      <c r="CJ209" s="212"/>
      <c r="CK209" s="212"/>
      <c r="CL209" s="212"/>
    </row>
    <row r="210" spans="10:90" ht="24.75" customHeight="1" x14ac:dyDescent="0.75">
      <c r="J210" s="220"/>
      <c r="K210" s="2"/>
      <c r="N210" s="212"/>
      <c r="O210" s="212"/>
      <c r="P210" s="212"/>
      <c r="Q210" s="212"/>
      <c r="R210" s="212"/>
      <c r="S210" s="212"/>
      <c r="T210" s="212"/>
      <c r="U210" s="212"/>
      <c r="V210" s="212"/>
      <c r="W210" s="212"/>
      <c r="X210" s="212"/>
      <c r="Y210" s="212"/>
      <c r="Z210" s="212"/>
      <c r="AA210" s="212"/>
      <c r="AB210" s="212"/>
      <c r="AC210" s="212"/>
      <c r="AD210" s="212"/>
      <c r="AE210" s="212"/>
      <c r="AF210" s="212"/>
      <c r="AG210" s="212"/>
      <c r="AH210" s="212"/>
      <c r="AI210" s="212"/>
      <c r="AJ210" s="212"/>
      <c r="AK210" s="212"/>
      <c r="AL210" s="212"/>
      <c r="AM210" s="212"/>
      <c r="AN210" s="212"/>
      <c r="AO210" s="212"/>
      <c r="AP210" s="212"/>
      <c r="AQ210" s="212"/>
      <c r="AR210" s="212"/>
      <c r="AS210" s="212"/>
      <c r="AT210" s="212"/>
      <c r="AU210" s="212"/>
      <c r="AV210" s="212"/>
      <c r="AW210" s="212"/>
      <c r="AX210" s="212"/>
      <c r="AY210" s="212"/>
      <c r="AZ210" s="212"/>
      <c r="BA210" s="212"/>
      <c r="BB210" s="212"/>
      <c r="BC210" s="212"/>
      <c r="BD210" s="212"/>
      <c r="BE210" s="212"/>
      <c r="BF210" s="212"/>
      <c r="BG210" s="212"/>
      <c r="BH210" s="212"/>
      <c r="BI210" s="212"/>
      <c r="BJ210" s="212"/>
      <c r="BK210" s="212"/>
      <c r="BL210" s="212"/>
      <c r="BM210" s="212"/>
      <c r="BN210" s="212"/>
      <c r="BO210" s="212"/>
      <c r="BP210" s="212"/>
      <c r="BQ210" s="212"/>
      <c r="BR210" s="212"/>
      <c r="BS210" s="212"/>
      <c r="BT210" s="212"/>
      <c r="BU210" s="212"/>
      <c r="BV210" s="212"/>
      <c r="BW210" s="212"/>
      <c r="BX210" s="212"/>
      <c r="BY210" s="212"/>
      <c r="BZ210" s="212"/>
      <c r="CA210" s="212"/>
      <c r="CB210" s="212"/>
      <c r="CC210" s="212"/>
      <c r="CD210" s="212"/>
      <c r="CE210" s="212"/>
      <c r="CF210" s="212"/>
      <c r="CG210" s="212"/>
      <c r="CH210" s="212"/>
      <c r="CI210" s="212"/>
      <c r="CJ210" s="212"/>
      <c r="CK210" s="212"/>
      <c r="CL210" s="212"/>
    </row>
    <row r="211" spans="10:90" ht="24.75" customHeight="1" x14ac:dyDescent="0.75">
      <c r="J211" s="220"/>
      <c r="K211" s="2"/>
      <c r="N211" s="212"/>
      <c r="O211" s="212"/>
      <c r="P211" s="212"/>
      <c r="Q211" s="212"/>
      <c r="R211" s="212"/>
      <c r="S211" s="212"/>
      <c r="T211" s="212"/>
      <c r="U211" s="212"/>
      <c r="V211" s="212"/>
      <c r="W211" s="212"/>
      <c r="X211" s="212"/>
      <c r="Y211" s="212"/>
      <c r="Z211" s="212"/>
      <c r="AA211" s="212"/>
      <c r="AB211" s="212"/>
      <c r="AC211" s="212"/>
      <c r="AD211" s="212"/>
      <c r="AE211" s="212"/>
      <c r="AF211" s="212"/>
      <c r="AG211" s="212"/>
      <c r="AH211" s="212"/>
      <c r="AI211" s="212"/>
      <c r="AJ211" s="212"/>
      <c r="AK211" s="212"/>
      <c r="AL211" s="212"/>
      <c r="AM211" s="212"/>
      <c r="AN211" s="212"/>
      <c r="AO211" s="212"/>
      <c r="AP211" s="212"/>
      <c r="AQ211" s="212"/>
      <c r="AR211" s="212"/>
      <c r="AS211" s="212"/>
      <c r="AT211" s="212"/>
      <c r="AU211" s="212"/>
      <c r="AV211" s="212"/>
      <c r="AW211" s="212"/>
      <c r="AX211" s="212"/>
      <c r="AY211" s="212"/>
      <c r="AZ211" s="212"/>
      <c r="BA211" s="212"/>
      <c r="BB211" s="212"/>
      <c r="BC211" s="212"/>
      <c r="BD211" s="212"/>
      <c r="BE211" s="212"/>
      <c r="BF211" s="212"/>
      <c r="BG211" s="212"/>
      <c r="BH211" s="212"/>
      <c r="BI211" s="212"/>
      <c r="BJ211" s="212"/>
      <c r="BK211" s="212"/>
      <c r="BL211" s="212"/>
      <c r="BM211" s="212"/>
      <c r="BN211" s="212"/>
      <c r="BO211" s="212"/>
      <c r="BP211" s="212"/>
      <c r="BQ211" s="212"/>
      <c r="BR211" s="212"/>
      <c r="BS211" s="212"/>
      <c r="BT211" s="212"/>
      <c r="BU211" s="212"/>
      <c r="BV211" s="212"/>
      <c r="BW211" s="212"/>
      <c r="BX211" s="212"/>
      <c r="BY211" s="212"/>
      <c r="BZ211" s="212"/>
      <c r="CA211" s="212"/>
      <c r="CB211" s="212"/>
      <c r="CC211" s="212"/>
      <c r="CD211" s="212"/>
      <c r="CE211" s="212"/>
      <c r="CF211" s="212"/>
      <c r="CG211" s="212"/>
      <c r="CH211" s="212"/>
      <c r="CI211" s="212"/>
      <c r="CJ211" s="212"/>
      <c r="CK211" s="212"/>
      <c r="CL211" s="212"/>
    </row>
    <row r="212" spans="10:90" ht="24.75" customHeight="1" x14ac:dyDescent="0.75">
      <c r="J212" s="220"/>
      <c r="K212" s="2"/>
      <c r="N212" s="212"/>
      <c r="O212" s="212"/>
      <c r="P212" s="212"/>
      <c r="Q212" s="212"/>
      <c r="R212" s="212"/>
      <c r="S212" s="212"/>
      <c r="T212" s="212"/>
      <c r="U212" s="212"/>
      <c r="V212" s="212"/>
      <c r="W212" s="212"/>
      <c r="X212" s="212"/>
      <c r="Y212" s="212"/>
      <c r="Z212" s="212"/>
      <c r="AA212" s="212"/>
      <c r="AB212" s="212"/>
      <c r="AC212" s="212"/>
      <c r="AD212" s="212"/>
      <c r="AE212" s="212"/>
      <c r="AF212" s="212"/>
      <c r="AG212" s="212"/>
      <c r="AH212" s="212"/>
      <c r="AI212" s="212"/>
      <c r="AJ212" s="212"/>
      <c r="AK212" s="212"/>
      <c r="AL212" s="212"/>
      <c r="AM212" s="212"/>
      <c r="AN212" s="212"/>
      <c r="AO212" s="212"/>
      <c r="AP212" s="212"/>
      <c r="AQ212" s="212"/>
      <c r="AR212" s="212"/>
      <c r="AS212" s="212"/>
      <c r="AT212" s="212"/>
      <c r="AU212" s="212"/>
      <c r="AV212" s="212"/>
      <c r="AW212" s="212"/>
      <c r="AX212" s="212"/>
      <c r="AY212" s="212"/>
      <c r="AZ212" s="212"/>
      <c r="BA212" s="212"/>
      <c r="BB212" s="212"/>
      <c r="BC212" s="212"/>
      <c r="BD212" s="212"/>
      <c r="BE212" s="212"/>
      <c r="BF212" s="212"/>
      <c r="BG212" s="212"/>
      <c r="BH212" s="212"/>
      <c r="BI212" s="212"/>
      <c r="BJ212" s="212"/>
      <c r="BK212" s="212"/>
      <c r="BL212" s="212"/>
      <c r="BM212" s="212"/>
      <c r="BN212" s="212"/>
      <c r="BO212" s="212"/>
      <c r="BP212" s="212"/>
      <c r="BQ212" s="212"/>
      <c r="BR212" s="212"/>
      <c r="BS212" s="212"/>
      <c r="BT212" s="212"/>
      <c r="BU212" s="212"/>
      <c r="BV212" s="212"/>
      <c r="BW212" s="212"/>
      <c r="BX212" s="212"/>
      <c r="BY212" s="212"/>
      <c r="BZ212" s="212"/>
      <c r="CA212" s="212"/>
      <c r="CB212" s="212"/>
      <c r="CC212" s="212"/>
      <c r="CD212" s="212"/>
      <c r="CE212" s="212"/>
      <c r="CF212" s="212"/>
      <c r="CG212" s="212"/>
      <c r="CH212" s="212"/>
      <c r="CI212" s="212"/>
      <c r="CJ212" s="212"/>
      <c r="CK212" s="212"/>
      <c r="CL212" s="212"/>
    </row>
    <row r="213" spans="10:90" ht="24.75" customHeight="1" x14ac:dyDescent="0.75">
      <c r="J213" s="220"/>
      <c r="K213" s="2"/>
      <c r="N213" s="212"/>
      <c r="O213" s="212"/>
      <c r="P213" s="212"/>
      <c r="Q213" s="212"/>
      <c r="R213" s="212"/>
      <c r="S213" s="212"/>
      <c r="T213" s="212"/>
      <c r="U213" s="212"/>
      <c r="V213" s="212"/>
      <c r="W213" s="212"/>
      <c r="X213" s="212"/>
      <c r="Y213" s="212"/>
      <c r="Z213" s="212"/>
      <c r="AA213" s="212"/>
      <c r="AB213" s="212"/>
      <c r="AC213" s="212"/>
      <c r="AD213" s="212"/>
      <c r="AE213" s="212"/>
      <c r="AF213" s="212"/>
      <c r="AG213" s="212"/>
      <c r="AH213" s="212"/>
      <c r="AI213" s="212"/>
      <c r="AJ213" s="212"/>
      <c r="AK213" s="212"/>
      <c r="AL213" s="212"/>
      <c r="AM213" s="212"/>
      <c r="AN213" s="212"/>
      <c r="AO213" s="212"/>
      <c r="AP213" s="212"/>
      <c r="AQ213" s="212"/>
      <c r="AR213" s="212"/>
      <c r="AS213" s="212"/>
      <c r="AT213" s="212"/>
      <c r="AU213" s="212"/>
      <c r="AV213" s="212"/>
      <c r="AW213" s="212"/>
      <c r="AX213" s="212"/>
      <c r="AY213" s="212"/>
      <c r="AZ213" s="212"/>
      <c r="BA213" s="212"/>
      <c r="BB213" s="212"/>
      <c r="BC213" s="212"/>
      <c r="BD213" s="212"/>
      <c r="BE213" s="212"/>
      <c r="BF213" s="212"/>
      <c r="BG213" s="212"/>
      <c r="BH213" s="212"/>
      <c r="BI213" s="212"/>
      <c r="BJ213" s="212"/>
      <c r="BK213" s="212"/>
      <c r="BL213" s="212"/>
      <c r="BM213" s="212"/>
      <c r="BN213" s="212"/>
      <c r="BO213" s="212"/>
      <c r="BP213" s="212"/>
      <c r="BQ213" s="212"/>
      <c r="BR213" s="212"/>
      <c r="BS213" s="212"/>
      <c r="BT213" s="212"/>
      <c r="BU213" s="212"/>
      <c r="BV213" s="212"/>
      <c r="BW213" s="212"/>
      <c r="BX213" s="212"/>
      <c r="BY213" s="212"/>
      <c r="BZ213" s="212"/>
      <c r="CA213" s="212"/>
      <c r="CB213" s="212"/>
      <c r="CC213" s="212"/>
      <c r="CD213" s="212"/>
      <c r="CE213" s="212"/>
      <c r="CF213" s="212"/>
      <c r="CG213" s="212"/>
      <c r="CH213" s="212"/>
      <c r="CI213" s="212"/>
      <c r="CJ213" s="212"/>
      <c r="CK213" s="212"/>
      <c r="CL213" s="212"/>
    </row>
    <row r="214" spans="10:90" ht="24.75" customHeight="1" x14ac:dyDescent="0.75">
      <c r="J214" s="220"/>
      <c r="K214" s="2"/>
      <c r="N214" s="212"/>
      <c r="O214" s="212"/>
      <c r="P214" s="212"/>
      <c r="Q214" s="212"/>
      <c r="R214" s="212"/>
      <c r="S214" s="212"/>
      <c r="T214" s="212"/>
      <c r="U214" s="212"/>
      <c r="V214" s="212"/>
      <c r="W214" s="212"/>
      <c r="X214" s="212"/>
      <c r="Y214" s="212"/>
      <c r="Z214" s="212"/>
      <c r="AA214" s="212"/>
      <c r="AB214" s="212"/>
      <c r="AC214" s="212"/>
      <c r="AD214" s="212"/>
      <c r="AE214" s="212"/>
      <c r="AF214" s="212"/>
      <c r="AG214" s="212"/>
      <c r="AH214" s="212"/>
      <c r="AI214" s="212"/>
      <c r="AJ214" s="212"/>
      <c r="AK214" s="212"/>
      <c r="AL214" s="212"/>
      <c r="AM214" s="212"/>
      <c r="AN214" s="212"/>
      <c r="AO214" s="212"/>
      <c r="AP214" s="212"/>
      <c r="AQ214" s="212"/>
      <c r="AR214" s="212"/>
      <c r="AS214" s="212"/>
      <c r="AT214" s="212"/>
      <c r="AU214" s="212"/>
      <c r="AV214" s="212"/>
      <c r="AW214" s="212"/>
      <c r="AX214" s="212"/>
      <c r="AY214" s="212"/>
      <c r="AZ214" s="212"/>
      <c r="BA214" s="212"/>
      <c r="BB214" s="212"/>
      <c r="BC214" s="212"/>
      <c r="BD214" s="212"/>
      <c r="BE214" s="212"/>
      <c r="BF214" s="212"/>
      <c r="BG214" s="212"/>
      <c r="BH214" s="212"/>
      <c r="BI214" s="212"/>
      <c r="BJ214" s="212"/>
      <c r="BK214" s="212"/>
      <c r="BL214" s="212"/>
      <c r="BM214" s="212"/>
      <c r="BN214" s="212"/>
      <c r="BO214" s="212"/>
      <c r="BP214" s="212"/>
      <c r="BQ214" s="212"/>
      <c r="BR214" s="212"/>
      <c r="BS214" s="212"/>
      <c r="BT214" s="212"/>
      <c r="BU214" s="212"/>
      <c r="BV214" s="212"/>
      <c r="BW214" s="212"/>
      <c r="BX214" s="212"/>
      <c r="BY214" s="212"/>
      <c r="BZ214" s="212"/>
      <c r="CA214" s="212"/>
      <c r="CB214" s="212"/>
      <c r="CC214" s="212"/>
      <c r="CD214" s="212"/>
      <c r="CE214" s="212"/>
      <c r="CF214" s="212"/>
      <c r="CG214" s="212"/>
      <c r="CH214" s="212"/>
      <c r="CI214" s="212"/>
      <c r="CJ214" s="212"/>
      <c r="CK214" s="212"/>
      <c r="CL214" s="212"/>
    </row>
    <row r="215" spans="10:90" ht="24.75" customHeight="1" x14ac:dyDescent="0.75">
      <c r="J215" s="220"/>
      <c r="K215" s="2"/>
      <c r="N215" s="212"/>
      <c r="O215" s="212"/>
      <c r="P215" s="212"/>
      <c r="Q215" s="212"/>
      <c r="R215" s="212"/>
      <c r="S215" s="212"/>
      <c r="T215" s="212"/>
      <c r="U215" s="212"/>
      <c r="V215" s="212"/>
      <c r="W215" s="212"/>
      <c r="X215" s="212"/>
      <c r="Y215" s="212"/>
      <c r="Z215" s="212"/>
      <c r="AA215" s="212"/>
      <c r="AB215" s="212"/>
      <c r="AC215" s="212"/>
      <c r="AD215" s="212"/>
      <c r="AE215" s="212"/>
      <c r="AF215" s="212"/>
      <c r="AG215" s="212"/>
      <c r="AH215" s="212"/>
      <c r="AI215" s="212"/>
      <c r="AJ215" s="212"/>
      <c r="AK215" s="212"/>
      <c r="AL215" s="212"/>
      <c r="AM215" s="212"/>
      <c r="AN215" s="212"/>
      <c r="AO215" s="212"/>
      <c r="AP215" s="212"/>
      <c r="AQ215" s="212"/>
      <c r="AR215" s="212"/>
      <c r="AS215" s="212"/>
      <c r="AT215" s="212"/>
      <c r="AU215" s="212"/>
      <c r="AV215" s="212"/>
      <c r="AW215" s="212"/>
      <c r="AX215" s="212"/>
      <c r="AY215" s="212"/>
      <c r="AZ215" s="212"/>
      <c r="BA215" s="212"/>
      <c r="BB215" s="212"/>
      <c r="BC215" s="212"/>
      <c r="BD215" s="212"/>
      <c r="BE215" s="212"/>
      <c r="BF215" s="212"/>
      <c r="BG215" s="212"/>
      <c r="BH215" s="212"/>
      <c r="BI215" s="212"/>
      <c r="BJ215" s="212"/>
      <c r="BK215" s="212"/>
      <c r="BL215" s="212"/>
      <c r="BM215" s="212"/>
      <c r="BN215" s="212"/>
      <c r="BO215" s="212"/>
      <c r="BP215" s="212"/>
      <c r="BQ215" s="212"/>
      <c r="BR215" s="212"/>
      <c r="BS215" s="212"/>
      <c r="BT215" s="212"/>
      <c r="BU215" s="212"/>
      <c r="BV215" s="212"/>
      <c r="BW215" s="212"/>
      <c r="BX215" s="212"/>
      <c r="BY215" s="212"/>
      <c r="BZ215" s="212"/>
      <c r="CA215" s="212"/>
      <c r="CB215" s="212"/>
      <c r="CC215" s="212"/>
      <c r="CD215" s="212"/>
      <c r="CE215" s="212"/>
      <c r="CF215" s="212"/>
      <c r="CG215" s="212"/>
      <c r="CH215" s="212"/>
      <c r="CI215" s="212"/>
      <c r="CJ215" s="212"/>
      <c r="CK215" s="212"/>
      <c r="CL215" s="212"/>
    </row>
    <row r="216" spans="10:90" ht="24.75" customHeight="1" x14ac:dyDescent="0.75">
      <c r="J216" s="220"/>
      <c r="K216" s="2"/>
      <c r="N216" s="212"/>
      <c r="O216" s="212"/>
      <c r="P216" s="212"/>
      <c r="Q216" s="212"/>
      <c r="R216" s="212"/>
      <c r="S216" s="212"/>
      <c r="T216" s="212"/>
      <c r="U216" s="212"/>
      <c r="V216" s="212"/>
      <c r="W216" s="212"/>
      <c r="X216" s="212"/>
      <c r="Y216" s="212"/>
      <c r="Z216" s="212"/>
      <c r="AA216" s="212"/>
      <c r="AB216" s="212"/>
      <c r="AC216" s="212"/>
      <c r="AD216" s="212"/>
      <c r="AE216" s="212"/>
      <c r="AF216" s="212"/>
      <c r="AG216" s="212"/>
      <c r="AH216" s="212"/>
      <c r="AI216" s="212"/>
      <c r="AJ216" s="212"/>
      <c r="AK216" s="212"/>
      <c r="AL216" s="212"/>
      <c r="AM216" s="212"/>
      <c r="AN216" s="212"/>
      <c r="AO216" s="212"/>
      <c r="AP216" s="212"/>
      <c r="AQ216" s="212"/>
      <c r="AR216" s="212"/>
      <c r="AS216" s="212"/>
      <c r="AT216" s="212"/>
      <c r="AU216" s="212"/>
      <c r="AV216" s="212"/>
      <c r="AW216" s="212"/>
      <c r="AX216" s="212"/>
      <c r="AY216" s="212"/>
      <c r="AZ216" s="212"/>
      <c r="BA216" s="212"/>
      <c r="BB216" s="212"/>
      <c r="BC216" s="212"/>
      <c r="BD216" s="212"/>
      <c r="BE216" s="212"/>
      <c r="BF216" s="212"/>
      <c r="BG216" s="212"/>
      <c r="BH216" s="212"/>
      <c r="BI216" s="212"/>
      <c r="BJ216" s="212"/>
      <c r="BK216" s="212"/>
      <c r="BL216" s="212"/>
      <c r="BM216" s="212"/>
      <c r="BN216" s="212"/>
      <c r="BO216" s="212"/>
      <c r="BP216" s="212"/>
      <c r="BQ216" s="212"/>
      <c r="BR216" s="212"/>
      <c r="BS216" s="212"/>
      <c r="BT216" s="212"/>
      <c r="BU216" s="212"/>
      <c r="BV216" s="212"/>
      <c r="BW216" s="212"/>
      <c r="BX216" s="212"/>
      <c r="BY216" s="212"/>
      <c r="BZ216" s="212"/>
      <c r="CA216" s="212"/>
      <c r="CB216" s="212"/>
      <c r="CC216" s="212"/>
      <c r="CD216" s="212"/>
      <c r="CE216" s="212"/>
      <c r="CF216" s="212"/>
      <c r="CG216" s="212"/>
      <c r="CH216" s="212"/>
      <c r="CI216" s="212"/>
      <c r="CJ216" s="212"/>
      <c r="CK216" s="212"/>
      <c r="CL216" s="212"/>
    </row>
    <row r="217" spans="10:90" ht="24.75" customHeight="1" x14ac:dyDescent="0.75">
      <c r="J217" s="220"/>
      <c r="K217" s="2"/>
      <c r="N217" s="212"/>
      <c r="O217" s="212"/>
      <c r="P217" s="212"/>
      <c r="Q217" s="212"/>
      <c r="R217" s="212"/>
      <c r="S217" s="212"/>
      <c r="T217" s="212"/>
      <c r="U217" s="212"/>
      <c r="V217" s="212"/>
      <c r="W217" s="212"/>
      <c r="X217" s="212"/>
      <c r="Y217" s="212"/>
      <c r="Z217" s="212"/>
      <c r="AA217" s="212"/>
      <c r="AB217" s="212"/>
      <c r="AC217" s="212"/>
      <c r="AD217" s="212"/>
      <c r="AE217" s="212"/>
      <c r="AF217" s="212"/>
      <c r="AG217" s="212"/>
      <c r="AH217" s="212"/>
      <c r="AI217" s="212"/>
      <c r="AJ217" s="212"/>
      <c r="AK217" s="212"/>
      <c r="AL217" s="212"/>
      <c r="AM217" s="212"/>
      <c r="AN217" s="212"/>
      <c r="AO217" s="212"/>
      <c r="AP217" s="212"/>
      <c r="AQ217" s="212"/>
      <c r="AR217" s="212"/>
      <c r="AS217" s="212"/>
      <c r="AT217" s="212"/>
      <c r="AU217" s="212"/>
      <c r="AV217" s="212"/>
      <c r="AW217" s="212"/>
      <c r="AX217" s="212"/>
      <c r="AY217" s="212"/>
      <c r="AZ217" s="212"/>
      <c r="BA217" s="212"/>
      <c r="BB217" s="212"/>
      <c r="BC217" s="212"/>
      <c r="BD217" s="212"/>
      <c r="BE217" s="212"/>
      <c r="BF217" s="212"/>
      <c r="BG217" s="212"/>
      <c r="BH217" s="212"/>
      <c r="BI217" s="212"/>
      <c r="BJ217" s="212"/>
      <c r="BK217" s="212"/>
      <c r="BL217" s="212"/>
      <c r="BM217" s="212"/>
      <c r="BN217" s="212"/>
      <c r="BO217" s="212"/>
      <c r="BP217" s="212"/>
      <c r="BQ217" s="212"/>
      <c r="BR217" s="212"/>
      <c r="BS217" s="212"/>
      <c r="BT217" s="212"/>
      <c r="BU217" s="212"/>
      <c r="BV217" s="212"/>
      <c r="BW217" s="212"/>
      <c r="BX217" s="212"/>
      <c r="BY217" s="212"/>
      <c r="BZ217" s="212"/>
      <c r="CA217" s="212"/>
      <c r="CB217" s="212"/>
      <c r="CC217" s="212"/>
      <c r="CD217" s="212"/>
      <c r="CE217" s="212"/>
      <c r="CF217" s="212"/>
      <c r="CG217" s="212"/>
      <c r="CH217" s="212"/>
      <c r="CI217" s="212"/>
      <c r="CJ217" s="212"/>
      <c r="CK217" s="212"/>
      <c r="CL217" s="212"/>
    </row>
    <row r="218" spans="10:90" ht="24.75" customHeight="1" x14ac:dyDescent="0.75">
      <c r="J218" s="220"/>
      <c r="K218" s="2"/>
      <c r="N218" s="212"/>
      <c r="O218" s="212"/>
      <c r="P218" s="212"/>
      <c r="Q218" s="212"/>
      <c r="R218" s="212"/>
      <c r="S218" s="212"/>
      <c r="T218" s="212"/>
      <c r="U218" s="212"/>
      <c r="V218" s="212"/>
      <c r="W218" s="212"/>
      <c r="X218" s="212"/>
      <c r="Y218" s="212"/>
      <c r="Z218" s="212"/>
      <c r="AA218" s="212"/>
      <c r="AB218" s="212"/>
      <c r="AC218" s="212"/>
      <c r="AD218" s="212"/>
      <c r="AE218" s="212"/>
      <c r="AF218" s="212"/>
      <c r="AG218" s="212"/>
      <c r="AH218" s="212"/>
      <c r="AI218" s="212"/>
      <c r="AJ218" s="212"/>
      <c r="AK218" s="212"/>
      <c r="AL218" s="212"/>
      <c r="AM218" s="212"/>
      <c r="AN218" s="212"/>
      <c r="AO218" s="212"/>
      <c r="AP218" s="212"/>
      <c r="AQ218" s="212"/>
      <c r="AR218" s="212"/>
      <c r="AS218" s="212"/>
      <c r="AT218" s="212"/>
      <c r="AU218" s="212"/>
      <c r="AV218" s="212"/>
      <c r="AW218" s="212"/>
      <c r="AX218" s="212"/>
      <c r="AY218" s="212"/>
      <c r="AZ218" s="212"/>
      <c r="BA218" s="212"/>
      <c r="BB218" s="212"/>
      <c r="BC218" s="212"/>
      <c r="BD218" s="212"/>
      <c r="BE218" s="212"/>
      <c r="BF218" s="212"/>
      <c r="BG218" s="212"/>
      <c r="BH218" s="212"/>
      <c r="BI218" s="212"/>
      <c r="BJ218" s="212"/>
      <c r="BK218" s="212"/>
      <c r="BL218" s="212"/>
      <c r="BM218" s="212"/>
      <c r="BN218" s="212"/>
      <c r="BO218" s="212"/>
      <c r="BP218" s="212"/>
      <c r="BQ218" s="212"/>
      <c r="BR218" s="212"/>
      <c r="BS218" s="212"/>
      <c r="BT218" s="212"/>
      <c r="BU218" s="212"/>
      <c r="BV218" s="212"/>
      <c r="BW218" s="212"/>
      <c r="BX218" s="212"/>
      <c r="BY218" s="212"/>
      <c r="BZ218" s="212"/>
      <c r="CA218" s="212"/>
      <c r="CB218" s="212"/>
      <c r="CC218" s="212"/>
      <c r="CD218" s="212"/>
      <c r="CE218" s="212"/>
      <c r="CF218" s="212"/>
      <c r="CG218" s="212"/>
      <c r="CH218" s="212"/>
      <c r="CI218" s="212"/>
      <c r="CJ218" s="212"/>
      <c r="CK218" s="212"/>
      <c r="CL218" s="212"/>
    </row>
    <row r="219" spans="10:90" ht="24.75" customHeight="1" x14ac:dyDescent="0.75">
      <c r="J219" s="220"/>
      <c r="K219" s="2"/>
      <c r="N219" s="212"/>
      <c r="O219" s="212"/>
      <c r="P219" s="212"/>
      <c r="Q219" s="212"/>
      <c r="R219" s="212"/>
      <c r="S219" s="212"/>
      <c r="T219" s="212"/>
      <c r="U219" s="212"/>
      <c r="V219" s="212"/>
      <c r="W219" s="212"/>
      <c r="X219" s="212"/>
      <c r="Y219" s="212"/>
      <c r="Z219" s="212"/>
      <c r="AA219" s="212"/>
      <c r="AB219" s="212"/>
      <c r="AC219" s="212"/>
      <c r="AD219" s="212"/>
      <c r="AE219" s="212"/>
      <c r="AF219" s="212"/>
      <c r="AG219" s="212"/>
      <c r="AH219" s="212"/>
      <c r="AI219" s="212"/>
      <c r="AJ219" s="212"/>
      <c r="AK219" s="212"/>
      <c r="AL219" s="212"/>
      <c r="AM219" s="212"/>
      <c r="AN219" s="212"/>
      <c r="AO219" s="212"/>
      <c r="AP219" s="212"/>
      <c r="AQ219" s="212"/>
      <c r="AR219" s="212"/>
      <c r="AS219" s="212"/>
      <c r="AT219" s="212"/>
      <c r="AU219" s="212"/>
      <c r="AV219" s="212"/>
      <c r="AW219" s="212"/>
      <c r="AX219" s="212"/>
      <c r="AY219" s="212"/>
      <c r="AZ219" s="212"/>
      <c r="BA219" s="212"/>
      <c r="BB219" s="212"/>
      <c r="BC219" s="212"/>
      <c r="BD219" s="212"/>
      <c r="BE219" s="212"/>
      <c r="BF219" s="212"/>
      <c r="BG219" s="212"/>
      <c r="BH219" s="212"/>
      <c r="BI219" s="212"/>
      <c r="BJ219" s="212"/>
      <c r="BK219" s="212"/>
      <c r="BL219" s="212"/>
      <c r="BM219" s="212"/>
      <c r="BN219" s="212"/>
      <c r="BO219" s="212"/>
      <c r="BP219" s="212"/>
      <c r="BQ219" s="212"/>
      <c r="BR219" s="212"/>
      <c r="BS219" s="212"/>
      <c r="BT219" s="212"/>
      <c r="BU219" s="212"/>
      <c r="BV219" s="212"/>
      <c r="BW219" s="212"/>
      <c r="BX219" s="212"/>
      <c r="BY219" s="212"/>
      <c r="BZ219" s="212"/>
      <c r="CA219" s="212"/>
      <c r="CB219" s="212"/>
      <c r="CC219" s="212"/>
      <c r="CD219" s="212"/>
      <c r="CE219" s="212"/>
      <c r="CF219" s="212"/>
      <c r="CG219" s="212"/>
      <c r="CH219" s="212"/>
      <c r="CI219" s="212"/>
      <c r="CJ219" s="212"/>
      <c r="CK219" s="212"/>
      <c r="CL219" s="212"/>
    </row>
    <row r="220" spans="10:90" ht="24.75" customHeight="1" x14ac:dyDescent="0.75">
      <c r="J220" s="220"/>
      <c r="K220" s="2"/>
      <c r="N220" s="212"/>
      <c r="O220" s="212"/>
      <c r="P220" s="212"/>
      <c r="Q220" s="212"/>
      <c r="R220" s="212"/>
      <c r="S220" s="212"/>
      <c r="T220" s="212"/>
      <c r="U220" s="212"/>
      <c r="V220" s="212"/>
      <c r="W220" s="212"/>
      <c r="X220" s="212"/>
      <c r="Y220" s="212"/>
      <c r="Z220" s="212"/>
      <c r="AA220" s="212"/>
      <c r="AB220" s="212"/>
      <c r="AC220" s="212"/>
      <c r="AD220" s="212"/>
      <c r="AE220" s="212"/>
      <c r="AF220" s="212"/>
      <c r="AG220" s="212"/>
      <c r="AH220" s="212"/>
      <c r="AI220" s="212"/>
      <c r="AJ220" s="212"/>
      <c r="AK220" s="212"/>
      <c r="AL220" s="212"/>
      <c r="AM220" s="212"/>
      <c r="AN220" s="212"/>
      <c r="AO220" s="212"/>
      <c r="AP220" s="212"/>
      <c r="AQ220" s="212"/>
      <c r="AR220" s="212"/>
      <c r="AS220" s="212"/>
      <c r="AT220" s="212"/>
      <c r="AU220" s="212"/>
      <c r="AV220" s="212"/>
      <c r="AW220" s="212"/>
      <c r="AX220" s="212"/>
      <c r="AY220" s="212"/>
      <c r="AZ220" s="212"/>
      <c r="BA220" s="212"/>
      <c r="BB220" s="212"/>
      <c r="BC220" s="212"/>
      <c r="BD220" s="212"/>
      <c r="BE220" s="212"/>
      <c r="BF220" s="212"/>
      <c r="BG220" s="212"/>
      <c r="BH220" s="212"/>
      <c r="BI220" s="212"/>
      <c r="BJ220" s="212"/>
      <c r="BK220" s="212"/>
      <c r="BL220" s="212"/>
      <c r="BM220" s="212"/>
      <c r="BN220" s="212"/>
      <c r="BO220" s="212"/>
      <c r="BP220" s="212"/>
      <c r="BQ220" s="212"/>
      <c r="BR220" s="212"/>
      <c r="BS220" s="212"/>
      <c r="BT220" s="212"/>
      <c r="BU220" s="212"/>
      <c r="BV220" s="212"/>
      <c r="BW220" s="212"/>
      <c r="BX220" s="212"/>
      <c r="BY220" s="212"/>
      <c r="BZ220" s="212"/>
      <c r="CA220" s="212"/>
      <c r="CB220" s="212"/>
      <c r="CC220" s="212"/>
      <c r="CD220" s="212"/>
      <c r="CE220" s="212"/>
      <c r="CF220" s="212"/>
      <c r="CG220" s="212"/>
      <c r="CH220" s="212"/>
      <c r="CI220" s="212"/>
      <c r="CJ220" s="212"/>
      <c r="CK220" s="212"/>
      <c r="CL220" s="212"/>
    </row>
    <row r="221" spans="10:90" ht="24.75" customHeight="1" x14ac:dyDescent="0.75">
      <c r="J221" s="220"/>
      <c r="K221" s="2"/>
      <c r="N221" s="212"/>
      <c r="O221" s="212"/>
      <c r="P221" s="212"/>
      <c r="Q221" s="212"/>
      <c r="R221" s="212"/>
      <c r="S221" s="212"/>
      <c r="T221" s="212"/>
      <c r="U221" s="212"/>
      <c r="V221" s="212"/>
      <c r="W221" s="212"/>
      <c r="X221" s="212"/>
      <c r="Y221" s="212"/>
      <c r="Z221" s="212"/>
      <c r="AA221" s="212"/>
      <c r="AB221" s="212"/>
      <c r="AC221" s="212"/>
      <c r="AD221" s="212"/>
      <c r="AE221" s="212"/>
      <c r="AF221" s="212"/>
      <c r="AG221" s="212"/>
      <c r="AH221" s="212"/>
      <c r="AI221" s="212"/>
      <c r="AJ221" s="212"/>
      <c r="AK221" s="212"/>
      <c r="AL221" s="212"/>
      <c r="AM221" s="212"/>
      <c r="AN221" s="212"/>
      <c r="AO221" s="212"/>
      <c r="AP221" s="212"/>
      <c r="AQ221" s="212"/>
      <c r="AR221" s="212"/>
      <c r="AS221" s="212"/>
      <c r="AT221" s="212"/>
      <c r="AU221" s="212"/>
      <c r="AV221" s="212"/>
      <c r="AW221" s="212"/>
      <c r="AX221" s="212"/>
      <c r="AY221" s="212"/>
      <c r="AZ221" s="212"/>
      <c r="BA221" s="212"/>
      <c r="BB221" s="212"/>
      <c r="BC221" s="212"/>
      <c r="BD221" s="212"/>
      <c r="BE221" s="212"/>
      <c r="BF221" s="212"/>
      <c r="BG221" s="212"/>
      <c r="BH221" s="212"/>
      <c r="BI221" s="212"/>
      <c r="BJ221" s="212"/>
      <c r="BK221" s="212"/>
      <c r="BL221" s="212"/>
      <c r="BM221" s="212"/>
      <c r="BN221" s="212"/>
      <c r="BO221" s="212"/>
      <c r="BP221" s="212"/>
      <c r="BQ221" s="212"/>
      <c r="BR221" s="212"/>
      <c r="BS221" s="212"/>
      <c r="BT221" s="212"/>
      <c r="BU221" s="212"/>
      <c r="BV221" s="212"/>
      <c r="BW221" s="212"/>
      <c r="BX221" s="212"/>
      <c r="BY221" s="212"/>
      <c r="BZ221" s="212"/>
      <c r="CA221" s="212"/>
      <c r="CB221" s="212"/>
      <c r="CC221" s="212"/>
      <c r="CD221" s="212"/>
      <c r="CE221" s="212"/>
      <c r="CF221" s="212"/>
      <c r="CG221" s="212"/>
      <c r="CH221" s="212"/>
      <c r="CI221" s="212"/>
      <c r="CJ221" s="212"/>
      <c r="CK221" s="212"/>
      <c r="CL221" s="212"/>
    </row>
    <row r="222" spans="10:90" ht="24.75" customHeight="1" x14ac:dyDescent="0.75">
      <c r="J222" s="220"/>
      <c r="K222" s="2"/>
      <c r="N222" s="212"/>
      <c r="O222" s="212"/>
      <c r="P222" s="212"/>
      <c r="Q222" s="212"/>
      <c r="R222" s="212"/>
      <c r="S222" s="212"/>
      <c r="T222" s="212"/>
      <c r="U222" s="212"/>
      <c r="V222" s="212"/>
      <c r="W222" s="212"/>
      <c r="X222" s="212"/>
      <c r="Y222" s="212"/>
      <c r="Z222" s="212"/>
      <c r="AA222" s="212"/>
      <c r="AB222" s="212"/>
      <c r="AC222" s="212"/>
      <c r="AD222" s="212"/>
      <c r="AE222" s="212"/>
      <c r="AF222" s="212"/>
      <c r="AG222" s="212"/>
      <c r="AH222" s="212"/>
      <c r="AI222" s="212"/>
      <c r="AJ222" s="212"/>
      <c r="AK222" s="212"/>
      <c r="AL222" s="212"/>
      <c r="AM222" s="212"/>
      <c r="AN222" s="212"/>
      <c r="AO222" s="212"/>
      <c r="AP222" s="212"/>
      <c r="AQ222" s="212"/>
      <c r="AR222" s="212"/>
      <c r="AS222" s="212"/>
      <c r="AT222" s="212"/>
      <c r="AU222" s="212"/>
      <c r="AV222" s="212"/>
      <c r="AW222" s="212"/>
      <c r="AX222" s="212"/>
      <c r="AY222" s="212"/>
      <c r="AZ222" s="212"/>
      <c r="BA222" s="212"/>
      <c r="BB222" s="212"/>
      <c r="BC222" s="212"/>
      <c r="BD222" s="212"/>
      <c r="BE222" s="212"/>
      <c r="BF222" s="212"/>
      <c r="BG222" s="212"/>
      <c r="BH222" s="212"/>
      <c r="BI222" s="212"/>
      <c r="BJ222" s="212"/>
      <c r="BK222" s="212"/>
      <c r="BL222" s="212"/>
      <c r="BM222" s="212"/>
      <c r="BN222" s="212"/>
      <c r="BO222" s="212"/>
      <c r="BP222" s="212"/>
      <c r="BQ222" s="212"/>
      <c r="BR222" s="212"/>
      <c r="BS222" s="212"/>
      <c r="BT222" s="212"/>
      <c r="BU222" s="212"/>
      <c r="BV222" s="212"/>
      <c r="BW222" s="212"/>
      <c r="BX222" s="212"/>
      <c r="BY222" s="212"/>
      <c r="BZ222" s="212"/>
      <c r="CA222" s="212"/>
      <c r="CB222" s="212"/>
      <c r="CC222" s="212"/>
      <c r="CD222" s="212"/>
      <c r="CE222" s="212"/>
      <c r="CF222" s="212"/>
      <c r="CG222" s="212"/>
      <c r="CH222" s="212"/>
      <c r="CI222" s="212"/>
      <c r="CJ222" s="212"/>
      <c r="CK222" s="212"/>
      <c r="CL222" s="212"/>
    </row>
    <row r="223" spans="10:90" ht="24.75" customHeight="1" x14ac:dyDescent="0.75">
      <c r="J223" s="220"/>
      <c r="K223" s="2"/>
      <c r="N223" s="212"/>
      <c r="O223" s="212"/>
      <c r="P223" s="212"/>
      <c r="Q223" s="212"/>
      <c r="R223" s="212"/>
      <c r="S223" s="212"/>
      <c r="T223" s="212"/>
      <c r="U223" s="212"/>
      <c r="V223" s="212"/>
      <c r="W223" s="212"/>
      <c r="X223" s="212"/>
      <c r="Y223" s="212"/>
      <c r="Z223" s="212"/>
      <c r="AA223" s="212"/>
      <c r="AB223" s="212"/>
      <c r="AC223" s="212"/>
      <c r="AD223" s="212"/>
      <c r="AE223" s="212"/>
      <c r="AF223" s="212"/>
      <c r="AG223" s="212"/>
      <c r="AH223" s="212"/>
      <c r="AI223" s="212"/>
      <c r="AJ223" s="212"/>
      <c r="AK223" s="212"/>
      <c r="AL223" s="212"/>
      <c r="AM223" s="212"/>
      <c r="AN223" s="212"/>
      <c r="AO223" s="212"/>
      <c r="AP223" s="212"/>
      <c r="AQ223" s="212"/>
      <c r="AR223" s="212"/>
      <c r="AS223" s="212"/>
      <c r="AT223" s="212"/>
      <c r="AU223" s="212"/>
      <c r="AV223" s="212"/>
      <c r="AW223" s="212"/>
      <c r="AX223" s="212"/>
      <c r="AY223" s="212"/>
      <c r="AZ223" s="212"/>
      <c r="BA223" s="212"/>
      <c r="BB223" s="212"/>
      <c r="BC223" s="212"/>
      <c r="BD223" s="212"/>
      <c r="BE223" s="212"/>
      <c r="BF223" s="212"/>
      <c r="BG223" s="212"/>
      <c r="BH223" s="212"/>
      <c r="BI223" s="212"/>
      <c r="BJ223" s="212"/>
      <c r="BK223" s="212"/>
      <c r="BL223" s="212"/>
      <c r="BM223" s="212"/>
      <c r="BN223" s="212"/>
      <c r="BO223" s="212"/>
      <c r="BP223" s="212"/>
      <c r="BQ223" s="212"/>
      <c r="BR223" s="212"/>
      <c r="BS223" s="212"/>
      <c r="BT223" s="212"/>
      <c r="BU223" s="212"/>
      <c r="BV223" s="212"/>
      <c r="BW223" s="212"/>
      <c r="BX223" s="212"/>
      <c r="BY223" s="212"/>
      <c r="BZ223" s="212"/>
      <c r="CA223" s="212"/>
      <c r="CB223" s="212"/>
      <c r="CC223" s="212"/>
      <c r="CD223" s="212"/>
      <c r="CE223" s="212"/>
      <c r="CF223" s="212"/>
      <c r="CG223" s="212"/>
      <c r="CH223" s="212"/>
      <c r="CI223" s="212"/>
      <c r="CJ223" s="212"/>
      <c r="CK223" s="212"/>
      <c r="CL223" s="212"/>
    </row>
    <row r="224" spans="10:90" ht="24.75" customHeight="1" x14ac:dyDescent="0.75">
      <c r="J224" s="220"/>
      <c r="K224" s="2"/>
      <c r="N224" s="212"/>
      <c r="O224" s="212"/>
      <c r="P224" s="212"/>
      <c r="Q224" s="212"/>
      <c r="R224" s="212"/>
      <c r="S224" s="212"/>
      <c r="T224" s="212"/>
      <c r="U224" s="212"/>
      <c r="V224" s="212"/>
      <c r="W224" s="212"/>
      <c r="X224" s="212"/>
      <c r="Y224" s="212"/>
      <c r="Z224" s="212"/>
      <c r="AA224" s="212"/>
      <c r="AB224" s="212"/>
      <c r="AC224" s="212"/>
      <c r="AD224" s="212"/>
      <c r="AE224" s="212"/>
      <c r="AF224" s="212"/>
      <c r="AG224" s="212"/>
      <c r="AH224" s="212"/>
      <c r="AI224" s="212"/>
      <c r="AJ224" s="212"/>
      <c r="AK224" s="212"/>
      <c r="AL224" s="212"/>
      <c r="AM224" s="212"/>
      <c r="AN224" s="212"/>
      <c r="AO224" s="212"/>
      <c r="AP224" s="212"/>
      <c r="AQ224" s="212"/>
      <c r="AR224" s="212"/>
      <c r="AS224" s="212"/>
      <c r="AT224" s="212"/>
      <c r="AU224" s="212"/>
      <c r="AV224" s="212"/>
      <c r="AW224" s="212"/>
      <c r="AX224" s="212"/>
      <c r="AY224" s="212"/>
      <c r="AZ224" s="212"/>
      <c r="BA224" s="212"/>
      <c r="BB224" s="212"/>
      <c r="BC224" s="212"/>
      <c r="BD224" s="212"/>
      <c r="BE224" s="212"/>
      <c r="BF224" s="212"/>
      <c r="BG224" s="212"/>
      <c r="BH224" s="212"/>
      <c r="BI224" s="212"/>
      <c r="BJ224" s="212"/>
      <c r="BK224" s="212"/>
      <c r="BL224" s="212"/>
      <c r="BM224" s="212"/>
      <c r="BN224" s="212"/>
      <c r="BO224" s="212"/>
      <c r="BP224" s="212"/>
      <c r="BQ224" s="212"/>
      <c r="BR224" s="212"/>
      <c r="BS224" s="212"/>
      <c r="BT224" s="212"/>
      <c r="BU224" s="212"/>
      <c r="BV224" s="212"/>
      <c r="BW224" s="212"/>
      <c r="BX224" s="212"/>
      <c r="BY224" s="212"/>
      <c r="BZ224" s="212"/>
      <c r="CA224" s="212"/>
      <c r="CB224" s="212"/>
      <c r="CC224" s="212"/>
      <c r="CD224" s="212"/>
      <c r="CE224" s="212"/>
      <c r="CF224" s="212"/>
      <c r="CG224" s="212"/>
      <c r="CH224" s="212"/>
      <c r="CI224" s="212"/>
      <c r="CJ224" s="212"/>
      <c r="CK224" s="212"/>
      <c r="CL224" s="212"/>
    </row>
    <row r="225" spans="10:90" ht="24.75" customHeight="1" x14ac:dyDescent="0.75">
      <c r="J225" s="220"/>
      <c r="K225" s="2"/>
      <c r="N225" s="212"/>
      <c r="O225" s="212"/>
      <c r="P225" s="212"/>
      <c r="Q225" s="212"/>
      <c r="R225" s="212"/>
      <c r="S225" s="212"/>
      <c r="T225" s="212"/>
      <c r="U225" s="212"/>
      <c r="V225" s="212"/>
      <c r="W225" s="212"/>
      <c r="X225" s="212"/>
      <c r="Y225" s="212"/>
      <c r="Z225" s="212"/>
      <c r="AA225" s="212"/>
      <c r="AB225" s="212"/>
      <c r="AC225" s="212"/>
      <c r="AD225" s="212"/>
      <c r="AE225" s="212"/>
      <c r="AF225" s="212"/>
      <c r="AG225" s="212"/>
      <c r="AH225" s="212"/>
      <c r="AI225" s="212"/>
      <c r="AJ225" s="212"/>
      <c r="AK225" s="212"/>
      <c r="AL225" s="212"/>
      <c r="AM225" s="212"/>
      <c r="AN225" s="212"/>
      <c r="AO225" s="212"/>
      <c r="AP225" s="212"/>
      <c r="AQ225" s="212"/>
      <c r="AR225" s="212"/>
      <c r="AS225" s="212"/>
      <c r="AT225" s="212"/>
      <c r="AU225" s="212"/>
      <c r="AV225" s="212"/>
      <c r="AW225" s="212"/>
      <c r="AX225" s="212"/>
      <c r="AY225" s="212"/>
      <c r="AZ225" s="212"/>
      <c r="BA225" s="212"/>
      <c r="BB225" s="212"/>
      <c r="BC225" s="212"/>
      <c r="BD225" s="212"/>
      <c r="BE225" s="212"/>
      <c r="BF225" s="212"/>
      <c r="BG225" s="212"/>
      <c r="BH225" s="212"/>
      <c r="BI225" s="212"/>
      <c r="BJ225" s="212"/>
      <c r="BK225" s="212"/>
      <c r="BL225" s="212"/>
      <c r="BM225" s="212"/>
      <c r="BN225" s="212"/>
      <c r="BO225" s="212"/>
      <c r="BP225" s="212"/>
      <c r="BQ225" s="212"/>
      <c r="BR225" s="212"/>
      <c r="BS225" s="212"/>
      <c r="BT225" s="212"/>
      <c r="BU225" s="212"/>
      <c r="BV225" s="212"/>
      <c r="BW225" s="212"/>
      <c r="BX225" s="212"/>
      <c r="BY225" s="212"/>
      <c r="BZ225" s="212"/>
      <c r="CA225" s="212"/>
      <c r="CB225" s="212"/>
      <c r="CC225" s="212"/>
      <c r="CD225" s="212"/>
      <c r="CE225" s="212"/>
      <c r="CF225" s="212"/>
      <c r="CG225" s="212"/>
      <c r="CH225" s="212"/>
      <c r="CI225" s="212"/>
      <c r="CJ225" s="212"/>
      <c r="CK225" s="212"/>
      <c r="CL225" s="212"/>
    </row>
    <row r="226" spans="10:90" ht="24.75" customHeight="1" x14ac:dyDescent="0.75">
      <c r="J226" s="220"/>
      <c r="K226" s="2"/>
      <c r="N226" s="212"/>
      <c r="O226" s="212"/>
      <c r="P226" s="212"/>
      <c r="Q226" s="212"/>
      <c r="R226" s="212"/>
      <c r="S226" s="212"/>
      <c r="T226" s="212"/>
      <c r="U226" s="212"/>
      <c r="V226" s="212"/>
      <c r="W226" s="212"/>
      <c r="X226" s="212"/>
      <c r="Y226" s="212"/>
      <c r="Z226" s="212"/>
      <c r="AA226" s="212"/>
      <c r="AB226" s="212"/>
      <c r="AC226" s="212"/>
      <c r="AD226" s="212"/>
      <c r="AE226" s="212"/>
      <c r="AF226" s="212"/>
      <c r="AG226" s="212"/>
      <c r="AH226" s="212"/>
      <c r="AI226" s="212"/>
      <c r="AJ226" s="212"/>
      <c r="AK226" s="212"/>
      <c r="AL226" s="212"/>
      <c r="AM226" s="212"/>
      <c r="AN226" s="212"/>
      <c r="AO226" s="212"/>
      <c r="AP226" s="212"/>
      <c r="AQ226" s="212"/>
      <c r="AR226" s="212"/>
      <c r="AS226" s="212"/>
      <c r="AT226" s="212"/>
      <c r="AU226" s="212"/>
      <c r="AV226" s="212"/>
      <c r="AW226" s="212"/>
      <c r="AX226" s="212"/>
      <c r="AY226" s="212"/>
      <c r="AZ226" s="212"/>
      <c r="BA226" s="212"/>
      <c r="BB226" s="212"/>
      <c r="BC226" s="212"/>
      <c r="BD226" s="212"/>
      <c r="BE226" s="212"/>
      <c r="BF226" s="212"/>
      <c r="BG226" s="212"/>
      <c r="BH226" s="212"/>
      <c r="BI226" s="212"/>
      <c r="BJ226" s="212"/>
      <c r="BK226" s="212"/>
      <c r="BL226" s="212"/>
      <c r="BM226" s="212"/>
      <c r="BN226" s="212"/>
      <c r="BO226" s="212"/>
      <c r="BP226" s="212"/>
      <c r="BQ226" s="212"/>
      <c r="BR226" s="212"/>
      <c r="BS226" s="212"/>
      <c r="BT226" s="212"/>
      <c r="BU226" s="212"/>
      <c r="BV226" s="212"/>
      <c r="BW226" s="212"/>
      <c r="BX226" s="212"/>
      <c r="BY226" s="212"/>
      <c r="BZ226" s="212"/>
      <c r="CA226" s="212"/>
      <c r="CB226" s="212"/>
      <c r="CC226" s="212"/>
      <c r="CD226" s="212"/>
      <c r="CE226" s="212"/>
      <c r="CF226" s="212"/>
      <c r="CG226" s="212"/>
      <c r="CH226" s="212"/>
      <c r="CI226" s="212"/>
      <c r="CJ226" s="212"/>
      <c r="CK226" s="212"/>
      <c r="CL226" s="212"/>
    </row>
    <row r="227" spans="10:90" ht="24.75" customHeight="1" x14ac:dyDescent="0.75">
      <c r="J227" s="220"/>
      <c r="K227" s="2"/>
      <c r="N227" s="212"/>
      <c r="O227" s="212"/>
      <c r="P227" s="212"/>
      <c r="Q227" s="212"/>
      <c r="R227" s="212"/>
      <c r="S227" s="212"/>
      <c r="T227" s="212"/>
      <c r="U227" s="212"/>
      <c r="V227" s="212"/>
      <c r="W227" s="212"/>
      <c r="X227" s="212"/>
      <c r="Y227" s="212"/>
      <c r="Z227" s="212"/>
      <c r="AA227" s="212"/>
      <c r="AB227" s="212"/>
      <c r="AC227" s="212"/>
      <c r="AD227" s="212"/>
      <c r="AE227" s="212"/>
      <c r="AF227" s="212"/>
      <c r="AG227" s="212"/>
      <c r="AH227" s="212"/>
      <c r="AI227" s="212"/>
      <c r="AJ227" s="212"/>
      <c r="AK227" s="212"/>
      <c r="AL227" s="212"/>
      <c r="AM227" s="212"/>
      <c r="AN227" s="212"/>
      <c r="AO227" s="212"/>
      <c r="AP227" s="212"/>
      <c r="AQ227" s="212"/>
      <c r="AR227" s="212"/>
      <c r="AS227" s="212"/>
      <c r="AT227" s="212"/>
      <c r="AU227" s="212"/>
      <c r="AV227" s="212"/>
      <c r="AW227" s="212"/>
      <c r="AX227" s="212"/>
      <c r="AY227" s="212"/>
      <c r="AZ227" s="212"/>
      <c r="BA227" s="212"/>
      <c r="BB227" s="212"/>
      <c r="BC227" s="212"/>
      <c r="BD227" s="212"/>
      <c r="BE227" s="212"/>
      <c r="BF227" s="212"/>
      <c r="BG227" s="212"/>
      <c r="BH227" s="212"/>
      <c r="BI227" s="212"/>
      <c r="BJ227" s="212"/>
      <c r="BK227" s="212"/>
      <c r="BL227" s="212"/>
      <c r="BM227" s="212"/>
      <c r="BN227" s="212"/>
      <c r="BO227" s="212"/>
      <c r="BP227" s="212"/>
      <c r="BQ227" s="212"/>
      <c r="BR227" s="212"/>
      <c r="BS227" s="212"/>
      <c r="BT227" s="212"/>
      <c r="BU227" s="212"/>
      <c r="BV227" s="212"/>
      <c r="BW227" s="212"/>
      <c r="BX227" s="212"/>
      <c r="BY227" s="212"/>
      <c r="BZ227" s="212"/>
      <c r="CA227" s="212"/>
      <c r="CB227" s="212"/>
      <c r="CC227" s="212"/>
      <c r="CD227" s="212"/>
      <c r="CE227" s="212"/>
      <c r="CF227" s="212"/>
      <c r="CG227" s="212"/>
      <c r="CH227" s="212"/>
      <c r="CI227" s="212"/>
      <c r="CJ227" s="212"/>
      <c r="CK227" s="212"/>
      <c r="CL227" s="212"/>
    </row>
    <row r="228" spans="10:90" ht="24.75" customHeight="1" x14ac:dyDescent="0.75">
      <c r="J228" s="220"/>
      <c r="K228" s="2"/>
      <c r="N228" s="212"/>
      <c r="O228" s="212"/>
      <c r="P228" s="212"/>
      <c r="Q228" s="212"/>
      <c r="R228" s="212"/>
      <c r="S228" s="212"/>
      <c r="T228" s="212"/>
      <c r="U228" s="212"/>
      <c r="V228" s="212"/>
      <c r="W228" s="212"/>
      <c r="X228" s="212"/>
      <c r="Y228" s="212"/>
      <c r="Z228" s="212"/>
      <c r="AA228" s="212"/>
      <c r="AB228" s="212"/>
      <c r="AC228" s="212"/>
      <c r="AD228" s="212"/>
      <c r="AE228" s="212"/>
      <c r="AF228" s="212"/>
      <c r="AG228" s="212"/>
      <c r="AH228" s="212"/>
      <c r="AI228" s="212"/>
      <c r="AJ228" s="212"/>
      <c r="AK228" s="212"/>
      <c r="AL228" s="212"/>
      <c r="AM228" s="212"/>
      <c r="AN228" s="212"/>
      <c r="AO228" s="212"/>
      <c r="AP228" s="212"/>
      <c r="AQ228" s="212"/>
      <c r="AR228" s="212"/>
      <c r="AS228" s="212"/>
      <c r="AT228" s="212"/>
      <c r="AU228" s="212"/>
      <c r="AV228" s="212"/>
      <c r="AW228" s="212"/>
      <c r="AX228" s="212"/>
      <c r="AY228" s="212"/>
      <c r="AZ228" s="212"/>
      <c r="BA228" s="212"/>
      <c r="BB228" s="212"/>
      <c r="BC228" s="212"/>
      <c r="BD228" s="212"/>
      <c r="BE228" s="212"/>
      <c r="BF228" s="212"/>
      <c r="BG228" s="212"/>
      <c r="BH228" s="212"/>
      <c r="BI228" s="212"/>
      <c r="BJ228" s="212"/>
      <c r="BK228" s="212"/>
      <c r="BL228" s="212"/>
      <c r="BM228" s="212"/>
      <c r="BN228" s="212"/>
      <c r="BO228" s="212"/>
      <c r="BP228" s="212"/>
      <c r="BQ228" s="212"/>
      <c r="BR228" s="212"/>
      <c r="BS228" s="212"/>
      <c r="BT228" s="212"/>
      <c r="BU228" s="212"/>
      <c r="BV228" s="212"/>
      <c r="BW228" s="212"/>
      <c r="BX228" s="212"/>
      <c r="BY228" s="212"/>
      <c r="BZ228" s="212"/>
      <c r="CA228" s="212"/>
      <c r="CB228" s="212"/>
      <c r="CC228" s="212"/>
      <c r="CD228" s="212"/>
      <c r="CE228" s="212"/>
      <c r="CF228" s="212"/>
      <c r="CG228" s="212"/>
      <c r="CH228" s="212"/>
      <c r="CI228" s="212"/>
      <c r="CJ228" s="212"/>
      <c r="CK228" s="212"/>
      <c r="CL228" s="212"/>
    </row>
    <row r="229" spans="10:90" ht="24.75" customHeight="1" x14ac:dyDescent="0.75">
      <c r="J229" s="220"/>
      <c r="K229" s="2"/>
      <c r="N229" s="212"/>
      <c r="O229" s="212"/>
      <c r="P229" s="212"/>
      <c r="Q229" s="212"/>
      <c r="R229" s="212"/>
      <c r="S229" s="212"/>
      <c r="T229" s="212"/>
      <c r="U229" s="212"/>
      <c r="V229" s="212"/>
      <c r="W229" s="212"/>
      <c r="X229" s="212"/>
      <c r="Y229" s="212"/>
      <c r="Z229" s="212"/>
      <c r="AA229" s="212"/>
      <c r="AB229" s="212"/>
      <c r="AC229" s="212"/>
      <c r="AD229" s="212"/>
      <c r="AE229" s="212"/>
      <c r="AF229" s="212"/>
      <c r="AG229" s="212"/>
      <c r="AH229" s="212"/>
      <c r="AI229" s="212"/>
      <c r="AJ229" s="212"/>
      <c r="AK229" s="212"/>
      <c r="AL229" s="212"/>
      <c r="AM229" s="212"/>
      <c r="AN229" s="212"/>
      <c r="AO229" s="212"/>
      <c r="AP229" s="212"/>
      <c r="AQ229" s="212"/>
      <c r="AR229" s="212"/>
      <c r="AS229" s="212"/>
      <c r="AT229" s="212"/>
      <c r="AU229" s="212"/>
      <c r="AV229" s="212"/>
      <c r="AW229" s="212"/>
      <c r="AX229" s="212"/>
      <c r="AY229" s="212"/>
      <c r="AZ229" s="212"/>
      <c r="BA229" s="212"/>
      <c r="BB229" s="212"/>
      <c r="BC229" s="212"/>
      <c r="BD229" s="212"/>
      <c r="BE229" s="212"/>
      <c r="BF229" s="212"/>
      <c r="BG229" s="212"/>
      <c r="BH229" s="212"/>
      <c r="BI229" s="212"/>
      <c r="BJ229" s="212"/>
      <c r="BK229" s="212"/>
      <c r="BL229" s="212"/>
      <c r="BM229" s="212"/>
      <c r="BN229" s="212"/>
      <c r="BO229" s="212"/>
      <c r="BP229" s="212"/>
      <c r="BQ229" s="212"/>
      <c r="BR229" s="212"/>
      <c r="BS229" s="212"/>
      <c r="BT229" s="212"/>
      <c r="BU229" s="212"/>
      <c r="BV229" s="212"/>
      <c r="BW229" s="212"/>
      <c r="BX229" s="212"/>
      <c r="BY229" s="212"/>
      <c r="BZ229" s="212"/>
      <c r="CA229" s="212"/>
      <c r="CB229" s="212"/>
      <c r="CC229" s="212"/>
      <c r="CD229" s="212"/>
      <c r="CE229" s="212"/>
      <c r="CF229" s="212"/>
      <c r="CG229" s="212"/>
      <c r="CH229" s="212"/>
      <c r="CI229" s="212"/>
      <c r="CJ229" s="212"/>
      <c r="CK229" s="212"/>
      <c r="CL229" s="212"/>
    </row>
    <row r="230" spans="10:90" ht="24.75" customHeight="1" x14ac:dyDescent="0.75">
      <c r="J230" s="220"/>
      <c r="K230" s="2"/>
      <c r="N230" s="212"/>
      <c r="O230" s="212"/>
      <c r="P230" s="212"/>
      <c r="Q230" s="212"/>
      <c r="R230" s="212"/>
      <c r="S230" s="212"/>
      <c r="T230" s="212"/>
      <c r="U230" s="212"/>
      <c r="V230" s="212"/>
      <c r="W230" s="212"/>
      <c r="X230" s="212"/>
      <c r="Y230" s="212"/>
      <c r="Z230" s="212"/>
      <c r="AA230" s="212"/>
      <c r="AB230" s="212"/>
      <c r="AC230" s="212"/>
      <c r="AD230" s="212"/>
      <c r="AE230" s="212"/>
      <c r="AF230" s="212"/>
      <c r="AG230" s="212"/>
      <c r="AH230" s="212"/>
      <c r="AI230" s="212"/>
      <c r="AJ230" s="212"/>
      <c r="AK230" s="212"/>
      <c r="AL230" s="212"/>
      <c r="AM230" s="212"/>
      <c r="AN230" s="212"/>
      <c r="AO230" s="212"/>
      <c r="AP230" s="212"/>
      <c r="AQ230" s="212"/>
      <c r="AR230" s="212"/>
      <c r="AS230" s="212"/>
      <c r="AT230" s="212"/>
      <c r="AU230" s="212"/>
      <c r="AV230" s="212"/>
      <c r="AW230" s="212"/>
      <c r="AX230" s="212"/>
      <c r="AY230" s="212"/>
      <c r="AZ230" s="212"/>
      <c r="BA230" s="212"/>
      <c r="BB230" s="212"/>
      <c r="BC230" s="212"/>
      <c r="BD230" s="212"/>
      <c r="BE230" s="212"/>
      <c r="BF230" s="212"/>
      <c r="BG230" s="212"/>
      <c r="BH230" s="212"/>
      <c r="BI230" s="212"/>
      <c r="BJ230" s="212"/>
      <c r="BK230" s="212"/>
      <c r="BL230" s="212"/>
      <c r="BM230" s="212"/>
      <c r="BN230" s="212"/>
      <c r="BO230" s="212"/>
      <c r="BP230" s="212"/>
      <c r="BQ230" s="212"/>
      <c r="BR230" s="212"/>
      <c r="BS230" s="212"/>
      <c r="BT230" s="212"/>
      <c r="BU230" s="212"/>
      <c r="BV230" s="212"/>
      <c r="BW230" s="212"/>
      <c r="BX230" s="212"/>
      <c r="BY230" s="212"/>
      <c r="BZ230" s="212"/>
      <c r="CA230" s="212"/>
      <c r="CB230" s="212"/>
      <c r="CC230" s="212"/>
      <c r="CD230" s="212"/>
      <c r="CE230" s="212"/>
      <c r="CF230" s="212"/>
      <c r="CG230" s="212"/>
      <c r="CH230" s="212"/>
      <c r="CI230" s="212"/>
      <c r="CJ230" s="212"/>
      <c r="CK230" s="212"/>
      <c r="CL230" s="212"/>
    </row>
    <row r="231" spans="10:90" ht="24.75" customHeight="1" x14ac:dyDescent="0.75">
      <c r="J231" s="220"/>
      <c r="K231" s="2"/>
      <c r="N231" s="212"/>
      <c r="O231" s="212"/>
      <c r="P231" s="212"/>
      <c r="Q231" s="212"/>
      <c r="R231" s="212"/>
      <c r="S231" s="212"/>
      <c r="T231" s="212"/>
      <c r="U231" s="212"/>
      <c r="V231" s="212"/>
      <c r="W231" s="212"/>
      <c r="X231" s="212"/>
      <c r="Y231" s="212"/>
      <c r="Z231" s="212"/>
      <c r="AA231" s="212"/>
      <c r="AB231" s="212"/>
      <c r="AC231" s="212"/>
      <c r="AD231" s="212"/>
      <c r="AE231" s="212"/>
      <c r="AF231" s="212"/>
      <c r="AG231" s="212"/>
      <c r="AH231" s="212"/>
      <c r="AI231" s="212"/>
      <c r="AJ231" s="212"/>
      <c r="AK231" s="212"/>
      <c r="AL231" s="212"/>
      <c r="AM231" s="212"/>
      <c r="AN231" s="212"/>
      <c r="AO231" s="212"/>
      <c r="AP231" s="212"/>
      <c r="AQ231" s="212"/>
      <c r="AR231" s="212"/>
      <c r="AS231" s="212"/>
      <c r="AT231" s="212"/>
      <c r="AU231" s="212"/>
      <c r="AV231" s="212"/>
      <c r="AW231" s="212"/>
      <c r="AX231" s="212"/>
      <c r="AY231" s="212"/>
      <c r="AZ231" s="212"/>
      <c r="BA231" s="212"/>
      <c r="BB231" s="212"/>
      <c r="BC231" s="212"/>
      <c r="BD231" s="212"/>
      <c r="BE231" s="212"/>
      <c r="BF231" s="212"/>
      <c r="BG231" s="212"/>
      <c r="BH231" s="212"/>
      <c r="BI231" s="212"/>
      <c r="BJ231" s="212"/>
      <c r="BK231" s="212"/>
      <c r="BL231" s="212"/>
      <c r="BM231" s="212"/>
      <c r="BN231" s="212"/>
      <c r="BO231" s="212"/>
      <c r="BP231" s="212"/>
      <c r="BQ231" s="212"/>
      <c r="BR231" s="212"/>
      <c r="BS231" s="212"/>
      <c r="BT231" s="212"/>
      <c r="BU231" s="212"/>
      <c r="BV231" s="212"/>
      <c r="BW231" s="212"/>
      <c r="BX231" s="212"/>
      <c r="BY231" s="212"/>
      <c r="BZ231" s="212"/>
      <c r="CA231" s="212"/>
      <c r="CB231" s="212"/>
      <c r="CC231" s="212"/>
      <c r="CD231" s="212"/>
      <c r="CE231" s="212"/>
      <c r="CF231" s="212"/>
      <c r="CG231" s="212"/>
      <c r="CH231" s="212"/>
      <c r="CI231" s="212"/>
      <c r="CJ231" s="212"/>
      <c r="CK231" s="212"/>
      <c r="CL231" s="212"/>
    </row>
    <row r="232" spans="10:90" ht="24.75" customHeight="1" x14ac:dyDescent="0.75">
      <c r="J232" s="220"/>
      <c r="K232" s="2"/>
      <c r="N232" s="212"/>
      <c r="O232" s="212"/>
      <c r="P232" s="212"/>
      <c r="Q232" s="212"/>
      <c r="R232" s="212"/>
      <c r="S232" s="212"/>
      <c r="T232" s="212"/>
      <c r="U232" s="212"/>
      <c r="V232" s="212"/>
      <c r="W232" s="212"/>
      <c r="X232" s="212"/>
      <c r="Y232" s="212"/>
      <c r="Z232" s="212"/>
      <c r="AA232" s="212"/>
      <c r="AB232" s="212"/>
      <c r="AC232" s="212"/>
      <c r="AD232" s="212"/>
      <c r="AE232" s="212"/>
      <c r="AF232" s="212"/>
      <c r="AG232" s="212"/>
      <c r="AH232" s="212"/>
      <c r="AI232" s="212"/>
      <c r="AJ232" s="212"/>
      <c r="AK232" s="212"/>
      <c r="AL232" s="212"/>
      <c r="AM232" s="212"/>
      <c r="AN232" s="212"/>
      <c r="AO232" s="212"/>
      <c r="AP232" s="212"/>
      <c r="AQ232" s="212"/>
      <c r="AR232" s="212"/>
      <c r="AS232" s="212"/>
      <c r="AT232" s="212"/>
      <c r="AU232" s="212"/>
      <c r="AV232" s="212"/>
      <c r="AW232" s="212"/>
      <c r="AX232" s="212"/>
      <c r="AY232" s="212"/>
      <c r="AZ232" s="212"/>
      <c r="BA232" s="212"/>
      <c r="BB232" s="212"/>
      <c r="BC232" s="212"/>
      <c r="BD232" s="212"/>
      <c r="BE232" s="212"/>
      <c r="BF232" s="212"/>
      <c r="BG232" s="212"/>
      <c r="BH232" s="212"/>
      <c r="BI232" s="212"/>
      <c r="BJ232" s="212"/>
      <c r="BK232" s="212"/>
      <c r="BL232" s="212"/>
      <c r="BM232" s="212"/>
      <c r="BN232" s="212"/>
      <c r="BO232" s="212"/>
      <c r="BP232" s="212"/>
      <c r="BQ232" s="212"/>
      <c r="BR232" s="212"/>
      <c r="BS232" s="212"/>
      <c r="BT232" s="212"/>
      <c r="BU232" s="212"/>
      <c r="BV232" s="212"/>
      <c r="BW232" s="212"/>
      <c r="BX232" s="212"/>
      <c r="BY232" s="212"/>
      <c r="BZ232" s="212"/>
      <c r="CA232" s="212"/>
      <c r="CB232" s="212"/>
      <c r="CC232" s="212"/>
      <c r="CD232" s="212"/>
      <c r="CE232" s="212"/>
      <c r="CF232" s="212"/>
      <c r="CG232" s="212"/>
      <c r="CH232" s="212"/>
      <c r="CI232" s="212"/>
      <c r="CJ232" s="212"/>
      <c r="CK232" s="212"/>
      <c r="CL232" s="212"/>
    </row>
    <row r="233" spans="10:90" ht="24.75" customHeight="1" x14ac:dyDescent="0.75">
      <c r="J233" s="220"/>
      <c r="K233" s="2"/>
      <c r="N233" s="212"/>
      <c r="O233" s="212"/>
      <c r="P233" s="212"/>
      <c r="Q233" s="212"/>
      <c r="R233" s="212"/>
      <c r="S233" s="212"/>
      <c r="T233" s="212"/>
      <c r="U233" s="212"/>
      <c r="V233" s="212"/>
      <c r="W233" s="212"/>
      <c r="X233" s="212"/>
      <c r="Y233" s="212"/>
      <c r="Z233" s="212"/>
      <c r="AA233" s="212"/>
      <c r="AB233" s="212"/>
      <c r="AC233" s="212"/>
      <c r="AD233" s="212"/>
      <c r="AE233" s="212"/>
      <c r="AF233" s="212"/>
      <c r="AG233" s="212"/>
      <c r="AH233" s="212"/>
      <c r="AI233" s="212"/>
      <c r="AJ233" s="212"/>
      <c r="AK233" s="212"/>
      <c r="AL233" s="212"/>
      <c r="AM233" s="212"/>
      <c r="AN233" s="212"/>
      <c r="AO233" s="212"/>
      <c r="AP233" s="212"/>
      <c r="AQ233" s="212"/>
      <c r="AR233" s="212"/>
      <c r="AS233" s="212"/>
      <c r="AT233" s="212"/>
      <c r="AU233" s="212"/>
      <c r="AV233" s="212"/>
      <c r="AW233" s="212"/>
      <c r="AX233" s="212"/>
      <c r="AY233" s="212"/>
      <c r="AZ233" s="212"/>
      <c r="BA233" s="212"/>
      <c r="BB233" s="212"/>
      <c r="BC233" s="212"/>
      <c r="BD233" s="212"/>
      <c r="BE233" s="212"/>
      <c r="BF233" s="212"/>
      <c r="BG233" s="212"/>
      <c r="BH233" s="212"/>
      <c r="BI233" s="212"/>
      <c r="BJ233" s="212"/>
      <c r="BK233" s="212"/>
      <c r="BL233" s="212"/>
      <c r="BM233" s="212"/>
      <c r="BN233" s="212"/>
      <c r="BO233" s="212"/>
      <c r="BP233" s="212"/>
      <c r="BQ233" s="212"/>
      <c r="BR233" s="212"/>
      <c r="BS233" s="212"/>
      <c r="BT233" s="212"/>
      <c r="BU233" s="212"/>
      <c r="BV233" s="212"/>
      <c r="BW233" s="212"/>
      <c r="BX233" s="212"/>
      <c r="BY233" s="212"/>
      <c r="BZ233" s="212"/>
      <c r="CA233" s="212"/>
      <c r="CB233" s="212"/>
      <c r="CC233" s="212"/>
      <c r="CD233" s="212"/>
      <c r="CE233" s="212"/>
      <c r="CF233" s="212"/>
      <c r="CG233" s="212"/>
      <c r="CH233" s="212"/>
      <c r="CI233" s="212"/>
      <c r="CJ233" s="212"/>
      <c r="CK233" s="212"/>
      <c r="CL233" s="212"/>
    </row>
    <row r="234" spans="10:90" ht="24.75" customHeight="1" x14ac:dyDescent="0.75">
      <c r="J234" s="220"/>
      <c r="K234" s="2"/>
      <c r="N234" s="212"/>
      <c r="O234" s="212"/>
      <c r="P234" s="212"/>
      <c r="Q234" s="212"/>
      <c r="R234" s="212"/>
      <c r="S234" s="212"/>
      <c r="T234" s="212"/>
      <c r="U234" s="212"/>
      <c r="V234" s="212"/>
      <c r="W234" s="212"/>
      <c r="X234" s="212"/>
      <c r="Y234" s="212"/>
      <c r="Z234" s="212"/>
      <c r="AA234" s="212"/>
      <c r="AB234" s="212"/>
      <c r="AC234" s="212"/>
      <c r="AD234" s="212"/>
      <c r="AE234" s="212"/>
      <c r="AF234" s="212"/>
      <c r="AG234" s="212"/>
      <c r="AH234" s="212"/>
      <c r="AI234" s="212"/>
      <c r="AJ234" s="212"/>
      <c r="AK234" s="212"/>
      <c r="AL234" s="212"/>
      <c r="AM234" s="212"/>
      <c r="AN234" s="212"/>
      <c r="AO234" s="212"/>
      <c r="AP234" s="212"/>
      <c r="AQ234" s="212"/>
      <c r="AR234" s="212"/>
      <c r="AS234" s="212"/>
      <c r="AT234" s="212"/>
      <c r="AU234" s="212"/>
      <c r="AV234" s="212"/>
      <c r="AW234" s="212"/>
      <c r="AX234" s="212"/>
      <c r="AY234" s="212"/>
      <c r="AZ234" s="212"/>
      <c r="BA234" s="212"/>
      <c r="BB234" s="212"/>
      <c r="BC234" s="212"/>
      <c r="BD234" s="212"/>
      <c r="BE234" s="212"/>
      <c r="BF234" s="212"/>
      <c r="BG234" s="212"/>
      <c r="BH234" s="212"/>
      <c r="BI234" s="212"/>
      <c r="BJ234" s="212"/>
      <c r="BK234" s="212"/>
      <c r="BL234" s="212"/>
      <c r="BM234" s="212"/>
      <c r="BN234" s="212"/>
      <c r="BO234" s="212"/>
      <c r="BP234" s="212"/>
      <c r="BQ234" s="212"/>
      <c r="BR234" s="212"/>
      <c r="BS234" s="212"/>
      <c r="BT234" s="212"/>
      <c r="BU234" s="212"/>
      <c r="BV234" s="212"/>
      <c r="BW234" s="212"/>
      <c r="BX234" s="212"/>
      <c r="BY234" s="212"/>
      <c r="BZ234" s="212"/>
      <c r="CA234" s="212"/>
      <c r="CB234" s="212"/>
      <c r="CC234" s="212"/>
      <c r="CD234" s="212"/>
      <c r="CE234" s="212"/>
      <c r="CF234" s="212"/>
      <c r="CG234" s="212"/>
      <c r="CH234" s="212"/>
      <c r="CI234" s="212"/>
      <c r="CJ234" s="212"/>
      <c r="CK234" s="212"/>
      <c r="CL234" s="212"/>
    </row>
    <row r="235" spans="10:90" ht="24.75" customHeight="1" x14ac:dyDescent="0.75">
      <c r="J235" s="220"/>
      <c r="K235" s="2"/>
      <c r="N235" s="212"/>
      <c r="O235" s="212"/>
      <c r="P235" s="212"/>
      <c r="Q235" s="212"/>
      <c r="R235" s="212"/>
      <c r="S235" s="212"/>
      <c r="T235" s="212"/>
      <c r="U235" s="212"/>
      <c r="V235" s="212"/>
      <c r="W235" s="212"/>
      <c r="X235" s="212"/>
      <c r="Y235" s="212"/>
      <c r="Z235" s="212"/>
      <c r="AA235" s="212"/>
      <c r="AB235" s="212"/>
      <c r="AC235" s="212"/>
      <c r="AD235" s="212"/>
      <c r="AE235" s="212"/>
      <c r="AF235" s="212"/>
      <c r="AG235" s="212"/>
      <c r="AH235" s="212"/>
      <c r="AI235" s="212"/>
      <c r="AJ235" s="212"/>
      <c r="AK235" s="212"/>
      <c r="AL235" s="212"/>
      <c r="AM235" s="212"/>
      <c r="AN235" s="212"/>
      <c r="AO235" s="212"/>
      <c r="AP235" s="212"/>
      <c r="AQ235" s="212"/>
      <c r="AR235" s="212"/>
      <c r="AS235" s="212"/>
      <c r="AT235" s="212"/>
      <c r="AU235" s="212"/>
      <c r="AV235" s="212"/>
      <c r="AW235" s="212"/>
      <c r="AX235" s="212"/>
      <c r="AY235" s="212"/>
      <c r="AZ235" s="212"/>
      <c r="BA235" s="212"/>
      <c r="BB235" s="212"/>
      <c r="BC235" s="212"/>
      <c r="BD235" s="212"/>
      <c r="BE235" s="212"/>
      <c r="BF235" s="212"/>
      <c r="BG235" s="212"/>
      <c r="BH235" s="212"/>
      <c r="BI235" s="212"/>
      <c r="BJ235" s="212"/>
      <c r="BK235" s="212"/>
      <c r="BL235" s="212"/>
      <c r="BM235" s="212"/>
      <c r="BN235" s="212"/>
      <c r="BO235" s="212"/>
      <c r="BP235" s="212"/>
      <c r="BQ235" s="212"/>
      <c r="BR235" s="212"/>
      <c r="BS235" s="212"/>
      <c r="BT235" s="212"/>
      <c r="BU235" s="212"/>
      <c r="BV235" s="212"/>
      <c r="BW235" s="212"/>
      <c r="BX235" s="212"/>
      <c r="BY235" s="212"/>
      <c r="BZ235" s="212"/>
      <c r="CA235" s="212"/>
      <c r="CB235" s="212"/>
      <c r="CC235" s="212"/>
      <c r="CD235" s="212"/>
      <c r="CE235" s="212"/>
      <c r="CF235" s="212"/>
      <c r="CG235" s="212"/>
      <c r="CH235" s="212"/>
      <c r="CI235" s="212"/>
      <c r="CJ235" s="212"/>
      <c r="CK235" s="212"/>
      <c r="CL235" s="212"/>
    </row>
    <row r="236" spans="10:90" ht="24.75" customHeight="1" x14ac:dyDescent="0.75">
      <c r="J236" s="220"/>
      <c r="K236" s="2"/>
      <c r="N236" s="212"/>
      <c r="O236" s="212"/>
      <c r="P236" s="212"/>
      <c r="Q236" s="212"/>
      <c r="R236" s="212"/>
      <c r="S236" s="212"/>
      <c r="T236" s="212"/>
      <c r="U236" s="212"/>
      <c r="V236" s="212"/>
      <c r="W236" s="212"/>
      <c r="X236" s="212"/>
      <c r="Y236" s="212"/>
      <c r="Z236" s="212"/>
      <c r="AA236" s="212"/>
      <c r="AB236" s="212"/>
      <c r="AC236" s="212"/>
      <c r="AD236" s="212"/>
      <c r="AE236" s="212"/>
      <c r="AF236" s="212"/>
      <c r="AG236" s="212"/>
      <c r="AH236" s="212"/>
      <c r="AI236" s="212"/>
      <c r="AJ236" s="212"/>
      <c r="AK236" s="212"/>
      <c r="AL236" s="212"/>
      <c r="AM236" s="212"/>
      <c r="AN236" s="212"/>
      <c r="AO236" s="212"/>
      <c r="AP236" s="212"/>
      <c r="AQ236" s="212"/>
      <c r="AR236" s="212"/>
      <c r="AS236" s="212"/>
      <c r="AT236" s="212"/>
      <c r="AU236" s="212"/>
      <c r="AV236" s="212"/>
      <c r="AW236" s="212"/>
      <c r="AX236" s="212"/>
      <c r="AY236" s="212"/>
      <c r="AZ236" s="212"/>
      <c r="BA236" s="212"/>
      <c r="BB236" s="212"/>
      <c r="BC236" s="212"/>
      <c r="BD236" s="212"/>
      <c r="BE236" s="212"/>
      <c r="BF236" s="212"/>
      <c r="BG236" s="212"/>
      <c r="BH236" s="212"/>
      <c r="BI236" s="212"/>
      <c r="BJ236" s="212"/>
      <c r="BK236" s="212"/>
      <c r="BL236" s="212"/>
      <c r="BM236" s="212"/>
      <c r="BN236" s="212"/>
      <c r="BO236" s="212"/>
      <c r="BP236" s="212"/>
      <c r="BQ236" s="212"/>
      <c r="BR236" s="212"/>
      <c r="BS236" s="212"/>
      <c r="BT236" s="212"/>
      <c r="BU236" s="212"/>
      <c r="BV236" s="212"/>
      <c r="BW236" s="212"/>
      <c r="BX236" s="212"/>
      <c r="BY236" s="212"/>
      <c r="BZ236" s="212"/>
      <c r="CA236" s="212"/>
      <c r="CB236" s="212"/>
      <c r="CC236" s="212"/>
      <c r="CD236" s="212"/>
      <c r="CE236" s="212"/>
      <c r="CF236" s="212"/>
      <c r="CG236" s="212"/>
      <c r="CH236" s="212"/>
      <c r="CI236" s="212"/>
      <c r="CJ236" s="212"/>
      <c r="CK236" s="212"/>
      <c r="CL236" s="212"/>
    </row>
    <row r="237" spans="10:90" ht="24.75" customHeight="1" x14ac:dyDescent="0.75">
      <c r="J237" s="220"/>
      <c r="K237" s="2"/>
      <c r="N237" s="212"/>
      <c r="O237" s="212"/>
      <c r="P237" s="212"/>
      <c r="Q237" s="212"/>
      <c r="R237" s="212"/>
      <c r="S237" s="212"/>
      <c r="T237" s="212"/>
      <c r="U237" s="212"/>
      <c r="V237" s="212"/>
      <c r="W237" s="212"/>
      <c r="X237" s="212"/>
      <c r="Y237" s="212"/>
      <c r="Z237" s="212"/>
      <c r="AA237" s="212"/>
      <c r="AB237" s="212"/>
      <c r="AC237" s="212"/>
      <c r="AD237" s="212"/>
      <c r="AE237" s="212"/>
      <c r="AF237" s="212"/>
      <c r="AG237" s="212"/>
      <c r="AH237" s="212"/>
      <c r="AI237" s="212"/>
      <c r="AJ237" s="212"/>
      <c r="AK237" s="212"/>
      <c r="AL237" s="212"/>
      <c r="AM237" s="212"/>
      <c r="AN237" s="212"/>
      <c r="AO237" s="212"/>
      <c r="AP237" s="212"/>
      <c r="AQ237" s="212"/>
      <c r="AR237" s="212"/>
      <c r="AS237" s="212"/>
      <c r="AT237" s="212"/>
      <c r="AU237" s="212"/>
      <c r="AV237" s="212"/>
      <c r="AW237" s="212"/>
      <c r="AX237" s="212"/>
      <c r="AY237" s="212"/>
      <c r="AZ237" s="212"/>
      <c r="BA237" s="212"/>
      <c r="BB237" s="212"/>
      <c r="BC237" s="212"/>
      <c r="BD237" s="212"/>
      <c r="BE237" s="212"/>
      <c r="BF237" s="212"/>
      <c r="BG237" s="212"/>
      <c r="BH237" s="212"/>
      <c r="BI237" s="212"/>
      <c r="BJ237" s="212"/>
      <c r="BK237" s="212"/>
      <c r="BL237" s="212"/>
      <c r="BM237" s="212"/>
      <c r="BN237" s="212"/>
      <c r="BO237" s="212"/>
      <c r="BP237" s="212"/>
      <c r="BQ237" s="212"/>
      <c r="BR237" s="212"/>
      <c r="BS237" s="212"/>
      <c r="BT237" s="212"/>
      <c r="BU237" s="212"/>
      <c r="BV237" s="212"/>
      <c r="BW237" s="212"/>
      <c r="BX237" s="212"/>
      <c r="BY237" s="212"/>
      <c r="BZ237" s="212"/>
      <c r="CA237" s="212"/>
      <c r="CB237" s="212"/>
      <c r="CC237" s="212"/>
      <c r="CD237" s="212"/>
      <c r="CE237" s="212"/>
      <c r="CF237" s="212"/>
      <c r="CG237" s="212"/>
      <c r="CH237" s="212"/>
      <c r="CI237" s="212"/>
      <c r="CJ237" s="212"/>
      <c r="CK237" s="212"/>
      <c r="CL237" s="212"/>
    </row>
    <row r="238" spans="10:90" ht="24.75" customHeight="1" x14ac:dyDescent="0.75">
      <c r="J238" s="220"/>
      <c r="K238" s="2"/>
      <c r="N238" s="212"/>
      <c r="O238" s="212"/>
      <c r="P238" s="212"/>
      <c r="Q238" s="212"/>
      <c r="R238" s="212"/>
      <c r="S238" s="212"/>
      <c r="T238" s="212"/>
      <c r="U238" s="212"/>
      <c r="V238" s="212"/>
      <c r="W238" s="212"/>
      <c r="X238" s="212"/>
      <c r="Y238" s="212"/>
      <c r="Z238" s="212"/>
      <c r="AA238" s="212"/>
      <c r="AB238" s="212"/>
      <c r="AC238" s="212"/>
      <c r="AD238" s="212"/>
      <c r="AE238" s="212"/>
      <c r="AF238" s="212"/>
      <c r="AG238" s="212"/>
      <c r="AH238" s="212"/>
      <c r="AI238" s="212"/>
      <c r="AJ238" s="212"/>
      <c r="AK238" s="212"/>
      <c r="AL238" s="212"/>
      <c r="AM238" s="212"/>
      <c r="AN238" s="212"/>
      <c r="AO238" s="212"/>
      <c r="AP238" s="212"/>
      <c r="AQ238" s="212"/>
      <c r="AR238" s="212"/>
      <c r="AS238" s="212"/>
      <c r="AT238" s="212"/>
      <c r="AU238" s="212"/>
      <c r="AV238" s="212"/>
      <c r="AW238" s="212"/>
      <c r="AX238" s="212"/>
      <c r="AY238" s="212"/>
      <c r="AZ238" s="212"/>
      <c r="BA238" s="212"/>
      <c r="BB238" s="212"/>
      <c r="BC238" s="212"/>
      <c r="BD238" s="212"/>
      <c r="BE238" s="212"/>
      <c r="BF238" s="212"/>
      <c r="BG238" s="212"/>
      <c r="BH238" s="212"/>
      <c r="BI238" s="212"/>
      <c r="BJ238" s="212"/>
      <c r="BK238" s="212"/>
      <c r="BL238" s="212"/>
      <c r="BM238" s="212"/>
      <c r="BN238" s="212"/>
      <c r="BO238" s="212"/>
      <c r="BP238" s="212"/>
      <c r="BQ238" s="212"/>
      <c r="BR238" s="212"/>
      <c r="BS238" s="212"/>
      <c r="BT238" s="212"/>
      <c r="BU238" s="212"/>
      <c r="BV238" s="212"/>
      <c r="BW238" s="212"/>
      <c r="BX238" s="212"/>
      <c r="BY238" s="212"/>
      <c r="BZ238" s="212"/>
      <c r="CA238" s="212"/>
      <c r="CB238" s="212"/>
      <c r="CC238" s="212"/>
      <c r="CD238" s="212"/>
      <c r="CE238" s="212"/>
      <c r="CF238" s="212"/>
      <c r="CG238" s="212"/>
      <c r="CH238" s="212"/>
      <c r="CI238" s="212"/>
      <c r="CJ238" s="212"/>
      <c r="CK238" s="212"/>
      <c r="CL238" s="212"/>
    </row>
    <row r="239" spans="10:90" ht="24.75" customHeight="1" x14ac:dyDescent="0.75">
      <c r="J239" s="220"/>
      <c r="K239" s="2"/>
      <c r="N239" s="212"/>
      <c r="O239" s="212"/>
      <c r="P239" s="212"/>
      <c r="Q239" s="212"/>
      <c r="R239" s="212"/>
      <c r="S239" s="212"/>
      <c r="T239" s="212"/>
      <c r="U239" s="212"/>
      <c r="V239" s="212"/>
      <c r="W239" s="212"/>
      <c r="X239" s="212"/>
      <c r="Y239" s="212"/>
      <c r="Z239" s="212"/>
      <c r="AA239" s="212"/>
      <c r="AB239" s="212"/>
      <c r="AC239" s="212"/>
      <c r="AD239" s="212"/>
      <c r="AE239" s="212"/>
      <c r="AF239" s="212"/>
      <c r="AG239" s="212"/>
      <c r="AH239" s="212"/>
      <c r="AI239" s="212"/>
      <c r="AJ239" s="212"/>
      <c r="AK239" s="212"/>
      <c r="AL239" s="212"/>
      <c r="AM239" s="212"/>
      <c r="AN239" s="212"/>
      <c r="AO239" s="212"/>
      <c r="AP239" s="212"/>
      <c r="AQ239" s="212"/>
      <c r="AR239" s="212"/>
      <c r="AS239" s="212"/>
      <c r="AT239" s="212"/>
      <c r="AU239" s="212"/>
      <c r="AV239" s="212"/>
      <c r="AW239" s="212"/>
      <c r="AX239" s="212"/>
      <c r="AY239" s="212"/>
      <c r="AZ239" s="212"/>
      <c r="BA239" s="212"/>
      <c r="BB239" s="212"/>
      <c r="BC239" s="212"/>
      <c r="BD239" s="212"/>
      <c r="BE239" s="212"/>
      <c r="BF239" s="212"/>
      <c r="BG239" s="212"/>
      <c r="BH239" s="212"/>
      <c r="BI239" s="212"/>
      <c r="BJ239" s="212"/>
      <c r="BK239" s="212"/>
      <c r="BL239" s="212"/>
      <c r="BM239" s="212"/>
      <c r="BN239" s="212"/>
      <c r="BO239" s="212"/>
      <c r="BP239" s="212"/>
      <c r="BQ239" s="212"/>
      <c r="BR239" s="212"/>
      <c r="BS239" s="212"/>
      <c r="BT239" s="212"/>
      <c r="BU239" s="212"/>
      <c r="BV239" s="212"/>
      <c r="BW239" s="212"/>
      <c r="BX239" s="212"/>
      <c r="BY239" s="212"/>
      <c r="BZ239" s="212"/>
      <c r="CA239" s="212"/>
      <c r="CB239" s="212"/>
      <c r="CC239" s="212"/>
      <c r="CD239" s="212"/>
      <c r="CE239" s="212"/>
      <c r="CF239" s="212"/>
      <c r="CG239" s="212"/>
      <c r="CH239" s="212"/>
      <c r="CI239" s="212"/>
      <c r="CJ239" s="212"/>
      <c r="CK239" s="212"/>
      <c r="CL239" s="212"/>
    </row>
    <row r="240" spans="10:90" ht="24.75" customHeight="1" x14ac:dyDescent="0.75">
      <c r="J240" s="220"/>
      <c r="K240" s="2"/>
      <c r="N240" s="212"/>
      <c r="O240" s="212"/>
      <c r="P240" s="212"/>
      <c r="Q240" s="212"/>
      <c r="R240" s="212"/>
      <c r="S240" s="212"/>
      <c r="T240" s="212"/>
      <c r="U240" s="212"/>
      <c r="V240" s="212"/>
      <c r="W240" s="212"/>
      <c r="X240" s="212"/>
      <c r="Y240" s="212"/>
      <c r="Z240" s="212"/>
      <c r="AA240" s="212"/>
      <c r="AB240" s="212"/>
      <c r="AC240" s="212"/>
      <c r="AD240" s="212"/>
      <c r="AE240" s="212"/>
      <c r="AF240" s="212"/>
      <c r="AG240" s="212"/>
      <c r="AH240" s="212"/>
      <c r="AI240" s="212"/>
      <c r="AJ240" s="212"/>
      <c r="AK240" s="212"/>
      <c r="AL240" s="212"/>
      <c r="AM240" s="212"/>
      <c r="AN240" s="212"/>
      <c r="AO240" s="212"/>
      <c r="AP240" s="212"/>
      <c r="AQ240" s="212"/>
      <c r="AR240" s="212"/>
      <c r="AS240" s="212"/>
      <c r="AT240" s="212"/>
      <c r="AU240" s="212"/>
      <c r="AV240" s="212"/>
      <c r="AW240" s="212"/>
      <c r="AX240" s="212"/>
      <c r="AY240" s="212"/>
      <c r="AZ240" s="212"/>
      <c r="BA240" s="212"/>
      <c r="BB240" s="212"/>
      <c r="BC240" s="212"/>
      <c r="BD240" s="212"/>
      <c r="BE240" s="212"/>
      <c r="BF240" s="212"/>
      <c r="BG240" s="212"/>
      <c r="BH240" s="212"/>
      <c r="BI240" s="212"/>
      <c r="BJ240" s="212"/>
      <c r="BK240" s="212"/>
      <c r="BL240" s="212"/>
      <c r="BM240" s="212"/>
      <c r="BN240" s="212"/>
      <c r="BO240" s="212"/>
      <c r="BP240" s="212"/>
      <c r="BQ240" s="212"/>
      <c r="BR240" s="212"/>
      <c r="BS240" s="212"/>
      <c r="BT240" s="212"/>
      <c r="BU240" s="212"/>
      <c r="BV240" s="212"/>
      <c r="BW240" s="212"/>
      <c r="BX240" s="212"/>
      <c r="BY240" s="212"/>
      <c r="BZ240" s="212"/>
      <c r="CA240" s="212"/>
      <c r="CB240" s="212"/>
      <c r="CC240" s="212"/>
      <c r="CD240" s="212"/>
      <c r="CE240" s="212"/>
      <c r="CF240" s="212"/>
      <c r="CG240" s="212"/>
      <c r="CH240" s="212"/>
      <c r="CI240" s="212"/>
      <c r="CJ240" s="212"/>
      <c r="CK240" s="212"/>
      <c r="CL240" s="212"/>
    </row>
    <row r="241" spans="10:90" ht="24.75" customHeight="1" x14ac:dyDescent="0.75">
      <c r="J241" s="220"/>
      <c r="K241" s="2"/>
      <c r="N241" s="212"/>
      <c r="O241" s="212"/>
      <c r="P241" s="212"/>
      <c r="Q241" s="212"/>
      <c r="R241" s="212"/>
      <c r="S241" s="212"/>
      <c r="T241" s="212"/>
      <c r="U241" s="212"/>
      <c r="V241" s="212"/>
      <c r="W241" s="212"/>
      <c r="X241" s="212"/>
      <c r="Y241" s="212"/>
      <c r="Z241" s="212"/>
      <c r="AA241" s="212"/>
      <c r="AB241" s="212"/>
      <c r="AC241" s="212"/>
      <c r="AD241" s="212"/>
      <c r="AE241" s="212"/>
      <c r="AF241" s="212"/>
      <c r="AG241" s="212"/>
      <c r="AH241" s="212"/>
      <c r="AI241" s="212"/>
      <c r="AJ241" s="212"/>
      <c r="AK241" s="212"/>
      <c r="AL241" s="212"/>
      <c r="AM241" s="212"/>
      <c r="AN241" s="212"/>
      <c r="AO241" s="212"/>
      <c r="AP241" s="212"/>
      <c r="AQ241" s="212"/>
      <c r="AR241" s="212"/>
      <c r="AS241" s="212"/>
      <c r="AT241" s="212"/>
      <c r="AU241" s="212"/>
      <c r="AV241" s="212"/>
      <c r="AW241" s="212"/>
      <c r="AX241" s="212"/>
      <c r="AY241" s="212"/>
      <c r="AZ241" s="212"/>
      <c r="BA241" s="212"/>
      <c r="BB241" s="212"/>
      <c r="BC241" s="212"/>
      <c r="BD241" s="212"/>
      <c r="BE241" s="212"/>
      <c r="BF241" s="212"/>
      <c r="BG241" s="212"/>
      <c r="BH241" s="212"/>
      <c r="BI241" s="212"/>
      <c r="BJ241" s="212"/>
      <c r="BK241" s="212"/>
      <c r="BL241" s="212"/>
      <c r="BM241" s="212"/>
      <c r="BN241" s="212"/>
      <c r="BO241" s="212"/>
      <c r="BP241" s="212"/>
      <c r="BQ241" s="212"/>
      <c r="BR241" s="212"/>
      <c r="BS241" s="212"/>
      <c r="BT241" s="212"/>
      <c r="BU241" s="212"/>
      <c r="BV241" s="212"/>
      <c r="BW241" s="212"/>
      <c r="BX241" s="212"/>
      <c r="BY241" s="212"/>
      <c r="BZ241" s="212"/>
      <c r="CA241" s="212"/>
      <c r="CB241" s="212"/>
      <c r="CC241" s="212"/>
      <c r="CD241" s="212"/>
      <c r="CE241" s="212"/>
      <c r="CF241" s="212"/>
      <c r="CG241" s="212"/>
      <c r="CH241" s="212"/>
      <c r="CI241" s="212"/>
      <c r="CJ241" s="212"/>
      <c r="CK241" s="212"/>
      <c r="CL241" s="212"/>
    </row>
    <row r="242" spans="10:90" ht="24.75" customHeight="1" x14ac:dyDescent="0.75">
      <c r="J242" s="220"/>
      <c r="K242" s="2"/>
      <c r="N242" s="212"/>
      <c r="O242" s="212"/>
      <c r="P242" s="212"/>
      <c r="Q242" s="212"/>
      <c r="R242" s="212"/>
      <c r="S242" s="212"/>
      <c r="T242" s="212"/>
      <c r="U242" s="212"/>
      <c r="V242" s="212"/>
      <c r="W242" s="212"/>
      <c r="X242" s="212"/>
      <c r="Y242" s="212"/>
      <c r="Z242" s="212"/>
      <c r="AA242" s="212"/>
      <c r="AB242" s="212"/>
      <c r="AC242" s="212"/>
      <c r="AD242" s="212"/>
      <c r="AE242" s="212"/>
      <c r="AF242" s="212"/>
      <c r="AG242" s="212"/>
      <c r="AH242" s="212"/>
      <c r="AI242" s="212"/>
      <c r="AJ242" s="212"/>
      <c r="AK242" s="212"/>
      <c r="AL242" s="212"/>
      <c r="AM242" s="212"/>
      <c r="AN242" s="212"/>
      <c r="AO242" s="212"/>
      <c r="AP242" s="212"/>
      <c r="AQ242" s="212"/>
      <c r="AR242" s="212"/>
      <c r="AS242" s="212"/>
      <c r="AT242" s="212"/>
      <c r="AU242" s="212"/>
      <c r="AV242" s="212"/>
      <c r="AW242" s="212"/>
      <c r="AX242" s="212"/>
      <c r="AY242" s="212"/>
      <c r="AZ242" s="212"/>
      <c r="BA242" s="212"/>
      <c r="BB242" s="212"/>
      <c r="BC242" s="212"/>
      <c r="BD242" s="212"/>
      <c r="BE242" s="212"/>
      <c r="BF242" s="212"/>
      <c r="BG242" s="212"/>
      <c r="BH242" s="212"/>
      <c r="BI242" s="212"/>
      <c r="BJ242" s="212"/>
      <c r="BK242" s="212"/>
      <c r="BL242" s="212"/>
      <c r="BM242" s="212"/>
      <c r="BN242" s="212"/>
      <c r="BO242" s="212"/>
      <c r="BP242" s="212"/>
      <c r="BQ242" s="212"/>
      <c r="BR242" s="212"/>
      <c r="BS242" s="212"/>
      <c r="BT242" s="212"/>
      <c r="BU242" s="212"/>
      <c r="BV242" s="212"/>
      <c r="BW242" s="212"/>
      <c r="BX242" s="212"/>
      <c r="BY242" s="212"/>
      <c r="BZ242" s="212"/>
      <c r="CA242" s="212"/>
      <c r="CB242" s="212"/>
      <c r="CC242" s="212"/>
      <c r="CD242" s="212"/>
      <c r="CE242" s="212"/>
      <c r="CF242" s="212"/>
      <c r="CG242" s="212"/>
      <c r="CH242" s="212"/>
      <c r="CI242" s="212"/>
      <c r="CJ242" s="212"/>
      <c r="CK242" s="212"/>
      <c r="CL242" s="212"/>
    </row>
    <row r="243" spans="10:90" ht="24.75" customHeight="1" x14ac:dyDescent="0.75">
      <c r="J243" s="220"/>
      <c r="K243" s="2"/>
      <c r="N243" s="212"/>
      <c r="O243" s="212"/>
      <c r="P243" s="212"/>
      <c r="Q243" s="212"/>
      <c r="R243" s="212"/>
      <c r="S243" s="212"/>
      <c r="T243" s="212"/>
      <c r="U243" s="212"/>
      <c r="V243" s="212"/>
      <c r="W243" s="212"/>
      <c r="X243" s="212"/>
      <c r="Y243" s="212"/>
      <c r="Z243" s="212"/>
      <c r="AA243" s="212"/>
      <c r="AB243" s="212"/>
      <c r="AC243" s="212"/>
      <c r="AD243" s="212"/>
      <c r="AE243" s="212"/>
      <c r="AF243" s="212"/>
      <c r="AG243" s="212"/>
      <c r="AH243" s="212"/>
      <c r="AI243" s="212"/>
      <c r="AJ243" s="212"/>
      <c r="AK243" s="212"/>
      <c r="AL243" s="212"/>
      <c r="AM243" s="212"/>
      <c r="AN243" s="212"/>
      <c r="AO243" s="212"/>
      <c r="AP243" s="212"/>
      <c r="AQ243" s="212"/>
      <c r="AR243" s="212"/>
      <c r="AS243" s="212"/>
      <c r="AT243" s="212"/>
      <c r="AU243" s="212"/>
      <c r="AV243" s="212"/>
      <c r="AW243" s="212"/>
      <c r="AX243" s="212"/>
      <c r="AY243" s="212"/>
      <c r="AZ243" s="212"/>
      <c r="BA243" s="212"/>
      <c r="BB243" s="212"/>
      <c r="BC243" s="212"/>
      <c r="BD243" s="212"/>
      <c r="BE243" s="212"/>
      <c r="BF243" s="212"/>
      <c r="BG243" s="212"/>
      <c r="BH243" s="212"/>
      <c r="BI243" s="212"/>
      <c r="BJ243" s="212"/>
      <c r="BK243" s="212"/>
      <c r="BL243" s="212"/>
      <c r="BM243" s="212"/>
      <c r="BN243" s="212"/>
      <c r="BO243" s="212"/>
      <c r="BP243" s="212"/>
      <c r="BQ243" s="212"/>
      <c r="BR243" s="212"/>
      <c r="BS243" s="212"/>
      <c r="BT243" s="212"/>
      <c r="BU243" s="212"/>
      <c r="BV243" s="212"/>
      <c r="BW243" s="212"/>
      <c r="BX243" s="212"/>
      <c r="BY243" s="212"/>
      <c r="BZ243" s="212"/>
      <c r="CA243" s="212"/>
      <c r="CB243" s="212"/>
      <c r="CC243" s="212"/>
      <c r="CD243" s="212"/>
      <c r="CE243" s="212"/>
      <c r="CF243" s="212"/>
      <c r="CG243" s="212"/>
      <c r="CH243" s="212"/>
      <c r="CI243" s="212"/>
      <c r="CJ243" s="212"/>
      <c r="CK243" s="212"/>
      <c r="CL243" s="212"/>
    </row>
    <row r="244" spans="10:90" ht="24.75" customHeight="1" x14ac:dyDescent="0.75">
      <c r="J244" s="220"/>
      <c r="K244" s="2"/>
      <c r="N244" s="212"/>
      <c r="O244" s="212"/>
      <c r="P244" s="212"/>
      <c r="Q244" s="212"/>
      <c r="R244" s="212"/>
      <c r="S244" s="212"/>
      <c r="T244" s="212"/>
      <c r="U244" s="212"/>
      <c r="V244" s="212"/>
      <c r="W244" s="212"/>
      <c r="X244" s="212"/>
      <c r="Y244" s="212"/>
      <c r="Z244" s="212"/>
      <c r="AA244" s="212"/>
      <c r="AB244" s="212"/>
      <c r="AC244" s="212"/>
      <c r="AD244" s="212"/>
      <c r="AE244" s="212"/>
      <c r="AF244" s="212"/>
      <c r="AG244" s="212"/>
      <c r="AH244" s="212"/>
      <c r="AI244" s="212"/>
      <c r="AJ244" s="212"/>
      <c r="AK244" s="212"/>
      <c r="AL244" s="212"/>
      <c r="AM244" s="212"/>
      <c r="AN244" s="212"/>
      <c r="AO244" s="212"/>
      <c r="AP244" s="212"/>
      <c r="AQ244" s="212"/>
      <c r="AR244" s="212"/>
      <c r="AS244" s="212"/>
      <c r="AT244" s="212"/>
      <c r="AU244" s="212"/>
      <c r="AV244" s="212"/>
      <c r="AW244" s="212"/>
      <c r="AX244" s="212"/>
      <c r="AY244" s="212"/>
      <c r="AZ244" s="212"/>
      <c r="BA244" s="212"/>
      <c r="BB244" s="212"/>
      <c r="BC244" s="212"/>
      <c r="BD244" s="212"/>
      <c r="BE244" s="212"/>
      <c r="BF244" s="212"/>
      <c r="BG244" s="212"/>
      <c r="BH244" s="212"/>
      <c r="BI244" s="212"/>
      <c r="BJ244" s="212"/>
      <c r="BK244" s="212"/>
      <c r="BL244" s="212"/>
      <c r="BM244" s="212"/>
      <c r="BN244" s="212"/>
      <c r="BO244" s="212"/>
      <c r="BP244" s="212"/>
      <c r="BQ244" s="212"/>
      <c r="BR244" s="212"/>
      <c r="BS244" s="212"/>
      <c r="BT244" s="212"/>
      <c r="BU244" s="212"/>
      <c r="BV244" s="212"/>
      <c r="BW244" s="212"/>
      <c r="BX244" s="212"/>
      <c r="BY244" s="212"/>
      <c r="BZ244" s="212"/>
      <c r="CA244" s="212"/>
      <c r="CB244" s="212"/>
      <c r="CC244" s="212"/>
      <c r="CD244" s="212"/>
      <c r="CE244" s="212"/>
      <c r="CF244" s="212"/>
      <c r="CG244" s="212"/>
      <c r="CH244" s="212"/>
      <c r="CI244" s="212"/>
      <c r="CJ244" s="212"/>
      <c r="CK244" s="212"/>
      <c r="CL244" s="212"/>
    </row>
    <row r="245" spans="10:90" ht="24.75" customHeight="1" x14ac:dyDescent="0.75">
      <c r="J245" s="220"/>
      <c r="K245" s="2"/>
      <c r="N245" s="212"/>
      <c r="O245" s="212"/>
      <c r="P245" s="212"/>
      <c r="Q245" s="212"/>
      <c r="R245" s="212"/>
      <c r="S245" s="212"/>
      <c r="T245" s="212"/>
      <c r="U245" s="212"/>
      <c r="V245" s="212"/>
      <c r="W245" s="212"/>
      <c r="X245" s="212"/>
      <c r="Y245" s="212"/>
      <c r="Z245" s="212"/>
      <c r="AA245" s="212"/>
      <c r="AB245" s="212"/>
      <c r="AC245" s="212"/>
      <c r="AD245" s="212"/>
      <c r="AE245" s="212"/>
      <c r="AF245" s="212"/>
      <c r="AG245" s="212"/>
      <c r="AH245" s="212"/>
      <c r="AI245" s="212"/>
      <c r="AJ245" s="212"/>
      <c r="AK245" s="212"/>
      <c r="AL245" s="212"/>
      <c r="AM245" s="212"/>
      <c r="AN245" s="212"/>
      <c r="AO245" s="212"/>
      <c r="AP245" s="212"/>
      <c r="AQ245" s="212"/>
      <c r="AR245" s="212"/>
      <c r="AS245" s="212"/>
      <c r="AT245" s="212"/>
      <c r="AU245" s="212"/>
      <c r="AV245" s="212"/>
      <c r="AW245" s="212"/>
      <c r="AX245" s="212"/>
      <c r="AY245" s="212"/>
      <c r="AZ245" s="212"/>
      <c r="BA245" s="212"/>
      <c r="BB245" s="212"/>
      <c r="BC245" s="212"/>
      <c r="BD245" s="212"/>
      <c r="BE245" s="212"/>
      <c r="BF245" s="212"/>
      <c r="BG245" s="212"/>
      <c r="BH245" s="212"/>
      <c r="BI245" s="212"/>
      <c r="BJ245" s="212"/>
      <c r="BK245" s="212"/>
      <c r="BL245" s="212"/>
      <c r="BM245" s="212"/>
      <c r="BN245" s="212"/>
      <c r="BO245" s="212"/>
      <c r="BP245" s="212"/>
      <c r="BQ245" s="212"/>
      <c r="BR245" s="212"/>
      <c r="BS245" s="212"/>
      <c r="BT245" s="212"/>
      <c r="BU245" s="212"/>
      <c r="BV245" s="212"/>
      <c r="BW245" s="212"/>
      <c r="BX245" s="212"/>
      <c r="BY245" s="212"/>
      <c r="BZ245" s="212"/>
      <c r="CA245" s="212"/>
      <c r="CB245" s="212"/>
      <c r="CC245" s="212"/>
      <c r="CD245" s="212"/>
      <c r="CE245" s="212"/>
      <c r="CF245" s="212"/>
      <c r="CG245" s="212"/>
      <c r="CH245" s="212"/>
      <c r="CI245" s="212"/>
      <c r="CJ245" s="212"/>
      <c r="CK245" s="212"/>
      <c r="CL245" s="212"/>
    </row>
    <row r="246" spans="10:90" ht="24.75" customHeight="1" x14ac:dyDescent="0.75">
      <c r="J246" s="220"/>
      <c r="K246" s="2"/>
      <c r="N246" s="212"/>
      <c r="O246" s="212"/>
      <c r="P246" s="212"/>
      <c r="Q246" s="212"/>
      <c r="R246" s="212"/>
      <c r="S246" s="212"/>
      <c r="T246" s="212"/>
      <c r="U246" s="212"/>
      <c r="V246" s="212"/>
      <c r="W246" s="212"/>
      <c r="X246" s="212"/>
      <c r="Y246" s="212"/>
      <c r="Z246" s="212"/>
      <c r="AA246" s="212"/>
      <c r="AB246" s="212"/>
      <c r="AC246" s="212"/>
      <c r="AD246" s="212"/>
      <c r="AE246" s="212"/>
      <c r="AF246" s="212"/>
      <c r="AG246" s="212"/>
      <c r="AH246" s="212"/>
      <c r="AI246" s="212"/>
      <c r="AJ246" s="212"/>
      <c r="AK246" s="212"/>
      <c r="AL246" s="212"/>
      <c r="AM246" s="212"/>
      <c r="AN246" s="212"/>
      <c r="AO246" s="212"/>
      <c r="AP246" s="212"/>
      <c r="AQ246" s="212"/>
      <c r="AR246" s="212"/>
      <c r="AS246" s="212"/>
      <c r="AT246" s="212"/>
      <c r="AU246" s="212"/>
      <c r="AV246" s="212"/>
      <c r="AW246" s="212"/>
      <c r="AX246" s="212"/>
      <c r="AY246" s="212"/>
      <c r="AZ246" s="212"/>
      <c r="BA246" s="212"/>
      <c r="BB246" s="212"/>
      <c r="BC246" s="212"/>
      <c r="BD246" s="212"/>
      <c r="BE246" s="212"/>
      <c r="BF246" s="212"/>
      <c r="BG246" s="212"/>
      <c r="BH246" s="212"/>
      <c r="BI246" s="212"/>
      <c r="BJ246" s="212"/>
      <c r="BK246" s="212"/>
      <c r="BL246" s="212"/>
      <c r="BM246" s="212"/>
      <c r="BN246" s="212"/>
      <c r="BO246" s="212"/>
      <c r="BP246" s="212"/>
      <c r="BQ246" s="212"/>
      <c r="BR246" s="212"/>
      <c r="BS246" s="212"/>
      <c r="BT246" s="212"/>
      <c r="BU246" s="212"/>
      <c r="BV246" s="212"/>
      <c r="BW246" s="212"/>
      <c r="BX246" s="212"/>
      <c r="BY246" s="212"/>
      <c r="BZ246" s="212"/>
      <c r="CA246" s="212"/>
      <c r="CB246" s="212"/>
      <c r="CC246" s="212"/>
      <c r="CD246" s="212"/>
      <c r="CE246" s="212"/>
      <c r="CF246" s="212"/>
      <c r="CG246" s="212"/>
      <c r="CH246" s="212"/>
      <c r="CI246" s="212"/>
      <c r="CJ246" s="212"/>
      <c r="CK246" s="212"/>
      <c r="CL246" s="212"/>
    </row>
    <row r="247" spans="10:90" ht="24.75" customHeight="1" x14ac:dyDescent="0.75">
      <c r="J247" s="220"/>
      <c r="K247" s="2"/>
      <c r="N247" s="212"/>
      <c r="O247" s="212"/>
      <c r="P247" s="212"/>
      <c r="Q247" s="212"/>
      <c r="R247" s="212"/>
      <c r="S247" s="212"/>
      <c r="T247" s="212"/>
      <c r="U247" s="212"/>
      <c r="V247" s="212"/>
      <c r="W247" s="212"/>
      <c r="X247" s="212"/>
      <c r="Y247" s="212"/>
      <c r="Z247" s="212"/>
      <c r="AA247" s="212"/>
      <c r="AB247" s="212"/>
      <c r="AC247" s="212"/>
      <c r="AD247" s="212"/>
      <c r="AE247" s="212"/>
      <c r="AF247" s="212"/>
      <c r="AG247" s="212"/>
      <c r="AH247" s="212"/>
      <c r="AI247" s="212"/>
      <c r="AJ247" s="212"/>
      <c r="AK247" s="212"/>
      <c r="AL247" s="212"/>
      <c r="AM247" s="212"/>
      <c r="AN247" s="212"/>
      <c r="AO247" s="212"/>
      <c r="AP247" s="212"/>
      <c r="AQ247" s="212"/>
      <c r="AR247" s="212"/>
      <c r="AS247" s="212"/>
      <c r="AT247" s="212"/>
      <c r="AU247" s="212"/>
      <c r="AV247" s="212"/>
      <c r="AW247" s="212"/>
      <c r="AX247" s="212"/>
      <c r="AY247" s="212"/>
      <c r="AZ247" s="212"/>
      <c r="BA247" s="212"/>
      <c r="BB247" s="212"/>
      <c r="BC247" s="212"/>
      <c r="BD247" s="212"/>
      <c r="BE247" s="212"/>
      <c r="BF247" s="212"/>
      <c r="BG247" s="212"/>
      <c r="BH247" s="212"/>
      <c r="BI247" s="212"/>
      <c r="BJ247" s="212"/>
      <c r="BK247" s="212"/>
      <c r="BL247" s="212"/>
      <c r="BM247" s="212"/>
      <c r="BN247" s="212"/>
      <c r="BO247" s="212"/>
      <c r="BP247" s="212"/>
      <c r="BQ247" s="212"/>
      <c r="BR247" s="212"/>
      <c r="BS247" s="212"/>
      <c r="BT247" s="212"/>
      <c r="BU247" s="212"/>
      <c r="BV247" s="212"/>
      <c r="BW247" s="212"/>
      <c r="BX247" s="212"/>
      <c r="BY247" s="212"/>
      <c r="BZ247" s="212"/>
      <c r="CA247" s="212"/>
      <c r="CB247" s="212"/>
      <c r="CC247" s="212"/>
      <c r="CD247" s="212"/>
      <c r="CE247" s="212"/>
      <c r="CF247" s="212"/>
      <c r="CG247" s="212"/>
      <c r="CH247" s="212"/>
      <c r="CI247" s="212"/>
      <c r="CJ247" s="212"/>
      <c r="CK247" s="212"/>
      <c r="CL247" s="212"/>
    </row>
    <row r="248" spans="10:90" ht="24.75" customHeight="1" x14ac:dyDescent="0.75">
      <c r="J248" s="220"/>
      <c r="K248" s="2"/>
      <c r="N248" s="212"/>
      <c r="O248" s="212"/>
      <c r="P248" s="212"/>
      <c r="Q248" s="212"/>
      <c r="R248" s="212"/>
      <c r="S248" s="212"/>
      <c r="T248" s="212"/>
      <c r="U248" s="212"/>
      <c r="V248" s="212"/>
      <c r="W248" s="212"/>
      <c r="X248" s="212"/>
      <c r="Y248" s="212"/>
      <c r="Z248" s="212"/>
      <c r="AA248" s="212"/>
      <c r="AB248" s="212"/>
      <c r="AC248" s="212"/>
      <c r="AD248" s="212"/>
      <c r="AE248" s="212"/>
      <c r="AF248" s="212"/>
      <c r="AG248" s="212"/>
      <c r="AH248" s="212"/>
      <c r="AI248" s="212"/>
      <c r="AJ248" s="212"/>
      <c r="AK248" s="212"/>
      <c r="AL248" s="212"/>
      <c r="AM248" s="212"/>
      <c r="AN248" s="212"/>
      <c r="AO248" s="212"/>
      <c r="AP248" s="212"/>
      <c r="AQ248" s="212"/>
      <c r="AR248" s="212"/>
      <c r="AS248" s="212"/>
      <c r="AT248" s="212"/>
      <c r="AU248" s="212"/>
      <c r="AV248" s="212"/>
      <c r="AW248" s="212"/>
      <c r="AX248" s="212"/>
      <c r="AY248" s="212"/>
      <c r="AZ248" s="212"/>
      <c r="BA248" s="212"/>
      <c r="BB248" s="212"/>
      <c r="BC248" s="212"/>
      <c r="BD248" s="212"/>
      <c r="BE248" s="212"/>
      <c r="BF248" s="212"/>
      <c r="BG248" s="212"/>
      <c r="BH248" s="212"/>
      <c r="BI248" s="212"/>
      <c r="BJ248" s="212"/>
      <c r="BK248" s="212"/>
      <c r="BL248" s="212"/>
      <c r="BM248" s="212"/>
      <c r="BN248" s="212"/>
      <c r="BO248" s="212"/>
      <c r="BP248" s="212"/>
      <c r="BQ248" s="212"/>
      <c r="BR248" s="212"/>
      <c r="BS248" s="212"/>
      <c r="BT248" s="212"/>
      <c r="BU248" s="212"/>
      <c r="BV248" s="212"/>
      <c r="BW248" s="212"/>
      <c r="BX248" s="212"/>
      <c r="BY248" s="212"/>
      <c r="BZ248" s="212"/>
      <c r="CA248" s="212"/>
      <c r="CB248" s="212"/>
      <c r="CC248" s="212"/>
      <c r="CD248" s="212"/>
      <c r="CE248" s="212"/>
      <c r="CF248" s="212"/>
      <c r="CG248" s="212"/>
      <c r="CH248" s="212"/>
      <c r="CI248" s="212"/>
      <c r="CJ248" s="212"/>
      <c r="CK248" s="212"/>
      <c r="CL248" s="212"/>
    </row>
    <row r="249" spans="10:90" ht="24.75" customHeight="1" x14ac:dyDescent="0.75">
      <c r="J249" s="220"/>
      <c r="K249" s="2"/>
      <c r="N249" s="212"/>
      <c r="O249" s="212"/>
      <c r="P249" s="212"/>
      <c r="Q249" s="212"/>
      <c r="R249" s="212"/>
      <c r="S249" s="212"/>
      <c r="T249" s="212"/>
      <c r="U249" s="212"/>
      <c r="V249" s="212"/>
      <c r="W249" s="212"/>
      <c r="X249" s="212"/>
      <c r="Y249" s="212"/>
      <c r="Z249" s="212"/>
      <c r="AA249" s="212"/>
      <c r="AB249" s="212"/>
      <c r="AC249" s="212"/>
      <c r="AD249" s="212"/>
      <c r="AE249" s="212"/>
      <c r="AF249" s="212"/>
      <c r="AG249" s="212"/>
      <c r="AH249" s="212"/>
      <c r="AI249" s="212"/>
      <c r="AJ249" s="212"/>
      <c r="AK249" s="212"/>
      <c r="AL249" s="212"/>
      <c r="AM249" s="212"/>
      <c r="AN249" s="212"/>
      <c r="AO249" s="212"/>
      <c r="AP249" s="212"/>
      <c r="AQ249" s="212"/>
      <c r="AR249" s="212"/>
      <c r="AS249" s="212"/>
      <c r="AT249" s="212"/>
      <c r="AU249" s="212"/>
      <c r="AV249" s="212"/>
      <c r="AW249" s="212"/>
      <c r="AX249" s="212"/>
      <c r="AY249" s="212"/>
      <c r="AZ249" s="212"/>
      <c r="BA249" s="212"/>
      <c r="BB249" s="212"/>
      <c r="BC249" s="212"/>
      <c r="BD249" s="212"/>
      <c r="BE249" s="212"/>
      <c r="BF249" s="212"/>
      <c r="BG249" s="212"/>
      <c r="BH249" s="212"/>
      <c r="BI249" s="212"/>
      <c r="BJ249" s="212"/>
      <c r="BK249" s="212"/>
      <c r="BL249" s="212"/>
      <c r="BM249" s="212"/>
      <c r="BN249" s="212"/>
      <c r="BO249" s="212"/>
      <c r="BP249" s="212"/>
      <c r="BQ249" s="212"/>
      <c r="BR249" s="212"/>
      <c r="BS249" s="212"/>
      <c r="BT249" s="212"/>
      <c r="BU249" s="212"/>
      <c r="BV249" s="212"/>
      <c r="BW249" s="212"/>
      <c r="BX249" s="212"/>
      <c r="BY249" s="212"/>
      <c r="BZ249" s="212"/>
      <c r="CA249" s="212"/>
      <c r="CB249" s="212"/>
      <c r="CC249" s="212"/>
      <c r="CD249" s="212"/>
      <c r="CE249" s="212"/>
      <c r="CF249" s="212"/>
      <c r="CG249" s="212"/>
      <c r="CH249" s="212"/>
      <c r="CI249" s="212"/>
      <c r="CJ249" s="212"/>
      <c r="CK249" s="212"/>
      <c r="CL249" s="212"/>
    </row>
    <row r="250" spans="10:90" ht="24.75" customHeight="1" x14ac:dyDescent="0.75">
      <c r="J250" s="220"/>
      <c r="K250" s="2"/>
      <c r="N250" s="212"/>
      <c r="O250" s="212"/>
      <c r="P250" s="212"/>
      <c r="Q250" s="212"/>
      <c r="R250" s="212"/>
      <c r="S250" s="212"/>
      <c r="T250" s="212"/>
      <c r="U250" s="212"/>
      <c r="V250" s="212"/>
      <c r="W250" s="212"/>
      <c r="X250" s="212"/>
      <c r="Y250" s="212"/>
      <c r="Z250" s="212"/>
      <c r="AA250" s="212"/>
      <c r="AB250" s="212"/>
      <c r="AC250" s="212"/>
      <c r="AD250" s="212"/>
      <c r="AE250" s="212"/>
      <c r="AF250" s="212"/>
      <c r="AG250" s="212"/>
      <c r="AH250" s="212"/>
      <c r="AI250" s="212"/>
      <c r="AJ250" s="212"/>
      <c r="AK250" s="212"/>
      <c r="AL250" s="212"/>
      <c r="AM250" s="212"/>
      <c r="AN250" s="212"/>
      <c r="AO250" s="212"/>
      <c r="AP250" s="212"/>
      <c r="AQ250" s="212"/>
      <c r="AR250" s="212"/>
      <c r="AS250" s="212"/>
      <c r="AT250" s="212"/>
      <c r="AU250" s="212"/>
      <c r="AV250" s="212"/>
      <c r="AW250" s="212"/>
      <c r="AX250" s="212"/>
      <c r="AY250" s="212"/>
      <c r="AZ250" s="212"/>
      <c r="BA250" s="212"/>
      <c r="BB250" s="212"/>
      <c r="BC250" s="212"/>
      <c r="BD250" s="212"/>
      <c r="BE250" s="212"/>
      <c r="BF250" s="212"/>
      <c r="BG250" s="212"/>
      <c r="BH250" s="212"/>
      <c r="BI250" s="212"/>
      <c r="BJ250" s="212"/>
      <c r="BK250" s="212"/>
      <c r="BL250" s="212"/>
      <c r="BM250" s="212"/>
      <c r="BN250" s="212"/>
      <c r="BO250" s="212"/>
      <c r="BP250" s="212"/>
      <c r="BQ250" s="212"/>
      <c r="BR250" s="212"/>
      <c r="BS250" s="212"/>
      <c r="BT250" s="212"/>
      <c r="BU250" s="212"/>
      <c r="BV250" s="212"/>
      <c r="BW250" s="212"/>
      <c r="BX250" s="212"/>
      <c r="BY250" s="212"/>
      <c r="BZ250" s="212"/>
      <c r="CA250" s="212"/>
      <c r="CB250" s="212"/>
      <c r="CC250" s="212"/>
      <c r="CD250" s="212"/>
      <c r="CE250" s="212"/>
      <c r="CF250" s="212"/>
      <c r="CG250" s="212"/>
      <c r="CH250" s="212"/>
      <c r="CI250" s="212"/>
      <c r="CJ250" s="212"/>
      <c r="CK250" s="212"/>
      <c r="CL250" s="212"/>
    </row>
    <row r="251" spans="10:90" ht="24.75" customHeight="1" x14ac:dyDescent="0.75">
      <c r="J251" s="220"/>
      <c r="K251" s="2"/>
      <c r="N251" s="212"/>
      <c r="O251" s="212"/>
      <c r="P251" s="212"/>
      <c r="Q251" s="212"/>
      <c r="R251" s="212"/>
      <c r="S251" s="212"/>
      <c r="T251" s="212"/>
      <c r="U251" s="212"/>
      <c r="V251" s="212"/>
      <c r="W251" s="212"/>
      <c r="X251" s="212"/>
      <c r="Y251" s="212"/>
      <c r="Z251" s="212"/>
      <c r="AA251" s="212"/>
      <c r="AB251" s="212"/>
      <c r="AC251" s="212"/>
      <c r="AD251" s="212"/>
      <c r="AE251" s="212"/>
      <c r="AF251" s="212"/>
      <c r="AG251" s="212"/>
      <c r="AH251" s="212"/>
      <c r="AI251" s="212"/>
      <c r="AJ251" s="212"/>
      <c r="AK251" s="212"/>
      <c r="AL251" s="212"/>
      <c r="AM251" s="212"/>
      <c r="AN251" s="212"/>
      <c r="AO251" s="212"/>
      <c r="AP251" s="212"/>
      <c r="AQ251" s="212"/>
      <c r="AR251" s="212"/>
      <c r="AS251" s="212"/>
      <c r="AT251" s="212"/>
      <c r="AU251" s="212"/>
      <c r="AV251" s="212"/>
      <c r="AW251" s="212"/>
      <c r="AX251" s="212"/>
      <c r="AY251" s="212"/>
      <c r="AZ251" s="212"/>
      <c r="BA251" s="212"/>
      <c r="BB251" s="212"/>
      <c r="BC251" s="212"/>
      <c r="BD251" s="212"/>
      <c r="BE251" s="212"/>
      <c r="BF251" s="212"/>
      <c r="BG251" s="212"/>
      <c r="BH251" s="212"/>
      <c r="BI251" s="212"/>
      <c r="BJ251" s="212"/>
      <c r="BK251" s="212"/>
      <c r="BL251" s="212"/>
      <c r="BM251" s="212"/>
      <c r="BN251" s="212"/>
      <c r="BO251" s="212"/>
      <c r="BP251" s="212"/>
      <c r="BQ251" s="212"/>
      <c r="BR251" s="212"/>
      <c r="BS251" s="212"/>
      <c r="BT251" s="212"/>
      <c r="BU251" s="212"/>
      <c r="BV251" s="212"/>
      <c r="BW251" s="212"/>
      <c r="BX251" s="212"/>
      <c r="BY251" s="212"/>
      <c r="BZ251" s="212"/>
      <c r="CA251" s="212"/>
      <c r="CB251" s="212"/>
      <c r="CC251" s="212"/>
      <c r="CD251" s="212"/>
      <c r="CE251" s="212"/>
      <c r="CF251" s="212"/>
      <c r="CG251" s="212"/>
      <c r="CH251" s="212"/>
      <c r="CI251" s="212"/>
      <c r="CJ251" s="212"/>
      <c r="CK251" s="212"/>
      <c r="CL251" s="212"/>
    </row>
    <row r="252" spans="10:90" ht="24.75" customHeight="1" x14ac:dyDescent="0.75">
      <c r="J252" s="220"/>
      <c r="K252" s="2"/>
      <c r="N252" s="212"/>
      <c r="O252" s="212"/>
      <c r="P252" s="212"/>
      <c r="Q252" s="212"/>
      <c r="R252" s="212"/>
      <c r="S252" s="212"/>
      <c r="T252" s="212"/>
      <c r="U252" s="212"/>
      <c r="V252" s="212"/>
      <c r="W252" s="212"/>
      <c r="X252" s="212"/>
      <c r="Y252" s="212"/>
      <c r="Z252" s="212"/>
      <c r="AA252" s="212"/>
      <c r="AB252" s="212"/>
      <c r="AC252" s="212"/>
      <c r="AD252" s="212"/>
      <c r="AE252" s="212"/>
      <c r="AF252" s="212"/>
      <c r="AG252" s="212"/>
      <c r="AH252" s="212"/>
      <c r="AI252" s="212"/>
      <c r="AJ252" s="212"/>
      <c r="AK252" s="212"/>
      <c r="AL252" s="212"/>
      <c r="AM252" s="212"/>
      <c r="AN252" s="212"/>
      <c r="AO252" s="212"/>
      <c r="AP252" s="212"/>
      <c r="AQ252" s="212"/>
      <c r="AR252" s="212"/>
      <c r="AS252" s="212"/>
      <c r="AT252" s="212"/>
      <c r="AU252" s="212"/>
      <c r="AV252" s="212"/>
      <c r="AW252" s="212"/>
      <c r="AX252" s="212"/>
      <c r="AY252" s="212"/>
      <c r="AZ252" s="212"/>
      <c r="BA252" s="212"/>
      <c r="BB252" s="212"/>
      <c r="BC252" s="212"/>
      <c r="BD252" s="212"/>
      <c r="BE252" s="212"/>
      <c r="BF252" s="212"/>
      <c r="BG252" s="212"/>
      <c r="BH252" s="212"/>
      <c r="BI252" s="212"/>
      <c r="BJ252" s="212"/>
      <c r="BK252" s="212"/>
      <c r="BL252" s="212"/>
      <c r="BM252" s="212"/>
      <c r="BN252" s="212"/>
      <c r="BO252" s="212"/>
      <c r="BP252" s="212"/>
      <c r="BQ252" s="212"/>
      <c r="BR252" s="212"/>
      <c r="BS252" s="212"/>
      <c r="BT252" s="212"/>
      <c r="BU252" s="212"/>
      <c r="BV252" s="212"/>
      <c r="BW252" s="212"/>
      <c r="BX252" s="212"/>
      <c r="BY252" s="212"/>
      <c r="BZ252" s="212"/>
      <c r="CA252" s="212"/>
      <c r="CB252" s="212"/>
      <c r="CC252" s="212"/>
      <c r="CD252" s="212"/>
      <c r="CE252" s="212"/>
      <c r="CF252" s="212"/>
      <c r="CG252" s="212"/>
      <c r="CH252" s="212"/>
      <c r="CI252" s="212"/>
      <c r="CJ252" s="212"/>
      <c r="CK252" s="212"/>
      <c r="CL252" s="212"/>
    </row>
    <row r="253" spans="10:90" ht="24.75" customHeight="1" x14ac:dyDescent="0.75">
      <c r="J253" s="220"/>
      <c r="K253" s="2"/>
      <c r="N253" s="212"/>
      <c r="O253" s="212"/>
      <c r="P253" s="212"/>
      <c r="Q253" s="212"/>
      <c r="R253" s="212"/>
      <c r="S253" s="212"/>
      <c r="T253" s="212"/>
      <c r="U253" s="212"/>
      <c r="V253" s="212"/>
      <c r="W253" s="212"/>
      <c r="X253" s="212"/>
      <c r="Y253" s="212"/>
      <c r="Z253" s="212"/>
      <c r="AA253" s="212"/>
      <c r="AB253" s="212"/>
      <c r="AC253" s="212"/>
      <c r="AD253" s="212"/>
      <c r="AE253" s="212"/>
      <c r="AF253" s="212"/>
      <c r="AG253" s="212"/>
      <c r="AH253" s="212"/>
      <c r="AI253" s="212"/>
      <c r="AJ253" s="212"/>
      <c r="AK253" s="212"/>
      <c r="AL253" s="212"/>
      <c r="AM253" s="212"/>
      <c r="AN253" s="212"/>
      <c r="AO253" s="212"/>
      <c r="AP253" s="212"/>
      <c r="AQ253" s="212"/>
      <c r="AR253" s="212"/>
      <c r="AS253" s="212"/>
      <c r="AT253" s="212"/>
      <c r="AU253" s="212"/>
      <c r="AV253" s="212"/>
      <c r="AW253" s="212"/>
      <c r="AX253" s="212"/>
      <c r="AY253" s="212"/>
      <c r="AZ253" s="212"/>
      <c r="BA253" s="212"/>
      <c r="BB253" s="212"/>
      <c r="BC253" s="212"/>
      <c r="BD253" s="212"/>
      <c r="BE253" s="212"/>
      <c r="BF253" s="212"/>
      <c r="BG253" s="212"/>
      <c r="BH253" s="212"/>
      <c r="BI253" s="212"/>
      <c r="BJ253" s="212"/>
      <c r="BK253" s="212"/>
      <c r="BL253" s="212"/>
      <c r="BM253" s="212"/>
      <c r="BN253" s="212"/>
      <c r="BO253" s="212"/>
      <c r="BP253" s="212"/>
      <c r="BQ253" s="212"/>
      <c r="BR253" s="212"/>
      <c r="BS253" s="212"/>
      <c r="BT253" s="212"/>
      <c r="BU253" s="212"/>
      <c r="BV253" s="212"/>
      <c r="BW253" s="212"/>
      <c r="BX253" s="212"/>
      <c r="BY253" s="212"/>
      <c r="BZ253" s="212"/>
      <c r="CA253" s="212"/>
      <c r="CB253" s="212"/>
      <c r="CC253" s="212"/>
      <c r="CD253" s="212"/>
      <c r="CE253" s="212"/>
      <c r="CF253" s="212"/>
      <c r="CG253" s="212"/>
      <c r="CH253" s="212"/>
      <c r="CI253" s="212"/>
      <c r="CJ253" s="212"/>
      <c r="CK253" s="212"/>
      <c r="CL253" s="212"/>
    </row>
    <row r="254" spans="10:90" ht="24.75" customHeight="1" x14ac:dyDescent="0.75">
      <c r="J254" s="220"/>
      <c r="K254" s="2"/>
      <c r="N254" s="212"/>
      <c r="O254" s="212"/>
      <c r="P254" s="212"/>
      <c r="Q254" s="212"/>
      <c r="R254" s="212"/>
      <c r="S254" s="212"/>
      <c r="T254" s="212"/>
      <c r="U254" s="212"/>
      <c r="V254" s="212"/>
      <c r="W254" s="212"/>
      <c r="X254" s="212"/>
      <c r="Y254" s="212"/>
      <c r="Z254" s="212"/>
      <c r="AA254" s="212"/>
      <c r="AB254" s="212"/>
      <c r="AC254" s="212"/>
      <c r="AD254" s="212"/>
      <c r="AE254" s="212"/>
      <c r="AF254" s="212"/>
      <c r="AG254" s="212"/>
      <c r="AH254" s="212"/>
      <c r="AI254" s="212"/>
      <c r="AJ254" s="212"/>
      <c r="AK254" s="212"/>
      <c r="AL254" s="212"/>
      <c r="AM254" s="212"/>
      <c r="AN254" s="212"/>
      <c r="AO254" s="212"/>
      <c r="AP254" s="212"/>
      <c r="AQ254" s="212"/>
      <c r="AR254" s="212"/>
      <c r="AS254" s="212"/>
      <c r="AT254" s="212"/>
      <c r="AU254" s="212"/>
      <c r="AV254" s="212"/>
      <c r="AW254" s="212"/>
      <c r="AX254" s="212"/>
      <c r="AY254" s="212"/>
      <c r="AZ254" s="212"/>
      <c r="BA254" s="212"/>
      <c r="BB254" s="212"/>
      <c r="BC254" s="212"/>
      <c r="BD254" s="212"/>
      <c r="BE254" s="212"/>
      <c r="BF254" s="212"/>
      <c r="BG254" s="212"/>
      <c r="BH254" s="212"/>
      <c r="BI254" s="212"/>
      <c r="BJ254" s="212"/>
      <c r="BK254" s="212"/>
      <c r="BL254" s="212"/>
      <c r="BM254" s="212"/>
      <c r="BN254" s="212"/>
      <c r="BO254" s="212"/>
      <c r="BP254" s="212"/>
      <c r="BQ254" s="212"/>
      <c r="BR254" s="212"/>
      <c r="BS254" s="212"/>
      <c r="BT254" s="212"/>
      <c r="BU254" s="212"/>
      <c r="BV254" s="212"/>
      <c r="BW254" s="212"/>
      <c r="BX254" s="212"/>
      <c r="BY254" s="212"/>
      <c r="BZ254" s="212"/>
      <c r="CA254" s="212"/>
      <c r="CB254" s="212"/>
      <c r="CC254" s="212"/>
      <c r="CD254" s="212"/>
      <c r="CE254" s="212"/>
      <c r="CF254" s="212"/>
      <c r="CG254" s="212"/>
      <c r="CH254" s="212"/>
      <c r="CI254" s="212"/>
      <c r="CJ254" s="212"/>
      <c r="CK254" s="212"/>
      <c r="CL254" s="212"/>
    </row>
    <row r="255" spans="10:90" ht="24.75" customHeight="1" x14ac:dyDescent="0.75">
      <c r="J255" s="220"/>
      <c r="K255" s="2"/>
      <c r="N255" s="212"/>
      <c r="O255" s="212"/>
      <c r="P255" s="212"/>
      <c r="Q255" s="212"/>
      <c r="R255" s="212"/>
      <c r="S255" s="212"/>
      <c r="T255" s="212"/>
      <c r="U255" s="212"/>
      <c r="V255" s="212"/>
      <c r="W255" s="212"/>
      <c r="X255" s="212"/>
      <c r="Y255" s="212"/>
      <c r="Z255" s="212"/>
      <c r="AA255" s="212"/>
      <c r="AB255" s="212"/>
      <c r="AC255" s="212"/>
      <c r="AD255" s="212"/>
      <c r="AE255" s="212"/>
      <c r="AF255" s="212"/>
      <c r="AG255" s="212"/>
      <c r="AH255" s="212"/>
      <c r="AI255" s="212"/>
      <c r="AJ255" s="212"/>
      <c r="AK255" s="212"/>
      <c r="AL255" s="212"/>
      <c r="AM255" s="212"/>
      <c r="AN255" s="212"/>
      <c r="AO255" s="212"/>
      <c r="AP255" s="212"/>
      <c r="AQ255" s="212"/>
      <c r="AR255" s="212"/>
      <c r="AS255" s="212"/>
      <c r="AT255" s="212"/>
      <c r="AU255" s="212"/>
      <c r="AV255" s="212"/>
      <c r="AW255" s="212"/>
      <c r="AX255" s="212"/>
      <c r="AY255" s="212"/>
      <c r="AZ255" s="212"/>
      <c r="BA255" s="212"/>
      <c r="BB255" s="212"/>
      <c r="BC255" s="212"/>
      <c r="BD255" s="212"/>
      <c r="BE255" s="212"/>
      <c r="BF255" s="212"/>
      <c r="BG255" s="212"/>
      <c r="BH255" s="212"/>
      <c r="BI255" s="212"/>
      <c r="BJ255" s="212"/>
      <c r="BK255" s="212"/>
      <c r="BL255" s="212"/>
      <c r="BM255" s="212"/>
      <c r="BN255" s="212"/>
      <c r="BO255" s="212"/>
      <c r="BP255" s="212"/>
      <c r="BQ255" s="212"/>
      <c r="BR255" s="212"/>
      <c r="BS255" s="212"/>
      <c r="BT255" s="212"/>
      <c r="BU255" s="212"/>
      <c r="BV255" s="212"/>
      <c r="BW255" s="212"/>
      <c r="BX255" s="212"/>
      <c r="BY255" s="212"/>
      <c r="BZ255" s="212"/>
      <c r="CA255" s="212"/>
      <c r="CB255" s="212"/>
      <c r="CC255" s="212"/>
      <c r="CD255" s="212"/>
      <c r="CE255" s="212"/>
      <c r="CF255" s="212"/>
      <c r="CG255" s="212"/>
      <c r="CH255" s="212"/>
      <c r="CI255" s="212"/>
      <c r="CJ255" s="212"/>
      <c r="CK255" s="212"/>
      <c r="CL255" s="212"/>
    </row>
    <row r="256" spans="10:90" ht="24.75" customHeight="1" x14ac:dyDescent="0.75">
      <c r="J256" s="220"/>
      <c r="K256" s="2"/>
      <c r="N256" s="212"/>
      <c r="O256" s="212"/>
      <c r="P256" s="212"/>
      <c r="Q256" s="212"/>
      <c r="R256" s="212"/>
      <c r="S256" s="212"/>
      <c r="T256" s="212"/>
      <c r="U256" s="212"/>
      <c r="V256" s="212"/>
      <c r="W256" s="212"/>
      <c r="X256" s="212"/>
      <c r="Y256" s="212"/>
      <c r="Z256" s="212"/>
      <c r="AA256" s="212"/>
      <c r="AB256" s="212"/>
      <c r="AC256" s="212"/>
      <c r="AD256" s="212"/>
      <c r="AE256" s="212"/>
      <c r="AF256" s="212"/>
      <c r="AG256" s="212"/>
      <c r="AH256" s="212"/>
      <c r="AI256" s="212"/>
      <c r="AJ256" s="212"/>
      <c r="AK256" s="212"/>
      <c r="AL256" s="212"/>
      <c r="AM256" s="212"/>
      <c r="AN256" s="212"/>
      <c r="AO256" s="212"/>
      <c r="AP256" s="212"/>
      <c r="AQ256" s="212"/>
      <c r="AR256" s="212"/>
      <c r="AS256" s="212"/>
      <c r="AT256" s="212"/>
      <c r="AU256" s="212"/>
      <c r="AV256" s="212"/>
      <c r="AW256" s="212"/>
      <c r="AX256" s="212"/>
      <c r="AY256" s="212"/>
      <c r="AZ256" s="212"/>
      <c r="BA256" s="212"/>
      <c r="BB256" s="212"/>
      <c r="BC256" s="212"/>
      <c r="BD256" s="212"/>
      <c r="BE256" s="212"/>
      <c r="BF256" s="212"/>
      <c r="BG256" s="212"/>
      <c r="BH256" s="212"/>
      <c r="BI256" s="212"/>
      <c r="BJ256" s="212"/>
      <c r="BK256" s="212"/>
      <c r="BL256" s="212"/>
      <c r="BM256" s="212"/>
      <c r="BN256" s="212"/>
      <c r="BO256" s="212"/>
      <c r="BP256" s="212"/>
      <c r="BQ256" s="212"/>
      <c r="BR256" s="212"/>
      <c r="BS256" s="212"/>
      <c r="BT256" s="212"/>
      <c r="BU256" s="212"/>
      <c r="BV256" s="212"/>
      <c r="BW256" s="212"/>
      <c r="BX256" s="212"/>
      <c r="BY256" s="212"/>
      <c r="BZ256" s="212"/>
      <c r="CA256" s="212"/>
      <c r="CB256" s="212"/>
      <c r="CC256" s="212"/>
      <c r="CD256" s="212"/>
      <c r="CE256" s="212"/>
      <c r="CF256" s="212"/>
      <c r="CG256" s="212"/>
      <c r="CH256" s="212"/>
      <c r="CI256" s="212"/>
      <c r="CJ256" s="212"/>
      <c r="CK256" s="212"/>
      <c r="CL256" s="212"/>
    </row>
    <row r="257" spans="10:90" ht="24.75" customHeight="1" x14ac:dyDescent="0.75">
      <c r="J257" s="220"/>
      <c r="K257" s="2"/>
      <c r="N257" s="212"/>
      <c r="O257" s="212"/>
      <c r="P257" s="212"/>
      <c r="Q257" s="212"/>
      <c r="R257" s="212"/>
      <c r="S257" s="212"/>
      <c r="T257" s="212"/>
      <c r="U257" s="212"/>
      <c r="V257" s="212"/>
      <c r="W257" s="212"/>
      <c r="X257" s="212"/>
      <c r="Y257" s="212"/>
      <c r="Z257" s="212"/>
      <c r="AA257" s="212"/>
      <c r="AB257" s="212"/>
      <c r="AC257" s="212"/>
      <c r="AD257" s="212"/>
      <c r="AE257" s="212"/>
      <c r="AF257" s="212"/>
      <c r="AG257" s="212"/>
      <c r="AH257" s="212"/>
      <c r="AI257" s="212"/>
      <c r="AJ257" s="212"/>
      <c r="AK257" s="212"/>
      <c r="AL257" s="212"/>
      <c r="AM257" s="212"/>
      <c r="AN257" s="212"/>
      <c r="AO257" s="212"/>
      <c r="AP257" s="212"/>
      <c r="AQ257" s="212"/>
      <c r="AR257" s="212"/>
      <c r="AS257" s="212"/>
      <c r="AT257" s="212"/>
      <c r="AU257" s="212"/>
      <c r="AV257" s="212"/>
      <c r="AW257" s="212"/>
      <c r="AX257" s="212"/>
      <c r="AY257" s="212"/>
      <c r="AZ257" s="212"/>
      <c r="BA257" s="212"/>
      <c r="BB257" s="212"/>
      <c r="BC257" s="212"/>
      <c r="BD257" s="212"/>
      <c r="BE257" s="212"/>
      <c r="BF257" s="212"/>
      <c r="BG257" s="212"/>
      <c r="BH257" s="212"/>
      <c r="BI257" s="212"/>
      <c r="BJ257" s="212"/>
      <c r="BK257" s="212"/>
      <c r="BL257" s="212"/>
      <c r="BM257" s="212"/>
      <c r="BN257" s="212"/>
      <c r="BO257" s="212"/>
      <c r="BP257" s="212"/>
      <c r="BQ257" s="212"/>
      <c r="BR257" s="212"/>
      <c r="BS257" s="212"/>
      <c r="BT257" s="212"/>
      <c r="BU257" s="212"/>
      <c r="BV257" s="212"/>
      <c r="BW257" s="212"/>
      <c r="BX257" s="212"/>
      <c r="BY257" s="212"/>
      <c r="BZ257" s="212"/>
      <c r="CA257" s="212"/>
      <c r="CB257" s="212"/>
      <c r="CC257" s="212"/>
      <c r="CD257" s="212"/>
      <c r="CE257" s="212"/>
      <c r="CF257" s="212"/>
      <c r="CG257" s="212"/>
      <c r="CH257" s="212"/>
      <c r="CI257" s="212"/>
      <c r="CJ257" s="212"/>
      <c r="CK257" s="212"/>
      <c r="CL257" s="212"/>
    </row>
    <row r="258" spans="10:90" ht="24.75" customHeight="1" x14ac:dyDescent="0.75">
      <c r="J258" s="220"/>
      <c r="K258" s="2"/>
      <c r="N258" s="212"/>
      <c r="O258" s="212"/>
      <c r="P258" s="212"/>
      <c r="Q258" s="212"/>
      <c r="R258" s="212"/>
      <c r="S258" s="212"/>
      <c r="T258" s="212"/>
      <c r="U258" s="212"/>
      <c r="V258" s="212"/>
      <c r="W258" s="212"/>
      <c r="X258" s="212"/>
      <c r="Y258" s="212"/>
      <c r="Z258" s="212"/>
      <c r="AA258" s="212"/>
      <c r="AB258" s="212"/>
      <c r="AC258" s="212"/>
      <c r="AD258" s="212"/>
      <c r="AE258" s="212"/>
      <c r="AF258" s="212"/>
      <c r="AG258" s="212"/>
      <c r="AH258" s="212"/>
      <c r="AI258" s="212"/>
      <c r="AJ258" s="212"/>
      <c r="AK258" s="212"/>
      <c r="AL258" s="212"/>
      <c r="AM258" s="212"/>
      <c r="AN258" s="212"/>
      <c r="AO258" s="212"/>
      <c r="AP258" s="212"/>
      <c r="AQ258" s="212"/>
      <c r="AR258" s="212"/>
      <c r="AS258" s="212"/>
      <c r="AT258" s="212"/>
      <c r="AU258" s="212"/>
      <c r="AV258" s="212"/>
      <c r="AW258" s="212"/>
      <c r="AX258" s="212"/>
      <c r="AY258" s="212"/>
      <c r="AZ258" s="212"/>
      <c r="BA258" s="212"/>
      <c r="BB258" s="212"/>
      <c r="BC258" s="212"/>
      <c r="BD258" s="212"/>
      <c r="BE258" s="212"/>
      <c r="BF258" s="212"/>
      <c r="BG258" s="212"/>
      <c r="BH258" s="212"/>
      <c r="BI258" s="212"/>
      <c r="BJ258" s="212"/>
      <c r="BK258" s="212"/>
      <c r="BL258" s="212"/>
      <c r="BM258" s="212"/>
      <c r="BN258" s="212"/>
      <c r="BO258" s="212"/>
      <c r="BP258" s="212"/>
      <c r="BQ258" s="212"/>
      <c r="BR258" s="212"/>
      <c r="BS258" s="212"/>
      <c r="BT258" s="212"/>
      <c r="BU258" s="212"/>
      <c r="BV258" s="212"/>
      <c r="BW258" s="212"/>
      <c r="BX258" s="212"/>
      <c r="BY258" s="212"/>
      <c r="BZ258" s="212"/>
      <c r="CA258" s="212"/>
      <c r="CB258" s="212"/>
      <c r="CC258" s="212"/>
      <c r="CD258" s="212"/>
      <c r="CE258" s="212"/>
      <c r="CF258" s="212"/>
      <c r="CG258" s="212"/>
      <c r="CH258" s="212"/>
      <c r="CI258" s="212"/>
      <c r="CJ258" s="212"/>
      <c r="CK258" s="212"/>
      <c r="CL258" s="212"/>
    </row>
    <row r="259" spans="10:90" ht="24.75" customHeight="1" x14ac:dyDescent="0.75">
      <c r="J259" s="220"/>
      <c r="K259" s="2"/>
      <c r="N259" s="212"/>
      <c r="O259" s="212"/>
      <c r="P259" s="212"/>
      <c r="Q259" s="212"/>
      <c r="R259" s="212"/>
      <c r="S259" s="212"/>
      <c r="T259" s="212"/>
      <c r="U259" s="212"/>
      <c r="V259" s="212"/>
      <c r="W259" s="212"/>
      <c r="X259" s="212"/>
      <c r="Y259" s="212"/>
      <c r="Z259" s="212"/>
      <c r="AA259" s="212"/>
      <c r="AB259" s="212"/>
      <c r="AC259" s="212"/>
      <c r="AD259" s="212"/>
      <c r="AE259" s="212"/>
      <c r="AF259" s="212"/>
      <c r="AG259" s="212"/>
      <c r="AH259" s="212"/>
      <c r="AI259" s="212"/>
      <c r="AJ259" s="212"/>
      <c r="AK259" s="212"/>
      <c r="AL259" s="212"/>
      <c r="AM259" s="212"/>
      <c r="AN259" s="212"/>
      <c r="AO259" s="212"/>
      <c r="AP259" s="212"/>
      <c r="AQ259" s="212"/>
      <c r="AR259" s="212"/>
      <c r="AS259" s="212"/>
      <c r="AT259" s="212"/>
      <c r="AU259" s="212"/>
      <c r="AV259" s="212"/>
      <c r="AW259" s="212"/>
      <c r="AX259" s="212"/>
      <c r="AY259" s="212"/>
      <c r="AZ259" s="212"/>
      <c r="BA259" s="212"/>
      <c r="BB259" s="212"/>
      <c r="BC259" s="212"/>
      <c r="BD259" s="212"/>
      <c r="BE259" s="212"/>
      <c r="BF259" s="212"/>
      <c r="BG259" s="212"/>
      <c r="BH259" s="212"/>
      <c r="BI259" s="212"/>
      <c r="BJ259" s="212"/>
      <c r="BK259" s="212"/>
      <c r="BL259" s="212"/>
      <c r="BM259" s="212"/>
      <c r="BN259" s="212"/>
      <c r="BO259" s="212"/>
      <c r="BP259" s="212"/>
      <c r="BQ259" s="212"/>
      <c r="BR259" s="212"/>
      <c r="BS259" s="212"/>
      <c r="BT259" s="212"/>
      <c r="BU259" s="212"/>
      <c r="BV259" s="212"/>
      <c r="BW259" s="212"/>
      <c r="BX259" s="212"/>
      <c r="BY259" s="212"/>
      <c r="BZ259" s="212"/>
      <c r="CA259" s="212"/>
      <c r="CB259" s="212"/>
      <c r="CC259" s="212"/>
      <c r="CD259" s="212"/>
      <c r="CE259" s="212"/>
      <c r="CF259" s="212"/>
      <c r="CG259" s="212"/>
      <c r="CH259" s="212"/>
      <c r="CI259" s="212"/>
      <c r="CJ259" s="212"/>
      <c r="CK259" s="212"/>
      <c r="CL259" s="212"/>
    </row>
    <row r="260" spans="10:90" ht="24.75" customHeight="1" x14ac:dyDescent="0.75">
      <c r="J260" s="220"/>
      <c r="K260" s="2"/>
      <c r="N260" s="212"/>
      <c r="O260" s="212"/>
      <c r="P260" s="212"/>
      <c r="Q260" s="212"/>
      <c r="R260" s="212"/>
      <c r="S260" s="212"/>
      <c r="T260" s="212"/>
      <c r="U260" s="212"/>
      <c r="V260" s="212"/>
      <c r="W260" s="212"/>
      <c r="X260" s="212"/>
      <c r="Y260" s="212"/>
      <c r="Z260" s="212"/>
      <c r="AA260" s="212"/>
      <c r="AB260" s="212"/>
      <c r="AC260" s="212"/>
      <c r="AD260" s="212"/>
      <c r="AE260" s="212"/>
      <c r="AF260" s="212"/>
      <c r="AG260" s="212"/>
      <c r="AH260" s="212"/>
      <c r="AI260" s="212"/>
      <c r="AJ260" s="212"/>
      <c r="AK260" s="212"/>
      <c r="AL260" s="212"/>
      <c r="AM260" s="212"/>
      <c r="AN260" s="212"/>
      <c r="AO260" s="212"/>
      <c r="AP260" s="212"/>
      <c r="AQ260" s="212"/>
      <c r="AR260" s="212"/>
      <c r="AS260" s="212"/>
      <c r="AT260" s="212"/>
      <c r="AU260" s="212"/>
      <c r="AV260" s="212"/>
      <c r="AW260" s="212"/>
      <c r="AX260" s="212"/>
      <c r="AY260" s="212"/>
      <c r="AZ260" s="212"/>
      <c r="BA260" s="212"/>
      <c r="BB260" s="212"/>
      <c r="BC260" s="212"/>
      <c r="BD260" s="212"/>
      <c r="BE260" s="212"/>
      <c r="BF260" s="212"/>
      <c r="BG260" s="212"/>
      <c r="BH260" s="212"/>
      <c r="BI260" s="212"/>
      <c r="BJ260" s="212"/>
      <c r="BK260" s="212"/>
      <c r="BL260" s="212"/>
      <c r="BM260" s="212"/>
      <c r="BN260" s="212"/>
      <c r="BO260" s="212"/>
      <c r="BP260" s="212"/>
      <c r="BQ260" s="212"/>
      <c r="BR260" s="212"/>
      <c r="BS260" s="212"/>
      <c r="BT260" s="212"/>
      <c r="BU260" s="212"/>
      <c r="BV260" s="212"/>
      <c r="BW260" s="212"/>
      <c r="BX260" s="212"/>
      <c r="BY260" s="212"/>
      <c r="BZ260" s="212"/>
      <c r="CA260" s="212"/>
      <c r="CB260" s="212"/>
      <c r="CC260" s="212"/>
      <c r="CD260" s="212"/>
      <c r="CE260" s="212"/>
      <c r="CF260" s="212"/>
      <c r="CG260" s="212"/>
      <c r="CH260" s="212"/>
      <c r="CI260" s="212"/>
      <c r="CJ260" s="212"/>
      <c r="CK260" s="212"/>
      <c r="CL260" s="212"/>
    </row>
    <row r="261" spans="10:90" ht="24.75" customHeight="1" x14ac:dyDescent="0.75">
      <c r="J261" s="220"/>
      <c r="K261" s="2"/>
      <c r="N261" s="212"/>
      <c r="O261" s="212"/>
      <c r="P261" s="212"/>
      <c r="Q261" s="212"/>
      <c r="R261" s="212"/>
      <c r="S261" s="212"/>
      <c r="T261" s="212"/>
      <c r="U261" s="212"/>
      <c r="V261" s="212"/>
      <c r="W261" s="212"/>
      <c r="X261" s="212"/>
      <c r="Y261" s="212"/>
      <c r="Z261" s="212"/>
      <c r="AA261" s="212"/>
      <c r="AB261" s="212"/>
      <c r="AC261" s="212"/>
      <c r="AD261" s="212"/>
      <c r="AE261" s="212"/>
      <c r="AF261" s="212"/>
      <c r="AG261" s="212"/>
      <c r="AH261" s="212"/>
      <c r="AI261" s="212"/>
      <c r="AJ261" s="212"/>
      <c r="AK261" s="212"/>
      <c r="AL261" s="212"/>
      <c r="AM261" s="212"/>
      <c r="AN261" s="212"/>
      <c r="AO261" s="212"/>
      <c r="AP261" s="212"/>
      <c r="AQ261" s="212"/>
      <c r="AR261" s="212"/>
      <c r="AS261" s="212"/>
      <c r="AT261" s="212"/>
      <c r="AU261" s="212"/>
      <c r="AV261" s="212"/>
      <c r="AW261" s="212"/>
      <c r="AX261" s="212"/>
      <c r="AY261" s="212"/>
      <c r="AZ261" s="212"/>
      <c r="BA261" s="212"/>
      <c r="BB261" s="212"/>
      <c r="BC261" s="212"/>
      <c r="BD261" s="212"/>
      <c r="BE261" s="212"/>
      <c r="BF261" s="212"/>
      <c r="BG261" s="212"/>
      <c r="BH261" s="212"/>
      <c r="BI261" s="212"/>
      <c r="BJ261" s="212"/>
      <c r="BK261" s="212"/>
      <c r="BL261" s="212"/>
      <c r="BM261" s="212"/>
      <c r="BN261" s="212"/>
      <c r="BO261" s="212"/>
      <c r="BP261" s="212"/>
      <c r="BQ261" s="212"/>
      <c r="BR261" s="212"/>
      <c r="BS261" s="212"/>
      <c r="BT261" s="212"/>
      <c r="BU261" s="212"/>
      <c r="BV261" s="212"/>
      <c r="BW261" s="212"/>
      <c r="BX261" s="212"/>
      <c r="BY261" s="212"/>
      <c r="BZ261" s="212"/>
      <c r="CA261" s="212"/>
      <c r="CB261" s="212"/>
      <c r="CC261" s="212"/>
      <c r="CD261" s="212"/>
      <c r="CE261" s="212"/>
      <c r="CF261" s="212"/>
      <c r="CG261" s="212"/>
      <c r="CH261" s="212"/>
      <c r="CI261" s="212"/>
      <c r="CJ261" s="212"/>
      <c r="CK261" s="212"/>
      <c r="CL261" s="212"/>
    </row>
    <row r="262" spans="10:90" ht="24.75" customHeight="1" x14ac:dyDescent="0.75">
      <c r="J262" s="220"/>
      <c r="K262" s="2"/>
      <c r="N262" s="212"/>
      <c r="O262" s="212"/>
      <c r="P262" s="212"/>
      <c r="Q262" s="212"/>
      <c r="R262" s="212"/>
      <c r="S262" s="212"/>
      <c r="T262" s="212"/>
      <c r="U262" s="212"/>
      <c r="V262" s="212"/>
      <c r="W262" s="212"/>
      <c r="X262" s="212"/>
      <c r="Y262" s="212"/>
      <c r="Z262" s="212"/>
      <c r="AA262" s="212"/>
      <c r="AB262" s="212"/>
      <c r="AC262" s="212"/>
      <c r="AD262" s="212"/>
      <c r="AE262" s="212"/>
      <c r="AF262" s="212"/>
      <c r="AG262" s="212"/>
      <c r="AH262" s="212"/>
      <c r="AI262" s="212"/>
      <c r="AJ262" s="212"/>
      <c r="AK262" s="212"/>
      <c r="AL262" s="212"/>
      <c r="AM262" s="212"/>
      <c r="AN262" s="212"/>
      <c r="AO262" s="212"/>
      <c r="AP262" s="212"/>
      <c r="AQ262" s="212"/>
      <c r="AR262" s="212"/>
      <c r="AS262" s="212"/>
      <c r="AT262" s="212"/>
      <c r="AU262" s="212"/>
      <c r="AV262" s="212"/>
      <c r="AW262" s="212"/>
      <c r="AX262" s="212"/>
      <c r="AY262" s="212"/>
      <c r="AZ262" s="212"/>
      <c r="BA262" s="212"/>
      <c r="BB262" s="212"/>
      <c r="BC262" s="212"/>
      <c r="BD262" s="212"/>
      <c r="BE262" s="212"/>
      <c r="BF262" s="212"/>
      <c r="BG262" s="212"/>
      <c r="BH262" s="212"/>
      <c r="BI262" s="212"/>
      <c r="BJ262" s="212"/>
      <c r="BK262" s="212"/>
      <c r="BL262" s="212"/>
      <c r="BM262" s="212"/>
      <c r="BN262" s="212"/>
      <c r="BO262" s="212"/>
      <c r="BP262" s="212"/>
      <c r="BQ262" s="212"/>
      <c r="BR262" s="212"/>
      <c r="BS262" s="212"/>
      <c r="BT262" s="212"/>
      <c r="BU262" s="212"/>
      <c r="BV262" s="212"/>
      <c r="BW262" s="212"/>
      <c r="BX262" s="212"/>
      <c r="BY262" s="212"/>
      <c r="BZ262" s="212"/>
      <c r="CA262" s="212"/>
      <c r="CB262" s="212"/>
      <c r="CC262" s="212"/>
      <c r="CD262" s="212"/>
      <c r="CE262" s="212"/>
      <c r="CF262" s="212"/>
      <c r="CG262" s="212"/>
      <c r="CH262" s="212"/>
      <c r="CI262" s="212"/>
      <c r="CJ262" s="212"/>
      <c r="CK262" s="212"/>
      <c r="CL262" s="212"/>
    </row>
    <row r="263" spans="10:90" ht="24.75" customHeight="1" x14ac:dyDescent="0.75">
      <c r="J263" s="220"/>
      <c r="K263" s="2"/>
      <c r="N263" s="212"/>
      <c r="O263" s="212"/>
      <c r="P263" s="212"/>
      <c r="Q263" s="212"/>
      <c r="R263" s="212"/>
      <c r="S263" s="212"/>
      <c r="T263" s="212"/>
      <c r="U263" s="212"/>
      <c r="V263" s="212"/>
      <c r="W263" s="212"/>
      <c r="X263" s="212"/>
      <c r="Y263" s="212"/>
      <c r="Z263" s="212"/>
      <c r="AA263" s="212"/>
      <c r="AB263" s="212"/>
      <c r="AC263" s="212"/>
      <c r="AD263" s="212"/>
      <c r="AE263" s="212"/>
      <c r="AF263" s="212"/>
      <c r="AG263" s="212"/>
      <c r="AH263" s="212"/>
      <c r="AI263" s="212"/>
      <c r="AJ263" s="212"/>
      <c r="AK263" s="212"/>
      <c r="AL263" s="212"/>
      <c r="AM263" s="212"/>
      <c r="AN263" s="212"/>
      <c r="AO263" s="212"/>
      <c r="AP263" s="212"/>
      <c r="AQ263" s="212"/>
      <c r="AR263" s="212"/>
      <c r="AS263" s="212"/>
      <c r="AT263" s="212"/>
      <c r="AU263" s="212"/>
      <c r="AV263" s="212"/>
      <c r="AW263" s="212"/>
      <c r="AX263" s="212"/>
      <c r="AY263" s="212"/>
      <c r="AZ263" s="212"/>
      <c r="BA263" s="212"/>
      <c r="BB263" s="212"/>
      <c r="BC263" s="212"/>
      <c r="BD263" s="212"/>
      <c r="BE263" s="212"/>
      <c r="BF263" s="212"/>
      <c r="BG263" s="212"/>
      <c r="BH263" s="212"/>
      <c r="BI263" s="212"/>
      <c r="BJ263" s="212"/>
      <c r="BK263" s="212"/>
      <c r="BL263" s="212"/>
      <c r="BM263" s="212"/>
      <c r="BN263" s="212"/>
      <c r="BO263" s="212"/>
      <c r="BP263" s="212"/>
      <c r="BQ263" s="212"/>
      <c r="BR263" s="212"/>
      <c r="BS263" s="212"/>
      <c r="BT263" s="212"/>
      <c r="BU263" s="212"/>
      <c r="BV263" s="212"/>
      <c r="BW263" s="212"/>
      <c r="BX263" s="212"/>
      <c r="BY263" s="212"/>
      <c r="BZ263" s="212"/>
      <c r="CA263" s="212"/>
      <c r="CB263" s="212"/>
      <c r="CC263" s="212"/>
      <c r="CD263" s="212"/>
      <c r="CE263" s="212"/>
      <c r="CF263" s="212"/>
      <c r="CG263" s="212"/>
      <c r="CH263" s="212"/>
      <c r="CI263" s="212"/>
      <c r="CJ263" s="212"/>
      <c r="CK263" s="212"/>
      <c r="CL263" s="212"/>
    </row>
    <row r="264" spans="10:90" ht="24.75" customHeight="1" x14ac:dyDescent="0.75">
      <c r="J264" s="220"/>
      <c r="K264" s="2"/>
      <c r="N264" s="212"/>
      <c r="O264" s="212"/>
      <c r="P264" s="212"/>
      <c r="Q264" s="212"/>
      <c r="R264" s="212"/>
      <c r="S264" s="212"/>
      <c r="T264" s="212"/>
      <c r="U264" s="212"/>
      <c r="V264" s="212"/>
      <c r="W264" s="212"/>
      <c r="X264" s="212"/>
      <c r="Y264" s="212"/>
      <c r="Z264" s="212"/>
      <c r="AA264" s="212"/>
      <c r="AB264" s="212"/>
      <c r="AC264" s="212"/>
      <c r="AD264" s="212"/>
      <c r="AE264" s="212"/>
      <c r="AF264" s="212"/>
      <c r="AG264" s="212"/>
      <c r="AH264" s="212"/>
      <c r="AI264" s="212"/>
      <c r="AJ264" s="212"/>
      <c r="AK264" s="212"/>
      <c r="AL264" s="212"/>
      <c r="AM264" s="212"/>
      <c r="AN264" s="212"/>
      <c r="AO264" s="212"/>
      <c r="AP264" s="212"/>
      <c r="AQ264" s="212"/>
      <c r="AR264" s="212"/>
      <c r="AS264" s="212"/>
      <c r="AT264" s="212"/>
      <c r="AU264" s="212"/>
      <c r="AV264" s="212"/>
      <c r="AW264" s="212"/>
      <c r="AX264" s="212"/>
      <c r="AY264" s="212"/>
      <c r="AZ264" s="212"/>
      <c r="BA264" s="212"/>
      <c r="BB264" s="212"/>
      <c r="BC264" s="212"/>
      <c r="BD264" s="212"/>
      <c r="BE264" s="212"/>
      <c r="BF264" s="212"/>
      <c r="BG264" s="212"/>
      <c r="BH264" s="212"/>
      <c r="BI264" s="212"/>
      <c r="BJ264" s="212"/>
      <c r="BK264" s="212"/>
      <c r="BL264" s="212"/>
      <c r="BM264" s="212"/>
      <c r="BN264" s="212"/>
      <c r="BO264" s="212"/>
      <c r="BP264" s="212"/>
      <c r="BQ264" s="212"/>
      <c r="BR264" s="212"/>
      <c r="BS264" s="212"/>
      <c r="BT264" s="212"/>
      <c r="BU264" s="212"/>
      <c r="BV264" s="212"/>
      <c r="BW264" s="212"/>
      <c r="BX264" s="212"/>
      <c r="BY264" s="212"/>
      <c r="BZ264" s="212"/>
      <c r="CA264" s="212"/>
      <c r="CB264" s="212"/>
      <c r="CC264" s="212"/>
      <c r="CD264" s="212"/>
      <c r="CE264" s="212"/>
      <c r="CF264" s="212"/>
      <c r="CG264" s="212"/>
      <c r="CH264" s="212"/>
      <c r="CI264" s="212"/>
      <c r="CJ264" s="212"/>
      <c r="CK264" s="212"/>
      <c r="CL264" s="212"/>
    </row>
    <row r="265" spans="10:90" ht="24.75" customHeight="1" x14ac:dyDescent="0.75">
      <c r="J265" s="220"/>
      <c r="K265" s="2"/>
      <c r="N265" s="212"/>
      <c r="O265" s="212"/>
      <c r="P265" s="212"/>
      <c r="Q265" s="212"/>
      <c r="R265" s="212"/>
      <c r="S265" s="212"/>
      <c r="T265" s="212"/>
      <c r="U265" s="212"/>
      <c r="V265" s="212"/>
      <c r="W265" s="212"/>
      <c r="X265" s="212"/>
      <c r="Y265" s="212"/>
      <c r="Z265" s="212"/>
      <c r="AA265" s="212"/>
      <c r="AB265" s="212"/>
      <c r="AC265" s="212"/>
      <c r="AD265" s="212"/>
      <c r="AE265" s="212"/>
      <c r="AF265" s="212"/>
      <c r="AG265" s="212"/>
      <c r="AH265" s="212"/>
      <c r="AI265" s="212"/>
      <c r="AJ265" s="212"/>
      <c r="AK265" s="212"/>
      <c r="AL265" s="212"/>
      <c r="AM265" s="212"/>
      <c r="AN265" s="212"/>
      <c r="AO265" s="212"/>
      <c r="AP265" s="212"/>
      <c r="AQ265" s="212"/>
      <c r="AR265" s="212"/>
      <c r="AS265" s="212"/>
      <c r="AT265" s="212"/>
      <c r="AU265" s="212"/>
      <c r="AV265" s="212"/>
      <c r="AW265" s="212"/>
      <c r="AX265" s="212"/>
      <c r="AY265" s="212"/>
      <c r="AZ265" s="212"/>
      <c r="BA265" s="212"/>
      <c r="BB265" s="212"/>
      <c r="BC265" s="212"/>
      <c r="BD265" s="212"/>
      <c r="BE265" s="212"/>
      <c r="BF265" s="212"/>
      <c r="BG265" s="212"/>
      <c r="BH265" s="212"/>
      <c r="BI265" s="212"/>
      <c r="BJ265" s="212"/>
      <c r="BK265" s="212"/>
      <c r="BL265" s="212"/>
      <c r="BM265" s="212"/>
      <c r="BN265" s="212"/>
      <c r="BO265" s="212"/>
      <c r="BP265" s="212"/>
      <c r="BQ265" s="212"/>
      <c r="BR265" s="212"/>
      <c r="BS265" s="212"/>
      <c r="BT265" s="212"/>
      <c r="BU265" s="212"/>
      <c r="BV265" s="212"/>
      <c r="BW265" s="212"/>
      <c r="BX265" s="212"/>
      <c r="BY265" s="212"/>
      <c r="BZ265" s="212"/>
      <c r="CA265" s="212"/>
      <c r="CB265" s="212"/>
      <c r="CC265" s="212"/>
      <c r="CD265" s="212"/>
      <c r="CE265" s="212"/>
      <c r="CF265" s="212"/>
      <c r="CG265" s="212"/>
      <c r="CH265" s="212"/>
      <c r="CI265" s="212"/>
      <c r="CJ265" s="212"/>
      <c r="CK265" s="212"/>
      <c r="CL265" s="212"/>
    </row>
    <row r="266" spans="10:90" ht="24.75" customHeight="1" x14ac:dyDescent="0.75">
      <c r="J266" s="220"/>
      <c r="K266" s="2"/>
      <c r="N266" s="212"/>
      <c r="O266" s="212"/>
      <c r="P266" s="212"/>
      <c r="Q266" s="212"/>
      <c r="R266" s="212"/>
      <c r="S266" s="212"/>
      <c r="T266" s="212"/>
      <c r="U266" s="212"/>
      <c r="V266" s="212"/>
      <c r="W266" s="212"/>
      <c r="X266" s="212"/>
      <c r="Y266" s="212"/>
      <c r="Z266" s="212"/>
      <c r="AA266" s="212"/>
      <c r="AB266" s="212"/>
      <c r="AC266" s="212"/>
      <c r="AD266" s="212"/>
      <c r="AE266" s="212"/>
      <c r="AF266" s="212"/>
      <c r="AG266" s="212"/>
      <c r="AH266" s="212"/>
      <c r="AI266" s="212"/>
      <c r="AJ266" s="212"/>
      <c r="AK266" s="212"/>
      <c r="AL266" s="212"/>
      <c r="AM266" s="212"/>
      <c r="AN266" s="212"/>
      <c r="AO266" s="212"/>
      <c r="AP266" s="212"/>
      <c r="AQ266" s="212"/>
      <c r="AR266" s="212"/>
      <c r="AS266" s="212"/>
      <c r="AT266" s="212"/>
      <c r="AU266" s="212"/>
      <c r="AV266" s="212"/>
      <c r="AW266" s="212"/>
      <c r="AX266" s="212"/>
      <c r="AY266" s="212"/>
      <c r="AZ266" s="212"/>
      <c r="BA266" s="212"/>
      <c r="BB266" s="212"/>
      <c r="BC266" s="212"/>
      <c r="BD266" s="212"/>
      <c r="BE266" s="212"/>
      <c r="BF266" s="212"/>
      <c r="BG266" s="212"/>
      <c r="BH266" s="212"/>
      <c r="BI266" s="212"/>
      <c r="BJ266" s="212"/>
      <c r="BK266" s="212"/>
      <c r="BL266" s="212"/>
      <c r="BM266" s="212"/>
      <c r="BN266" s="212"/>
      <c r="BO266" s="212"/>
      <c r="BP266" s="212"/>
      <c r="BQ266" s="212"/>
      <c r="BR266" s="212"/>
      <c r="BS266" s="212"/>
      <c r="BT266" s="212"/>
      <c r="BU266" s="212"/>
      <c r="BV266" s="212"/>
      <c r="BW266" s="212"/>
      <c r="BX266" s="212"/>
      <c r="BY266" s="212"/>
      <c r="BZ266" s="212"/>
      <c r="CA266" s="212"/>
      <c r="CB266" s="212"/>
      <c r="CC266" s="212"/>
      <c r="CD266" s="212"/>
      <c r="CE266" s="212"/>
      <c r="CF266" s="212"/>
      <c r="CG266" s="212"/>
      <c r="CH266" s="212"/>
      <c r="CI266" s="212"/>
      <c r="CJ266" s="212"/>
      <c r="CK266" s="212"/>
      <c r="CL266" s="212"/>
    </row>
    <row r="267" spans="10:90" ht="24.75" customHeight="1" x14ac:dyDescent="0.75">
      <c r="J267" s="220"/>
      <c r="K267" s="2"/>
      <c r="N267" s="212"/>
      <c r="O267" s="212"/>
      <c r="P267" s="212"/>
      <c r="Q267" s="212"/>
      <c r="R267" s="212"/>
      <c r="S267" s="212"/>
      <c r="T267" s="212"/>
      <c r="U267" s="212"/>
      <c r="V267" s="212"/>
      <c r="W267" s="212"/>
      <c r="X267" s="212"/>
      <c r="Y267" s="212"/>
      <c r="Z267" s="212"/>
      <c r="AA267" s="212"/>
      <c r="AB267" s="212"/>
      <c r="AC267" s="212"/>
      <c r="AD267" s="212"/>
      <c r="AE267" s="212"/>
      <c r="AF267" s="212"/>
      <c r="AG267" s="212"/>
      <c r="AH267" s="212"/>
      <c r="AI267" s="212"/>
      <c r="AJ267" s="212"/>
      <c r="AK267" s="212"/>
      <c r="AL267" s="212"/>
      <c r="AM267" s="212"/>
      <c r="AN267" s="212"/>
      <c r="AO267" s="212"/>
      <c r="AP267" s="212"/>
      <c r="AQ267" s="212"/>
      <c r="AR267" s="212"/>
      <c r="AS267" s="212"/>
      <c r="AT267" s="212"/>
      <c r="AU267" s="212"/>
      <c r="AV267" s="212"/>
      <c r="AW267" s="212"/>
      <c r="AX267" s="212"/>
      <c r="AY267" s="212"/>
      <c r="AZ267" s="212"/>
      <c r="BA267" s="212"/>
      <c r="BB267" s="212"/>
      <c r="BC267" s="212"/>
      <c r="BD267" s="212"/>
      <c r="BE267" s="212"/>
      <c r="BF267" s="212"/>
      <c r="BG267" s="212"/>
      <c r="BH267" s="212"/>
      <c r="BI267" s="212"/>
      <c r="BJ267" s="212"/>
      <c r="BK267" s="212"/>
      <c r="BL267" s="212"/>
      <c r="BM267" s="212"/>
      <c r="BN267" s="212"/>
      <c r="BO267" s="212"/>
      <c r="BP267" s="212"/>
      <c r="BQ267" s="212"/>
      <c r="BR267" s="212"/>
      <c r="BS267" s="212"/>
      <c r="BT267" s="212"/>
      <c r="BU267" s="212"/>
      <c r="BV267" s="212"/>
      <c r="BW267" s="212"/>
      <c r="BX267" s="212"/>
      <c r="BY267" s="212"/>
      <c r="BZ267" s="212"/>
      <c r="CA267" s="212"/>
      <c r="CB267" s="212"/>
      <c r="CC267" s="212"/>
      <c r="CD267" s="212"/>
      <c r="CE267" s="212"/>
      <c r="CF267" s="212"/>
      <c r="CG267" s="212"/>
      <c r="CH267" s="212"/>
      <c r="CI267" s="212"/>
      <c r="CJ267" s="212"/>
      <c r="CK267" s="212"/>
      <c r="CL267" s="212"/>
    </row>
    <row r="268" spans="10:90" ht="24.75" customHeight="1" x14ac:dyDescent="0.75">
      <c r="J268" s="220"/>
      <c r="K268" s="2"/>
      <c r="N268" s="212"/>
      <c r="O268" s="212"/>
      <c r="P268" s="212"/>
      <c r="Q268" s="212"/>
      <c r="R268" s="212"/>
      <c r="S268" s="212"/>
      <c r="T268" s="212"/>
      <c r="U268" s="212"/>
      <c r="V268" s="212"/>
      <c r="W268" s="212"/>
      <c r="X268" s="212"/>
      <c r="Y268" s="212"/>
      <c r="Z268" s="212"/>
      <c r="AA268" s="212"/>
      <c r="AB268" s="212"/>
      <c r="AC268" s="212"/>
      <c r="AD268" s="212"/>
      <c r="AE268" s="212"/>
      <c r="AF268" s="212"/>
      <c r="AG268" s="212"/>
      <c r="AH268" s="212"/>
      <c r="AI268" s="212"/>
      <c r="AJ268" s="212"/>
      <c r="AK268" s="212"/>
      <c r="AL268" s="212"/>
      <c r="AM268" s="212"/>
      <c r="AN268" s="212"/>
      <c r="AO268" s="212"/>
      <c r="AP268" s="212"/>
      <c r="AQ268" s="212"/>
      <c r="AR268" s="212"/>
      <c r="AS268" s="212"/>
      <c r="AT268" s="212"/>
      <c r="AU268" s="212"/>
      <c r="AV268" s="212"/>
      <c r="AW268" s="212"/>
      <c r="AX268" s="212"/>
      <c r="AY268" s="212"/>
      <c r="AZ268" s="212"/>
      <c r="BA268" s="212"/>
      <c r="BB268" s="212"/>
      <c r="BC268" s="212"/>
      <c r="BD268" s="212"/>
      <c r="BE268" s="212"/>
      <c r="BF268" s="212"/>
      <c r="BG268" s="212"/>
      <c r="BH268" s="212"/>
      <c r="BI268" s="212"/>
      <c r="BJ268" s="212"/>
      <c r="BK268" s="212"/>
      <c r="BL268" s="212"/>
      <c r="BM268" s="212"/>
      <c r="BN268" s="212"/>
      <c r="BO268" s="212"/>
      <c r="BP268" s="212"/>
      <c r="BQ268" s="212"/>
      <c r="BR268" s="212"/>
      <c r="BS268" s="212"/>
      <c r="BT268" s="212"/>
      <c r="BU268" s="212"/>
      <c r="BV268" s="212"/>
      <c r="BW268" s="212"/>
      <c r="BX268" s="212"/>
      <c r="BY268" s="212"/>
      <c r="BZ268" s="212"/>
      <c r="CA268" s="212"/>
      <c r="CB268" s="212"/>
      <c r="CC268" s="212"/>
      <c r="CD268" s="212"/>
      <c r="CE268" s="212"/>
      <c r="CF268" s="212"/>
      <c r="CG268" s="212"/>
      <c r="CH268" s="212"/>
      <c r="CI268" s="212"/>
      <c r="CJ268" s="212"/>
      <c r="CK268" s="212"/>
      <c r="CL268" s="212"/>
    </row>
    <row r="269" spans="10:90" ht="24.75" customHeight="1" x14ac:dyDescent="0.75">
      <c r="J269" s="220"/>
      <c r="K269" s="2"/>
      <c r="N269" s="212"/>
      <c r="O269" s="212"/>
      <c r="P269" s="212"/>
      <c r="Q269" s="212"/>
      <c r="R269" s="212"/>
      <c r="S269" s="212"/>
      <c r="T269" s="212"/>
      <c r="U269" s="212"/>
      <c r="V269" s="212"/>
      <c r="W269" s="212"/>
      <c r="X269" s="212"/>
      <c r="Y269" s="212"/>
      <c r="Z269" s="212"/>
      <c r="AA269" s="212"/>
      <c r="AB269" s="212"/>
      <c r="AC269" s="212"/>
      <c r="AD269" s="212"/>
      <c r="AE269" s="212"/>
      <c r="AF269" s="212"/>
      <c r="AG269" s="212"/>
      <c r="AH269" s="212"/>
      <c r="AI269" s="212"/>
      <c r="AJ269" s="212"/>
      <c r="AK269" s="212"/>
      <c r="AL269" s="212"/>
      <c r="AM269" s="212"/>
      <c r="AN269" s="212"/>
      <c r="AO269" s="212"/>
      <c r="AP269" s="212"/>
      <c r="AQ269" s="212"/>
      <c r="AR269" s="212"/>
      <c r="AS269" s="212"/>
      <c r="AT269" s="212"/>
      <c r="AU269" s="212"/>
      <c r="AV269" s="212"/>
      <c r="AW269" s="212"/>
      <c r="AX269" s="212"/>
      <c r="AY269" s="212"/>
      <c r="AZ269" s="212"/>
      <c r="BA269" s="212"/>
      <c r="BB269" s="212"/>
      <c r="BC269" s="212"/>
      <c r="BD269" s="212"/>
      <c r="BE269" s="212"/>
      <c r="BF269" s="212"/>
      <c r="BG269" s="212"/>
      <c r="BH269" s="212"/>
      <c r="BI269" s="212"/>
      <c r="BJ269" s="212"/>
      <c r="BK269" s="212"/>
      <c r="BL269" s="212"/>
      <c r="BM269" s="212"/>
      <c r="BN269" s="212"/>
      <c r="BO269" s="212"/>
      <c r="BP269" s="212"/>
      <c r="BQ269" s="212"/>
      <c r="BR269" s="212"/>
      <c r="BS269" s="212"/>
      <c r="BT269" s="212"/>
      <c r="BU269" s="212"/>
      <c r="BV269" s="212"/>
      <c r="BW269" s="212"/>
      <c r="BX269" s="212"/>
      <c r="BY269" s="212"/>
      <c r="BZ269" s="212"/>
      <c r="CA269" s="212"/>
      <c r="CB269" s="212"/>
      <c r="CC269" s="212"/>
      <c r="CD269" s="212"/>
      <c r="CE269" s="212"/>
      <c r="CF269" s="212"/>
      <c r="CG269" s="212"/>
      <c r="CH269" s="212"/>
      <c r="CI269" s="212"/>
      <c r="CJ269" s="212"/>
      <c r="CK269" s="212"/>
      <c r="CL269" s="212"/>
    </row>
    <row r="270" spans="10:90" ht="24.75" customHeight="1" x14ac:dyDescent="0.75">
      <c r="J270" s="220"/>
      <c r="K270" s="2"/>
      <c r="N270" s="212"/>
      <c r="O270" s="212"/>
      <c r="P270" s="212"/>
      <c r="Q270" s="212"/>
      <c r="R270" s="212"/>
      <c r="S270" s="212"/>
      <c r="T270" s="212"/>
      <c r="U270" s="212"/>
      <c r="V270" s="212"/>
      <c r="W270" s="212"/>
      <c r="X270" s="212"/>
      <c r="Y270" s="212"/>
      <c r="Z270" s="212"/>
      <c r="AA270" s="212"/>
      <c r="AB270" s="212"/>
      <c r="AC270" s="212"/>
      <c r="AD270" s="212"/>
      <c r="AE270" s="212"/>
      <c r="AF270" s="212"/>
      <c r="AG270" s="212"/>
      <c r="AH270" s="212"/>
      <c r="AI270" s="212"/>
      <c r="AJ270" s="212"/>
      <c r="AK270" s="212"/>
      <c r="AL270" s="212"/>
      <c r="AM270" s="212"/>
      <c r="AN270" s="212"/>
      <c r="AO270" s="212"/>
      <c r="AP270" s="212"/>
      <c r="AQ270" s="212"/>
      <c r="AR270" s="212"/>
      <c r="AS270" s="212"/>
      <c r="AT270" s="212"/>
      <c r="AU270" s="212"/>
      <c r="AV270" s="212"/>
      <c r="AW270" s="212"/>
      <c r="AX270" s="212"/>
      <c r="AY270" s="212"/>
      <c r="AZ270" s="212"/>
      <c r="BA270" s="212"/>
      <c r="BB270" s="212"/>
      <c r="BC270" s="212"/>
      <c r="BD270" s="212"/>
      <c r="BE270" s="212"/>
      <c r="BF270" s="212"/>
      <c r="BG270" s="212"/>
      <c r="BH270" s="212"/>
      <c r="BI270" s="212"/>
      <c r="BJ270" s="212"/>
      <c r="BK270" s="212"/>
      <c r="BL270" s="212"/>
      <c r="BM270" s="212"/>
      <c r="BN270" s="212"/>
      <c r="BO270" s="212"/>
      <c r="BP270" s="212"/>
      <c r="BQ270" s="212"/>
      <c r="BR270" s="212"/>
      <c r="BS270" s="212"/>
      <c r="BT270" s="212"/>
      <c r="BU270" s="212"/>
      <c r="BV270" s="212"/>
      <c r="BW270" s="212"/>
      <c r="BX270" s="212"/>
      <c r="BY270" s="212"/>
      <c r="BZ270" s="212"/>
      <c r="CA270" s="212"/>
      <c r="CB270" s="212"/>
      <c r="CC270" s="212"/>
      <c r="CD270" s="212"/>
      <c r="CE270" s="212"/>
      <c r="CF270" s="212"/>
      <c r="CG270" s="212"/>
      <c r="CH270" s="212"/>
      <c r="CI270" s="212"/>
      <c r="CJ270" s="212"/>
      <c r="CK270" s="212"/>
      <c r="CL270" s="212"/>
    </row>
    <row r="271" spans="10:90" ht="24.75" customHeight="1" x14ac:dyDescent="0.75">
      <c r="J271" s="220"/>
      <c r="K271" s="2"/>
      <c r="N271" s="212"/>
      <c r="O271" s="212"/>
      <c r="P271" s="212"/>
      <c r="Q271" s="212"/>
      <c r="R271" s="212"/>
      <c r="S271" s="212"/>
      <c r="T271" s="212"/>
      <c r="U271" s="212"/>
      <c r="V271" s="212"/>
      <c r="W271" s="212"/>
      <c r="X271" s="212"/>
      <c r="Y271" s="212"/>
      <c r="Z271" s="212"/>
      <c r="AA271" s="212"/>
      <c r="AB271" s="212"/>
      <c r="AC271" s="212"/>
      <c r="AD271" s="212"/>
      <c r="AE271" s="212"/>
      <c r="AF271" s="212"/>
      <c r="AG271" s="212"/>
      <c r="AH271" s="212"/>
      <c r="AI271" s="212"/>
      <c r="AJ271" s="212"/>
      <c r="AK271" s="212"/>
      <c r="AL271" s="212"/>
      <c r="AM271" s="212"/>
      <c r="AN271" s="212"/>
      <c r="AO271" s="212"/>
      <c r="AP271" s="212"/>
      <c r="AQ271" s="212"/>
      <c r="AR271" s="212"/>
      <c r="AS271" s="212"/>
      <c r="AT271" s="212"/>
      <c r="AU271" s="212"/>
      <c r="AV271" s="212"/>
      <c r="AW271" s="212"/>
      <c r="AX271" s="212"/>
      <c r="AY271" s="212"/>
      <c r="AZ271" s="212"/>
      <c r="BA271" s="212"/>
      <c r="BB271" s="212"/>
      <c r="BC271" s="212"/>
      <c r="BD271" s="212"/>
      <c r="BE271" s="212"/>
      <c r="BF271" s="212"/>
      <c r="BG271" s="212"/>
      <c r="BH271" s="212"/>
      <c r="BI271" s="212"/>
      <c r="BJ271" s="212"/>
      <c r="BK271" s="212"/>
      <c r="BL271" s="212"/>
      <c r="BM271" s="212"/>
      <c r="BN271" s="212"/>
      <c r="BO271" s="212"/>
      <c r="BP271" s="212"/>
      <c r="BQ271" s="212"/>
      <c r="BR271" s="212"/>
      <c r="BS271" s="212"/>
      <c r="BT271" s="212"/>
      <c r="BU271" s="212"/>
      <c r="BV271" s="212"/>
      <c r="BW271" s="212"/>
      <c r="BX271" s="212"/>
      <c r="BY271" s="212"/>
      <c r="BZ271" s="212"/>
      <c r="CA271" s="212"/>
      <c r="CB271" s="212"/>
      <c r="CC271" s="212"/>
      <c r="CD271" s="212"/>
      <c r="CE271" s="212"/>
      <c r="CF271" s="212"/>
      <c r="CG271" s="212"/>
      <c r="CH271" s="212"/>
      <c r="CI271" s="212"/>
      <c r="CJ271" s="212"/>
      <c r="CK271" s="212"/>
      <c r="CL271" s="212"/>
    </row>
    <row r="272" spans="10:90" ht="24.75" customHeight="1" x14ac:dyDescent="0.75">
      <c r="J272" s="220"/>
      <c r="K272" s="2"/>
      <c r="N272" s="212"/>
      <c r="O272" s="212"/>
      <c r="P272" s="212"/>
      <c r="Q272" s="212"/>
      <c r="R272" s="212"/>
      <c r="S272" s="212"/>
      <c r="T272" s="212"/>
      <c r="U272" s="212"/>
      <c r="V272" s="212"/>
      <c r="W272" s="212"/>
      <c r="X272" s="212"/>
      <c r="Y272" s="212"/>
      <c r="Z272" s="212"/>
      <c r="AA272" s="212"/>
      <c r="AB272" s="212"/>
      <c r="AC272" s="212"/>
      <c r="AD272" s="212"/>
      <c r="AE272" s="212"/>
      <c r="AF272" s="212"/>
      <c r="AG272" s="212"/>
      <c r="AH272" s="212"/>
      <c r="AI272" s="212"/>
      <c r="AJ272" s="212"/>
      <c r="AK272" s="212"/>
      <c r="AL272" s="212"/>
      <c r="AM272" s="212"/>
      <c r="AN272" s="212"/>
      <c r="AO272" s="212"/>
      <c r="AP272" s="212"/>
      <c r="AQ272" s="212"/>
      <c r="AR272" s="212"/>
      <c r="AS272" s="212"/>
      <c r="AT272" s="212"/>
      <c r="AU272" s="212"/>
      <c r="AV272" s="212"/>
      <c r="AW272" s="212"/>
      <c r="AX272" s="212"/>
      <c r="AY272" s="212"/>
      <c r="AZ272" s="212"/>
      <c r="BA272" s="212"/>
      <c r="BB272" s="212"/>
      <c r="BC272" s="212"/>
      <c r="BD272" s="212"/>
      <c r="BE272" s="212"/>
      <c r="BF272" s="212"/>
      <c r="BG272" s="212"/>
      <c r="BH272" s="212"/>
      <c r="BI272" s="212"/>
      <c r="BJ272" s="212"/>
      <c r="BK272" s="212"/>
      <c r="BL272" s="212"/>
      <c r="BM272" s="212"/>
      <c r="BN272" s="212"/>
      <c r="BO272" s="212"/>
      <c r="BP272" s="212"/>
      <c r="BQ272" s="212"/>
      <c r="BR272" s="212"/>
      <c r="BS272" s="212"/>
      <c r="BT272" s="212"/>
      <c r="BU272" s="212"/>
      <c r="BV272" s="212"/>
      <c r="BW272" s="212"/>
      <c r="BX272" s="212"/>
      <c r="BY272" s="212"/>
      <c r="BZ272" s="212"/>
      <c r="CA272" s="212"/>
      <c r="CB272" s="212"/>
      <c r="CC272" s="212"/>
      <c r="CD272" s="212"/>
      <c r="CE272" s="212"/>
      <c r="CF272" s="212"/>
      <c r="CG272" s="212"/>
      <c r="CH272" s="212"/>
      <c r="CI272" s="212"/>
      <c r="CJ272" s="212"/>
      <c r="CK272" s="212"/>
      <c r="CL272" s="212"/>
    </row>
    <row r="273" spans="10:90" ht="24.75" customHeight="1" x14ac:dyDescent="0.75">
      <c r="J273" s="220"/>
      <c r="K273" s="2"/>
      <c r="N273" s="212"/>
      <c r="O273" s="212"/>
      <c r="P273" s="212"/>
      <c r="Q273" s="212"/>
      <c r="R273" s="212"/>
      <c r="S273" s="212"/>
      <c r="T273" s="212"/>
      <c r="U273" s="212"/>
      <c r="V273" s="212"/>
      <c r="W273" s="212"/>
      <c r="X273" s="212"/>
      <c r="Y273" s="212"/>
      <c r="Z273" s="212"/>
      <c r="AA273" s="212"/>
      <c r="AB273" s="212"/>
      <c r="AC273" s="212"/>
      <c r="AD273" s="212"/>
      <c r="AE273" s="212"/>
      <c r="AF273" s="212"/>
      <c r="AG273" s="212"/>
      <c r="AH273" s="212"/>
      <c r="AI273" s="212"/>
      <c r="AJ273" s="212"/>
      <c r="AK273" s="212"/>
      <c r="AL273" s="212"/>
      <c r="AM273" s="212"/>
      <c r="AN273" s="212"/>
      <c r="AO273" s="212"/>
      <c r="AP273" s="212"/>
      <c r="AQ273" s="212"/>
      <c r="AR273" s="212"/>
      <c r="AS273" s="212"/>
      <c r="AT273" s="212"/>
      <c r="AU273" s="212"/>
      <c r="AV273" s="212"/>
      <c r="AW273" s="212"/>
      <c r="AX273" s="212"/>
      <c r="AY273" s="212"/>
      <c r="AZ273" s="212"/>
      <c r="BA273" s="212"/>
      <c r="BB273" s="212"/>
      <c r="BC273" s="212"/>
      <c r="BD273" s="212"/>
      <c r="BE273" s="212"/>
      <c r="BF273" s="212"/>
      <c r="BG273" s="212"/>
      <c r="BH273" s="212"/>
      <c r="BI273" s="212"/>
      <c r="BJ273" s="212"/>
      <c r="BK273" s="212"/>
      <c r="BL273" s="212"/>
      <c r="BM273" s="212"/>
      <c r="BN273" s="212"/>
      <c r="BO273" s="212"/>
      <c r="BP273" s="212"/>
      <c r="BQ273" s="212"/>
      <c r="BR273" s="212"/>
      <c r="BS273" s="212"/>
      <c r="BT273" s="212"/>
      <c r="BU273" s="212"/>
      <c r="BV273" s="212"/>
      <c r="BW273" s="212"/>
      <c r="BX273" s="212"/>
      <c r="BY273" s="212"/>
      <c r="BZ273" s="212"/>
      <c r="CA273" s="212"/>
      <c r="CB273" s="212"/>
      <c r="CC273" s="212"/>
      <c r="CD273" s="212"/>
      <c r="CE273" s="212"/>
      <c r="CF273" s="212"/>
      <c r="CG273" s="212"/>
      <c r="CH273" s="212"/>
      <c r="CI273" s="212"/>
      <c r="CJ273" s="212"/>
      <c r="CK273" s="212"/>
      <c r="CL273" s="212"/>
    </row>
    <row r="274" spans="10:90" ht="24.75" customHeight="1" x14ac:dyDescent="0.75">
      <c r="J274" s="220"/>
      <c r="K274" s="2"/>
      <c r="N274" s="212"/>
      <c r="O274" s="212"/>
      <c r="P274" s="212"/>
      <c r="Q274" s="212"/>
      <c r="R274" s="212"/>
      <c r="S274" s="212"/>
      <c r="T274" s="212"/>
      <c r="U274" s="212"/>
      <c r="V274" s="212"/>
      <c r="W274" s="212"/>
      <c r="X274" s="212"/>
      <c r="Y274" s="212"/>
      <c r="Z274" s="212"/>
      <c r="AA274" s="212"/>
      <c r="AB274" s="212"/>
      <c r="AC274" s="212"/>
      <c r="AD274" s="212"/>
      <c r="AE274" s="212"/>
      <c r="AF274" s="212"/>
      <c r="AG274" s="212"/>
      <c r="AH274" s="212"/>
      <c r="AI274" s="212"/>
      <c r="AJ274" s="212"/>
      <c r="AK274" s="212"/>
      <c r="AL274" s="212"/>
      <c r="AM274" s="212"/>
      <c r="AN274" s="212"/>
      <c r="AO274" s="212"/>
      <c r="AP274" s="212"/>
      <c r="AQ274" s="212"/>
      <c r="AR274" s="212"/>
      <c r="AS274" s="212"/>
      <c r="AT274" s="212"/>
      <c r="AU274" s="212"/>
      <c r="AV274" s="212"/>
      <c r="AW274" s="212"/>
      <c r="AX274" s="212"/>
      <c r="AY274" s="212"/>
      <c r="AZ274" s="212"/>
      <c r="BA274" s="212"/>
      <c r="BB274" s="212"/>
      <c r="BC274" s="212"/>
      <c r="BD274" s="212"/>
      <c r="BE274" s="212"/>
      <c r="BF274" s="212"/>
      <c r="BG274" s="212"/>
      <c r="BH274" s="212"/>
      <c r="BI274" s="212"/>
      <c r="BJ274" s="212"/>
      <c r="BK274" s="212"/>
      <c r="BL274" s="212"/>
      <c r="BM274" s="212"/>
      <c r="BN274" s="212"/>
      <c r="BO274" s="212"/>
      <c r="BP274" s="212"/>
      <c r="BQ274" s="212"/>
      <c r="BR274" s="212"/>
      <c r="BS274" s="212"/>
      <c r="BT274" s="212"/>
      <c r="BU274" s="212"/>
      <c r="BV274" s="212"/>
      <c r="BW274" s="212"/>
      <c r="BX274" s="212"/>
      <c r="BY274" s="212"/>
      <c r="BZ274" s="212"/>
      <c r="CA274" s="212"/>
      <c r="CB274" s="212"/>
      <c r="CC274" s="212"/>
      <c r="CD274" s="212"/>
      <c r="CE274" s="212"/>
      <c r="CF274" s="212"/>
      <c r="CG274" s="212"/>
      <c r="CH274" s="212"/>
      <c r="CI274" s="212"/>
      <c r="CJ274" s="212"/>
      <c r="CK274" s="212"/>
      <c r="CL274" s="212"/>
    </row>
    <row r="275" spans="10:90" ht="24.75" customHeight="1" x14ac:dyDescent="0.75">
      <c r="J275" s="220"/>
      <c r="K275" s="2"/>
      <c r="N275" s="212"/>
      <c r="O275" s="212"/>
      <c r="P275" s="212"/>
      <c r="Q275" s="212"/>
      <c r="R275" s="212"/>
      <c r="S275" s="212"/>
      <c r="T275" s="212"/>
      <c r="U275" s="212"/>
      <c r="V275" s="212"/>
      <c r="W275" s="212"/>
      <c r="X275" s="212"/>
      <c r="Y275" s="212"/>
      <c r="Z275" s="212"/>
      <c r="AA275" s="212"/>
      <c r="AB275" s="212"/>
      <c r="AC275" s="212"/>
      <c r="AD275" s="212"/>
      <c r="AE275" s="212"/>
      <c r="AF275" s="212"/>
      <c r="AG275" s="212"/>
      <c r="AH275" s="212"/>
      <c r="AI275" s="212"/>
      <c r="AJ275" s="212"/>
      <c r="AK275" s="212"/>
      <c r="AL275" s="212"/>
      <c r="AM275" s="212"/>
      <c r="AN275" s="212"/>
      <c r="AO275" s="212"/>
      <c r="AP275" s="212"/>
      <c r="AQ275" s="212"/>
      <c r="AR275" s="212"/>
      <c r="AS275" s="212"/>
      <c r="AT275" s="212"/>
      <c r="AU275" s="212"/>
      <c r="AV275" s="212"/>
      <c r="AW275" s="212"/>
      <c r="AX275" s="212"/>
      <c r="AY275" s="212"/>
      <c r="AZ275" s="212"/>
      <c r="BA275" s="212"/>
      <c r="BB275" s="212"/>
      <c r="BC275" s="212"/>
      <c r="BD275" s="212"/>
      <c r="BE275" s="212"/>
      <c r="BF275" s="212"/>
      <c r="BG275" s="212"/>
      <c r="BH275" s="212"/>
      <c r="BI275" s="212"/>
      <c r="BJ275" s="212"/>
      <c r="BK275" s="212"/>
      <c r="BL275" s="212"/>
      <c r="BM275" s="212"/>
      <c r="BN275" s="212"/>
      <c r="BO275" s="212"/>
      <c r="BP275" s="212"/>
      <c r="BQ275" s="212"/>
      <c r="BR275" s="212"/>
      <c r="BS275" s="212"/>
      <c r="BT275" s="212"/>
      <c r="BU275" s="212"/>
      <c r="BV275" s="212"/>
      <c r="BW275" s="212"/>
      <c r="BX275" s="212"/>
      <c r="BY275" s="212"/>
      <c r="BZ275" s="212"/>
      <c r="CA275" s="212"/>
      <c r="CB275" s="212"/>
      <c r="CC275" s="212"/>
      <c r="CD275" s="212"/>
      <c r="CE275" s="212"/>
      <c r="CF275" s="212"/>
      <c r="CG275" s="212"/>
      <c r="CH275" s="212"/>
      <c r="CI275" s="212"/>
      <c r="CJ275" s="212"/>
      <c r="CK275" s="212"/>
      <c r="CL275" s="212"/>
    </row>
    <row r="276" spans="10:90" ht="24.75" customHeight="1" x14ac:dyDescent="0.75">
      <c r="J276" s="220"/>
      <c r="K276" s="2"/>
      <c r="N276" s="212"/>
      <c r="O276" s="212"/>
      <c r="P276" s="212"/>
      <c r="Q276" s="212"/>
      <c r="R276" s="212"/>
      <c r="S276" s="212"/>
      <c r="T276" s="212"/>
      <c r="U276" s="212"/>
      <c r="V276" s="212"/>
      <c r="W276" s="212"/>
      <c r="X276" s="212"/>
      <c r="Y276" s="212"/>
      <c r="Z276" s="212"/>
      <c r="AA276" s="212"/>
      <c r="AB276" s="212"/>
      <c r="AC276" s="212"/>
      <c r="AD276" s="212"/>
      <c r="AE276" s="212"/>
      <c r="AF276" s="212"/>
      <c r="AG276" s="212"/>
      <c r="AH276" s="212"/>
      <c r="AI276" s="212"/>
      <c r="AJ276" s="212"/>
      <c r="AK276" s="212"/>
      <c r="AL276" s="212"/>
      <c r="AM276" s="212"/>
      <c r="AN276" s="212"/>
      <c r="AO276" s="212"/>
      <c r="AP276" s="212"/>
      <c r="AQ276" s="212"/>
      <c r="AR276" s="212"/>
      <c r="AS276" s="212"/>
      <c r="AT276" s="212"/>
      <c r="AU276" s="212"/>
      <c r="AV276" s="212"/>
      <c r="AW276" s="212"/>
      <c r="AX276" s="212"/>
      <c r="AY276" s="212"/>
      <c r="AZ276" s="212"/>
      <c r="BA276" s="212"/>
      <c r="BB276" s="212"/>
      <c r="BC276" s="212"/>
      <c r="BD276" s="212"/>
      <c r="BE276" s="212"/>
      <c r="BF276" s="212"/>
      <c r="BG276" s="212"/>
      <c r="BH276" s="212"/>
      <c r="BI276" s="212"/>
      <c r="BJ276" s="212"/>
      <c r="BK276" s="212"/>
      <c r="BL276" s="212"/>
      <c r="BM276" s="212"/>
      <c r="BN276" s="212"/>
      <c r="BO276" s="212"/>
      <c r="BP276" s="212"/>
      <c r="BQ276" s="212"/>
      <c r="BR276" s="212"/>
      <c r="BS276" s="212"/>
      <c r="BT276" s="212"/>
      <c r="BU276" s="212"/>
      <c r="BV276" s="212"/>
      <c r="BW276" s="212"/>
      <c r="BX276" s="212"/>
      <c r="BY276" s="212"/>
      <c r="BZ276" s="212"/>
      <c r="CA276" s="212"/>
      <c r="CB276" s="212"/>
      <c r="CC276" s="212"/>
      <c r="CD276" s="212"/>
      <c r="CE276" s="212"/>
      <c r="CF276" s="212"/>
      <c r="CG276" s="212"/>
      <c r="CH276" s="212"/>
      <c r="CI276" s="212"/>
      <c r="CJ276" s="212"/>
      <c r="CK276" s="212"/>
      <c r="CL276" s="212"/>
    </row>
    <row r="277" spans="10:90" ht="24.75" customHeight="1" x14ac:dyDescent="0.75">
      <c r="J277" s="220"/>
      <c r="K277" s="2"/>
      <c r="N277" s="212"/>
      <c r="O277" s="212"/>
      <c r="P277" s="212"/>
      <c r="Q277" s="212"/>
      <c r="R277" s="212"/>
      <c r="S277" s="212"/>
      <c r="T277" s="212"/>
      <c r="U277" s="212"/>
      <c r="V277" s="212"/>
      <c r="W277" s="212"/>
      <c r="X277" s="212"/>
      <c r="Y277" s="212"/>
      <c r="Z277" s="212"/>
      <c r="AA277" s="212"/>
      <c r="AB277" s="212"/>
      <c r="AC277" s="212"/>
      <c r="AD277" s="212"/>
      <c r="AE277" s="212"/>
      <c r="AF277" s="212"/>
      <c r="AG277" s="212"/>
      <c r="AH277" s="212"/>
      <c r="AI277" s="212"/>
      <c r="AJ277" s="212"/>
      <c r="AK277" s="212"/>
      <c r="AL277" s="212"/>
      <c r="AM277" s="212"/>
      <c r="AN277" s="212"/>
      <c r="AO277" s="212"/>
      <c r="AP277" s="212"/>
      <c r="AQ277" s="212"/>
      <c r="AR277" s="212"/>
      <c r="AS277" s="212"/>
      <c r="AT277" s="212"/>
      <c r="AU277" s="212"/>
      <c r="AV277" s="212"/>
      <c r="AW277" s="212"/>
      <c r="AX277" s="212"/>
      <c r="AY277" s="212"/>
      <c r="AZ277" s="212"/>
      <c r="BA277" s="212"/>
      <c r="BB277" s="212"/>
      <c r="BC277" s="212"/>
      <c r="BD277" s="212"/>
      <c r="BE277" s="212"/>
      <c r="BF277" s="212"/>
      <c r="BG277" s="212"/>
      <c r="BH277" s="212"/>
      <c r="BI277" s="212"/>
      <c r="BJ277" s="212"/>
      <c r="BK277" s="212"/>
      <c r="BL277" s="212"/>
      <c r="BM277" s="212"/>
      <c r="BN277" s="212"/>
      <c r="BO277" s="212"/>
      <c r="BP277" s="212"/>
      <c r="BQ277" s="212"/>
      <c r="BR277" s="212"/>
      <c r="BS277" s="212"/>
      <c r="BT277" s="212"/>
      <c r="BU277" s="212"/>
      <c r="BV277" s="212"/>
      <c r="BW277" s="212"/>
      <c r="BX277" s="212"/>
      <c r="BY277" s="212"/>
      <c r="BZ277" s="212"/>
      <c r="CA277" s="212"/>
      <c r="CB277" s="212"/>
      <c r="CC277" s="212"/>
      <c r="CD277" s="212"/>
      <c r="CE277" s="212"/>
      <c r="CF277" s="212"/>
      <c r="CG277" s="212"/>
      <c r="CH277" s="212"/>
      <c r="CI277" s="212"/>
      <c r="CJ277" s="212"/>
      <c r="CK277" s="212"/>
      <c r="CL277" s="212"/>
    </row>
    <row r="278" spans="10:90" ht="24.75" customHeight="1" x14ac:dyDescent="0.75">
      <c r="J278" s="220"/>
      <c r="K278" s="2"/>
      <c r="N278" s="212"/>
      <c r="O278" s="212"/>
      <c r="P278" s="212"/>
      <c r="Q278" s="212"/>
      <c r="R278" s="212"/>
      <c r="S278" s="212"/>
      <c r="T278" s="212"/>
      <c r="U278" s="212"/>
      <c r="V278" s="212"/>
      <c r="W278" s="212"/>
      <c r="X278" s="212"/>
      <c r="Y278" s="212"/>
      <c r="Z278" s="212"/>
      <c r="AA278" s="212"/>
      <c r="AB278" s="212"/>
      <c r="AC278" s="212"/>
      <c r="AD278" s="212"/>
      <c r="AE278" s="212"/>
      <c r="AF278" s="212"/>
      <c r="AG278" s="212"/>
      <c r="AH278" s="212"/>
      <c r="AI278" s="212"/>
      <c r="AJ278" s="212"/>
      <c r="AK278" s="212"/>
      <c r="AL278" s="212"/>
      <c r="AM278" s="212"/>
      <c r="AN278" s="212"/>
      <c r="AO278" s="212"/>
      <c r="AP278" s="212"/>
      <c r="AQ278" s="212"/>
      <c r="AR278" s="212"/>
      <c r="AS278" s="212"/>
      <c r="AT278" s="212"/>
      <c r="AU278" s="212"/>
      <c r="AV278" s="212"/>
      <c r="AW278" s="212"/>
      <c r="AX278" s="212"/>
      <c r="AY278" s="212"/>
      <c r="AZ278" s="212"/>
      <c r="BA278" s="212"/>
      <c r="BB278" s="212"/>
      <c r="BC278" s="212"/>
      <c r="BD278" s="212"/>
      <c r="BE278" s="212"/>
      <c r="BF278" s="212"/>
      <c r="BG278" s="212"/>
      <c r="BH278" s="212"/>
      <c r="BI278" s="212"/>
      <c r="BJ278" s="212"/>
      <c r="BK278" s="212"/>
      <c r="BL278" s="212"/>
      <c r="BM278" s="212"/>
      <c r="BN278" s="212"/>
      <c r="BO278" s="212"/>
      <c r="BP278" s="212"/>
      <c r="BQ278" s="212"/>
      <c r="BR278" s="212"/>
      <c r="BS278" s="212"/>
      <c r="BT278" s="212"/>
      <c r="BU278" s="212"/>
      <c r="BV278" s="212"/>
      <c r="BW278" s="212"/>
      <c r="BX278" s="212"/>
      <c r="BY278" s="212"/>
      <c r="BZ278" s="212"/>
      <c r="CA278" s="212"/>
      <c r="CB278" s="212"/>
      <c r="CC278" s="212"/>
      <c r="CD278" s="212"/>
      <c r="CE278" s="212"/>
      <c r="CF278" s="212"/>
      <c r="CG278" s="212"/>
      <c r="CH278" s="212"/>
      <c r="CI278" s="212"/>
      <c r="CJ278" s="212"/>
      <c r="CK278" s="212"/>
      <c r="CL278" s="212"/>
    </row>
    <row r="279" spans="10:90" ht="24.75" customHeight="1" x14ac:dyDescent="0.75">
      <c r="J279" s="220"/>
      <c r="K279" s="2"/>
      <c r="N279" s="212"/>
      <c r="O279" s="212"/>
      <c r="P279" s="212"/>
      <c r="Q279" s="212"/>
      <c r="R279" s="212"/>
      <c r="S279" s="212"/>
      <c r="T279" s="212"/>
      <c r="U279" s="212"/>
      <c r="V279" s="212"/>
      <c r="W279" s="212"/>
      <c r="X279" s="212"/>
      <c r="Y279" s="212"/>
      <c r="Z279" s="212"/>
      <c r="AA279" s="212"/>
      <c r="AB279" s="212"/>
      <c r="AC279" s="212"/>
      <c r="AD279" s="212"/>
      <c r="AE279" s="212"/>
      <c r="AF279" s="212"/>
      <c r="AG279" s="212"/>
      <c r="AH279" s="212"/>
      <c r="AI279" s="212"/>
      <c r="AJ279" s="212"/>
      <c r="AK279" s="212"/>
      <c r="AL279" s="212"/>
      <c r="AM279" s="212"/>
      <c r="AN279" s="212"/>
      <c r="AO279" s="212"/>
      <c r="AP279" s="212"/>
      <c r="AQ279" s="212"/>
      <c r="AR279" s="212"/>
      <c r="AS279" s="212"/>
      <c r="AT279" s="212"/>
      <c r="AU279" s="212"/>
      <c r="AV279" s="212"/>
      <c r="AW279" s="212"/>
      <c r="AX279" s="212"/>
      <c r="AY279" s="212"/>
      <c r="AZ279" s="212"/>
      <c r="BA279" s="212"/>
      <c r="BB279" s="212"/>
      <c r="BC279" s="212"/>
      <c r="BD279" s="212"/>
      <c r="BE279" s="212"/>
      <c r="BF279" s="212"/>
      <c r="BG279" s="212"/>
      <c r="BH279" s="212"/>
      <c r="BI279" s="212"/>
      <c r="BJ279" s="212"/>
      <c r="BK279" s="212"/>
      <c r="BL279" s="212"/>
      <c r="BM279" s="212"/>
      <c r="BN279" s="212"/>
      <c r="BO279" s="212"/>
      <c r="BP279" s="212"/>
      <c r="BQ279" s="212"/>
      <c r="BR279" s="212"/>
      <c r="BS279" s="212"/>
      <c r="BT279" s="212"/>
      <c r="BU279" s="212"/>
      <c r="BV279" s="212"/>
      <c r="BW279" s="212"/>
      <c r="BX279" s="212"/>
      <c r="BY279" s="212"/>
      <c r="BZ279" s="212"/>
      <c r="CA279" s="212"/>
      <c r="CB279" s="212"/>
      <c r="CC279" s="212"/>
      <c r="CD279" s="212"/>
      <c r="CE279" s="212"/>
      <c r="CF279" s="212"/>
      <c r="CG279" s="212"/>
      <c r="CH279" s="212"/>
      <c r="CI279" s="212"/>
      <c r="CJ279" s="212"/>
      <c r="CK279" s="212"/>
      <c r="CL279" s="212"/>
    </row>
    <row r="280" spans="10:90" ht="24.75" customHeight="1" x14ac:dyDescent="0.75">
      <c r="J280" s="220"/>
      <c r="K280" s="2"/>
      <c r="N280" s="212"/>
      <c r="O280" s="212"/>
      <c r="P280" s="212"/>
      <c r="Q280" s="212"/>
      <c r="R280" s="212"/>
      <c r="S280" s="212"/>
      <c r="T280" s="212"/>
      <c r="U280" s="212"/>
      <c r="V280" s="212"/>
      <c r="W280" s="212"/>
      <c r="X280" s="212"/>
      <c r="Y280" s="212"/>
      <c r="Z280" s="212"/>
      <c r="AA280" s="212"/>
      <c r="AB280" s="212"/>
      <c r="AC280" s="212"/>
      <c r="AD280" s="212"/>
      <c r="AE280" s="212"/>
      <c r="AF280" s="212"/>
      <c r="AG280" s="212"/>
      <c r="AH280" s="212"/>
      <c r="AI280" s="212"/>
      <c r="AJ280" s="212"/>
      <c r="AK280" s="212"/>
      <c r="AL280" s="212"/>
      <c r="AM280" s="212"/>
      <c r="AN280" s="212"/>
      <c r="AO280" s="212"/>
      <c r="AP280" s="212"/>
      <c r="AQ280" s="212"/>
      <c r="AR280" s="212"/>
      <c r="AS280" s="212"/>
      <c r="AT280" s="212"/>
      <c r="AU280" s="212"/>
      <c r="AV280" s="212"/>
      <c r="AW280" s="212"/>
      <c r="AX280" s="212"/>
      <c r="AY280" s="212"/>
      <c r="AZ280" s="212"/>
      <c r="BA280" s="212"/>
      <c r="BB280" s="212"/>
      <c r="BC280" s="212"/>
      <c r="BD280" s="212"/>
      <c r="BE280" s="212"/>
      <c r="BF280" s="212"/>
      <c r="BG280" s="212"/>
      <c r="BH280" s="212"/>
      <c r="BI280" s="212"/>
      <c r="BJ280" s="212"/>
      <c r="BK280" s="212"/>
      <c r="BL280" s="212"/>
      <c r="BM280" s="212"/>
      <c r="BN280" s="212"/>
      <c r="BO280" s="212"/>
      <c r="BP280" s="212"/>
      <c r="BQ280" s="212"/>
      <c r="BR280" s="212"/>
      <c r="BS280" s="212"/>
      <c r="BT280" s="212"/>
      <c r="BU280" s="212"/>
      <c r="BV280" s="212"/>
      <c r="BW280" s="212"/>
      <c r="BX280" s="212"/>
      <c r="BY280" s="212"/>
      <c r="BZ280" s="212"/>
      <c r="CA280" s="212"/>
      <c r="CB280" s="212"/>
      <c r="CC280" s="212"/>
      <c r="CD280" s="212"/>
      <c r="CE280" s="212"/>
      <c r="CF280" s="212"/>
      <c r="CG280" s="212"/>
      <c r="CH280" s="212"/>
      <c r="CI280" s="212"/>
      <c r="CJ280" s="212"/>
      <c r="CK280" s="212"/>
      <c r="CL280" s="212"/>
    </row>
    <row r="281" spans="10:90" ht="24.75" customHeight="1" x14ac:dyDescent="0.75">
      <c r="J281" s="220"/>
      <c r="K281" s="2"/>
      <c r="N281" s="212"/>
      <c r="O281" s="212"/>
      <c r="P281" s="212"/>
      <c r="Q281" s="212"/>
      <c r="R281" s="212"/>
      <c r="S281" s="212"/>
      <c r="T281" s="212"/>
      <c r="U281" s="212"/>
      <c r="V281" s="212"/>
      <c r="W281" s="212"/>
      <c r="X281" s="212"/>
      <c r="Y281" s="212"/>
      <c r="Z281" s="212"/>
      <c r="AA281" s="212"/>
      <c r="AB281" s="212"/>
      <c r="AC281" s="212"/>
      <c r="AD281" s="212"/>
      <c r="AE281" s="212"/>
      <c r="AF281" s="212"/>
      <c r="AG281" s="212"/>
      <c r="AH281" s="212"/>
      <c r="AI281" s="212"/>
      <c r="AJ281" s="212"/>
      <c r="AK281" s="212"/>
      <c r="AL281" s="212"/>
      <c r="AM281" s="212"/>
      <c r="AN281" s="212"/>
      <c r="AO281" s="212"/>
      <c r="AP281" s="212"/>
      <c r="AQ281" s="212"/>
      <c r="AR281" s="212"/>
      <c r="AS281" s="212"/>
      <c r="AT281" s="212"/>
      <c r="AU281" s="212"/>
      <c r="AV281" s="212"/>
      <c r="AW281" s="212"/>
      <c r="AX281" s="212"/>
      <c r="AY281" s="212"/>
      <c r="AZ281" s="212"/>
      <c r="BA281" s="212"/>
      <c r="BB281" s="212"/>
      <c r="BC281" s="212"/>
      <c r="BD281" s="212"/>
      <c r="BE281" s="212"/>
      <c r="BF281" s="212"/>
      <c r="BG281" s="212"/>
      <c r="BH281" s="212"/>
      <c r="BI281" s="212"/>
      <c r="BJ281" s="212"/>
      <c r="BK281" s="212"/>
      <c r="BL281" s="212"/>
      <c r="BM281" s="212"/>
      <c r="BN281" s="212"/>
      <c r="BO281" s="212"/>
      <c r="BP281" s="212"/>
      <c r="BQ281" s="212"/>
      <c r="BR281" s="212"/>
      <c r="BS281" s="212"/>
      <c r="BT281" s="212"/>
      <c r="BU281" s="212"/>
      <c r="BV281" s="212"/>
      <c r="BW281" s="212"/>
      <c r="BX281" s="212"/>
      <c r="BY281" s="212"/>
      <c r="BZ281" s="212"/>
      <c r="CA281" s="212"/>
      <c r="CB281" s="212"/>
      <c r="CC281" s="212"/>
      <c r="CD281" s="212"/>
      <c r="CE281" s="212"/>
      <c r="CF281" s="212"/>
      <c r="CG281" s="212"/>
      <c r="CH281" s="212"/>
      <c r="CI281" s="212"/>
      <c r="CJ281" s="212"/>
      <c r="CK281" s="212"/>
      <c r="CL281" s="212"/>
    </row>
    <row r="282" spans="10:90" ht="24.75" customHeight="1" x14ac:dyDescent="0.75">
      <c r="J282" s="220"/>
      <c r="K282" s="2"/>
      <c r="N282" s="212"/>
      <c r="O282" s="212"/>
      <c r="P282" s="212"/>
      <c r="Q282" s="212"/>
      <c r="R282" s="212"/>
      <c r="S282" s="212"/>
      <c r="T282" s="212"/>
      <c r="U282" s="212"/>
      <c r="V282" s="212"/>
      <c r="W282" s="212"/>
      <c r="X282" s="212"/>
      <c r="Y282" s="212"/>
      <c r="Z282" s="212"/>
      <c r="AA282" s="212"/>
      <c r="AB282" s="212"/>
      <c r="AC282" s="212"/>
      <c r="AD282" s="212"/>
      <c r="AE282" s="212"/>
      <c r="AF282" s="212"/>
      <c r="AG282" s="212"/>
      <c r="AH282" s="212"/>
      <c r="AI282" s="212"/>
      <c r="AJ282" s="212"/>
      <c r="AK282" s="212"/>
      <c r="AL282" s="212"/>
      <c r="AM282" s="212"/>
      <c r="AN282" s="212"/>
      <c r="AO282" s="212"/>
      <c r="AP282" s="212"/>
      <c r="AQ282" s="212"/>
      <c r="AR282" s="212"/>
      <c r="AS282" s="212"/>
      <c r="AT282" s="212"/>
      <c r="AU282" s="212"/>
      <c r="AV282" s="212"/>
      <c r="AW282" s="212"/>
      <c r="AX282" s="212"/>
      <c r="AY282" s="212"/>
      <c r="AZ282" s="212"/>
      <c r="BA282" s="212"/>
      <c r="BB282" s="212"/>
      <c r="BC282" s="212"/>
      <c r="BD282" s="212"/>
      <c r="BE282" s="212"/>
      <c r="BF282" s="212"/>
      <c r="BG282" s="212"/>
      <c r="BH282" s="212"/>
      <c r="BI282" s="212"/>
      <c r="BJ282" s="212"/>
      <c r="BK282" s="212"/>
      <c r="BL282" s="212"/>
      <c r="BM282" s="212"/>
      <c r="BN282" s="212"/>
      <c r="BO282" s="212"/>
      <c r="BP282" s="212"/>
      <c r="BQ282" s="212"/>
      <c r="BR282" s="212"/>
      <c r="BS282" s="212"/>
      <c r="BT282" s="212"/>
      <c r="BU282" s="212"/>
      <c r="BV282" s="212"/>
      <c r="BW282" s="212"/>
      <c r="BX282" s="212"/>
      <c r="BY282" s="212"/>
      <c r="BZ282" s="212"/>
      <c r="CA282" s="212"/>
      <c r="CB282" s="212"/>
      <c r="CC282" s="212"/>
      <c r="CD282" s="212"/>
      <c r="CE282" s="212"/>
      <c r="CF282" s="212"/>
      <c r="CG282" s="212"/>
      <c r="CH282" s="212"/>
      <c r="CI282" s="212"/>
      <c r="CJ282" s="212"/>
      <c r="CK282" s="212"/>
      <c r="CL282" s="212"/>
    </row>
    <row r="283" spans="10:90" ht="24.75" customHeight="1" x14ac:dyDescent="0.75">
      <c r="J283" s="220"/>
      <c r="K283" s="2"/>
      <c r="N283" s="212"/>
      <c r="O283" s="212"/>
      <c r="P283" s="212"/>
      <c r="Q283" s="212"/>
      <c r="R283" s="212"/>
      <c r="S283" s="212"/>
      <c r="T283" s="212"/>
      <c r="U283" s="212"/>
      <c r="V283" s="212"/>
      <c r="W283" s="212"/>
      <c r="X283" s="212"/>
      <c r="Y283" s="212"/>
      <c r="Z283" s="212"/>
      <c r="AA283" s="212"/>
      <c r="AB283" s="212"/>
      <c r="AC283" s="212"/>
      <c r="AD283" s="212"/>
      <c r="AE283" s="212"/>
      <c r="AF283" s="212"/>
      <c r="AG283" s="212"/>
      <c r="AH283" s="212"/>
      <c r="AI283" s="212"/>
      <c r="AJ283" s="212"/>
      <c r="AK283" s="212"/>
      <c r="AL283" s="212"/>
      <c r="AM283" s="212"/>
      <c r="AN283" s="212"/>
      <c r="AO283" s="212"/>
      <c r="AP283" s="212"/>
      <c r="AQ283" s="212"/>
      <c r="AR283" s="212"/>
      <c r="AS283" s="212"/>
      <c r="AT283" s="212"/>
      <c r="AU283" s="212"/>
      <c r="AV283" s="212"/>
      <c r="AW283" s="212"/>
      <c r="AX283" s="212"/>
      <c r="AY283" s="212"/>
      <c r="AZ283" s="212"/>
      <c r="BA283" s="212"/>
      <c r="BB283" s="212"/>
      <c r="BC283" s="212"/>
      <c r="BD283" s="212"/>
      <c r="BE283" s="212"/>
      <c r="BF283" s="212"/>
      <c r="BG283" s="212"/>
      <c r="BH283" s="212"/>
      <c r="BI283" s="212"/>
      <c r="BJ283" s="212"/>
      <c r="BK283" s="212"/>
      <c r="BL283" s="212"/>
      <c r="BM283" s="212"/>
      <c r="BN283" s="212"/>
      <c r="BO283" s="212"/>
      <c r="BP283" s="212"/>
      <c r="BQ283" s="212"/>
      <c r="BR283" s="212"/>
      <c r="BS283" s="212"/>
      <c r="BT283" s="212"/>
      <c r="BU283" s="212"/>
      <c r="BV283" s="212"/>
      <c r="BW283" s="212"/>
      <c r="BX283" s="212"/>
      <c r="BY283" s="212"/>
      <c r="BZ283" s="212"/>
      <c r="CA283" s="212"/>
      <c r="CB283" s="212"/>
      <c r="CC283" s="212"/>
      <c r="CD283" s="212"/>
      <c r="CE283" s="212"/>
      <c r="CF283" s="212"/>
      <c r="CG283" s="212"/>
      <c r="CH283" s="212"/>
      <c r="CI283" s="212"/>
      <c r="CJ283" s="212"/>
      <c r="CK283" s="212"/>
      <c r="CL283" s="212"/>
    </row>
    <row r="284" spans="10:90" ht="24.75" customHeight="1" x14ac:dyDescent="0.75">
      <c r="J284" s="220"/>
      <c r="K284" s="2"/>
      <c r="N284" s="212"/>
      <c r="O284" s="212"/>
      <c r="P284" s="212"/>
      <c r="Q284" s="212"/>
      <c r="R284" s="212"/>
      <c r="S284" s="212"/>
      <c r="T284" s="212"/>
      <c r="U284" s="212"/>
      <c r="V284" s="212"/>
      <c r="W284" s="212"/>
      <c r="X284" s="212"/>
      <c r="Y284" s="212"/>
      <c r="Z284" s="212"/>
      <c r="AA284" s="212"/>
      <c r="AB284" s="212"/>
      <c r="AC284" s="212"/>
      <c r="AD284" s="212"/>
      <c r="AE284" s="212"/>
      <c r="AF284" s="212"/>
      <c r="AG284" s="212"/>
      <c r="AH284" s="212"/>
      <c r="AI284" s="212"/>
      <c r="AJ284" s="212"/>
      <c r="AK284" s="212"/>
      <c r="AL284" s="212"/>
      <c r="AM284" s="212"/>
      <c r="AN284" s="212"/>
      <c r="AO284" s="212"/>
      <c r="AP284" s="212"/>
      <c r="AQ284" s="212"/>
      <c r="AR284" s="212"/>
      <c r="AS284" s="212"/>
      <c r="AT284" s="212"/>
      <c r="AU284" s="212"/>
      <c r="AV284" s="212"/>
      <c r="AW284" s="212"/>
      <c r="AX284" s="212"/>
      <c r="AY284" s="212"/>
      <c r="AZ284" s="212"/>
      <c r="BA284" s="212"/>
      <c r="BB284" s="212"/>
      <c r="BC284" s="212"/>
      <c r="BD284" s="212"/>
      <c r="BE284" s="212"/>
      <c r="BF284" s="212"/>
      <c r="BG284" s="212"/>
      <c r="BH284" s="212"/>
      <c r="BI284" s="212"/>
      <c r="BJ284" s="212"/>
      <c r="BK284" s="212"/>
      <c r="BL284" s="212"/>
      <c r="BM284" s="212"/>
      <c r="BN284" s="212"/>
      <c r="BO284" s="212"/>
      <c r="BP284" s="212"/>
      <c r="BQ284" s="212"/>
      <c r="BR284" s="212"/>
      <c r="BS284" s="212"/>
      <c r="BT284" s="212"/>
      <c r="BU284" s="212"/>
      <c r="BV284" s="212"/>
      <c r="BW284" s="212"/>
      <c r="BX284" s="212"/>
      <c r="BY284" s="212"/>
      <c r="BZ284" s="212"/>
      <c r="CA284" s="212"/>
      <c r="CB284" s="212"/>
      <c r="CC284" s="212"/>
      <c r="CD284" s="212"/>
      <c r="CE284" s="212"/>
      <c r="CF284" s="212"/>
      <c r="CG284" s="212"/>
      <c r="CH284" s="212"/>
      <c r="CI284" s="212"/>
      <c r="CJ284" s="212"/>
      <c r="CK284" s="212"/>
      <c r="CL284" s="212"/>
    </row>
    <row r="285" spans="10:90" ht="24.75" customHeight="1" x14ac:dyDescent="0.75">
      <c r="J285" s="220"/>
      <c r="K285" s="2"/>
      <c r="N285" s="212"/>
      <c r="O285" s="212"/>
      <c r="P285" s="212"/>
      <c r="Q285" s="212"/>
      <c r="R285" s="212"/>
      <c r="S285" s="212"/>
      <c r="T285" s="212"/>
      <c r="U285" s="212"/>
      <c r="V285" s="212"/>
      <c r="W285" s="212"/>
      <c r="X285" s="212"/>
      <c r="Y285" s="212"/>
      <c r="Z285" s="212"/>
      <c r="AA285" s="212"/>
      <c r="AB285" s="212"/>
      <c r="AC285" s="212"/>
      <c r="AD285" s="212"/>
      <c r="AE285" s="212"/>
      <c r="AF285" s="212"/>
      <c r="AG285" s="212"/>
      <c r="AH285" s="212"/>
      <c r="AI285" s="212"/>
      <c r="AJ285" s="212"/>
      <c r="AK285" s="212"/>
      <c r="AL285" s="212"/>
      <c r="AM285" s="212"/>
      <c r="AN285" s="212"/>
      <c r="AO285" s="212"/>
      <c r="AP285" s="212"/>
      <c r="AQ285" s="212"/>
      <c r="AR285" s="212"/>
      <c r="AS285" s="212"/>
      <c r="AT285" s="212"/>
      <c r="AU285" s="212"/>
      <c r="AV285" s="212"/>
      <c r="AW285" s="212"/>
      <c r="AX285" s="212"/>
      <c r="AY285" s="212"/>
      <c r="AZ285" s="212"/>
      <c r="BA285" s="212"/>
      <c r="BB285" s="212"/>
      <c r="BC285" s="212"/>
      <c r="BD285" s="212"/>
      <c r="BE285" s="212"/>
      <c r="BF285" s="212"/>
      <c r="BG285" s="212"/>
      <c r="BH285" s="212"/>
      <c r="BI285" s="212"/>
      <c r="BJ285" s="212"/>
      <c r="BK285" s="212"/>
      <c r="BL285" s="212"/>
      <c r="BM285" s="212"/>
      <c r="BN285" s="212"/>
      <c r="BO285" s="212"/>
      <c r="BP285" s="212"/>
      <c r="BQ285" s="212"/>
      <c r="BR285" s="212"/>
      <c r="BS285" s="212"/>
      <c r="BT285" s="212"/>
      <c r="BU285" s="212"/>
      <c r="BV285" s="212"/>
      <c r="BW285" s="212"/>
      <c r="BX285" s="212"/>
      <c r="BY285" s="212"/>
      <c r="BZ285" s="212"/>
      <c r="CA285" s="212"/>
      <c r="CB285" s="212"/>
      <c r="CC285" s="212"/>
      <c r="CD285" s="212"/>
      <c r="CE285" s="212"/>
      <c r="CF285" s="212"/>
      <c r="CG285" s="212"/>
      <c r="CH285" s="212"/>
      <c r="CI285" s="212"/>
      <c r="CJ285" s="212"/>
      <c r="CK285" s="212"/>
      <c r="CL285" s="212"/>
    </row>
    <row r="286" spans="10:90" ht="24.75" customHeight="1" x14ac:dyDescent="0.75">
      <c r="J286" s="220"/>
      <c r="K286" s="2"/>
      <c r="N286" s="212"/>
      <c r="O286" s="212"/>
      <c r="P286" s="212"/>
      <c r="Q286" s="212"/>
      <c r="R286" s="212"/>
      <c r="S286" s="212"/>
      <c r="T286" s="212"/>
      <c r="U286" s="212"/>
      <c r="V286" s="212"/>
      <c r="W286" s="212"/>
      <c r="X286" s="212"/>
      <c r="Y286" s="212"/>
      <c r="Z286" s="212"/>
      <c r="AA286" s="212"/>
      <c r="AB286" s="212"/>
      <c r="AC286" s="212"/>
      <c r="AD286" s="212"/>
      <c r="AE286" s="212"/>
      <c r="AF286" s="212"/>
      <c r="AG286" s="212"/>
      <c r="AH286" s="212"/>
      <c r="AI286" s="212"/>
      <c r="AJ286" s="212"/>
      <c r="AK286" s="212"/>
      <c r="AL286" s="212"/>
      <c r="AM286" s="212"/>
      <c r="AN286" s="212"/>
      <c r="AO286" s="212"/>
      <c r="AP286" s="212"/>
      <c r="AQ286" s="212"/>
      <c r="AR286" s="212"/>
      <c r="AS286" s="212"/>
      <c r="AT286" s="212"/>
      <c r="AU286" s="212"/>
      <c r="AV286" s="212"/>
      <c r="AW286" s="212"/>
      <c r="AX286" s="212"/>
      <c r="AY286" s="212"/>
      <c r="AZ286" s="212"/>
      <c r="BA286" s="212"/>
      <c r="BB286" s="212"/>
      <c r="BC286" s="212"/>
      <c r="BD286" s="212"/>
      <c r="BE286" s="212"/>
      <c r="BF286" s="212"/>
      <c r="BG286" s="212"/>
      <c r="BH286" s="212"/>
      <c r="BI286" s="212"/>
      <c r="BJ286" s="212"/>
      <c r="BK286" s="212"/>
      <c r="BL286" s="212"/>
      <c r="BM286" s="212"/>
      <c r="BN286" s="212"/>
      <c r="BO286" s="212"/>
      <c r="BP286" s="212"/>
      <c r="BQ286" s="212"/>
      <c r="BR286" s="212"/>
      <c r="BS286" s="212"/>
      <c r="BT286" s="212"/>
      <c r="BU286" s="212"/>
      <c r="BV286" s="212"/>
      <c r="BW286" s="212"/>
      <c r="BX286" s="212"/>
      <c r="BY286" s="212"/>
      <c r="BZ286" s="212"/>
      <c r="CA286" s="212"/>
      <c r="CB286" s="212"/>
      <c r="CC286" s="212"/>
      <c r="CD286" s="212"/>
      <c r="CE286" s="212"/>
      <c r="CF286" s="212"/>
      <c r="CG286" s="212"/>
      <c r="CH286" s="212"/>
      <c r="CI286" s="212"/>
      <c r="CJ286" s="212"/>
      <c r="CK286" s="212"/>
      <c r="CL286" s="212"/>
    </row>
    <row r="287" spans="10:90" ht="24.75" customHeight="1" x14ac:dyDescent="0.75">
      <c r="J287" s="220"/>
      <c r="K287" s="2"/>
      <c r="N287" s="212"/>
      <c r="O287" s="212"/>
      <c r="P287" s="212"/>
      <c r="Q287" s="212"/>
      <c r="R287" s="212"/>
      <c r="S287" s="212"/>
      <c r="T287" s="212"/>
      <c r="U287" s="212"/>
      <c r="V287" s="212"/>
      <c r="W287" s="212"/>
      <c r="X287" s="212"/>
      <c r="Y287" s="212"/>
      <c r="Z287" s="212"/>
      <c r="AA287" s="212"/>
      <c r="AB287" s="212"/>
      <c r="AC287" s="212"/>
      <c r="AD287" s="212"/>
      <c r="AE287" s="212"/>
      <c r="AF287" s="212"/>
      <c r="AG287" s="212"/>
      <c r="AH287" s="212"/>
      <c r="AI287" s="212"/>
      <c r="AJ287" s="212"/>
      <c r="AK287" s="212"/>
      <c r="AL287" s="212"/>
      <c r="AM287" s="212"/>
      <c r="AN287" s="212"/>
      <c r="AO287" s="212"/>
      <c r="AP287" s="212"/>
      <c r="AQ287" s="212"/>
      <c r="AR287" s="212"/>
      <c r="AS287" s="212"/>
      <c r="AT287" s="212"/>
      <c r="AU287" s="212"/>
      <c r="AV287" s="212"/>
      <c r="AW287" s="212"/>
      <c r="AX287" s="212"/>
      <c r="AY287" s="212"/>
      <c r="AZ287" s="212"/>
      <c r="BA287" s="212"/>
      <c r="BB287" s="212"/>
      <c r="BC287" s="212"/>
      <c r="BD287" s="212"/>
      <c r="BE287" s="212"/>
      <c r="BF287" s="212"/>
      <c r="BG287" s="212"/>
      <c r="BH287" s="212"/>
      <c r="BI287" s="212"/>
      <c r="BJ287" s="212"/>
      <c r="BK287" s="212"/>
      <c r="BL287" s="212"/>
      <c r="BM287" s="212"/>
      <c r="BN287" s="212"/>
      <c r="BO287" s="212"/>
      <c r="BP287" s="212"/>
      <c r="BQ287" s="212"/>
      <c r="BR287" s="212"/>
      <c r="BS287" s="212"/>
      <c r="BT287" s="212"/>
      <c r="BU287" s="212"/>
      <c r="BV287" s="212"/>
      <c r="BW287" s="212"/>
      <c r="BX287" s="212"/>
      <c r="BY287" s="212"/>
      <c r="BZ287" s="212"/>
      <c r="CA287" s="212"/>
      <c r="CB287" s="212"/>
      <c r="CC287" s="212"/>
      <c r="CD287" s="212"/>
      <c r="CE287" s="212"/>
      <c r="CF287" s="212"/>
      <c r="CG287" s="212"/>
      <c r="CH287" s="212"/>
      <c r="CI287" s="212"/>
      <c r="CJ287" s="212"/>
      <c r="CK287" s="212"/>
      <c r="CL287" s="212"/>
    </row>
    <row r="288" spans="10:90" ht="24.75" customHeight="1" x14ac:dyDescent="0.75">
      <c r="J288" s="220"/>
      <c r="K288" s="2"/>
      <c r="N288" s="212"/>
      <c r="O288" s="212"/>
      <c r="P288" s="212"/>
      <c r="Q288" s="212"/>
      <c r="R288" s="212"/>
      <c r="S288" s="212"/>
      <c r="T288" s="212"/>
      <c r="U288" s="212"/>
      <c r="V288" s="212"/>
      <c r="W288" s="212"/>
      <c r="X288" s="212"/>
      <c r="Y288" s="212"/>
      <c r="Z288" s="212"/>
      <c r="AA288" s="212"/>
      <c r="AB288" s="212"/>
      <c r="AC288" s="212"/>
      <c r="AD288" s="212"/>
      <c r="AE288" s="212"/>
      <c r="AF288" s="212"/>
      <c r="AG288" s="212"/>
      <c r="AH288" s="212"/>
      <c r="AI288" s="212"/>
      <c r="AJ288" s="212"/>
      <c r="AK288" s="212"/>
      <c r="AL288" s="212"/>
      <c r="AM288" s="212"/>
      <c r="AN288" s="212"/>
      <c r="AO288" s="212"/>
      <c r="AP288" s="212"/>
      <c r="AQ288" s="212"/>
      <c r="AR288" s="212"/>
      <c r="AS288" s="212"/>
      <c r="AT288" s="212"/>
      <c r="AU288" s="212"/>
      <c r="AV288" s="212"/>
      <c r="AW288" s="212"/>
      <c r="AX288" s="212"/>
      <c r="AY288" s="212"/>
      <c r="AZ288" s="212"/>
      <c r="BA288" s="212"/>
      <c r="BB288" s="212"/>
      <c r="BC288" s="212"/>
      <c r="BD288" s="212"/>
      <c r="BE288" s="212"/>
      <c r="BF288" s="212"/>
      <c r="BG288" s="212"/>
      <c r="BH288" s="212"/>
      <c r="BI288" s="212"/>
      <c r="BJ288" s="212"/>
      <c r="BK288" s="212"/>
      <c r="BL288" s="212"/>
      <c r="BM288" s="212"/>
      <c r="BN288" s="212"/>
      <c r="BO288" s="212"/>
      <c r="BP288" s="212"/>
      <c r="BQ288" s="212"/>
      <c r="BR288" s="212"/>
      <c r="BS288" s="212"/>
      <c r="BT288" s="212"/>
      <c r="BU288" s="212"/>
      <c r="BV288" s="212"/>
      <c r="BW288" s="212"/>
      <c r="BX288" s="212"/>
      <c r="BY288" s="212"/>
      <c r="BZ288" s="212"/>
      <c r="CA288" s="212"/>
      <c r="CB288" s="212"/>
      <c r="CC288" s="212"/>
      <c r="CD288" s="212"/>
      <c r="CE288" s="212"/>
      <c r="CF288" s="212"/>
      <c r="CG288" s="212"/>
      <c r="CH288" s="212"/>
      <c r="CI288" s="212"/>
      <c r="CJ288" s="212"/>
      <c r="CK288" s="212"/>
      <c r="CL288" s="212"/>
    </row>
    <row r="289" spans="10:90" ht="24.75" customHeight="1" x14ac:dyDescent="0.75">
      <c r="J289" s="220"/>
      <c r="K289" s="2"/>
      <c r="N289" s="212"/>
      <c r="O289" s="212"/>
      <c r="P289" s="212"/>
      <c r="Q289" s="212"/>
      <c r="R289" s="212"/>
      <c r="S289" s="212"/>
      <c r="T289" s="212"/>
      <c r="U289" s="212"/>
      <c r="V289" s="212"/>
      <c r="W289" s="212"/>
      <c r="X289" s="212"/>
      <c r="Y289" s="212"/>
      <c r="Z289" s="212"/>
      <c r="AA289" s="212"/>
      <c r="AB289" s="212"/>
      <c r="AC289" s="212"/>
      <c r="AD289" s="212"/>
      <c r="AE289" s="212"/>
      <c r="AF289" s="212"/>
      <c r="AG289" s="212"/>
      <c r="AH289" s="212"/>
      <c r="AI289" s="212"/>
      <c r="AJ289" s="212"/>
      <c r="AK289" s="212"/>
      <c r="AL289" s="212"/>
      <c r="AM289" s="212"/>
      <c r="AN289" s="212"/>
      <c r="AO289" s="212"/>
      <c r="AP289" s="212"/>
      <c r="AQ289" s="212"/>
      <c r="AR289" s="212"/>
      <c r="AS289" s="212"/>
      <c r="AT289" s="212"/>
      <c r="AU289" s="212"/>
      <c r="AV289" s="212"/>
      <c r="AW289" s="212"/>
      <c r="AX289" s="212"/>
      <c r="AY289" s="212"/>
      <c r="AZ289" s="212"/>
      <c r="BA289" s="212"/>
      <c r="BB289" s="212"/>
      <c r="BC289" s="212"/>
      <c r="BD289" s="212"/>
      <c r="BE289" s="212"/>
      <c r="BF289" s="212"/>
      <c r="BG289" s="212"/>
      <c r="BH289" s="212"/>
      <c r="BI289" s="212"/>
      <c r="BJ289" s="212"/>
      <c r="BK289" s="212"/>
      <c r="BL289" s="212"/>
      <c r="BM289" s="212"/>
      <c r="BN289" s="212"/>
      <c r="BO289" s="212"/>
      <c r="BP289" s="212"/>
      <c r="BQ289" s="212"/>
      <c r="BR289" s="212"/>
      <c r="BS289" s="212"/>
      <c r="BT289" s="212"/>
      <c r="BU289" s="212"/>
      <c r="BV289" s="212"/>
      <c r="BW289" s="212"/>
      <c r="BX289" s="212"/>
      <c r="BY289" s="212"/>
      <c r="BZ289" s="212"/>
      <c r="CA289" s="212"/>
      <c r="CB289" s="212"/>
      <c r="CC289" s="212"/>
      <c r="CD289" s="212"/>
      <c r="CE289" s="212"/>
      <c r="CF289" s="212"/>
      <c r="CG289" s="212"/>
      <c r="CH289" s="212"/>
      <c r="CI289" s="212"/>
      <c r="CJ289" s="212"/>
      <c r="CK289" s="212"/>
      <c r="CL289" s="212"/>
    </row>
    <row r="290" spans="10:90" ht="24.75" customHeight="1" x14ac:dyDescent="0.75">
      <c r="J290" s="220"/>
      <c r="K290" s="2"/>
      <c r="N290" s="212"/>
      <c r="O290" s="212"/>
      <c r="P290" s="212"/>
      <c r="Q290" s="212"/>
      <c r="R290" s="212"/>
      <c r="S290" s="212"/>
      <c r="T290" s="212"/>
      <c r="U290" s="212"/>
      <c r="V290" s="212"/>
      <c r="W290" s="212"/>
      <c r="X290" s="212"/>
      <c r="Y290" s="212"/>
      <c r="Z290" s="212"/>
      <c r="AA290" s="212"/>
      <c r="AB290" s="212"/>
      <c r="AC290" s="212"/>
      <c r="AD290" s="212"/>
      <c r="AE290" s="212"/>
      <c r="AF290" s="212"/>
      <c r="AG290" s="212"/>
      <c r="AH290" s="212"/>
      <c r="AI290" s="212"/>
      <c r="AJ290" s="212"/>
      <c r="AK290" s="212"/>
      <c r="AL290" s="212"/>
      <c r="AM290" s="212"/>
      <c r="AN290" s="212"/>
      <c r="AO290" s="212"/>
      <c r="AP290" s="212"/>
      <c r="AQ290" s="212"/>
      <c r="AR290" s="212"/>
      <c r="AS290" s="212"/>
      <c r="AT290" s="212"/>
      <c r="AU290" s="212"/>
      <c r="AV290" s="212"/>
      <c r="AW290" s="212"/>
      <c r="AX290" s="212"/>
      <c r="AY290" s="212"/>
      <c r="AZ290" s="212"/>
      <c r="BA290" s="212"/>
      <c r="BB290" s="212"/>
      <c r="BC290" s="212"/>
      <c r="BD290" s="212"/>
      <c r="BE290" s="212"/>
      <c r="BF290" s="212"/>
      <c r="BG290" s="212"/>
      <c r="BH290" s="212"/>
      <c r="BI290" s="212"/>
      <c r="BJ290" s="212"/>
      <c r="BK290" s="212"/>
      <c r="BL290" s="212"/>
      <c r="BM290" s="212"/>
      <c r="BN290" s="212"/>
      <c r="BO290" s="212"/>
      <c r="BP290" s="212"/>
      <c r="BQ290" s="212"/>
      <c r="BR290" s="212"/>
      <c r="BS290" s="212"/>
      <c r="BT290" s="212"/>
      <c r="BU290" s="212"/>
      <c r="BV290" s="212"/>
      <c r="BW290" s="212"/>
      <c r="BX290" s="212"/>
      <c r="BY290" s="212"/>
      <c r="BZ290" s="212"/>
      <c r="CA290" s="212"/>
      <c r="CB290" s="212"/>
      <c r="CC290" s="212"/>
      <c r="CD290" s="212"/>
      <c r="CE290" s="212"/>
      <c r="CF290" s="212"/>
      <c r="CG290" s="212"/>
      <c r="CH290" s="212"/>
      <c r="CI290" s="212"/>
      <c r="CJ290" s="212"/>
      <c r="CK290" s="212"/>
      <c r="CL290" s="212"/>
    </row>
    <row r="291" spans="10:90" ht="24.75" customHeight="1" x14ac:dyDescent="0.75">
      <c r="J291" s="220"/>
      <c r="K291" s="2"/>
      <c r="N291" s="212"/>
      <c r="O291" s="212"/>
      <c r="P291" s="212"/>
      <c r="Q291" s="212"/>
      <c r="R291" s="212"/>
      <c r="S291" s="212"/>
      <c r="T291" s="212"/>
      <c r="U291" s="212"/>
      <c r="V291" s="212"/>
      <c r="W291" s="212"/>
      <c r="X291" s="212"/>
      <c r="Y291" s="212"/>
      <c r="Z291" s="212"/>
      <c r="AA291" s="212"/>
      <c r="AB291" s="212"/>
      <c r="AC291" s="212"/>
      <c r="AD291" s="212"/>
      <c r="AE291" s="212"/>
      <c r="AF291" s="212"/>
      <c r="AG291" s="212"/>
      <c r="AH291" s="212"/>
      <c r="AI291" s="212"/>
      <c r="AJ291" s="212"/>
      <c r="AK291" s="212"/>
      <c r="AL291" s="212"/>
      <c r="AM291" s="212"/>
      <c r="AN291" s="212"/>
      <c r="AO291" s="212"/>
      <c r="AP291" s="212"/>
      <c r="AQ291" s="212"/>
      <c r="AR291" s="212"/>
      <c r="AS291" s="212"/>
      <c r="AT291" s="212"/>
      <c r="AU291" s="212"/>
      <c r="AV291" s="212"/>
      <c r="AW291" s="212"/>
      <c r="AX291" s="212"/>
      <c r="AY291" s="212"/>
      <c r="AZ291" s="212"/>
      <c r="BA291" s="212"/>
      <c r="BB291" s="212"/>
      <c r="BC291" s="212"/>
      <c r="BD291" s="212"/>
      <c r="BE291" s="212"/>
      <c r="BF291" s="212"/>
      <c r="BG291" s="212"/>
      <c r="BH291" s="212"/>
      <c r="BI291" s="212"/>
      <c r="BJ291" s="212"/>
      <c r="BK291" s="212"/>
      <c r="BL291" s="212"/>
      <c r="BM291" s="212"/>
      <c r="BN291" s="212"/>
      <c r="BO291" s="212"/>
      <c r="BP291" s="212"/>
      <c r="BQ291" s="212"/>
      <c r="BR291" s="212"/>
      <c r="BS291" s="212"/>
      <c r="BT291" s="212"/>
      <c r="BU291" s="212"/>
      <c r="BV291" s="212"/>
      <c r="BW291" s="212"/>
      <c r="BX291" s="212"/>
      <c r="BY291" s="212"/>
      <c r="BZ291" s="212"/>
      <c r="CA291" s="212"/>
      <c r="CB291" s="212"/>
      <c r="CC291" s="212"/>
      <c r="CD291" s="212"/>
      <c r="CE291" s="212"/>
      <c r="CF291" s="212"/>
      <c r="CG291" s="212"/>
      <c r="CH291" s="212"/>
      <c r="CI291" s="212"/>
      <c r="CJ291" s="212"/>
      <c r="CK291" s="212"/>
      <c r="CL291" s="212"/>
    </row>
    <row r="292" spans="10:90" ht="24.75" customHeight="1" x14ac:dyDescent="0.75">
      <c r="J292" s="220"/>
      <c r="K292" s="2"/>
      <c r="N292" s="212"/>
      <c r="O292" s="212"/>
      <c r="P292" s="212"/>
      <c r="Q292" s="212"/>
      <c r="R292" s="212"/>
      <c r="S292" s="212"/>
      <c r="T292" s="212"/>
      <c r="U292" s="212"/>
      <c r="V292" s="212"/>
      <c r="W292" s="212"/>
      <c r="X292" s="212"/>
      <c r="Y292" s="212"/>
      <c r="Z292" s="212"/>
      <c r="AA292" s="212"/>
      <c r="AB292" s="212"/>
      <c r="AC292" s="212"/>
      <c r="AD292" s="212"/>
      <c r="AE292" s="212"/>
      <c r="AF292" s="212"/>
      <c r="AG292" s="212"/>
      <c r="AH292" s="212"/>
      <c r="AI292" s="212"/>
      <c r="AJ292" s="212"/>
      <c r="AK292" s="212"/>
      <c r="AL292" s="212"/>
      <c r="AM292" s="212"/>
      <c r="AN292" s="212"/>
      <c r="AO292" s="212"/>
      <c r="AP292" s="212"/>
      <c r="AQ292" s="212"/>
      <c r="AR292" s="212"/>
      <c r="AS292" s="212"/>
      <c r="AT292" s="212"/>
      <c r="AU292" s="212"/>
      <c r="AV292" s="212"/>
      <c r="AW292" s="212"/>
      <c r="AX292" s="212"/>
      <c r="AY292" s="212"/>
      <c r="AZ292" s="212"/>
      <c r="BA292" s="212"/>
      <c r="BB292" s="212"/>
      <c r="BC292" s="212"/>
      <c r="BD292" s="212"/>
      <c r="BE292" s="212"/>
      <c r="BF292" s="212"/>
      <c r="BG292" s="212"/>
      <c r="BH292" s="212"/>
      <c r="BI292" s="212"/>
      <c r="BJ292" s="212"/>
      <c r="BK292" s="212"/>
      <c r="BL292" s="212"/>
      <c r="BM292" s="212"/>
      <c r="BN292" s="212"/>
      <c r="BO292" s="212"/>
      <c r="BP292" s="212"/>
      <c r="BQ292" s="212"/>
      <c r="BR292" s="212"/>
      <c r="BS292" s="212"/>
      <c r="BT292" s="212"/>
      <c r="BU292" s="212"/>
      <c r="BV292" s="212"/>
      <c r="BW292" s="212"/>
      <c r="BX292" s="212"/>
      <c r="BY292" s="212"/>
      <c r="BZ292" s="212"/>
      <c r="CA292" s="212"/>
      <c r="CB292" s="212"/>
      <c r="CC292" s="212"/>
      <c r="CD292" s="212"/>
      <c r="CE292" s="212"/>
      <c r="CF292" s="212"/>
      <c r="CG292" s="212"/>
      <c r="CH292" s="212"/>
      <c r="CI292" s="212"/>
      <c r="CJ292" s="212"/>
      <c r="CK292" s="212"/>
      <c r="CL292" s="212"/>
    </row>
    <row r="293" spans="10:90" ht="24.75" customHeight="1" x14ac:dyDescent="0.75">
      <c r="J293" s="220"/>
      <c r="K293" s="2"/>
      <c r="N293" s="212"/>
      <c r="O293" s="212"/>
      <c r="P293" s="212"/>
      <c r="Q293" s="212"/>
      <c r="R293" s="212"/>
      <c r="S293" s="212"/>
      <c r="T293" s="212"/>
      <c r="U293" s="212"/>
      <c r="V293" s="212"/>
      <c r="W293" s="212"/>
      <c r="X293" s="212"/>
      <c r="Y293" s="212"/>
      <c r="Z293" s="212"/>
      <c r="AA293" s="212"/>
      <c r="AB293" s="212"/>
      <c r="AC293" s="212"/>
      <c r="AD293" s="212"/>
      <c r="AE293" s="212"/>
      <c r="AF293" s="212"/>
      <c r="AG293" s="212"/>
      <c r="AH293" s="212"/>
      <c r="AI293" s="212"/>
      <c r="AJ293" s="212"/>
      <c r="AK293" s="212"/>
      <c r="AL293" s="212"/>
      <c r="AM293" s="212"/>
      <c r="AN293" s="212"/>
      <c r="AO293" s="212"/>
      <c r="AP293" s="212"/>
      <c r="AQ293" s="212"/>
      <c r="AR293" s="212"/>
      <c r="AS293" s="212"/>
      <c r="AT293" s="212"/>
      <c r="AU293" s="212"/>
      <c r="AV293" s="212"/>
      <c r="AW293" s="212"/>
      <c r="AX293" s="212"/>
      <c r="AY293" s="212"/>
      <c r="AZ293" s="212"/>
      <c r="BA293" s="212"/>
      <c r="BB293" s="212"/>
      <c r="BC293" s="212"/>
      <c r="BD293" s="212"/>
      <c r="BE293" s="212"/>
      <c r="BF293" s="212"/>
      <c r="BG293" s="212"/>
      <c r="BH293" s="212"/>
      <c r="BI293" s="212"/>
      <c r="BJ293" s="212"/>
      <c r="BK293" s="212"/>
      <c r="BL293" s="212"/>
      <c r="BM293" s="212"/>
      <c r="BN293" s="212"/>
      <c r="BO293" s="212"/>
      <c r="BP293" s="212"/>
      <c r="BQ293" s="212"/>
      <c r="BR293" s="212"/>
      <c r="BS293" s="212"/>
      <c r="BT293" s="212"/>
      <c r="BU293" s="212"/>
      <c r="BV293" s="212"/>
      <c r="BW293" s="212"/>
      <c r="BX293" s="212"/>
      <c r="BY293" s="212"/>
      <c r="BZ293" s="212"/>
      <c r="CA293" s="212"/>
      <c r="CB293" s="212"/>
      <c r="CC293" s="212"/>
      <c r="CD293" s="212"/>
      <c r="CE293" s="212"/>
      <c r="CF293" s="212"/>
      <c r="CG293" s="212"/>
      <c r="CH293" s="212"/>
      <c r="CI293" s="212"/>
      <c r="CJ293" s="212"/>
      <c r="CK293" s="212"/>
      <c r="CL293" s="212"/>
    </row>
    <row r="294" spans="10:90" ht="24.75" customHeight="1" x14ac:dyDescent="0.75">
      <c r="J294" s="220"/>
      <c r="K294" s="2"/>
      <c r="N294" s="212"/>
      <c r="O294" s="212"/>
      <c r="P294" s="212"/>
      <c r="Q294" s="212"/>
      <c r="R294" s="212"/>
      <c r="S294" s="212"/>
      <c r="T294" s="212"/>
      <c r="U294" s="212"/>
      <c r="V294" s="212"/>
      <c r="W294" s="212"/>
      <c r="X294" s="212"/>
      <c r="Y294" s="212"/>
      <c r="Z294" s="212"/>
      <c r="AA294" s="212"/>
      <c r="AB294" s="212"/>
      <c r="AC294" s="212"/>
      <c r="AD294" s="212"/>
      <c r="AE294" s="212"/>
      <c r="AF294" s="212"/>
      <c r="AG294" s="212"/>
      <c r="AH294" s="212"/>
      <c r="AI294" s="212"/>
      <c r="AJ294" s="212"/>
      <c r="AK294" s="212"/>
      <c r="AL294" s="212"/>
      <c r="AM294" s="212"/>
      <c r="AN294" s="212"/>
      <c r="AO294" s="212"/>
      <c r="AP294" s="212"/>
      <c r="AQ294" s="212"/>
      <c r="AR294" s="212"/>
      <c r="AS294" s="212"/>
      <c r="AT294" s="212"/>
      <c r="AU294" s="212"/>
      <c r="AV294" s="212"/>
      <c r="AW294" s="212"/>
      <c r="AX294" s="212"/>
      <c r="AY294" s="212"/>
      <c r="AZ294" s="212"/>
      <c r="BA294" s="212"/>
      <c r="BB294" s="212"/>
      <c r="BC294" s="212"/>
      <c r="BD294" s="212"/>
      <c r="BE294" s="212"/>
      <c r="BF294" s="212"/>
      <c r="BG294" s="212"/>
      <c r="BH294" s="212"/>
      <c r="BI294" s="212"/>
      <c r="BJ294" s="212"/>
      <c r="BK294" s="212"/>
      <c r="BL294" s="212"/>
      <c r="BM294" s="212"/>
      <c r="BN294" s="212"/>
      <c r="BO294" s="212"/>
      <c r="BP294" s="212"/>
      <c r="BQ294" s="212"/>
      <c r="BR294" s="212"/>
      <c r="BS294" s="212"/>
      <c r="BT294" s="212"/>
      <c r="BU294" s="212"/>
      <c r="BV294" s="212"/>
      <c r="BW294" s="212"/>
      <c r="BX294" s="212"/>
      <c r="BY294" s="212"/>
      <c r="BZ294" s="212"/>
      <c r="CA294" s="212"/>
      <c r="CB294" s="212"/>
      <c r="CC294" s="212"/>
      <c r="CD294" s="212"/>
      <c r="CE294" s="212"/>
      <c r="CF294" s="212"/>
      <c r="CG294" s="212"/>
      <c r="CH294" s="212"/>
      <c r="CI294" s="212"/>
      <c r="CJ294" s="212"/>
      <c r="CK294" s="212"/>
      <c r="CL294" s="212"/>
    </row>
    <row r="295" spans="10:90" ht="24.75" customHeight="1" x14ac:dyDescent="0.75">
      <c r="J295" s="220"/>
      <c r="K295" s="2"/>
      <c r="N295" s="212"/>
      <c r="O295" s="212"/>
      <c r="P295" s="212"/>
      <c r="Q295" s="212"/>
      <c r="R295" s="212"/>
      <c r="S295" s="212"/>
      <c r="T295" s="212"/>
      <c r="U295" s="212"/>
      <c r="V295" s="212"/>
      <c r="W295" s="212"/>
      <c r="X295" s="212"/>
      <c r="Y295" s="212"/>
      <c r="Z295" s="212"/>
      <c r="AA295" s="212"/>
      <c r="AB295" s="212"/>
      <c r="AC295" s="212"/>
      <c r="AD295" s="212"/>
      <c r="AE295" s="212"/>
      <c r="AF295" s="212"/>
      <c r="AG295" s="212"/>
      <c r="AH295" s="212"/>
      <c r="AI295" s="212"/>
      <c r="AJ295" s="212"/>
      <c r="AK295" s="212"/>
      <c r="AL295" s="212"/>
      <c r="AM295" s="212"/>
      <c r="AN295" s="212"/>
      <c r="AO295" s="212"/>
      <c r="AP295" s="212"/>
      <c r="AQ295" s="212"/>
      <c r="AR295" s="212"/>
      <c r="AS295" s="212"/>
      <c r="AT295" s="212"/>
      <c r="AU295" s="212"/>
      <c r="AV295" s="212"/>
      <c r="AW295" s="212"/>
      <c r="AX295" s="212"/>
      <c r="AY295" s="212"/>
      <c r="AZ295" s="212"/>
      <c r="BA295" s="212"/>
      <c r="BB295" s="212"/>
      <c r="BC295" s="212"/>
      <c r="BD295" s="212"/>
      <c r="BE295" s="212"/>
      <c r="BF295" s="212"/>
      <c r="BG295" s="212"/>
      <c r="BH295" s="212"/>
      <c r="BI295" s="212"/>
      <c r="BJ295" s="212"/>
      <c r="BK295" s="212"/>
      <c r="BL295" s="212"/>
      <c r="BM295" s="212"/>
      <c r="BN295" s="212"/>
      <c r="BO295" s="212"/>
      <c r="BP295" s="212"/>
      <c r="BQ295" s="212"/>
      <c r="BR295" s="212"/>
      <c r="BS295" s="212"/>
      <c r="BT295" s="212"/>
      <c r="BU295" s="212"/>
      <c r="BV295" s="212"/>
      <c r="BW295" s="212"/>
      <c r="BX295" s="212"/>
      <c r="BY295" s="212"/>
      <c r="BZ295" s="212"/>
      <c r="CA295" s="212"/>
      <c r="CB295" s="212"/>
      <c r="CC295" s="212"/>
      <c r="CD295" s="212"/>
      <c r="CE295" s="212"/>
      <c r="CF295" s="212"/>
      <c r="CG295" s="212"/>
      <c r="CH295" s="212"/>
      <c r="CI295" s="212"/>
      <c r="CJ295" s="212"/>
      <c r="CK295" s="212"/>
      <c r="CL295" s="212"/>
    </row>
    <row r="296" spans="10:90" ht="24.75" customHeight="1" x14ac:dyDescent="0.75">
      <c r="J296" s="220"/>
      <c r="K296" s="2"/>
      <c r="N296" s="212"/>
      <c r="O296" s="212"/>
      <c r="P296" s="212"/>
      <c r="Q296" s="212"/>
      <c r="R296" s="212"/>
      <c r="S296" s="212"/>
      <c r="T296" s="212"/>
      <c r="U296" s="212"/>
      <c r="V296" s="212"/>
      <c r="W296" s="212"/>
      <c r="X296" s="212"/>
      <c r="Y296" s="212"/>
      <c r="Z296" s="212"/>
      <c r="AA296" s="212"/>
      <c r="AB296" s="212"/>
      <c r="AC296" s="212"/>
      <c r="AD296" s="212"/>
      <c r="AE296" s="212"/>
      <c r="AF296" s="212"/>
      <c r="AG296" s="212"/>
      <c r="AH296" s="212"/>
      <c r="AI296" s="212"/>
      <c r="AJ296" s="212"/>
      <c r="AK296" s="212"/>
      <c r="AL296" s="212"/>
      <c r="AM296" s="212"/>
      <c r="AN296" s="212"/>
      <c r="AO296" s="212"/>
      <c r="AP296" s="212"/>
      <c r="AQ296" s="212"/>
      <c r="AR296" s="212"/>
      <c r="AS296" s="212"/>
      <c r="AT296" s="212"/>
      <c r="AU296" s="212"/>
      <c r="AV296" s="212"/>
      <c r="AW296" s="212"/>
      <c r="AX296" s="212"/>
      <c r="AY296" s="212"/>
      <c r="AZ296" s="212"/>
      <c r="BA296" s="212"/>
      <c r="BB296" s="212"/>
      <c r="BC296" s="212"/>
      <c r="BD296" s="212"/>
      <c r="BE296" s="212"/>
      <c r="BF296" s="212"/>
      <c r="BG296" s="212"/>
      <c r="BH296" s="212"/>
      <c r="BI296" s="212"/>
      <c r="BJ296" s="212"/>
      <c r="BK296" s="212"/>
      <c r="BL296" s="212"/>
      <c r="BM296" s="212"/>
      <c r="BN296" s="212"/>
      <c r="BO296" s="212"/>
      <c r="BP296" s="212"/>
      <c r="BQ296" s="212"/>
      <c r="BR296" s="212"/>
      <c r="BS296" s="212"/>
      <c r="BT296" s="212"/>
      <c r="BU296" s="212"/>
      <c r="BV296" s="212"/>
      <c r="BW296" s="212"/>
      <c r="BX296" s="212"/>
      <c r="BY296" s="212"/>
      <c r="BZ296" s="212"/>
      <c r="CA296" s="212"/>
      <c r="CB296" s="212"/>
      <c r="CC296" s="212"/>
      <c r="CD296" s="212"/>
      <c r="CE296" s="212"/>
      <c r="CF296" s="212"/>
      <c r="CG296" s="212"/>
      <c r="CH296" s="212"/>
      <c r="CI296" s="212"/>
      <c r="CJ296" s="212"/>
      <c r="CK296" s="212"/>
      <c r="CL296" s="212"/>
    </row>
    <row r="297" spans="10:90" ht="24.75" customHeight="1" x14ac:dyDescent="0.75">
      <c r="J297" s="220"/>
      <c r="K297" s="2"/>
      <c r="N297" s="212"/>
      <c r="O297" s="212"/>
      <c r="P297" s="212"/>
      <c r="Q297" s="212"/>
      <c r="R297" s="212"/>
      <c r="S297" s="212"/>
      <c r="T297" s="212"/>
      <c r="U297" s="212"/>
      <c r="V297" s="212"/>
      <c r="W297" s="212"/>
      <c r="X297" s="212"/>
      <c r="Y297" s="212"/>
      <c r="Z297" s="212"/>
      <c r="AA297" s="212"/>
      <c r="AB297" s="212"/>
      <c r="AC297" s="212"/>
      <c r="AD297" s="212"/>
      <c r="AE297" s="212"/>
      <c r="AF297" s="212"/>
      <c r="AG297" s="212"/>
      <c r="AH297" s="212"/>
      <c r="AI297" s="212"/>
      <c r="AJ297" s="212"/>
      <c r="AK297" s="212"/>
      <c r="AL297" s="212"/>
      <c r="AM297" s="212"/>
      <c r="AN297" s="212"/>
      <c r="AO297" s="212"/>
      <c r="AP297" s="212"/>
      <c r="AQ297" s="212"/>
      <c r="AR297" s="212"/>
      <c r="AS297" s="212"/>
      <c r="AT297" s="212"/>
      <c r="AU297" s="212"/>
      <c r="AV297" s="212"/>
      <c r="AW297" s="212"/>
      <c r="AX297" s="212"/>
      <c r="AY297" s="212"/>
      <c r="AZ297" s="212"/>
      <c r="BA297" s="212"/>
      <c r="BB297" s="212"/>
      <c r="BC297" s="212"/>
      <c r="BD297" s="212"/>
      <c r="BE297" s="212"/>
      <c r="BF297" s="212"/>
      <c r="BG297" s="212"/>
      <c r="BH297" s="212"/>
      <c r="BI297" s="212"/>
      <c r="BJ297" s="212"/>
      <c r="BK297" s="212"/>
      <c r="BL297" s="212"/>
      <c r="BM297" s="212"/>
      <c r="BN297" s="212"/>
      <c r="BO297" s="212"/>
      <c r="BP297" s="212"/>
      <c r="BQ297" s="212"/>
      <c r="BR297" s="212"/>
      <c r="BS297" s="212"/>
      <c r="BT297" s="212"/>
      <c r="BU297" s="212"/>
      <c r="BV297" s="212"/>
      <c r="BW297" s="212"/>
      <c r="BX297" s="212"/>
      <c r="BY297" s="212"/>
      <c r="BZ297" s="212"/>
      <c r="CA297" s="212"/>
      <c r="CB297" s="212"/>
      <c r="CC297" s="212"/>
      <c r="CD297" s="212"/>
      <c r="CE297" s="212"/>
      <c r="CF297" s="212"/>
      <c r="CG297" s="212"/>
      <c r="CH297" s="212"/>
      <c r="CI297" s="212"/>
      <c r="CJ297" s="212"/>
      <c r="CK297" s="212"/>
      <c r="CL297" s="212"/>
    </row>
    <row r="298" spans="10:90" ht="24.75" customHeight="1" x14ac:dyDescent="0.75">
      <c r="J298" s="220"/>
      <c r="K298" s="2"/>
      <c r="N298" s="212"/>
      <c r="O298" s="212"/>
      <c r="P298" s="212"/>
      <c r="Q298" s="212"/>
      <c r="R298" s="212"/>
      <c r="S298" s="212"/>
      <c r="T298" s="212"/>
      <c r="U298" s="212"/>
      <c r="V298" s="212"/>
      <c r="W298" s="212"/>
      <c r="X298" s="212"/>
      <c r="Y298" s="212"/>
      <c r="Z298" s="212"/>
      <c r="AA298" s="212"/>
      <c r="AB298" s="212"/>
      <c r="AC298" s="212"/>
      <c r="AD298" s="212"/>
      <c r="AE298" s="212"/>
      <c r="AF298" s="212"/>
      <c r="AG298" s="212"/>
      <c r="AH298" s="212"/>
      <c r="AI298" s="212"/>
      <c r="AJ298" s="212"/>
      <c r="AK298" s="212"/>
      <c r="AL298" s="212"/>
      <c r="AM298" s="212"/>
      <c r="AN298" s="212"/>
      <c r="AO298" s="212"/>
      <c r="AP298" s="212"/>
      <c r="AQ298" s="212"/>
      <c r="AR298" s="212"/>
      <c r="AS298" s="212"/>
      <c r="AT298" s="212"/>
      <c r="AU298" s="212"/>
      <c r="AV298" s="212"/>
      <c r="AW298" s="212"/>
      <c r="AX298" s="212"/>
      <c r="AY298" s="212"/>
      <c r="AZ298" s="212"/>
      <c r="BA298" s="212"/>
      <c r="BB298" s="212"/>
      <c r="BC298" s="212"/>
      <c r="BD298" s="212"/>
      <c r="BE298" s="212"/>
      <c r="BF298" s="212"/>
      <c r="BG298" s="212"/>
      <c r="BH298" s="212"/>
      <c r="BI298" s="212"/>
      <c r="BJ298" s="212"/>
      <c r="BK298" s="212"/>
      <c r="BL298" s="212"/>
      <c r="BM298" s="212"/>
      <c r="BN298" s="212"/>
      <c r="BO298" s="212"/>
      <c r="BP298" s="212"/>
      <c r="BQ298" s="212"/>
      <c r="BR298" s="212"/>
      <c r="BS298" s="212"/>
      <c r="BT298" s="212"/>
      <c r="BU298" s="212"/>
      <c r="BV298" s="212"/>
      <c r="BW298" s="212"/>
      <c r="BX298" s="212"/>
      <c r="BY298" s="212"/>
      <c r="BZ298" s="212"/>
      <c r="CA298" s="212"/>
      <c r="CB298" s="212"/>
      <c r="CC298" s="212"/>
      <c r="CD298" s="212"/>
      <c r="CE298" s="212"/>
      <c r="CF298" s="212"/>
      <c r="CG298" s="212"/>
      <c r="CH298" s="212"/>
      <c r="CI298" s="212"/>
      <c r="CJ298" s="212"/>
      <c r="CK298" s="212"/>
      <c r="CL298" s="212"/>
    </row>
    <row r="299" spans="10:90" ht="24.75" customHeight="1" x14ac:dyDescent="0.75">
      <c r="J299" s="220"/>
      <c r="K299" s="2"/>
      <c r="N299" s="212"/>
      <c r="O299" s="212"/>
      <c r="P299" s="212"/>
      <c r="Q299" s="212"/>
      <c r="R299" s="212"/>
      <c r="S299" s="212"/>
      <c r="T299" s="212"/>
      <c r="U299" s="212"/>
      <c r="V299" s="212"/>
      <c r="W299" s="212"/>
      <c r="X299" s="212"/>
      <c r="Y299" s="212"/>
      <c r="Z299" s="212"/>
      <c r="AA299" s="212"/>
      <c r="AB299" s="212"/>
      <c r="AC299" s="212"/>
      <c r="AD299" s="212"/>
      <c r="AE299" s="212"/>
      <c r="AF299" s="212"/>
      <c r="AG299" s="212"/>
      <c r="AH299" s="212"/>
      <c r="AI299" s="212"/>
      <c r="AJ299" s="212"/>
      <c r="AK299" s="212"/>
      <c r="AL299" s="212"/>
      <c r="AM299" s="212"/>
      <c r="AN299" s="212"/>
      <c r="AO299" s="212"/>
      <c r="AP299" s="212"/>
      <c r="AQ299" s="212"/>
      <c r="AR299" s="212"/>
      <c r="AS299" s="212"/>
      <c r="AT299" s="212"/>
      <c r="AU299" s="212"/>
      <c r="AV299" s="212"/>
      <c r="AW299" s="212"/>
      <c r="AX299" s="212"/>
      <c r="AY299" s="212"/>
      <c r="AZ299" s="212"/>
      <c r="BA299" s="212"/>
      <c r="BB299" s="212"/>
      <c r="BC299" s="212"/>
      <c r="BD299" s="212"/>
      <c r="BE299" s="212"/>
      <c r="BF299" s="212"/>
      <c r="BG299" s="212"/>
      <c r="BH299" s="212"/>
      <c r="BI299" s="212"/>
      <c r="BJ299" s="212"/>
      <c r="BK299" s="212"/>
      <c r="BL299" s="212"/>
      <c r="BM299" s="212"/>
      <c r="BN299" s="212"/>
      <c r="BO299" s="212"/>
      <c r="BP299" s="212"/>
      <c r="BQ299" s="212"/>
      <c r="BR299" s="212"/>
      <c r="BS299" s="212"/>
      <c r="BT299" s="212"/>
      <c r="BU299" s="212"/>
      <c r="BV299" s="212"/>
      <c r="BW299" s="212"/>
      <c r="BX299" s="212"/>
      <c r="BY299" s="212"/>
      <c r="BZ299" s="212"/>
      <c r="CA299" s="212"/>
      <c r="CB299" s="212"/>
      <c r="CC299" s="212"/>
      <c r="CD299" s="212"/>
      <c r="CE299" s="212"/>
      <c r="CF299" s="212"/>
      <c r="CG299" s="212"/>
      <c r="CH299" s="212"/>
      <c r="CI299" s="212"/>
      <c r="CJ299" s="212"/>
      <c r="CK299" s="212"/>
      <c r="CL299" s="212"/>
    </row>
    <row r="300" spans="10:90" ht="24.75" customHeight="1" x14ac:dyDescent="0.75">
      <c r="J300" s="220"/>
      <c r="K300" s="2"/>
      <c r="N300" s="212"/>
      <c r="O300" s="212"/>
      <c r="P300" s="212"/>
      <c r="Q300" s="212"/>
      <c r="R300" s="212"/>
      <c r="S300" s="212"/>
      <c r="T300" s="212"/>
      <c r="U300" s="212"/>
      <c r="V300" s="212"/>
      <c r="W300" s="212"/>
      <c r="X300" s="212"/>
      <c r="Y300" s="212"/>
      <c r="Z300" s="212"/>
      <c r="AA300" s="212"/>
      <c r="AB300" s="212"/>
      <c r="AC300" s="212"/>
      <c r="AD300" s="212"/>
      <c r="AE300" s="212"/>
      <c r="AF300" s="212"/>
      <c r="AG300" s="212"/>
      <c r="AH300" s="212"/>
      <c r="AI300" s="212"/>
      <c r="AJ300" s="212"/>
      <c r="AK300" s="212"/>
      <c r="AL300" s="212"/>
      <c r="AM300" s="212"/>
      <c r="AN300" s="212"/>
      <c r="AO300" s="212"/>
      <c r="AP300" s="212"/>
      <c r="AQ300" s="212"/>
      <c r="AR300" s="212"/>
      <c r="AS300" s="212"/>
      <c r="AT300" s="212"/>
      <c r="AU300" s="212"/>
      <c r="AV300" s="212"/>
      <c r="AW300" s="212"/>
      <c r="AX300" s="212"/>
      <c r="AY300" s="212"/>
      <c r="AZ300" s="212"/>
      <c r="BA300" s="212"/>
      <c r="BB300" s="212"/>
      <c r="BC300" s="212"/>
      <c r="BD300" s="212"/>
      <c r="BE300" s="212"/>
      <c r="BF300" s="212"/>
      <c r="BG300" s="212"/>
      <c r="BH300" s="212"/>
      <c r="BI300" s="212"/>
      <c r="BJ300" s="212"/>
      <c r="BK300" s="212"/>
      <c r="BL300" s="212"/>
      <c r="BM300" s="212"/>
      <c r="BN300" s="212"/>
      <c r="BO300" s="212"/>
      <c r="BP300" s="212"/>
      <c r="BQ300" s="212"/>
      <c r="BR300" s="212"/>
      <c r="BS300" s="212"/>
      <c r="BT300" s="212"/>
      <c r="BU300" s="212"/>
      <c r="BV300" s="212"/>
      <c r="BW300" s="212"/>
      <c r="BX300" s="212"/>
      <c r="BY300" s="212"/>
      <c r="BZ300" s="212"/>
      <c r="CA300" s="212"/>
      <c r="CB300" s="212"/>
      <c r="CC300" s="212"/>
      <c r="CD300" s="212"/>
      <c r="CE300" s="212"/>
      <c r="CF300" s="212"/>
      <c r="CG300" s="212"/>
      <c r="CH300" s="212"/>
      <c r="CI300" s="212"/>
      <c r="CJ300" s="212"/>
      <c r="CK300" s="212"/>
      <c r="CL300" s="212"/>
    </row>
    <row r="301" spans="10:90" ht="24.75" customHeight="1" x14ac:dyDescent="0.75">
      <c r="J301" s="220"/>
      <c r="K301" s="2"/>
      <c r="N301" s="212"/>
      <c r="O301" s="212"/>
      <c r="P301" s="212"/>
      <c r="Q301" s="212"/>
      <c r="R301" s="212"/>
      <c r="S301" s="212"/>
      <c r="T301" s="212"/>
      <c r="U301" s="212"/>
      <c r="V301" s="212"/>
      <c r="W301" s="212"/>
      <c r="X301" s="212"/>
      <c r="Y301" s="212"/>
      <c r="Z301" s="212"/>
      <c r="AA301" s="212"/>
      <c r="AB301" s="212"/>
      <c r="AC301" s="212"/>
      <c r="AD301" s="212"/>
      <c r="AE301" s="212"/>
      <c r="AF301" s="212"/>
      <c r="AG301" s="212"/>
      <c r="AH301" s="212"/>
      <c r="AI301" s="212"/>
      <c r="AJ301" s="212"/>
      <c r="AK301" s="212"/>
      <c r="AL301" s="212"/>
      <c r="AM301" s="212"/>
      <c r="AN301" s="212"/>
      <c r="AO301" s="212"/>
      <c r="AP301" s="212"/>
      <c r="AQ301" s="212"/>
      <c r="AR301" s="212"/>
      <c r="AS301" s="212"/>
      <c r="AT301" s="212"/>
      <c r="AU301" s="212"/>
      <c r="AV301" s="212"/>
      <c r="AW301" s="212"/>
      <c r="AX301" s="212"/>
      <c r="AY301" s="212"/>
      <c r="AZ301" s="212"/>
      <c r="BA301" s="212"/>
      <c r="BB301" s="212"/>
      <c r="BC301" s="212"/>
      <c r="BD301" s="212"/>
      <c r="BE301" s="212"/>
      <c r="BF301" s="212"/>
      <c r="BG301" s="212"/>
      <c r="BH301" s="212"/>
      <c r="BI301" s="212"/>
      <c r="BJ301" s="212"/>
      <c r="BK301" s="212"/>
      <c r="BL301" s="212"/>
      <c r="BM301" s="212"/>
      <c r="BN301" s="212"/>
      <c r="BO301" s="212"/>
      <c r="BP301" s="212"/>
      <c r="BQ301" s="212"/>
      <c r="BR301" s="212"/>
      <c r="BS301" s="212"/>
      <c r="BT301" s="212"/>
      <c r="BU301" s="212"/>
      <c r="BV301" s="212"/>
      <c r="BW301" s="212"/>
      <c r="BX301" s="212"/>
      <c r="BY301" s="212"/>
      <c r="BZ301" s="212"/>
      <c r="CA301" s="212"/>
      <c r="CB301" s="212"/>
      <c r="CC301" s="212"/>
      <c r="CD301" s="212"/>
      <c r="CE301" s="212"/>
      <c r="CF301" s="212"/>
      <c r="CG301" s="212"/>
      <c r="CH301" s="212"/>
      <c r="CI301" s="212"/>
      <c r="CJ301" s="212"/>
      <c r="CK301" s="212"/>
      <c r="CL301" s="212"/>
    </row>
    <row r="302" spans="10:90" ht="24.75" customHeight="1" x14ac:dyDescent="0.75">
      <c r="J302" s="220"/>
      <c r="K302" s="2"/>
      <c r="N302" s="212"/>
      <c r="O302" s="212"/>
      <c r="P302" s="212"/>
      <c r="Q302" s="212"/>
      <c r="R302" s="212"/>
      <c r="S302" s="212"/>
      <c r="T302" s="212"/>
      <c r="U302" s="212"/>
      <c r="V302" s="212"/>
      <c r="W302" s="212"/>
      <c r="X302" s="212"/>
      <c r="Y302" s="212"/>
      <c r="Z302" s="212"/>
      <c r="AA302" s="212"/>
      <c r="AB302" s="212"/>
      <c r="AC302" s="212"/>
      <c r="AD302" s="212"/>
      <c r="AE302" s="212"/>
      <c r="AF302" s="212"/>
      <c r="AG302" s="212"/>
      <c r="AH302" s="212"/>
      <c r="AI302" s="212"/>
      <c r="AJ302" s="212"/>
      <c r="AK302" s="212"/>
      <c r="AL302" s="212"/>
      <c r="AM302" s="212"/>
      <c r="AN302" s="212"/>
      <c r="AO302" s="212"/>
      <c r="AP302" s="212"/>
      <c r="AQ302" s="212"/>
      <c r="AR302" s="212"/>
      <c r="AS302" s="212"/>
      <c r="AT302" s="212"/>
      <c r="AU302" s="212"/>
      <c r="AV302" s="212"/>
      <c r="AW302" s="212"/>
      <c r="AX302" s="212"/>
      <c r="AY302" s="212"/>
      <c r="AZ302" s="212"/>
      <c r="BA302" s="212"/>
      <c r="BB302" s="212"/>
      <c r="BC302" s="212"/>
      <c r="BD302" s="212"/>
      <c r="BE302" s="212"/>
      <c r="BF302" s="212"/>
      <c r="BG302" s="212"/>
      <c r="BH302" s="212"/>
      <c r="BI302" s="212"/>
      <c r="BJ302" s="212"/>
      <c r="BK302" s="212"/>
      <c r="BL302" s="212"/>
      <c r="BM302" s="212"/>
      <c r="BN302" s="212"/>
      <c r="BO302" s="212"/>
      <c r="BP302" s="212"/>
      <c r="BQ302" s="212"/>
      <c r="BR302" s="212"/>
      <c r="BS302" s="212"/>
      <c r="BT302" s="212"/>
      <c r="BU302" s="212"/>
      <c r="BV302" s="212"/>
      <c r="BW302" s="212"/>
      <c r="BX302" s="212"/>
      <c r="BY302" s="212"/>
      <c r="BZ302" s="212"/>
      <c r="CA302" s="212"/>
      <c r="CB302" s="212"/>
      <c r="CC302" s="212"/>
      <c r="CD302" s="212"/>
      <c r="CE302" s="212"/>
      <c r="CF302" s="212"/>
      <c r="CG302" s="212"/>
      <c r="CH302" s="212"/>
      <c r="CI302" s="212"/>
      <c r="CJ302" s="212"/>
      <c r="CK302" s="212"/>
      <c r="CL302" s="212"/>
    </row>
    <row r="303" spans="10:90" ht="24.75" customHeight="1" x14ac:dyDescent="0.75">
      <c r="J303" s="220"/>
      <c r="K303" s="2"/>
      <c r="N303" s="212"/>
      <c r="O303" s="212"/>
      <c r="P303" s="212"/>
      <c r="Q303" s="212"/>
      <c r="R303" s="212"/>
      <c r="S303" s="212"/>
      <c r="T303" s="212"/>
      <c r="U303" s="212"/>
      <c r="V303" s="212"/>
      <c r="W303" s="212"/>
      <c r="X303" s="212"/>
      <c r="Y303" s="212"/>
      <c r="Z303" s="212"/>
      <c r="AA303" s="212"/>
      <c r="AB303" s="212"/>
      <c r="AC303" s="212"/>
      <c r="AD303" s="212"/>
      <c r="AE303" s="212"/>
      <c r="AF303" s="212"/>
      <c r="AG303" s="212"/>
      <c r="AH303" s="212"/>
      <c r="AI303" s="212"/>
      <c r="AJ303" s="212"/>
      <c r="AK303" s="212"/>
      <c r="AL303" s="212"/>
      <c r="AM303" s="212"/>
      <c r="AN303" s="212"/>
      <c r="AO303" s="212"/>
      <c r="AP303" s="212"/>
      <c r="AQ303" s="212"/>
      <c r="AR303" s="212"/>
      <c r="AS303" s="212"/>
      <c r="AT303" s="212"/>
      <c r="AU303" s="212"/>
      <c r="AV303" s="212"/>
      <c r="AW303" s="212"/>
      <c r="AX303" s="212"/>
      <c r="AY303" s="212"/>
      <c r="AZ303" s="212"/>
      <c r="BA303" s="212"/>
      <c r="BB303" s="212"/>
      <c r="BC303" s="212"/>
      <c r="BD303" s="212"/>
      <c r="BE303" s="212"/>
      <c r="BF303" s="212"/>
      <c r="BG303" s="212"/>
      <c r="BH303" s="212"/>
      <c r="BI303" s="212"/>
      <c r="BJ303" s="212"/>
      <c r="BK303" s="212"/>
      <c r="BL303" s="212"/>
      <c r="BM303" s="212"/>
      <c r="BN303" s="212"/>
      <c r="BO303" s="212"/>
      <c r="BP303" s="212"/>
      <c r="BQ303" s="212"/>
      <c r="BR303" s="212"/>
      <c r="BS303" s="212"/>
      <c r="BT303" s="212"/>
      <c r="BU303" s="212"/>
      <c r="BV303" s="212"/>
      <c r="BW303" s="212"/>
      <c r="BX303" s="212"/>
      <c r="BY303" s="212"/>
      <c r="BZ303" s="212"/>
      <c r="CA303" s="212"/>
      <c r="CB303" s="212"/>
      <c r="CC303" s="212"/>
      <c r="CD303" s="212"/>
      <c r="CE303" s="212"/>
      <c r="CF303" s="212"/>
      <c r="CG303" s="212"/>
      <c r="CH303" s="212"/>
      <c r="CI303" s="212"/>
      <c r="CJ303" s="212"/>
      <c r="CK303" s="212"/>
      <c r="CL303" s="212"/>
    </row>
    <row r="304" spans="10:90" ht="24.75" customHeight="1" x14ac:dyDescent="0.75">
      <c r="J304" s="220"/>
      <c r="K304" s="2"/>
      <c r="N304" s="212"/>
      <c r="O304" s="212"/>
      <c r="P304" s="212"/>
      <c r="Q304" s="212"/>
      <c r="R304" s="212"/>
      <c r="S304" s="212"/>
      <c r="T304" s="212"/>
      <c r="U304" s="212"/>
      <c r="V304" s="212"/>
      <c r="W304" s="212"/>
      <c r="X304" s="212"/>
      <c r="Y304" s="212"/>
      <c r="Z304" s="212"/>
      <c r="AA304" s="212"/>
      <c r="AB304" s="212"/>
      <c r="AC304" s="212"/>
      <c r="AD304" s="212"/>
      <c r="AE304" s="212"/>
      <c r="AF304" s="212"/>
      <c r="AG304" s="212"/>
      <c r="AH304" s="212"/>
      <c r="AI304" s="212"/>
      <c r="AJ304" s="212"/>
      <c r="AK304" s="212"/>
      <c r="AL304" s="212"/>
      <c r="AM304" s="212"/>
      <c r="AN304" s="212"/>
      <c r="AO304" s="212"/>
      <c r="AP304" s="212"/>
      <c r="AQ304" s="212"/>
      <c r="AR304" s="212"/>
      <c r="AS304" s="212"/>
      <c r="AT304" s="212"/>
      <c r="AU304" s="212"/>
      <c r="AV304" s="212"/>
      <c r="AW304" s="212"/>
      <c r="AX304" s="212"/>
      <c r="AY304" s="212"/>
      <c r="AZ304" s="212"/>
      <c r="BA304" s="212"/>
      <c r="BB304" s="212"/>
      <c r="BC304" s="212"/>
      <c r="BD304" s="212"/>
      <c r="BE304" s="212"/>
      <c r="BF304" s="212"/>
      <c r="BG304" s="212"/>
      <c r="BH304" s="212"/>
      <c r="BI304" s="212"/>
      <c r="BJ304" s="212"/>
      <c r="BK304" s="212"/>
      <c r="BL304" s="212"/>
      <c r="BM304" s="212"/>
      <c r="BN304" s="212"/>
      <c r="BO304" s="212"/>
      <c r="BP304" s="212"/>
      <c r="BQ304" s="212"/>
      <c r="BR304" s="212"/>
      <c r="BS304" s="212"/>
      <c r="BT304" s="212"/>
      <c r="BU304" s="212"/>
      <c r="BV304" s="212"/>
      <c r="BW304" s="212"/>
      <c r="BX304" s="212"/>
      <c r="BY304" s="212"/>
      <c r="BZ304" s="212"/>
      <c r="CA304" s="212"/>
      <c r="CB304" s="212"/>
      <c r="CC304" s="212"/>
      <c r="CD304" s="212"/>
      <c r="CE304" s="212"/>
      <c r="CF304" s="212"/>
      <c r="CG304" s="212"/>
      <c r="CH304" s="212"/>
      <c r="CI304" s="212"/>
      <c r="CJ304" s="212"/>
      <c r="CK304" s="212"/>
      <c r="CL304" s="212"/>
    </row>
    <row r="305" spans="10:90" ht="24.75" customHeight="1" x14ac:dyDescent="0.75">
      <c r="J305" s="220"/>
      <c r="K305" s="2"/>
      <c r="N305" s="212"/>
      <c r="O305" s="212"/>
      <c r="P305" s="212"/>
      <c r="Q305" s="212"/>
      <c r="R305" s="212"/>
      <c r="S305" s="212"/>
      <c r="T305" s="212"/>
      <c r="U305" s="212"/>
      <c r="V305" s="212"/>
      <c r="W305" s="212"/>
      <c r="X305" s="212"/>
      <c r="Y305" s="212"/>
      <c r="Z305" s="212"/>
      <c r="AA305" s="212"/>
      <c r="AB305" s="212"/>
      <c r="AC305" s="212"/>
      <c r="AD305" s="212"/>
      <c r="AE305" s="212"/>
      <c r="AF305" s="212"/>
      <c r="AG305" s="212"/>
      <c r="AH305" s="212"/>
      <c r="AI305" s="212"/>
      <c r="AJ305" s="212"/>
      <c r="AK305" s="212"/>
      <c r="AL305" s="212"/>
      <c r="AM305" s="212"/>
      <c r="AN305" s="212"/>
      <c r="AO305" s="212"/>
      <c r="AP305" s="212"/>
      <c r="AQ305" s="212"/>
      <c r="AR305" s="212"/>
      <c r="AS305" s="212"/>
      <c r="AT305" s="212"/>
      <c r="AU305" s="212"/>
      <c r="AV305" s="212"/>
      <c r="AW305" s="212"/>
      <c r="AX305" s="212"/>
      <c r="AY305" s="212"/>
      <c r="AZ305" s="212"/>
      <c r="BA305" s="212"/>
      <c r="BB305" s="212"/>
      <c r="BC305" s="212"/>
      <c r="BD305" s="212"/>
      <c r="BE305" s="212"/>
      <c r="BF305" s="212"/>
      <c r="BG305" s="212"/>
      <c r="BH305" s="212"/>
      <c r="BI305" s="212"/>
      <c r="BJ305" s="212"/>
      <c r="BK305" s="212"/>
      <c r="BL305" s="212"/>
      <c r="BM305" s="212"/>
      <c r="BN305" s="212"/>
      <c r="BO305" s="212"/>
      <c r="BP305" s="212"/>
      <c r="BQ305" s="212"/>
      <c r="BR305" s="212"/>
      <c r="BS305" s="212"/>
      <c r="BT305" s="212"/>
      <c r="BU305" s="212"/>
      <c r="BV305" s="212"/>
      <c r="BW305" s="212"/>
      <c r="BX305" s="212"/>
      <c r="BY305" s="212"/>
      <c r="BZ305" s="212"/>
      <c r="CA305" s="212"/>
      <c r="CB305" s="212"/>
      <c r="CC305" s="212"/>
      <c r="CD305" s="212"/>
      <c r="CE305" s="212"/>
      <c r="CF305" s="212"/>
      <c r="CG305" s="212"/>
      <c r="CH305" s="212"/>
      <c r="CI305" s="212"/>
      <c r="CJ305" s="212"/>
      <c r="CK305" s="212"/>
      <c r="CL305" s="212"/>
    </row>
    <row r="306" spans="10:90" ht="24.75" customHeight="1" x14ac:dyDescent="0.75">
      <c r="J306" s="220"/>
      <c r="K306" s="2"/>
      <c r="N306" s="212"/>
      <c r="O306" s="212"/>
      <c r="P306" s="212"/>
      <c r="Q306" s="212"/>
      <c r="R306" s="212"/>
      <c r="S306" s="212"/>
      <c r="T306" s="212"/>
      <c r="U306" s="212"/>
      <c r="V306" s="212"/>
      <c r="W306" s="212"/>
      <c r="X306" s="212"/>
      <c r="Y306" s="212"/>
      <c r="Z306" s="212"/>
      <c r="AA306" s="212"/>
      <c r="AB306" s="212"/>
      <c r="AC306" s="212"/>
      <c r="AD306" s="212"/>
      <c r="AE306" s="212"/>
      <c r="AF306" s="212"/>
      <c r="AG306" s="212"/>
      <c r="AH306" s="212"/>
      <c r="AI306" s="212"/>
      <c r="AJ306" s="212"/>
      <c r="AK306" s="212"/>
      <c r="AL306" s="212"/>
      <c r="AM306" s="212"/>
      <c r="AN306" s="212"/>
      <c r="AO306" s="212"/>
      <c r="AP306" s="212"/>
      <c r="AQ306" s="212"/>
      <c r="AR306" s="212"/>
      <c r="AS306" s="212"/>
      <c r="AT306" s="212"/>
      <c r="AU306" s="212"/>
      <c r="AV306" s="212"/>
      <c r="AW306" s="212"/>
      <c r="AX306" s="212"/>
      <c r="AY306" s="212"/>
      <c r="AZ306" s="212"/>
      <c r="BA306" s="212"/>
      <c r="BB306" s="212"/>
      <c r="BC306" s="212"/>
      <c r="BD306" s="212"/>
      <c r="BE306" s="212"/>
      <c r="BF306" s="212"/>
      <c r="BG306" s="212"/>
      <c r="BH306" s="212"/>
      <c r="BI306" s="212"/>
      <c r="BJ306" s="212"/>
      <c r="BK306" s="212"/>
      <c r="BL306" s="212"/>
      <c r="BM306" s="212"/>
      <c r="BN306" s="212"/>
      <c r="BO306" s="212"/>
      <c r="BP306" s="212"/>
      <c r="BQ306" s="212"/>
      <c r="BR306" s="212"/>
      <c r="BS306" s="212"/>
      <c r="BT306" s="212"/>
      <c r="BU306" s="212"/>
      <c r="BV306" s="212"/>
      <c r="BW306" s="212"/>
      <c r="BX306" s="212"/>
      <c r="BY306" s="212"/>
      <c r="BZ306" s="212"/>
      <c r="CA306" s="212"/>
      <c r="CB306" s="212"/>
      <c r="CC306" s="212"/>
      <c r="CD306" s="212"/>
      <c r="CE306" s="212"/>
      <c r="CF306" s="212"/>
      <c r="CG306" s="212"/>
      <c r="CH306" s="212"/>
      <c r="CI306" s="212"/>
      <c r="CJ306" s="212"/>
      <c r="CK306" s="212"/>
      <c r="CL306" s="212"/>
    </row>
    <row r="307" spans="10:90" ht="24.75" customHeight="1" x14ac:dyDescent="0.75">
      <c r="J307" s="220"/>
      <c r="K307" s="2"/>
      <c r="N307" s="212"/>
      <c r="O307" s="212"/>
      <c r="P307" s="212"/>
      <c r="Q307" s="212"/>
      <c r="R307" s="212"/>
      <c r="S307" s="212"/>
      <c r="T307" s="212"/>
      <c r="U307" s="212"/>
      <c r="V307" s="212"/>
      <c r="W307" s="212"/>
      <c r="X307" s="212"/>
      <c r="Y307" s="212"/>
      <c r="Z307" s="212"/>
      <c r="AA307" s="212"/>
      <c r="AB307" s="212"/>
      <c r="AC307" s="212"/>
      <c r="AD307" s="212"/>
      <c r="AE307" s="212"/>
      <c r="AF307" s="212"/>
      <c r="AG307" s="212"/>
      <c r="AH307" s="212"/>
      <c r="AI307" s="212"/>
      <c r="AJ307" s="212"/>
      <c r="AK307" s="212"/>
      <c r="AL307" s="212"/>
      <c r="AM307" s="212"/>
      <c r="AN307" s="212"/>
      <c r="AO307" s="212"/>
      <c r="AP307" s="212"/>
      <c r="AQ307" s="212"/>
      <c r="AR307" s="212"/>
      <c r="AS307" s="212"/>
      <c r="AT307" s="212"/>
      <c r="AU307" s="212"/>
      <c r="AV307" s="212"/>
      <c r="AW307" s="212"/>
      <c r="AX307" s="212"/>
      <c r="AY307" s="212"/>
      <c r="AZ307" s="212"/>
      <c r="BA307" s="212"/>
      <c r="BB307" s="212"/>
      <c r="BC307" s="212"/>
      <c r="BD307" s="212"/>
      <c r="BE307" s="212"/>
      <c r="BF307" s="212"/>
      <c r="BG307" s="212"/>
      <c r="BH307" s="212"/>
      <c r="BI307" s="212"/>
      <c r="BJ307" s="212"/>
      <c r="BK307" s="212"/>
      <c r="BL307" s="212"/>
      <c r="BM307" s="212"/>
      <c r="BN307" s="212"/>
      <c r="BO307" s="212"/>
      <c r="BP307" s="212"/>
      <c r="BQ307" s="212"/>
      <c r="BR307" s="212"/>
      <c r="BS307" s="212"/>
      <c r="BT307" s="212"/>
      <c r="BU307" s="212"/>
      <c r="BV307" s="212"/>
      <c r="BW307" s="212"/>
      <c r="BX307" s="212"/>
      <c r="BY307" s="212"/>
      <c r="BZ307" s="212"/>
      <c r="CA307" s="212"/>
      <c r="CB307" s="212"/>
      <c r="CC307" s="212"/>
      <c r="CD307" s="212"/>
      <c r="CE307" s="212"/>
      <c r="CF307" s="212"/>
      <c r="CG307" s="212"/>
      <c r="CH307" s="212"/>
      <c r="CI307" s="212"/>
      <c r="CJ307" s="212"/>
      <c r="CK307" s="212"/>
      <c r="CL307" s="212"/>
    </row>
    <row r="308" spans="10:90" ht="24.75" customHeight="1" x14ac:dyDescent="0.75">
      <c r="J308" s="220"/>
      <c r="K308" s="2"/>
      <c r="N308" s="212"/>
      <c r="O308" s="212"/>
      <c r="P308" s="212"/>
      <c r="Q308" s="212"/>
      <c r="R308" s="212"/>
      <c r="S308" s="212"/>
      <c r="T308" s="212"/>
      <c r="U308" s="212"/>
      <c r="V308" s="212"/>
      <c r="W308" s="212"/>
      <c r="X308" s="212"/>
      <c r="Y308" s="212"/>
      <c r="Z308" s="212"/>
      <c r="AA308" s="212"/>
      <c r="AB308" s="212"/>
      <c r="AC308" s="212"/>
      <c r="AD308" s="212"/>
      <c r="AE308" s="212"/>
      <c r="AF308" s="212"/>
      <c r="AG308" s="212"/>
      <c r="AH308" s="212"/>
      <c r="AI308" s="212"/>
      <c r="AJ308" s="212"/>
      <c r="AK308" s="212"/>
      <c r="AL308" s="212"/>
      <c r="AM308" s="212"/>
      <c r="AN308" s="212"/>
      <c r="AO308" s="212"/>
      <c r="AP308" s="212"/>
      <c r="AQ308" s="212"/>
      <c r="AR308" s="212"/>
      <c r="AS308" s="212"/>
      <c r="AT308" s="212"/>
      <c r="AU308" s="212"/>
      <c r="AV308" s="212"/>
      <c r="AW308" s="212"/>
      <c r="AX308" s="212"/>
      <c r="AY308" s="212"/>
      <c r="AZ308" s="212"/>
      <c r="BA308" s="212"/>
      <c r="BB308" s="212"/>
      <c r="BC308" s="212"/>
      <c r="BD308" s="212"/>
      <c r="BE308" s="212"/>
      <c r="BF308" s="212"/>
      <c r="BG308" s="212"/>
      <c r="BH308" s="212"/>
      <c r="BI308" s="212"/>
      <c r="BJ308" s="212"/>
      <c r="BK308" s="212"/>
      <c r="BL308" s="212"/>
      <c r="BM308" s="212"/>
      <c r="BN308" s="212"/>
      <c r="BO308" s="212"/>
      <c r="BP308" s="212"/>
      <c r="BQ308" s="212"/>
      <c r="BR308" s="212"/>
      <c r="BS308" s="212"/>
      <c r="BT308" s="212"/>
      <c r="BU308" s="212"/>
      <c r="BV308" s="212"/>
      <c r="BW308" s="212"/>
      <c r="BX308" s="212"/>
      <c r="BY308" s="212"/>
      <c r="BZ308" s="212"/>
      <c r="CA308" s="212"/>
      <c r="CB308" s="212"/>
      <c r="CC308" s="212"/>
      <c r="CD308" s="212"/>
      <c r="CE308" s="212"/>
      <c r="CF308" s="212"/>
      <c r="CG308" s="212"/>
      <c r="CH308" s="212"/>
      <c r="CI308" s="212"/>
      <c r="CJ308" s="212"/>
      <c r="CK308" s="212"/>
      <c r="CL308" s="212"/>
    </row>
    <row r="309" spans="10:90" ht="24.75" customHeight="1" x14ac:dyDescent="0.75">
      <c r="J309" s="220"/>
      <c r="K309" s="2"/>
      <c r="N309" s="212"/>
      <c r="O309" s="212"/>
      <c r="P309" s="212"/>
      <c r="Q309" s="212"/>
      <c r="R309" s="212"/>
      <c r="S309" s="212"/>
      <c r="T309" s="212"/>
      <c r="U309" s="212"/>
      <c r="V309" s="212"/>
      <c r="W309" s="212"/>
      <c r="X309" s="212"/>
      <c r="Y309" s="212"/>
      <c r="Z309" s="212"/>
      <c r="AA309" s="212"/>
      <c r="AB309" s="212"/>
      <c r="AC309" s="212"/>
      <c r="AD309" s="212"/>
      <c r="AE309" s="212"/>
      <c r="AF309" s="212"/>
      <c r="AG309" s="212"/>
      <c r="AH309" s="212"/>
      <c r="AI309" s="212"/>
      <c r="AJ309" s="212"/>
      <c r="AK309" s="212"/>
      <c r="AL309" s="212"/>
      <c r="AM309" s="212"/>
      <c r="AN309" s="212"/>
      <c r="AO309" s="212"/>
      <c r="AP309" s="212"/>
      <c r="AQ309" s="212"/>
      <c r="AR309" s="212"/>
      <c r="AS309" s="212"/>
      <c r="AT309" s="212"/>
      <c r="AU309" s="212"/>
      <c r="AV309" s="212"/>
      <c r="AW309" s="212"/>
      <c r="AX309" s="212"/>
      <c r="AY309" s="212"/>
      <c r="AZ309" s="212"/>
      <c r="BA309" s="212"/>
      <c r="BB309" s="212"/>
      <c r="BC309" s="212"/>
      <c r="BD309" s="212"/>
      <c r="BE309" s="212"/>
      <c r="BF309" s="212"/>
      <c r="BG309" s="212"/>
      <c r="BH309" s="212"/>
      <c r="BI309" s="212"/>
      <c r="BJ309" s="212"/>
      <c r="BK309" s="212"/>
      <c r="BL309" s="212"/>
      <c r="BM309" s="212"/>
      <c r="BN309" s="212"/>
      <c r="BO309" s="212"/>
      <c r="BP309" s="212"/>
      <c r="BQ309" s="212"/>
      <c r="BR309" s="212"/>
      <c r="BS309" s="212"/>
      <c r="BT309" s="212"/>
      <c r="BU309" s="212"/>
      <c r="BV309" s="212"/>
      <c r="BW309" s="212"/>
      <c r="BX309" s="212"/>
      <c r="BY309" s="212"/>
      <c r="BZ309" s="212"/>
      <c r="CA309" s="212"/>
      <c r="CB309" s="212"/>
      <c r="CC309" s="212"/>
      <c r="CD309" s="212"/>
      <c r="CE309" s="212"/>
      <c r="CF309" s="212"/>
      <c r="CG309" s="212"/>
      <c r="CH309" s="212"/>
      <c r="CI309" s="212"/>
      <c r="CJ309" s="212"/>
      <c r="CK309" s="212"/>
      <c r="CL309" s="212"/>
    </row>
    <row r="310" spans="10:90" ht="24.75" customHeight="1" x14ac:dyDescent="0.75">
      <c r="J310" s="220"/>
      <c r="K310" s="2"/>
      <c r="N310" s="212"/>
      <c r="O310" s="212"/>
      <c r="P310" s="212"/>
      <c r="Q310" s="212"/>
      <c r="R310" s="212"/>
      <c r="S310" s="212"/>
      <c r="T310" s="212"/>
      <c r="U310" s="212"/>
      <c r="V310" s="212"/>
      <c r="W310" s="212"/>
      <c r="X310" s="212"/>
      <c r="Y310" s="212"/>
      <c r="Z310" s="212"/>
      <c r="AA310" s="212"/>
      <c r="AB310" s="212"/>
      <c r="AC310" s="212"/>
      <c r="AD310" s="212"/>
      <c r="AE310" s="212"/>
      <c r="AF310" s="212"/>
      <c r="AG310" s="212"/>
      <c r="AH310" s="212"/>
      <c r="AI310" s="212"/>
      <c r="AJ310" s="212"/>
      <c r="AK310" s="212"/>
      <c r="AL310" s="212"/>
      <c r="AM310" s="212"/>
      <c r="AN310" s="212"/>
      <c r="AO310" s="212"/>
      <c r="AP310" s="212"/>
      <c r="AQ310" s="212"/>
      <c r="AR310" s="212"/>
      <c r="AS310" s="212"/>
      <c r="AT310" s="212"/>
      <c r="AU310" s="212"/>
      <c r="AV310" s="212"/>
      <c r="AW310" s="212"/>
      <c r="AX310" s="212"/>
      <c r="AY310" s="212"/>
      <c r="AZ310" s="212"/>
      <c r="BA310" s="212"/>
      <c r="BB310" s="212"/>
      <c r="BC310" s="212"/>
      <c r="BD310" s="212"/>
      <c r="BE310" s="212"/>
      <c r="BF310" s="212"/>
      <c r="BG310" s="212"/>
      <c r="BH310" s="212"/>
      <c r="BI310" s="212"/>
      <c r="BJ310" s="212"/>
      <c r="BK310" s="212"/>
      <c r="BL310" s="212"/>
      <c r="BM310" s="212"/>
      <c r="BN310" s="212"/>
      <c r="BO310" s="212"/>
      <c r="BP310" s="212"/>
      <c r="BQ310" s="212"/>
      <c r="BR310" s="212"/>
      <c r="BS310" s="212"/>
      <c r="BT310" s="212"/>
      <c r="BU310" s="212"/>
      <c r="BV310" s="212"/>
      <c r="BW310" s="212"/>
      <c r="BX310" s="212"/>
      <c r="BY310" s="212"/>
      <c r="BZ310" s="212"/>
      <c r="CA310" s="212"/>
      <c r="CB310" s="212"/>
      <c r="CC310" s="212"/>
      <c r="CD310" s="212"/>
      <c r="CE310" s="212"/>
      <c r="CF310" s="212"/>
      <c r="CG310" s="212"/>
      <c r="CH310" s="212"/>
      <c r="CI310" s="212"/>
      <c r="CJ310" s="212"/>
      <c r="CK310" s="212"/>
      <c r="CL310" s="212"/>
    </row>
    <row r="311" spans="10:90" ht="24.75" customHeight="1" x14ac:dyDescent="0.75">
      <c r="J311" s="220"/>
      <c r="K311" s="2"/>
      <c r="N311" s="212"/>
      <c r="O311" s="212"/>
      <c r="P311" s="212"/>
      <c r="Q311" s="212"/>
      <c r="R311" s="212"/>
      <c r="S311" s="212"/>
      <c r="T311" s="212"/>
      <c r="U311" s="212"/>
      <c r="V311" s="212"/>
      <c r="W311" s="212"/>
      <c r="X311" s="212"/>
      <c r="Y311" s="212"/>
      <c r="Z311" s="212"/>
      <c r="AA311" s="212"/>
      <c r="AB311" s="212"/>
      <c r="AC311" s="212"/>
      <c r="AD311" s="212"/>
      <c r="AE311" s="212"/>
      <c r="AF311" s="212"/>
      <c r="AG311" s="212"/>
      <c r="AH311" s="212"/>
      <c r="AI311" s="212"/>
      <c r="AJ311" s="212"/>
      <c r="AK311" s="212"/>
      <c r="AL311" s="212"/>
      <c r="AM311" s="212"/>
      <c r="AN311" s="212"/>
      <c r="AO311" s="212"/>
      <c r="AP311" s="212"/>
      <c r="AQ311" s="212"/>
      <c r="AR311" s="212"/>
      <c r="AS311" s="212"/>
      <c r="AT311" s="212"/>
      <c r="AU311" s="212"/>
      <c r="AV311" s="212"/>
      <c r="AW311" s="212"/>
      <c r="AX311" s="212"/>
      <c r="AY311" s="212"/>
      <c r="AZ311" s="212"/>
      <c r="BA311" s="212"/>
      <c r="BB311" s="212"/>
      <c r="BC311" s="212"/>
      <c r="BD311" s="212"/>
      <c r="BE311" s="212"/>
      <c r="BF311" s="212"/>
      <c r="BG311" s="212"/>
      <c r="BH311" s="212"/>
      <c r="BI311" s="212"/>
      <c r="BJ311" s="212"/>
      <c r="BK311" s="212"/>
      <c r="BL311" s="212"/>
      <c r="BM311" s="212"/>
      <c r="BN311" s="212"/>
      <c r="BO311" s="212"/>
      <c r="BP311" s="212"/>
      <c r="BQ311" s="212"/>
      <c r="BR311" s="212"/>
      <c r="BS311" s="212"/>
      <c r="BT311" s="212"/>
      <c r="BU311" s="212"/>
      <c r="BV311" s="212"/>
      <c r="BW311" s="212"/>
      <c r="BX311" s="212"/>
      <c r="BY311" s="212"/>
      <c r="BZ311" s="212"/>
      <c r="CA311" s="212"/>
      <c r="CB311" s="212"/>
      <c r="CC311" s="212"/>
      <c r="CD311" s="212"/>
      <c r="CE311" s="212"/>
      <c r="CF311" s="212"/>
      <c r="CG311" s="212"/>
      <c r="CH311" s="212"/>
      <c r="CI311" s="212"/>
      <c r="CJ311" s="212"/>
      <c r="CK311" s="212"/>
      <c r="CL311" s="212"/>
    </row>
    <row r="312" spans="10:90" ht="24.75" customHeight="1" x14ac:dyDescent="0.75">
      <c r="J312" s="220"/>
      <c r="K312" s="2"/>
      <c r="N312" s="212"/>
      <c r="O312" s="212"/>
      <c r="P312" s="212"/>
      <c r="Q312" s="212"/>
      <c r="R312" s="212"/>
      <c r="S312" s="212"/>
      <c r="T312" s="212"/>
      <c r="U312" s="212"/>
      <c r="V312" s="212"/>
      <c r="W312" s="212"/>
      <c r="X312" s="212"/>
      <c r="Y312" s="212"/>
      <c r="Z312" s="212"/>
      <c r="AA312" s="212"/>
      <c r="AB312" s="212"/>
      <c r="AC312" s="212"/>
      <c r="AD312" s="212"/>
      <c r="AE312" s="212"/>
      <c r="AF312" s="212"/>
      <c r="AG312" s="212"/>
      <c r="AH312" s="212"/>
      <c r="AI312" s="212"/>
      <c r="AJ312" s="212"/>
      <c r="AK312" s="212"/>
      <c r="AL312" s="212"/>
      <c r="AM312" s="212"/>
      <c r="AN312" s="212"/>
      <c r="AO312" s="212"/>
      <c r="AP312" s="212"/>
      <c r="AQ312" s="212"/>
      <c r="AR312" s="212"/>
      <c r="AS312" s="212"/>
      <c r="AT312" s="212"/>
      <c r="AU312" s="212"/>
      <c r="AV312" s="212"/>
      <c r="AW312" s="212"/>
      <c r="AX312" s="212"/>
      <c r="AY312" s="212"/>
      <c r="AZ312" s="212"/>
      <c r="BA312" s="212"/>
      <c r="BB312" s="212"/>
      <c r="BC312" s="212"/>
      <c r="BD312" s="212"/>
      <c r="BE312" s="212"/>
      <c r="BF312" s="212"/>
      <c r="BG312" s="212"/>
      <c r="BH312" s="212"/>
      <c r="BI312" s="212"/>
      <c r="BJ312" s="212"/>
      <c r="BK312" s="212"/>
      <c r="BL312" s="212"/>
      <c r="BM312" s="212"/>
      <c r="BN312" s="212"/>
      <c r="BO312" s="212"/>
      <c r="BP312" s="212"/>
      <c r="BQ312" s="212"/>
      <c r="BR312" s="212"/>
      <c r="BS312" s="212"/>
      <c r="BT312" s="212"/>
      <c r="BU312" s="212"/>
      <c r="BV312" s="212"/>
      <c r="BW312" s="212"/>
      <c r="BX312" s="212"/>
      <c r="BY312" s="212"/>
      <c r="BZ312" s="212"/>
      <c r="CA312" s="212"/>
      <c r="CB312" s="212"/>
      <c r="CC312" s="212"/>
      <c r="CD312" s="212"/>
      <c r="CE312" s="212"/>
      <c r="CF312" s="212"/>
      <c r="CG312" s="212"/>
      <c r="CH312" s="212"/>
      <c r="CI312" s="212"/>
      <c r="CJ312" s="212"/>
      <c r="CK312" s="212"/>
      <c r="CL312" s="212"/>
    </row>
    <row r="313" spans="10:90" ht="24.75" customHeight="1" x14ac:dyDescent="0.75">
      <c r="J313" s="220"/>
      <c r="K313" s="2"/>
      <c r="N313" s="212"/>
      <c r="O313" s="212"/>
      <c r="P313" s="212"/>
      <c r="Q313" s="212"/>
      <c r="R313" s="212"/>
      <c r="S313" s="212"/>
      <c r="T313" s="212"/>
      <c r="U313" s="212"/>
      <c r="V313" s="212"/>
      <c r="W313" s="212"/>
      <c r="X313" s="212"/>
      <c r="Y313" s="212"/>
      <c r="Z313" s="212"/>
      <c r="AA313" s="212"/>
      <c r="AB313" s="212"/>
      <c r="AC313" s="212"/>
      <c r="AD313" s="212"/>
      <c r="AE313" s="212"/>
      <c r="AF313" s="212"/>
      <c r="AG313" s="212"/>
      <c r="AH313" s="212"/>
      <c r="AI313" s="212"/>
      <c r="AJ313" s="212"/>
      <c r="AK313" s="212"/>
      <c r="AL313" s="212"/>
      <c r="AM313" s="212"/>
      <c r="AN313" s="212"/>
      <c r="AO313" s="212"/>
      <c r="AP313" s="212"/>
      <c r="AQ313" s="212"/>
      <c r="AR313" s="212"/>
      <c r="AS313" s="212"/>
      <c r="AT313" s="212"/>
      <c r="AU313" s="212"/>
      <c r="AV313" s="212"/>
      <c r="AW313" s="212"/>
      <c r="AX313" s="212"/>
      <c r="AY313" s="212"/>
      <c r="AZ313" s="212"/>
      <c r="BA313" s="212"/>
      <c r="BB313" s="212"/>
      <c r="BC313" s="212"/>
      <c r="BD313" s="212"/>
      <c r="BE313" s="212"/>
      <c r="BF313" s="212"/>
      <c r="BG313" s="212"/>
      <c r="BH313" s="212"/>
      <c r="BI313" s="212"/>
      <c r="BJ313" s="212"/>
      <c r="BK313" s="212"/>
      <c r="BL313" s="212"/>
      <c r="BM313" s="212"/>
      <c r="BN313" s="212"/>
      <c r="BO313" s="212"/>
      <c r="BP313" s="212"/>
      <c r="BQ313" s="212"/>
      <c r="BR313" s="212"/>
      <c r="BS313" s="212"/>
      <c r="BT313" s="212"/>
      <c r="BU313" s="212"/>
      <c r="BV313" s="212"/>
      <c r="BW313" s="212"/>
      <c r="BX313" s="212"/>
      <c r="BY313" s="212"/>
      <c r="BZ313" s="212"/>
      <c r="CA313" s="212"/>
      <c r="CB313" s="212"/>
      <c r="CC313" s="212"/>
      <c r="CD313" s="212"/>
      <c r="CE313" s="212"/>
      <c r="CF313" s="212"/>
      <c r="CG313" s="212"/>
      <c r="CH313" s="212"/>
      <c r="CI313" s="212"/>
      <c r="CJ313" s="212"/>
      <c r="CK313" s="212"/>
      <c r="CL313" s="212"/>
    </row>
    <row r="314" spans="10:90" ht="24.75" customHeight="1" x14ac:dyDescent="0.75">
      <c r="J314" s="220"/>
      <c r="K314" s="2"/>
      <c r="N314" s="212"/>
      <c r="O314" s="212"/>
      <c r="P314" s="212"/>
      <c r="Q314" s="212"/>
      <c r="R314" s="212"/>
      <c r="S314" s="212"/>
      <c r="T314" s="212"/>
      <c r="U314" s="212"/>
      <c r="V314" s="212"/>
      <c r="W314" s="212"/>
      <c r="X314" s="212"/>
      <c r="Y314" s="212"/>
      <c r="Z314" s="212"/>
      <c r="AA314" s="212"/>
      <c r="AB314" s="212"/>
      <c r="AC314" s="212"/>
      <c r="AD314" s="212"/>
      <c r="AE314" s="212"/>
      <c r="AF314" s="212"/>
      <c r="AG314" s="212"/>
      <c r="AH314" s="212"/>
      <c r="AI314" s="212"/>
      <c r="AJ314" s="212"/>
      <c r="AK314" s="212"/>
      <c r="AL314" s="212"/>
      <c r="AM314" s="212"/>
      <c r="AN314" s="212"/>
      <c r="AO314" s="212"/>
      <c r="AP314" s="212"/>
      <c r="AQ314" s="212"/>
      <c r="AR314" s="212"/>
      <c r="AS314" s="212"/>
      <c r="AT314" s="212"/>
      <c r="AU314" s="212"/>
      <c r="AV314" s="212"/>
      <c r="AW314" s="212"/>
      <c r="AX314" s="212"/>
      <c r="AY314" s="212"/>
      <c r="AZ314" s="212"/>
      <c r="BA314" s="212"/>
      <c r="BB314" s="212"/>
      <c r="BC314" s="212"/>
      <c r="BD314" s="212"/>
      <c r="BE314" s="212"/>
      <c r="BF314" s="212"/>
      <c r="BG314" s="212"/>
      <c r="BH314" s="212"/>
      <c r="BI314" s="212"/>
      <c r="BJ314" s="212"/>
      <c r="BK314" s="212"/>
      <c r="BL314" s="212"/>
      <c r="BM314" s="212"/>
      <c r="BN314" s="212"/>
      <c r="BO314" s="212"/>
      <c r="BP314" s="212"/>
      <c r="BQ314" s="212"/>
      <c r="BR314" s="212"/>
      <c r="BS314" s="212"/>
      <c r="BT314" s="212"/>
      <c r="BU314" s="212"/>
      <c r="BV314" s="212"/>
      <c r="BW314" s="212"/>
      <c r="BX314" s="212"/>
      <c r="BY314" s="212"/>
      <c r="BZ314" s="212"/>
      <c r="CA314" s="212"/>
      <c r="CB314" s="212"/>
      <c r="CC314" s="212"/>
      <c r="CD314" s="212"/>
      <c r="CE314" s="212"/>
      <c r="CF314" s="212"/>
      <c r="CG314" s="212"/>
      <c r="CH314" s="212"/>
      <c r="CI314" s="212"/>
      <c r="CJ314" s="212"/>
      <c r="CK314" s="212"/>
      <c r="CL314" s="212"/>
    </row>
    <row r="315" spans="10:90" ht="24.75" customHeight="1" x14ac:dyDescent="0.75">
      <c r="J315" s="220"/>
      <c r="K315" s="2"/>
      <c r="N315" s="212"/>
      <c r="O315" s="212"/>
      <c r="P315" s="212"/>
      <c r="Q315" s="212"/>
      <c r="R315" s="212"/>
      <c r="S315" s="212"/>
      <c r="T315" s="212"/>
      <c r="U315" s="212"/>
      <c r="V315" s="212"/>
      <c r="W315" s="212"/>
      <c r="X315" s="212"/>
      <c r="Y315" s="212"/>
      <c r="Z315" s="212"/>
      <c r="AA315" s="212"/>
      <c r="AB315" s="212"/>
      <c r="AC315" s="212"/>
      <c r="AD315" s="212"/>
      <c r="AE315" s="212"/>
      <c r="AF315" s="212"/>
      <c r="AG315" s="212"/>
      <c r="AH315" s="212"/>
      <c r="AI315" s="212"/>
      <c r="AJ315" s="212"/>
      <c r="AK315" s="212"/>
      <c r="AL315" s="212"/>
      <c r="AM315" s="212"/>
      <c r="AN315" s="212"/>
      <c r="AO315" s="212"/>
      <c r="AP315" s="212"/>
      <c r="AQ315" s="212"/>
      <c r="AR315" s="212"/>
      <c r="AS315" s="212"/>
      <c r="AT315" s="212"/>
      <c r="AU315" s="212"/>
      <c r="AV315" s="212"/>
      <c r="AW315" s="212"/>
      <c r="AX315" s="212"/>
      <c r="AY315" s="212"/>
      <c r="AZ315" s="212"/>
      <c r="BA315" s="212"/>
      <c r="BB315" s="212"/>
      <c r="BC315" s="212"/>
      <c r="BD315" s="212"/>
      <c r="BE315" s="212"/>
      <c r="BF315" s="212"/>
      <c r="BG315" s="212"/>
      <c r="BH315" s="212"/>
      <c r="BI315" s="212"/>
      <c r="BJ315" s="212"/>
      <c r="BK315" s="212"/>
      <c r="BL315" s="212"/>
      <c r="BM315" s="212"/>
      <c r="BN315" s="212"/>
      <c r="BO315" s="212"/>
      <c r="BP315" s="212"/>
      <c r="BQ315" s="212"/>
      <c r="BR315" s="212"/>
      <c r="BS315" s="212"/>
      <c r="BT315" s="212"/>
      <c r="BU315" s="212"/>
      <c r="BV315" s="212"/>
      <c r="BW315" s="212"/>
      <c r="BX315" s="212"/>
      <c r="BY315" s="212"/>
      <c r="BZ315" s="212"/>
      <c r="CA315" s="212"/>
      <c r="CB315" s="212"/>
      <c r="CC315" s="212"/>
      <c r="CD315" s="212"/>
      <c r="CE315" s="212"/>
      <c r="CF315" s="212"/>
      <c r="CG315" s="212"/>
      <c r="CH315" s="212"/>
      <c r="CI315" s="212"/>
      <c r="CJ315" s="212"/>
      <c r="CK315" s="212"/>
      <c r="CL315" s="212"/>
    </row>
    <row r="316" spans="10:90" ht="24.75" customHeight="1" x14ac:dyDescent="0.75">
      <c r="J316" s="220"/>
      <c r="K316" s="2"/>
      <c r="N316" s="212"/>
      <c r="O316" s="212"/>
      <c r="P316" s="212"/>
      <c r="Q316" s="212"/>
      <c r="R316" s="212"/>
      <c r="S316" s="212"/>
      <c r="T316" s="212"/>
      <c r="U316" s="212"/>
      <c r="V316" s="212"/>
      <c r="W316" s="212"/>
      <c r="X316" s="212"/>
      <c r="Y316" s="212"/>
      <c r="Z316" s="212"/>
      <c r="AA316" s="212"/>
      <c r="AB316" s="212"/>
      <c r="AC316" s="212"/>
      <c r="AD316" s="212"/>
      <c r="AE316" s="212"/>
      <c r="AF316" s="212"/>
      <c r="AG316" s="212"/>
      <c r="AH316" s="212"/>
      <c r="AI316" s="212"/>
      <c r="AJ316" s="212"/>
      <c r="AK316" s="212"/>
      <c r="AL316" s="212"/>
      <c r="AM316" s="212"/>
      <c r="AN316" s="212"/>
      <c r="AO316" s="212"/>
      <c r="AP316" s="212"/>
      <c r="AQ316" s="212"/>
      <c r="AR316" s="212"/>
      <c r="AS316" s="212"/>
      <c r="AT316" s="212"/>
      <c r="AU316" s="212"/>
      <c r="AV316" s="212"/>
      <c r="AW316" s="212"/>
      <c r="AX316" s="212"/>
      <c r="AY316" s="212"/>
      <c r="AZ316" s="212"/>
      <c r="BA316" s="212"/>
      <c r="BB316" s="212"/>
      <c r="BC316" s="212"/>
      <c r="BD316" s="212"/>
      <c r="BE316" s="212"/>
      <c r="BF316" s="212"/>
      <c r="BG316" s="212"/>
      <c r="BH316" s="212"/>
      <c r="BI316" s="212"/>
      <c r="BJ316" s="212"/>
      <c r="BK316" s="212"/>
      <c r="BL316" s="212"/>
      <c r="BM316" s="212"/>
      <c r="BN316" s="212"/>
      <c r="BO316" s="212"/>
      <c r="BP316" s="212"/>
      <c r="BQ316" s="212"/>
      <c r="BR316" s="212"/>
      <c r="BS316" s="212"/>
      <c r="BT316" s="212"/>
      <c r="BU316" s="212"/>
      <c r="BV316" s="212"/>
      <c r="BW316" s="212"/>
      <c r="BX316" s="212"/>
      <c r="BY316" s="212"/>
      <c r="BZ316" s="212"/>
      <c r="CA316" s="212"/>
      <c r="CB316" s="212"/>
      <c r="CC316" s="212"/>
      <c r="CD316" s="212"/>
      <c r="CE316" s="212"/>
      <c r="CF316" s="212"/>
      <c r="CG316" s="212"/>
      <c r="CH316" s="212"/>
      <c r="CI316" s="212"/>
      <c r="CJ316" s="212"/>
      <c r="CK316" s="212"/>
      <c r="CL316" s="212"/>
    </row>
    <row r="317" spans="10:90" ht="24.75" customHeight="1" x14ac:dyDescent="0.75">
      <c r="J317" s="220"/>
      <c r="K317" s="2"/>
      <c r="N317" s="212"/>
      <c r="O317" s="212"/>
      <c r="P317" s="212"/>
      <c r="Q317" s="212"/>
      <c r="R317" s="212"/>
      <c r="S317" s="212"/>
      <c r="T317" s="212"/>
      <c r="U317" s="212"/>
      <c r="V317" s="212"/>
      <c r="W317" s="212"/>
      <c r="X317" s="212"/>
      <c r="Y317" s="212"/>
      <c r="Z317" s="212"/>
      <c r="AA317" s="212"/>
      <c r="AB317" s="212"/>
      <c r="AC317" s="212"/>
      <c r="AD317" s="212"/>
      <c r="AE317" s="212"/>
      <c r="AF317" s="212"/>
      <c r="AG317" s="212"/>
      <c r="AH317" s="212"/>
      <c r="AI317" s="212"/>
      <c r="AJ317" s="212"/>
      <c r="AK317" s="212"/>
      <c r="AL317" s="212"/>
      <c r="AM317" s="212"/>
      <c r="AN317" s="212"/>
      <c r="AO317" s="212"/>
      <c r="AP317" s="212"/>
      <c r="AQ317" s="212"/>
      <c r="AR317" s="212"/>
      <c r="AS317" s="212"/>
      <c r="AT317" s="212"/>
      <c r="AU317" s="212"/>
      <c r="AV317" s="212"/>
      <c r="AW317" s="212"/>
      <c r="AX317" s="212"/>
      <c r="AY317" s="212"/>
      <c r="AZ317" s="212"/>
      <c r="BA317" s="212"/>
      <c r="BB317" s="212"/>
      <c r="BC317" s="212"/>
      <c r="BD317" s="212"/>
      <c r="BE317" s="212"/>
      <c r="BF317" s="212"/>
      <c r="BG317" s="212"/>
      <c r="BH317" s="212"/>
      <c r="BI317" s="212"/>
      <c r="BJ317" s="212"/>
      <c r="BK317" s="212"/>
      <c r="BL317" s="212"/>
      <c r="BM317" s="212"/>
      <c r="BN317" s="212"/>
      <c r="BO317" s="212"/>
      <c r="BP317" s="212"/>
      <c r="BQ317" s="212"/>
      <c r="BR317" s="212"/>
      <c r="BS317" s="212"/>
      <c r="BT317" s="212"/>
      <c r="BU317" s="212"/>
      <c r="BV317" s="212"/>
      <c r="BW317" s="212"/>
      <c r="BX317" s="212"/>
      <c r="BY317" s="212"/>
      <c r="BZ317" s="212"/>
      <c r="CA317" s="212"/>
      <c r="CB317" s="212"/>
      <c r="CC317" s="212"/>
      <c r="CD317" s="212"/>
      <c r="CE317" s="212"/>
      <c r="CF317" s="212"/>
      <c r="CG317" s="212"/>
      <c r="CH317" s="212"/>
      <c r="CI317" s="212"/>
      <c r="CJ317" s="212"/>
      <c r="CK317" s="212"/>
      <c r="CL317" s="212"/>
    </row>
    <row r="318" spans="10:90" ht="24.75" customHeight="1" x14ac:dyDescent="0.75">
      <c r="J318" s="220"/>
      <c r="K318" s="2"/>
      <c r="N318" s="212"/>
      <c r="O318" s="212"/>
      <c r="P318" s="212"/>
      <c r="Q318" s="212"/>
      <c r="R318" s="212"/>
      <c r="S318" s="212"/>
      <c r="T318" s="212"/>
      <c r="U318" s="212"/>
      <c r="V318" s="212"/>
      <c r="W318" s="212"/>
      <c r="X318" s="212"/>
      <c r="Y318" s="212"/>
      <c r="Z318" s="212"/>
      <c r="AA318" s="212"/>
      <c r="AB318" s="212"/>
      <c r="AC318" s="212"/>
      <c r="AD318" s="212"/>
      <c r="AE318" s="212"/>
      <c r="AF318" s="212"/>
      <c r="AG318" s="212"/>
      <c r="AH318" s="212"/>
      <c r="AI318" s="212"/>
      <c r="AJ318" s="212"/>
      <c r="AK318" s="212"/>
      <c r="AL318" s="212"/>
      <c r="AM318" s="212"/>
      <c r="AN318" s="212"/>
      <c r="AO318" s="212"/>
      <c r="AP318" s="212"/>
      <c r="AQ318" s="212"/>
      <c r="AR318" s="212"/>
      <c r="AS318" s="212"/>
      <c r="AT318" s="212"/>
      <c r="AU318" s="212"/>
      <c r="AV318" s="212"/>
      <c r="AW318" s="212"/>
      <c r="AX318" s="212"/>
      <c r="AY318" s="212"/>
      <c r="AZ318" s="212"/>
      <c r="BA318" s="212"/>
      <c r="BB318" s="212"/>
      <c r="BC318" s="212"/>
      <c r="BD318" s="212"/>
      <c r="BE318" s="212"/>
      <c r="BF318" s="212"/>
      <c r="BG318" s="212"/>
      <c r="BH318" s="212"/>
      <c r="BI318" s="212"/>
      <c r="BJ318" s="212"/>
      <c r="BK318" s="212"/>
      <c r="BL318" s="212"/>
      <c r="BM318" s="212"/>
      <c r="BN318" s="212"/>
      <c r="BO318" s="212"/>
      <c r="BP318" s="212"/>
      <c r="BQ318" s="212"/>
      <c r="BR318" s="212"/>
      <c r="BS318" s="212"/>
      <c r="BT318" s="212"/>
      <c r="BU318" s="212"/>
      <c r="BV318" s="212"/>
      <c r="BW318" s="212"/>
      <c r="BX318" s="212"/>
      <c r="BY318" s="212"/>
      <c r="BZ318" s="212"/>
      <c r="CA318" s="212"/>
      <c r="CB318" s="212"/>
      <c r="CC318" s="212"/>
      <c r="CD318" s="212"/>
      <c r="CE318" s="212"/>
      <c r="CF318" s="212"/>
      <c r="CG318" s="212"/>
      <c r="CH318" s="212"/>
      <c r="CI318" s="212"/>
      <c r="CJ318" s="212"/>
      <c r="CK318" s="212"/>
      <c r="CL318" s="212"/>
    </row>
    <row r="319" spans="10:90" ht="24.75" customHeight="1" x14ac:dyDescent="0.75">
      <c r="J319" s="220"/>
      <c r="K319" s="2"/>
      <c r="N319" s="212"/>
      <c r="O319" s="212"/>
      <c r="P319" s="212"/>
      <c r="Q319" s="212"/>
      <c r="R319" s="212"/>
      <c r="S319" s="212"/>
      <c r="T319" s="212"/>
      <c r="U319" s="212"/>
      <c r="V319" s="212"/>
      <c r="W319" s="212"/>
      <c r="X319" s="212"/>
      <c r="Y319" s="212"/>
      <c r="Z319" s="212"/>
      <c r="AA319" s="212"/>
      <c r="AB319" s="212"/>
      <c r="AC319" s="212"/>
      <c r="AD319" s="212"/>
      <c r="AE319" s="212"/>
      <c r="AF319" s="212"/>
      <c r="AG319" s="212"/>
      <c r="AH319" s="212"/>
      <c r="AI319" s="212"/>
      <c r="AJ319" s="212"/>
      <c r="AK319" s="212"/>
      <c r="AL319" s="212"/>
      <c r="AM319" s="212"/>
      <c r="AN319" s="212"/>
      <c r="AO319" s="212"/>
      <c r="AP319" s="212"/>
      <c r="AQ319" s="212"/>
      <c r="AR319" s="212"/>
      <c r="AS319" s="212"/>
      <c r="AT319" s="212"/>
      <c r="AU319" s="212"/>
      <c r="AV319" s="212"/>
      <c r="AW319" s="212"/>
      <c r="AX319" s="212"/>
      <c r="AY319" s="212"/>
      <c r="AZ319" s="212"/>
      <c r="BA319" s="212"/>
      <c r="BB319" s="212"/>
      <c r="BC319" s="212"/>
      <c r="BD319" s="212"/>
      <c r="BE319" s="212"/>
      <c r="BF319" s="212"/>
      <c r="BG319" s="212"/>
      <c r="BH319" s="212"/>
      <c r="BI319" s="212"/>
      <c r="BJ319" s="212"/>
      <c r="BK319" s="212"/>
      <c r="BL319" s="212"/>
      <c r="BM319" s="212"/>
      <c r="BN319" s="212"/>
      <c r="BO319" s="212"/>
      <c r="BP319" s="212"/>
      <c r="BQ319" s="212"/>
      <c r="BR319" s="212"/>
      <c r="BS319" s="212"/>
      <c r="BT319" s="212"/>
      <c r="BU319" s="212"/>
      <c r="BV319" s="212"/>
      <c r="BW319" s="212"/>
      <c r="BX319" s="212"/>
      <c r="BY319" s="212"/>
      <c r="BZ319" s="212"/>
      <c r="CA319" s="212"/>
      <c r="CB319" s="212"/>
      <c r="CC319" s="212"/>
      <c r="CD319" s="212"/>
      <c r="CE319" s="212"/>
      <c r="CF319" s="212"/>
      <c r="CG319" s="212"/>
      <c r="CH319" s="212"/>
      <c r="CI319" s="212"/>
      <c r="CJ319" s="212"/>
      <c r="CK319" s="212"/>
      <c r="CL319" s="212"/>
    </row>
    <row r="320" spans="10:90" ht="24.75" customHeight="1" x14ac:dyDescent="0.75">
      <c r="J320" s="220"/>
      <c r="K320" s="2"/>
      <c r="N320" s="212"/>
      <c r="O320" s="212"/>
      <c r="P320" s="212"/>
      <c r="Q320" s="212"/>
      <c r="R320" s="212"/>
      <c r="S320" s="212"/>
      <c r="T320" s="212"/>
      <c r="U320" s="212"/>
      <c r="V320" s="212"/>
      <c r="W320" s="212"/>
      <c r="X320" s="212"/>
      <c r="Y320" s="212"/>
      <c r="Z320" s="212"/>
      <c r="AA320" s="212"/>
      <c r="AB320" s="212"/>
      <c r="AC320" s="212"/>
      <c r="AD320" s="212"/>
      <c r="AE320" s="212"/>
      <c r="AF320" s="212"/>
      <c r="AG320" s="212"/>
      <c r="AH320" s="212"/>
      <c r="AI320" s="212"/>
      <c r="AJ320" s="212"/>
      <c r="AK320" s="212"/>
      <c r="AL320" s="212"/>
      <c r="AM320" s="212"/>
      <c r="AN320" s="212"/>
      <c r="AO320" s="212"/>
      <c r="AP320" s="212"/>
      <c r="AQ320" s="212"/>
      <c r="AR320" s="212"/>
      <c r="AS320" s="212"/>
      <c r="AT320" s="212"/>
      <c r="AU320" s="212"/>
      <c r="AV320" s="212"/>
      <c r="AW320" s="212"/>
      <c r="AX320" s="212"/>
      <c r="AY320" s="212"/>
      <c r="AZ320" s="212"/>
      <c r="BA320" s="212"/>
      <c r="BB320" s="212"/>
      <c r="BC320" s="212"/>
      <c r="BD320" s="212"/>
      <c r="BE320" s="212"/>
      <c r="BF320" s="212"/>
      <c r="BG320" s="212"/>
      <c r="BH320" s="212"/>
      <c r="BI320" s="212"/>
      <c r="BJ320" s="212"/>
      <c r="BK320" s="212"/>
      <c r="BL320" s="212"/>
      <c r="BM320" s="212"/>
      <c r="BN320" s="212"/>
      <c r="BO320" s="212"/>
      <c r="BP320" s="212"/>
      <c r="BQ320" s="212"/>
      <c r="BR320" s="212"/>
      <c r="BS320" s="212"/>
      <c r="BT320" s="212"/>
      <c r="BU320" s="212"/>
      <c r="BV320" s="212"/>
      <c r="BW320" s="212"/>
      <c r="BX320" s="212"/>
      <c r="BY320" s="212"/>
      <c r="BZ320" s="212"/>
      <c r="CA320" s="212"/>
      <c r="CB320" s="212"/>
      <c r="CC320" s="212"/>
      <c r="CD320" s="212"/>
      <c r="CE320" s="212"/>
      <c r="CF320" s="212"/>
      <c r="CG320" s="212"/>
      <c r="CH320" s="212"/>
      <c r="CI320" s="212"/>
      <c r="CJ320" s="212"/>
      <c r="CK320" s="212"/>
      <c r="CL320" s="212"/>
    </row>
    <row r="321" spans="10:90" ht="24.75" customHeight="1" x14ac:dyDescent="0.75">
      <c r="J321" s="220"/>
      <c r="K321" s="2"/>
      <c r="N321" s="212"/>
      <c r="O321" s="212"/>
      <c r="P321" s="212"/>
      <c r="Q321" s="212"/>
      <c r="R321" s="212"/>
      <c r="S321" s="212"/>
      <c r="T321" s="212"/>
      <c r="U321" s="212"/>
      <c r="V321" s="212"/>
      <c r="W321" s="212"/>
      <c r="X321" s="212"/>
      <c r="Y321" s="212"/>
      <c r="Z321" s="212"/>
      <c r="AA321" s="212"/>
      <c r="AB321" s="212"/>
      <c r="AC321" s="212"/>
      <c r="AD321" s="212"/>
      <c r="AE321" s="212"/>
      <c r="AF321" s="212"/>
      <c r="AG321" s="212"/>
      <c r="AH321" s="212"/>
      <c r="AI321" s="212"/>
      <c r="AJ321" s="212"/>
      <c r="AK321" s="212"/>
      <c r="AL321" s="212"/>
      <c r="AM321" s="212"/>
      <c r="AN321" s="212"/>
      <c r="AO321" s="212"/>
      <c r="AP321" s="212"/>
      <c r="AQ321" s="212"/>
      <c r="AR321" s="212"/>
      <c r="AS321" s="212"/>
      <c r="AT321" s="212"/>
      <c r="AU321" s="212"/>
      <c r="AV321" s="212"/>
      <c r="AW321" s="212"/>
      <c r="AX321" s="212"/>
      <c r="AY321" s="212"/>
      <c r="AZ321" s="212"/>
      <c r="BA321" s="212"/>
      <c r="BB321" s="212"/>
      <c r="BC321" s="212"/>
      <c r="BD321" s="212"/>
      <c r="BE321" s="212"/>
      <c r="BF321" s="212"/>
      <c r="BG321" s="212"/>
      <c r="BH321" s="212"/>
      <c r="BI321" s="212"/>
      <c r="BJ321" s="212"/>
      <c r="BK321" s="212"/>
      <c r="BL321" s="212"/>
      <c r="BM321" s="212"/>
      <c r="BN321" s="212"/>
      <c r="BO321" s="212"/>
      <c r="BP321" s="212"/>
      <c r="BQ321" s="212"/>
      <c r="BR321" s="212"/>
      <c r="BS321" s="212"/>
      <c r="BT321" s="212"/>
      <c r="BU321" s="212"/>
      <c r="BV321" s="212"/>
      <c r="BW321" s="212"/>
      <c r="BX321" s="212"/>
      <c r="BY321" s="212"/>
      <c r="BZ321" s="212"/>
      <c r="CA321" s="212"/>
      <c r="CB321" s="212"/>
      <c r="CC321" s="212"/>
      <c r="CD321" s="212"/>
      <c r="CE321" s="212"/>
      <c r="CF321" s="212"/>
      <c r="CG321" s="212"/>
      <c r="CH321" s="212"/>
      <c r="CI321" s="212"/>
      <c r="CJ321" s="212"/>
      <c r="CK321" s="212"/>
      <c r="CL321" s="212"/>
    </row>
    <row r="322" spans="10:90" ht="24.75" customHeight="1" x14ac:dyDescent="0.75">
      <c r="J322" s="220"/>
      <c r="K322" s="2"/>
      <c r="N322" s="212"/>
      <c r="O322" s="212"/>
      <c r="P322" s="212"/>
      <c r="Q322" s="212"/>
      <c r="R322" s="212"/>
      <c r="S322" s="212"/>
      <c r="T322" s="212"/>
      <c r="U322" s="212"/>
      <c r="V322" s="212"/>
      <c r="W322" s="212"/>
      <c r="X322" s="212"/>
      <c r="Y322" s="212"/>
      <c r="Z322" s="212"/>
      <c r="AA322" s="212"/>
      <c r="AB322" s="212"/>
      <c r="AC322" s="212"/>
      <c r="AD322" s="212"/>
      <c r="AE322" s="212"/>
      <c r="AF322" s="212"/>
      <c r="AG322" s="212"/>
      <c r="AH322" s="212"/>
      <c r="AI322" s="212"/>
      <c r="AJ322" s="212"/>
      <c r="AK322" s="212"/>
      <c r="AL322" s="212"/>
      <c r="AM322" s="212"/>
      <c r="AN322" s="212"/>
      <c r="AO322" s="212"/>
      <c r="AP322" s="212"/>
      <c r="AQ322" s="212"/>
      <c r="AR322" s="212"/>
      <c r="AS322" s="212"/>
      <c r="AT322" s="212"/>
      <c r="AU322" s="212"/>
      <c r="AV322" s="212"/>
      <c r="AW322" s="212"/>
      <c r="AX322" s="212"/>
      <c r="AY322" s="212"/>
      <c r="AZ322" s="212"/>
      <c r="BA322" s="212"/>
      <c r="BB322" s="212"/>
      <c r="BC322" s="212"/>
      <c r="BD322" s="212"/>
      <c r="BE322" s="212"/>
      <c r="BF322" s="212"/>
      <c r="BG322" s="212"/>
      <c r="BH322" s="212"/>
      <c r="BI322" s="212"/>
      <c r="BJ322" s="212"/>
      <c r="BK322" s="212"/>
      <c r="BL322" s="212"/>
      <c r="BM322" s="212"/>
      <c r="BN322" s="212"/>
      <c r="BO322" s="212"/>
      <c r="BP322" s="212"/>
      <c r="BQ322" s="212"/>
      <c r="BR322" s="212"/>
      <c r="BS322" s="212"/>
      <c r="BT322" s="212"/>
      <c r="BU322" s="212"/>
      <c r="BV322" s="212"/>
      <c r="BW322" s="212"/>
      <c r="BX322" s="212"/>
      <c r="BY322" s="212"/>
      <c r="BZ322" s="212"/>
      <c r="CA322" s="212"/>
      <c r="CB322" s="212"/>
      <c r="CC322" s="212"/>
      <c r="CD322" s="212"/>
      <c r="CE322" s="212"/>
      <c r="CF322" s="212"/>
      <c r="CG322" s="212"/>
      <c r="CH322" s="212"/>
      <c r="CI322" s="212"/>
      <c r="CJ322" s="212"/>
      <c r="CK322" s="212"/>
      <c r="CL322" s="212"/>
    </row>
    <row r="323" spans="10:90" ht="24.75" customHeight="1" x14ac:dyDescent="0.75">
      <c r="J323" s="220"/>
      <c r="K323" s="2"/>
      <c r="N323" s="212"/>
      <c r="O323" s="212"/>
      <c r="P323" s="212"/>
      <c r="Q323" s="212"/>
      <c r="R323" s="212"/>
      <c r="S323" s="212"/>
      <c r="T323" s="212"/>
      <c r="U323" s="212"/>
      <c r="V323" s="212"/>
      <c r="W323" s="212"/>
      <c r="X323" s="212"/>
      <c r="Y323" s="212"/>
      <c r="Z323" s="212"/>
      <c r="AA323" s="212"/>
      <c r="AB323" s="212"/>
      <c r="AC323" s="212"/>
      <c r="AD323" s="212"/>
      <c r="AE323" s="212"/>
      <c r="AF323" s="212"/>
      <c r="AG323" s="212"/>
      <c r="AH323" s="212"/>
      <c r="AI323" s="212"/>
      <c r="AJ323" s="212"/>
      <c r="AK323" s="212"/>
      <c r="AL323" s="212"/>
      <c r="AM323" s="212"/>
      <c r="AN323" s="212"/>
      <c r="AO323" s="212"/>
      <c r="AP323" s="212"/>
      <c r="AQ323" s="212"/>
      <c r="AR323" s="212"/>
      <c r="AS323" s="212"/>
      <c r="AT323" s="212"/>
      <c r="AU323" s="212"/>
      <c r="AV323" s="212"/>
      <c r="AW323" s="212"/>
      <c r="AX323" s="212"/>
      <c r="AY323" s="212"/>
      <c r="AZ323" s="212"/>
      <c r="BA323" s="212"/>
      <c r="BB323" s="212"/>
      <c r="BC323" s="212"/>
      <c r="BD323" s="212"/>
      <c r="BE323" s="212"/>
      <c r="BF323" s="212"/>
      <c r="BG323" s="212"/>
      <c r="BH323" s="212"/>
      <c r="BI323" s="212"/>
      <c r="BJ323" s="212"/>
      <c r="BK323" s="212"/>
      <c r="BL323" s="212"/>
      <c r="BM323" s="212"/>
      <c r="BN323" s="212"/>
      <c r="BO323" s="212"/>
      <c r="BP323" s="212"/>
      <c r="BQ323" s="212"/>
      <c r="BR323" s="212"/>
      <c r="BS323" s="212"/>
      <c r="BT323" s="212"/>
      <c r="BU323" s="212"/>
      <c r="BV323" s="212"/>
      <c r="BW323" s="212"/>
      <c r="BX323" s="212"/>
      <c r="BY323" s="212"/>
      <c r="BZ323" s="212"/>
      <c r="CA323" s="212"/>
      <c r="CB323" s="212"/>
      <c r="CC323" s="212"/>
      <c r="CD323" s="212"/>
      <c r="CE323" s="212"/>
      <c r="CF323" s="212"/>
      <c r="CG323" s="212"/>
      <c r="CH323" s="212"/>
      <c r="CI323" s="212"/>
      <c r="CJ323" s="212"/>
      <c r="CK323" s="212"/>
      <c r="CL323" s="212"/>
    </row>
    <row r="324" spans="10:90" ht="24.75" customHeight="1" x14ac:dyDescent="0.75">
      <c r="J324" s="220"/>
      <c r="K324" s="2"/>
      <c r="N324" s="212"/>
      <c r="O324" s="212"/>
      <c r="P324" s="212"/>
      <c r="Q324" s="212"/>
      <c r="R324" s="212"/>
      <c r="S324" s="212"/>
      <c r="T324" s="212"/>
      <c r="U324" s="212"/>
      <c r="V324" s="212"/>
      <c r="W324" s="212"/>
      <c r="X324" s="212"/>
      <c r="Y324" s="212"/>
      <c r="Z324" s="212"/>
      <c r="AA324" s="212"/>
      <c r="AB324" s="212"/>
      <c r="AC324" s="212"/>
      <c r="AD324" s="212"/>
      <c r="AE324" s="212"/>
      <c r="AF324" s="212"/>
      <c r="AG324" s="212"/>
      <c r="AH324" s="212"/>
      <c r="AI324" s="212"/>
      <c r="AJ324" s="212"/>
      <c r="AK324" s="212"/>
      <c r="AL324" s="212"/>
      <c r="AM324" s="212"/>
      <c r="AN324" s="212"/>
      <c r="AO324" s="212"/>
      <c r="AP324" s="212"/>
      <c r="AQ324" s="212"/>
      <c r="AR324" s="212"/>
      <c r="AS324" s="212"/>
      <c r="AT324" s="212"/>
      <c r="AU324" s="212"/>
      <c r="AV324" s="212"/>
      <c r="AW324" s="212"/>
      <c r="AX324" s="212"/>
      <c r="AY324" s="212"/>
      <c r="AZ324" s="212"/>
      <c r="BA324" s="212"/>
      <c r="BB324" s="212"/>
      <c r="BC324" s="212"/>
      <c r="BD324" s="212"/>
      <c r="BE324" s="212"/>
      <c r="BF324" s="212"/>
      <c r="BG324" s="212"/>
      <c r="BH324" s="212"/>
      <c r="BI324" s="212"/>
      <c r="BJ324" s="212"/>
      <c r="BK324" s="212"/>
      <c r="BL324" s="212"/>
      <c r="BM324" s="212"/>
      <c r="BN324" s="212"/>
      <c r="BO324" s="212"/>
      <c r="BP324" s="212"/>
      <c r="BQ324" s="212"/>
      <c r="BR324" s="212"/>
      <c r="BS324" s="212"/>
      <c r="BT324" s="212"/>
      <c r="BU324" s="212"/>
      <c r="BV324" s="212"/>
      <c r="BW324" s="212"/>
      <c r="BX324" s="212"/>
      <c r="BY324" s="212"/>
      <c r="BZ324" s="212"/>
      <c r="CA324" s="212"/>
      <c r="CB324" s="212"/>
      <c r="CC324" s="212"/>
      <c r="CD324" s="212"/>
      <c r="CE324" s="212"/>
      <c r="CF324" s="212"/>
      <c r="CG324" s="212"/>
      <c r="CH324" s="212"/>
      <c r="CI324" s="212"/>
      <c r="CJ324" s="212"/>
      <c r="CK324" s="212"/>
      <c r="CL324" s="212"/>
    </row>
    <row r="325" spans="10:90" ht="24.75" customHeight="1" x14ac:dyDescent="0.75">
      <c r="J325" s="220"/>
      <c r="K325" s="2"/>
      <c r="N325" s="212"/>
      <c r="O325" s="212"/>
      <c r="P325" s="212"/>
      <c r="Q325" s="212"/>
      <c r="R325" s="212"/>
      <c r="S325" s="212"/>
      <c r="T325" s="212"/>
      <c r="U325" s="212"/>
      <c r="V325" s="212"/>
      <c r="W325" s="212"/>
      <c r="X325" s="212"/>
      <c r="Y325" s="212"/>
      <c r="Z325" s="212"/>
      <c r="AA325" s="212"/>
      <c r="AB325" s="212"/>
      <c r="AC325" s="212"/>
      <c r="AD325" s="212"/>
      <c r="AE325" s="212"/>
      <c r="AF325" s="212"/>
      <c r="AG325" s="212"/>
      <c r="AH325" s="212"/>
      <c r="AI325" s="212"/>
      <c r="AJ325" s="212"/>
      <c r="AK325" s="212"/>
      <c r="AL325" s="212"/>
      <c r="AM325" s="212"/>
      <c r="AN325" s="212"/>
      <c r="AO325" s="212"/>
      <c r="AP325" s="212"/>
      <c r="AQ325" s="212"/>
      <c r="AR325" s="212"/>
      <c r="AS325" s="212"/>
      <c r="AT325" s="212"/>
      <c r="AU325" s="212"/>
      <c r="AV325" s="212"/>
      <c r="AW325" s="212"/>
      <c r="AX325" s="212"/>
      <c r="AY325" s="212"/>
      <c r="AZ325" s="212"/>
      <c r="BA325" s="212"/>
      <c r="BB325" s="212"/>
      <c r="BC325" s="212"/>
      <c r="BD325" s="212"/>
      <c r="BE325" s="212"/>
      <c r="BF325" s="212"/>
      <c r="BG325" s="212"/>
      <c r="BH325" s="212"/>
      <c r="BI325" s="212"/>
      <c r="BJ325" s="212"/>
      <c r="BK325" s="212"/>
      <c r="BL325" s="212"/>
      <c r="BM325" s="212"/>
      <c r="BN325" s="212"/>
      <c r="BO325" s="212"/>
      <c r="BP325" s="212"/>
      <c r="BQ325" s="212"/>
      <c r="BR325" s="212"/>
      <c r="BS325" s="212"/>
      <c r="BT325" s="212"/>
      <c r="BU325" s="212"/>
      <c r="BV325" s="212"/>
      <c r="BW325" s="212"/>
      <c r="BX325" s="212"/>
      <c r="BY325" s="212"/>
      <c r="BZ325" s="212"/>
      <c r="CA325" s="212"/>
      <c r="CB325" s="212"/>
      <c r="CC325" s="212"/>
      <c r="CD325" s="212"/>
      <c r="CE325" s="212"/>
      <c r="CF325" s="212"/>
      <c r="CG325" s="212"/>
      <c r="CH325" s="212"/>
      <c r="CI325" s="212"/>
      <c r="CJ325" s="212"/>
      <c r="CK325" s="212"/>
      <c r="CL325" s="212"/>
    </row>
    <row r="326" spans="10:90" ht="24.75" customHeight="1" x14ac:dyDescent="0.75">
      <c r="J326" s="220"/>
      <c r="K326" s="2"/>
      <c r="N326" s="212"/>
      <c r="O326" s="212"/>
      <c r="P326" s="212"/>
      <c r="Q326" s="212"/>
      <c r="R326" s="212"/>
      <c r="S326" s="212"/>
      <c r="T326" s="212"/>
      <c r="U326" s="212"/>
      <c r="V326" s="212"/>
      <c r="W326" s="212"/>
      <c r="X326" s="212"/>
      <c r="Y326" s="212"/>
      <c r="Z326" s="212"/>
      <c r="AA326" s="212"/>
      <c r="AB326" s="212"/>
      <c r="AC326" s="212"/>
      <c r="AD326" s="212"/>
      <c r="AE326" s="212"/>
      <c r="AF326" s="212"/>
      <c r="AG326" s="212"/>
      <c r="AH326" s="212"/>
      <c r="AI326" s="212"/>
      <c r="AJ326" s="212"/>
      <c r="AK326" s="212"/>
      <c r="AL326" s="212"/>
      <c r="AM326" s="212"/>
      <c r="AN326" s="212"/>
      <c r="AO326" s="212"/>
      <c r="AP326" s="212"/>
      <c r="AQ326" s="212"/>
      <c r="AR326" s="212"/>
      <c r="AS326" s="212"/>
      <c r="AT326" s="212"/>
      <c r="AU326" s="212"/>
      <c r="AV326" s="212"/>
      <c r="AW326" s="212"/>
      <c r="AX326" s="212"/>
      <c r="AY326" s="212"/>
      <c r="AZ326" s="212"/>
      <c r="BA326" s="212"/>
      <c r="BB326" s="212"/>
      <c r="BC326" s="212"/>
      <c r="BD326" s="212"/>
      <c r="BE326" s="212"/>
      <c r="BF326" s="212"/>
      <c r="BG326" s="212"/>
      <c r="BH326" s="212"/>
      <c r="BI326" s="212"/>
      <c r="BJ326" s="212"/>
      <c r="BK326" s="212"/>
      <c r="BL326" s="212"/>
      <c r="BM326" s="212"/>
      <c r="BN326" s="212"/>
      <c r="BO326" s="212"/>
      <c r="BP326" s="212"/>
      <c r="BQ326" s="212"/>
      <c r="BR326" s="212"/>
      <c r="BS326" s="212"/>
      <c r="BT326" s="212"/>
      <c r="BU326" s="212"/>
      <c r="BV326" s="212"/>
      <c r="BW326" s="212"/>
      <c r="BX326" s="212"/>
      <c r="BY326" s="212"/>
      <c r="BZ326" s="212"/>
      <c r="CA326" s="212"/>
      <c r="CB326" s="212"/>
      <c r="CC326" s="212"/>
      <c r="CD326" s="212"/>
      <c r="CE326" s="212"/>
      <c r="CF326" s="212"/>
      <c r="CG326" s="212"/>
      <c r="CH326" s="212"/>
      <c r="CI326" s="212"/>
      <c r="CJ326" s="212"/>
      <c r="CK326" s="212"/>
      <c r="CL326" s="212"/>
    </row>
    <row r="327" spans="10:90" ht="24.75" customHeight="1" x14ac:dyDescent="0.75">
      <c r="J327" s="220"/>
      <c r="K327" s="2"/>
      <c r="N327" s="212"/>
      <c r="O327" s="212"/>
      <c r="P327" s="212"/>
      <c r="Q327" s="212"/>
      <c r="R327" s="212"/>
      <c r="S327" s="212"/>
      <c r="T327" s="212"/>
      <c r="U327" s="212"/>
      <c r="V327" s="212"/>
      <c r="W327" s="212"/>
      <c r="X327" s="212"/>
      <c r="Y327" s="212"/>
      <c r="Z327" s="212"/>
      <c r="AA327" s="212"/>
      <c r="AB327" s="212"/>
      <c r="AC327" s="212"/>
      <c r="AD327" s="212"/>
      <c r="AE327" s="212"/>
      <c r="AF327" s="212"/>
      <c r="AG327" s="212"/>
      <c r="AH327" s="212"/>
      <c r="AI327" s="212"/>
      <c r="AJ327" s="212"/>
      <c r="AK327" s="212"/>
      <c r="AL327" s="212"/>
      <c r="AM327" s="212"/>
      <c r="AN327" s="212"/>
      <c r="AO327" s="212"/>
      <c r="AP327" s="212"/>
      <c r="AQ327" s="212"/>
      <c r="AR327" s="212"/>
      <c r="AS327" s="212"/>
      <c r="AT327" s="212"/>
      <c r="AU327" s="212"/>
      <c r="AV327" s="212"/>
      <c r="AW327" s="212"/>
      <c r="AX327" s="212"/>
      <c r="AY327" s="212"/>
      <c r="AZ327" s="212"/>
      <c r="BA327" s="212"/>
      <c r="BB327" s="212"/>
      <c r="BC327" s="212"/>
      <c r="BD327" s="212"/>
      <c r="BE327" s="212"/>
      <c r="BF327" s="212"/>
      <c r="BG327" s="212"/>
      <c r="BH327" s="212"/>
      <c r="BI327" s="212"/>
      <c r="BJ327" s="212"/>
      <c r="BK327" s="212"/>
      <c r="BL327" s="212"/>
      <c r="BM327" s="212"/>
      <c r="BN327" s="212"/>
      <c r="BO327" s="212"/>
      <c r="BP327" s="212"/>
      <c r="BQ327" s="212"/>
      <c r="BR327" s="212"/>
      <c r="BS327" s="212"/>
      <c r="BT327" s="212"/>
      <c r="BU327" s="212"/>
      <c r="BV327" s="212"/>
      <c r="BW327" s="212"/>
      <c r="BX327" s="212"/>
      <c r="BY327" s="212"/>
      <c r="BZ327" s="212"/>
      <c r="CA327" s="212"/>
      <c r="CB327" s="212"/>
      <c r="CC327" s="212"/>
      <c r="CD327" s="212"/>
      <c r="CE327" s="212"/>
      <c r="CF327" s="212"/>
      <c r="CG327" s="212"/>
      <c r="CH327" s="212"/>
      <c r="CI327" s="212"/>
      <c r="CJ327" s="212"/>
      <c r="CK327" s="212"/>
      <c r="CL327" s="212"/>
    </row>
    <row r="328" spans="10:90" ht="24.75" customHeight="1" x14ac:dyDescent="0.75">
      <c r="J328" s="220"/>
      <c r="K328" s="2"/>
      <c r="N328" s="212"/>
      <c r="O328" s="212"/>
      <c r="P328" s="212"/>
      <c r="Q328" s="212"/>
      <c r="R328" s="212"/>
      <c r="S328" s="212"/>
      <c r="T328" s="212"/>
      <c r="U328" s="212"/>
      <c r="V328" s="212"/>
      <c r="W328" s="212"/>
      <c r="X328" s="212"/>
      <c r="Y328" s="212"/>
      <c r="Z328" s="212"/>
      <c r="AA328" s="212"/>
      <c r="AB328" s="212"/>
      <c r="AC328" s="212"/>
      <c r="AD328" s="212"/>
      <c r="AE328" s="212"/>
      <c r="AF328" s="212"/>
      <c r="AG328" s="212"/>
      <c r="AH328" s="212"/>
      <c r="AI328" s="212"/>
      <c r="AJ328" s="212"/>
      <c r="AK328" s="212"/>
      <c r="AL328" s="212"/>
      <c r="AM328" s="212"/>
      <c r="AN328" s="212"/>
      <c r="AO328" s="212"/>
      <c r="AP328" s="212"/>
      <c r="AQ328" s="212"/>
      <c r="AR328" s="212"/>
      <c r="AS328" s="212"/>
      <c r="AT328" s="212"/>
      <c r="AU328" s="212"/>
      <c r="AV328" s="212"/>
      <c r="AW328" s="212"/>
      <c r="AX328" s="212"/>
      <c r="AY328" s="212"/>
      <c r="AZ328" s="212"/>
      <c r="BA328" s="212"/>
      <c r="BB328" s="212"/>
      <c r="BC328" s="212"/>
      <c r="BD328" s="212"/>
      <c r="BE328" s="212"/>
      <c r="BF328" s="212"/>
      <c r="BG328" s="212"/>
      <c r="BH328" s="212"/>
      <c r="BI328" s="212"/>
      <c r="BJ328" s="212"/>
      <c r="BK328" s="212"/>
      <c r="BL328" s="212"/>
      <c r="BM328" s="212"/>
      <c r="BN328" s="212"/>
      <c r="BO328" s="212"/>
      <c r="BP328" s="212"/>
      <c r="BQ328" s="212"/>
      <c r="BR328" s="212"/>
      <c r="BS328" s="212"/>
      <c r="BT328" s="212"/>
      <c r="BU328" s="212"/>
      <c r="BV328" s="212"/>
      <c r="BW328" s="212"/>
      <c r="BX328" s="212"/>
      <c r="BY328" s="212"/>
      <c r="BZ328" s="212"/>
      <c r="CA328" s="212"/>
      <c r="CB328" s="212"/>
      <c r="CC328" s="212"/>
      <c r="CD328" s="212"/>
      <c r="CE328" s="212"/>
      <c r="CF328" s="212"/>
      <c r="CG328" s="212"/>
      <c r="CH328" s="212"/>
      <c r="CI328" s="212"/>
      <c r="CJ328" s="212"/>
      <c r="CK328" s="212"/>
      <c r="CL328" s="212"/>
    </row>
    <row r="329" spans="10:90" ht="24.75" customHeight="1" x14ac:dyDescent="0.75">
      <c r="J329" s="220"/>
      <c r="K329" s="2"/>
      <c r="N329" s="212"/>
      <c r="O329" s="212"/>
      <c r="P329" s="212"/>
      <c r="Q329" s="212"/>
      <c r="R329" s="212"/>
      <c r="S329" s="212"/>
      <c r="T329" s="212"/>
      <c r="U329" s="212"/>
      <c r="V329" s="212"/>
      <c r="W329" s="212"/>
      <c r="X329" s="212"/>
      <c r="Y329" s="212"/>
      <c r="Z329" s="212"/>
      <c r="AA329" s="212"/>
      <c r="AB329" s="212"/>
      <c r="AC329" s="212"/>
      <c r="AD329" s="212"/>
      <c r="AE329" s="212"/>
      <c r="AF329" s="212"/>
      <c r="AG329" s="212"/>
      <c r="AH329" s="212"/>
      <c r="AI329" s="212"/>
      <c r="AJ329" s="212"/>
      <c r="AK329" s="212"/>
      <c r="AL329" s="212"/>
      <c r="AM329" s="212"/>
      <c r="AN329" s="212"/>
      <c r="AO329" s="212"/>
      <c r="AP329" s="212"/>
      <c r="AQ329" s="212"/>
      <c r="AR329" s="212"/>
      <c r="AS329" s="212"/>
      <c r="AT329" s="212"/>
      <c r="AU329" s="212"/>
      <c r="AV329" s="212"/>
      <c r="AW329" s="212"/>
      <c r="AX329" s="212"/>
      <c r="AY329" s="212"/>
      <c r="AZ329" s="212"/>
      <c r="BA329" s="212"/>
      <c r="BB329" s="212"/>
      <c r="BC329" s="212"/>
      <c r="BD329" s="212"/>
      <c r="BE329" s="212"/>
      <c r="BF329" s="212"/>
      <c r="BG329" s="212"/>
      <c r="BH329" s="212"/>
      <c r="BI329" s="212"/>
      <c r="BJ329" s="212"/>
      <c r="BK329" s="212"/>
      <c r="BL329" s="212"/>
      <c r="BM329" s="212"/>
      <c r="BN329" s="212"/>
      <c r="BO329" s="212"/>
      <c r="BP329" s="212"/>
      <c r="BQ329" s="212"/>
      <c r="BR329" s="212"/>
      <c r="BS329" s="212"/>
      <c r="BT329" s="212"/>
      <c r="BU329" s="212"/>
      <c r="BV329" s="212"/>
      <c r="BW329" s="212"/>
      <c r="BX329" s="212"/>
      <c r="BY329" s="212"/>
      <c r="BZ329" s="212"/>
      <c r="CA329" s="212"/>
      <c r="CB329" s="212"/>
      <c r="CC329" s="212"/>
      <c r="CD329" s="212"/>
      <c r="CE329" s="212"/>
      <c r="CF329" s="212"/>
      <c r="CG329" s="212"/>
      <c r="CH329" s="212"/>
      <c r="CI329" s="212"/>
      <c r="CJ329" s="212"/>
      <c r="CK329" s="212"/>
      <c r="CL329" s="212"/>
    </row>
    <row r="330" spans="10:90" ht="24.75" customHeight="1" x14ac:dyDescent="0.75">
      <c r="J330" s="220"/>
      <c r="K330" s="2"/>
      <c r="N330" s="212"/>
      <c r="O330" s="212"/>
      <c r="P330" s="212"/>
      <c r="Q330" s="212"/>
      <c r="R330" s="212"/>
      <c r="S330" s="212"/>
      <c r="T330" s="212"/>
      <c r="U330" s="212"/>
      <c r="V330" s="212"/>
      <c r="W330" s="212"/>
      <c r="X330" s="212"/>
      <c r="Y330" s="212"/>
      <c r="Z330" s="212"/>
      <c r="AA330" s="212"/>
      <c r="AB330" s="212"/>
      <c r="AC330" s="212"/>
      <c r="AD330" s="212"/>
      <c r="AE330" s="212"/>
      <c r="AF330" s="212"/>
      <c r="AG330" s="212"/>
      <c r="AH330" s="212"/>
      <c r="AI330" s="212"/>
      <c r="AJ330" s="212"/>
      <c r="AK330" s="212"/>
      <c r="AL330" s="212"/>
      <c r="AM330" s="212"/>
      <c r="AN330" s="212"/>
      <c r="AO330" s="212"/>
      <c r="AP330" s="212"/>
      <c r="AQ330" s="212"/>
      <c r="AR330" s="212"/>
      <c r="AS330" s="212"/>
      <c r="AT330" s="212"/>
      <c r="AU330" s="212"/>
      <c r="AV330" s="212"/>
      <c r="AW330" s="212"/>
      <c r="AX330" s="212"/>
      <c r="AY330" s="212"/>
      <c r="AZ330" s="212"/>
      <c r="BA330" s="212"/>
      <c r="BB330" s="212"/>
      <c r="BC330" s="212"/>
      <c r="BD330" s="212"/>
      <c r="BE330" s="212"/>
      <c r="BF330" s="212"/>
      <c r="BG330" s="212"/>
      <c r="BH330" s="212"/>
      <c r="BI330" s="212"/>
      <c r="BJ330" s="212"/>
      <c r="BK330" s="212"/>
      <c r="BL330" s="212"/>
      <c r="BM330" s="212"/>
      <c r="BN330" s="212"/>
      <c r="BO330" s="212"/>
      <c r="BP330" s="212"/>
      <c r="BQ330" s="212"/>
      <c r="BR330" s="212"/>
      <c r="BS330" s="212"/>
      <c r="BT330" s="212"/>
      <c r="BU330" s="212"/>
      <c r="BV330" s="212"/>
      <c r="BW330" s="212"/>
      <c r="BX330" s="212"/>
      <c r="BY330" s="212"/>
      <c r="BZ330" s="212"/>
      <c r="CA330" s="212"/>
      <c r="CB330" s="212"/>
      <c r="CC330" s="212"/>
      <c r="CD330" s="212"/>
      <c r="CE330" s="212"/>
      <c r="CF330" s="212"/>
      <c r="CG330" s="212"/>
      <c r="CH330" s="212"/>
      <c r="CI330" s="212"/>
      <c r="CJ330" s="212"/>
      <c r="CK330" s="212"/>
      <c r="CL330" s="212"/>
    </row>
    <row r="331" spans="10:90" ht="24.75" customHeight="1" x14ac:dyDescent="0.75">
      <c r="J331" s="220"/>
      <c r="K331" s="2"/>
      <c r="N331" s="212"/>
      <c r="O331" s="212"/>
      <c r="P331" s="212"/>
      <c r="Q331" s="212"/>
      <c r="R331" s="212"/>
      <c r="S331" s="212"/>
      <c r="T331" s="212"/>
      <c r="U331" s="212"/>
      <c r="V331" s="212"/>
      <c r="W331" s="212"/>
      <c r="X331" s="212"/>
      <c r="Y331" s="212"/>
      <c r="Z331" s="212"/>
      <c r="AA331" s="212"/>
      <c r="AB331" s="212"/>
      <c r="AC331" s="212"/>
      <c r="AD331" s="212"/>
      <c r="AE331" s="212"/>
      <c r="AF331" s="212"/>
      <c r="AG331" s="212"/>
      <c r="AH331" s="212"/>
      <c r="AI331" s="212"/>
      <c r="AJ331" s="212"/>
      <c r="AK331" s="212"/>
      <c r="AL331" s="212"/>
      <c r="AM331" s="212"/>
      <c r="AN331" s="212"/>
      <c r="AO331" s="212"/>
      <c r="AP331" s="212"/>
      <c r="AQ331" s="212"/>
      <c r="AR331" s="212"/>
      <c r="AS331" s="212"/>
      <c r="AT331" s="212"/>
      <c r="AU331" s="212"/>
      <c r="AV331" s="212"/>
      <c r="AW331" s="212"/>
      <c r="AX331" s="212"/>
      <c r="AY331" s="212"/>
      <c r="AZ331" s="212"/>
      <c r="BA331" s="212"/>
      <c r="BB331" s="212"/>
      <c r="BC331" s="212"/>
      <c r="BD331" s="212"/>
      <c r="BE331" s="212"/>
      <c r="BF331" s="212"/>
      <c r="BG331" s="212"/>
      <c r="BH331" s="212"/>
      <c r="BI331" s="212"/>
      <c r="BJ331" s="212"/>
      <c r="BK331" s="212"/>
      <c r="BL331" s="212"/>
      <c r="BM331" s="212"/>
      <c r="BN331" s="212"/>
      <c r="BO331" s="212"/>
      <c r="BP331" s="212"/>
      <c r="BQ331" s="212"/>
      <c r="BR331" s="212"/>
      <c r="BS331" s="212"/>
      <c r="BT331" s="212"/>
      <c r="BU331" s="212"/>
      <c r="BV331" s="212"/>
      <c r="BW331" s="212"/>
      <c r="BX331" s="212"/>
      <c r="BY331" s="212"/>
      <c r="BZ331" s="212"/>
      <c r="CA331" s="212"/>
      <c r="CB331" s="212"/>
      <c r="CC331" s="212"/>
      <c r="CD331" s="212"/>
      <c r="CE331" s="212"/>
      <c r="CF331" s="212"/>
      <c r="CG331" s="212"/>
      <c r="CH331" s="212"/>
      <c r="CI331" s="212"/>
      <c r="CJ331" s="212"/>
      <c r="CK331" s="212"/>
      <c r="CL331" s="212"/>
    </row>
    <row r="332" spans="10:90" ht="24.75" customHeight="1" x14ac:dyDescent="0.75">
      <c r="J332" s="220"/>
      <c r="K332" s="2"/>
      <c r="N332" s="212"/>
      <c r="O332" s="212"/>
      <c r="P332" s="212"/>
      <c r="Q332" s="212"/>
      <c r="R332" s="212"/>
      <c r="S332" s="212"/>
      <c r="T332" s="212"/>
      <c r="U332" s="212"/>
      <c r="V332" s="212"/>
      <c r="W332" s="212"/>
      <c r="X332" s="212"/>
      <c r="Y332" s="212"/>
      <c r="Z332" s="212"/>
      <c r="AA332" s="212"/>
      <c r="AB332" s="212"/>
      <c r="AC332" s="212"/>
      <c r="AD332" s="212"/>
      <c r="AE332" s="212"/>
      <c r="AF332" s="212"/>
      <c r="AG332" s="212"/>
      <c r="AH332" s="212"/>
      <c r="AI332" s="212"/>
      <c r="AJ332" s="212"/>
      <c r="AK332" s="212"/>
      <c r="AL332" s="212"/>
      <c r="AM332" s="212"/>
      <c r="AN332" s="212"/>
      <c r="AO332" s="212"/>
      <c r="AP332" s="212"/>
      <c r="AQ332" s="212"/>
      <c r="AR332" s="212"/>
      <c r="AS332" s="212"/>
      <c r="AT332" s="212"/>
      <c r="AU332" s="212"/>
      <c r="AV332" s="212"/>
      <c r="AW332" s="212"/>
      <c r="AX332" s="212"/>
      <c r="AY332" s="212"/>
      <c r="AZ332" s="212"/>
      <c r="BA332" s="212"/>
      <c r="BB332" s="212"/>
      <c r="BC332" s="212"/>
      <c r="BD332" s="212"/>
      <c r="BE332" s="212"/>
      <c r="BF332" s="212"/>
      <c r="BG332" s="212"/>
      <c r="BH332" s="212"/>
      <c r="BI332" s="212"/>
      <c r="BJ332" s="212"/>
      <c r="BK332" s="212"/>
      <c r="BL332" s="212"/>
      <c r="BM332" s="212"/>
      <c r="BN332" s="212"/>
      <c r="BO332" s="212"/>
      <c r="BP332" s="212"/>
      <c r="BQ332" s="212"/>
      <c r="BR332" s="212"/>
      <c r="BS332" s="212"/>
      <c r="BT332" s="212"/>
      <c r="BU332" s="212"/>
      <c r="BV332" s="212"/>
      <c r="BW332" s="212"/>
      <c r="BX332" s="212"/>
      <c r="BY332" s="212"/>
      <c r="BZ332" s="212"/>
      <c r="CA332" s="212"/>
      <c r="CB332" s="212"/>
      <c r="CC332" s="212"/>
      <c r="CD332" s="212"/>
      <c r="CE332" s="212"/>
      <c r="CF332" s="212"/>
      <c r="CG332" s="212"/>
      <c r="CH332" s="212"/>
      <c r="CI332" s="212"/>
      <c r="CJ332" s="212"/>
      <c r="CK332" s="212"/>
      <c r="CL332" s="212"/>
    </row>
    <row r="333" spans="10:90" ht="24.75" customHeight="1" x14ac:dyDescent="0.75">
      <c r="J333" s="220"/>
      <c r="K333" s="2"/>
      <c r="N333" s="212"/>
      <c r="O333" s="212"/>
      <c r="P333" s="212"/>
      <c r="Q333" s="212"/>
      <c r="R333" s="212"/>
      <c r="S333" s="212"/>
      <c r="T333" s="212"/>
      <c r="U333" s="212"/>
      <c r="V333" s="212"/>
      <c r="W333" s="212"/>
      <c r="X333" s="212"/>
      <c r="Y333" s="212"/>
      <c r="Z333" s="212"/>
      <c r="AA333" s="212"/>
      <c r="AB333" s="212"/>
      <c r="AC333" s="212"/>
      <c r="AD333" s="212"/>
      <c r="AE333" s="212"/>
      <c r="AF333" s="212"/>
      <c r="AG333" s="212"/>
      <c r="AH333" s="212"/>
      <c r="AI333" s="212"/>
      <c r="AJ333" s="212"/>
      <c r="AK333" s="212"/>
      <c r="AL333" s="212"/>
      <c r="AM333" s="212"/>
      <c r="AN333" s="212"/>
      <c r="AO333" s="212"/>
      <c r="AP333" s="212"/>
      <c r="AQ333" s="212"/>
      <c r="AR333" s="212"/>
      <c r="AS333" s="212"/>
      <c r="AT333" s="212"/>
      <c r="AU333" s="212"/>
      <c r="AV333" s="212"/>
      <c r="AW333" s="212"/>
      <c r="AX333" s="212"/>
      <c r="AY333" s="212"/>
      <c r="AZ333" s="212"/>
      <c r="BA333" s="212"/>
      <c r="BB333" s="212"/>
      <c r="BC333" s="212"/>
      <c r="BD333" s="212"/>
      <c r="BE333" s="212"/>
      <c r="BF333" s="212"/>
      <c r="BG333" s="212"/>
      <c r="BH333" s="212"/>
      <c r="BI333" s="212"/>
      <c r="BJ333" s="212"/>
      <c r="BK333" s="212"/>
      <c r="BL333" s="212"/>
      <c r="BM333" s="212"/>
      <c r="BN333" s="212"/>
      <c r="BO333" s="212"/>
      <c r="BP333" s="212"/>
      <c r="BQ333" s="212"/>
      <c r="BR333" s="212"/>
      <c r="BS333" s="212"/>
      <c r="BT333" s="212"/>
      <c r="BU333" s="212"/>
      <c r="BV333" s="212"/>
      <c r="BW333" s="212"/>
      <c r="BX333" s="212"/>
      <c r="BY333" s="212"/>
      <c r="BZ333" s="212"/>
      <c r="CA333" s="212"/>
      <c r="CB333" s="212"/>
      <c r="CC333" s="212"/>
      <c r="CD333" s="212"/>
      <c r="CE333" s="212"/>
      <c r="CF333" s="212"/>
      <c r="CG333" s="212"/>
      <c r="CH333" s="212"/>
      <c r="CI333" s="212"/>
      <c r="CJ333" s="212"/>
      <c r="CK333" s="212"/>
      <c r="CL333" s="212"/>
    </row>
    <row r="334" spans="10:90" ht="24.75" customHeight="1" x14ac:dyDescent="0.75">
      <c r="J334" s="220"/>
      <c r="K334" s="2"/>
      <c r="N334" s="212"/>
      <c r="O334" s="212"/>
      <c r="P334" s="212"/>
      <c r="Q334" s="212"/>
      <c r="R334" s="212"/>
      <c r="S334" s="212"/>
      <c r="T334" s="212"/>
      <c r="U334" s="212"/>
      <c r="V334" s="212"/>
      <c r="W334" s="212"/>
      <c r="X334" s="212"/>
      <c r="Y334" s="212"/>
      <c r="Z334" s="212"/>
      <c r="AA334" s="212"/>
      <c r="AB334" s="212"/>
      <c r="AC334" s="212"/>
      <c r="AD334" s="212"/>
      <c r="AE334" s="212"/>
      <c r="AF334" s="212"/>
      <c r="AG334" s="212"/>
      <c r="AH334" s="212"/>
      <c r="AI334" s="212"/>
      <c r="AJ334" s="212"/>
      <c r="AK334" s="212"/>
      <c r="AL334" s="212"/>
      <c r="AM334" s="212"/>
      <c r="AN334" s="212"/>
      <c r="AO334" s="212"/>
      <c r="AP334" s="212"/>
      <c r="AQ334" s="212"/>
      <c r="AR334" s="212"/>
      <c r="AS334" s="212"/>
      <c r="AT334" s="212"/>
      <c r="AU334" s="212"/>
      <c r="AV334" s="212"/>
      <c r="AW334" s="212"/>
      <c r="AX334" s="212"/>
      <c r="AY334" s="212"/>
      <c r="AZ334" s="212"/>
      <c r="BA334" s="212"/>
      <c r="BB334" s="212"/>
      <c r="BC334" s="212"/>
      <c r="BD334" s="212"/>
      <c r="BE334" s="212"/>
      <c r="BF334" s="212"/>
      <c r="BG334" s="212"/>
      <c r="BH334" s="212"/>
      <c r="BI334" s="212"/>
      <c r="BJ334" s="212"/>
      <c r="BK334" s="212"/>
      <c r="BL334" s="212"/>
      <c r="BM334" s="212"/>
      <c r="BN334" s="212"/>
      <c r="BO334" s="212"/>
      <c r="BP334" s="212"/>
      <c r="BQ334" s="212"/>
      <c r="BR334" s="212"/>
      <c r="BS334" s="212"/>
      <c r="BT334" s="212"/>
      <c r="BU334" s="212"/>
      <c r="BV334" s="212"/>
      <c r="BW334" s="212"/>
      <c r="BX334" s="212"/>
      <c r="BY334" s="212"/>
      <c r="BZ334" s="212"/>
      <c r="CA334" s="212"/>
      <c r="CB334" s="212"/>
      <c r="CC334" s="212"/>
      <c r="CD334" s="212"/>
      <c r="CE334" s="212"/>
      <c r="CF334" s="212"/>
      <c r="CG334" s="212"/>
      <c r="CH334" s="212"/>
      <c r="CI334" s="212"/>
      <c r="CJ334" s="212"/>
      <c r="CK334" s="212"/>
      <c r="CL334" s="212"/>
    </row>
    <row r="335" spans="10:90" ht="24.75" customHeight="1" x14ac:dyDescent="0.75">
      <c r="J335" s="220"/>
      <c r="K335" s="2"/>
      <c r="N335" s="212"/>
      <c r="O335" s="212"/>
      <c r="P335" s="212"/>
      <c r="Q335" s="212"/>
      <c r="R335" s="212"/>
      <c r="S335" s="212"/>
      <c r="T335" s="212"/>
      <c r="U335" s="212"/>
      <c r="V335" s="212"/>
      <c r="W335" s="212"/>
      <c r="X335" s="212"/>
      <c r="Y335" s="212"/>
      <c r="Z335" s="212"/>
      <c r="AA335" s="212"/>
      <c r="AB335" s="212"/>
      <c r="AC335" s="212"/>
      <c r="AD335" s="212"/>
      <c r="AE335" s="212"/>
      <c r="AF335" s="212"/>
      <c r="AG335" s="212"/>
      <c r="AH335" s="212"/>
      <c r="AI335" s="212"/>
      <c r="AJ335" s="212"/>
      <c r="AK335" s="212"/>
      <c r="AL335" s="212"/>
      <c r="AM335" s="212"/>
      <c r="AN335" s="212"/>
      <c r="AO335" s="212"/>
      <c r="AP335" s="212"/>
      <c r="AQ335" s="212"/>
      <c r="AR335" s="212"/>
      <c r="AS335" s="212"/>
      <c r="AT335" s="212"/>
      <c r="AU335" s="212"/>
      <c r="AV335" s="212"/>
      <c r="AW335" s="212"/>
      <c r="AX335" s="212"/>
      <c r="AY335" s="212"/>
      <c r="AZ335" s="212"/>
      <c r="BA335" s="212"/>
      <c r="BB335" s="212"/>
      <c r="BC335" s="212"/>
      <c r="BD335" s="212"/>
      <c r="BE335" s="212"/>
      <c r="BF335" s="212"/>
      <c r="BG335" s="212"/>
      <c r="BH335" s="212"/>
      <c r="BI335" s="212"/>
      <c r="BJ335" s="212"/>
      <c r="BK335" s="212"/>
      <c r="BL335" s="212"/>
      <c r="BM335" s="212"/>
      <c r="BN335" s="212"/>
      <c r="BO335" s="212"/>
      <c r="BP335" s="212"/>
      <c r="BQ335" s="212"/>
      <c r="BR335" s="212"/>
      <c r="BS335" s="212"/>
      <c r="BT335" s="212"/>
      <c r="BU335" s="212"/>
      <c r="BV335" s="212"/>
      <c r="BW335" s="212"/>
      <c r="BX335" s="212"/>
      <c r="BY335" s="212"/>
      <c r="BZ335" s="212"/>
      <c r="CA335" s="212"/>
      <c r="CB335" s="212"/>
      <c r="CC335" s="212"/>
      <c r="CD335" s="212"/>
      <c r="CE335" s="212"/>
      <c r="CF335" s="212"/>
      <c r="CG335" s="212"/>
      <c r="CH335" s="212"/>
      <c r="CI335" s="212"/>
      <c r="CJ335" s="212"/>
      <c r="CK335" s="212"/>
      <c r="CL335" s="212"/>
    </row>
    <row r="336" spans="10:90" ht="24.75" customHeight="1" x14ac:dyDescent="0.75">
      <c r="J336" s="220"/>
      <c r="K336" s="2"/>
      <c r="N336" s="212"/>
      <c r="O336" s="212"/>
      <c r="P336" s="212"/>
      <c r="Q336" s="212"/>
      <c r="R336" s="212"/>
      <c r="S336" s="212"/>
      <c r="T336" s="212"/>
      <c r="U336" s="212"/>
      <c r="V336" s="212"/>
      <c r="W336" s="212"/>
      <c r="X336" s="212"/>
      <c r="Y336" s="212"/>
      <c r="Z336" s="212"/>
      <c r="AA336" s="212"/>
      <c r="AB336" s="212"/>
      <c r="AC336" s="212"/>
      <c r="AD336" s="212"/>
      <c r="AE336" s="212"/>
      <c r="AF336" s="212"/>
      <c r="AG336" s="212"/>
      <c r="AH336" s="212"/>
      <c r="AI336" s="212"/>
      <c r="AJ336" s="212"/>
      <c r="AK336" s="212"/>
      <c r="AL336" s="212"/>
      <c r="AM336" s="212"/>
      <c r="AN336" s="212"/>
      <c r="AO336" s="212"/>
      <c r="AP336" s="212"/>
      <c r="AQ336" s="212"/>
      <c r="AR336" s="212"/>
      <c r="AS336" s="212"/>
      <c r="AT336" s="212"/>
      <c r="AU336" s="212"/>
      <c r="AV336" s="212"/>
      <c r="AW336" s="212"/>
      <c r="AX336" s="212"/>
      <c r="AY336" s="212"/>
      <c r="AZ336" s="212"/>
      <c r="BA336" s="212"/>
      <c r="BB336" s="212"/>
      <c r="BC336" s="212"/>
      <c r="BD336" s="212"/>
      <c r="BE336" s="212"/>
      <c r="BF336" s="212"/>
      <c r="BG336" s="212"/>
      <c r="BH336" s="212"/>
      <c r="BI336" s="212"/>
      <c r="BJ336" s="212"/>
      <c r="BK336" s="212"/>
      <c r="BL336" s="212"/>
      <c r="BM336" s="212"/>
      <c r="BN336" s="212"/>
      <c r="BO336" s="212"/>
      <c r="BP336" s="212"/>
      <c r="BQ336" s="212"/>
      <c r="BR336" s="212"/>
      <c r="BS336" s="212"/>
      <c r="BT336" s="212"/>
      <c r="BU336" s="212"/>
      <c r="BV336" s="212"/>
      <c r="BW336" s="212"/>
      <c r="BX336" s="212"/>
      <c r="BY336" s="212"/>
      <c r="BZ336" s="212"/>
      <c r="CA336" s="212"/>
      <c r="CB336" s="212"/>
      <c r="CC336" s="212"/>
      <c r="CD336" s="212"/>
      <c r="CE336" s="212"/>
      <c r="CF336" s="212"/>
      <c r="CG336" s="212"/>
      <c r="CH336" s="212"/>
      <c r="CI336" s="212"/>
      <c r="CJ336" s="212"/>
      <c r="CK336" s="212"/>
      <c r="CL336" s="212"/>
    </row>
    <row r="337" spans="10:90" ht="24.75" customHeight="1" x14ac:dyDescent="0.75">
      <c r="J337" s="220"/>
      <c r="K337" s="2"/>
      <c r="N337" s="212"/>
      <c r="O337" s="212"/>
      <c r="P337" s="212"/>
      <c r="Q337" s="212"/>
      <c r="R337" s="212"/>
      <c r="S337" s="212"/>
      <c r="T337" s="212"/>
      <c r="U337" s="212"/>
      <c r="V337" s="212"/>
      <c r="W337" s="212"/>
      <c r="X337" s="212"/>
      <c r="Y337" s="212"/>
      <c r="Z337" s="212"/>
      <c r="AA337" s="212"/>
      <c r="AB337" s="212"/>
      <c r="AC337" s="212"/>
      <c r="AD337" s="212"/>
      <c r="AE337" s="212"/>
      <c r="AF337" s="212"/>
      <c r="AG337" s="212"/>
      <c r="AH337" s="212"/>
      <c r="AI337" s="212"/>
      <c r="AJ337" s="212"/>
      <c r="AK337" s="212"/>
      <c r="AL337" s="212"/>
      <c r="AM337" s="212"/>
      <c r="AN337" s="212"/>
      <c r="AO337" s="212"/>
      <c r="AP337" s="212"/>
      <c r="AQ337" s="212"/>
      <c r="AR337" s="212"/>
      <c r="AS337" s="212"/>
      <c r="AT337" s="212"/>
      <c r="AU337" s="212"/>
      <c r="AV337" s="212"/>
      <c r="AW337" s="212"/>
      <c r="AX337" s="212"/>
      <c r="AY337" s="212"/>
      <c r="AZ337" s="212"/>
      <c r="BA337" s="212"/>
      <c r="BB337" s="212"/>
      <c r="BC337" s="212"/>
      <c r="BD337" s="212"/>
      <c r="BE337" s="212"/>
      <c r="BF337" s="212"/>
      <c r="BG337" s="212"/>
      <c r="BH337" s="212"/>
      <c r="BI337" s="212"/>
      <c r="BJ337" s="212"/>
      <c r="BK337" s="212"/>
      <c r="BL337" s="212"/>
      <c r="BM337" s="212"/>
      <c r="BN337" s="212"/>
      <c r="BO337" s="212"/>
      <c r="BP337" s="212"/>
      <c r="BQ337" s="212"/>
      <c r="BR337" s="212"/>
      <c r="BS337" s="212"/>
      <c r="BT337" s="212"/>
      <c r="BU337" s="212"/>
      <c r="BV337" s="212"/>
      <c r="BW337" s="212"/>
      <c r="BX337" s="212"/>
      <c r="BY337" s="212"/>
      <c r="BZ337" s="212"/>
      <c r="CA337" s="212"/>
      <c r="CB337" s="212"/>
      <c r="CC337" s="212"/>
      <c r="CD337" s="212"/>
      <c r="CE337" s="212"/>
      <c r="CF337" s="212"/>
      <c r="CG337" s="212"/>
      <c r="CH337" s="212"/>
      <c r="CI337" s="212"/>
      <c r="CJ337" s="212"/>
      <c r="CK337" s="212"/>
      <c r="CL337" s="212"/>
    </row>
    <row r="338" spans="10:90" ht="24.75" customHeight="1" x14ac:dyDescent="0.75">
      <c r="J338" s="220"/>
      <c r="K338" s="2"/>
      <c r="N338" s="212"/>
      <c r="O338" s="212"/>
      <c r="P338" s="212"/>
      <c r="Q338" s="212"/>
      <c r="R338" s="212"/>
      <c r="S338" s="212"/>
      <c r="T338" s="212"/>
      <c r="U338" s="212"/>
      <c r="V338" s="212"/>
      <c r="W338" s="212"/>
      <c r="X338" s="212"/>
      <c r="Y338" s="212"/>
      <c r="Z338" s="212"/>
      <c r="AA338" s="212"/>
      <c r="AB338" s="212"/>
      <c r="AC338" s="212"/>
      <c r="AD338" s="212"/>
      <c r="AE338" s="212"/>
      <c r="AF338" s="212"/>
      <c r="AG338" s="212"/>
      <c r="AH338" s="212"/>
      <c r="AI338" s="212"/>
      <c r="AJ338" s="212"/>
      <c r="AK338" s="212"/>
      <c r="AL338" s="212"/>
      <c r="AM338" s="212"/>
      <c r="AN338" s="212"/>
      <c r="AO338" s="212"/>
      <c r="AP338" s="212"/>
      <c r="AQ338" s="212"/>
      <c r="AR338" s="212"/>
      <c r="AS338" s="212"/>
      <c r="AT338" s="212"/>
      <c r="AU338" s="212"/>
      <c r="AV338" s="212"/>
      <c r="AW338" s="212"/>
      <c r="AX338" s="212"/>
      <c r="AY338" s="212"/>
      <c r="AZ338" s="212"/>
      <c r="BA338" s="212"/>
      <c r="BB338" s="212"/>
      <c r="BC338" s="212"/>
      <c r="BD338" s="212"/>
      <c r="BE338" s="212"/>
      <c r="BF338" s="212"/>
      <c r="BG338" s="212"/>
      <c r="BH338" s="212"/>
      <c r="BI338" s="212"/>
      <c r="BJ338" s="212"/>
      <c r="BK338" s="212"/>
      <c r="BL338" s="212"/>
      <c r="BM338" s="212"/>
      <c r="BN338" s="212"/>
      <c r="BO338" s="212"/>
      <c r="BP338" s="212"/>
      <c r="BQ338" s="212"/>
      <c r="BR338" s="212"/>
      <c r="BS338" s="212"/>
      <c r="BT338" s="212"/>
      <c r="BU338" s="212"/>
      <c r="BV338" s="212"/>
      <c r="BW338" s="212"/>
      <c r="BX338" s="212"/>
      <c r="BY338" s="212"/>
      <c r="BZ338" s="212"/>
      <c r="CA338" s="212"/>
      <c r="CB338" s="212"/>
      <c r="CC338" s="212"/>
      <c r="CD338" s="212"/>
      <c r="CE338" s="212"/>
      <c r="CF338" s="212"/>
      <c r="CG338" s="212"/>
      <c r="CH338" s="212"/>
      <c r="CI338" s="212"/>
      <c r="CJ338" s="212"/>
      <c r="CK338" s="212"/>
      <c r="CL338" s="212"/>
    </row>
    <row r="339" spans="10:90" ht="24.75" customHeight="1" x14ac:dyDescent="0.75">
      <c r="J339" s="220"/>
      <c r="K339" s="2"/>
      <c r="N339" s="212"/>
      <c r="O339" s="212"/>
      <c r="P339" s="212"/>
      <c r="Q339" s="212"/>
      <c r="R339" s="212"/>
      <c r="S339" s="212"/>
      <c r="T339" s="212"/>
      <c r="U339" s="212"/>
      <c r="V339" s="212"/>
      <c r="W339" s="212"/>
      <c r="X339" s="212"/>
      <c r="Y339" s="212"/>
      <c r="Z339" s="212"/>
      <c r="AA339" s="212"/>
      <c r="AB339" s="212"/>
      <c r="AC339" s="212"/>
      <c r="AD339" s="212"/>
      <c r="AE339" s="212"/>
      <c r="AF339" s="212"/>
      <c r="AG339" s="212"/>
      <c r="AH339" s="212"/>
      <c r="AI339" s="212"/>
      <c r="AJ339" s="212"/>
      <c r="AK339" s="212"/>
      <c r="AL339" s="212"/>
      <c r="AM339" s="212"/>
      <c r="AN339" s="212"/>
      <c r="AO339" s="212"/>
      <c r="AP339" s="212"/>
      <c r="AQ339" s="212"/>
      <c r="AR339" s="212"/>
      <c r="AS339" s="212"/>
      <c r="AT339" s="212"/>
      <c r="AU339" s="212"/>
      <c r="AV339" s="212"/>
      <c r="AW339" s="212"/>
      <c r="AX339" s="212"/>
      <c r="AY339" s="212"/>
      <c r="AZ339" s="212"/>
      <c r="BA339" s="212"/>
      <c r="BB339" s="212"/>
      <c r="BC339" s="212"/>
      <c r="BD339" s="212"/>
      <c r="BE339" s="212"/>
      <c r="BF339" s="212"/>
      <c r="BG339" s="212"/>
      <c r="BH339" s="212"/>
      <c r="BI339" s="212"/>
      <c r="BJ339" s="212"/>
      <c r="BK339" s="212"/>
      <c r="BL339" s="212"/>
      <c r="BM339" s="212"/>
      <c r="BN339" s="212"/>
      <c r="BO339" s="212"/>
      <c r="BP339" s="212"/>
      <c r="BQ339" s="212"/>
      <c r="BR339" s="212"/>
      <c r="BS339" s="212"/>
      <c r="BT339" s="212"/>
      <c r="BU339" s="212"/>
      <c r="BV339" s="212"/>
      <c r="BW339" s="212"/>
      <c r="BX339" s="212"/>
      <c r="BY339" s="212"/>
      <c r="BZ339" s="212"/>
      <c r="CA339" s="212"/>
      <c r="CB339" s="212"/>
      <c r="CC339" s="212"/>
      <c r="CD339" s="212"/>
      <c r="CE339" s="212"/>
      <c r="CF339" s="212"/>
      <c r="CG339" s="212"/>
      <c r="CH339" s="212"/>
      <c r="CI339" s="212"/>
      <c r="CJ339" s="212"/>
      <c r="CK339" s="212"/>
      <c r="CL339" s="212"/>
    </row>
    <row r="340" spans="10:90" ht="24.75" customHeight="1" x14ac:dyDescent="0.75">
      <c r="J340" s="220"/>
      <c r="K340" s="2"/>
      <c r="N340" s="212"/>
      <c r="O340" s="212"/>
      <c r="P340" s="212"/>
      <c r="Q340" s="212"/>
      <c r="R340" s="212"/>
      <c r="S340" s="212"/>
      <c r="T340" s="212"/>
      <c r="U340" s="212"/>
      <c r="V340" s="212"/>
      <c r="W340" s="212"/>
      <c r="X340" s="212"/>
      <c r="Y340" s="212"/>
      <c r="Z340" s="212"/>
      <c r="AA340" s="212"/>
      <c r="AB340" s="212"/>
      <c r="AC340" s="212"/>
      <c r="AD340" s="212"/>
      <c r="AE340" s="212"/>
      <c r="AF340" s="212"/>
      <c r="AG340" s="212"/>
      <c r="AH340" s="212"/>
      <c r="AI340" s="212"/>
      <c r="AJ340" s="212"/>
      <c r="AK340" s="212"/>
      <c r="AL340" s="212"/>
      <c r="AM340" s="212"/>
      <c r="AN340" s="212"/>
      <c r="AO340" s="212"/>
      <c r="AP340" s="212"/>
      <c r="AQ340" s="212"/>
      <c r="AR340" s="212"/>
      <c r="AS340" s="212"/>
      <c r="AT340" s="212"/>
      <c r="AU340" s="212"/>
      <c r="AV340" s="212"/>
      <c r="AW340" s="212"/>
      <c r="AX340" s="212"/>
      <c r="AY340" s="212"/>
      <c r="AZ340" s="212"/>
      <c r="BA340" s="212"/>
      <c r="BB340" s="212"/>
      <c r="BC340" s="212"/>
      <c r="BD340" s="212"/>
      <c r="BE340" s="212"/>
      <c r="BF340" s="212"/>
      <c r="BG340" s="212"/>
      <c r="BH340" s="212"/>
      <c r="BI340" s="212"/>
      <c r="BJ340" s="212"/>
      <c r="BK340" s="212"/>
      <c r="BL340" s="212"/>
      <c r="BM340" s="212"/>
      <c r="BN340" s="212"/>
      <c r="BO340" s="212"/>
      <c r="BP340" s="212"/>
      <c r="BQ340" s="212"/>
      <c r="BR340" s="212"/>
      <c r="BS340" s="212"/>
      <c r="BT340" s="212"/>
      <c r="BU340" s="212"/>
      <c r="BV340" s="212"/>
      <c r="BW340" s="212"/>
      <c r="BX340" s="212"/>
      <c r="BY340" s="212"/>
      <c r="BZ340" s="212"/>
      <c r="CA340" s="212"/>
      <c r="CB340" s="212"/>
      <c r="CC340" s="212"/>
      <c r="CD340" s="212"/>
      <c r="CE340" s="212"/>
      <c r="CF340" s="212"/>
      <c r="CG340" s="212"/>
      <c r="CH340" s="212"/>
      <c r="CI340" s="212"/>
      <c r="CJ340" s="212"/>
      <c r="CK340" s="212"/>
      <c r="CL340" s="212"/>
    </row>
    <row r="341" spans="10:90" ht="24.75" customHeight="1" x14ac:dyDescent="0.75">
      <c r="J341" s="220"/>
      <c r="K341" s="2"/>
      <c r="N341" s="212"/>
      <c r="O341" s="212"/>
      <c r="P341" s="212"/>
      <c r="Q341" s="212"/>
      <c r="R341" s="212"/>
      <c r="S341" s="212"/>
      <c r="T341" s="212"/>
      <c r="U341" s="212"/>
      <c r="V341" s="212"/>
      <c r="W341" s="212"/>
      <c r="X341" s="212"/>
      <c r="Y341" s="212"/>
      <c r="Z341" s="212"/>
      <c r="AA341" s="212"/>
      <c r="AB341" s="212"/>
      <c r="AC341" s="212"/>
      <c r="AD341" s="212"/>
      <c r="AE341" s="212"/>
      <c r="AF341" s="212"/>
      <c r="AG341" s="212"/>
      <c r="AH341" s="212"/>
      <c r="AI341" s="212"/>
      <c r="AJ341" s="212"/>
      <c r="AK341" s="212"/>
      <c r="AL341" s="212"/>
      <c r="AM341" s="212"/>
      <c r="AN341" s="212"/>
      <c r="AO341" s="212"/>
      <c r="AP341" s="212"/>
      <c r="AQ341" s="212"/>
      <c r="AR341" s="212"/>
      <c r="AS341" s="212"/>
      <c r="AT341" s="212"/>
      <c r="AU341" s="212"/>
      <c r="AV341" s="212"/>
      <c r="AW341" s="212"/>
      <c r="AX341" s="212"/>
      <c r="AY341" s="212"/>
      <c r="AZ341" s="212"/>
      <c r="BA341" s="212"/>
      <c r="BB341" s="212"/>
      <c r="BC341" s="212"/>
      <c r="BD341" s="212"/>
      <c r="BE341" s="212"/>
      <c r="BF341" s="212"/>
      <c r="BG341" s="212"/>
      <c r="BH341" s="212"/>
      <c r="BI341" s="212"/>
      <c r="BJ341" s="212"/>
      <c r="BK341" s="212"/>
      <c r="BL341" s="212"/>
      <c r="BM341" s="212"/>
      <c r="BN341" s="212"/>
      <c r="BO341" s="212"/>
      <c r="BP341" s="212"/>
      <c r="BQ341" s="212"/>
      <c r="BR341" s="212"/>
      <c r="BS341" s="212"/>
      <c r="BT341" s="212"/>
      <c r="BU341" s="212"/>
      <c r="BV341" s="212"/>
      <c r="BW341" s="212"/>
      <c r="BX341" s="212"/>
      <c r="BY341" s="212"/>
      <c r="BZ341" s="212"/>
      <c r="CA341" s="212"/>
      <c r="CB341" s="212"/>
      <c r="CC341" s="212"/>
      <c r="CD341" s="212"/>
      <c r="CE341" s="212"/>
      <c r="CF341" s="212"/>
      <c r="CG341" s="212"/>
      <c r="CH341" s="212"/>
      <c r="CI341" s="212"/>
      <c r="CJ341" s="212"/>
      <c r="CK341" s="212"/>
      <c r="CL341" s="212"/>
    </row>
    <row r="342" spans="10:90" ht="24.75" customHeight="1" x14ac:dyDescent="0.75">
      <c r="J342" s="220"/>
      <c r="K342" s="2"/>
      <c r="N342" s="212"/>
      <c r="O342" s="212"/>
      <c r="P342" s="212"/>
      <c r="Q342" s="212"/>
      <c r="R342" s="212"/>
      <c r="S342" s="212"/>
      <c r="T342" s="212"/>
      <c r="U342" s="212"/>
      <c r="V342" s="212"/>
      <c r="W342" s="212"/>
      <c r="X342" s="212"/>
      <c r="Y342" s="212"/>
      <c r="Z342" s="212"/>
      <c r="AA342" s="212"/>
      <c r="AB342" s="212"/>
      <c r="AC342" s="212"/>
      <c r="AD342" s="212"/>
      <c r="AE342" s="212"/>
      <c r="AF342" s="212"/>
      <c r="AG342" s="212"/>
      <c r="AH342" s="212"/>
      <c r="AI342" s="212"/>
      <c r="AJ342" s="212"/>
      <c r="AK342" s="212"/>
      <c r="AL342" s="212"/>
      <c r="AM342" s="212"/>
      <c r="AN342" s="212"/>
      <c r="AO342" s="212"/>
      <c r="AP342" s="212"/>
      <c r="AQ342" s="212"/>
      <c r="AR342" s="212"/>
      <c r="AS342" s="212"/>
      <c r="AT342" s="212"/>
      <c r="AU342" s="212"/>
      <c r="AV342" s="212"/>
      <c r="AW342" s="212"/>
      <c r="AX342" s="212"/>
      <c r="AY342" s="212"/>
      <c r="AZ342" s="212"/>
      <c r="BA342" s="212"/>
      <c r="BB342" s="212"/>
      <c r="BC342" s="212"/>
      <c r="BD342" s="212"/>
      <c r="BE342" s="212"/>
      <c r="BF342" s="212"/>
      <c r="BG342" s="212"/>
      <c r="BH342" s="212"/>
      <c r="BI342" s="212"/>
      <c r="BJ342" s="212"/>
      <c r="BK342" s="212"/>
      <c r="BL342" s="212"/>
      <c r="BM342" s="212"/>
      <c r="BN342" s="212"/>
      <c r="BO342" s="212"/>
      <c r="BP342" s="212"/>
      <c r="BQ342" s="212"/>
      <c r="BR342" s="212"/>
      <c r="BS342" s="212"/>
      <c r="BT342" s="212"/>
      <c r="BU342" s="212"/>
      <c r="BV342" s="212"/>
      <c r="BW342" s="212"/>
      <c r="BX342" s="212"/>
      <c r="BY342" s="212"/>
      <c r="BZ342" s="212"/>
      <c r="CA342" s="212"/>
      <c r="CB342" s="212"/>
      <c r="CC342" s="212"/>
      <c r="CD342" s="212"/>
      <c r="CE342" s="212"/>
      <c r="CF342" s="212"/>
      <c r="CG342" s="212"/>
      <c r="CH342" s="212"/>
      <c r="CI342" s="212"/>
      <c r="CJ342" s="212"/>
      <c r="CK342" s="212"/>
      <c r="CL342" s="212"/>
    </row>
    <row r="343" spans="10:90" ht="24.75" customHeight="1" x14ac:dyDescent="0.75">
      <c r="J343" s="220"/>
      <c r="K343" s="2"/>
      <c r="N343" s="212"/>
      <c r="O343" s="212"/>
      <c r="P343" s="212"/>
      <c r="Q343" s="212"/>
      <c r="R343" s="212"/>
      <c r="S343" s="212"/>
      <c r="T343" s="212"/>
      <c r="U343" s="212"/>
      <c r="V343" s="212"/>
      <c r="W343" s="212"/>
      <c r="X343" s="212"/>
      <c r="Y343" s="212"/>
      <c r="Z343" s="212"/>
      <c r="AA343" s="212"/>
      <c r="AB343" s="212"/>
      <c r="AC343" s="212"/>
      <c r="AD343" s="212"/>
      <c r="AE343" s="212"/>
      <c r="AF343" s="212"/>
      <c r="AG343" s="212"/>
      <c r="AH343" s="212"/>
      <c r="AI343" s="212"/>
      <c r="AJ343" s="212"/>
      <c r="AK343" s="212"/>
      <c r="AL343" s="212"/>
      <c r="AM343" s="212"/>
      <c r="AN343" s="212"/>
      <c r="AO343" s="212"/>
      <c r="AP343" s="212"/>
      <c r="AQ343" s="212"/>
      <c r="AR343" s="212"/>
      <c r="AS343" s="212"/>
      <c r="AT343" s="212"/>
      <c r="AU343" s="212"/>
      <c r="AV343" s="212"/>
      <c r="AW343" s="212"/>
      <c r="AX343" s="212"/>
      <c r="AY343" s="212"/>
      <c r="AZ343" s="212"/>
      <c r="BA343" s="212"/>
      <c r="BB343" s="212"/>
      <c r="BC343" s="212"/>
      <c r="BD343" s="212"/>
      <c r="BE343" s="212"/>
      <c r="BF343" s="212"/>
      <c r="BG343" s="212"/>
      <c r="BH343" s="212"/>
      <c r="BI343" s="212"/>
      <c r="BJ343" s="212"/>
      <c r="BK343" s="212"/>
      <c r="BL343" s="212"/>
      <c r="BM343" s="212"/>
      <c r="BN343" s="212"/>
      <c r="BO343" s="212"/>
      <c r="BP343" s="212"/>
      <c r="BQ343" s="212"/>
      <c r="BR343" s="212"/>
      <c r="BS343" s="212"/>
      <c r="BT343" s="212"/>
      <c r="BU343" s="212"/>
      <c r="BV343" s="212"/>
      <c r="BW343" s="212"/>
      <c r="BX343" s="212"/>
      <c r="BY343" s="212"/>
      <c r="BZ343" s="212"/>
      <c r="CA343" s="212"/>
      <c r="CB343" s="212"/>
      <c r="CC343" s="212"/>
      <c r="CD343" s="212"/>
      <c r="CE343" s="212"/>
      <c r="CF343" s="212"/>
      <c r="CG343" s="212"/>
      <c r="CH343" s="212"/>
      <c r="CI343" s="212"/>
      <c r="CJ343" s="212"/>
      <c r="CK343" s="212"/>
      <c r="CL343" s="212"/>
    </row>
    <row r="344" spans="10:90" ht="24.75" customHeight="1" x14ac:dyDescent="0.75">
      <c r="J344" s="220"/>
      <c r="K344" s="2"/>
      <c r="N344" s="212"/>
      <c r="O344" s="212"/>
      <c r="P344" s="212"/>
      <c r="Q344" s="212"/>
      <c r="R344" s="212"/>
      <c r="S344" s="212"/>
      <c r="T344" s="212"/>
      <c r="U344" s="212"/>
      <c r="V344" s="212"/>
      <c r="W344" s="212"/>
      <c r="X344" s="212"/>
      <c r="Y344" s="212"/>
      <c r="Z344" s="212"/>
      <c r="AA344" s="212"/>
      <c r="AB344" s="212"/>
      <c r="AC344" s="212"/>
      <c r="AD344" s="212"/>
      <c r="AE344" s="212"/>
      <c r="AF344" s="212"/>
      <c r="AG344" s="212"/>
      <c r="AH344" s="212"/>
      <c r="AI344" s="212"/>
      <c r="AJ344" s="212"/>
      <c r="AK344" s="212"/>
      <c r="AL344" s="212"/>
      <c r="AM344" s="212"/>
      <c r="AN344" s="212"/>
      <c r="AO344" s="212"/>
      <c r="AP344" s="212"/>
      <c r="AQ344" s="212"/>
      <c r="AR344" s="212"/>
      <c r="AS344" s="212"/>
      <c r="AT344" s="212"/>
      <c r="AU344" s="212"/>
      <c r="AV344" s="212"/>
      <c r="AW344" s="212"/>
      <c r="AX344" s="212"/>
      <c r="AY344" s="212"/>
      <c r="AZ344" s="212"/>
      <c r="BA344" s="212"/>
      <c r="BB344" s="212"/>
      <c r="BC344" s="212"/>
      <c r="BD344" s="212"/>
      <c r="BE344" s="212"/>
      <c r="BF344" s="212"/>
      <c r="BG344" s="212"/>
      <c r="BH344" s="212"/>
      <c r="BI344" s="212"/>
      <c r="BJ344" s="212"/>
      <c r="BK344" s="212"/>
      <c r="BL344" s="212"/>
      <c r="BM344" s="212"/>
      <c r="BN344" s="212"/>
      <c r="BO344" s="212"/>
      <c r="BP344" s="212"/>
      <c r="BQ344" s="212"/>
      <c r="BR344" s="212"/>
      <c r="BS344" s="212"/>
      <c r="BT344" s="212"/>
      <c r="BU344" s="212"/>
      <c r="BV344" s="212"/>
      <c r="BW344" s="212"/>
      <c r="BX344" s="212"/>
      <c r="BY344" s="212"/>
      <c r="BZ344" s="212"/>
      <c r="CA344" s="212"/>
      <c r="CB344" s="212"/>
      <c r="CC344" s="212"/>
      <c r="CD344" s="212"/>
      <c r="CE344" s="212"/>
      <c r="CF344" s="212"/>
      <c r="CG344" s="212"/>
      <c r="CH344" s="212"/>
      <c r="CI344" s="212"/>
      <c r="CJ344" s="212"/>
      <c r="CK344" s="212"/>
      <c r="CL344" s="212"/>
    </row>
    <row r="345" spans="10:90" ht="24.75" customHeight="1" x14ac:dyDescent="0.75">
      <c r="J345" s="220"/>
      <c r="K345" s="2"/>
      <c r="N345" s="212"/>
      <c r="O345" s="212"/>
      <c r="P345" s="212"/>
      <c r="Q345" s="212"/>
      <c r="R345" s="212"/>
      <c r="S345" s="212"/>
      <c r="T345" s="212"/>
      <c r="U345" s="212"/>
      <c r="V345" s="212"/>
      <c r="W345" s="212"/>
      <c r="X345" s="212"/>
      <c r="Y345" s="212"/>
      <c r="Z345" s="212"/>
      <c r="AA345" s="212"/>
      <c r="AB345" s="212"/>
      <c r="AC345" s="212"/>
      <c r="AD345" s="212"/>
      <c r="AE345" s="212"/>
      <c r="AF345" s="212"/>
      <c r="AG345" s="212"/>
      <c r="AH345" s="212"/>
      <c r="AI345" s="212"/>
      <c r="AJ345" s="212"/>
      <c r="AK345" s="212"/>
      <c r="AL345" s="212"/>
      <c r="AM345" s="212"/>
      <c r="AN345" s="212"/>
      <c r="AO345" s="212"/>
      <c r="AP345" s="212"/>
      <c r="AQ345" s="212"/>
      <c r="AR345" s="212"/>
      <c r="AS345" s="212"/>
      <c r="AT345" s="212"/>
      <c r="AU345" s="212"/>
      <c r="AV345" s="212"/>
      <c r="AW345" s="212"/>
      <c r="AX345" s="212"/>
      <c r="AY345" s="212"/>
      <c r="AZ345" s="212"/>
      <c r="BA345" s="212"/>
      <c r="BB345" s="212"/>
      <c r="BC345" s="212"/>
      <c r="BD345" s="212"/>
      <c r="BE345" s="212"/>
      <c r="BF345" s="212"/>
      <c r="BG345" s="212"/>
      <c r="BH345" s="212"/>
      <c r="BI345" s="212"/>
      <c r="BJ345" s="212"/>
      <c r="BK345" s="212"/>
      <c r="BL345" s="212"/>
      <c r="BM345" s="212"/>
      <c r="BN345" s="212"/>
      <c r="BO345" s="212"/>
      <c r="BP345" s="212"/>
      <c r="BQ345" s="212"/>
      <c r="BR345" s="212"/>
      <c r="BS345" s="212"/>
      <c r="BT345" s="212"/>
      <c r="BU345" s="212"/>
      <c r="BV345" s="212"/>
      <c r="BW345" s="212"/>
      <c r="BX345" s="212"/>
      <c r="BY345" s="212"/>
      <c r="BZ345" s="212"/>
      <c r="CA345" s="212"/>
      <c r="CB345" s="212"/>
      <c r="CC345" s="212"/>
      <c r="CD345" s="212"/>
      <c r="CE345" s="212"/>
      <c r="CF345" s="212"/>
      <c r="CG345" s="212"/>
      <c r="CH345" s="212"/>
      <c r="CI345" s="212"/>
      <c r="CJ345" s="212"/>
      <c r="CK345" s="212"/>
      <c r="CL345" s="212"/>
    </row>
    <row r="346" spans="10:90" ht="24.75" customHeight="1" x14ac:dyDescent="0.75">
      <c r="J346" s="220"/>
      <c r="K346" s="2"/>
      <c r="N346" s="212"/>
      <c r="O346" s="212"/>
      <c r="P346" s="212"/>
      <c r="Q346" s="212"/>
      <c r="R346" s="212"/>
      <c r="S346" s="212"/>
      <c r="T346" s="212"/>
      <c r="U346" s="212"/>
      <c r="V346" s="212"/>
      <c r="W346" s="212"/>
      <c r="X346" s="212"/>
      <c r="Y346" s="212"/>
      <c r="Z346" s="212"/>
      <c r="AA346" s="212"/>
      <c r="AB346" s="212"/>
      <c r="AC346" s="212"/>
      <c r="AD346" s="212"/>
      <c r="AE346" s="212"/>
      <c r="AF346" s="212"/>
      <c r="AG346" s="212"/>
      <c r="AH346" s="212"/>
      <c r="AI346" s="212"/>
      <c r="AJ346" s="212"/>
      <c r="AK346" s="212"/>
      <c r="AL346" s="212"/>
      <c r="AM346" s="212"/>
      <c r="AN346" s="212"/>
      <c r="AO346" s="212"/>
      <c r="AP346" s="212"/>
      <c r="AQ346" s="212"/>
      <c r="AR346" s="212"/>
      <c r="AS346" s="212"/>
      <c r="AT346" s="212"/>
      <c r="AU346" s="212"/>
      <c r="AV346" s="212"/>
      <c r="AW346" s="212"/>
      <c r="AX346" s="212"/>
      <c r="AY346" s="212"/>
      <c r="AZ346" s="212"/>
      <c r="BA346" s="212"/>
      <c r="BB346" s="212"/>
      <c r="BC346" s="212"/>
      <c r="BD346" s="212"/>
      <c r="BE346" s="212"/>
      <c r="BF346" s="212"/>
      <c r="BG346" s="212"/>
      <c r="BH346" s="212"/>
      <c r="BI346" s="212"/>
      <c r="BJ346" s="212"/>
      <c r="BK346" s="212"/>
      <c r="BL346" s="212"/>
      <c r="BM346" s="212"/>
      <c r="BN346" s="212"/>
      <c r="BO346" s="212"/>
      <c r="BP346" s="212"/>
      <c r="BQ346" s="212"/>
      <c r="BR346" s="212"/>
      <c r="BS346" s="212"/>
      <c r="BT346" s="212"/>
      <c r="BU346" s="212"/>
      <c r="BV346" s="212"/>
      <c r="BW346" s="212"/>
      <c r="BX346" s="212"/>
      <c r="BY346" s="212"/>
      <c r="BZ346" s="212"/>
      <c r="CA346" s="212"/>
      <c r="CB346" s="212"/>
      <c r="CC346" s="212"/>
      <c r="CD346" s="212"/>
      <c r="CE346" s="212"/>
      <c r="CF346" s="212"/>
      <c r="CG346" s="212"/>
      <c r="CH346" s="212"/>
      <c r="CI346" s="212"/>
      <c r="CJ346" s="212"/>
      <c r="CK346" s="212"/>
      <c r="CL346" s="212"/>
    </row>
    <row r="347" spans="10:90" ht="24.75" customHeight="1" x14ac:dyDescent="0.75">
      <c r="J347" s="220"/>
      <c r="K347" s="2"/>
      <c r="N347" s="212"/>
      <c r="O347" s="212"/>
      <c r="P347" s="212"/>
      <c r="Q347" s="212"/>
      <c r="R347" s="212"/>
      <c r="S347" s="212"/>
      <c r="T347" s="212"/>
      <c r="U347" s="212"/>
      <c r="V347" s="212"/>
      <c r="W347" s="212"/>
      <c r="X347" s="212"/>
      <c r="Y347" s="212"/>
      <c r="Z347" s="212"/>
      <c r="AA347" s="212"/>
      <c r="AB347" s="212"/>
      <c r="AC347" s="212"/>
      <c r="AD347" s="212"/>
      <c r="AE347" s="212"/>
      <c r="AF347" s="212"/>
      <c r="AG347" s="212"/>
      <c r="AH347" s="212"/>
      <c r="AI347" s="212"/>
      <c r="AJ347" s="212"/>
      <c r="AK347" s="212"/>
      <c r="AL347" s="212"/>
      <c r="AM347" s="212"/>
      <c r="AN347" s="212"/>
      <c r="AO347" s="212"/>
      <c r="AP347" s="212"/>
      <c r="AQ347" s="212"/>
      <c r="AR347" s="212"/>
      <c r="AS347" s="212"/>
      <c r="AT347" s="212"/>
      <c r="AU347" s="212"/>
      <c r="AV347" s="212"/>
      <c r="AW347" s="212"/>
      <c r="AX347" s="212"/>
      <c r="AY347" s="212"/>
      <c r="AZ347" s="212"/>
      <c r="BA347" s="212"/>
      <c r="BB347" s="212"/>
      <c r="BC347" s="212"/>
      <c r="BD347" s="212"/>
      <c r="BE347" s="212"/>
      <c r="BF347" s="212"/>
      <c r="BG347" s="212"/>
      <c r="BH347" s="212"/>
      <c r="BI347" s="212"/>
      <c r="BJ347" s="212"/>
      <c r="BK347" s="212"/>
      <c r="BL347" s="212"/>
      <c r="BM347" s="212"/>
      <c r="BN347" s="212"/>
      <c r="BO347" s="212"/>
      <c r="BP347" s="212"/>
      <c r="BQ347" s="212"/>
      <c r="BR347" s="212"/>
      <c r="BS347" s="212"/>
      <c r="BT347" s="212"/>
      <c r="BU347" s="212"/>
      <c r="BV347" s="212"/>
      <c r="BW347" s="212"/>
      <c r="BX347" s="212"/>
      <c r="BY347" s="212"/>
      <c r="BZ347" s="212"/>
      <c r="CA347" s="212"/>
      <c r="CB347" s="212"/>
      <c r="CC347" s="212"/>
      <c r="CD347" s="212"/>
      <c r="CE347" s="212"/>
      <c r="CF347" s="212"/>
      <c r="CG347" s="212"/>
      <c r="CH347" s="212"/>
      <c r="CI347" s="212"/>
      <c r="CJ347" s="212"/>
      <c r="CK347" s="212"/>
      <c r="CL347" s="212"/>
    </row>
    <row r="348" spans="10:90" ht="24.75" customHeight="1" x14ac:dyDescent="0.75">
      <c r="J348" s="220"/>
      <c r="K348" s="2"/>
      <c r="N348" s="212"/>
      <c r="O348" s="212"/>
      <c r="P348" s="212"/>
      <c r="Q348" s="212"/>
      <c r="R348" s="212"/>
      <c r="S348" s="212"/>
      <c r="T348" s="212"/>
      <c r="U348" s="212"/>
      <c r="V348" s="212"/>
      <c r="W348" s="212"/>
      <c r="X348" s="212"/>
      <c r="Y348" s="212"/>
      <c r="Z348" s="212"/>
      <c r="AA348" s="212"/>
      <c r="AB348" s="212"/>
      <c r="AC348" s="212"/>
      <c r="AD348" s="212"/>
      <c r="AE348" s="212"/>
      <c r="AF348" s="212"/>
      <c r="AG348" s="212"/>
      <c r="AH348" s="212"/>
      <c r="AI348" s="212"/>
      <c r="AJ348" s="212"/>
      <c r="AK348" s="212"/>
      <c r="AL348" s="212"/>
      <c r="AM348" s="212"/>
      <c r="AN348" s="212"/>
      <c r="AO348" s="212"/>
      <c r="AP348" s="212"/>
      <c r="AQ348" s="212"/>
      <c r="AR348" s="212"/>
      <c r="AS348" s="212"/>
      <c r="AT348" s="212"/>
      <c r="AU348" s="212"/>
      <c r="AV348" s="212"/>
      <c r="AW348" s="212"/>
      <c r="AX348" s="212"/>
      <c r="AY348" s="212"/>
      <c r="AZ348" s="212"/>
      <c r="BA348" s="212"/>
      <c r="BB348" s="212"/>
      <c r="BC348" s="212"/>
      <c r="BD348" s="212"/>
      <c r="BE348" s="212"/>
      <c r="BF348" s="212"/>
      <c r="BG348" s="212"/>
      <c r="BH348" s="212"/>
      <c r="BI348" s="212"/>
      <c r="BJ348" s="212"/>
      <c r="BK348" s="212"/>
      <c r="BL348" s="212"/>
      <c r="BM348" s="212"/>
      <c r="BN348" s="212"/>
      <c r="BO348" s="212"/>
      <c r="BP348" s="212"/>
      <c r="BQ348" s="212"/>
      <c r="BR348" s="212"/>
      <c r="BS348" s="212"/>
      <c r="BT348" s="212"/>
      <c r="BU348" s="212"/>
      <c r="BV348" s="212"/>
      <c r="BW348" s="212"/>
      <c r="BX348" s="212"/>
      <c r="BY348" s="212"/>
      <c r="BZ348" s="212"/>
      <c r="CA348" s="212"/>
      <c r="CB348" s="212"/>
      <c r="CC348" s="212"/>
      <c r="CD348" s="212"/>
      <c r="CE348" s="212"/>
      <c r="CF348" s="212"/>
      <c r="CG348" s="212"/>
      <c r="CH348" s="212"/>
      <c r="CI348" s="212"/>
      <c r="CJ348" s="212"/>
      <c r="CK348" s="212"/>
      <c r="CL348" s="212"/>
    </row>
    <row r="349" spans="10:90" ht="24.75" customHeight="1" x14ac:dyDescent="0.75">
      <c r="J349" s="220"/>
      <c r="K349" s="2"/>
      <c r="N349" s="212"/>
      <c r="O349" s="212"/>
      <c r="P349" s="212"/>
      <c r="Q349" s="212"/>
      <c r="R349" s="212"/>
      <c r="S349" s="212"/>
      <c r="T349" s="212"/>
      <c r="U349" s="212"/>
      <c r="V349" s="212"/>
      <c r="W349" s="212"/>
      <c r="X349" s="212"/>
      <c r="Y349" s="212"/>
      <c r="Z349" s="212"/>
      <c r="AA349" s="212"/>
      <c r="AB349" s="212"/>
      <c r="AC349" s="212"/>
      <c r="AD349" s="212"/>
      <c r="AE349" s="212"/>
      <c r="AF349" s="212"/>
      <c r="AG349" s="212"/>
      <c r="AH349" s="212"/>
      <c r="AI349" s="212"/>
      <c r="AJ349" s="212"/>
      <c r="AK349" s="212"/>
      <c r="AL349" s="212"/>
      <c r="AM349" s="212"/>
      <c r="AN349" s="212"/>
      <c r="AO349" s="212"/>
      <c r="AP349" s="212"/>
      <c r="AQ349" s="212"/>
      <c r="AR349" s="212"/>
      <c r="AS349" s="212"/>
      <c r="AT349" s="212"/>
      <c r="AU349" s="212"/>
      <c r="AV349" s="212"/>
      <c r="AW349" s="212"/>
      <c r="AX349" s="212"/>
      <c r="AY349" s="212"/>
      <c r="AZ349" s="212"/>
      <c r="BA349" s="212"/>
      <c r="BB349" s="212"/>
      <c r="BC349" s="212"/>
      <c r="BD349" s="212"/>
      <c r="BE349" s="212"/>
      <c r="BF349" s="212"/>
      <c r="BG349" s="212"/>
      <c r="BH349" s="212"/>
      <c r="BI349" s="212"/>
      <c r="BJ349" s="212"/>
      <c r="BK349" s="212"/>
      <c r="BL349" s="212"/>
      <c r="BM349" s="212"/>
      <c r="BN349" s="212"/>
      <c r="BO349" s="212"/>
      <c r="BP349" s="212"/>
      <c r="BQ349" s="212"/>
      <c r="BR349" s="212"/>
      <c r="BS349" s="212"/>
      <c r="BT349" s="212"/>
      <c r="BU349" s="212"/>
      <c r="BV349" s="212"/>
      <c r="BW349" s="212"/>
      <c r="BX349" s="212"/>
      <c r="BY349" s="212"/>
      <c r="BZ349" s="212"/>
      <c r="CA349" s="212"/>
      <c r="CB349" s="212"/>
      <c r="CC349" s="212"/>
      <c r="CD349" s="212"/>
      <c r="CE349" s="212"/>
      <c r="CF349" s="212"/>
      <c r="CG349" s="212"/>
      <c r="CH349" s="212"/>
      <c r="CI349" s="212"/>
      <c r="CJ349" s="212"/>
      <c r="CK349" s="212"/>
      <c r="CL349" s="212"/>
    </row>
    <row r="350" spans="10:90" ht="24.75" customHeight="1" x14ac:dyDescent="0.75">
      <c r="J350" s="220"/>
      <c r="K350" s="2"/>
      <c r="N350" s="212"/>
      <c r="O350" s="212"/>
      <c r="P350" s="212"/>
      <c r="Q350" s="212"/>
      <c r="R350" s="212"/>
      <c r="S350" s="212"/>
      <c r="T350" s="212"/>
      <c r="U350" s="212"/>
      <c r="V350" s="212"/>
      <c r="W350" s="212"/>
      <c r="X350" s="212"/>
      <c r="Y350" s="212"/>
      <c r="Z350" s="212"/>
      <c r="AA350" s="212"/>
      <c r="AB350" s="212"/>
      <c r="AC350" s="212"/>
      <c r="AD350" s="212"/>
      <c r="AE350" s="212"/>
      <c r="AF350" s="212"/>
      <c r="AG350" s="212"/>
      <c r="AH350" s="212"/>
      <c r="AI350" s="212"/>
      <c r="AJ350" s="212"/>
      <c r="AK350" s="212"/>
      <c r="AL350" s="212"/>
      <c r="AM350" s="212"/>
      <c r="AN350" s="212"/>
      <c r="AO350" s="212"/>
      <c r="AP350" s="212"/>
      <c r="AQ350" s="212"/>
      <c r="AR350" s="212"/>
      <c r="AS350" s="212"/>
      <c r="AT350" s="212"/>
      <c r="AU350" s="212"/>
      <c r="AV350" s="212"/>
      <c r="AW350" s="212"/>
      <c r="AX350" s="212"/>
      <c r="AY350" s="212"/>
      <c r="AZ350" s="212"/>
      <c r="BA350" s="212"/>
      <c r="BB350" s="212"/>
      <c r="BC350" s="212"/>
      <c r="BD350" s="212"/>
      <c r="BE350" s="212"/>
      <c r="BF350" s="212"/>
      <c r="BG350" s="212"/>
      <c r="BH350" s="212"/>
      <c r="BI350" s="212"/>
      <c r="BJ350" s="212"/>
      <c r="BK350" s="212"/>
      <c r="BL350" s="212"/>
      <c r="BM350" s="212"/>
      <c r="BN350" s="212"/>
      <c r="BO350" s="212"/>
      <c r="BP350" s="212"/>
      <c r="BQ350" s="212"/>
      <c r="BR350" s="212"/>
      <c r="BS350" s="212"/>
      <c r="BT350" s="212"/>
      <c r="BU350" s="212"/>
      <c r="BV350" s="212"/>
      <c r="BW350" s="212"/>
      <c r="BX350" s="212"/>
      <c r="BY350" s="212"/>
      <c r="BZ350" s="212"/>
      <c r="CA350" s="212"/>
      <c r="CB350" s="212"/>
      <c r="CC350" s="212"/>
      <c r="CD350" s="212"/>
      <c r="CE350" s="212"/>
      <c r="CF350" s="212"/>
      <c r="CG350" s="212"/>
      <c r="CH350" s="212"/>
      <c r="CI350" s="212"/>
      <c r="CJ350" s="212"/>
      <c r="CK350" s="212"/>
      <c r="CL350" s="212"/>
    </row>
    <row r="351" spans="10:90" ht="24.75" customHeight="1" x14ac:dyDescent="0.75">
      <c r="J351" s="220"/>
      <c r="K351" s="2"/>
      <c r="N351" s="212"/>
      <c r="O351" s="212"/>
      <c r="P351" s="212"/>
      <c r="Q351" s="212"/>
      <c r="R351" s="212"/>
      <c r="S351" s="212"/>
      <c r="T351" s="212"/>
      <c r="U351" s="212"/>
      <c r="V351" s="212"/>
      <c r="W351" s="212"/>
      <c r="X351" s="212"/>
      <c r="Y351" s="212"/>
      <c r="Z351" s="212"/>
      <c r="AA351" s="212"/>
      <c r="AB351" s="212"/>
      <c r="AC351" s="212"/>
      <c r="AD351" s="212"/>
      <c r="AE351" s="212"/>
      <c r="AF351" s="212"/>
      <c r="AG351" s="212"/>
      <c r="AH351" s="212"/>
      <c r="AI351" s="212"/>
      <c r="AJ351" s="212"/>
      <c r="AK351" s="212"/>
      <c r="AL351" s="212"/>
      <c r="AM351" s="212"/>
      <c r="AN351" s="212"/>
      <c r="AO351" s="212"/>
      <c r="AP351" s="212"/>
      <c r="AQ351" s="212"/>
      <c r="AR351" s="212"/>
      <c r="AS351" s="212"/>
      <c r="AT351" s="212"/>
      <c r="AU351" s="212"/>
      <c r="AV351" s="212"/>
      <c r="AW351" s="212"/>
      <c r="AX351" s="212"/>
      <c r="AY351" s="212"/>
      <c r="AZ351" s="212"/>
      <c r="BA351" s="212"/>
      <c r="BB351" s="212"/>
      <c r="BC351" s="212"/>
      <c r="BD351" s="212"/>
      <c r="BE351" s="212"/>
      <c r="BF351" s="212"/>
      <c r="BG351" s="212"/>
      <c r="BH351" s="212"/>
      <c r="BI351" s="212"/>
      <c r="BJ351" s="212"/>
      <c r="BK351" s="212"/>
      <c r="BL351" s="212"/>
      <c r="BM351" s="212"/>
      <c r="BN351" s="212"/>
      <c r="BO351" s="212"/>
      <c r="BP351" s="212"/>
      <c r="BQ351" s="212"/>
      <c r="BR351" s="212"/>
      <c r="BS351" s="212"/>
      <c r="BT351" s="212"/>
      <c r="BU351" s="212"/>
      <c r="BV351" s="212"/>
      <c r="BW351" s="212"/>
      <c r="BX351" s="212"/>
      <c r="BY351" s="212"/>
      <c r="BZ351" s="212"/>
      <c r="CA351" s="212"/>
      <c r="CB351" s="212"/>
      <c r="CC351" s="212"/>
      <c r="CD351" s="212"/>
      <c r="CE351" s="212"/>
      <c r="CF351" s="212"/>
      <c r="CG351" s="212"/>
      <c r="CH351" s="212"/>
      <c r="CI351" s="212"/>
      <c r="CJ351" s="212"/>
      <c r="CK351" s="212"/>
      <c r="CL351" s="212"/>
    </row>
    <row r="352" spans="10:90" ht="24.75" customHeight="1" x14ac:dyDescent="0.75">
      <c r="J352" s="220"/>
      <c r="K352" s="2"/>
      <c r="N352" s="212"/>
      <c r="O352" s="212"/>
      <c r="P352" s="212"/>
      <c r="Q352" s="212"/>
      <c r="R352" s="212"/>
      <c r="S352" s="212"/>
      <c r="T352" s="212"/>
      <c r="U352" s="212"/>
      <c r="V352" s="212"/>
      <c r="W352" s="212"/>
      <c r="X352" s="212"/>
      <c r="Y352" s="212"/>
      <c r="Z352" s="212"/>
      <c r="AA352" s="212"/>
      <c r="AB352" s="212"/>
      <c r="AC352" s="212"/>
      <c r="AD352" s="212"/>
      <c r="AE352" s="212"/>
      <c r="AF352" s="212"/>
      <c r="AG352" s="212"/>
      <c r="AH352" s="212"/>
      <c r="AI352" s="212"/>
      <c r="AJ352" s="212"/>
      <c r="AK352" s="212"/>
      <c r="AL352" s="212"/>
      <c r="AM352" s="212"/>
      <c r="AN352" s="212"/>
      <c r="AO352" s="212"/>
      <c r="AP352" s="212"/>
      <c r="AQ352" s="212"/>
      <c r="AR352" s="212"/>
      <c r="AS352" s="212"/>
      <c r="AT352" s="212"/>
      <c r="AU352" s="212"/>
      <c r="AV352" s="212"/>
      <c r="AW352" s="212"/>
      <c r="AX352" s="212"/>
      <c r="AY352" s="212"/>
      <c r="AZ352" s="212"/>
      <c r="BA352" s="212"/>
      <c r="BB352" s="212"/>
      <c r="BC352" s="212"/>
      <c r="BD352" s="212"/>
      <c r="BE352" s="212"/>
      <c r="BF352" s="212"/>
      <c r="BG352" s="212"/>
      <c r="BH352" s="212"/>
      <c r="BI352" s="212"/>
      <c r="BJ352" s="212"/>
      <c r="BK352" s="212"/>
      <c r="BL352" s="212"/>
      <c r="BM352" s="212"/>
      <c r="BN352" s="212"/>
      <c r="BO352" s="212"/>
      <c r="BP352" s="212"/>
      <c r="BQ352" s="212"/>
      <c r="BR352" s="212"/>
      <c r="BS352" s="212"/>
      <c r="BT352" s="212"/>
      <c r="BU352" s="212"/>
      <c r="BV352" s="212"/>
      <c r="BW352" s="212"/>
      <c r="BX352" s="212"/>
      <c r="BY352" s="212"/>
      <c r="BZ352" s="212"/>
      <c r="CA352" s="212"/>
      <c r="CB352" s="212"/>
      <c r="CC352" s="212"/>
      <c r="CD352" s="212"/>
      <c r="CE352" s="212"/>
      <c r="CF352" s="212"/>
      <c r="CG352" s="212"/>
      <c r="CH352" s="212"/>
      <c r="CI352" s="212"/>
      <c r="CJ352" s="212"/>
      <c r="CK352" s="212"/>
      <c r="CL352" s="212"/>
    </row>
    <row r="353" spans="10:90" ht="24.75" customHeight="1" x14ac:dyDescent="0.75">
      <c r="J353" s="220"/>
      <c r="K353" s="2"/>
      <c r="N353" s="212"/>
      <c r="O353" s="212"/>
      <c r="P353" s="212"/>
      <c r="Q353" s="212"/>
      <c r="R353" s="212"/>
      <c r="S353" s="212"/>
      <c r="T353" s="212"/>
      <c r="U353" s="212"/>
      <c r="V353" s="212"/>
      <c r="W353" s="212"/>
      <c r="X353" s="212"/>
      <c r="Y353" s="212"/>
      <c r="Z353" s="212"/>
      <c r="AA353" s="212"/>
      <c r="AB353" s="212"/>
      <c r="AC353" s="212"/>
      <c r="AD353" s="212"/>
      <c r="AE353" s="212"/>
      <c r="AF353" s="212"/>
      <c r="AG353" s="212"/>
      <c r="AH353" s="212"/>
      <c r="AI353" s="212"/>
      <c r="AJ353" s="212"/>
      <c r="AK353" s="212"/>
      <c r="AL353" s="212"/>
      <c r="AM353" s="212"/>
      <c r="AN353" s="212"/>
      <c r="AO353" s="212"/>
      <c r="AP353" s="212"/>
      <c r="AQ353" s="212"/>
      <c r="AR353" s="212"/>
      <c r="AS353" s="212"/>
      <c r="AT353" s="212"/>
      <c r="AU353" s="212"/>
      <c r="AV353" s="212"/>
      <c r="AW353" s="212"/>
      <c r="AX353" s="212"/>
      <c r="AY353" s="212"/>
      <c r="AZ353" s="212"/>
      <c r="BA353" s="212"/>
      <c r="BB353" s="212"/>
      <c r="BC353" s="212"/>
      <c r="BD353" s="212"/>
      <c r="BE353" s="212"/>
      <c r="BF353" s="212"/>
      <c r="BG353" s="212"/>
      <c r="BH353" s="212"/>
      <c r="BI353" s="212"/>
      <c r="BJ353" s="212"/>
      <c r="BK353" s="212"/>
      <c r="BL353" s="212"/>
      <c r="BM353" s="212"/>
      <c r="BN353" s="212"/>
      <c r="BO353" s="212"/>
      <c r="BP353" s="212"/>
      <c r="BQ353" s="212"/>
      <c r="BR353" s="212"/>
      <c r="BS353" s="212"/>
      <c r="BT353" s="212"/>
      <c r="BU353" s="212"/>
      <c r="BV353" s="212"/>
      <c r="BW353" s="212"/>
      <c r="BX353" s="212"/>
      <c r="BY353" s="212"/>
      <c r="BZ353" s="212"/>
      <c r="CA353" s="212"/>
      <c r="CB353" s="212"/>
      <c r="CC353" s="212"/>
      <c r="CD353" s="212"/>
      <c r="CE353" s="212"/>
      <c r="CF353" s="212"/>
      <c r="CG353" s="212"/>
      <c r="CH353" s="212"/>
      <c r="CI353" s="212"/>
      <c r="CJ353" s="212"/>
      <c r="CK353" s="212"/>
      <c r="CL353" s="212"/>
    </row>
    <row r="354" spans="10:90" ht="24.75" customHeight="1" x14ac:dyDescent="0.75">
      <c r="J354" s="220"/>
      <c r="K354" s="2"/>
      <c r="N354" s="212"/>
      <c r="O354" s="212"/>
      <c r="P354" s="212"/>
      <c r="Q354" s="212"/>
      <c r="R354" s="212"/>
      <c r="S354" s="212"/>
      <c r="T354" s="212"/>
      <c r="U354" s="212"/>
      <c r="V354" s="212"/>
      <c r="W354" s="212"/>
      <c r="X354" s="212"/>
      <c r="Y354" s="212"/>
      <c r="Z354" s="212"/>
      <c r="AA354" s="212"/>
      <c r="AB354" s="212"/>
      <c r="AC354" s="212"/>
      <c r="AD354" s="212"/>
      <c r="AE354" s="212"/>
      <c r="AF354" s="212"/>
      <c r="AG354" s="212"/>
      <c r="AH354" s="212"/>
      <c r="AI354" s="212"/>
      <c r="AJ354" s="212"/>
      <c r="AK354" s="212"/>
      <c r="AL354" s="212"/>
      <c r="AM354" s="212"/>
      <c r="AN354" s="212"/>
      <c r="AO354" s="212"/>
      <c r="AP354" s="212"/>
      <c r="AQ354" s="212"/>
      <c r="AR354" s="212"/>
      <c r="AS354" s="212"/>
      <c r="AT354" s="212"/>
      <c r="AU354" s="212"/>
      <c r="AV354" s="212"/>
      <c r="AW354" s="212"/>
      <c r="AX354" s="212"/>
      <c r="AY354" s="212"/>
      <c r="AZ354" s="212"/>
      <c r="BA354" s="212"/>
      <c r="BB354" s="212"/>
      <c r="BC354" s="212"/>
      <c r="BD354" s="212"/>
      <c r="BE354" s="212"/>
      <c r="BF354" s="212"/>
      <c r="BG354" s="212"/>
      <c r="BH354" s="212"/>
      <c r="BI354" s="212"/>
      <c r="BJ354" s="212"/>
      <c r="BK354" s="212"/>
      <c r="BL354" s="212"/>
      <c r="BM354" s="212"/>
      <c r="BN354" s="212"/>
      <c r="BO354" s="212"/>
      <c r="BP354" s="212"/>
      <c r="BQ354" s="212"/>
      <c r="BR354" s="212"/>
      <c r="BS354" s="212"/>
      <c r="BT354" s="212"/>
      <c r="BU354" s="212"/>
      <c r="BV354" s="212"/>
      <c r="BW354" s="212"/>
      <c r="BX354" s="212"/>
      <c r="BY354" s="212"/>
      <c r="BZ354" s="212"/>
      <c r="CA354" s="212"/>
      <c r="CB354" s="212"/>
      <c r="CC354" s="212"/>
      <c r="CD354" s="212"/>
      <c r="CE354" s="212"/>
      <c r="CF354" s="212"/>
      <c r="CG354" s="212"/>
      <c r="CH354" s="212"/>
      <c r="CI354" s="212"/>
      <c r="CJ354" s="212"/>
      <c r="CK354" s="212"/>
      <c r="CL354" s="212"/>
    </row>
    <row r="355" spans="10:90" ht="24.75" customHeight="1" x14ac:dyDescent="0.75">
      <c r="J355" s="220"/>
      <c r="K355" s="2"/>
      <c r="N355" s="212"/>
      <c r="O355" s="212"/>
      <c r="P355" s="212"/>
      <c r="Q355" s="212"/>
      <c r="R355" s="212"/>
      <c r="S355" s="212"/>
      <c r="T355" s="212"/>
      <c r="U355" s="212"/>
      <c r="V355" s="212"/>
      <c r="W355" s="212"/>
      <c r="X355" s="212"/>
      <c r="Y355" s="212"/>
      <c r="Z355" s="212"/>
      <c r="AA355" s="212"/>
      <c r="AB355" s="212"/>
      <c r="AC355" s="212"/>
      <c r="AD355" s="212"/>
      <c r="AE355" s="212"/>
      <c r="AF355" s="212"/>
      <c r="AG355" s="212"/>
      <c r="AH355" s="212"/>
      <c r="AI355" s="212"/>
      <c r="AJ355" s="212"/>
      <c r="AK355" s="212"/>
      <c r="AL355" s="212"/>
      <c r="AM355" s="212"/>
      <c r="AN355" s="212"/>
      <c r="AO355" s="212"/>
      <c r="AP355" s="212"/>
      <c r="AQ355" s="212"/>
      <c r="AR355" s="212"/>
      <c r="AS355" s="212"/>
      <c r="AT355" s="212"/>
      <c r="AU355" s="212"/>
      <c r="AV355" s="212"/>
      <c r="AW355" s="212"/>
      <c r="AX355" s="212"/>
      <c r="AY355" s="212"/>
      <c r="AZ355" s="212"/>
      <c r="BA355" s="212"/>
      <c r="BB355" s="212"/>
      <c r="BC355" s="212"/>
      <c r="BD355" s="212"/>
      <c r="BE355" s="212"/>
      <c r="BF355" s="212"/>
      <c r="BG355" s="212"/>
      <c r="BH355" s="212"/>
      <c r="BI355" s="212"/>
      <c r="BJ355" s="212"/>
      <c r="BK355" s="212"/>
      <c r="BL355" s="212"/>
      <c r="BM355" s="212"/>
      <c r="BN355" s="212"/>
      <c r="BO355" s="212"/>
      <c r="BP355" s="212"/>
      <c r="BQ355" s="212"/>
      <c r="BR355" s="212"/>
      <c r="BS355" s="212"/>
      <c r="BT355" s="212"/>
      <c r="BU355" s="212"/>
      <c r="BV355" s="212"/>
      <c r="BW355" s="212"/>
      <c r="BX355" s="212"/>
      <c r="BY355" s="212"/>
      <c r="BZ355" s="212"/>
      <c r="CA355" s="212"/>
      <c r="CB355" s="212"/>
      <c r="CC355" s="212"/>
      <c r="CD355" s="212"/>
      <c r="CE355" s="212"/>
      <c r="CF355" s="212"/>
      <c r="CG355" s="212"/>
      <c r="CH355" s="212"/>
      <c r="CI355" s="212"/>
      <c r="CJ355" s="212"/>
      <c r="CK355" s="212"/>
      <c r="CL355" s="212"/>
    </row>
    <row r="356" spans="10:90" ht="24.75" customHeight="1" x14ac:dyDescent="0.75">
      <c r="J356" s="220"/>
      <c r="K356" s="2"/>
      <c r="N356" s="212"/>
      <c r="O356" s="212"/>
      <c r="P356" s="212"/>
      <c r="Q356" s="212"/>
      <c r="R356" s="212"/>
      <c r="S356" s="212"/>
      <c r="T356" s="212"/>
      <c r="U356" s="212"/>
      <c r="V356" s="212"/>
      <c r="W356" s="212"/>
      <c r="X356" s="212"/>
      <c r="Y356" s="212"/>
      <c r="Z356" s="212"/>
      <c r="AA356" s="212"/>
      <c r="AB356" s="212"/>
      <c r="AC356" s="212"/>
      <c r="AD356" s="212"/>
      <c r="AE356" s="212"/>
      <c r="AF356" s="212"/>
      <c r="AG356" s="212"/>
      <c r="AH356" s="212"/>
      <c r="AI356" s="212"/>
      <c r="AJ356" s="212"/>
      <c r="AK356" s="212"/>
      <c r="AL356" s="212"/>
      <c r="AM356" s="212"/>
      <c r="AN356" s="212"/>
      <c r="AO356" s="212"/>
      <c r="AP356" s="212"/>
      <c r="AQ356" s="212"/>
      <c r="AR356" s="212"/>
      <c r="AS356" s="212"/>
      <c r="AT356" s="212"/>
      <c r="AU356" s="212"/>
      <c r="AV356" s="212"/>
      <c r="AW356" s="212"/>
      <c r="AX356" s="212"/>
      <c r="AY356" s="212"/>
      <c r="AZ356" s="212"/>
      <c r="BA356" s="212"/>
      <c r="BB356" s="212"/>
      <c r="BC356" s="212"/>
      <c r="BD356" s="212"/>
      <c r="BE356" s="212"/>
      <c r="BF356" s="212"/>
      <c r="BG356" s="212"/>
      <c r="BH356" s="212"/>
      <c r="BI356" s="212"/>
      <c r="BJ356" s="212"/>
      <c r="BK356" s="212"/>
      <c r="BL356" s="212"/>
      <c r="BM356" s="212"/>
      <c r="BN356" s="212"/>
      <c r="BO356" s="212"/>
      <c r="BP356" s="212"/>
      <c r="BQ356" s="212"/>
      <c r="BR356" s="212"/>
      <c r="BS356" s="212"/>
      <c r="BT356" s="212"/>
      <c r="BU356" s="212"/>
      <c r="BV356" s="212"/>
      <c r="BW356" s="212"/>
      <c r="BX356" s="212"/>
      <c r="BY356" s="212"/>
      <c r="BZ356" s="212"/>
      <c r="CA356" s="212"/>
      <c r="CB356" s="212"/>
      <c r="CC356" s="212"/>
      <c r="CD356" s="212"/>
      <c r="CE356" s="212"/>
      <c r="CF356" s="212"/>
      <c r="CG356" s="212"/>
      <c r="CH356" s="212"/>
      <c r="CI356" s="212"/>
      <c r="CJ356" s="212"/>
      <c r="CK356" s="212"/>
      <c r="CL356" s="212"/>
    </row>
    <row r="357" spans="10:90" ht="24.75" customHeight="1" x14ac:dyDescent="0.75">
      <c r="J357" s="220"/>
      <c r="K357" s="2"/>
      <c r="N357" s="212"/>
      <c r="O357" s="212"/>
      <c r="P357" s="212"/>
      <c r="Q357" s="212"/>
      <c r="R357" s="212"/>
      <c r="S357" s="212"/>
      <c r="T357" s="212"/>
      <c r="U357" s="212"/>
      <c r="V357" s="212"/>
      <c r="W357" s="212"/>
      <c r="X357" s="212"/>
      <c r="Y357" s="212"/>
      <c r="Z357" s="212"/>
      <c r="AA357" s="212"/>
      <c r="AB357" s="212"/>
      <c r="AC357" s="212"/>
      <c r="AD357" s="212"/>
      <c r="AE357" s="212"/>
      <c r="AF357" s="212"/>
      <c r="AG357" s="212"/>
      <c r="AH357" s="212"/>
      <c r="AI357" s="212"/>
      <c r="AJ357" s="212"/>
      <c r="AK357" s="212"/>
      <c r="AL357" s="212"/>
      <c r="AM357" s="212"/>
      <c r="AN357" s="212"/>
      <c r="AO357" s="212"/>
      <c r="AP357" s="212"/>
      <c r="AQ357" s="212"/>
      <c r="AR357" s="212"/>
      <c r="AS357" s="212"/>
      <c r="AT357" s="212"/>
      <c r="AU357" s="212"/>
      <c r="AV357" s="212"/>
      <c r="AW357" s="212"/>
      <c r="AX357" s="212"/>
      <c r="AY357" s="212"/>
      <c r="AZ357" s="212"/>
      <c r="BA357" s="212"/>
      <c r="BB357" s="212"/>
      <c r="BC357" s="212"/>
      <c r="BD357" s="212"/>
      <c r="BE357" s="212"/>
      <c r="BF357" s="212"/>
      <c r="BG357" s="212"/>
      <c r="BH357" s="212"/>
      <c r="BI357" s="212"/>
      <c r="BJ357" s="212"/>
      <c r="BK357" s="212"/>
      <c r="BL357" s="212"/>
      <c r="BM357" s="212"/>
      <c r="BN357" s="212"/>
      <c r="BO357" s="212"/>
      <c r="BP357" s="212"/>
      <c r="BQ357" s="212"/>
      <c r="BR357" s="212"/>
      <c r="BS357" s="212"/>
      <c r="BT357" s="212"/>
      <c r="BU357" s="212"/>
      <c r="BV357" s="212"/>
      <c r="BW357" s="212"/>
      <c r="BX357" s="212"/>
      <c r="BY357" s="212"/>
      <c r="BZ357" s="212"/>
      <c r="CA357" s="212"/>
      <c r="CB357" s="212"/>
      <c r="CC357" s="212"/>
      <c r="CD357" s="212"/>
      <c r="CE357" s="212"/>
      <c r="CF357" s="212"/>
      <c r="CG357" s="212"/>
      <c r="CH357" s="212"/>
      <c r="CI357" s="212"/>
      <c r="CJ357" s="212"/>
      <c r="CK357" s="212"/>
      <c r="CL357" s="212"/>
    </row>
    <row r="358" spans="10:90" ht="24.75" customHeight="1" x14ac:dyDescent="0.75">
      <c r="J358" s="220"/>
      <c r="K358" s="2"/>
      <c r="N358" s="212"/>
      <c r="O358" s="212"/>
      <c r="P358" s="212"/>
      <c r="Q358" s="212"/>
      <c r="R358" s="212"/>
      <c r="S358" s="212"/>
      <c r="T358" s="212"/>
      <c r="U358" s="212"/>
      <c r="V358" s="212"/>
      <c r="W358" s="212"/>
      <c r="X358" s="212"/>
      <c r="Y358" s="212"/>
      <c r="Z358" s="212"/>
      <c r="AA358" s="212"/>
      <c r="AB358" s="212"/>
      <c r="AC358" s="212"/>
      <c r="AD358" s="212"/>
      <c r="AE358" s="212"/>
      <c r="AF358" s="212"/>
      <c r="AG358" s="212"/>
      <c r="AH358" s="212"/>
      <c r="AI358" s="212"/>
      <c r="AJ358" s="212"/>
      <c r="AK358" s="212"/>
      <c r="AL358" s="212"/>
      <c r="AM358" s="212"/>
      <c r="AN358" s="212"/>
      <c r="AO358" s="212"/>
      <c r="AP358" s="212"/>
      <c r="AQ358" s="212"/>
      <c r="AR358" s="212"/>
      <c r="AS358" s="212"/>
      <c r="AT358" s="212"/>
      <c r="AU358" s="212"/>
      <c r="AV358" s="212"/>
      <c r="AW358" s="212"/>
      <c r="AX358" s="212"/>
      <c r="AY358" s="212"/>
      <c r="AZ358" s="212"/>
      <c r="BA358" s="212"/>
      <c r="BB358" s="212"/>
      <c r="BC358" s="212"/>
      <c r="BD358" s="212"/>
      <c r="BE358" s="212"/>
      <c r="BF358" s="212"/>
      <c r="BG358" s="212"/>
      <c r="BH358" s="212"/>
      <c r="BI358" s="212"/>
      <c r="BJ358" s="212"/>
      <c r="BK358" s="212"/>
      <c r="BL358" s="212"/>
      <c r="BM358" s="212"/>
      <c r="BN358" s="212"/>
      <c r="BO358" s="212"/>
      <c r="BP358" s="212"/>
      <c r="BQ358" s="212"/>
      <c r="BR358" s="212"/>
      <c r="BS358" s="212"/>
      <c r="BT358" s="212"/>
      <c r="BU358" s="212"/>
      <c r="BV358" s="212"/>
      <c r="BW358" s="212"/>
      <c r="BX358" s="212"/>
      <c r="BY358" s="212"/>
      <c r="BZ358" s="212"/>
      <c r="CA358" s="212"/>
      <c r="CB358" s="212"/>
      <c r="CC358" s="212"/>
      <c r="CD358" s="212"/>
      <c r="CE358" s="212"/>
      <c r="CF358" s="212"/>
      <c r="CG358" s="212"/>
      <c r="CH358" s="212"/>
      <c r="CI358" s="212"/>
      <c r="CJ358" s="212"/>
      <c r="CK358" s="212"/>
      <c r="CL358" s="212"/>
    </row>
    <row r="359" spans="10:90" ht="24.75" customHeight="1" x14ac:dyDescent="0.75">
      <c r="J359" s="220"/>
      <c r="K359" s="2"/>
      <c r="N359" s="212"/>
      <c r="O359" s="212"/>
      <c r="P359" s="212"/>
      <c r="Q359" s="212"/>
      <c r="R359" s="212"/>
      <c r="S359" s="212"/>
      <c r="T359" s="212"/>
      <c r="U359" s="212"/>
      <c r="V359" s="212"/>
      <c r="W359" s="212"/>
      <c r="X359" s="212"/>
      <c r="Y359" s="212"/>
      <c r="Z359" s="212"/>
      <c r="AA359" s="212"/>
      <c r="AB359" s="212"/>
      <c r="AC359" s="212"/>
      <c r="AD359" s="212"/>
      <c r="AE359" s="212"/>
      <c r="AF359" s="212"/>
      <c r="AG359" s="212"/>
      <c r="AH359" s="212"/>
      <c r="AI359" s="212"/>
      <c r="AJ359" s="212"/>
      <c r="AK359" s="212"/>
      <c r="AL359" s="212"/>
      <c r="AM359" s="212"/>
      <c r="AN359" s="212"/>
      <c r="AO359" s="212"/>
      <c r="AP359" s="212"/>
      <c r="AQ359" s="212"/>
      <c r="AR359" s="212"/>
      <c r="AS359" s="212"/>
      <c r="AT359" s="212"/>
      <c r="AU359" s="212"/>
      <c r="AV359" s="212"/>
      <c r="AW359" s="212"/>
      <c r="AX359" s="212"/>
      <c r="AY359" s="212"/>
      <c r="AZ359" s="212"/>
      <c r="BA359" s="212"/>
      <c r="BB359" s="212"/>
      <c r="BC359" s="212"/>
      <c r="BD359" s="212"/>
      <c r="BE359" s="212"/>
      <c r="BF359" s="212"/>
      <c r="BG359" s="212"/>
      <c r="BH359" s="212"/>
      <c r="BI359" s="212"/>
      <c r="BJ359" s="212"/>
      <c r="BK359" s="212"/>
      <c r="BL359" s="212"/>
      <c r="BM359" s="212"/>
      <c r="BN359" s="212"/>
      <c r="BO359" s="212"/>
      <c r="BP359" s="212"/>
      <c r="BQ359" s="212"/>
      <c r="BR359" s="212"/>
      <c r="BS359" s="212"/>
      <c r="BT359" s="212"/>
      <c r="BU359" s="212"/>
      <c r="BV359" s="212"/>
      <c r="BW359" s="212"/>
      <c r="BX359" s="212"/>
      <c r="BY359" s="212"/>
      <c r="BZ359" s="212"/>
      <c r="CA359" s="212"/>
      <c r="CB359" s="212"/>
      <c r="CC359" s="212"/>
      <c r="CD359" s="212"/>
      <c r="CE359" s="212"/>
      <c r="CF359" s="212"/>
      <c r="CG359" s="212"/>
      <c r="CH359" s="212"/>
      <c r="CI359" s="212"/>
      <c r="CJ359" s="212"/>
      <c r="CK359" s="212"/>
      <c r="CL359" s="212"/>
    </row>
    <row r="360" spans="10:90" ht="24.75" customHeight="1" x14ac:dyDescent="0.75">
      <c r="J360" s="220"/>
      <c r="K360" s="2"/>
      <c r="N360" s="212"/>
      <c r="O360" s="212"/>
      <c r="P360" s="212"/>
      <c r="Q360" s="212"/>
      <c r="R360" s="212"/>
      <c r="S360" s="212"/>
      <c r="T360" s="212"/>
      <c r="U360" s="212"/>
      <c r="V360" s="212"/>
      <c r="W360" s="212"/>
      <c r="X360" s="212"/>
      <c r="Y360" s="212"/>
      <c r="Z360" s="212"/>
      <c r="AA360" s="212"/>
      <c r="AB360" s="212"/>
      <c r="AC360" s="212"/>
      <c r="AD360" s="212"/>
      <c r="AE360" s="212"/>
      <c r="AF360" s="212"/>
      <c r="AG360" s="212"/>
      <c r="AH360" s="212"/>
      <c r="AI360" s="212"/>
      <c r="AJ360" s="212"/>
      <c r="AK360" s="212"/>
      <c r="AL360" s="212"/>
      <c r="AM360" s="212"/>
      <c r="AN360" s="212"/>
      <c r="AO360" s="212"/>
      <c r="AP360" s="212"/>
      <c r="AQ360" s="212"/>
      <c r="AR360" s="212"/>
      <c r="AS360" s="212"/>
      <c r="AT360" s="212"/>
      <c r="AU360" s="212"/>
      <c r="AV360" s="212"/>
      <c r="AW360" s="212"/>
      <c r="AX360" s="212"/>
      <c r="AY360" s="212"/>
      <c r="AZ360" s="212"/>
      <c r="BA360" s="212"/>
      <c r="BB360" s="212"/>
      <c r="BC360" s="212"/>
      <c r="BD360" s="212"/>
      <c r="BE360" s="212"/>
      <c r="BF360" s="212"/>
      <c r="BG360" s="212"/>
      <c r="BH360" s="212"/>
      <c r="BI360" s="212"/>
      <c r="BJ360" s="212"/>
      <c r="BK360" s="212"/>
      <c r="BL360" s="212"/>
      <c r="BM360" s="212"/>
      <c r="BN360" s="212"/>
      <c r="BO360" s="212"/>
      <c r="BP360" s="212"/>
      <c r="BQ360" s="212"/>
      <c r="BR360" s="212"/>
      <c r="BS360" s="212"/>
      <c r="BT360" s="212"/>
      <c r="BU360" s="212"/>
      <c r="BV360" s="212"/>
      <c r="BW360" s="212"/>
      <c r="BX360" s="212"/>
      <c r="BY360" s="212"/>
      <c r="BZ360" s="212"/>
      <c r="CA360" s="212"/>
      <c r="CB360" s="212"/>
      <c r="CC360" s="212"/>
      <c r="CD360" s="212"/>
      <c r="CE360" s="212"/>
      <c r="CF360" s="212"/>
      <c r="CG360" s="212"/>
      <c r="CH360" s="212"/>
      <c r="CI360" s="212"/>
      <c r="CJ360" s="212"/>
      <c r="CK360" s="212"/>
      <c r="CL360" s="212"/>
    </row>
    <row r="361" spans="10:90" ht="24.75" customHeight="1" x14ac:dyDescent="0.75">
      <c r="J361" s="220"/>
      <c r="K361" s="2"/>
      <c r="N361" s="212"/>
      <c r="O361" s="212"/>
      <c r="P361" s="212"/>
      <c r="Q361" s="212"/>
      <c r="R361" s="212"/>
      <c r="S361" s="212"/>
      <c r="T361" s="212"/>
      <c r="U361" s="212"/>
      <c r="V361" s="212"/>
      <c r="W361" s="212"/>
      <c r="X361" s="212"/>
      <c r="Y361" s="212"/>
      <c r="Z361" s="212"/>
      <c r="AA361" s="212"/>
      <c r="AB361" s="212"/>
      <c r="AC361" s="212"/>
      <c r="AD361" s="212"/>
      <c r="AE361" s="212"/>
      <c r="AF361" s="212"/>
      <c r="AG361" s="212"/>
      <c r="AH361" s="212"/>
      <c r="AI361" s="212"/>
      <c r="AJ361" s="212"/>
      <c r="AK361" s="212"/>
      <c r="AL361" s="212"/>
      <c r="AM361" s="212"/>
      <c r="AN361" s="212"/>
      <c r="AO361" s="212"/>
      <c r="AP361" s="212"/>
      <c r="AQ361" s="212"/>
      <c r="AR361" s="212"/>
      <c r="AS361" s="212"/>
      <c r="AT361" s="212"/>
      <c r="AU361" s="212"/>
      <c r="AV361" s="212"/>
      <c r="AW361" s="212"/>
      <c r="AX361" s="212"/>
      <c r="AY361" s="212"/>
      <c r="AZ361" s="212"/>
      <c r="BA361" s="212"/>
      <c r="BB361" s="212"/>
      <c r="BC361" s="212"/>
      <c r="BD361" s="212"/>
      <c r="BE361" s="212"/>
      <c r="BF361" s="212"/>
      <c r="BG361" s="212"/>
      <c r="BH361" s="212"/>
      <c r="BI361" s="212"/>
      <c r="BJ361" s="212"/>
      <c r="BK361" s="212"/>
      <c r="BL361" s="212"/>
      <c r="BM361" s="212"/>
      <c r="BN361" s="212"/>
      <c r="BO361" s="212"/>
      <c r="BP361" s="212"/>
      <c r="BQ361" s="212"/>
      <c r="BR361" s="212"/>
      <c r="BS361" s="212"/>
      <c r="BT361" s="212"/>
      <c r="BU361" s="212"/>
      <c r="BV361" s="212"/>
      <c r="BW361" s="212"/>
      <c r="BX361" s="212"/>
      <c r="BY361" s="212"/>
      <c r="BZ361" s="212"/>
      <c r="CA361" s="212"/>
      <c r="CB361" s="212"/>
      <c r="CC361" s="212"/>
      <c r="CD361" s="212"/>
      <c r="CE361" s="212"/>
      <c r="CF361" s="212"/>
      <c r="CG361" s="212"/>
      <c r="CH361" s="212"/>
      <c r="CI361" s="212"/>
      <c r="CJ361" s="212"/>
      <c r="CK361" s="212"/>
      <c r="CL361" s="212"/>
    </row>
    <row r="362" spans="10:90" ht="24.75" customHeight="1" x14ac:dyDescent="0.75">
      <c r="J362" s="220"/>
      <c r="K362" s="2"/>
      <c r="N362" s="212"/>
      <c r="O362" s="212"/>
      <c r="P362" s="212"/>
      <c r="Q362" s="212"/>
      <c r="R362" s="212"/>
      <c r="S362" s="212"/>
      <c r="T362" s="212"/>
      <c r="U362" s="212"/>
      <c r="V362" s="212"/>
      <c r="W362" s="212"/>
      <c r="X362" s="212"/>
      <c r="Y362" s="212"/>
      <c r="Z362" s="212"/>
      <c r="AA362" s="212"/>
      <c r="AB362" s="212"/>
      <c r="AC362" s="212"/>
      <c r="AD362" s="212"/>
      <c r="AE362" s="212"/>
      <c r="AF362" s="212"/>
      <c r="AG362" s="212"/>
      <c r="AH362" s="212"/>
      <c r="AI362" s="212"/>
      <c r="AJ362" s="212"/>
      <c r="AK362" s="212"/>
      <c r="AL362" s="212"/>
      <c r="AM362" s="212"/>
      <c r="AN362" s="212"/>
      <c r="AO362" s="212"/>
      <c r="AP362" s="212"/>
      <c r="AQ362" s="212"/>
      <c r="AR362" s="212"/>
      <c r="AS362" s="212"/>
      <c r="AT362" s="212"/>
      <c r="AU362" s="212"/>
      <c r="AV362" s="212"/>
      <c r="AW362" s="212"/>
      <c r="AX362" s="212"/>
      <c r="AY362" s="212"/>
      <c r="AZ362" s="212"/>
      <c r="BA362" s="212"/>
      <c r="BB362" s="212"/>
      <c r="BC362" s="212"/>
      <c r="BD362" s="212"/>
      <c r="BE362" s="212"/>
      <c r="BF362" s="212"/>
      <c r="BG362" s="212"/>
      <c r="BH362" s="212"/>
      <c r="BI362" s="212"/>
      <c r="BJ362" s="212"/>
      <c r="BK362" s="212"/>
      <c r="BL362" s="212"/>
      <c r="BM362" s="212"/>
      <c r="BN362" s="212"/>
      <c r="BO362" s="212"/>
      <c r="BP362" s="212"/>
      <c r="BQ362" s="212"/>
      <c r="BR362" s="212"/>
      <c r="BS362" s="212"/>
      <c r="BT362" s="212"/>
      <c r="BU362" s="212"/>
      <c r="BV362" s="212"/>
      <c r="BW362" s="212"/>
      <c r="BX362" s="212"/>
      <c r="BY362" s="212"/>
      <c r="BZ362" s="212"/>
      <c r="CA362" s="212"/>
      <c r="CB362" s="212"/>
      <c r="CC362" s="212"/>
      <c r="CD362" s="212"/>
      <c r="CE362" s="212"/>
      <c r="CF362" s="212"/>
      <c r="CG362" s="212"/>
      <c r="CH362" s="212"/>
      <c r="CI362" s="212"/>
      <c r="CJ362" s="212"/>
      <c r="CK362" s="212"/>
      <c r="CL362" s="212"/>
    </row>
    <row r="363" spans="10:90" ht="24.75" customHeight="1" x14ac:dyDescent="0.75">
      <c r="J363" s="220"/>
      <c r="K363" s="2"/>
      <c r="N363" s="212"/>
      <c r="O363" s="212"/>
      <c r="P363" s="212"/>
      <c r="Q363" s="212"/>
      <c r="R363" s="212"/>
      <c r="S363" s="212"/>
      <c r="T363" s="212"/>
      <c r="U363" s="212"/>
      <c r="V363" s="212"/>
      <c r="W363" s="212"/>
      <c r="X363" s="212"/>
      <c r="Y363" s="212"/>
      <c r="Z363" s="212"/>
      <c r="AA363" s="212"/>
      <c r="AB363" s="212"/>
      <c r="AC363" s="212"/>
      <c r="AD363" s="212"/>
      <c r="AE363" s="212"/>
      <c r="AF363" s="212"/>
      <c r="AG363" s="212"/>
      <c r="AH363" s="212"/>
      <c r="AI363" s="212"/>
      <c r="AJ363" s="212"/>
      <c r="AK363" s="212"/>
      <c r="AL363" s="212"/>
      <c r="AM363" s="212"/>
      <c r="AN363" s="212"/>
      <c r="AO363" s="212"/>
      <c r="AP363" s="212"/>
      <c r="AQ363" s="212"/>
      <c r="AR363" s="212"/>
      <c r="AS363" s="212"/>
      <c r="AT363" s="212"/>
      <c r="AU363" s="212"/>
      <c r="AV363" s="212"/>
      <c r="AW363" s="212"/>
      <c r="AX363" s="212"/>
      <c r="AY363" s="212"/>
      <c r="AZ363" s="212"/>
      <c r="BA363" s="212"/>
      <c r="BB363" s="212"/>
      <c r="BC363" s="212"/>
      <c r="BD363" s="212"/>
      <c r="BE363" s="212"/>
      <c r="BF363" s="212"/>
      <c r="BG363" s="212"/>
      <c r="BH363" s="212"/>
      <c r="BI363" s="212"/>
      <c r="BJ363" s="212"/>
      <c r="BK363" s="212"/>
      <c r="BL363" s="212"/>
      <c r="BM363" s="212"/>
      <c r="BN363" s="212"/>
      <c r="BO363" s="212"/>
      <c r="BP363" s="212"/>
      <c r="BQ363" s="212"/>
      <c r="BR363" s="212"/>
      <c r="BS363" s="212"/>
      <c r="BT363" s="212"/>
      <c r="BU363" s="212"/>
      <c r="BV363" s="212"/>
      <c r="BW363" s="212"/>
      <c r="BX363" s="212"/>
      <c r="BY363" s="212"/>
      <c r="BZ363" s="212"/>
      <c r="CA363" s="212"/>
      <c r="CB363" s="212"/>
      <c r="CC363" s="212"/>
      <c r="CD363" s="212"/>
      <c r="CE363" s="212"/>
      <c r="CF363" s="212"/>
      <c r="CG363" s="212"/>
      <c r="CH363" s="212"/>
      <c r="CI363" s="212"/>
      <c r="CJ363" s="212"/>
      <c r="CK363" s="212"/>
      <c r="CL363" s="212"/>
    </row>
    <row r="364" spans="10:90" ht="24.75" customHeight="1" x14ac:dyDescent="0.75">
      <c r="J364" s="220"/>
      <c r="K364" s="2"/>
      <c r="N364" s="212"/>
      <c r="O364" s="212"/>
      <c r="P364" s="212"/>
      <c r="Q364" s="212"/>
      <c r="R364" s="212"/>
      <c r="S364" s="212"/>
      <c r="T364" s="212"/>
      <c r="U364" s="212"/>
      <c r="V364" s="212"/>
      <c r="W364" s="212"/>
      <c r="X364" s="212"/>
      <c r="Y364" s="212"/>
      <c r="Z364" s="212"/>
      <c r="AA364" s="212"/>
      <c r="AB364" s="212"/>
      <c r="AC364" s="212"/>
      <c r="AD364" s="212"/>
      <c r="AE364" s="212"/>
      <c r="AF364" s="212"/>
      <c r="AG364" s="212"/>
      <c r="AH364" s="212"/>
      <c r="AI364" s="212"/>
      <c r="AJ364" s="212"/>
      <c r="AK364" s="212"/>
      <c r="AL364" s="212"/>
      <c r="AM364" s="212"/>
      <c r="AN364" s="212"/>
      <c r="AO364" s="212"/>
      <c r="AP364" s="212"/>
      <c r="AQ364" s="212"/>
      <c r="AR364" s="212"/>
      <c r="AS364" s="212"/>
      <c r="AT364" s="212"/>
      <c r="AU364" s="212"/>
      <c r="AV364" s="212"/>
      <c r="AW364" s="212"/>
      <c r="AX364" s="212"/>
      <c r="AY364" s="212"/>
      <c r="AZ364" s="212"/>
      <c r="BA364" s="212"/>
      <c r="BB364" s="212"/>
      <c r="BC364" s="212"/>
      <c r="BD364" s="212"/>
      <c r="BE364" s="212"/>
      <c r="BF364" s="212"/>
      <c r="BG364" s="212"/>
      <c r="BH364" s="212"/>
      <c r="BI364" s="212"/>
      <c r="BJ364" s="212"/>
      <c r="BK364" s="212"/>
      <c r="BL364" s="212"/>
      <c r="BM364" s="212"/>
      <c r="BN364" s="212"/>
      <c r="BO364" s="212"/>
      <c r="BP364" s="212"/>
      <c r="BQ364" s="212"/>
      <c r="BR364" s="212"/>
      <c r="BS364" s="212"/>
      <c r="BT364" s="212"/>
      <c r="BU364" s="212"/>
      <c r="BV364" s="212"/>
      <c r="BW364" s="212"/>
      <c r="BX364" s="212"/>
      <c r="BY364" s="212"/>
      <c r="BZ364" s="212"/>
      <c r="CA364" s="212"/>
      <c r="CB364" s="212"/>
      <c r="CC364" s="212"/>
      <c r="CD364" s="212"/>
      <c r="CE364" s="212"/>
      <c r="CF364" s="212"/>
      <c r="CG364" s="212"/>
      <c r="CH364" s="212"/>
      <c r="CI364" s="212"/>
      <c r="CJ364" s="212"/>
      <c r="CK364" s="212"/>
      <c r="CL364" s="212"/>
    </row>
    <row r="365" spans="10:90" ht="24.75" customHeight="1" x14ac:dyDescent="0.75">
      <c r="J365" s="220"/>
      <c r="K365" s="2"/>
      <c r="N365" s="212"/>
      <c r="O365" s="212"/>
      <c r="P365" s="212"/>
      <c r="Q365" s="212"/>
      <c r="R365" s="212"/>
      <c r="S365" s="212"/>
      <c r="T365" s="212"/>
      <c r="U365" s="212"/>
      <c r="V365" s="212"/>
      <c r="W365" s="212"/>
      <c r="X365" s="212"/>
      <c r="Y365" s="212"/>
      <c r="Z365" s="212"/>
      <c r="AA365" s="212"/>
      <c r="AB365" s="212"/>
      <c r="AC365" s="212"/>
      <c r="AD365" s="212"/>
      <c r="AE365" s="212"/>
      <c r="AF365" s="212"/>
      <c r="AG365" s="212"/>
      <c r="AH365" s="212"/>
      <c r="AI365" s="212"/>
      <c r="AJ365" s="212"/>
      <c r="AK365" s="212"/>
      <c r="AL365" s="212"/>
      <c r="AM365" s="212"/>
      <c r="AN365" s="212"/>
      <c r="AO365" s="212"/>
      <c r="AP365" s="212"/>
      <c r="AQ365" s="212"/>
      <c r="AR365" s="212"/>
      <c r="AS365" s="212"/>
      <c r="AT365" s="212"/>
      <c r="AU365" s="212"/>
      <c r="AV365" s="212"/>
      <c r="AW365" s="212"/>
      <c r="AX365" s="212"/>
      <c r="AY365" s="212"/>
      <c r="AZ365" s="212"/>
      <c r="BA365" s="212"/>
      <c r="BB365" s="212"/>
      <c r="BC365" s="212"/>
      <c r="BD365" s="212"/>
      <c r="BE365" s="212"/>
      <c r="BF365" s="212"/>
      <c r="BG365" s="212"/>
      <c r="BH365" s="212"/>
      <c r="BI365" s="212"/>
      <c r="BJ365" s="212"/>
      <c r="BK365" s="212"/>
      <c r="BL365" s="212"/>
      <c r="BM365" s="212"/>
      <c r="BN365" s="212"/>
      <c r="BO365" s="212"/>
      <c r="BP365" s="212"/>
      <c r="BQ365" s="212"/>
      <c r="BR365" s="212"/>
      <c r="BS365" s="212"/>
      <c r="BT365" s="212"/>
      <c r="BU365" s="212"/>
      <c r="BV365" s="212"/>
      <c r="BW365" s="212"/>
      <c r="BX365" s="212"/>
      <c r="BY365" s="212"/>
      <c r="BZ365" s="212"/>
      <c r="CA365" s="212"/>
      <c r="CB365" s="212"/>
      <c r="CC365" s="212"/>
      <c r="CD365" s="212"/>
      <c r="CE365" s="212"/>
      <c r="CF365" s="212"/>
      <c r="CG365" s="212"/>
      <c r="CH365" s="212"/>
      <c r="CI365" s="212"/>
      <c r="CJ365" s="212"/>
      <c r="CK365" s="212"/>
      <c r="CL365" s="212"/>
    </row>
    <row r="366" spans="10:90" ht="24.75" customHeight="1" x14ac:dyDescent="0.75">
      <c r="J366" s="220"/>
      <c r="K366" s="2"/>
      <c r="N366" s="212"/>
      <c r="O366" s="212"/>
      <c r="P366" s="212"/>
      <c r="Q366" s="212"/>
      <c r="R366" s="212"/>
      <c r="S366" s="212"/>
      <c r="T366" s="212"/>
      <c r="U366" s="212"/>
      <c r="V366" s="212"/>
      <c r="W366" s="212"/>
      <c r="X366" s="212"/>
      <c r="Y366" s="212"/>
      <c r="Z366" s="212"/>
      <c r="AA366" s="212"/>
      <c r="AB366" s="212"/>
      <c r="AC366" s="212"/>
      <c r="AD366" s="212"/>
      <c r="AE366" s="212"/>
      <c r="AF366" s="212"/>
      <c r="AG366" s="212"/>
      <c r="AH366" s="212"/>
      <c r="AI366" s="212"/>
      <c r="AJ366" s="212"/>
      <c r="AK366" s="212"/>
      <c r="AL366" s="212"/>
      <c r="AM366" s="212"/>
      <c r="AN366" s="212"/>
      <c r="AO366" s="212"/>
      <c r="AP366" s="212"/>
      <c r="AQ366" s="212"/>
      <c r="AR366" s="212"/>
      <c r="AS366" s="212"/>
      <c r="AT366" s="212"/>
      <c r="AU366" s="212"/>
      <c r="AV366" s="212"/>
      <c r="AW366" s="212"/>
      <c r="AX366" s="212"/>
      <c r="AY366" s="212"/>
      <c r="AZ366" s="212"/>
      <c r="BA366" s="212"/>
      <c r="BB366" s="212"/>
      <c r="BC366" s="212"/>
      <c r="BD366" s="212"/>
      <c r="BE366" s="212"/>
      <c r="BF366" s="212"/>
      <c r="BG366" s="212"/>
      <c r="BH366" s="212"/>
      <c r="BI366" s="212"/>
      <c r="BJ366" s="212"/>
      <c r="BK366" s="212"/>
      <c r="BL366" s="212"/>
      <c r="BM366" s="212"/>
      <c r="BN366" s="212"/>
      <c r="BO366" s="212"/>
      <c r="BP366" s="212"/>
      <c r="BQ366" s="212"/>
      <c r="BR366" s="212"/>
      <c r="BS366" s="212"/>
      <c r="BT366" s="212"/>
      <c r="BU366" s="212"/>
      <c r="BV366" s="212"/>
      <c r="BW366" s="212"/>
      <c r="BX366" s="212"/>
      <c r="BY366" s="212"/>
      <c r="BZ366" s="212"/>
      <c r="CA366" s="212"/>
      <c r="CB366" s="212"/>
      <c r="CC366" s="212"/>
      <c r="CD366" s="212"/>
      <c r="CE366" s="212"/>
      <c r="CF366" s="212"/>
      <c r="CG366" s="212"/>
      <c r="CH366" s="212"/>
      <c r="CI366" s="212"/>
      <c r="CJ366" s="212"/>
      <c r="CK366" s="212"/>
      <c r="CL366" s="212"/>
    </row>
    <row r="367" spans="10:90" ht="24.75" customHeight="1" x14ac:dyDescent="0.75">
      <c r="J367" s="220"/>
      <c r="K367" s="2"/>
      <c r="N367" s="212"/>
      <c r="O367" s="212"/>
      <c r="P367" s="212"/>
      <c r="Q367" s="212"/>
      <c r="R367" s="212"/>
      <c r="S367" s="212"/>
      <c r="T367" s="212"/>
      <c r="U367" s="212"/>
      <c r="V367" s="212"/>
      <c r="W367" s="212"/>
      <c r="X367" s="212"/>
      <c r="Y367" s="212"/>
      <c r="Z367" s="212"/>
      <c r="AA367" s="212"/>
      <c r="AB367" s="212"/>
      <c r="AC367" s="212"/>
      <c r="AD367" s="212"/>
      <c r="AE367" s="212"/>
      <c r="AF367" s="212"/>
      <c r="AG367" s="212"/>
      <c r="AH367" s="212"/>
      <c r="AI367" s="212"/>
      <c r="AJ367" s="212"/>
      <c r="AK367" s="212"/>
      <c r="AL367" s="212"/>
      <c r="AM367" s="212"/>
      <c r="AN367" s="212"/>
      <c r="AO367" s="212"/>
      <c r="AP367" s="212"/>
      <c r="AQ367" s="212"/>
      <c r="AR367" s="212"/>
      <c r="AS367" s="212"/>
      <c r="AT367" s="212"/>
      <c r="AU367" s="212"/>
      <c r="AV367" s="212"/>
      <c r="AW367" s="212"/>
      <c r="AX367" s="212"/>
      <c r="AY367" s="212"/>
      <c r="AZ367" s="212"/>
      <c r="BA367" s="212"/>
      <c r="BB367" s="212"/>
      <c r="BC367" s="212"/>
      <c r="BD367" s="212"/>
      <c r="BE367" s="212"/>
      <c r="BF367" s="212"/>
      <c r="BG367" s="212"/>
      <c r="BH367" s="212"/>
      <c r="BI367" s="212"/>
      <c r="BJ367" s="212"/>
      <c r="BK367" s="212"/>
      <c r="BL367" s="212"/>
      <c r="BM367" s="212"/>
      <c r="BN367" s="212"/>
      <c r="BO367" s="212"/>
      <c r="BP367" s="212"/>
      <c r="BQ367" s="212"/>
      <c r="BR367" s="212"/>
      <c r="BS367" s="212"/>
      <c r="BT367" s="212"/>
      <c r="BU367" s="212"/>
      <c r="BV367" s="212"/>
      <c r="BW367" s="212"/>
      <c r="BX367" s="212"/>
      <c r="BY367" s="212"/>
      <c r="BZ367" s="212"/>
      <c r="CA367" s="212"/>
      <c r="CB367" s="212"/>
      <c r="CC367" s="212"/>
      <c r="CD367" s="212"/>
      <c r="CE367" s="212"/>
      <c r="CF367" s="212"/>
      <c r="CG367" s="212"/>
      <c r="CH367" s="212"/>
      <c r="CI367" s="212"/>
      <c r="CJ367" s="212"/>
      <c r="CK367" s="212"/>
      <c r="CL367" s="212"/>
    </row>
    <row r="368" spans="10:90" ht="24.75" customHeight="1" x14ac:dyDescent="0.75">
      <c r="J368" s="220"/>
      <c r="K368" s="2"/>
      <c r="N368" s="212"/>
      <c r="O368" s="212"/>
      <c r="P368" s="212"/>
      <c r="Q368" s="212"/>
      <c r="R368" s="212"/>
      <c r="S368" s="212"/>
      <c r="T368" s="212"/>
      <c r="U368" s="212"/>
      <c r="V368" s="212"/>
      <c r="W368" s="212"/>
      <c r="X368" s="212"/>
      <c r="Y368" s="212"/>
      <c r="Z368" s="212"/>
      <c r="AA368" s="212"/>
      <c r="AB368" s="212"/>
      <c r="AC368" s="212"/>
      <c r="AD368" s="212"/>
      <c r="AE368" s="212"/>
      <c r="AF368" s="212"/>
      <c r="AG368" s="212"/>
      <c r="AH368" s="212"/>
      <c r="AI368" s="212"/>
      <c r="AJ368" s="212"/>
      <c r="AK368" s="212"/>
      <c r="AL368" s="212"/>
      <c r="AM368" s="212"/>
      <c r="AN368" s="212"/>
      <c r="AO368" s="212"/>
      <c r="AP368" s="212"/>
      <c r="AQ368" s="212"/>
      <c r="AR368" s="212"/>
      <c r="AS368" s="212"/>
      <c r="AT368" s="212"/>
      <c r="AU368" s="212"/>
      <c r="AV368" s="212"/>
      <c r="AW368" s="212"/>
      <c r="AX368" s="212"/>
      <c r="AY368" s="212"/>
      <c r="AZ368" s="212"/>
      <c r="BA368" s="212"/>
      <c r="BB368" s="212"/>
      <c r="BC368" s="212"/>
      <c r="BD368" s="212"/>
      <c r="BE368" s="212"/>
      <c r="BF368" s="212"/>
      <c r="BG368" s="212"/>
      <c r="BH368" s="212"/>
      <c r="BI368" s="212"/>
      <c r="BJ368" s="212"/>
      <c r="BK368" s="212"/>
      <c r="BL368" s="212"/>
      <c r="BM368" s="212"/>
      <c r="BN368" s="212"/>
      <c r="BO368" s="212"/>
      <c r="BP368" s="212"/>
      <c r="BQ368" s="212"/>
      <c r="BR368" s="212"/>
      <c r="BS368" s="212"/>
      <c r="BT368" s="212"/>
      <c r="BU368" s="212"/>
      <c r="BV368" s="212"/>
      <c r="BW368" s="212"/>
      <c r="BX368" s="212"/>
      <c r="BY368" s="212"/>
      <c r="BZ368" s="212"/>
      <c r="CA368" s="212"/>
      <c r="CB368" s="212"/>
      <c r="CC368" s="212"/>
      <c r="CD368" s="212"/>
      <c r="CE368" s="212"/>
      <c r="CF368" s="212"/>
      <c r="CG368" s="212"/>
      <c r="CH368" s="212"/>
      <c r="CI368" s="212"/>
      <c r="CJ368" s="212"/>
      <c r="CK368" s="212"/>
      <c r="CL368" s="212"/>
    </row>
    <row r="369" spans="10:90" ht="24.75" customHeight="1" x14ac:dyDescent="0.75">
      <c r="J369" s="220"/>
      <c r="K369" s="2"/>
      <c r="N369" s="212"/>
      <c r="O369" s="212"/>
      <c r="P369" s="212"/>
      <c r="Q369" s="212"/>
      <c r="R369" s="212"/>
      <c r="S369" s="212"/>
      <c r="T369" s="212"/>
      <c r="U369" s="212"/>
      <c r="V369" s="212"/>
      <c r="W369" s="212"/>
      <c r="X369" s="212"/>
      <c r="Y369" s="212"/>
      <c r="Z369" s="212"/>
      <c r="AA369" s="212"/>
      <c r="AB369" s="212"/>
      <c r="AC369" s="212"/>
      <c r="AD369" s="212"/>
      <c r="AE369" s="212"/>
      <c r="AF369" s="212"/>
      <c r="AG369" s="212"/>
      <c r="AH369" s="212"/>
      <c r="AI369" s="212"/>
      <c r="AJ369" s="212"/>
      <c r="AK369" s="212"/>
      <c r="AL369" s="212"/>
      <c r="AM369" s="212"/>
      <c r="AN369" s="212"/>
      <c r="AO369" s="212"/>
      <c r="AP369" s="212"/>
      <c r="AQ369" s="212"/>
      <c r="AR369" s="212"/>
      <c r="AS369" s="212"/>
      <c r="AT369" s="212"/>
      <c r="AU369" s="212"/>
      <c r="AV369" s="212"/>
      <c r="AW369" s="212"/>
      <c r="AX369" s="212"/>
      <c r="AY369" s="212"/>
      <c r="AZ369" s="212"/>
      <c r="BA369" s="212"/>
      <c r="BB369" s="212"/>
      <c r="BC369" s="212"/>
      <c r="BD369" s="212"/>
      <c r="BE369" s="212"/>
      <c r="BF369" s="212"/>
      <c r="BG369" s="212"/>
      <c r="BH369" s="212"/>
      <c r="BI369" s="212"/>
      <c r="BJ369" s="212"/>
      <c r="BK369" s="212"/>
      <c r="BL369" s="212"/>
      <c r="BM369" s="212"/>
      <c r="BN369" s="212"/>
      <c r="BO369" s="212"/>
      <c r="BP369" s="212"/>
      <c r="BQ369" s="212"/>
      <c r="BR369" s="212"/>
      <c r="BS369" s="212"/>
      <c r="BT369" s="212"/>
      <c r="BU369" s="212"/>
      <c r="BV369" s="212"/>
      <c r="BW369" s="212"/>
      <c r="BX369" s="212"/>
      <c r="BY369" s="212"/>
      <c r="BZ369" s="212"/>
      <c r="CA369" s="212"/>
      <c r="CB369" s="212"/>
      <c r="CC369" s="212"/>
      <c r="CD369" s="212"/>
      <c r="CE369" s="212"/>
      <c r="CF369" s="212"/>
      <c r="CG369" s="212"/>
      <c r="CH369" s="212"/>
      <c r="CI369" s="212"/>
      <c r="CJ369" s="212"/>
      <c r="CK369" s="212"/>
      <c r="CL369" s="212"/>
    </row>
    <row r="370" spans="10:90" ht="24.75" customHeight="1" x14ac:dyDescent="0.75">
      <c r="J370" s="220"/>
      <c r="K370" s="2"/>
      <c r="N370" s="212"/>
      <c r="O370" s="212"/>
      <c r="P370" s="212"/>
      <c r="Q370" s="212"/>
      <c r="R370" s="212"/>
      <c r="S370" s="212"/>
      <c r="T370" s="212"/>
      <c r="U370" s="212"/>
      <c r="V370" s="212"/>
      <c r="W370" s="212"/>
      <c r="X370" s="212"/>
      <c r="Y370" s="212"/>
      <c r="Z370" s="212"/>
      <c r="AA370" s="212"/>
      <c r="AB370" s="212"/>
      <c r="AC370" s="212"/>
      <c r="AD370" s="212"/>
      <c r="AE370" s="212"/>
      <c r="AF370" s="212"/>
      <c r="AG370" s="212"/>
      <c r="AH370" s="212"/>
      <c r="AI370" s="212"/>
      <c r="AJ370" s="212"/>
      <c r="AK370" s="212"/>
      <c r="AL370" s="212"/>
      <c r="AM370" s="212"/>
      <c r="AN370" s="212"/>
      <c r="AO370" s="212"/>
      <c r="AP370" s="212"/>
      <c r="AQ370" s="212"/>
      <c r="AR370" s="212"/>
      <c r="AS370" s="212"/>
      <c r="AT370" s="212"/>
      <c r="AU370" s="212"/>
      <c r="AV370" s="212"/>
      <c r="AW370" s="212"/>
      <c r="AX370" s="212"/>
      <c r="AY370" s="212"/>
      <c r="AZ370" s="212"/>
      <c r="BA370" s="212"/>
      <c r="BB370" s="212"/>
      <c r="BC370" s="212"/>
      <c r="BD370" s="212"/>
      <c r="BE370" s="212"/>
      <c r="BF370" s="212"/>
      <c r="BG370" s="212"/>
      <c r="BH370" s="212"/>
      <c r="BI370" s="212"/>
      <c r="BJ370" s="212"/>
      <c r="BK370" s="212"/>
      <c r="BL370" s="212"/>
      <c r="BM370" s="212"/>
      <c r="BN370" s="212"/>
      <c r="BO370" s="212"/>
      <c r="BP370" s="212"/>
      <c r="BQ370" s="212"/>
      <c r="BR370" s="212"/>
      <c r="BS370" s="212"/>
      <c r="BT370" s="212"/>
      <c r="BU370" s="212"/>
      <c r="BV370" s="212"/>
      <c r="BW370" s="212"/>
      <c r="BX370" s="212"/>
      <c r="BY370" s="212"/>
      <c r="BZ370" s="212"/>
      <c r="CA370" s="212"/>
      <c r="CB370" s="212"/>
      <c r="CC370" s="212"/>
      <c r="CD370" s="212"/>
      <c r="CE370" s="212"/>
      <c r="CF370" s="212"/>
      <c r="CG370" s="212"/>
      <c r="CH370" s="212"/>
      <c r="CI370" s="212"/>
      <c r="CJ370" s="212"/>
      <c r="CK370" s="212"/>
      <c r="CL370" s="212"/>
    </row>
    <row r="371" spans="10:90" ht="24.75" customHeight="1" x14ac:dyDescent="0.75">
      <c r="J371" s="220"/>
      <c r="K371" s="2"/>
      <c r="N371" s="212"/>
      <c r="O371" s="212"/>
      <c r="P371" s="212"/>
      <c r="Q371" s="212"/>
      <c r="R371" s="212"/>
      <c r="S371" s="212"/>
      <c r="T371" s="212"/>
      <c r="U371" s="212"/>
      <c r="V371" s="212"/>
      <c r="W371" s="212"/>
      <c r="X371" s="212"/>
      <c r="Y371" s="212"/>
      <c r="Z371" s="212"/>
      <c r="AA371" s="212"/>
      <c r="AB371" s="212"/>
      <c r="AC371" s="212"/>
      <c r="AD371" s="212"/>
      <c r="AE371" s="212"/>
      <c r="AF371" s="212"/>
      <c r="AG371" s="212"/>
      <c r="AH371" s="212"/>
      <c r="AI371" s="212"/>
      <c r="AJ371" s="212"/>
      <c r="AK371" s="212"/>
      <c r="AL371" s="212"/>
      <c r="AM371" s="212"/>
      <c r="AN371" s="212"/>
      <c r="AO371" s="212"/>
      <c r="AP371" s="212"/>
      <c r="AQ371" s="212"/>
      <c r="AR371" s="212"/>
      <c r="AS371" s="212"/>
      <c r="AT371" s="212"/>
      <c r="AU371" s="212"/>
      <c r="AV371" s="212"/>
      <c r="AW371" s="212"/>
      <c r="AX371" s="212"/>
      <c r="AY371" s="212"/>
      <c r="AZ371" s="212"/>
      <c r="BA371" s="212"/>
      <c r="BB371" s="212"/>
      <c r="BC371" s="212"/>
      <c r="BD371" s="212"/>
      <c r="BE371" s="212"/>
      <c r="BF371" s="212"/>
      <c r="BG371" s="212"/>
      <c r="BH371" s="212"/>
      <c r="BI371" s="212"/>
      <c r="BJ371" s="212"/>
      <c r="BK371" s="212"/>
      <c r="BL371" s="212"/>
      <c r="BM371" s="212"/>
      <c r="BN371" s="212"/>
      <c r="BO371" s="212"/>
      <c r="BP371" s="212"/>
      <c r="BQ371" s="212"/>
      <c r="BR371" s="212"/>
      <c r="BS371" s="212"/>
      <c r="BT371" s="212"/>
      <c r="BU371" s="212"/>
      <c r="BV371" s="212"/>
      <c r="BW371" s="212"/>
      <c r="BX371" s="212"/>
      <c r="BY371" s="212"/>
      <c r="BZ371" s="212"/>
      <c r="CA371" s="212"/>
      <c r="CB371" s="212"/>
      <c r="CC371" s="212"/>
      <c r="CD371" s="212"/>
      <c r="CE371" s="212"/>
      <c r="CF371" s="212"/>
      <c r="CG371" s="212"/>
      <c r="CH371" s="212"/>
      <c r="CI371" s="212"/>
      <c r="CJ371" s="212"/>
      <c r="CK371" s="212"/>
      <c r="CL371" s="212"/>
    </row>
    <row r="372" spans="10:90" ht="24.75" customHeight="1" x14ac:dyDescent="0.75">
      <c r="J372" s="220"/>
      <c r="K372" s="2"/>
      <c r="N372" s="212"/>
      <c r="O372" s="212"/>
      <c r="P372" s="212"/>
      <c r="Q372" s="212"/>
      <c r="R372" s="212"/>
      <c r="S372" s="212"/>
      <c r="T372" s="212"/>
      <c r="U372" s="212"/>
      <c r="V372" s="212"/>
      <c r="W372" s="212"/>
      <c r="X372" s="212"/>
      <c r="Y372" s="212"/>
      <c r="Z372" s="212"/>
      <c r="AA372" s="212"/>
      <c r="AB372" s="212"/>
      <c r="AC372" s="212"/>
      <c r="AD372" s="212"/>
      <c r="AE372" s="212"/>
      <c r="AF372" s="212"/>
      <c r="AG372" s="212"/>
      <c r="AH372" s="212"/>
      <c r="AI372" s="212"/>
      <c r="AJ372" s="212"/>
      <c r="AK372" s="212"/>
      <c r="AL372" s="212"/>
      <c r="AM372" s="212"/>
      <c r="AN372" s="212"/>
      <c r="AO372" s="212"/>
      <c r="AP372" s="212"/>
      <c r="AQ372" s="212"/>
      <c r="AR372" s="212"/>
      <c r="AS372" s="212"/>
      <c r="AT372" s="212"/>
      <c r="AU372" s="212"/>
      <c r="AV372" s="212"/>
      <c r="AW372" s="212"/>
      <c r="AX372" s="212"/>
      <c r="AY372" s="212"/>
      <c r="AZ372" s="212"/>
      <c r="BA372" s="212"/>
      <c r="BB372" s="212"/>
      <c r="BC372" s="212"/>
      <c r="BD372" s="212"/>
      <c r="BE372" s="212"/>
      <c r="BF372" s="212"/>
      <c r="BG372" s="212"/>
      <c r="BH372" s="212"/>
      <c r="BI372" s="212"/>
      <c r="BJ372" s="212"/>
      <c r="BK372" s="212"/>
      <c r="BL372" s="212"/>
      <c r="BM372" s="212"/>
      <c r="BN372" s="212"/>
      <c r="BO372" s="212"/>
      <c r="BP372" s="212"/>
      <c r="BQ372" s="212"/>
      <c r="BR372" s="212"/>
      <c r="BS372" s="212"/>
      <c r="BT372" s="212"/>
      <c r="BU372" s="212"/>
      <c r="BV372" s="212"/>
      <c r="BW372" s="212"/>
      <c r="BX372" s="212"/>
      <c r="BY372" s="212"/>
      <c r="BZ372" s="212"/>
      <c r="CA372" s="212"/>
      <c r="CB372" s="212"/>
      <c r="CC372" s="212"/>
      <c r="CD372" s="212"/>
      <c r="CE372" s="212"/>
      <c r="CF372" s="212"/>
      <c r="CG372" s="212"/>
      <c r="CH372" s="212"/>
      <c r="CI372" s="212"/>
      <c r="CJ372" s="212"/>
      <c r="CK372" s="212"/>
      <c r="CL372" s="212"/>
    </row>
    <row r="373" spans="10:90" ht="24.75" customHeight="1" x14ac:dyDescent="0.75">
      <c r="J373" s="220"/>
      <c r="K373" s="2"/>
      <c r="N373" s="212"/>
      <c r="O373" s="212"/>
      <c r="P373" s="212"/>
      <c r="Q373" s="212"/>
      <c r="R373" s="212"/>
      <c r="S373" s="212"/>
      <c r="T373" s="212"/>
      <c r="U373" s="212"/>
      <c r="V373" s="212"/>
      <c r="W373" s="212"/>
      <c r="X373" s="212"/>
      <c r="Y373" s="212"/>
      <c r="Z373" s="212"/>
      <c r="AA373" s="212"/>
      <c r="AB373" s="212"/>
      <c r="AC373" s="212"/>
      <c r="AD373" s="212"/>
      <c r="AE373" s="212"/>
      <c r="AF373" s="212"/>
      <c r="AG373" s="212"/>
      <c r="AH373" s="212"/>
      <c r="AI373" s="212"/>
      <c r="AJ373" s="212"/>
      <c r="AK373" s="212"/>
      <c r="AL373" s="212"/>
      <c r="AM373" s="212"/>
      <c r="AN373" s="212"/>
      <c r="AO373" s="212"/>
      <c r="AP373" s="212"/>
      <c r="AQ373" s="212"/>
      <c r="AR373" s="212"/>
      <c r="AS373" s="212"/>
      <c r="AT373" s="212"/>
      <c r="AU373" s="212"/>
      <c r="AV373" s="212"/>
      <c r="AW373" s="212"/>
      <c r="AX373" s="212"/>
      <c r="AY373" s="212"/>
      <c r="AZ373" s="212"/>
      <c r="BA373" s="212"/>
      <c r="BB373" s="212"/>
      <c r="BC373" s="212"/>
      <c r="BD373" s="212"/>
      <c r="BE373" s="212"/>
      <c r="BF373" s="212"/>
      <c r="BG373" s="212"/>
      <c r="BH373" s="212"/>
      <c r="BI373" s="212"/>
      <c r="BJ373" s="212"/>
      <c r="BK373" s="212"/>
      <c r="BL373" s="212"/>
      <c r="BM373" s="212"/>
      <c r="BN373" s="212"/>
      <c r="BO373" s="212"/>
      <c r="BP373" s="212"/>
      <c r="BQ373" s="212"/>
      <c r="BR373" s="212"/>
      <c r="BS373" s="212"/>
      <c r="BT373" s="212"/>
      <c r="BU373" s="212"/>
      <c r="BV373" s="212"/>
      <c r="BW373" s="212"/>
      <c r="BX373" s="212"/>
      <c r="BY373" s="212"/>
      <c r="BZ373" s="212"/>
      <c r="CA373" s="212"/>
      <c r="CB373" s="212"/>
      <c r="CC373" s="212"/>
      <c r="CD373" s="212"/>
      <c r="CE373" s="212"/>
      <c r="CF373" s="212"/>
      <c r="CG373" s="212"/>
      <c r="CH373" s="212"/>
      <c r="CI373" s="212"/>
      <c r="CJ373" s="212"/>
      <c r="CK373" s="212"/>
      <c r="CL373" s="212"/>
    </row>
    <row r="374" spans="10:90" ht="24.75" customHeight="1" x14ac:dyDescent="0.75">
      <c r="J374" s="220"/>
      <c r="K374" s="2"/>
      <c r="N374" s="212"/>
      <c r="O374" s="212"/>
      <c r="P374" s="212"/>
      <c r="Q374" s="212"/>
      <c r="R374" s="212"/>
      <c r="S374" s="212"/>
      <c r="T374" s="212"/>
      <c r="U374" s="212"/>
      <c r="V374" s="212"/>
      <c r="W374" s="212"/>
      <c r="X374" s="212"/>
      <c r="Y374" s="212"/>
      <c r="Z374" s="212"/>
      <c r="AA374" s="212"/>
      <c r="AB374" s="212"/>
      <c r="AC374" s="212"/>
      <c r="AD374" s="212"/>
      <c r="AE374" s="212"/>
      <c r="AF374" s="212"/>
      <c r="AG374" s="212"/>
      <c r="AH374" s="212"/>
      <c r="AI374" s="212"/>
      <c r="AJ374" s="212"/>
      <c r="AK374" s="212"/>
      <c r="AL374" s="212"/>
      <c r="AM374" s="212"/>
      <c r="AN374" s="212"/>
      <c r="AO374" s="212"/>
      <c r="AP374" s="212"/>
      <c r="AQ374" s="212"/>
      <c r="AR374" s="212"/>
      <c r="AS374" s="212"/>
      <c r="AT374" s="212"/>
      <c r="AU374" s="212"/>
      <c r="AV374" s="212"/>
      <c r="AW374" s="212"/>
      <c r="AX374" s="212"/>
      <c r="AY374" s="212"/>
      <c r="AZ374" s="212"/>
      <c r="BA374" s="212"/>
      <c r="BB374" s="212"/>
      <c r="BC374" s="212"/>
      <c r="BD374" s="212"/>
      <c r="BE374" s="212"/>
      <c r="BF374" s="212"/>
      <c r="BG374" s="212"/>
      <c r="BH374" s="212"/>
      <c r="BI374" s="212"/>
      <c r="BJ374" s="212"/>
      <c r="BK374" s="212"/>
      <c r="BL374" s="212"/>
      <c r="BM374" s="212"/>
      <c r="BN374" s="212"/>
      <c r="BO374" s="212"/>
      <c r="BP374" s="212"/>
      <c r="BQ374" s="212"/>
      <c r="BR374" s="212"/>
      <c r="BS374" s="212"/>
      <c r="BT374" s="212"/>
      <c r="BU374" s="212"/>
      <c r="BV374" s="212"/>
      <c r="BW374" s="212"/>
      <c r="BX374" s="212"/>
      <c r="BY374" s="212"/>
      <c r="BZ374" s="212"/>
      <c r="CA374" s="212"/>
      <c r="CB374" s="212"/>
      <c r="CC374" s="212"/>
      <c r="CD374" s="212"/>
      <c r="CE374" s="212"/>
      <c r="CF374" s="212"/>
      <c r="CG374" s="212"/>
      <c r="CH374" s="212"/>
      <c r="CI374" s="212"/>
      <c r="CJ374" s="212"/>
      <c r="CK374" s="212"/>
      <c r="CL374" s="212"/>
    </row>
    <row r="375" spans="10:90" ht="24.75" customHeight="1" x14ac:dyDescent="0.75">
      <c r="J375" s="220"/>
      <c r="K375" s="2"/>
      <c r="N375" s="212"/>
      <c r="O375" s="212"/>
      <c r="P375" s="212"/>
      <c r="Q375" s="212"/>
      <c r="R375" s="212"/>
      <c r="S375" s="212"/>
      <c r="T375" s="212"/>
      <c r="U375" s="212"/>
      <c r="V375" s="212"/>
      <c r="W375" s="212"/>
      <c r="X375" s="212"/>
      <c r="Y375" s="212"/>
      <c r="Z375" s="212"/>
      <c r="AA375" s="212"/>
      <c r="AB375" s="212"/>
      <c r="AC375" s="212"/>
      <c r="AD375" s="212"/>
      <c r="AE375" s="212"/>
      <c r="AF375" s="212"/>
      <c r="AG375" s="212"/>
      <c r="AH375" s="212"/>
      <c r="AI375" s="212"/>
      <c r="AJ375" s="212"/>
      <c r="AK375" s="212"/>
      <c r="AL375" s="212"/>
      <c r="AM375" s="212"/>
      <c r="AN375" s="212"/>
      <c r="AO375" s="212"/>
      <c r="AP375" s="212"/>
      <c r="AQ375" s="212"/>
      <c r="AR375" s="212"/>
      <c r="AS375" s="212"/>
      <c r="AT375" s="212"/>
      <c r="AU375" s="212"/>
      <c r="AV375" s="212"/>
      <c r="AW375" s="212"/>
      <c r="AX375" s="212"/>
      <c r="AY375" s="212"/>
      <c r="AZ375" s="212"/>
      <c r="BA375" s="212"/>
      <c r="BB375" s="212"/>
      <c r="BC375" s="212"/>
      <c r="BD375" s="212"/>
      <c r="BE375" s="212"/>
      <c r="BF375" s="212"/>
      <c r="BG375" s="212"/>
      <c r="BH375" s="212"/>
      <c r="BI375" s="212"/>
      <c r="BJ375" s="212"/>
      <c r="BK375" s="212"/>
      <c r="BL375" s="212"/>
      <c r="BM375" s="212"/>
      <c r="BN375" s="212"/>
      <c r="BO375" s="212"/>
      <c r="BP375" s="212"/>
      <c r="BQ375" s="212"/>
      <c r="BR375" s="212"/>
      <c r="BS375" s="212"/>
      <c r="BT375" s="212"/>
      <c r="BU375" s="212"/>
      <c r="BV375" s="212"/>
      <c r="BW375" s="212"/>
      <c r="BX375" s="212"/>
      <c r="BY375" s="212"/>
      <c r="BZ375" s="212"/>
      <c r="CA375" s="212"/>
      <c r="CB375" s="212"/>
      <c r="CC375" s="212"/>
      <c r="CD375" s="212"/>
      <c r="CE375" s="212"/>
      <c r="CF375" s="212"/>
      <c r="CG375" s="212"/>
      <c r="CH375" s="212"/>
      <c r="CI375" s="212"/>
      <c r="CJ375" s="212"/>
      <c r="CK375" s="212"/>
      <c r="CL375" s="212"/>
    </row>
    <row r="376" spans="10:90" ht="24.75" customHeight="1" x14ac:dyDescent="0.75">
      <c r="J376" s="220"/>
      <c r="K376" s="2"/>
      <c r="N376" s="212"/>
      <c r="O376" s="212"/>
      <c r="P376" s="212"/>
      <c r="Q376" s="212"/>
      <c r="R376" s="212"/>
      <c r="S376" s="212"/>
      <c r="T376" s="212"/>
      <c r="U376" s="212"/>
      <c r="V376" s="212"/>
      <c r="W376" s="212"/>
      <c r="X376" s="212"/>
      <c r="Y376" s="212"/>
      <c r="Z376" s="212"/>
      <c r="AA376" s="212"/>
      <c r="AB376" s="212"/>
      <c r="AC376" s="212"/>
      <c r="AD376" s="212"/>
      <c r="AE376" s="212"/>
      <c r="AF376" s="212"/>
      <c r="AG376" s="212"/>
      <c r="AH376" s="212"/>
      <c r="AI376" s="212"/>
      <c r="AJ376" s="212"/>
      <c r="AK376" s="212"/>
      <c r="AL376" s="212"/>
      <c r="AM376" s="212"/>
      <c r="AN376" s="212"/>
      <c r="AO376" s="212"/>
      <c r="AP376" s="212"/>
      <c r="AQ376" s="212"/>
      <c r="AR376" s="212"/>
      <c r="AS376" s="212"/>
      <c r="AT376" s="212"/>
      <c r="AU376" s="212"/>
      <c r="AV376" s="212"/>
      <c r="AW376" s="212"/>
      <c r="AX376" s="212"/>
      <c r="AY376" s="212"/>
      <c r="AZ376" s="212"/>
      <c r="BA376" s="212"/>
      <c r="BB376" s="212"/>
      <c r="BC376" s="212"/>
      <c r="BD376" s="212"/>
      <c r="BE376" s="212"/>
      <c r="BF376" s="212"/>
      <c r="BG376" s="212"/>
      <c r="BH376" s="212"/>
      <c r="BI376" s="212"/>
      <c r="BJ376" s="212"/>
      <c r="BK376" s="212"/>
      <c r="BL376" s="212"/>
      <c r="BM376" s="212"/>
      <c r="BN376" s="212"/>
      <c r="BO376" s="212"/>
      <c r="BP376" s="212"/>
      <c r="BQ376" s="212"/>
      <c r="BR376" s="212"/>
      <c r="BS376" s="212"/>
      <c r="BT376" s="212"/>
      <c r="BU376" s="212"/>
      <c r="BV376" s="212"/>
      <c r="BW376" s="212"/>
      <c r="BX376" s="212"/>
      <c r="BY376" s="212"/>
      <c r="BZ376" s="212"/>
      <c r="CA376" s="212"/>
      <c r="CB376" s="212"/>
      <c r="CC376" s="212"/>
      <c r="CD376" s="212"/>
      <c r="CE376" s="212"/>
      <c r="CF376" s="212"/>
      <c r="CG376" s="212"/>
      <c r="CH376" s="212"/>
      <c r="CI376" s="212"/>
      <c r="CJ376" s="212"/>
      <c r="CK376" s="212"/>
      <c r="CL376" s="212"/>
    </row>
    <row r="377" spans="10:90" ht="24.75" customHeight="1" x14ac:dyDescent="0.75">
      <c r="J377" s="220"/>
      <c r="K377" s="2"/>
      <c r="N377" s="212"/>
      <c r="O377" s="212"/>
      <c r="P377" s="212"/>
      <c r="Q377" s="212"/>
      <c r="R377" s="212"/>
      <c r="S377" s="212"/>
      <c r="T377" s="212"/>
      <c r="U377" s="212"/>
      <c r="V377" s="212"/>
      <c r="W377" s="212"/>
      <c r="X377" s="212"/>
      <c r="Y377" s="212"/>
      <c r="Z377" s="212"/>
      <c r="AA377" s="212"/>
      <c r="AB377" s="212"/>
      <c r="AC377" s="212"/>
      <c r="AD377" s="212"/>
      <c r="AE377" s="212"/>
      <c r="AF377" s="212"/>
      <c r="AG377" s="212"/>
      <c r="AH377" s="212"/>
      <c r="AI377" s="212"/>
      <c r="AJ377" s="212"/>
      <c r="AK377" s="212"/>
      <c r="AL377" s="212"/>
      <c r="AM377" s="212"/>
      <c r="AN377" s="212"/>
      <c r="AO377" s="212"/>
      <c r="AP377" s="212"/>
      <c r="AQ377" s="212"/>
      <c r="AR377" s="212"/>
      <c r="AS377" s="212"/>
      <c r="AT377" s="212"/>
      <c r="AU377" s="212"/>
      <c r="AV377" s="212"/>
      <c r="AW377" s="212"/>
      <c r="AX377" s="212"/>
      <c r="AY377" s="212"/>
      <c r="AZ377" s="212"/>
      <c r="BA377" s="212"/>
      <c r="BB377" s="212"/>
      <c r="BC377" s="212"/>
      <c r="BD377" s="212"/>
      <c r="BE377" s="212"/>
      <c r="BF377" s="212"/>
      <c r="BG377" s="212"/>
      <c r="BH377" s="212"/>
      <c r="BI377" s="212"/>
      <c r="BJ377" s="212"/>
      <c r="BK377" s="212"/>
      <c r="BL377" s="212"/>
      <c r="BM377" s="212"/>
      <c r="BN377" s="212"/>
      <c r="BO377" s="212"/>
      <c r="BP377" s="212"/>
      <c r="BQ377" s="212"/>
      <c r="BR377" s="212"/>
      <c r="BS377" s="212"/>
      <c r="BT377" s="212"/>
      <c r="BU377" s="212"/>
      <c r="BV377" s="212"/>
      <c r="BW377" s="212"/>
      <c r="BX377" s="212"/>
      <c r="BY377" s="212"/>
      <c r="BZ377" s="212"/>
      <c r="CA377" s="212"/>
      <c r="CB377" s="212"/>
      <c r="CC377" s="212"/>
      <c r="CD377" s="212"/>
      <c r="CE377" s="212"/>
      <c r="CF377" s="212"/>
      <c r="CG377" s="212"/>
      <c r="CH377" s="212"/>
      <c r="CI377" s="212"/>
      <c r="CJ377" s="212"/>
      <c r="CK377" s="212"/>
      <c r="CL377" s="212"/>
    </row>
    <row r="378" spans="10:90" ht="24.75" customHeight="1" x14ac:dyDescent="0.75">
      <c r="J378" s="220"/>
      <c r="K378" s="2"/>
      <c r="N378" s="212"/>
      <c r="O378" s="212"/>
      <c r="P378" s="212"/>
      <c r="Q378" s="212"/>
      <c r="R378" s="212"/>
      <c r="S378" s="212"/>
      <c r="T378" s="212"/>
      <c r="U378" s="212"/>
      <c r="V378" s="212"/>
      <c r="W378" s="212"/>
      <c r="X378" s="212"/>
      <c r="Y378" s="212"/>
      <c r="Z378" s="212"/>
      <c r="AA378" s="212"/>
      <c r="AB378" s="212"/>
      <c r="AC378" s="212"/>
      <c r="AD378" s="212"/>
      <c r="AE378" s="212"/>
      <c r="AF378" s="212"/>
      <c r="AG378" s="212"/>
      <c r="AH378" s="212"/>
      <c r="AI378" s="212"/>
      <c r="AJ378" s="212"/>
      <c r="AK378" s="212"/>
      <c r="AL378" s="212"/>
      <c r="AM378" s="212"/>
      <c r="AN378" s="212"/>
      <c r="AO378" s="212"/>
      <c r="AP378" s="212"/>
      <c r="AQ378" s="212"/>
      <c r="AR378" s="212"/>
      <c r="AS378" s="212"/>
      <c r="AT378" s="212"/>
      <c r="AU378" s="212"/>
      <c r="AV378" s="212"/>
      <c r="AW378" s="212"/>
      <c r="AX378" s="212"/>
      <c r="AY378" s="212"/>
      <c r="AZ378" s="212"/>
      <c r="BA378" s="212"/>
      <c r="BB378" s="212"/>
      <c r="BC378" s="212"/>
      <c r="BD378" s="212"/>
      <c r="BE378" s="212"/>
      <c r="BF378" s="212"/>
      <c r="BG378" s="212"/>
      <c r="BH378" s="212"/>
      <c r="BI378" s="212"/>
      <c r="BJ378" s="212"/>
      <c r="BK378" s="212"/>
      <c r="BL378" s="212"/>
      <c r="BM378" s="212"/>
      <c r="BN378" s="212"/>
      <c r="BO378" s="212"/>
      <c r="BP378" s="212"/>
      <c r="BQ378" s="212"/>
      <c r="BR378" s="212"/>
      <c r="BS378" s="212"/>
      <c r="BT378" s="212"/>
      <c r="BU378" s="212"/>
      <c r="BV378" s="212"/>
      <c r="BW378" s="212"/>
      <c r="BX378" s="212"/>
      <c r="BY378" s="212"/>
      <c r="BZ378" s="212"/>
      <c r="CA378" s="212"/>
      <c r="CB378" s="212"/>
      <c r="CC378" s="212"/>
      <c r="CD378" s="212"/>
      <c r="CE378" s="212"/>
      <c r="CF378" s="212"/>
      <c r="CG378" s="212"/>
      <c r="CH378" s="212"/>
      <c r="CI378" s="212"/>
      <c r="CJ378" s="212"/>
      <c r="CK378" s="212"/>
      <c r="CL378" s="212"/>
    </row>
    <row r="379" spans="10:90" ht="24.75" customHeight="1" x14ac:dyDescent="0.75">
      <c r="J379" s="220"/>
      <c r="K379" s="2"/>
      <c r="N379" s="212"/>
      <c r="O379" s="212"/>
      <c r="P379" s="212"/>
      <c r="Q379" s="212"/>
      <c r="R379" s="212"/>
      <c r="S379" s="212"/>
      <c r="T379" s="212"/>
      <c r="U379" s="212"/>
      <c r="V379" s="212"/>
      <c r="W379" s="212"/>
      <c r="X379" s="212"/>
      <c r="Y379" s="212"/>
      <c r="Z379" s="212"/>
      <c r="AA379" s="212"/>
      <c r="AB379" s="212"/>
      <c r="AC379" s="212"/>
      <c r="AD379" s="212"/>
      <c r="AE379" s="212"/>
      <c r="AF379" s="212"/>
      <c r="AG379" s="212"/>
      <c r="AH379" s="212"/>
      <c r="AI379" s="212"/>
      <c r="AJ379" s="212"/>
      <c r="AK379" s="212"/>
      <c r="AL379" s="212"/>
      <c r="AM379" s="212"/>
      <c r="AN379" s="212"/>
      <c r="AO379" s="212"/>
      <c r="AP379" s="212"/>
      <c r="AQ379" s="212"/>
      <c r="AR379" s="212"/>
      <c r="AS379" s="212"/>
      <c r="AT379" s="212"/>
      <c r="AU379" s="212"/>
      <c r="AV379" s="212"/>
      <c r="AW379" s="212"/>
      <c r="AX379" s="212"/>
      <c r="AY379" s="212"/>
      <c r="AZ379" s="212"/>
      <c r="BA379" s="212"/>
      <c r="BB379" s="212"/>
      <c r="BC379" s="212"/>
      <c r="BD379" s="212"/>
      <c r="BE379" s="212"/>
      <c r="BF379" s="212"/>
      <c r="BG379" s="212"/>
      <c r="BH379" s="212"/>
      <c r="BI379" s="212"/>
      <c r="BJ379" s="212"/>
      <c r="BK379" s="212"/>
      <c r="BL379" s="212"/>
      <c r="BM379" s="212"/>
      <c r="BN379" s="212"/>
      <c r="BO379" s="212"/>
      <c r="BP379" s="212"/>
      <c r="BQ379" s="212"/>
      <c r="BR379" s="212"/>
      <c r="BS379" s="212"/>
      <c r="BT379" s="212"/>
      <c r="BU379" s="212"/>
      <c r="BV379" s="212"/>
      <c r="BW379" s="212"/>
      <c r="BX379" s="212"/>
      <c r="BY379" s="212"/>
      <c r="BZ379" s="212"/>
      <c r="CA379" s="212"/>
      <c r="CB379" s="212"/>
      <c r="CC379" s="212"/>
      <c r="CD379" s="212"/>
      <c r="CE379" s="212"/>
      <c r="CF379" s="212"/>
      <c r="CG379" s="212"/>
      <c r="CH379" s="212"/>
      <c r="CI379" s="212"/>
      <c r="CJ379" s="212"/>
      <c r="CK379" s="212"/>
      <c r="CL379" s="212"/>
    </row>
    <row r="380" spans="10:90" ht="24.75" customHeight="1" x14ac:dyDescent="0.75">
      <c r="J380" s="220"/>
      <c r="K380" s="2"/>
      <c r="N380" s="212"/>
      <c r="O380" s="212"/>
      <c r="P380" s="212"/>
      <c r="Q380" s="212"/>
      <c r="R380" s="212"/>
      <c r="S380" s="212"/>
      <c r="T380" s="212"/>
      <c r="U380" s="212"/>
      <c r="V380" s="212"/>
      <c r="W380" s="212"/>
      <c r="X380" s="212"/>
      <c r="Y380" s="212"/>
      <c r="Z380" s="212"/>
      <c r="AA380" s="212"/>
      <c r="AB380" s="212"/>
      <c r="AC380" s="212"/>
      <c r="AD380" s="212"/>
      <c r="AE380" s="212"/>
      <c r="AF380" s="212"/>
      <c r="AG380" s="212"/>
      <c r="AH380" s="212"/>
      <c r="AI380" s="212"/>
      <c r="AJ380" s="212"/>
      <c r="AK380" s="212"/>
      <c r="AL380" s="212"/>
      <c r="AM380" s="212"/>
      <c r="AN380" s="212"/>
      <c r="AO380" s="212"/>
      <c r="AP380" s="212"/>
      <c r="AQ380" s="212"/>
      <c r="AR380" s="212"/>
      <c r="AS380" s="212"/>
      <c r="AT380" s="212"/>
      <c r="AU380" s="212"/>
      <c r="AV380" s="212"/>
      <c r="AW380" s="212"/>
      <c r="AX380" s="212"/>
      <c r="AY380" s="212"/>
      <c r="AZ380" s="212"/>
      <c r="BA380" s="212"/>
      <c r="BB380" s="212"/>
      <c r="BC380" s="212"/>
      <c r="BD380" s="212"/>
      <c r="BE380" s="212"/>
      <c r="BF380" s="212"/>
      <c r="BG380" s="212"/>
      <c r="BH380" s="212"/>
      <c r="BI380" s="212"/>
      <c r="BJ380" s="212"/>
      <c r="BK380" s="212"/>
      <c r="BL380" s="212"/>
      <c r="BM380" s="212"/>
      <c r="BN380" s="212"/>
      <c r="BO380" s="212"/>
      <c r="BP380" s="212"/>
      <c r="BQ380" s="212"/>
      <c r="BR380" s="212"/>
      <c r="BS380" s="212"/>
      <c r="BT380" s="212"/>
      <c r="BU380" s="212"/>
      <c r="BV380" s="212"/>
      <c r="BW380" s="212"/>
      <c r="BX380" s="212"/>
      <c r="BY380" s="212"/>
      <c r="BZ380" s="212"/>
      <c r="CA380" s="212"/>
      <c r="CB380" s="212"/>
      <c r="CC380" s="212"/>
      <c r="CD380" s="212"/>
      <c r="CE380" s="212"/>
      <c r="CF380" s="212"/>
      <c r="CG380" s="212"/>
      <c r="CH380" s="212"/>
      <c r="CI380" s="212"/>
      <c r="CJ380" s="212"/>
      <c r="CK380" s="212"/>
      <c r="CL380" s="212"/>
    </row>
    <row r="381" spans="10:90" ht="24.75" customHeight="1" x14ac:dyDescent="0.75">
      <c r="J381" s="220"/>
      <c r="K381" s="2"/>
      <c r="N381" s="212"/>
      <c r="O381" s="212"/>
      <c r="P381" s="212"/>
      <c r="Q381" s="212"/>
      <c r="R381" s="212"/>
      <c r="S381" s="212"/>
      <c r="T381" s="212"/>
      <c r="U381" s="212"/>
      <c r="V381" s="212"/>
      <c r="W381" s="212"/>
      <c r="X381" s="212"/>
      <c r="Y381" s="212"/>
      <c r="Z381" s="212"/>
      <c r="AA381" s="212"/>
      <c r="AB381" s="212"/>
      <c r="AC381" s="212"/>
      <c r="AD381" s="212"/>
      <c r="AE381" s="212"/>
      <c r="AF381" s="212"/>
      <c r="AG381" s="212"/>
      <c r="AH381" s="212"/>
      <c r="AI381" s="212"/>
      <c r="AJ381" s="212"/>
      <c r="AK381" s="212"/>
      <c r="AL381" s="212"/>
      <c r="AM381" s="212"/>
      <c r="AN381" s="212"/>
      <c r="AO381" s="212"/>
      <c r="AP381" s="212"/>
      <c r="AQ381" s="212"/>
      <c r="AR381" s="212"/>
      <c r="AS381" s="212"/>
      <c r="AT381" s="212"/>
      <c r="AU381" s="212"/>
      <c r="AV381" s="212"/>
      <c r="AW381" s="212"/>
      <c r="AX381" s="212"/>
      <c r="AY381" s="212"/>
      <c r="AZ381" s="212"/>
      <c r="BA381" s="212"/>
      <c r="BB381" s="212"/>
      <c r="BC381" s="212"/>
      <c r="BD381" s="212"/>
      <c r="BE381" s="212"/>
      <c r="BF381" s="212"/>
      <c r="BG381" s="212"/>
      <c r="BH381" s="212"/>
      <c r="BI381" s="212"/>
      <c r="BJ381" s="212"/>
      <c r="BK381" s="212"/>
      <c r="BL381" s="212"/>
      <c r="BM381" s="212"/>
      <c r="BN381" s="212"/>
      <c r="BO381" s="212"/>
      <c r="BP381" s="212"/>
      <c r="BQ381" s="212"/>
      <c r="BR381" s="212"/>
      <c r="BS381" s="212"/>
      <c r="BT381" s="212"/>
      <c r="BU381" s="212"/>
      <c r="BV381" s="212"/>
      <c r="BW381" s="212"/>
      <c r="BX381" s="212"/>
      <c r="BY381" s="212"/>
      <c r="BZ381" s="212"/>
      <c r="CA381" s="212"/>
      <c r="CB381" s="212"/>
      <c r="CC381" s="212"/>
      <c r="CD381" s="212"/>
      <c r="CE381" s="212"/>
      <c r="CF381" s="212"/>
      <c r="CG381" s="212"/>
      <c r="CH381" s="212"/>
      <c r="CI381" s="212"/>
      <c r="CJ381" s="212"/>
      <c r="CK381" s="212"/>
      <c r="CL381" s="212"/>
    </row>
    <row r="382" spans="10:90" ht="24.75" customHeight="1" x14ac:dyDescent="0.75">
      <c r="J382" s="220"/>
      <c r="K382" s="2"/>
      <c r="N382" s="212"/>
      <c r="O382" s="212"/>
      <c r="P382" s="212"/>
      <c r="Q382" s="212"/>
      <c r="R382" s="212"/>
      <c r="S382" s="212"/>
      <c r="T382" s="212"/>
      <c r="U382" s="212"/>
      <c r="V382" s="212"/>
      <c r="W382" s="212"/>
      <c r="X382" s="212"/>
      <c r="Y382" s="212"/>
      <c r="Z382" s="212"/>
      <c r="AA382" s="212"/>
      <c r="AB382" s="212"/>
      <c r="AC382" s="212"/>
      <c r="AD382" s="212"/>
      <c r="AE382" s="212"/>
      <c r="AF382" s="212"/>
      <c r="AG382" s="212"/>
      <c r="AH382" s="212"/>
      <c r="AI382" s="212"/>
      <c r="AJ382" s="212"/>
      <c r="AK382" s="212"/>
      <c r="AL382" s="212"/>
      <c r="AM382" s="212"/>
      <c r="AN382" s="212"/>
      <c r="AO382" s="212"/>
      <c r="AP382" s="212"/>
      <c r="AQ382" s="212"/>
      <c r="AR382" s="212"/>
      <c r="AS382" s="212"/>
      <c r="AT382" s="212"/>
      <c r="AU382" s="212"/>
      <c r="AV382" s="212"/>
      <c r="AW382" s="212"/>
      <c r="AX382" s="212"/>
      <c r="AY382" s="212"/>
      <c r="AZ382" s="212"/>
      <c r="BA382" s="212"/>
      <c r="BB382" s="212"/>
      <c r="BC382" s="212"/>
      <c r="BD382" s="212"/>
      <c r="BE382" s="212"/>
      <c r="BF382" s="212"/>
      <c r="BG382" s="212"/>
      <c r="BH382" s="212"/>
      <c r="BI382" s="212"/>
      <c r="BJ382" s="212"/>
      <c r="BK382" s="212"/>
      <c r="BL382" s="212"/>
      <c r="BM382" s="212"/>
      <c r="BN382" s="212"/>
      <c r="BO382" s="212"/>
      <c r="BP382" s="212"/>
      <c r="BQ382" s="212"/>
      <c r="BR382" s="212"/>
      <c r="BS382" s="212"/>
      <c r="BT382" s="212"/>
      <c r="BU382" s="212"/>
      <c r="BV382" s="212"/>
      <c r="BW382" s="212"/>
      <c r="BX382" s="212"/>
      <c r="BY382" s="212"/>
      <c r="BZ382" s="212"/>
      <c r="CA382" s="212"/>
      <c r="CB382" s="212"/>
      <c r="CC382" s="212"/>
      <c r="CD382" s="212"/>
      <c r="CE382" s="212"/>
      <c r="CF382" s="212"/>
      <c r="CG382" s="212"/>
      <c r="CH382" s="212"/>
      <c r="CI382" s="212"/>
      <c r="CJ382" s="212"/>
      <c r="CK382" s="212"/>
      <c r="CL382" s="212"/>
    </row>
    <row r="383" spans="10:90" ht="24.75" customHeight="1" x14ac:dyDescent="0.75">
      <c r="J383" s="220"/>
      <c r="K383" s="2"/>
      <c r="N383" s="212"/>
      <c r="O383" s="212"/>
      <c r="P383" s="212"/>
      <c r="Q383" s="212"/>
      <c r="R383" s="212"/>
      <c r="S383" s="212"/>
      <c r="T383" s="212"/>
      <c r="U383" s="212"/>
      <c r="V383" s="212"/>
      <c r="W383" s="212"/>
      <c r="X383" s="212"/>
      <c r="Y383" s="212"/>
      <c r="Z383" s="212"/>
      <c r="AA383" s="212"/>
      <c r="AB383" s="212"/>
      <c r="AC383" s="212"/>
      <c r="AD383" s="212"/>
      <c r="AE383" s="212"/>
      <c r="AF383" s="212"/>
      <c r="AG383" s="212"/>
      <c r="AH383" s="212"/>
      <c r="AI383" s="212"/>
      <c r="AJ383" s="212"/>
      <c r="AK383" s="212"/>
      <c r="AL383" s="212"/>
      <c r="AM383" s="212"/>
      <c r="AN383" s="212"/>
      <c r="AO383" s="212"/>
      <c r="AP383" s="212"/>
      <c r="AQ383" s="212"/>
      <c r="AR383" s="212"/>
      <c r="AS383" s="212"/>
      <c r="AT383" s="212"/>
      <c r="AU383" s="212"/>
      <c r="AV383" s="212"/>
      <c r="AW383" s="212"/>
      <c r="AX383" s="212"/>
      <c r="AY383" s="212"/>
      <c r="AZ383" s="212"/>
      <c r="BA383" s="212"/>
      <c r="BB383" s="212"/>
      <c r="BC383" s="212"/>
      <c r="BD383" s="212"/>
      <c r="BE383" s="212"/>
      <c r="BF383" s="212"/>
      <c r="BG383" s="212"/>
      <c r="BH383" s="212"/>
      <c r="BI383" s="212"/>
      <c r="BJ383" s="212"/>
      <c r="BK383" s="212"/>
      <c r="BL383" s="212"/>
      <c r="BM383" s="212"/>
      <c r="BN383" s="212"/>
      <c r="BO383" s="212"/>
      <c r="BP383" s="212"/>
      <c r="BQ383" s="212"/>
      <c r="BR383" s="212"/>
      <c r="BS383" s="212"/>
      <c r="BT383" s="212"/>
      <c r="BU383" s="212"/>
      <c r="BV383" s="212"/>
      <c r="BW383" s="212"/>
      <c r="BX383" s="212"/>
      <c r="BY383" s="212"/>
      <c r="BZ383" s="212"/>
      <c r="CA383" s="212"/>
      <c r="CB383" s="212"/>
      <c r="CC383" s="212"/>
      <c r="CD383" s="212"/>
      <c r="CE383" s="212"/>
      <c r="CF383" s="212"/>
      <c r="CG383" s="212"/>
      <c r="CH383" s="212"/>
      <c r="CI383" s="212"/>
      <c r="CJ383" s="212"/>
      <c r="CK383" s="212"/>
      <c r="CL383" s="212"/>
    </row>
    <row r="384" spans="10:90" ht="24.75" customHeight="1" x14ac:dyDescent="0.75">
      <c r="J384" s="220"/>
      <c r="K384" s="2"/>
      <c r="N384" s="212"/>
      <c r="O384" s="212"/>
      <c r="P384" s="212"/>
      <c r="Q384" s="212"/>
      <c r="R384" s="212"/>
      <c r="S384" s="212"/>
      <c r="T384" s="212"/>
      <c r="U384" s="212"/>
      <c r="V384" s="212"/>
      <c r="W384" s="212"/>
      <c r="X384" s="212"/>
      <c r="Y384" s="212"/>
      <c r="Z384" s="212"/>
      <c r="AA384" s="212"/>
      <c r="AB384" s="212"/>
      <c r="AC384" s="212"/>
      <c r="AD384" s="212"/>
      <c r="AE384" s="212"/>
      <c r="AF384" s="212"/>
      <c r="AG384" s="212"/>
      <c r="AH384" s="212"/>
      <c r="AI384" s="212"/>
      <c r="AJ384" s="212"/>
      <c r="AK384" s="212"/>
      <c r="AL384" s="212"/>
      <c r="AM384" s="212"/>
      <c r="AN384" s="212"/>
      <c r="AO384" s="212"/>
      <c r="AP384" s="212"/>
      <c r="AQ384" s="212"/>
      <c r="AR384" s="212"/>
      <c r="AS384" s="212"/>
      <c r="AT384" s="212"/>
      <c r="AU384" s="212"/>
      <c r="AV384" s="212"/>
      <c r="AW384" s="212"/>
      <c r="AX384" s="212"/>
      <c r="AY384" s="212"/>
      <c r="AZ384" s="212"/>
      <c r="BA384" s="212"/>
      <c r="BB384" s="212"/>
      <c r="BC384" s="212"/>
      <c r="BD384" s="212"/>
      <c r="BE384" s="212"/>
      <c r="BF384" s="212"/>
      <c r="BG384" s="212"/>
      <c r="BH384" s="212"/>
      <c r="BI384" s="212"/>
      <c r="BJ384" s="212"/>
      <c r="BK384" s="212"/>
      <c r="BL384" s="212"/>
      <c r="BM384" s="212"/>
      <c r="BN384" s="212"/>
      <c r="BO384" s="212"/>
      <c r="BP384" s="212"/>
      <c r="BQ384" s="212"/>
      <c r="BR384" s="212"/>
      <c r="BS384" s="212"/>
      <c r="BT384" s="212"/>
      <c r="BU384" s="212"/>
      <c r="BV384" s="212"/>
      <c r="BW384" s="212"/>
      <c r="BX384" s="212"/>
      <c r="BY384" s="212"/>
      <c r="BZ384" s="212"/>
      <c r="CA384" s="212"/>
      <c r="CB384" s="212"/>
      <c r="CC384" s="212"/>
      <c r="CD384" s="212"/>
      <c r="CE384" s="212"/>
      <c r="CF384" s="212"/>
      <c r="CG384" s="212"/>
      <c r="CH384" s="212"/>
      <c r="CI384" s="212"/>
      <c r="CJ384" s="212"/>
      <c r="CK384" s="212"/>
      <c r="CL384" s="212"/>
    </row>
    <row r="385" spans="10:90" ht="24.75" customHeight="1" x14ac:dyDescent="0.75">
      <c r="J385" s="220"/>
      <c r="K385" s="2"/>
      <c r="N385" s="212"/>
      <c r="O385" s="212"/>
      <c r="P385" s="212"/>
      <c r="Q385" s="212"/>
      <c r="R385" s="212"/>
      <c r="S385" s="212"/>
      <c r="T385" s="212"/>
      <c r="U385" s="212"/>
      <c r="V385" s="212"/>
      <c r="W385" s="212"/>
      <c r="X385" s="212"/>
      <c r="Y385" s="212"/>
      <c r="Z385" s="212"/>
      <c r="AA385" s="212"/>
      <c r="AB385" s="212"/>
      <c r="AC385" s="212"/>
      <c r="AD385" s="212"/>
      <c r="AE385" s="212"/>
      <c r="AF385" s="212"/>
      <c r="AG385" s="212"/>
      <c r="AH385" s="212"/>
      <c r="AI385" s="212"/>
      <c r="AJ385" s="212"/>
      <c r="AK385" s="212"/>
      <c r="AL385" s="212"/>
      <c r="AM385" s="212"/>
      <c r="AN385" s="212"/>
      <c r="AO385" s="212"/>
      <c r="AP385" s="212"/>
      <c r="AQ385" s="212"/>
      <c r="AR385" s="212"/>
      <c r="AS385" s="212"/>
      <c r="AT385" s="212"/>
      <c r="AU385" s="212"/>
      <c r="AV385" s="212"/>
      <c r="AW385" s="212"/>
      <c r="AX385" s="212"/>
      <c r="AY385" s="212"/>
      <c r="AZ385" s="212"/>
      <c r="BA385" s="212"/>
      <c r="BB385" s="212"/>
      <c r="BC385" s="212"/>
      <c r="BD385" s="212"/>
      <c r="BE385" s="212"/>
      <c r="BF385" s="212"/>
      <c r="BG385" s="212"/>
      <c r="BH385" s="212"/>
      <c r="BI385" s="212"/>
      <c r="BJ385" s="212"/>
      <c r="BK385" s="212"/>
      <c r="BL385" s="212"/>
      <c r="BM385" s="212"/>
      <c r="BN385" s="212"/>
      <c r="BO385" s="212"/>
      <c r="BP385" s="212"/>
      <c r="BQ385" s="212"/>
      <c r="BR385" s="212"/>
      <c r="BS385" s="212"/>
      <c r="BT385" s="212"/>
      <c r="BU385" s="212"/>
      <c r="BV385" s="212"/>
      <c r="BW385" s="212"/>
      <c r="BX385" s="212"/>
      <c r="BY385" s="212"/>
      <c r="BZ385" s="212"/>
      <c r="CA385" s="212"/>
      <c r="CB385" s="212"/>
      <c r="CC385" s="212"/>
      <c r="CD385" s="212"/>
      <c r="CE385" s="212"/>
      <c r="CF385" s="212"/>
      <c r="CG385" s="212"/>
      <c r="CH385" s="212"/>
      <c r="CI385" s="212"/>
      <c r="CJ385" s="212"/>
      <c r="CK385" s="212"/>
      <c r="CL385" s="212"/>
    </row>
    <row r="386" spans="10:90" ht="24.75" customHeight="1" x14ac:dyDescent="0.75">
      <c r="J386" s="220"/>
      <c r="K386" s="2"/>
      <c r="N386" s="212"/>
      <c r="O386" s="212"/>
      <c r="P386" s="212"/>
      <c r="Q386" s="212"/>
      <c r="R386" s="212"/>
      <c r="S386" s="212"/>
      <c r="T386" s="212"/>
      <c r="U386" s="212"/>
      <c r="V386" s="212"/>
      <c r="W386" s="212"/>
      <c r="X386" s="212"/>
      <c r="Y386" s="212"/>
      <c r="Z386" s="212"/>
      <c r="AA386" s="212"/>
      <c r="AB386" s="212"/>
      <c r="AC386" s="212"/>
      <c r="AD386" s="212"/>
      <c r="AE386" s="212"/>
      <c r="AF386" s="212"/>
      <c r="AG386" s="212"/>
      <c r="AH386" s="212"/>
      <c r="AI386" s="212"/>
      <c r="AJ386" s="212"/>
      <c r="AK386" s="212"/>
      <c r="AL386" s="212"/>
      <c r="AM386" s="212"/>
      <c r="AN386" s="212"/>
      <c r="AO386" s="212"/>
      <c r="AP386" s="212"/>
      <c r="AQ386" s="212"/>
      <c r="AR386" s="212"/>
      <c r="AS386" s="212"/>
      <c r="AT386" s="212"/>
      <c r="AU386" s="212"/>
      <c r="AV386" s="212"/>
      <c r="AW386" s="212"/>
      <c r="AX386" s="212"/>
      <c r="AY386" s="212"/>
      <c r="AZ386" s="212"/>
      <c r="BA386" s="212"/>
      <c r="BB386" s="212"/>
      <c r="BC386" s="212"/>
      <c r="BD386" s="212"/>
      <c r="BE386" s="212"/>
      <c r="BF386" s="212"/>
      <c r="BG386" s="212"/>
      <c r="BH386" s="212"/>
      <c r="BI386" s="212"/>
      <c r="BJ386" s="212"/>
      <c r="BK386" s="212"/>
      <c r="BL386" s="212"/>
      <c r="BM386" s="212"/>
      <c r="BN386" s="212"/>
      <c r="BO386" s="212"/>
      <c r="BP386" s="212"/>
      <c r="BQ386" s="212"/>
      <c r="BR386" s="212"/>
      <c r="BS386" s="212"/>
      <c r="BT386" s="212"/>
      <c r="BU386" s="212"/>
      <c r="BV386" s="212"/>
      <c r="BW386" s="212"/>
      <c r="BX386" s="212"/>
      <c r="BY386" s="212"/>
      <c r="BZ386" s="212"/>
      <c r="CA386" s="212"/>
      <c r="CB386" s="212"/>
      <c r="CC386" s="212"/>
      <c r="CD386" s="212"/>
      <c r="CE386" s="212"/>
      <c r="CF386" s="212"/>
      <c r="CG386" s="212"/>
      <c r="CH386" s="212"/>
      <c r="CI386" s="212"/>
      <c r="CJ386" s="212"/>
      <c r="CK386" s="212"/>
      <c r="CL386" s="212"/>
    </row>
    <row r="387" spans="10:90" ht="24.75" customHeight="1" x14ac:dyDescent="0.75">
      <c r="J387" s="220"/>
      <c r="K387" s="2"/>
      <c r="N387" s="212"/>
      <c r="O387" s="212"/>
      <c r="P387" s="212"/>
      <c r="Q387" s="212"/>
      <c r="R387" s="212"/>
      <c r="S387" s="212"/>
      <c r="T387" s="212"/>
      <c r="U387" s="212"/>
      <c r="V387" s="212"/>
      <c r="W387" s="212"/>
      <c r="X387" s="212"/>
      <c r="Y387" s="212"/>
      <c r="Z387" s="212"/>
      <c r="AA387" s="212"/>
      <c r="AB387" s="212"/>
      <c r="AC387" s="212"/>
      <c r="AD387" s="212"/>
      <c r="AE387" s="212"/>
      <c r="AF387" s="212"/>
      <c r="AG387" s="212"/>
      <c r="AH387" s="212"/>
      <c r="AI387" s="212"/>
      <c r="AJ387" s="212"/>
      <c r="AK387" s="212"/>
      <c r="AL387" s="212"/>
      <c r="AM387" s="212"/>
      <c r="AN387" s="212"/>
      <c r="AO387" s="212"/>
      <c r="AP387" s="212"/>
      <c r="AQ387" s="212"/>
      <c r="AR387" s="212"/>
      <c r="AS387" s="212"/>
      <c r="AT387" s="212"/>
      <c r="AU387" s="212"/>
      <c r="AV387" s="212"/>
      <c r="AW387" s="212"/>
      <c r="AX387" s="212"/>
      <c r="AY387" s="212"/>
      <c r="AZ387" s="212"/>
      <c r="BA387" s="212"/>
      <c r="BB387" s="212"/>
      <c r="BC387" s="212"/>
      <c r="BD387" s="212"/>
      <c r="BE387" s="212"/>
      <c r="BF387" s="212"/>
      <c r="BG387" s="212"/>
      <c r="BH387" s="212"/>
      <c r="BI387" s="212"/>
      <c r="BJ387" s="212"/>
      <c r="BK387" s="212"/>
      <c r="BL387" s="212"/>
      <c r="BM387" s="212"/>
      <c r="BN387" s="212"/>
      <c r="BO387" s="212"/>
      <c r="BP387" s="212"/>
      <c r="BQ387" s="212"/>
      <c r="BR387" s="212"/>
      <c r="BS387" s="212"/>
      <c r="BT387" s="212"/>
      <c r="BU387" s="212"/>
      <c r="BV387" s="212"/>
      <c r="BW387" s="212"/>
      <c r="BX387" s="212"/>
      <c r="BY387" s="212"/>
      <c r="BZ387" s="212"/>
      <c r="CA387" s="212"/>
      <c r="CB387" s="212"/>
      <c r="CC387" s="212"/>
      <c r="CD387" s="212"/>
      <c r="CE387" s="212"/>
      <c r="CF387" s="212"/>
      <c r="CG387" s="212"/>
      <c r="CH387" s="212"/>
      <c r="CI387" s="212"/>
      <c r="CJ387" s="212"/>
      <c r="CK387" s="212"/>
      <c r="CL387" s="212"/>
    </row>
    <row r="388" spans="10:90" ht="24.75" customHeight="1" x14ac:dyDescent="0.75">
      <c r="J388" s="220"/>
      <c r="K388" s="2"/>
      <c r="N388" s="212"/>
      <c r="O388" s="212"/>
      <c r="P388" s="212"/>
      <c r="Q388" s="212"/>
      <c r="R388" s="212"/>
      <c r="S388" s="212"/>
      <c r="T388" s="212"/>
      <c r="U388" s="212"/>
      <c r="V388" s="212"/>
      <c r="W388" s="212"/>
      <c r="X388" s="212"/>
      <c r="Y388" s="212"/>
      <c r="Z388" s="212"/>
      <c r="AA388" s="212"/>
      <c r="AB388" s="212"/>
      <c r="AC388" s="212"/>
      <c r="AD388" s="212"/>
      <c r="AE388" s="212"/>
      <c r="AF388" s="212"/>
      <c r="AG388" s="212"/>
      <c r="AH388" s="212"/>
      <c r="AI388" s="212"/>
      <c r="AJ388" s="212"/>
      <c r="AK388" s="212"/>
      <c r="AL388" s="212"/>
      <c r="AM388" s="212"/>
      <c r="AN388" s="212"/>
      <c r="AO388" s="212"/>
      <c r="AP388" s="212"/>
      <c r="AQ388" s="212"/>
      <c r="AR388" s="212"/>
      <c r="AS388" s="212"/>
      <c r="AT388" s="212"/>
      <c r="AU388" s="212"/>
      <c r="AV388" s="212"/>
      <c r="AW388" s="212"/>
      <c r="AX388" s="212"/>
      <c r="AY388" s="212"/>
      <c r="AZ388" s="212"/>
      <c r="BA388" s="212"/>
      <c r="BB388" s="212"/>
      <c r="BC388" s="212"/>
      <c r="BD388" s="212"/>
      <c r="BE388" s="212"/>
      <c r="BF388" s="212"/>
      <c r="BG388" s="212"/>
      <c r="BH388" s="212"/>
      <c r="BI388" s="212"/>
      <c r="BJ388" s="212"/>
      <c r="BK388" s="212"/>
      <c r="BL388" s="212"/>
      <c r="BM388" s="212"/>
      <c r="BN388" s="212"/>
      <c r="BO388" s="212"/>
      <c r="BP388" s="212"/>
      <c r="BQ388" s="212"/>
      <c r="BR388" s="212"/>
      <c r="BS388" s="212"/>
      <c r="BT388" s="212"/>
      <c r="BU388" s="212"/>
      <c r="BV388" s="212"/>
      <c r="BW388" s="212"/>
      <c r="BX388" s="212"/>
      <c r="BY388" s="212"/>
      <c r="BZ388" s="212"/>
      <c r="CA388" s="212"/>
      <c r="CB388" s="212"/>
      <c r="CC388" s="212"/>
      <c r="CD388" s="212"/>
      <c r="CE388" s="212"/>
      <c r="CF388" s="212"/>
      <c r="CG388" s="212"/>
      <c r="CH388" s="212"/>
      <c r="CI388" s="212"/>
      <c r="CJ388" s="212"/>
      <c r="CK388" s="212"/>
      <c r="CL388" s="212"/>
    </row>
    <row r="389" spans="10:90" ht="24.75" customHeight="1" x14ac:dyDescent="0.75">
      <c r="J389" s="220"/>
      <c r="K389" s="2"/>
      <c r="N389" s="212"/>
      <c r="O389" s="212"/>
      <c r="P389" s="212"/>
      <c r="Q389" s="212"/>
      <c r="R389" s="212"/>
      <c r="S389" s="212"/>
      <c r="T389" s="212"/>
      <c r="U389" s="212"/>
      <c r="V389" s="212"/>
      <c r="W389" s="212"/>
      <c r="X389" s="212"/>
      <c r="Y389" s="212"/>
      <c r="Z389" s="212"/>
      <c r="AA389" s="212"/>
      <c r="AB389" s="212"/>
      <c r="AC389" s="212"/>
      <c r="AD389" s="212"/>
      <c r="AE389" s="212"/>
      <c r="AF389" s="212"/>
      <c r="AG389" s="212"/>
      <c r="AH389" s="212"/>
      <c r="AI389" s="212"/>
      <c r="AJ389" s="212"/>
      <c r="AK389" s="212"/>
      <c r="AL389" s="212"/>
      <c r="AM389" s="212"/>
      <c r="AN389" s="212"/>
      <c r="AO389" s="212"/>
      <c r="AP389" s="212"/>
      <c r="AQ389" s="212"/>
      <c r="AR389" s="212"/>
      <c r="AS389" s="212"/>
      <c r="AT389" s="212"/>
      <c r="AU389" s="212"/>
      <c r="AV389" s="212"/>
      <c r="AW389" s="212"/>
      <c r="AX389" s="212"/>
      <c r="AY389" s="212"/>
      <c r="AZ389" s="212"/>
      <c r="BA389" s="212"/>
      <c r="BB389" s="212"/>
      <c r="BC389" s="212"/>
      <c r="BD389" s="212"/>
      <c r="BE389" s="212"/>
      <c r="BF389" s="212"/>
      <c r="BG389" s="212"/>
      <c r="BH389" s="212"/>
      <c r="BI389" s="212"/>
      <c r="BJ389" s="212"/>
      <c r="BK389" s="212"/>
      <c r="BL389" s="212"/>
      <c r="BM389" s="212"/>
      <c r="BN389" s="212"/>
      <c r="BO389" s="212"/>
      <c r="BP389" s="212"/>
      <c r="BQ389" s="212"/>
      <c r="BR389" s="212"/>
      <c r="BS389" s="212"/>
      <c r="BT389" s="212"/>
      <c r="BU389" s="212"/>
      <c r="BV389" s="212"/>
      <c r="BW389" s="212"/>
      <c r="BX389" s="212"/>
      <c r="BY389" s="212"/>
      <c r="BZ389" s="212"/>
      <c r="CA389" s="212"/>
      <c r="CB389" s="212"/>
      <c r="CC389" s="212"/>
      <c r="CD389" s="212"/>
      <c r="CE389" s="212"/>
      <c r="CF389" s="212"/>
      <c r="CG389" s="212"/>
      <c r="CH389" s="212"/>
      <c r="CI389" s="212"/>
      <c r="CJ389" s="212"/>
      <c r="CK389" s="212"/>
      <c r="CL389" s="212"/>
    </row>
    <row r="390" spans="10:90" ht="24.75" customHeight="1" x14ac:dyDescent="0.75">
      <c r="J390" s="220"/>
      <c r="K390" s="2"/>
      <c r="N390" s="212"/>
      <c r="O390" s="212"/>
      <c r="P390" s="212"/>
      <c r="Q390" s="212"/>
      <c r="R390" s="212"/>
      <c r="S390" s="212"/>
      <c r="T390" s="212"/>
      <c r="U390" s="212"/>
      <c r="V390" s="212"/>
      <c r="W390" s="212"/>
      <c r="X390" s="212"/>
      <c r="Y390" s="212"/>
      <c r="Z390" s="212"/>
      <c r="AA390" s="212"/>
      <c r="AB390" s="212"/>
      <c r="AC390" s="212"/>
      <c r="AD390" s="212"/>
      <c r="AE390" s="212"/>
      <c r="AF390" s="212"/>
      <c r="AG390" s="212"/>
      <c r="AH390" s="212"/>
      <c r="AI390" s="212"/>
      <c r="AJ390" s="212"/>
      <c r="AK390" s="212"/>
      <c r="AL390" s="212"/>
      <c r="AM390" s="212"/>
      <c r="AN390" s="212"/>
      <c r="AO390" s="212"/>
      <c r="AP390" s="212"/>
      <c r="AQ390" s="212"/>
      <c r="AR390" s="212"/>
      <c r="AS390" s="212"/>
      <c r="AT390" s="212"/>
      <c r="AU390" s="212"/>
      <c r="AV390" s="212"/>
      <c r="AW390" s="212"/>
      <c r="AX390" s="212"/>
      <c r="AY390" s="212"/>
      <c r="AZ390" s="212"/>
      <c r="BA390" s="212"/>
      <c r="BB390" s="212"/>
      <c r="BC390" s="212"/>
      <c r="BD390" s="212"/>
      <c r="BE390" s="212"/>
      <c r="BF390" s="212"/>
      <c r="BG390" s="212"/>
      <c r="BH390" s="212"/>
      <c r="BI390" s="212"/>
      <c r="BJ390" s="212"/>
      <c r="BK390" s="212"/>
      <c r="BL390" s="212"/>
      <c r="BM390" s="212"/>
      <c r="BN390" s="212"/>
      <c r="BO390" s="212"/>
      <c r="BP390" s="212"/>
      <c r="BQ390" s="212"/>
      <c r="BR390" s="212"/>
      <c r="BS390" s="212"/>
      <c r="BT390" s="212"/>
      <c r="BU390" s="212"/>
      <c r="BV390" s="212"/>
      <c r="BW390" s="212"/>
      <c r="BX390" s="212"/>
      <c r="BY390" s="212"/>
      <c r="BZ390" s="212"/>
      <c r="CA390" s="212"/>
      <c r="CB390" s="212"/>
      <c r="CC390" s="212"/>
      <c r="CD390" s="212"/>
      <c r="CE390" s="212"/>
      <c r="CF390" s="212"/>
      <c r="CG390" s="212"/>
      <c r="CH390" s="212"/>
      <c r="CI390" s="212"/>
      <c r="CJ390" s="212"/>
      <c r="CK390" s="212"/>
      <c r="CL390" s="212"/>
    </row>
    <row r="391" spans="10:90" ht="24.75" customHeight="1" x14ac:dyDescent="0.75">
      <c r="J391" s="220"/>
      <c r="K391" s="2"/>
      <c r="N391" s="212"/>
      <c r="O391" s="212"/>
      <c r="P391" s="212"/>
      <c r="Q391" s="212"/>
      <c r="R391" s="212"/>
      <c r="S391" s="212"/>
      <c r="T391" s="212"/>
      <c r="U391" s="212"/>
      <c r="V391" s="212"/>
      <c r="W391" s="212"/>
      <c r="X391" s="212"/>
      <c r="Y391" s="212"/>
      <c r="Z391" s="212"/>
      <c r="AA391" s="212"/>
      <c r="AB391" s="212"/>
      <c r="AC391" s="212"/>
      <c r="AD391" s="212"/>
      <c r="AE391" s="212"/>
      <c r="AF391" s="212"/>
      <c r="AG391" s="212"/>
      <c r="AH391" s="212"/>
      <c r="AI391" s="212"/>
      <c r="AJ391" s="212"/>
      <c r="AK391" s="212"/>
      <c r="AL391" s="212"/>
      <c r="AM391" s="212"/>
      <c r="AN391" s="212"/>
      <c r="AO391" s="212"/>
      <c r="AP391" s="212"/>
      <c r="AQ391" s="212"/>
      <c r="AR391" s="212"/>
      <c r="AS391" s="212"/>
      <c r="AT391" s="212"/>
      <c r="AU391" s="212"/>
      <c r="AV391" s="212"/>
      <c r="AW391" s="212"/>
      <c r="AX391" s="212"/>
      <c r="AY391" s="212"/>
      <c r="AZ391" s="212"/>
      <c r="BA391" s="212"/>
      <c r="BB391" s="212"/>
      <c r="BC391" s="212"/>
      <c r="BD391" s="212"/>
      <c r="BE391" s="212"/>
      <c r="BF391" s="212"/>
      <c r="BG391" s="212"/>
      <c r="BH391" s="212"/>
      <c r="BI391" s="212"/>
      <c r="BJ391" s="212"/>
      <c r="BK391" s="212"/>
      <c r="BL391" s="212"/>
      <c r="BM391" s="212"/>
      <c r="BN391" s="212"/>
      <c r="BO391" s="212"/>
      <c r="BP391" s="212"/>
      <c r="BQ391" s="212"/>
      <c r="BR391" s="212"/>
      <c r="BS391" s="212"/>
      <c r="BT391" s="212"/>
      <c r="BU391" s="212"/>
      <c r="BV391" s="212"/>
      <c r="BW391" s="212"/>
      <c r="BX391" s="212"/>
      <c r="BY391" s="212"/>
      <c r="BZ391" s="212"/>
      <c r="CA391" s="212"/>
      <c r="CB391" s="212"/>
      <c r="CC391" s="212"/>
      <c r="CD391" s="212"/>
      <c r="CE391" s="212"/>
      <c r="CF391" s="212"/>
      <c r="CG391" s="212"/>
      <c r="CH391" s="212"/>
      <c r="CI391" s="212"/>
      <c r="CJ391" s="212"/>
      <c r="CK391" s="212"/>
      <c r="CL391" s="212"/>
    </row>
    <row r="392" spans="10:90" ht="24.75" customHeight="1" x14ac:dyDescent="0.75">
      <c r="J392" s="220"/>
      <c r="K392" s="2"/>
      <c r="N392" s="212"/>
      <c r="O392" s="212"/>
      <c r="P392" s="212"/>
      <c r="Q392" s="212"/>
      <c r="R392" s="212"/>
      <c r="S392" s="212"/>
      <c r="T392" s="212"/>
      <c r="U392" s="212"/>
      <c r="V392" s="212"/>
      <c r="W392" s="212"/>
      <c r="X392" s="212"/>
      <c r="Y392" s="212"/>
      <c r="Z392" s="212"/>
      <c r="AA392" s="212"/>
      <c r="AB392" s="212"/>
      <c r="AC392" s="212"/>
      <c r="AD392" s="212"/>
      <c r="AE392" s="212"/>
      <c r="AF392" s="212"/>
      <c r="AG392" s="212"/>
      <c r="AH392" s="212"/>
      <c r="AI392" s="212"/>
      <c r="AJ392" s="212"/>
      <c r="AK392" s="212"/>
      <c r="AL392" s="212"/>
      <c r="AM392" s="212"/>
      <c r="AN392" s="212"/>
      <c r="AO392" s="212"/>
      <c r="AP392" s="212"/>
      <c r="AQ392" s="212"/>
      <c r="AR392" s="212"/>
      <c r="AS392" s="212"/>
      <c r="AT392" s="212"/>
      <c r="AU392" s="212"/>
      <c r="AV392" s="212"/>
      <c r="AW392" s="212"/>
      <c r="AX392" s="212"/>
      <c r="AY392" s="212"/>
      <c r="AZ392" s="212"/>
      <c r="BA392" s="212"/>
      <c r="BB392" s="212"/>
      <c r="BC392" s="212"/>
      <c r="BD392" s="212"/>
      <c r="BE392" s="212"/>
      <c r="BF392" s="212"/>
      <c r="BG392" s="212"/>
      <c r="BH392" s="212"/>
      <c r="BI392" s="212"/>
      <c r="BJ392" s="212"/>
      <c r="BK392" s="212"/>
      <c r="BL392" s="212"/>
      <c r="BM392" s="212"/>
      <c r="BN392" s="212"/>
      <c r="BO392" s="212"/>
      <c r="BP392" s="212"/>
      <c r="BQ392" s="212"/>
      <c r="BR392" s="212"/>
      <c r="BS392" s="212"/>
      <c r="BT392" s="212"/>
      <c r="BU392" s="212"/>
      <c r="BV392" s="212"/>
      <c r="BW392" s="212"/>
      <c r="BX392" s="212"/>
      <c r="BY392" s="212"/>
      <c r="BZ392" s="212"/>
      <c r="CA392" s="212"/>
      <c r="CB392" s="212"/>
      <c r="CC392" s="212"/>
      <c r="CD392" s="212"/>
      <c r="CE392" s="212"/>
      <c r="CF392" s="212"/>
      <c r="CG392" s="212"/>
      <c r="CH392" s="212"/>
      <c r="CI392" s="212"/>
      <c r="CJ392" s="212"/>
      <c r="CK392" s="212"/>
      <c r="CL392" s="212"/>
    </row>
    <row r="393" spans="10:90" ht="24.75" customHeight="1" x14ac:dyDescent="0.75">
      <c r="J393" s="220"/>
      <c r="K393" s="2"/>
      <c r="N393" s="212"/>
      <c r="O393" s="212"/>
      <c r="P393" s="212"/>
      <c r="Q393" s="212"/>
      <c r="R393" s="212"/>
      <c r="S393" s="212"/>
      <c r="T393" s="212"/>
      <c r="U393" s="212"/>
      <c r="V393" s="212"/>
      <c r="W393" s="212"/>
      <c r="X393" s="212"/>
      <c r="Y393" s="212"/>
      <c r="Z393" s="212"/>
      <c r="AA393" s="212"/>
      <c r="AB393" s="212"/>
      <c r="AC393" s="212"/>
      <c r="AD393" s="212"/>
      <c r="AE393" s="212"/>
      <c r="AF393" s="212"/>
      <c r="AG393" s="212"/>
      <c r="AH393" s="212"/>
      <c r="AI393" s="212"/>
      <c r="AJ393" s="212"/>
      <c r="AK393" s="212"/>
      <c r="AL393" s="212"/>
      <c r="AM393" s="212"/>
      <c r="AN393" s="212"/>
      <c r="AO393" s="212"/>
      <c r="AP393" s="212"/>
      <c r="AQ393" s="212"/>
      <c r="AR393" s="212"/>
      <c r="AS393" s="212"/>
      <c r="AT393" s="212"/>
      <c r="AU393" s="212"/>
      <c r="AV393" s="212"/>
      <c r="AW393" s="212"/>
      <c r="AX393" s="212"/>
      <c r="AY393" s="212"/>
      <c r="AZ393" s="212"/>
      <c r="BA393" s="212"/>
      <c r="BB393" s="212"/>
      <c r="BC393" s="212"/>
      <c r="BD393" s="212"/>
      <c r="BE393" s="212"/>
      <c r="BF393" s="212"/>
      <c r="BG393" s="212"/>
      <c r="BH393" s="212"/>
      <c r="BI393" s="212"/>
      <c r="BJ393" s="212"/>
      <c r="BK393" s="212"/>
      <c r="BL393" s="212"/>
      <c r="BM393" s="212"/>
      <c r="BN393" s="212"/>
      <c r="BO393" s="212"/>
      <c r="BP393" s="212"/>
      <c r="BQ393" s="212"/>
      <c r="BR393" s="212"/>
      <c r="BS393" s="212"/>
      <c r="BT393" s="212"/>
      <c r="BU393" s="212"/>
      <c r="BV393" s="212"/>
      <c r="BW393" s="212"/>
      <c r="BX393" s="212"/>
      <c r="BY393" s="212"/>
      <c r="BZ393" s="212"/>
      <c r="CA393" s="212"/>
      <c r="CB393" s="212"/>
      <c r="CC393" s="212"/>
      <c r="CD393" s="212"/>
      <c r="CE393" s="212"/>
      <c r="CF393" s="212"/>
      <c r="CG393" s="212"/>
      <c r="CH393" s="212"/>
      <c r="CI393" s="212"/>
      <c r="CJ393" s="212"/>
      <c r="CK393" s="212"/>
      <c r="CL393" s="212"/>
    </row>
    <row r="394" spans="10:90" ht="24.75" customHeight="1" x14ac:dyDescent="0.75">
      <c r="J394" s="220"/>
      <c r="K394" s="2"/>
      <c r="N394" s="212"/>
      <c r="O394" s="212"/>
      <c r="P394" s="212"/>
      <c r="Q394" s="212"/>
      <c r="R394" s="212"/>
      <c r="S394" s="212"/>
      <c r="T394" s="212"/>
      <c r="U394" s="212"/>
      <c r="V394" s="212"/>
      <c r="W394" s="212"/>
      <c r="X394" s="212"/>
      <c r="Y394" s="212"/>
      <c r="Z394" s="212"/>
      <c r="AA394" s="212"/>
      <c r="AB394" s="212"/>
      <c r="AC394" s="212"/>
      <c r="AD394" s="212"/>
      <c r="AE394" s="212"/>
      <c r="AF394" s="212"/>
      <c r="AG394" s="212"/>
      <c r="AH394" s="212"/>
      <c r="AI394" s="212"/>
      <c r="AJ394" s="212"/>
      <c r="AK394" s="212"/>
      <c r="AL394" s="212"/>
      <c r="AM394" s="212"/>
      <c r="AN394" s="212"/>
      <c r="AO394" s="212"/>
      <c r="AP394" s="212"/>
      <c r="AQ394" s="212"/>
      <c r="AR394" s="212"/>
      <c r="AS394" s="212"/>
      <c r="AT394" s="212"/>
      <c r="AU394" s="212"/>
      <c r="AV394" s="212"/>
      <c r="AW394" s="212"/>
      <c r="AX394" s="212"/>
      <c r="AY394" s="212"/>
      <c r="AZ394" s="212"/>
      <c r="BA394" s="212"/>
      <c r="BB394" s="212"/>
      <c r="BC394" s="212"/>
      <c r="BD394" s="212"/>
      <c r="BE394" s="212"/>
      <c r="BF394" s="212"/>
      <c r="BG394" s="212"/>
      <c r="BH394" s="212"/>
      <c r="BI394" s="212"/>
      <c r="BJ394" s="212"/>
      <c r="BK394" s="212"/>
      <c r="BL394" s="212"/>
      <c r="BM394" s="212"/>
      <c r="BN394" s="212"/>
      <c r="BO394" s="212"/>
      <c r="BP394" s="212"/>
      <c r="BQ394" s="212"/>
      <c r="BR394" s="212"/>
      <c r="BS394" s="212"/>
      <c r="BT394" s="212"/>
      <c r="BU394" s="212"/>
      <c r="BV394" s="212"/>
      <c r="BW394" s="212"/>
      <c r="BX394" s="212"/>
      <c r="BY394" s="212"/>
      <c r="BZ394" s="212"/>
      <c r="CA394" s="212"/>
      <c r="CB394" s="212"/>
      <c r="CC394" s="212"/>
      <c r="CD394" s="212"/>
      <c r="CE394" s="212"/>
      <c r="CF394" s="212"/>
      <c r="CG394" s="212"/>
      <c r="CH394" s="212"/>
      <c r="CI394" s="212"/>
      <c r="CJ394" s="212"/>
      <c r="CK394" s="212"/>
      <c r="CL394" s="212"/>
    </row>
    <row r="395" spans="10:90" ht="24.75" customHeight="1" x14ac:dyDescent="0.75">
      <c r="J395" s="220"/>
      <c r="K395" s="2"/>
      <c r="N395" s="212"/>
      <c r="O395" s="212"/>
      <c r="P395" s="212"/>
      <c r="Q395" s="212"/>
      <c r="R395" s="212"/>
      <c r="S395" s="212"/>
      <c r="T395" s="212"/>
      <c r="U395" s="212"/>
      <c r="V395" s="212"/>
      <c r="W395" s="212"/>
      <c r="X395" s="212"/>
      <c r="Y395" s="212"/>
      <c r="Z395" s="212"/>
      <c r="AA395" s="212"/>
      <c r="AB395" s="212"/>
      <c r="AC395" s="212"/>
      <c r="AD395" s="212"/>
      <c r="AE395" s="212"/>
      <c r="AF395" s="212"/>
      <c r="AG395" s="212"/>
      <c r="AH395" s="212"/>
      <c r="AI395" s="212"/>
      <c r="AJ395" s="212"/>
      <c r="AK395" s="212"/>
      <c r="AL395" s="212"/>
      <c r="AM395" s="212"/>
      <c r="AN395" s="212"/>
      <c r="AO395" s="212"/>
      <c r="AP395" s="212"/>
      <c r="AQ395" s="212"/>
      <c r="AR395" s="212"/>
      <c r="AS395" s="212"/>
      <c r="AT395" s="212"/>
      <c r="AU395" s="212"/>
      <c r="AV395" s="212"/>
      <c r="AW395" s="212"/>
      <c r="AX395" s="212"/>
      <c r="AY395" s="212"/>
      <c r="AZ395" s="212"/>
      <c r="BA395" s="212"/>
      <c r="BB395" s="212"/>
      <c r="BC395" s="212"/>
      <c r="BD395" s="212"/>
      <c r="BE395" s="212"/>
      <c r="BF395" s="212"/>
      <c r="BG395" s="212"/>
      <c r="BH395" s="212"/>
      <c r="BI395" s="212"/>
      <c r="BJ395" s="212"/>
      <c r="BK395" s="212"/>
      <c r="BL395" s="212"/>
      <c r="BM395" s="212"/>
      <c r="BN395" s="212"/>
      <c r="BO395" s="212"/>
      <c r="BP395" s="212"/>
      <c r="BQ395" s="212"/>
      <c r="BR395" s="212"/>
      <c r="BS395" s="212"/>
      <c r="BT395" s="212"/>
      <c r="BU395" s="212"/>
      <c r="BV395" s="212"/>
      <c r="BW395" s="212"/>
      <c r="BX395" s="212"/>
      <c r="BY395" s="212"/>
      <c r="BZ395" s="212"/>
      <c r="CA395" s="212"/>
      <c r="CB395" s="212"/>
      <c r="CC395" s="212"/>
      <c r="CD395" s="212"/>
      <c r="CE395" s="212"/>
      <c r="CF395" s="212"/>
      <c r="CG395" s="212"/>
      <c r="CH395" s="212"/>
      <c r="CI395" s="212"/>
      <c r="CJ395" s="212"/>
      <c r="CK395" s="212"/>
      <c r="CL395" s="212"/>
    </row>
    <row r="396" spans="10:90" ht="24.75" customHeight="1" x14ac:dyDescent="0.75">
      <c r="J396" s="220"/>
      <c r="K396" s="2"/>
      <c r="N396" s="212"/>
      <c r="O396" s="212"/>
      <c r="P396" s="212"/>
      <c r="Q396" s="212"/>
      <c r="R396" s="212"/>
      <c r="S396" s="212"/>
      <c r="T396" s="212"/>
      <c r="U396" s="212"/>
      <c r="V396" s="212"/>
      <c r="W396" s="212"/>
      <c r="X396" s="212"/>
      <c r="Y396" s="212"/>
      <c r="Z396" s="212"/>
      <c r="AA396" s="212"/>
      <c r="AB396" s="212"/>
      <c r="AC396" s="212"/>
      <c r="AD396" s="212"/>
      <c r="AE396" s="212"/>
      <c r="AF396" s="212"/>
      <c r="AG396" s="212"/>
      <c r="AH396" s="212"/>
      <c r="AI396" s="212"/>
      <c r="AJ396" s="212"/>
      <c r="AK396" s="212"/>
      <c r="AL396" s="212"/>
      <c r="AM396" s="212"/>
      <c r="AN396" s="212"/>
      <c r="AO396" s="212"/>
      <c r="AP396" s="212"/>
      <c r="AQ396" s="212"/>
      <c r="AR396" s="212"/>
      <c r="AS396" s="212"/>
      <c r="AT396" s="212"/>
      <c r="AU396" s="212"/>
      <c r="AV396" s="212"/>
      <c r="AW396" s="212"/>
      <c r="AX396" s="212"/>
      <c r="AY396" s="212"/>
      <c r="AZ396" s="212"/>
      <c r="BA396" s="212"/>
      <c r="BB396" s="212"/>
      <c r="BC396" s="212"/>
      <c r="BD396" s="212"/>
      <c r="BE396" s="212"/>
      <c r="BF396" s="212"/>
      <c r="BG396" s="212"/>
      <c r="BH396" s="212"/>
      <c r="BI396" s="212"/>
      <c r="BJ396" s="212"/>
      <c r="BK396" s="212"/>
      <c r="BL396" s="212"/>
      <c r="BM396" s="212"/>
      <c r="BN396" s="212"/>
      <c r="BO396" s="212"/>
      <c r="BP396" s="212"/>
      <c r="BQ396" s="212"/>
      <c r="BR396" s="212"/>
      <c r="BS396" s="212"/>
      <c r="BT396" s="212"/>
      <c r="BU396" s="212"/>
      <c r="BV396" s="212"/>
      <c r="BW396" s="212"/>
      <c r="BX396" s="212"/>
      <c r="BY396" s="212"/>
      <c r="BZ396" s="212"/>
      <c r="CA396" s="212"/>
      <c r="CB396" s="212"/>
      <c r="CC396" s="212"/>
      <c r="CD396" s="212"/>
      <c r="CE396" s="212"/>
      <c r="CF396" s="212"/>
      <c r="CG396" s="212"/>
      <c r="CH396" s="212"/>
      <c r="CI396" s="212"/>
      <c r="CJ396" s="212"/>
      <c r="CK396" s="212"/>
      <c r="CL396" s="212"/>
    </row>
    <row r="397" spans="10:90" ht="24.75" customHeight="1" x14ac:dyDescent="0.75">
      <c r="J397" s="220"/>
      <c r="K397" s="2"/>
      <c r="N397" s="212"/>
      <c r="O397" s="212"/>
      <c r="P397" s="212"/>
      <c r="Q397" s="212"/>
      <c r="R397" s="212"/>
      <c r="S397" s="212"/>
      <c r="T397" s="212"/>
      <c r="U397" s="212"/>
      <c r="V397" s="212"/>
      <c r="W397" s="212"/>
      <c r="X397" s="212"/>
      <c r="Y397" s="212"/>
      <c r="Z397" s="212"/>
      <c r="AA397" s="212"/>
      <c r="AB397" s="212"/>
      <c r="AC397" s="212"/>
      <c r="AD397" s="212"/>
      <c r="AE397" s="212"/>
      <c r="AF397" s="212"/>
      <c r="AG397" s="212"/>
      <c r="AH397" s="212"/>
      <c r="AI397" s="212"/>
      <c r="AJ397" s="212"/>
      <c r="AK397" s="212"/>
      <c r="AL397" s="212"/>
      <c r="AM397" s="212"/>
      <c r="AN397" s="212"/>
      <c r="AO397" s="212"/>
      <c r="AP397" s="212"/>
      <c r="AQ397" s="212"/>
      <c r="AR397" s="212"/>
      <c r="AS397" s="212"/>
      <c r="AT397" s="212"/>
      <c r="AU397" s="212"/>
      <c r="AV397" s="212"/>
      <c r="AW397" s="212"/>
      <c r="AX397" s="212"/>
      <c r="AY397" s="212"/>
      <c r="AZ397" s="212"/>
      <c r="BA397" s="212"/>
      <c r="BB397" s="212"/>
      <c r="BC397" s="212"/>
      <c r="BD397" s="212"/>
      <c r="BE397" s="212"/>
      <c r="BF397" s="212"/>
      <c r="BG397" s="212"/>
      <c r="BH397" s="212"/>
      <c r="BI397" s="212"/>
      <c r="BJ397" s="212"/>
      <c r="BK397" s="212"/>
      <c r="BL397" s="212"/>
      <c r="BM397" s="212"/>
      <c r="BN397" s="212"/>
      <c r="BO397" s="212"/>
      <c r="BP397" s="212"/>
      <c r="BQ397" s="212"/>
      <c r="BR397" s="212"/>
      <c r="BS397" s="212"/>
      <c r="BT397" s="212"/>
      <c r="BU397" s="212"/>
      <c r="BV397" s="212"/>
      <c r="BW397" s="212"/>
      <c r="BX397" s="212"/>
      <c r="BY397" s="212"/>
      <c r="BZ397" s="212"/>
      <c r="CA397" s="212"/>
      <c r="CB397" s="212"/>
      <c r="CC397" s="212"/>
      <c r="CD397" s="212"/>
      <c r="CE397" s="212"/>
      <c r="CF397" s="212"/>
      <c r="CG397" s="212"/>
      <c r="CH397" s="212"/>
      <c r="CI397" s="212"/>
      <c r="CJ397" s="212"/>
      <c r="CK397" s="212"/>
      <c r="CL397" s="212"/>
    </row>
    <row r="398" spans="10:90" ht="24.75" customHeight="1" x14ac:dyDescent="0.75">
      <c r="J398" s="220"/>
      <c r="K398" s="2"/>
      <c r="N398" s="212"/>
      <c r="O398" s="212"/>
      <c r="P398" s="212"/>
      <c r="Q398" s="212"/>
      <c r="R398" s="212"/>
      <c r="S398" s="212"/>
      <c r="T398" s="212"/>
      <c r="U398" s="212"/>
      <c r="V398" s="212"/>
      <c r="W398" s="212"/>
      <c r="X398" s="212"/>
      <c r="Y398" s="212"/>
      <c r="Z398" s="212"/>
      <c r="AA398" s="212"/>
      <c r="AB398" s="212"/>
      <c r="AC398" s="212"/>
      <c r="AD398" s="212"/>
      <c r="AE398" s="212"/>
      <c r="AF398" s="212"/>
      <c r="AG398" s="212"/>
      <c r="AH398" s="212"/>
      <c r="AI398" s="212"/>
      <c r="AJ398" s="212"/>
      <c r="AK398" s="212"/>
      <c r="AL398" s="212"/>
      <c r="AM398" s="212"/>
      <c r="AN398" s="212"/>
      <c r="AO398" s="212"/>
      <c r="AP398" s="212"/>
      <c r="AQ398" s="212"/>
      <c r="AR398" s="212"/>
      <c r="AS398" s="212"/>
      <c r="AT398" s="212"/>
      <c r="AU398" s="212"/>
      <c r="AV398" s="212"/>
      <c r="AW398" s="212"/>
      <c r="AX398" s="212"/>
      <c r="AY398" s="212"/>
      <c r="AZ398" s="212"/>
      <c r="BA398" s="212"/>
      <c r="BB398" s="212"/>
      <c r="BC398" s="212"/>
      <c r="BD398" s="212"/>
      <c r="BE398" s="212"/>
      <c r="BF398" s="212"/>
      <c r="BG398" s="212"/>
      <c r="BH398" s="212"/>
      <c r="BI398" s="212"/>
      <c r="BJ398" s="212"/>
      <c r="BK398" s="212"/>
      <c r="BL398" s="212"/>
      <c r="BM398" s="212"/>
      <c r="BN398" s="212"/>
      <c r="BO398" s="212"/>
      <c r="BP398" s="212"/>
      <c r="BQ398" s="212"/>
      <c r="BR398" s="212"/>
      <c r="BS398" s="212"/>
      <c r="BT398" s="212"/>
      <c r="BU398" s="212"/>
      <c r="BV398" s="212"/>
      <c r="BW398" s="212"/>
      <c r="BX398" s="212"/>
      <c r="BY398" s="212"/>
      <c r="BZ398" s="212"/>
      <c r="CA398" s="212"/>
      <c r="CB398" s="212"/>
      <c r="CC398" s="212"/>
      <c r="CD398" s="212"/>
      <c r="CE398" s="212"/>
      <c r="CF398" s="212"/>
      <c r="CG398" s="212"/>
      <c r="CH398" s="212"/>
      <c r="CI398" s="212"/>
      <c r="CJ398" s="212"/>
      <c r="CK398" s="212"/>
      <c r="CL398" s="212"/>
    </row>
    <row r="399" spans="10:90" ht="24.75" customHeight="1" x14ac:dyDescent="0.75">
      <c r="J399" s="220"/>
      <c r="K399" s="2"/>
      <c r="N399" s="212"/>
      <c r="O399" s="212"/>
      <c r="P399" s="212"/>
      <c r="Q399" s="212"/>
      <c r="R399" s="212"/>
      <c r="S399" s="212"/>
      <c r="T399" s="212"/>
      <c r="U399" s="212"/>
      <c r="V399" s="212"/>
      <c r="W399" s="212"/>
      <c r="X399" s="212"/>
      <c r="Y399" s="212"/>
      <c r="Z399" s="212"/>
      <c r="AA399" s="212"/>
      <c r="AB399" s="212"/>
      <c r="AC399" s="212"/>
      <c r="AD399" s="212"/>
      <c r="AE399" s="212"/>
      <c r="AF399" s="212"/>
      <c r="AG399" s="212"/>
      <c r="AH399" s="212"/>
      <c r="AI399" s="212"/>
      <c r="AJ399" s="212"/>
      <c r="AK399" s="212"/>
      <c r="AL399" s="212"/>
      <c r="AM399" s="212"/>
      <c r="AN399" s="212"/>
      <c r="AO399" s="212"/>
      <c r="AP399" s="212"/>
      <c r="AQ399" s="212"/>
      <c r="AR399" s="212"/>
      <c r="AS399" s="212"/>
      <c r="AT399" s="212"/>
      <c r="AU399" s="212"/>
      <c r="AV399" s="212"/>
      <c r="AW399" s="212"/>
      <c r="AX399" s="212"/>
      <c r="AY399" s="212"/>
      <c r="AZ399" s="212"/>
      <c r="BA399" s="212"/>
      <c r="BB399" s="212"/>
      <c r="BC399" s="212"/>
      <c r="BD399" s="212"/>
      <c r="BE399" s="212"/>
      <c r="BF399" s="212"/>
      <c r="BG399" s="212"/>
      <c r="BH399" s="212"/>
      <c r="BI399" s="212"/>
      <c r="BJ399" s="212"/>
      <c r="BK399" s="212"/>
      <c r="BL399" s="212"/>
      <c r="BM399" s="212"/>
      <c r="BN399" s="212"/>
      <c r="BO399" s="212"/>
      <c r="BP399" s="212"/>
      <c r="BQ399" s="212"/>
      <c r="BR399" s="212"/>
      <c r="BS399" s="212"/>
      <c r="BT399" s="212"/>
      <c r="BU399" s="212"/>
      <c r="BV399" s="212"/>
      <c r="BW399" s="212"/>
      <c r="BX399" s="212"/>
      <c r="BY399" s="212"/>
      <c r="BZ399" s="212"/>
      <c r="CA399" s="212"/>
      <c r="CB399" s="212"/>
      <c r="CC399" s="212"/>
      <c r="CD399" s="212"/>
      <c r="CE399" s="212"/>
      <c r="CF399" s="212"/>
      <c r="CG399" s="212"/>
      <c r="CH399" s="212"/>
      <c r="CI399" s="212"/>
      <c r="CJ399" s="212"/>
      <c r="CK399" s="212"/>
      <c r="CL399" s="212"/>
    </row>
    <row r="400" spans="10:90" ht="24.75" customHeight="1" x14ac:dyDescent="0.75">
      <c r="J400" s="220"/>
      <c r="K400" s="2"/>
      <c r="N400" s="212"/>
      <c r="O400" s="212"/>
      <c r="P400" s="212"/>
      <c r="Q400" s="212"/>
      <c r="R400" s="212"/>
      <c r="S400" s="212"/>
      <c r="T400" s="212"/>
      <c r="U400" s="212"/>
      <c r="V400" s="212"/>
      <c r="W400" s="212"/>
      <c r="X400" s="212"/>
      <c r="Y400" s="212"/>
      <c r="Z400" s="212"/>
      <c r="AA400" s="212"/>
      <c r="AB400" s="212"/>
      <c r="AC400" s="212"/>
      <c r="AD400" s="212"/>
      <c r="AE400" s="212"/>
      <c r="AF400" s="212"/>
      <c r="AG400" s="212"/>
      <c r="AH400" s="212"/>
      <c r="AI400" s="212"/>
      <c r="AJ400" s="212"/>
      <c r="AK400" s="212"/>
      <c r="AL400" s="212"/>
      <c r="AM400" s="212"/>
      <c r="AN400" s="212"/>
      <c r="AO400" s="212"/>
      <c r="AP400" s="212"/>
      <c r="AQ400" s="212"/>
      <c r="AR400" s="212"/>
      <c r="AS400" s="212"/>
      <c r="AT400" s="212"/>
      <c r="AU400" s="212"/>
      <c r="AV400" s="212"/>
      <c r="AW400" s="212"/>
      <c r="AX400" s="212"/>
      <c r="AY400" s="212"/>
      <c r="AZ400" s="212"/>
      <c r="BA400" s="212"/>
      <c r="BB400" s="212"/>
      <c r="BC400" s="212"/>
      <c r="BD400" s="212"/>
      <c r="BE400" s="212"/>
      <c r="BF400" s="212"/>
      <c r="BG400" s="212"/>
      <c r="BH400" s="212"/>
      <c r="BI400" s="212"/>
      <c r="BJ400" s="212"/>
      <c r="BK400" s="212"/>
      <c r="BL400" s="212"/>
      <c r="BM400" s="212"/>
      <c r="BN400" s="212"/>
      <c r="BO400" s="212"/>
      <c r="BP400" s="212"/>
      <c r="BQ400" s="212"/>
      <c r="BR400" s="212"/>
      <c r="BS400" s="212"/>
      <c r="BT400" s="212"/>
      <c r="BU400" s="212"/>
      <c r="BV400" s="212"/>
      <c r="BW400" s="212"/>
      <c r="BX400" s="212"/>
      <c r="BY400" s="212"/>
      <c r="BZ400" s="212"/>
      <c r="CA400" s="212"/>
      <c r="CB400" s="212"/>
      <c r="CC400" s="212"/>
      <c r="CD400" s="212"/>
      <c r="CE400" s="212"/>
      <c r="CF400" s="212"/>
      <c r="CG400" s="212"/>
      <c r="CH400" s="212"/>
      <c r="CI400" s="212"/>
      <c r="CJ400" s="212"/>
      <c r="CK400" s="212"/>
      <c r="CL400" s="212"/>
    </row>
    <row r="401" spans="10:90" ht="24.75" customHeight="1" x14ac:dyDescent="0.75">
      <c r="J401" s="220"/>
      <c r="K401" s="2"/>
      <c r="N401" s="212"/>
      <c r="O401" s="212"/>
      <c r="P401" s="212"/>
      <c r="Q401" s="212"/>
      <c r="R401" s="212"/>
      <c r="S401" s="212"/>
      <c r="T401" s="212"/>
      <c r="U401" s="212"/>
      <c r="V401" s="212"/>
      <c r="W401" s="212"/>
      <c r="X401" s="212"/>
      <c r="Y401" s="212"/>
      <c r="Z401" s="212"/>
      <c r="AA401" s="212"/>
      <c r="AB401" s="212"/>
      <c r="AC401" s="212"/>
      <c r="AD401" s="212"/>
      <c r="AE401" s="212"/>
      <c r="AF401" s="212"/>
      <c r="AG401" s="212"/>
      <c r="AH401" s="212"/>
      <c r="AI401" s="212"/>
      <c r="AJ401" s="212"/>
      <c r="AK401" s="212"/>
      <c r="AL401" s="212"/>
      <c r="AM401" s="212"/>
      <c r="AN401" s="212"/>
      <c r="AO401" s="212"/>
      <c r="AP401" s="212"/>
      <c r="AQ401" s="212"/>
      <c r="AR401" s="212"/>
      <c r="AS401" s="212"/>
      <c r="AT401" s="212"/>
      <c r="AU401" s="212"/>
      <c r="AV401" s="212"/>
      <c r="AW401" s="212"/>
      <c r="AX401" s="212"/>
      <c r="AY401" s="212"/>
      <c r="AZ401" s="212"/>
      <c r="BA401" s="212"/>
      <c r="BB401" s="212"/>
      <c r="BC401" s="212"/>
      <c r="BD401" s="212"/>
      <c r="BE401" s="212"/>
      <c r="BF401" s="212"/>
      <c r="BG401" s="212"/>
      <c r="BH401" s="212"/>
      <c r="BI401" s="212"/>
      <c r="BJ401" s="212"/>
      <c r="BK401" s="212"/>
      <c r="BL401" s="212"/>
      <c r="BM401" s="212"/>
      <c r="BN401" s="212"/>
      <c r="BO401" s="212"/>
      <c r="BP401" s="212"/>
      <c r="BQ401" s="212"/>
      <c r="BR401" s="212"/>
      <c r="BS401" s="212"/>
      <c r="BT401" s="212"/>
      <c r="BU401" s="212"/>
      <c r="BV401" s="212"/>
      <c r="BW401" s="212"/>
      <c r="BX401" s="212"/>
      <c r="BY401" s="212"/>
      <c r="BZ401" s="212"/>
      <c r="CA401" s="212"/>
      <c r="CB401" s="212"/>
      <c r="CC401" s="212"/>
      <c r="CD401" s="212"/>
      <c r="CE401" s="212"/>
      <c r="CF401" s="212"/>
      <c r="CG401" s="212"/>
      <c r="CH401" s="212"/>
      <c r="CI401" s="212"/>
      <c r="CJ401" s="212"/>
      <c r="CK401" s="212"/>
      <c r="CL401" s="212"/>
    </row>
    <row r="402" spans="10:90" ht="24.75" customHeight="1" x14ac:dyDescent="0.75">
      <c r="J402" s="220"/>
      <c r="K402" s="2"/>
      <c r="N402" s="212"/>
      <c r="O402" s="212"/>
      <c r="P402" s="212"/>
      <c r="Q402" s="212"/>
      <c r="R402" s="212"/>
      <c r="S402" s="212"/>
      <c r="T402" s="212"/>
      <c r="U402" s="212"/>
      <c r="V402" s="212"/>
      <c r="W402" s="212"/>
      <c r="X402" s="212"/>
      <c r="Y402" s="212"/>
      <c r="Z402" s="212"/>
      <c r="AA402" s="212"/>
      <c r="AB402" s="212"/>
      <c r="AC402" s="212"/>
      <c r="AD402" s="212"/>
      <c r="AE402" s="212"/>
      <c r="AF402" s="212"/>
      <c r="AG402" s="212"/>
      <c r="AH402" s="212"/>
      <c r="AI402" s="212"/>
      <c r="AJ402" s="212"/>
      <c r="AK402" s="212"/>
      <c r="AL402" s="212"/>
      <c r="AM402" s="212"/>
      <c r="AN402" s="212"/>
      <c r="AO402" s="212"/>
      <c r="AP402" s="212"/>
      <c r="AQ402" s="212"/>
      <c r="AR402" s="212"/>
      <c r="AS402" s="212"/>
      <c r="AT402" s="212"/>
      <c r="AU402" s="212"/>
      <c r="AV402" s="212"/>
      <c r="AW402" s="212"/>
      <c r="AX402" s="212"/>
      <c r="AY402" s="212"/>
      <c r="AZ402" s="212"/>
      <c r="BA402" s="212"/>
      <c r="BB402" s="212"/>
      <c r="BC402" s="212"/>
      <c r="BD402" s="212"/>
      <c r="BE402" s="212"/>
      <c r="BF402" s="212"/>
      <c r="BG402" s="212"/>
      <c r="BH402" s="212"/>
      <c r="BI402" s="212"/>
      <c r="BJ402" s="212"/>
      <c r="BK402" s="212"/>
      <c r="BL402" s="212"/>
      <c r="BM402" s="212"/>
      <c r="BN402" s="212"/>
      <c r="BO402" s="212"/>
      <c r="BP402" s="212"/>
      <c r="BQ402" s="212"/>
      <c r="BR402" s="212"/>
      <c r="BS402" s="212"/>
      <c r="BT402" s="212"/>
      <c r="BU402" s="212"/>
      <c r="BV402" s="212"/>
      <c r="BW402" s="212"/>
      <c r="BX402" s="212"/>
      <c r="BY402" s="212"/>
      <c r="BZ402" s="212"/>
      <c r="CA402" s="212"/>
      <c r="CB402" s="212"/>
      <c r="CC402" s="212"/>
      <c r="CD402" s="212"/>
      <c r="CE402" s="212"/>
      <c r="CF402" s="212"/>
      <c r="CG402" s="212"/>
      <c r="CH402" s="212"/>
      <c r="CI402" s="212"/>
      <c r="CJ402" s="212"/>
      <c r="CK402" s="212"/>
      <c r="CL402" s="212"/>
    </row>
    <row r="403" spans="10:90" ht="24.75" customHeight="1" x14ac:dyDescent="0.75">
      <c r="J403" s="220"/>
      <c r="K403" s="2"/>
      <c r="N403" s="212"/>
      <c r="O403" s="212"/>
      <c r="P403" s="212"/>
      <c r="Q403" s="212"/>
      <c r="R403" s="212"/>
      <c r="S403" s="212"/>
      <c r="T403" s="212"/>
      <c r="U403" s="212"/>
      <c r="V403" s="212"/>
      <c r="W403" s="212"/>
      <c r="X403" s="212"/>
      <c r="Y403" s="212"/>
      <c r="Z403" s="212"/>
      <c r="AA403" s="212"/>
      <c r="AB403" s="212"/>
      <c r="AC403" s="212"/>
      <c r="AD403" s="212"/>
      <c r="AE403" s="212"/>
      <c r="AF403" s="212"/>
      <c r="AG403" s="212"/>
      <c r="AH403" s="212"/>
      <c r="AI403" s="212"/>
      <c r="AJ403" s="212"/>
      <c r="AK403" s="212"/>
      <c r="AL403" s="212"/>
      <c r="AM403" s="212"/>
      <c r="AN403" s="212"/>
      <c r="AO403" s="212"/>
      <c r="AP403" s="212"/>
      <c r="AQ403" s="212"/>
      <c r="AR403" s="212"/>
      <c r="AS403" s="212"/>
      <c r="AT403" s="212"/>
      <c r="AU403" s="212"/>
      <c r="AV403" s="212"/>
      <c r="AW403" s="212"/>
      <c r="AX403" s="212"/>
      <c r="AY403" s="212"/>
      <c r="AZ403" s="212"/>
      <c r="BA403" s="212"/>
      <c r="BB403" s="212"/>
      <c r="BC403" s="212"/>
      <c r="BD403" s="212"/>
      <c r="BE403" s="212"/>
      <c r="BF403" s="212"/>
      <c r="BG403" s="212"/>
      <c r="BH403" s="212"/>
      <c r="BI403" s="212"/>
      <c r="BJ403" s="212"/>
      <c r="BK403" s="212"/>
      <c r="BL403" s="212"/>
      <c r="BM403" s="212"/>
      <c r="BN403" s="212"/>
      <c r="BO403" s="212"/>
      <c r="BP403" s="212"/>
      <c r="BQ403" s="212"/>
      <c r="BR403" s="212"/>
      <c r="BS403" s="212"/>
      <c r="BT403" s="212"/>
      <c r="BU403" s="212"/>
      <c r="BV403" s="212"/>
      <c r="BW403" s="212"/>
      <c r="BX403" s="212"/>
      <c r="BY403" s="212"/>
      <c r="BZ403" s="212"/>
      <c r="CA403" s="212"/>
      <c r="CB403" s="212"/>
      <c r="CC403" s="212"/>
      <c r="CD403" s="212"/>
      <c r="CE403" s="212"/>
      <c r="CF403" s="212"/>
      <c r="CG403" s="212"/>
      <c r="CH403" s="212"/>
      <c r="CI403" s="212"/>
      <c r="CJ403" s="212"/>
      <c r="CK403" s="212"/>
      <c r="CL403" s="212"/>
    </row>
    <row r="404" spans="10:90" ht="24.75" customHeight="1" x14ac:dyDescent="0.75">
      <c r="J404" s="220"/>
      <c r="K404" s="2"/>
      <c r="N404" s="212"/>
      <c r="O404" s="212"/>
      <c r="P404" s="212"/>
      <c r="Q404" s="212"/>
      <c r="R404" s="212"/>
      <c r="S404" s="212"/>
      <c r="T404" s="212"/>
      <c r="U404" s="212"/>
      <c r="V404" s="212"/>
      <c r="W404" s="212"/>
      <c r="X404" s="212"/>
      <c r="Y404" s="212"/>
      <c r="Z404" s="212"/>
      <c r="AA404" s="212"/>
      <c r="AB404" s="212"/>
      <c r="AC404" s="212"/>
      <c r="AD404" s="212"/>
      <c r="AE404" s="212"/>
      <c r="AF404" s="212"/>
      <c r="AG404" s="212"/>
      <c r="AH404" s="212"/>
      <c r="AI404" s="212"/>
      <c r="AJ404" s="212"/>
      <c r="AK404" s="212"/>
      <c r="AL404" s="212"/>
      <c r="AM404" s="212"/>
      <c r="AN404" s="212"/>
      <c r="AO404" s="212"/>
      <c r="AP404" s="212"/>
      <c r="AQ404" s="212"/>
      <c r="AR404" s="212"/>
      <c r="AS404" s="212"/>
      <c r="AT404" s="212"/>
      <c r="AU404" s="212"/>
      <c r="AV404" s="212"/>
      <c r="AW404" s="212"/>
      <c r="AX404" s="212"/>
      <c r="AY404" s="212"/>
      <c r="AZ404" s="212"/>
      <c r="BA404" s="212"/>
      <c r="BB404" s="212"/>
      <c r="BC404" s="212"/>
      <c r="BD404" s="212"/>
      <c r="BE404" s="212"/>
      <c r="BF404" s="212"/>
      <c r="BG404" s="212"/>
      <c r="BH404" s="212"/>
      <c r="BI404" s="212"/>
      <c r="BJ404" s="212"/>
      <c r="BK404" s="212"/>
      <c r="BL404" s="212"/>
      <c r="BM404" s="212"/>
      <c r="BN404" s="212"/>
      <c r="BO404" s="212"/>
      <c r="BP404" s="212"/>
      <c r="BQ404" s="212"/>
      <c r="BR404" s="212"/>
      <c r="BS404" s="212"/>
      <c r="BT404" s="212"/>
      <c r="BU404" s="212"/>
      <c r="BV404" s="212"/>
      <c r="BW404" s="212"/>
      <c r="BX404" s="212"/>
      <c r="BY404" s="212"/>
      <c r="BZ404" s="212"/>
      <c r="CA404" s="212"/>
      <c r="CB404" s="212"/>
      <c r="CC404" s="212"/>
      <c r="CD404" s="212"/>
      <c r="CE404" s="212"/>
      <c r="CF404" s="212"/>
      <c r="CG404" s="212"/>
      <c r="CH404" s="212"/>
      <c r="CI404" s="212"/>
      <c r="CJ404" s="212"/>
      <c r="CK404" s="212"/>
      <c r="CL404" s="212"/>
    </row>
    <row r="405" spans="10:90" ht="24.75" customHeight="1" x14ac:dyDescent="0.75">
      <c r="J405" s="220"/>
      <c r="K405" s="2"/>
      <c r="N405" s="212"/>
      <c r="O405" s="212"/>
      <c r="P405" s="212"/>
      <c r="Q405" s="212"/>
      <c r="R405" s="212"/>
      <c r="S405" s="212"/>
      <c r="T405" s="212"/>
      <c r="U405" s="212"/>
      <c r="V405" s="212"/>
      <c r="W405" s="212"/>
      <c r="X405" s="212"/>
      <c r="Y405" s="212"/>
      <c r="Z405" s="212"/>
      <c r="AA405" s="212"/>
      <c r="AB405" s="212"/>
      <c r="AC405" s="212"/>
      <c r="AD405" s="212"/>
      <c r="AE405" s="212"/>
      <c r="AF405" s="212"/>
      <c r="AG405" s="212"/>
      <c r="AH405" s="212"/>
      <c r="AI405" s="212"/>
      <c r="AJ405" s="212"/>
      <c r="AK405" s="212"/>
      <c r="AL405" s="212"/>
      <c r="AM405" s="212"/>
      <c r="AN405" s="212"/>
      <c r="AO405" s="212"/>
      <c r="AP405" s="212"/>
      <c r="AQ405" s="212"/>
      <c r="AR405" s="212"/>
      <c r="AS405" s="212"/>
      <c r="AT405" s="212"/>
      <c r="AU405" s="212"/>
      <c r="AV405" s="212"/>
      <c r="AW405" s="212"/>
      <c r="AX405" s="212"/>
      <c r="AY405" s="212"/>
      <c r="AZ405" s="212"/>
      <c r="BA405" s="212"/>
      <c r="BB405" s="212"/>
      <c r="BC405" s="212"/>
      <c r="BD405" s="212"/>
      <c r="BE405" s="212"/>
      <c r="BF405" s="212"/>
      <c r="BG405" s="212"/>
      <c r="BH405" s="212"/>
      <c r="BI405" s="212"/>
      <c r="BJ405" s="212"/>
      <c r="BK405" s="212"/>
      <c r="BL405" s="212"/>
      <c r="BM405" s="212"/>
      <c r="BN405" s="212"/>
      <c r="BO405" s="212"/>
      <c r="BP405" s="212"/>
      <c r="BQ405" s="212"/>
      <c r="BR405" s="212"/>
      <c r="BS405" s="212"/>
      <c r="BT405" s="212"/>
      <c r="BU405" s="212"/>
      <c r="BV405" s="212"/>
      <c r="BW405" s="212"/>
      <c r="BX405" s="212"/>
      <c r="BY405" s="212"/>
      <c r="BZ405" s="212"/>
      <c r="CA405" s="212"/>
      <c r="CB405" s="212"/>
      <c r="CC405" s="212"/>
      <c r="CD405" s="212"/>
      <c r="CE405" s="212"/>
      <c r="CF405" s="212"/>
      <c r="CG405" s="212"/>
      <c r="CH405" s="212"/>
      <c r="CI405" s="212"/>
      <c r="CJ405" s="212"/>
      <c r="CK405" s="212"/>
      <c r="CL405" s="212"/>
    </row>
    <row r="406" spans="10:90" ht="24.75" customHeight="1" x14ac:dyDescent="0.75">
      <c r="J406" s="220"/>
      <c r="K406" s="2"/>
      <c r="N406" s="212"/>
      <c r="O406" s="212"/>
      <c r="P406" s="212"/>
      <c r="Q406" s="212"/>
      <c r="R406" s="212"/>
      <c r="S406" s="212"/>
      <c r="T406" s="212"/>
      <c r="U406" s="212"/>
      <c r="V406" s="212"/>
      <c r="W406" s="212"/>
      <c r="X406" s="212"/>
      <c r="Y406" s="212"/>
      <c r="Z406" s="212"/>
      <c r="AA406" s="212"/>
      <c r="AB406" s="212"/>
      <c r="AC406" s="212"/>
      <c r="AD406" s="212"/>
      <c r="AE406" s="212"/>
      <c r="AF406" s="212"/>
      <c r="AG406" s="212"/>
      <c r="AH406" s="212"/>
      <c r="AI406" s="212"/>
      <c r="AJ406" s="212"/>
      <c r="AK406" s="212"/>
      <c r="AL406" s="212"/>
      <c r="AM406" s="212"/>
      <c r="AN406" s="212"/>
      <c r="AO406" s="212"/>
      <c r="AP406" s="212"/>
      <c r="AQ406" s="212"/>
      <c r="AR406" s="212"/>
      <c r="AS406" s="212"/>
      <c r="AT406" s="212"/>
      <c r="AU406" s="212"/>
      <c r="AV406" s="212"/>
      <c r="AW406" s="212"/>
      <c r="AX406" s="212"/>
      <c r="AY406" s="212"/>
      <c r="AZ406" s="212"/>
      <c r="BA406" s="212"/>
      <c r="BB406" s="212"/>
      <c r="BC406" s="212"/>
      <c r="BD406" s="212"/>
      <c r="BE406" s="212"/>
      <c r="BF406" s="212"/>
      <c r="BG406" s="212"/>
      <c r="BH406" s="212"/>
      <c r="BI406" s="212"/>
      <c r="BJ406" s="212"/>
      <c r="BK406" s="212"/>
      <c r="BL406" s="212"/>
      <c r="BM406" s="212"/>
      <c r="BN406" s="212"/>
      <c r="BO406" s="212"/>
      <c r="BP406" s="212"/>
      <c r="BQ406" s="212"/>
      <c r="BR406" s="212"/>
      <c r="BS406" s="212"/>
      <c r="BT406" s="212"/>
      <c r="BU406" s="212"/>
      <c r="BV406" s="212"/>
      <c r="BW406" s="212"/>
      <c r="BX406" s="212"/>
      <c r="BY406" s="212"/>
      <c r="BZ406" s="212"/>
      <c r="CA406" s="212"/>
      <c r="CB406" s="212"/>
      <c r="CC406" s="212"/>
      <c r="CD406" s="212"/>
      <c r="CE406" s="212"/>
      <c r="CF406" s="212"/>
      <c r="CG406" s="212"/>
      <c r="CH406" s="212"/>
      <c r="CI406" s="212"/>
      <c r="CJ406" s="212"/>
      <c r="CK406" s="212"/>
      <c r="CL406" s="212"/>
    </row>
    <row r="407" spans="10:90" ht="24.75" customHeight="1" x14ac:dyDescent="0.75">
      <c r="J407" s="220"/>
      <c r="K407" s="2"/>
      <c r="N407" s="212"/>
      <c r="O407" s="212"/>
      <c r="P407" s="212"/>
      <c r="Q407" s="212"/>
      <c r="R407" s="212"/>
      <c r="S407" s="212"/>
      <c r="T407" s="212"/>
      <c r="U407" s="212"/>
      <c r="V407" s="212"/>
      <c r="W407" s="212"/>
      <c r="X407" s="212"/>
      <c r="Y407" s="212"/>
      <c r="Z407" s="212"/>
      <c r="AA407" s="212"/>
      <c r="AB407" s="212"/>
      <c r="AC407" s="212"/>
      <c r="AD407" s="212"/>
      <c r="AE407" s="212"/>
      <c r="AF407" s="212"/>
      <c r="AG407" s="212"/>
      <c r="AH407" s="212"/>
      <c r="AI407" s="212"/>
      <c r="AJ407" s="212"/>
      <c r="AK407" s="212"/>
      <c r="AL407" s="212"/>
      <c r="AM407" s="212"/>
      <c r="AN407" s="212"/>
      <c r="AO407" s="212"/>
      <c r="AP407" s="212"/>
      <c r="AQ407" s="212"/>
      <c r="AR407" s="212"/>
      <c r="AS407" s="212"/>
      <c r="AT407" s="212"/>
      <c r="AU407" s="212"/>
      <c r="AV407" s="212"/>
      <c r="AW407" s="212"/>
      <c r="AX407" s="212"/>
      <c r="AY407" s="212"/>
      <c r="AZ407" s="212"/>
      <c r="BA407" s="212"/>
      <c r="BB407" s="212"/>
      <c r="BC407" s="212"/>
      <c r="BD407" s="212"/>
      <c r="BE407" s="212"/>
      <c r="BF407" s="212"/>
      <c r="BG407" s="212"/>
      <c r="BH407" s="212"/>
      <c r="BI407" s="212"/>
      <c r="BJ407" s="212"/>
      <c r="BK407" s="212"/>
      <c r="BL407" s="212"/>
      <c r="BM407" s="212"/>
      <c r="BN407" s="212"/>
      <c r="BO407" s="212"/>
      <c r="BP407" s="212"/>
      <c r="BQ407" s="212"/>
      <c r="BR407" s="212"/>
      <c r="BS407" s="212"/>
      <c r="BT407" s="212"/>
      <c r="BU407" s="212"/>
      <c r="BV407" s="212"/>
      <c r="BW407" s="212"/>
      <c r="BX407" s="212"/>
      <c r="BY407" s="212"/>
      <c r="BZ407" s="212"/>
      <c r="CA407" s="212"/>
      <c r="CB407" s="212"/>
      <c r="CC407" s="212"/>
      <c r="CD407" s="212"/>
      <c r="CE407" s="212"/>
      <c r="CF407" s="212"/>
      <c r="CG407" s="212"/>
      <c r="CH407" s="212"/>
      <c r="CI407" s="212"/>
      <c r="CJ407" s="212"/>
      <c r="CK407" s="212"/>
      <c r="CL407" s="212"/>
    </row>
    <row r="408" spans="10:90" ht="24.75" customHeight="1" x14ac:dyDescent="0.75">
      <c r="J408" s="220"/>
      <c r="K408" s="2"/>
      <c r="N408" s="212"/>
      <c r="O408" s="212"/>
      <c r="P408" s="212"/>
      <c r="Q408" s="212"/>
      <c r="R408" s="212"/>
      <c r="S408" s="212"/>
      <c r="T408" s="212"/>
      <c r="U408" s="212"/>
      <c r="V408" s="212"/>
      <c r="W408" s="212"/>
      <c r="X408" s="212"/>
      <c r="Y408" s="212"/>
      <c r="Z408" s="212"/>
      <c r="AA408" s="212"/>
      <c r="AB408" s="212"/>
      <c r="AC408" s="212"/>
      <c r="AD408" s="212"/>
      <c r="AE408" s="212"/>
      <c r="AF408" s="212"/>
      <c r="AG408" s="212"/>
      <c r="AH408" s="212"/>
      <c r="AI408" s="212"/>
      <c r="AJ408" s="212"/>
      <c r="AK408" s="212"/>
      <c r="AL408" s="212"/>
      <c r="AM408" s="212"/>
      <c r="AN408" s="212"/>
      <c r="AO408" s="212"/>
      <c r="AP408" s="212"/>
      <c r="AQ408" s="212"/>
      <c r="AR408" s="212"/>
      <c r="AS408" s="212"/>
      <c r="AT408" s="212"/>
      <c r="AU408" s="212"/>
      <c r="AV408" s="212"/>
      <c r="AW408" s="212"/>
      <c r="AX408" s="212"/>
      <c r="AY408" s="212"/>
      <c r="AZ408" s="212"/>
      <c r="BA408" s="212"/>
      <c r="BB408" s="212"/>
      <c r="BC408" s="212"/>
      <c r="BD408" s="212"/>
      <c r="BE408" s="212"/>
      <c r="BF408" s="212"/>
      <c r="BG408" s="212"/>
      <c r="BH408" s="212"/>
      <c r="BI408" s="212"/>
      <c r="BJ408" s="212"/>
      <c r="BK408" s="212"/>
      <c r="BL408" s="212"/>
      <c r="BM408" s="212"/>
      <c r="BN408" s="212"/>
      <c r="BO408" s="212"/>
      <c r="BP408" s="212"/>
      <c r="BQ408" s="212"/>
      <c r="BR408" s="212"/>
      <c r="BS408" s="212"/>
      <c r="BT408" s="212"/>
      <c r="BU408" s="212"/>
      <c r="BV408" s="212"/>
      <c r="BW408" s="212"/>
      <c r="BX408" s="212"/>
      <c r="BY408" s="212"/>
      <c r="BZ408" s="212"/>
      <c r="CA408" s="212"/>
      <c r="CB408" s="212"/>
      <c r="CC408" s="212"/>
      <c r="CD408" s="212"/>
      <c r="CE408" s="212"/>
      <c r="CF408" s="212"/>
      <c r="CG408" s="212"/>
      <c r="CH408" s="212"/>
      <c r="CI408" s="212"/>
      <c r="CJ408" s="212"/>
      <c r="CK408" s="212"/>
      <c r="CL408" s="212"/>
    </row>
    <row r="409" spans="10:90" ht="24.75" customHeight="1" x14ac:dyDescent="0.75">
      <c r="J409" s="220"/>
      <c r="K409" s="2"/>
      <c r="N409" s="212"/>
      <c r="O409" s="212"/>
      <c r="P409" s="212"/>
      <c r="Q409" s="212"/>
      <c r="R409" s="212"/>
      <c r="S409" s="212"/>
      <c r="T409" s="212"/>
      <c r="U409" s="212"/>
      <c r="V409" s="212"/>
      <c r="W409" s="212"/>
      <c r="X409" s="212"/>
      <c r="Y409" s="212"/>
      <c r="Z409" s="212"/>
      <c r="AA409" s="212"/>
      <c r="AB409" s="212"/>
      <c r="AC409" s="212"/>
      <c r="AD409" s="212"/>
      <c r="AE409" s="212"/>
      <c r="AF409" s="212"/>
      <c r="AG409" s="212"/>
      <c r="AH409" s="212"/>
      <c r="AI409" s="212"/>
      <c r="AJ409" s="212"/>
      <c r="AK409" s="212"/>
      <c r="AL409" s="212"/>
      <c r="AM409" s="212"/>
      <c r="AN409" s="212"/>
      <c r="AO409" s="212"/>
      <c r="AP409" s="212"/>
      <c r="AQ409" s="212"/>
      <c r="AR409" s="212"/>
      <c r="AS409" s="212"/>
      <c r="AT409" s="212"/>
      <c r="AU409" s="212"/>
      <c r="AV409" s="212"/>
      <c r="AW409" s="212"/>
      <c r="AX409" s="212"/>
      <c r="AY409" s="212"/>
      <c r="AZ409" s="212"/>
      <c r="BA409" s="212"/>
      <c r="BB409" s="212"/>
      <c r="BC409" s="212"/>
      <c r="BD409" s="212"/>
      <c r="BE409" s="212"/>
      <c r="BF409" s="212"/>
      <c r="BG409" s="212"/>
      <c r="BH409" s="212"/>
      <c r="BI409" s="212"/>
      <c r="BJ409" s="212"/>
      <c r="BK409" s="212"/>
      <c r="BL409" s="212"/>
      <c r="BM409" s="212"/>
      <c r="BN409" s="212"/>
      <c r="BO409" s="212"/>
      <c r="BP409" s="212"/>
      <c r="BQ409" s="212"/>
      <c r="BR409" s="212"/>
      <c r="BS409" s="212"/>
      <c r="BT409" s="212"/>
      <c r="BU409" s="212"/>
      <c r="BV409" s="212"/>
      <c r="BW409" s="212"/>
      <c r="BX409" s="212"/>
      <c r="BY409" s="212"/>
      <c r="BZ409" s="212"/>
      <c r="CA409" s="212"/>
      <c r="CB409" s="212"/>
      <c r="CC409" s="212"/>
      <c r="CD409" s="212"/>
      <c r="CE409" s="212"/>
      <c r="CF409" s="212"/>
      <c r="CG409" s="212"/>
      <c r="CH409" s="212"/>
      <c r="CI409" s="212"/>
      <c r="CJ409" s="212"/>
      <c r="CK409" s="212"/>
      <c r="CL409" s="212"/>
    </row>
    <row r="410" spans="10:90" ht="24.75" customHeight="1" x14ac:dyDescent="0.75">
      <c r="J410" s="220"/>
      <c r="K410" s="2"/>
      <c r="N410" s="212"/>
      <c r="O410" s="212"/>
      <c r="P410" s="212"/>
      <c r="Q410" s="212"/>
      <c r="R410" s="212"/>
      <c r="S410" s="212"/>
      <c r="T410" s="212"/>
      <c r="U410" s="212"/>
      <c r="V410" s="212"/>
      <c r="W410" s="212"/>
      <c r="X410" s="212"/>
      <c r="Y410" s="212"/>
      <c r="Z410" s="212"/>
      <c r="AA410" s="212"/>
      <c r="AB410" s="212"/>
      <c r="AC410" s="212"/>
      <c r="AD410" s="212"/>
      <c r="AE410" s="212"/>
      <c r="AF410" s="212"/>
      <c r="AG410" s="212"/>
      <c r="AH410" s="212"/>
      <c r="AI410" s="212"/>
      <c r="AJ410" s="212"/>
      <c r="AK410" s="212"/>
      <c r="AL410" s="212"/>
      <c r="AM410" s="212"/>
      <c r="AN410" s="212"/>
      <c r="AO410" s="212"/>
      <c r="AP410" s="212"/>
      <c r="AQ410" s="212"/>
      <c r="AR410" s="212"/>
      <c r="AS410" s="212"/>
      <c r="AT410" s="212"/>
      <c r="AU410" s="212"/>
      <c r="AV410" s="212"/>
      <c r="AW410" s="212"/>
      <c r="AX410" s="212"/>
      <c r="AY410" s="212"/>
      <c r="AZ410" s="212"/>
      <c r="BA410" s="212"/>
      <c r="BB410" s="212"/>
      <c r="BC410" s="212"/>
      <c r="BD410" s="212"/>
      <c r="BE410" s="212"/>
      <c r="BF410" s="212"/>
      <c r="BG410" s="212"/>
      <c r="BH410" s="212"/>
      <c r="BI410" s="212"/>
      <c r="BJ410" s="212"/>
      <c r="BK410" s="212"/>
      <c r="BL410" s="212"/>
      <c r="BM410" s="212"/>
      <c r="BN410" s="212"/>
      <c r="BO410" s="212"/>
      <c r="BP410" s="212"/>
      <c r="BQ410" s="212"/>
      <c r="BR410" s="212"/>
      <c r="BS410" s="212"/>
      <c r="BT410" s="212"/>
      <c r="BU410" s="212"/>
      <c r="BV410" s="212"/>
      <c r="BW410" s="212"/>
      <c r="BX410" s="212"/>
      <c r="BY410" s="212"/>
      <c r="BZ410" s="212"/>
      <c r="CA410" s="212"/>
      <c r="CB410" s="212"/>
      <c r="CC410" s="212"/>
      <c r="CD410" s="212"/>
      <c r="CE410" s="212"/>
      <c r="CF410" s="212"/>
      <c r="CG410" s="212"/>
      <c r="CH410" s="212"/>
      <c r="CI410" s="212"/>
      <c r="CJ410" s="212"/>
      <c r="CK410" s="212"/>
      <c r="CL410" s="212"/>
    </row>
    <row r="411" spans="10:90" ht="24.75" customHeight="1" x14ac:dyDescent="0.75">
      <c r="J411" s="220"/>
      <c r="K411" s="2"/>
      <c r="N411" s="212"/>
      <c r="O411" s="212"/>
      <c r="P411" s="212"/>
      <c r="Q411" s="212"/>
      <c r="R411" s="212"/>
      <c r="S411" s="212"/>
      <c r="T411" s="212"/>
      <c r="U411" s="212"/>
      <c r="V411" s="212"/>
      <c r="W411" s="212"/>
      <c r="X411" s="212"/>
      <c r="Y411" s="212"/>
      <c r="Z411" s="212"/>
      <c r="AA411" s="212"/>
      <c r="AB411" s="212"/>
      <c r="AC411" s="212"/>
      <c r="AD411" s="212"/>
      <c r="AE411" s="212"/>
      <c r="AF411" s="212"/>
      <c r="AG411" s="212"/>
      <c r="AH411" s="212"/>
      <c r="AI411" s="212"/>
      <c r="AJ411" s="212"/>
      <c r="AK411" s="212"/>
      <c r="AL411" s="212"/>
      <c r="AM411" s="212"/>
      <c r="AN411" s="212"/>
      <c r="AO411" s="212"/>
      <c r="AP411" s="212"/>
      <c r="AQ411" s="212"/>
      <c r="AR411" s="212"/>
      <c r="AS411" s="212"/>
      <c r="AT411" s="212"/>
      <c r="AU411" s="212"/>
      <c r="AV411" s="212"/>
      <c r="AW411" s="212"/>
      <c r="AX411" s="212"/>
      <c r="AY411" s="212"/>
      <c r="AZ411" s="212"/>
      <c r="BA411" s="212"/>
      <c r="BB411" s="212"/>
      <c r="BC411" s="212"/>
      <c r="BD411" s="212"/>
      <c r="BE411" s="212"/>
      <c r="BF411" s="212"/>
      <c r="BG411" s="212"/>
      <c r="BH411" s="212"/>
      <c r="BI411" s="212"/>
      <c r="BJ411" s="212"/>
      <c r="BK411" s="212"/>
      <c r="BL411" s="212"/>
      <c r="BM411" s="212"/>
      <c r="BN411" s="212"/>
      <c r="BO411" s="212"/>
      <c r="BP411" s="212"/>
      <c r="BQ411" s="212"/>
      <c r="BR411" s="212"/>
      <c r="BS411" s="212"/>
      <c r="BT411" s="212"/>
      <c r="BU411" s="212"/>
      <c r="BV411" s="212"/>
      <c r="BW411" s="212"/>
      <c r="BX411" s="212"/>
      <c r="BY411" s="212"/>
      <c r="BZ411" s="212"/>
      <c r="CA411" s="212"/>
      <c r="CB411" s="212"/>
      <c r="CC411" s="212"/>
      <c r="CD411" s="212"/>
      <c r="CE411" s="212"/>
      <c r="CF411" s="212"/>
      <c r="CG411" s="212"/>
      <c r="CH411" s="212"/>
      <c r="CI411" s="212"/>
      <c r="CJ411" s="212"/>
      <c r="CK411" s="212"/>
      <c r="CL411" s="212"/>
    </row>
    <row r="412" spans="10:90" ht="24.75" customHeight="1" x14ac:dyDescent="0.75">
      <c r="J412" s="220"/>
      <c r="K412" s="2"/>
      <c r="N412" s="212"/>
      <c r="O412" s="212"/>
      <c r="P412" s="212"/>
      <c r="Q412" s="212"/>
      <c r="R412" s="212"/>
      <c r="S412" s="212"/>
      <c r="T412" s="212"/>
      <c r="U412" s="212"/>
      <c r="V412" s="212"/>
      <c r="W412" s="212"/>
      <c r="X412" s="212"/>
      <c r="Y412" s="212"/>
      <c r="Z412" s="212"/>
      <c r="AA412" s="212"/>
      <c r="AB412" s="212"/>
      <c r="AC412" s="212"/>
      <c r="AD412" s="212"/>
      <c r="AE412" s="212"/>
      <c r="AF412" s="212"/>
      <c r="AG412" s="212"/>
      <c r="AH412" s="212"/>
      <c r="AI412" s="212"/>
      <c r="AJ412" s="212"/>
      <c r="AK412" s="212"/>
      <c r="AL412" s="212"/>
      <c r="AM412" s="212"/>
      <c r="AN412" s="212"/>
      <c r="AO412" s="212"/>
      <c r="AP412" s="212"/>
      <c r="AQ412" s="212"/>
      <c r="AR412" s="212"/>
      <c r="AS412" s="212"/>
      <c r="AT412" s="212"/>
      <c r="AU412" s="212"/>
      <c r="AV412" s="212"/>
      <c r="AW412" s="212"/>
      <c r="AX412" s="212"/>
      <c r="AY412" s="212"/>
      <c r="AZ412" s="212"/>
      <c r="BA412" s="212"/>
      <c r="BB412" s="212"/>
      <c r="BC412" s="212"/>
      <c r="BD412" s="212"/>
      <c r="BE412" s="212"/>
      <c r="BF412" s="212"/>
      <c r="BG412" s="212"/>
      <c r="BH412" s="212"/>
      <c r="BI412" s="212"/>
      <c r="BJ412" s="212"/>
      <c r="BK412" s="212"/>
      <c r="BL412" s="212"/>
      <c r="BM412" s="212"/>
      <c r="BN412" s="212"/>
      <c r="BO412" s="212"/>
      <c r="BP412" s="212"/>
      <c r="BQ412" s="212"/>
      <c r="BR412" s="212"/>
      <c r="BS412" s="212"/>
      <c r="BT412" s="212"/>
      <c r="BU412" s="212"/>
      <c r="BV412" s="212"/>
      <c r="BW412" s="212"/>
      <c r="BX412" s="212"/>
      <c r="BY412" s="212"/>
      <c r="BZ412" s="212"/>
      <c r="CA412" s="212"/>
      <c r="CB412" s="212"/>
      <c r="CC412" s="212"/>
      <c r="CD412" s="212"/>
      <c r="CE412" s="212"/>
      <c r="CF412" s="212"/>
      <c r="CG412" s="212"/>
      <c r="CH412" s="212"/>
      <c r="CI412" s="212"/>
      <c r="CJ412" s="212"/>
      <c r="CK412" s="212"/>
      <c r="CL412" s="212"/>
    </row>
    <row r="413" spans="10:90" ht="24.75" customHeight="1" x14ac:dyDescent="0.75">
      <c r="J413" s="220"/>
      <c r="K413" s="2"/>
      <c r="N413" s="212"/>
      <c r="O413" s="212"/>
      <c r="P413" s="212"/>
      <c r="Q413" s="212"/>
      <c r="R413" s="212"/>
      <c r="S413" s="212"/>
      <c r="T413" s="212"/>
      <c r="U413" s="212"/>
      <c r="V413" s="212"/>
      <c r="W413" s="212"/>
      <c r="X413" s="212"/>
      <c r="Y413" s="212"/>
      <c r="Z413" s="212"/>
      <c r="AA413" s="212"/>
      <c r="AB413" s="212"/>
      <c r="AC413" s="212"/>
      <c r="AD413" s="212"/>
      <c r="AE413" s="212"/>
      <c r="AF413" s="212"/>
      <c r="AG413" s="212"/>
      <c r="AH413" s="212"/>
      <c r="AI413" s="212"/>
      <c r="AJ413" s="212"/>
      <c r="AK413" s="212"/>
      <c r="AL413" s="212"/>
      <c r="AM413" s="212"/>
      <c r="AN413" s="212"/>
      <c r="AO413" s="212"/>
      <c r="AP413" s="212"/>
      <c r="AQ413" s="212"/>
      <c r="AR413" s="212"/>
      <c r="AS413" s="212"/>
      <c r="AT413" s="212"/>
      <c r="AU413" s="212"/>
      <c r="AV413" s="212"/>
      <c r="AW413" s="212"/>
      <c r="AX413" s="212"/>
      <c r="AY413" s="212"/>
      <c r="AZ413" s="212"/>
      <c r="BA413" s="212"/>
      <c r="BB413" s="212"/>
      <c r="BC413" s="212"/>
      <c r="BD413" s="212"/>
      <c r="BE413" s="212"/>
      <c r="BF413" s="212"/>
      <c r="BG413" s="212"/>
      <c r="BH413" s="212"/>
      <c r="BI413" s="212"/>
      <c r="BJ413" s="212"/>
      <c r="BK413" s="212"/>
      <c r="BL413" s="212"/>
      <c r="BM413" s="212"/>
      <c r="BN413" s="212"/>
      <c r="BO413" s="212"/>
      <c r="BP413" s="212"/>
      <c r="BQ413" s="212"/>
      <c r="BR413" s="212"/>
      <c r="BS413" s="212"/>
      <c r="BT413" s="212"/>
      <c r="BU413" s="212"/>
      <c r="BV413" s="212"/>
      <c r="BW413" s="212"/>
      <c r="BX413" s="212"/>
      <c r="BY413" s="212"/>
      <c r="BZ413" s="212"/>
      <c r="CA413" s="212"/>
      <c r="CB413" s="212"/>
      <c r="CC413" s="212"/>
      <c r="CD413" s="212"/>
      <c r="CE413" s="212"/>
      <c r="CF413" s="212"/>
      <c r="CG413" s="212"/>
      <c r="CH413" s="212"/>
      <c r="CI413" s="212"/>
      <c r="CJ413" s="212"/>
      <c r="CK413" s="212"/>
      <c r="CL413" s="212"/>
    </row>
    <row r="414" spans="10:90" ht="24.75" customHeight="1" x14ac:dyDescent="0.75">
      <c r="J414" s="220"/>
      <c r="K414" s="2"/>
      <c r="N414" s="212"/>
      <c r="O414" s="212"/>
      <c r="P414" s="212"/>
      <c r="Q414" s="212"/>
      <c r="R414" s="212"/>
      <c r="S414" s="212"/>
      <c r="T414" s="212"/>
      <c r="U414" s="212"/>
      <c r="V414" s="212"/>
      <c r="W414" s="212"/>
      <c r="X414" s="212"/>
      <c r="Y414" s="212"/>
      <c r="Z414" s="212"/>
      <c r="AA414" s="212"/>
      <c r="AB414" s="212"/>
      <c r="AC414" s="212"/>
      <c r="AD414" s="212"/>
      <c r="AE414" s="212"/>
      <c r="AF414" s="212"/>
      <c r="AG414" s="212"/>
      <c r="AH414" s="212"/>
      <c r="AI414" s="212"/>
      <c r="AJ414" s="212"/>
      <c r="AK414" s="212"/>
      <c r="AL414" s="212"/>
      <c r="AM414" s="212"/>
      <c r="AN414" s="212"/>
      <c r="AO414" s="212"/>
      <c r="AP414" s="212"/>
      <c r="AQ414" s="212"/>
      <c r="AR414" s="212"/>
      <c r="AS414" s="212"/>
      <c r="AT414" s="212"/>
      <c r="AU414" s="212"/>
      <c r="AV414" s="212"/>
      <c r="AW414" s="212"/>
      <c r="AX414" s="212"/>
      <c r="AY414" s="212"/>
      <c r="AZ414" s="212"/>
      <c r="BA414" s="212"/>
      <c r="BB414" s="212"/>
      <c r="BC414" s="212"/>
      <c r="BD414" s="212"/>
      <c r="BE414" s="212"/>
      <c r="BF414" s="212"/>
      <c r="BG414" s="212"/>
      <c r="BH414" s="212"/>
      <c r="BI414" s="212"/>
      <c r="BJ414" s="212"/>
      <c r="BK414" s="212"/>
      <c r="BL414" s="212"/>
      <c r="BM414" s="212"/>
      <c r="BN414" s="212"/>
      <c r="BO414" s="212"/>
      <c r="BP414" s="212"/>
      <c r="BQ414" s="212"/>
      <c r="BR414" s="212"/>
      <c r="BS414" s="212"/>
      <c r="BT414" s="212"/>
      <c r="BU414" s="212"/>
      <c r="BV414" s="212"/>
      <c r="BW414" s="212"/>
      <c r="BX414" s="212"/>
      <c r="BY414" s="212"/>
      <c r="BZ414" s="212"/>
      <c r="CA414" s="212"/>
      <c r="CB414" s="212"/>
      <c r="CC414" s="212"/>
      <c r="CD414" s="212"/>
      <c r="CE414" s="212"/>
      <c r="CF414" s="212"/>
      <c r="CG414" s="212"/>
      <c r="CH414" s="212"/>
      <c r="CI414" s="212"/>
      <c r="CJ414" s="212"/>
      <c r="CK414" s="212"/>
      <c r="CL414" s="212"/>
    </row>
    <row r="415" spans="10:90" ht="24.75" customHeight="1" x14ac:dyDescent="0.75">
      <c r="J415" s="220"/>
      <c r="K415" s="2"/>
      <c r="N415" s="212"/>
      <c r="O415" s="212"/>
      <c r="P415" s="212"/>
      <c r="Q415" s="212"/>
      <c r="R415" s="212"/>
      <c r="S415" s="212"/>
      <c r="T415" s="212"/>
      <c r="U415" s="212"/>
      <c r="V415" s="212"/>
      <c r="W415" s="212"/>
      <c r="X415" s="212"/>
      <c r="Y415" s="212"/>
      <c r="Z415" s="212"/>
      <c r="AA415" s="212"/>
      <c r="AB415" s="212"/>
      <c r="AC415" s="212"/>
      <c r="AD415" s="212"/>
      <c r="AE415" s="212"/>
      <c r="AF415" s="212"/>
      <c r="AG415" s="212"/>
      <c r="AH415" s="212"/>
      <c r="AI415" s="212"/>
      <c r="AJ415" s="212"/>
      <c r="AK415" s="212"/>
      <c r="AL415" s="212"/>
      <c r="AM415" s="212"/>
      <c r="AN415" s="212"/>
      <c r="AO415" s="212"/>
      <c r="AP415" s="212"/>
      <c r="AQ415" s="212"/>
      <c r="AR415" s="212"/>
      <c r="AS415" s="212"/>
      <c r="AT415" s="212"/>
      <c r="AU415" s="212"/>
      <c r="AV415" s="212"/>
      <c r="AW415" s="212"/>
      <c r="AX415" s="212"/>
      <c r="AY415" s="212"/>
      <c r="AZ415" s="212"/>
      <c r="BA415" s="212"/>
      <c r="BB415" s="212"/>
      <c r="BC415" s="212"/>
      <c r="BD415" s="212"/>
      <c r="BE415" s="212"/>
      <c r="BF415" s="212"/>
      <c r="BG415" s="212"/>
      <c r="BH415" s="212"/>
      <c r="BI415" s="212"/>
      <c r="BJ415" s="212"/>
      <c r="BK415" s="212"/>
      <c r="BL415" s="212"/>
      <c r="BM415" s="212"/>
      <c r="BN415" s="212"/>
      <c r="BO415" s="212"/>
      <c r="BP415" s="212"/>
      <c r="BQ415" s="212"/>
      <c r="BR415" s="212"/>
      <c r="BS415" s="212"/>
      <c r="BT415" s="212"/>
      <c r="BU415" s="212"/>
      <c r="BV415" s="212"/>
      <c r="BW415" s="212"/>
      <c r="BX415" s="212"/>
      <c r="BY415" s="212"/>
      <c r="BZ415" s="212"/>
      <c r="CA415" s="212"/>
      <c r="CB415" s="212"/>
      <c r="CC415" s="212"/>
      <c r="CD415" s="212"/>
      <c r="CE415" s="212"/>
      <c r="CF415" s="212"/>
      <c r="CG415" s="212"/>
      <c r="CH415" s="212"/>
      <c r="CI415" s="212"/>
      <c r="CJ415" s="212"/>
      <c r="CK415" s="212"/>
      <c r="CL415" s="212"/>
    </row>
    <row r="416" spans="10:90" ht="24.75" customHeight="1" x14ac:dyDescent="0.75">
      <c r="J416" s="220"/>
      <c r="K416" s="2"/>
      <c r="N416" s="212"/>
      <c r="O416" s="212"/>
      <c r="P416" s="212"/>
      <c r="Q416" s="212"/>
      <c r="R416" s="212"/>
      <c r="S416" s="212"/>
      <c r="T416" s="212"/>
      <c r="U416" s="212"/>
      <c r="V416" s="212"/>
      <c r="W416" s="212"/>
      <c r="X416" s="212"/>
      <c r="Y416" s="212"/>
      <c r="Z416" s="212"/>
      <c r="AA416" s="212"/>
      <c r="AB416" s="212"/>
      <c r="AC416" s="212"/>
      <c r="AD416" s="212"/>
      <c r="AE416" s="212"/>
      <c r="AF416" s="212"/>
      <c r="AG416" s="212"/>
      <c r="AH416" s="212"/>
      <c r="AI416" s="212"/>
      <c r="AJ416" s="212"/>
      <c r="AK416" s="212"/>
      <c r="AL416" s="212"/>
      <c r="AM416" s="212"/>
      <c r="AN416" s="212"/>
      <c r="AO416" s="212"/>
      <c r="AP416" s="212"/>
      <c r="AQ416" s="212"/>
      <c r="AR416" s="212"/>
      <c r="AS416" s="212"/>
      <c r="AT416" s="212"/>
      <c r="AU416" s="212"/>
      <c r="AV416" s="212"/>
      <c r="AW416" s="212"/>
      <c r="AX416" s="212"/>
      <c r="AY416" s="212"/>
      <c r="AZ416" s="212"/>
      <c r="BA416" s="212"/>
      <c r="BB416" s="212"/>
      <c r="BC416" s="212"/>
      <c r="BD416" s="212"/>
      <c r="BE416" s="212"/>
      <c r="BF416" s="212"/>
      <c r="BG416" s="212"/>
      <c r="BH416" s="212"/>
      <c r="BI416" s="212"/>
      <c r="BJ416" s="212"/>
      <c r="BK416" s="212"/>
      <c r="BL416" s="212"/>
      <c r="BM416" s="212"/>
      <c r="BN416" s="212"/>
      <c r="BO416" s="212"/>
      <c r="BP416" s="212"/>
      <c r="BQ416" s="212"/>
      <c r="BR416" s="212"/>
      <c r="BS416" s="212"/>
      <c r="BT416" s="212"/>
      <c r="BU416" s="212"/>
      <c r="BV416" s="212"/>
      <c r="BW416" s="212"/>
      <c r="BX416" s="212"/>
      <c r="BY416" s="212"/>
      <c r="BZ416" s="212"/>
      <c r="CA416" s="212"/>
      <c r="CB416" s="212"/>
      <c r="CC416" s="212"/>
      <c r="CD416" s="212"/>
      <c r="CE416" s="212"/>
      <c r="CF416" s="212"/>
      <c r="CG416" s="212"/>
      <c r="CH416" s="212"/>
      <c r="CI416" s="212"/>
      <c r="CJ416" s="212"/>
      <c r="CK416" s="212"/>
      <c r="CL416" s="212"/>
    </row>
    <row r="417" spans="10:90" ht="24.75" customHeight="1" x14ac:dyDescent="0.75">
      <c r="J417" s="220"/>
      <c r="K417" s="2"/>
      <c r="N417" s="212"/>
      <c r="O417" s="212"/>
      <c r="P417" s="212"/>
      <c r="Q417" s="212"/>
      <c r="R417" s="212"/>
      <c r="S417" s="212"/>
      <c r="T417" s="212"/>
      <c r="U417" s="212"/>
      <c r="V417" s="212"/>
      <c r="W417" s="212"/>
      <c r="X417" s="212"/>
      <c r="Y417" s="212"/>
      <c r="Z417" s="212"/>
      <c r="AA417" s="212"/>
      <c r="AB417" s="212"/>
      <c r="AC417" s="212"/>
      <c r="AD417" s="212"/>
      <c r="AE417" s="212"/>
      <c r="AF417" s="212"/>
      <c r="AG417" s="212"/>
      <c r="AH417" s="212"/>
      <c r="AI417" s="212"/>
      <c r="AJ417" s="212"/>
      <c r="AK417" s="212"/>
      <c r="AL417" s="212"/>
      <c r="AM417" s="212"/>
      <c r="AN417" s="212"/>
      <c r="AO417" s="212"/>
      <c r="AP417" s="212"/>
      <c r="AQ417" s="212"/>
      <c r="AR417" s="212"/>
      <c r="AS417" s="212"/>
      <c r="AT417" s="212"/>
      <c r="AU417" s="212"/>
      <c r="AV417" s="212"/>
      <c r="AW417" s="212"/>
      <c r="AX417" s="212"/>
      <c r="AY417" s="212"/>
      <c r="AZ417" s="212"/>
      <c r="BA417" s="212"/>
      <c r="BB417" s="212"/>
      <c r="BC417" s="212"/>
      <c r="BD417" s="212"/>
      <c r="BE417" s="212"/>
      <c r="BF417" s="212"/>
      <c r="BG417" s="212"/>
      <c r="BH417" s="212"/>
      <c r="BI417" s="212"/>
      <c r="BJ417" s="212"/>
      <c r="BK417" s="212"/>
      <c r="BL417" s="212"/>
      <c r="BM417" s="212"/>
      <c r="BN417" s="212"/>
      <c r="BO417" s="212"/>
      <c r="BP417" s="212"/>
      <c r="BQ417" s="212"/>
      <c r="BR417" s="212"/>
      <c r="BS417" s="212"/>
      <c r="BT417" s="212"/>
      <c r="BU417" s="212"/>
      <c r="BV417" s="212"/>
      <c r="BW417" s="212"/>
      <c r="BX417" s="212"/>
      <c r="BY417" s="212"/>
      <c r="BZ417" s="212"/>
      <c r="CA417" s="212"/>
      <c r="CB417" s="212"/>
      <c r="CC417" s="212"/>
      <c r="CD417" s="212"/>
      <c r="CE417" s="212"/>
      <c r="CF417" s="212"/>
      <c r="CG417" s="212"/>
      <c r="CH417" s="212"/>
      <c r="CI417" s="212"/>
      <c r="CJ417" s="212"/>
      <c r="CK417" s="212"/>
      <c r="CL417" s="212"/>
    </row>
    <row r="418" spans="10:90" ht="24.75" customHeight="1" x14ac:dyDescent="0.75">
      <c r="J418" s="220"/>
      <c r="K418" s="2"/>
      <c r="N418" s="212"/>
      <c r="O418" s="212"/>
      <c r="P418" s="212"/>
      <c r="Q418" s="212"/>
      <c r="R418" s="212"/>
      <c r="S418" s="212"/>
      <c r="T418" s="212"/>
      <c r="U418" s="212"/>
      <c r="V418" s="212"/>
      <c r="W418" s="212"/>
      <c r="X418" s="212"/>
      <c r="Y418" s="212"/>
      <c r="Z418" s="212"/>
      <c r="AA418" s="212"/>
      <c r="AB418" s="212"/>
      <c r="AC418" s="212"/>
      <c r="AD418" s="212"/>
      <c r="AE418" s="212"/>
      <c r="AF418" s="212"/>
      <c r="AG418" s="212"/>
      <c r="AH418" s="212"/>
      <c r="AI418" s="212"/>
      <c r="AJ418" s="212"/>
      <c r="AK418" s="212"/>
      <c r="AL418" s="212"/>
      <c r="AM418" s="212"/>
      <c r="AN418" s="212"/>
      <c r="AO418" s="212"/>
      <c r="AP418" s="212"/>
      <c r="AQ418" s="212"/>
      <c r="AR418" s="212"/>
      <c r="AS418" s="212"/>
      <c r="AT418" s="212"/>
      <c r="AU418" s="212"/>
      <c r="AV418" s="212"/>
      <c r="AW418" s="212"/>
      <c r="AX418" s="212"/>
      <c r="AY418" s="212"/>
      <c r="AZ418" s="212"/>
      <c r="BA418" s="212"/>
      <c r="BB418" s="212"/>
      <c r="BC418" s="212"/>
      <c r="BD418" s="212"/>
      <c r="BE418" s="212"/>
      <c r="BF418" s="212"/>
      <c r="BG418" s="212"/>
      <c r="BH418" s="212"/>
      <c r="BI418" s="212"/>
      <c r="BJ418" s="212"/>
      <c r="BK418" s="212"/>
      <c r="BL418" s="212"/>
      <c r="BM418" s="212"/>
      <c r="BN418" s="212"/>
      <c r="BO418" s="212"/>
      <c r="BP418" s="212"/>
      <c r="BQ418" s="212"/>
      <c r="BR418" s="212"/>
      <c r="BS418" s="212"/>
      <c r="BT418" s="212"/>
      <c r="BU418" s="212"/>
      <c r="BV418" s="212"/>
      <c r="BW418" s="212"/>
      <c r="BX418" s="212"/>
      <c r="BY418" s="212"/>
      <c r="BZ418" s="212"/>
      <c r="CA418" s="212"/>
      <c r="CB418" s="212"/>
      <c r="CC418" s="212"/>
      <c r="CD418" s="212"/>
      <c r="CE418" s="212"/>
      <c r="CF418" s="212"/>
      <c r="CG418" s="212"/>
      <c r="CH418" s="212"/>
      <c r="CI418" s="212"/>
      <c r="CJ418" s="212"/>
      <c r="CK418" s="212"/>
      <c r="CL418" s="212"/>
    </row>
    <row r="419" spans="10:90" ht="24.75" customHeight="1" x14ac:dyDescent="0.75">
      <c r="J419" s="220"/>
      <c r="K419" s="2"/>
      <c r="N419" s="212"/>
      <c r="O419" s="212"/>
      <c r="P419" s="212"/>
      <c r="Q419" s="212"/>
      <c r="R419" s="212"/>
      <c r="S419" s="212"/>
      <c r="T419" s="212"/>
      <c r="U419" s="212"/>
      <c r="V419" s="212"/>
      <c r="W419" s="212"/>
      <c r="X419" s="212"/>
      <c r="Y419" s="212"/>
      <c r="Z419" s="212"/>
      <c r="AA419" s="212"/>
      <c r="AB419" s="212"/>
      <c r="AC419" s="212"/>
      <c r="AD419" s="212"/>
      <c r="AE419" s="212"/>
      <c r="AF419" s="212"/>
      <c r="AG419" s="212"/>
      <c r="AH419" s="212"/>
      <c r="AI419" s="212"/>
      <c r="AJ419" s="212"/>
      <c r="AK419" s="212"/>
      <c r="AL419" s="212"/>
      <c r="AM419" s="212"/>
      <c r="AN419" s="212"/>
      <c r="AO419" s="212"/>
      <c r="AP419" s="212"/>
      <c r="AQ419" s="212"/>
      <c r="AR419" s="212"/>
      <c r="AS419" s="212"/>
      <c r="AT419" s="212"/>
      <c r="AU419" s="212"/>
      <c r="AV419" s="212"/>
      <c r="AW419" s="212"/>
      <c r="AX419" s="212"/>
      <c r="AY419" s="212"/>
      <c r="AZ419" s="212"/>
      <c r="BA419" s="212"/>
      <c r="BB419" s="212"/>
      <c r="BC419" s="212"/>
      <c r="BD419" s="212"/>
      <c r="BE419" s="212"/>
      <c r="BF419" s="212"/>
      <c r="BG419" s="212"/>
      <c r="BH419" s="212"/>
      <c r="BI419" s="212"/>
      <c r="BJ419" s="212"/>
      <c r="BK419" s="212"/>
      <c r="BL419" s="212"/>
      <c r="BM419" s="212"/>
      <c r="BN419" s="212"/>
      <c r="BO419" s="212"/>
      <c r="BP419" s="212"/>
      <c r="BQ419" s="212"/>
      <c r="BR419" s="212"/>
      <c r="BS419" s="212"/>
      <c r="BT419" s="212"/>
      <c r="BU419" s="212"/>
      <c r="BV419" s="212"/>
      <c r="BW419" s="212"/>
      <c r="BX419" s="212"/>
      <c r="BY419" s="212"/>
      <c r="BZ419" s="212"/>
      <c r="CA419" s="212"/>
      <c r="CB419" s="212"/>
      <c r="CC419" s="212"/>
      <c r="CD419" s="212"/>
      <c r="CE419" s="212"/>
      <c r="CF419" s="212"/>
      <c r="CG419" s="212"/>
      <c r="CH419" s="212"/>
      <c r="CI419" s="212"/>
      <c r="CJ419" s="212"/>
      <c r="CK419" s="212"/>
      <c r="CL419" s="212"/>
    </row>
    <row r="420" spans="10:90" ht="24.75" customHeight="1" x14ac:dyDescent="0.75">
      <c r="J420" s="220"/>
      <c r="K420" s="2"/>
      <c r="N420" s="212"/>
      <c r="O420" s="212"/>
      <c r="P420" s="212"/>
      <c r="Q420" s="212"/>
      <c r="R420" s="212"/>
      <c r="S420" s="212"/>
      <c r="T420" s="212"/>
      <c r="U420" s="212"/>
      <c r="V420" s="212"/>
      <c r="W420" s="212"/>
      <c r="X420" s="212"/>
      <c r="Y420" s="212"/>
      <c r="Z420" s="212"/>
      <c r="AA420" s="212"/>
      <c r="AB420" s="212"/>
      <c r="AC420" s="212"/>
      <c r="AD420" s="212"/>
      <c r="AE420" s="212"/>
      <c r="AF420" s="212"/>
      <c r="AG420" s="212"/>
      <c r="AH420" s="212"/>
      <c r="AI420" s="212"/>
      <c r="AJ420" s="212"/>
      <c r="AK420" s="212"/>
      <c r="AL420" s="212"/>
      <c r="AM420" s="212"/>
      <c r="AN420" s="212"/>
      <c r="AO420" s="212"/>
      <c r="AP420" s="212"/>
      <c r="AQ420" s="212"/>
      <c r="AR420" s="212"/>
      <c r="AS420" s="212"/>
      <c r="AT420" s="212"/>
      <c r="AU420" s="212"/>
      <c r="AV420" s="212"/>
      <c r="AW420" s="212"/>
      <c r="AX420" s="212"/>
      <c r="AY420" s="212"/>
      <c r="AZ420" s="212"/>
      <c r="BA420" s="212"/>
      <c r="BB420" s="212"/>
      <c r="BC420" s="212"/>
      <c r="BD420" s="212"/>
      <c r="BE420" s="212"/>
      <c r="BF420" s="212"/>
      <c r="BG420" s="212"/>
      <c r="BH420" s="212"/>
      <c r="BI420" s="212"/>
      <c r="BJ420" s="212"/>
      <c r="BK420" s="212"/>
      <c r="BL420" s="212"/>
      <c r="BM420" s="212"/>
      <c r="BN420" s="212"/>
      <c r="BO420" s="212"/>
      <c r="BP420" s="212"/>
      <c r="BQ420" s="212"/>
      <c r="BR420" s="212"/>
      <c r="BS420" s="212"/>
      <c r="BT420" s="212"/>
      <c r="BU420" s="212"/>
      <c r="BV420" s="212"/>
      <c r="BW420" s="212"/>
      <c r="BX420" s="212"/>
      <c r="BY420" s="212"/>
      <c r="BZ420" s="212"/>
      <c r="CA420" s="212"/>
      <c r="CB420" s="212"/>
      <c r="CC420" s="212"/>
      <c r="CD420" s="212"/>
      <c r="CE420" s="212"/>
      <c r="CF420" s="212"/>
      <c r="CG420" s="212"/>
      <c r="CH420" s="212"/>
      <c r="CI420" s="212"/>
      <c r="CJ420" s="212"/>
      <c r="CK420" s="212"/>
      <c r="CL420" s="212"/>
    </row>
    <row r="421" spans="10:90" ht="24.75" customHeight="1" x14ac:dyDescent="0.75">
      <c r="J421" s="220"/>
      <c r="K421" s="2"/>
      <c r="N421" s="212"/>
      <c r="O421" s="212"/>
      <c r="P421" s="212"/>
      <c r="Q421" s="212"/>
      <c r="R421" s="212"/>
      <c r="S421" s="212"/>
      <c r="T421" s="212"/>
      <c r="U421" s="212"/>
      <c r="V421" s="212"/>
      <c r="W421" s="212"/>
      <c r="X421" s="212"/>
      <c r="Y421" s="212"/>
      <c r="Z421" s="212"/>
      <c r="AA421" s="212"/>
      <c r="AB421" s="212"/>
      <c r="AC421" s="212"/>
      <c r="AD421" s="212"/>
      <c r="AE421" s="212"/>
      <c r="AF421" s="212"/>
      <c r="AG421" s="212"/>
      <c r="AH421" s="212"/>
      <c r="AI421" s="212"/>
      <c r="AJ421" s="212"/>
      <c r="AK421" s="212"/>
      <c r="AL421" s="212"/>
      <c r="AM421" s="212"/>
      <c r="AN421" s="212"/>
      <c r="AO421" s="212"/>
      <c r="AP421" s="212"/>
      <c r="AQ421" s="212"/>
      <c r="AR421" s="212"/>
      <c r="AS421" s="212"/>
      <c r="AT421" s="212"/>
      <c r="AU421" s="212"/>
      <c r="AV421" s="212"/>
      <c r="AW421" s="212"/>
      <c r="AX421" s="212"/>
      <c r="AY421" s="212"/>
      <c r="AZ421" s="212"/>
      <c r="BA421" s="212"/>
      <c r="BB421" s="212"/>
      <c r="BC421" s="212"/>
      <c r="BD421" s="212"/>
      <c r="BE421" s="212"/>
      <c r="BF421" s="212"/>
      <c r="BG421" s="212"/>
      <c r="BH421" s="212"/>
      <c r="BI421" s="212"/>
      <c r="BJ421" s="212"/>
      <c r="BK421" s="212"/>
      <c r="BL421" s="212"/>
      <c r="BM421" s="212"/>
      <c r="BN421" s="212"/>
      <c r="BO421" s="212"/>
      <c r="BP421" s="212"/>
      <c r="BQ421" s="212"/>
      <c r="BR421" s="212"/>
      <c r="BS421" s="212"/>
      <c r="BT421" s="212"/>
      <c r="BU421" s="212"/>
      <c r="BV421" s="212"/>
      <c r="BW421" s="212"/>
      <c r="BX421" s="212"/>
      <c r="BY421" s="212"/>
      <c r="BZ421" s="212"/>
      <c r="CA421" s="212"/>
      <c r="CB421" s="212"/>
      <c r="CC421" s="212"/>
      <c r="CD421" s="212"/>
      <c r="CE421" s="212"/>
      <c r="CF421" s="212"/>
      <c r="CG421" s="212"/>
      <c r="CH421" s="212"/>
      <c r="CI421" s="212"/>
      <c r="CJ421" s="212"/>
      <c r="CK421" s="212"/>
      <c r="CL421" s="212"/>
    </row>
    <row r="422" spans="10:90" ht="24.75" customHeight="1" x14ac:dyDescent="0.75">
      <c r="J422" s="220"/>
      <c r="K422" s="2"/>
      <c r="N422" s="212"/>
      <c r="O422" s="212"/>
      <c r="P422" s="212"/>
      <c r="Q422" s="212"/>
      <c r="R422" s="212"/>
      <c r="S422" s="212"/>
      <c r="T422" s="212"/>
      <c r="U422" s="212"/>
      <c r="V422" s="212"/>
      <c r="W422" s="212"/>
      <c r="X422" s="212"/>
      <c r="Y422" s="212"/>
      <c r="Z422" s="212"/>
      <c r="AA422" s="212"/>
      <c r="AB422" s="212"/>
      <c r="AC422" s="212"/>
      <c r="AD422" s="212"/>
      <c r="AE422" s="212"/>
      <c r="AF422" s="212"/>
      <c r="AG422" s="212"/>
      <c r="AH422" s="212"/>
      <c r="AI422" s="212"/>
      <c r="AJ422" s="212"/>
      <c r="AK422" s="212"/>
      <c r="AL422" s="212"/>
      <c r="AM422" s="212"/>
      <c r="AN422" s="212"/>
      <c r="AO422" s="212"/>
      <c r="AP422" s="212"/>
      <c r="AQ422" s="212"/>
      <c r="AR422" s="212"/>
      <c r="AS422" s="212"/>
      <c r="AT422" s="212"/>
      <c r="AU422" s="212"/>
      <c r="AV422" s="212"/>
      <c r="AW422" s="212"/>
      <c r="AX422" s="212"/>
      <c r="AY422" s="212"/>
      <c r="AZ422" s="212"/>
      <c r="BA422" s="212"/>
      <c r="BB422" s="212"/>
      <c r="BC422" s="212"/>
      <c r="BD422" s="212"/>
      <c r="BE422" s="212"/>
      <c r="BF422" s="212"/>
      <c r="BG422" s="212"/>
      <c r="BH422" s="212"/>
      <c r="BI422" s="212"/>
      <c r="BJ422" s="212"/>
      <c r="BK422" s="212"/>
      <c r="BL422" s="212"/>
      <c r="BM422" s="212"/>
      <c r="BN422" s="212"/>
      <c r="BO422" s="212"/>
      <c r="BP422" s="212"/>
      <c r="BQ422" s="212"/>
      <c r="BR422" s="212"/>
      <c r="BS422" s="212"/>
      <c r="BT422" s="212"/>
      <c r="BU422" s="212"/>
      <c r="BV422" s="212"/>
      <c r="BW422" s="212"/>
      <c r="BX422" s="212"/>
      <c r="BY422" s="212"/>
      <c r="BZ422" s="212"/>
      <c r="CA422" s="212"/>
      <c r="CB422" s="212"/>
      <c r="CC422" s="212"/>
      <c r="CD422" s="212"/>
      <c r="CE422" s="212"/>
      <c r="CF422" s="212"/>
      <c r="CG422" s="212"/>
      <c r="CH422" s="212"/>
      <c r="CI422" s="212"/>
      <c r="CJ422" s="212"/>
      <c r="CK422" s="212"/>
      <c r="CL422" s="212"/>
    </row>
    <row r="423" spans="10:90" ht="24.75" customHeight="1" x14ac:dyDescent="0.75">
      <c r="J423" s="220"/>
      <c r="K423" s="2"/>
      <c r="N423" s="212"/>
      <c r="O423" s="212"/>
      <c r="P423" s="212"/>
      <c r="Q423" s="212"/>
      <c r="R423" s="212"/>
      <c r="S423" s="212"/>
      <c r="T423" s="212"/>
      <c r="U423" s="212"/>
      <c r="V423" s="212"/>
      <c r="W423" s="212"/>
      <c r="X423" s="212"/>
      <c r="Y423" s="212"/>
      <c r="Z423" s="212"/>
      <c r="AA423" s="212"/>
      <c r="AB423" s="212"/>
      <c r="AC423" s="212"/>
      <c r="AD423" s="212"/>
      <c r="AE423" s="212"/>
      <c r="AF423" s="212"/>
      <c r="AG423" s="212"/>
      <c r="AH423" s="212"/>
      <c r="AI423" s="212"/>
      <c r="AJ423" s="212"/>
      <c r="AK423" s="212"/>
      <c r="AL423" s="212"/>
      <c r="AM423" s="212"/>
      <c r="AN423" s="212"/>
      <c r="AO423" s="212"/>
      <c r="AP423" s="212"/>
      <c r="AQ423" s="212"/>
      <c r="AR423" s="212"/>
      <c r="AS423" s="212"/>
      <c r="AT423" s="212"/>
      <c r="AU423" s="212"/>
      <c r="AV423" s="212"/>
      <c r="AW423" s="212"/>
      <c r="AX423" s="212"/>
      <c r="AY423" s="212"/>
      <c r="AZ423" s="212"/>
      <c r="BA423" s="212"/>
      <c r="BB423" s="212"/>
      <c r="BC423" s="212"/>
      <c r="BD423" s="212"/>
      <c r="BE423" s="212"/>
      <c r="BF423" s="212"/>
      <c r="BG423" s="212"/>
      <c r="BH423" s="212"/>
      <c r="BI423" s="212"/>
      <c r="BJ423" s="212"/>
      <c r="BK423" s="212"/>
      <c r="BL423" s="212"/>
      <c r="BM423" s="212"/>
      <c r="BN423" s="212"/>
      <c r="BO423" s="212"/>
      <c r="BP423" s="212"/>
      <c r="BQ423" s="212"/>
      <c r="BR423" s="212"/>
      <c r="BS423" s="212"/>
      <c r="BT423" s="212"/>
      <c r="BU423" s="212"/>
      <c r="BV423" s="212"/>
      <c r="BW423" s="212"/>
      <c r="BX423" s="212"/>
      <c r="BY423" s="212"/>
      <c r="BZ423" s="212"/>
      <c r="CA423" s="212"/>
      <c r="CB423" s="212"/>
      <c r="CC423" s="212"/>
      <c r="CD423" s="212"/>
      <c r="CE423" s="212"/>
      <c r="CF423" s="212"/>
      <c r="CG423" s="212"/>
      <c r="CH423" s="212"/>
      <c r="CI423" s="212"/>
      <c r="CJ423" s="212"/>
      <c r="CK423" s="212"/>
      <c r="CL423" s="212"/>
    </row>
    <row r="424" spans="10:90" ht="24.75" customHeight="1" x14ac:dyDescent="0.75">
      <c r="J424" s="220"/>
      <c r="K424" s="2"/>
      <c r="N424" s="212"/>
      <c r="O424" s="212"/>
      <c r="P424" s="212"/>
      <c r="Q424" s="212"/>
      <c r="R424" s="212"/>
      <c r="S424" s="212"/>
      <c r="T424" s="212"/>
      <c r="U424" s="212"/>
      <c r="V424" s="212"/>
      <c r="W424" s="212"/>
      <c r="X424" s="212"/>
      <c r="Y424" s="212"/>
      <c r="Z424" s="212"/>
      <c r="AA424" s="212"/>
      <c r="AB424" s="212"/>
      <c r="AC424" s="212"/>
      <c r="AD424" s="212"/>
      <c r="AE424" s="212"/>
      <c r="AF424" s="212"/>
      <c r="AG424" s="212"/>
      <c r="AH424" s="212"/>
      <c r="AI424" s="212"/>
      <c r="AJ424" s="212"/>
      <c r="AK424" s="212"/>
      <c r="AL424" s="212"/>
      <c r="AM424" s="212"/>
      <c r="AN424" s="212"/>
      <c r="AO424" s="212"/>
      <c r="AP424" s="212"/>
      <c r="AQ424" s="212"/>
      <c r="AR424" s="212"/>
      <c r="AS424" s="212"/>
      <c r="AT424" s="212"/>
      <c r="AU424" s="212"/>
      <c r="AV424" s="212"/>
      <c r="AW424" s="212"/>
      <c r="AX424" s="212"/>
      <c r="AY424" s="212"/>
      <c r="AZ424" s="212"/>
      <c r="BA424" s="212"/>
      <c r="BB424" s="212"/>
      <c r="BC424" s="212"/>
      <c r="BD424" s="212"/>
      <c r="BE424" s="212"/>
      <c r="BF424" s="212"/>
      <c r="BG424" s="212"/>
      <c r="BH424" s="212"/>
      <c r="BI424" s="212"/>
      <c r="BJ424" s="212"/>
      <c r="BK424" s="212"/>
      <c r="BL424" s="212"/>
      <c r="BM424" s="212"/>
      <c r="BN424" s="212"/>
      <c r="BO424" s="212"/>
      <c r="BP424" s="212"/>
      <c r="BQ424" s="212"/>
      <c r="BR424" s="212"/>
      <c r="BS424" s="212"/>
      <c r="BT424" s="212"/>
      <c r="BU424" s="212"/>
      <c r="BV424" s="212"/>
      <c r="BW424" s="212"/>
      <c r="BX424" s="212"/>
      <c r="BY424" s="212"/>
      <c r="BZ424" s="212"/>
      <c r="CA424" s="212"/>
      <c r="CB424" s="212"/>
      <c r="CC424" s="212"/>
      <c r="CD424" s="212"/>
      <c r="CE424" s="212"/>
      <c r="CF424" s="212"/>
      <c r="CG424" s="212"/>
      <c r="CH424" s="212"/>
      <c r="CI424" s="212"/>
      <c r="CJ424" s="212"/>
      <c r="CK424" s="212"/>
      <c r="CL424" s="212"/>
    </row>
    <row r="425" spans="10:90" ht="24.75" customHeight="1" x14ac:dyDescent="0.75">
      <c r="J425" s="220"/>
      <c r="K425" s="2"/>
      <c r="N425" s="212"/>
      <c r="O425" s="212"/>
      <c r="P425" s="212"/>
      <c r="Q425" s="212"/>
      <c r="R425" s="212"/>
      <c r="S425" s="212"/>
      <c r="T425" s="212"/>
      <c r="U425" s="212"/>
      <c r="V425" s="212"/>
      <c r="W425" s="212"/>
      <c r="X425" s="212"/>
      <c r="Y425" s="212"/>
      <c r="Z425" s="212"/>
      <c r="AA425" s="212"/>
      <c r="AB425" s="212"/>
      <c r="AC425" s="212"/>
      <c r="AD425" s="212"/>
      <c r="AE425" s="212"/>
      <c r="AF425" s="212"/>
      <c r="AG425" s="212"/>
      <c r="AH425" s="212"/>
      <c r="AI425" s="212"/>
      <c r="AJ425" s="212"/>
      <c r="AK425" s="212"/>
      <c r="AL425" s="212"/>
      <c r="AM425" s="212"/>
      <c r="AN425" s="212"/>
      <c r="AO425" s="212"/>
      <c r="AP425" s="212"/>
      <c r="AQ425" s="212"/>
      <c r="AR425" s="212"/>
      <c r="AS425" s="212"/>
      <c r="AT425" s="212"/>
      <c r="AU425" s="212"/>
      <c r="AV425" s="212"/>
      <c r="AW425" s="212"/>
      <c r="AX425" s="212"/>
      <c r="AY425" s="212"/>
      <c r="AZ425" s="212"/>
      <c r="BA425" s="212"/>
      <c r="BB425" s="212"/>
      <c r="BC425" s="212"/>
      <c r="BD425" s="212"/>
      <c r="BE425" s="212"/>
      <c r="BF425" s="212"/>
      <c r="BG425" s="212"/>
      <c r="BH425" s="212"/>
      <c r="BI425" s="212"/>
      <c r="BJ425" s="212"/>
      <c r="BK425" s="212"/>
      <c r="BL425" s="212"/>
      <c r="BM425" s="212"/>
      <c r="BN425" s="212"/>
      <c r="BO425" s="212"/>
      <c r="BP425" s="212"/>
      <c r="BQ425" s="212"/>
      <c r="BR425" s="212"/>
      <c r="BS425" s="212"/>
      <c r="BT425" s="212"/>
      <c r="BU425" s="212"/>
      <c r="BV425" s="212"/>
      <c r="BW425" s="212"/>
      <c r="BX425" s="212"/>
      <c r="BY425" s="212"/>
      <c r="BZ425" s="212"/>
      <c r="CA425" s="212"/>
      <c r="CB425" s="212"/>
      <c r="CC425" s="212"/>
      <c r="CD425" s="212"/>
      <c r="CE425" s="212"/>
      <c r="CF425" s="212"/>
      <c r="CG425" s="212"/>
      <c r="CH425" s="212"/>
      <c r="CI425" s="212"/>
      <c r="CJ425" s="212"/>
      <c r="CK425" s="212"/>
      <c r="CL425" s="212"/>
    </row>
    <row r="426" spans="10:90" ht="24.75" customHeight="1" x14ac:dyDescent="0.75">
      <c r="J426" s="220"/>
      <c r="K426" s="2"/>
      <c r="N426" s="212"/>
      <c r="O426" s="212"/>
      <c r="P426" s="212"/>
      <c r="Q426" s="212"/>
      <c r="R426" s="212"/>
      <c r="S426" s="212"/>
      <c r="T426" s="212"/>
      <c r="U426" s="212"/>
      <c r="V426" s="212"/>
      <c r="W426" s="212"/>
      <c r="X426" s="212"/>
      <c r="Y426" s="212"/>
      <c r="Z426" s="212"/>
      <c r="AA426" s="212"/>
      <c r="AB426" s="212"/>
      <c r="AC426" s="212"/>
      <c r="AD426" s="212"/>
      <c r="AE426" s="212"/>
      <c r="AF426" s="212"/>
      <c r="AG426" s="212"/>
      <c r="AH426" s="212"/>
      <c r="AI426" s="212"/>
      <c r="AJ426" s="212"/>
      <c r="AK426" s="212"/>
      <c r="AL426" s="212"/>
      <c r="AM426" s="212"/>
      <c r="AN426" s="212"/>
      <c r="AO426" s="212"/>
      <c r="AP426" s="212"/>
      <c r="AQ426" s="212"/>
      <c r="AR426" s="212"/>
      <c r="AS426" s="212"/>
      <c r="AT426" s="212"/>
      <c r="AU426" s="212"/>
      <c r="AV426" s="212"/>
      <c r="AW426" s="212"/>
      <c r="AX426" s="212"/>
      <c r="AY426" s="212"/>
      <c r="AZ426" s="212"/>
      <c r="BA426" s="212"/>
      <c r="BB426" s="212"/>
      <c r="BC426" s="212"/>
      <c r="BD426" s="212"/>
      <c r="BE426" s="212"/>
      <c r="BF426" s="212"/>
      <c r="BG426" s="212"/>
      <c r="BH426" s="212"/>
      <c r="BI426" s="212"/>
      <c r="BJ426" s="212"/>
      <c r="BK426" s="212"/>
      <c r="BL426" s="212"/>
      <c r="BM426" s="212"/>
      <c r="BN426" s="212"/>
      <c r="BO426" s="212"/>
      <c r="BP426" s="212"/>
      <c r="BQ426" s="212"/>
      <c r="BR426" s="212"/>
      <c r="BS426" s="212"/>
      <c r="BT426" s="212"/>
      <c r="BU426" s="212"/>
      <c r="BV426" s="212"/>
      <c r="BW426" s="212"/>
      <c r="BX426" s="212"/>
      <c r="BY426" s="212"/>
      <c r="BZ426" s="212"/>
      <c r="CA426" s="212"/>
      <c r="CB426" s="212"/>
      <c r="CC426" s="212"/>
      <c r="CD426" s="212"/>
      <c r="CE426" s="212"/>
      <c r="CF426" s="212"/>
      <c r="CG426" s="212"/>
      <c r="CH426" s="212"/>
      <c r="CI426" s="212"/>
      <c r="CJ426" s="212"/>
      <c r="CK426" s="212"/>
      <c r="CL426" s="212"/>
    </row>
    <row r="427" spans="10:90" ht="24.75" customHeight="1" x14ac:dyDescent="0.75">
      <c r="J427" s="220"/>
      <c r="K427" s="2"/>
      <c r="N427" s="212"/>
      <c r="O427" s="212"/>
      <c r="P427" s="212"/>
      <c r="Q427" s="212"/>
      <c r="R427" s="212"/>
      <c r="S427" s="212"/>
      <c r="T427" s="212"/>
      <c r="U427" s="212"/>
      <c r="V427" s="212"/>
      <c r="W427" s="212"/>
      <c r="X427" s="212"/>
      <c r="Y427" s="212"/>
      <c r="Z427" s="212"/>
      <c r="AA427" s="212"/>
      <c r="AB427" s="212"/>
      <c r="AC427" s="212"/>
      <c r="AD427" s="212"/>
      <c r="AE427" s="212"/>
      <c r="AF427" s="212"/>
      <c r="AG427" s="212"/>
      <c r="AH427" s="212"/>
      <c r="AI427" s="212"/>
      <c r="AJ427" s="212"/>
      <c r="AK427" s="212"/>
      <c r="AL427" s="212"/>
      <c r="AM427" s="212"/>
      <c r="AN427" s="212"/>
      <c r="AO427" s="212"/>
      <c r="AP427" s="212"/>
      <c r="AQ427" s="212"/>
      <c r="AR427" s="212"/>
      <c r="AS427" s="212"/>
      <c r="AT427" s="212"/>
      <c r="AU427" s="212"/>
      <c r="AV427" s="212"/>
      <c r="AW427" s="212"/>
      <c r="AX427" s="212"/>
      <c r="AY427" s="212"/>
      <c r="AZ427" s="212"/>
      <c r="BA427" s="212"/>
      <c r="BB427" s="212"/>
      <c r="BC427" s="212"/>
      <c r="BD427" s="212"/>
      <c r="BE427" s="212"/>
      <c r="BF427" s="212"/>
      <c r="BG427" s="212"/>
      <c r="BH427" s="212"/>
      <c r="BI427" s="212"/>
      <c r="BJ427" s="212"/>
      <c r="BK427" s="212"/>
      <c r="BL427" s="212"/>
      <c r="BM427" s="212"/>
      <c r="BN427" s="212"/>
      <c r="BO427" s="212"/>
      <c r="BP427" s="212"/>
      <c r="BQ427" s="212"/>
      <c r="BR427" s="212"/>
      <c r="BS427" s="212"/>
      <c r="BT427" s="212"/>
      <c r="BU427" s="212"/>
      <c r="BV427" s="212"/>
      <c r="BW427" s="212"/>
      <c r="BX427" s="212"/>
      <c r="BY427" s="212"/>
      <c r="BZ427" s="212"/>
      <c r="CA427" s="212"/>
      <c r="CB427" s="212"/>
      <c r="CC427" s="212"/>
      <c r="CD427" s="212"/>
      <c r="CE427" s="212"/>
      <c r="CF427" s="212"/>
      <c r="CG427" s="212"/>
      <c r="CH427" s="212"/>
      <c r="CI427" s="212"/>
      <c r="CJ427" s="212"/>
      <c r="CK427" s="212"/>
      <c r="CL427" s="212"/>
    </row>
    <row r="428" spans="10:90" ht="24.75" customHeight="1" x14ac:dyDescent="0.75">
      <c r="J428" s="220"/>
      <c r="K428" s="2"/>
      <c r="N428" s="212"/>
      <c r="O428" s="212"/>
      <c r="P428" s="212"/>
      <c r="Q428" s="212"/>
      <c r="R428" s="212"/>
      <c r="S428" s="212"/>
      <c r="T428" s="212"/>
      <c r="U428" s="212"/>
      <c r="V428" s="212"/>
      <c r="W428" s="212"/>
      <c r="X428" s="212"/>
      <c r="Y428" s="212"/>
      <c r="Z428" s="212"/>
      <c r="AA428" s="212"/>
      <c r="AB428" s="212"/>
      <c r="AC428" s="212"/>
      <c r="AD428" s="212"/>
      <c r="AE428" s="212"/>
      <c r="AF428" s="212"/>
      <c r="AG428" s="212"/>
      <c r="AH428" s="212"/>
      <c r="AI428" s="212"/>
      <c r="AJ428" s="212"/>
      <c r="AK428" s="212"/>
      <c r="AL428" s="212"/>
      <c r="AM428" s="212"/>
      <c r="AN428" s="212"/>
      <c r="AO428" s="212"/>
      <c r="AP428" s="212"/>
      <c r="AQ428" s="212"/>
      <c r="AR428" s="212"/>
      <c r="AS428" s="212"/>
      <c r="AT428" s="212"/>
      <c r="AU428" s="212"/>
      <c r="AV428" s="212"/>
      <c r="AW428" s="212"/>
      <c r="AX428" s="212"/>
      <c r="AY428" s="212"/>
      <c r="AZ428" s="212"/>
      <c r="BA428" s="212"/>
      <c r="BB428" s="212"/>
      <c r="BC428" s="212"/>
      <c r="BD428" s="212"/>
      <c r="BE428" s="212"/>
      <c r="BF428" s="212"/>
      <c r="BG428" s="212"/>
      <c r="BH428" s="212"/>
      <c r="BI428" s="212"/>
      <c r="BJ428" s="212"/>
      <c r="BK428" s="212"/>
      <c r="BL428" s="212"/>
      <c r="BM428" s="212"/>
      <c r="BN428" s="212"/>
      <c r="BO428" s="212"/>
      <c r="BP428" s="212"/>
      <c r="BQ428" s="212"/>
      <c r="BR428" s="212"/>
      <c r="BS428" s="212"/>
      <c r="BT428" s="212"/>
      <c r="BU428" s="212"/>
      <c r="BV428" s="212"/>
      <c r="BW428" s="212"/>
      <c r="BX428" s="212"/>
      <c r="BY428" s="212"/>
      <c r="BZ428" s="212"/>
      <c r="CA428" s="212"/>
      <c r="CB428" s="212"/>
      <c r="CC428" s="212"/>
      <c r="CD428" s="212"/>
      <c r="CE428" s="212"/>
      <c r="CF428" s="212"/>
      <c r="CG428" s="212"/>
      <c r="CH428" s="212"/>
      <c r="CI428" s="212"/>
      <c r="CJ428" s="212"/>
      <c r="CK428" s="212"/>
      <c r="CL428" s="212"/>
    </row>
    <row r="429" spans="10:90" ht="24.75" customHeight="1" x14ac:dyDescent="0.75">
      <c r="J429" s="220"/>
      <c r="K429" s="2"/>
      <c r="N429" s="212"/>
      <c r="O429" s="212"/>
      <c r="P429" s="212"/>
      <c r="Q429" s="212"/>
      <c r="R429" s="212"/>
      <c r="S429" s="212"/>
      <c r="T429" s="212"/>
      <c r="U429" s="212"/>
      <c r="V429" s="212"/>
      <c r="W429" s="212"/>
      <c r="X429" s="212"/>
      <c r="Y429" s="212"/>
      <c r="Z429" s="212"/>
      <c r="AA429" s="212"/>
      <c r="AB429" s="212"/>
      <c r="AC429" s="212"/>
      <c r="AD429" s="212"/>
      <c r="AE429" s="212"/>
      <c r="AF429" s="212"/>
      <c r="AG429" s="212"/>
      <c r="AH429" s="212"/>
      <c r="AI429" s="212"/>
      <c r="AJ429" s="212"/>
      <c r="AK429" s="212"/>
      <c r="AL429" s="212"/>
      <c r="AM429" s="212"/>
      <c r="AN429" s="212"/>
      <c r="AO429" s="212"/>
      <c r="AP429" s="212"/>
      <c r="AQ429" s="212"/>
      <c r="AR429" s="212"/>
      <c r="AS429" s="212"/>
      <c r="AT429" s="212"/>
      <c r="AU429" s="212"/>
      <c r="AV429" s="212"/>
      <c r="AW429" s="212"/>
      <c r="AX429" s="212"/>
      <c r="AY429" s="212"/>
      <c r="AZ429" s="212"/>
      <c r="BA429" s="212"/>
      <c r="BB429" s="212"/>
      <c r="BC429" s="212"/>
      <c r="BD429" s="212"/>
      <c r="BE429" s="212"/>
      <c r="BF429" s="212"/>
      <c r="BG429" s="212"/>
      <c r="BH429" s="212"/>
      <c r="BI429" s="212"/>
      <c r="BJ429" s="212"/>
      <c r="BK429" s="212"/>
      <c r="BL429" s="212"/>
      <c r="BM429" s="212"/>
      <c r="BN429" s="212"/>
      <c r="BO429" s="212"/>
      <c r="BP429" s="212"/>
      <c r="BQ429" s="212"/>
      <c r="BR429" s="212"/>
      <c r="BS429" s="212"/>
      <c r="BT429" s="212"/>
      <c r="BU429" s="212"/>
      <c r="BV429" s="212"/>
      <c r="BW429" s="212"/>
      <c r="BX429" s="212"/>
      <c r="BY429" s="212"/>
      <c r="BZ429" s="212"/>
      <c r="CA429" s="212"/>
      <c r="CB429" s="212"/>
      <c r="CC429" s="212"/>
      <c r="CD429" s="212"/>
      <c r="CE429" s="212"/>
      <c r="CF429" s="212"/>
      <c r="CG429" s="212"/>
      <c r="CH429" s="212"/>
      <c r="CI429" s="212"/>
      <c r="CJ429" s="212"/>
      <c r="CK429" s="212"/>
      <c r="CL429" s="212"/>
    </row>
    <row r="430" spans="10:90" ht="24.75" customHeight="1" x14ac:dyDescent="0.75">
      <c r="J430" s="220"/>
      <c r="K430" s="2"/>
      <c r="N430" s="212"/>
      <c r="O430" s="212"/>
      <c r="P430" s="212"/>
      <c r="Q430" s="212"/>
      <c r="R430" s="212"/>
      <c r="S430" s="212"/>
      <c r="T430" s="212"/>
      <c r="U430" s="212"/>
      <c r="V430" s="212"/>
      <c r="W430" s="212"/>
      <c r="X430" s="212"/>
      <c r="Y430" s="212"/>
      <c r="Z430" s="212"/>
      <c r="AA430" s="212"/>
      <c r="AB430" s="212"/>
      <c r="AC430" s="212"/>
      <c r="AD430" s="212"/>
      <c r="AE430" s="212"/>
      <c r="AF430" s="212"/>
      <c r="AG430" s="212"/>
      <c r="AH430" s="212"/>
      <c r="AI430" s="212"/>
      <c r="AJ430" s="212"/>
      <c r="AK430" s="212"/>
      <c r="AL430" s="212"/>
      <c r="AM430" s="212"/>
      <c r="AN430" s="212"/>
      <c r="AO430" s="212"/>
      <c r="AP430" s="212"/>
      <c r="AQ430" s="212"/>
      <c r="AR430" s="212"/>
      <c r="AS430" s="212"/>
      <c r="AT430" s="212"/>
      <c r="AU430" s="212"/>
      <c r="AV430" s="212"/>
      <c r="AW430" s="212"/>
      <c r="AX430" s="212"/>
      <c r="AY430" s="212"/>
      <c r="AZ430" s="212"/>
      <c r="BA430" s="212"/>
      <c r="BB430" s="212"/>
      <c r="BC430" s="212"/>
      <c r="BD430" s="212"/>
      <c r="BE430" s="212"/>
      <c r="BF430" s="212"/>
      <c r="BG430" s="212"/>
      <c r="BH430" s="212"/>
      <c r="BI430" s="212"/>
      <c r="BJ430" s="212"/>
      <c r="BK430" s="212"/>
      <c r="BL430" s="212"/>
      <c r="BM430" s="212"/>
      <c r="BN430" s="212"/>
      <c r="BO430" s="212"/>
      <c r="BP430" s="212"/>
      <c r="BQ430" s="212"/>
      <c r="BR430" s="212"/>
      <c r="BS430" s="212"/>
      <c r="BT430" s="212"/>
      <c r="BU430" s="212"/>
      <c r="BV430" s="212"/>
      <c r="BW430" s="212"/>
      <c r="BX430" s="212"/>
      <c r="BY430" s="212"/>
      <c r="BZ430" s="212"/>
      <c r="CA430" s="212"/>
      <c r="CB430" s="212"/>
      <c r="CC430" s="212"/>
      <c r="CD430" s="212"/>
      <c r="CE430" s="212"/>
      <c r="CF430" s="212"/>
      <c r="CG430" s="212"/>
      <c r="CH430" s="212"/>
      <c r="CI430" s="212"/>
      <c r="CJ430" s="212"/>
      <c r="CK430" s="212"/>
      <c r="CL430" s="212"/>
    </row>
    <row r="431" spans="10:90" ht="24.75" customHeight="1" x14ac:dyDescent="0.75">
      <c r="J431" s="220"/>
      <c r="K431" s="2"/>
      <c r="N431" s="212"/>
      <c r="O431" s="212"/>
      <c r="P431" s="212"/>
      <c r="Q431" s="212"/>
      <c r="R431" s="212"/>
      <c r="S431" s="212"/>
      <c r="T431" s="212"/>
      <c r="U431" s="212"/>
      <c r="V431" s="212"/>
      <c r="W431" s="212"/>
      <c r="X431" s="212"/>
      <c r="Y431" s="212"/>
      <c r="Z431" s="212"/>
      <c r="AA431" s="212"/>
      <c r="AB431" s="212"/>
      <c r="AC431" s="212"/>
      <c r="AD431" s="212"/>
      <c r="AE431" s="212"/>
      <c r="AF431" s="212"/>
      <c r="AG431" s="212"/>
      <c r="AH431" s="212"/>
      <c r="AI431" s="212"/>
      <c r="AJ431" s="212"/>
      <c r="AK431" s="212"/>
      <c r="AL431" s="212"/>
      <c r="AM431" s="212"/>
      <c r="AN431" s="212"/>
      <c r="AO431" s="212"/>
      <c r="AP431" s="212"/>
      <c r="AQ431" s="212"/>
      <c r="AR431" s="212"/>
      <c r="AS431" s="212"/>
      <c r="AT431" s="212"/>
      <c r="AU431" s="212"/>
      <c r="AV431" s="212"/>
      <c r="AW431" s="212"/>
      <c r="AX431" s="212"/>
      <c r="AY431" s="212"/>
      <c r="AZ431" s="212"/>
      <c r="BA431" s="212"/>
      <c r="BB431" s="212"/>
      <c r="BC431" s="212"/>
      <c r="BD431" s="212"/>
      <c r="BE431" s="212"/>
      <c r="BF431" s="212"/>
      <c r="BG431" s="212"/>
      <c r="BH431" s="212"/>
      <c r="BI431" s="212"/>
      <c r="BJ431" s="212"/>
      <c r="BK431" s="212"/>
      <c r="BL431" s="212"/>
      <c r="BM431" s="212"/>
      <c r="BN431" s="212"/>
      <c r="BO431" s="212"/>
      <c r="BP431" s="212"/>
      <c r="BQ431" s="212"/>
      <c r="BR431" s="212"/>
      <c r="BS431" s="212"/>
      <c r="BT431" s="212"/>
      <c r="BU431" s="212"/>
      <c r="BV431" s="212"/>
      <c r="BW431" s="212"/>
      <c r="BX431" s="212"/>
      <c r="BY431" s="212"/>
      <c r="BZ431" s="212"/>
      <c r="CA431" s="212"/>
      <c r="CB431" s="212"/>
      <c r="CC431" s="212"/>
      <c r="CD431" s="212"/>
      <c r="CE431" s="212"/>
      <c r="CF431" s="212"/>
      <c r="CG431" s="212"/>
      <c r="CH431" s="212"/>
      <c r="CI431" s="212"/>
      <c r="CJ431" s="212"/>
      <c r="CK431" s="212"/>
      <c r="CL431" s="212"/>
    </row>
    <row r="432" spans="10:90" ht="24.75" customHeight="1" x14ac:dyDescent="0.75">
      <c r="J432" s="220"/>
      <c r="K432" s="2"/>
      <c r="N432" s="212"/>
      <c r="O432" s="212"/>
      <c r="P432" s="212"/>
      <c r="Q432" s="212"/>
      <c r="R432" s="212"/>
      <c r="S432" s="212"/>
      <c r="T432" s="212"/>
      <c r="U432" s="212"/>
      <c r="V432" s="212"/>
      <c r="W432" s="212"/>
      <c r="X432" s="212"/>
      <c r="Y432" s="212"/>
      <c r="Z432" s="212"/>
      <c r="AA432" s="212"/>
      <c r="AB432" s="212"/>
      <c r="AC432" s="212"/>
      <c r="AD432" s="212"/>
      <c r="AE432" s="212"/>
      <c r="AF432" s="212"/>
      <c r="AG432" s="212"/>
      <c r="AH432" s="212"/>
      <c r="AI432" s="212"/>
      <c r="AJ432" s="212"/>
      <c r="AK432" s="212"/>
      <c r="AL432" s="212"/>
      <c r="AM432" s="212"/>
      <c r="AN432" s="212"/>
      <c r="AO432" s="212"/>
      <c r="AP432" s="212"/>
      <c r="AQ432" s="212"/>
      <c r="AR432" s="212"/>
      <c r="AS432" s="212"/>
      <c r="AT432" s="212"/>
      <c r="AU432" s="212"/>
      <c r="AV432" s="212"/>
      <c r="AW432" s="212"/>
      <c r="AX432" s="212"/>
      <c r="AY432" s="212"/>
      <c r="AZ432" s="212"/>
      <c r="BA432" s="212"/>
      <c r="BB432" s="212"/>
      <c r="BC432" s="212"/>
      <c r="BD432" s="212"/>
      <c r="BE432" s="212"/>
      <c r="BF432" s="212"/>
      <c r="BG432" s="212"/>
      <c r="BH432" s="212"/>
      <c r="BI432" s="212"/>
      <c r="BJ432" s="212"/>
      <c r="BK432" s="212"/>
      <c r="BL432" s="212"/>
      <c r="BM432" s="212"/>
      <c r="BN432" s="212"/>
      <c r="BO432" s="212"/>
      <c r="BP432" s="212"/>
      <c r="BQ432" s="212"/>
      <c r="BR432" s="212"/>
      <c r="BS432" s="212"/>
      <c r="BT432" s="212"/>
      <c r="BU432" s="212"/>
      <c r="BV432" s="212"/>
      <c r="BW432" s="212"/>
      <c r="BX432" s="212"/>
      <c r="BY432" s="212"/>
      <c r="BZ432" s="212"/>
      <c r="CA432" s="212"/>
      <c r="CB432" s="212"/>
      <c r="CC432" s="212"/>
      <c r="CD432" s="212"/>
      <c r="CE432" s="212"/>
      <c r="CF432" s="212"/>
      <c r="CG432" s="212"/>
      <c r="CH432" s="212"/>
      <c r="CI432" s="212"/>
      <c r="CJ432" s="212"/>
      <c r="CK432" s="212"/>
      <c r="CL432" s="212"/>
    </row>
    <row r="433" spans="10:90" ht="24.75" customHeight="1" x14ac:dyDescent="0.75">
      <c r="J433" s="220"/>
      <c r="K433" s="2"/>
      <c r="N433" s="212"/>
      <c r="O433" s="212"/>
      <c r="P433" s="212"/>
      <c r="Q433" s="212"/>
      <c r="R433" s="212"/>
      <c r="S433" s="212"/>
      <c r="T433" s="212"/>
      <c r="U433" s="212"/>
      <c r="V433" s="212"/>
      <c r="W433" s="212"/>
      <c r="X433" s="212"/>
      <c r="Y433" s="212"/>
      <c r="Z433" s="212"/>
      <c r="AA433" s="212"/>
      <c r="AB433" s="212"/>
      <c r="AC433" s="212"/>
      <c r="AD433" s="212"/>
      <c r="AE433" s="212"/>
      <c r="AF433" s="212"/>
      <c r="AG433" s="212"/>
      <c r="AH433" s="212"/>
      <c r="AI433" s="212"/>
      <c r="AJ433" s="212"/>
      <c r="AK433" s="212"/>
      <c r="AL433" s="212"/>
      <c r="AM433" s="212"/>
      <c r="AN433" s="212"/>
      <c r="AO433" s="212"/>
      <c r="AP433" s="212"/>
      <c r="AQ433" s="212"/>
      <c r="AR433" s="212"/>
      <c r="AS433" s="212"/>
      <c r="AT433" s="212"/>
      <c r="AU433" s="212"/>
      <c r="AV433" s="212"/>
      <c r="AW433" s="212"/>
      <c r="AX433" s="212"/>
      <c r="AY433" s="212"/>
      <c r="AZ433" s="212"/>
      <c r="BA433" s="212"/>
      <c r="BB433" s="212"/>
      <c r="BC433" s="212"/>
      <c r="BD433" s="212"/>
      <c r="BE433" s="212"/>
      <c r="BF433" s="212"/>
      <c r="BG433" s="212"/>
      <c r="BH433" s="212"/>
      <c r="BI433" s="212"/>
      <c r="BJ433" s="212"/>
      <c r="BK433" s="212"/>
      <c r="BL433" s="212"/>
      <c r="BM433" s="212"/>
      <c r="BN433" s="212"/>
      <c r="BO433" s="212"/>
      <c r="BP433" s="212"/>
      <c r="BQ433" s="212"/>
      <c r="BR433" s="212"/>
      <c r="BS433" s="212"/>
      <c r="BT433" s="212"/>
      <c r="BU433" s="212"/>
      <c r="BV433" s="212"/>
      <c r="BW433" s="212"/>
      <c r="BX433" s="212"/>
      <c r="BY433" s="212"/>
      <c r="BZ433" s="212"/>
      <c r="CA433" s="212"/>
      <c r="CB433" s="212"/>
      <c r="CC433" s="212"/>
      <c r="CD433" s="212"/>
      <c r="CE433" s="212"/>
      <c r="CF433" s="212"/>
      <c r="CG433" s="212"/>
      <c r="CH433" s="212"/>
      <c r="CI433" s="212"/>
      <c r="CJ433" s="212"/>
      <c r="CK433" s="212"/>
      <c r="CL433" s="212"/>
    </row>
    <row r="434" spans="10:90" ht="24.75" customHeight="1" x14ac:dyDescent="0.75">
      <c r="J434" s="220"/>
      <c r="K434" s="2"/>
      <c r="N434" s="212"/>
      <c r="O434" s="212"/>
      <c r="P434" s="212"/>
      <c r="Q434" s="212"/>
      <c r="R434" s="212"/>
      <c r="S434" s="212"/>
      <c r="T434" s="212"/>
      <c r="U434" s="212"/>
      <c r="V434" s="212"/>
      <c r="W434" s="212"/>
      <c r="X434" s="212"/>
      <c r="Y434" s="212"/>
      <c r="Z434" s="212"/>
      <c r="AA434" s="212"/>
      <c r="AB434" s="212"/>
      <c r="AC434" s="212"/>
      <c r="AD434" s="212"/>
      <c r="AE434" s="212"/>
      <c r="AF434" s="212"/>
      <c r="AG434" s="212"/>
      <c r="AH434" s="212"/>
      <c r="AI434" s="212"/>
      <c r="AJ434" s="212"/>
      <c r="AK434" s="212"/>
      <c r="AL434" s="212"/>
      <c r="AM434" s="212"/>
      <c r="AN434" s="212"/>
      <c r="AO434" s="212"/>
      <c r="AP434" s="212"/>
      <c r="AQ434" s="212"/>
      <c r="AR434" s="212"/>
      <c r="AS434" s="212"/>
      <c r="AT434" s="212"/>
      <c r="AU434" s="212"/>
      <c r="AV434" s="212"/>
      <c r="AW434" s="212"/>
      <c r="AX434" s="212"/>
      <c r="AY434" s="212"/>
      <c r="AZ434" s="212"/>
      <c r="BA434" s="212"/>
      <c r="BB434" s="212"/>
      <c r="BC434" s="212"/>
      <c r="BD434" s="212"/>
      <c r="BE434" s="212"/>
      <c r="BF434" s="212"/>
      <c r="BG434" s="212"/>
      <c r="BH434" s="212"/>
      <c r="BI434" s="212"/>
      <c r="BJ434" s="212"/>
      <c r="BK434" s="212"/>
      <c r="BL434" s="212"/>
      <c r="BM434" s="212"/>
      <c r="BN434" s="212"/>
      <c r="BO434" s="212"/>
      <c r="BP434" s="212"/>
      <c r="BQ434" s="212"/>
      <c r="BR434" s="212"/>
      <c r="BS434" s="212"/>
      <c r="BT434" s="212"/>
      <c r="BU434" s="212"/>
      <c r="BV434" s="212"/>
      <c r="BW434" s="212"/>
      <c r="BX434" s="212"/>
      <c r="BY434" s="212"/>
      <c r="BZ434" s="212"/>
      <c r="CA434" s="212"/>
      <c r="CB434" s="212"/>
      <c r="CC434" s="212"/>
      <c r="CD434" s="212"/>
      <c r="CE434" s="212"/>
      <c r="CF434" s="212"/>
      <c r="CG434" s="212"/>
      <c r="CH434" s="212"/>
      <c r="CI434" s="212"/>
      <c r="CJ434" s="212"/>
      <c r="CK434" s="212"/>
      <c r="CL434" s="212"/>
    </row>
    <row r="435" spans="10:90" ht="24.75" customHeight="1" x14ac:dyDescent="0.75">
      <c r="J435" s="220"/>
      <c r="K435" s="2"/>
      <c r="N435" s="212"/>
      <c r="O435" s="212"/>
      <c r="P435" s="212"/>
      <c r="Q435" s="212"/>
      <c r="R435" s="212"/>
      <c r="S435" s="212"/>
      <c r="T435" s="212"/>
      <c r="U435" s="212"/>
      <c r="V435" s="212"/>
      <c r="W435" s="212"/>
      <c r="X435" s="212"/>
      <c r="Y435" s="212"/>
      <c r="Z435" s="212"/>
      <c r="AA435" s="212"/>
      <c r="AB435" s="212"/>
      <c r="AC435" s="212"/>
      <c r="AD435" s="212"/>
      <c r="AE435" s="212"/>
      <c r="AF435" s="212"/>
      <c r="AG435" s="212"/>
      <c r="AH435" s="212"/>
      <c r="AI435" s="212"/>
      <c r="AJ435" s="212"/>
      <c r="AK435" s="212"/>
      <c r="AL435" s="212"/>
      <c r="AM435" s="212"/>
      <c r="AN435" s="212"/>
      <c r="AO435" s="212"/>
      <c r="AP435" s="212"/>
      <c r="AQ435" s="212"/>
      <c r="AR435" s="212"/>
      <c r="AS435" s="212"/>
      <c r="AT435" s="212"/>
      <c r="AU435" s="212"/>
      <c r="AV435" s="212"/>
      <c r="AW435" s="212"/>
      <c r="AX435" s="212"/>
      <c r="AY435" s="212"/>
      <c r="AZ435" s="212"/>
      <c r="BA435" s="212"/>
      <c r="BB435" s="212"/>
      <c r="BC435" s="212"/>
      <c r="BD435" s="212"/>
      <c r="BE435" s="212"/>
      <c r="BF435" s="212"/>
      <c r="BG435" s="212"/>
      <c r="BH435" s="212"/>
      <c r="BI435" s="212"/>
      <c r="BJ435" s="212"/>
      <c r="BK435" s="212"/>
      <c r="BL435" s="212"/>
      <c r="BM435" s="212"/>
      <c r="BN435" s="212"/>
      <c r="BO435" s="212"/>
      <c r="BP435" s="212"/>
      <c r="BQ435" s="212"/>
      <c r="BR435" s="212"/>
      <c r="BS435" s="212"/>
      <c r="BT435" s="212"/>
      <c r="BU435" s="212"/>
      <c r="BV435" s="212"/>
      <c r="BW435" s="212"/>
      <c r="BX435" s="212"/>
      <c r="BY435" s="212"/>
      <c r="BZ435" s="212"/>
      <c r="CA435" s="212"/>
      <c r="CB435" s="212"/>
      <c r="CC435" s="212"/>
      <c r="CD435" s="212"/>
      <c r="CE435" s="212"/>
      <c r="CF435" s="212"/>
      <c r="CG435" s="212"/>
      <c r="CH435" s="212"/>
      <c r="CI435" s="212"/>
      <c r="CJ435" s="212"/>
      <c r="CK435" s="212"/>
      <c r="CL435" s="212"/>
    </row>
    <row r="436" spans="10:90" ht="24.75" customHeight="1" x14ac:dyDescent="0.75">
      <c r="J436" s="220"/>
      <c r="K436" s="2"/>
      <c r="N436" s="212"/>
      <c r="O436" s="212"/>
      <c r="P436" s="212"/>
      <c r="Q436" s="212"/>
      <c r="R436" s="212"/>
      <c r="S436" s="212"/>
      <c r="T436" s="212"/>
      <c r="U436" s="212"/>
      <c r="V436" s="212"/>
      <c r="W436" s="212"/>
      <c r="X436" s="212"/>
      <c r="Y436" s="212"/>
      <c r="Z436" s="212"/>
      <c r="AA436" s="212"/>
      <c r="AB436" s="212"/>
      <c r="AC436" s="212"/>
      <c r="AD436" s="212"/>
      <c r="AE436" s="212"/>
      <c r="AF436" s="212"/>
      <c r="AG436" s="212"/>
      <c r="AH436" s="212"/>
      <c r="AI436" s="212"/>
      <c r="AJ436" s="212"/>
      <c r="AK436" s="212"/>
      <c r="AL436" s="212"/>
      <c r="AM436" s="212"/>
      <c r="AN436" s="212"/>
      <c r="AO436" s="212"/>
      <c r="AP436" s="212"/>
      <c r="AQ436" s="212"/>
      <c r="AR436" s="212"/>
      <c r="AS436" s="212"/>
      <c r="AT436" s="212"/>
      <c r="AU436" s="212"/>
      <c r="AV436" s="212"/>
      <c r="AW436" s="212"/>
      <c r="AX436" s="212"/>
      <c r="AY436" s="212"/>
      <c r="AZ436" s="212"/>
      <c r="BA436" s="212"/>
      <c r="BB436" s="212"/>
      <c r="BC436" s="212"/>
      <c r="BD436" s="212"/>
      <c r="BE436" s="212"/>
      <c r="BF436" s="212"/>
      <c r="BG436" s="212"/>
      <c r="BH436" s="212"/>
      <c r="BI436" s="212"/>
      <c r="BJ436" s="212"/>
      <c r="BK436" s="212"/>
      <c r="BL436" s="212"/>
      <c r="BM436" s="212"/>
      <c r="BN436" s="212"/>
      <c r="BO436" s="212"/>
      <c r="BP436" s="212"/>
      <c r="BQ436" s="212"/>
      <c r="BR436" s="212"/>
      <c r="BS436" s="212"/>
      <c r="BT436" s="212"/>
      <c r="BU436" s="212"/>
      <c r="BV436" s="212"/>
      <c r="BW436" s="212"/>
      <c r="BX436" s="212"/>
      <c r="BY436" s="212"/>
      <c r="BZ436" s="212"/>
      <c r="CA436" s="212"/>
      <c r="CB436" s="212"/>
      <c r="CC436" s="212"/>
      <c r="CD436" s="212"/>
      <c r="CE436" s="212"/>
      <c r="CF436" s="212"/>
      <c r="CG436" s="212"/>
      <c r="CH436" s="212"/>
      <c r="CI436" s="212"/>
      <c r="CJ436" s="212"/>
      <c r="CK436" s="212"/>
      <c r="CL436" s="212"/>
    </row>
    <row r="437" spans="10:90" ht="24.75" customHeight="1" x14ac:dyDescent="0.75">
      <c r="J437" s="220"/>
      <c r="K437" s="2"/>
      <c r="N437" s="212"/>
      <c r="O437" s="212"/>
      <c r="P437" s="212"/>
      <c r="Q437" s="212"/>
      <c r="R437" s="212"/>
      <c r="S437" s="212"/>
      <c r="T437" s="212"/>
      <c r="U437" s="212"/>
      <c r="V437" s="212"/>
      <c r="W437" s="212"/>
      <c r="X437" s="212"/>
      <c r="Y437" s="212"/>
      <c r="Z437" s="212"/>
      <c r="AA437" s="212"/>
      <c r="AB437" s="212"/>
      <c r="AC437" s="212"/>
      <c r="AD437" s="212"/>
      <c r="AE437" s="212"/>
      <c r="AF437" s="212"/>
      <c r="AG437" s="212"/>
      <c r="AH437" s="212"/>
      <c r="AI437" s="212"/>
      <c r="AJ437" s="212"/>
      <c r="AK437" s="212"/>
      <c r="AL437" s="212"/>
      <c r="AM437" s="212"/>
      <c r="AN437" s="212"/>
      <c r="AO437" s="212"/>
      <c r="AP437" s="212"/>
      <c r="AQ437" s="212"/>
      <c r="AR437" s="212"/>
      <c r="AS437" s="212"/>
      <c r="AT437" s="212"/>
      <c r="AU437" s="212"/>
      <c r="AV437" s="212"/>
      <c r="AW437" s="212"/>
      <c r="AX437" s="212"/>
      <c r="AY437" s="212"/>
      <c r="AZ437" s="212"/>
      <c r="BA437" s="212"/>
      <c r="BB437" s="212"/>
      <c r="BC437" s="212"/>
      <c r="BD437" s="212"/>
      <c r="BE437" s="212"/>
      <c r="BF437" s="212"/>
      <c r="BG437" s="212"/>
      <c r="BH437" s="212"/>
      <c r="BI437" s="212"/>
      <c r="BJ437" s="212"/>
      <c r="BK437" s="212"/>
      <c r="BL437" s="212"/>
      <c r="BM437" s="212"/>
      <c r="BN437" s="212"/>
      <c r="BO437" s="212"/>
      <c r="BP437" s="212"/>
      <c r="BQ437" s="212"/>
      <c r="BR437" s="212"/>
      <c r="BS437" s="212"/>
      <c r="BT437" s="212"/>
      <c r="BU437" s="212"/>
      <c r="BV437" s="212"/>
      <c r="BW437" s="212"/>
      <c r="BX437" s="212"/>
      <c r="BY437" s="212"/>
      <c r="BZ437" s="212"/>
      <c r="CA437" s="212"/>
      <c r="CB437" s="212"/>
      <c r="CC437" s="212"/>
      <c r="CD437" s="212"/>
      <c r="CE437" s="212"/>
      <c r="CF437" s="212"/>
      <c r="CG437" s="212"/>
      <c r="CH437" s="212"/>
      <c r="CI437" s="212"/>
      <c r="CJ437" s="212"/>
      <c r="CK437" s="212"/>
      <c r="CL437" s="212"/>
    </row>
    <row r="438" spans="10:90" ht="24.75" customHeight="1" x14ac:dyDescent="0.75">
      <c r="J438" s="220"/>
      <c r="K438" s="2"/>
      <c r="N438" s="212"/>
      <c r="O438" s="212"/>
      <c r="P438" s="212"/>
      <c r="Q438" s="212"/>
      <c r="R438" s="212"/>
      <c r="S438" s="212"/>
      <c r="T438" s="212"/>
      <c r="U438" s="212"/>
      <c r="V438" s="212"/>
      <c r="W438" s="212"/>
      <c r="X438" s="212"/>
      <c r="Y438" s="212"/>
      <c r="Z438" s="212"/>
      <c r="AA438" s="212"/>
      <c r="AB438" s="212"/>
      <c r="AC438" s="212"/>
      <c r="AD438" s="212"/>
      <c r="AE438" s="212"/>
      <c r="AF438" s="212"/>
      <c r="AG438" s="212"/>
      <c r="AH438" s="212"/>
      <c r="AI438" s="212"/>
      <c r="AJ438" s="212"/>
      <c r="AK438" s="212"/>
      <c r="AL438" s="212"/>
      <c r="AM438" s="212"/>
      <c r="AN438" s="212"/>
      <c r="AO438" s="212"/>
      <c r="AP438" s="212"/>
      <c r="AQ438" s="212"/>
      <c r="AR438" s="212"/>
      <c r="AS438" s="212"/>
      <c r="AT438" s="212"/>
      <c r="AU438" s="212"/>
      <c r="AV438" s="212"/>
      <c r="AW438" s="212"/>
      <c r="AX438" s="212"/>
      <c r="AY438" s="212"/>
      <c r="AZ438" s="212"/>
      <c r="BA438" s="212"/>
      <c r="BB438" s="212"/>
      <c r="BC438" s="212"/>
      <c r="BD438" s="212"/>
      <c r="BE438" s="212"/>
      <c r="BF438" s="212"/>
      <c r="BG438" s="212"/>
      <c r="BH438" s="212"/>
      <c r="BI438" s="212"/>
      <c r="BJ438" s="212"/>
      <c r="BK438" s="212"/>
      <c r="BL438" s="212"/>
      <c r="BM438" s="212"/>
      <c r="BN438" s="212"/>
      <c r="BO438" s="212"/>
      <c r="BP438" s="212"/>
      <c r="BQ438" s="212"/>
      <c r="BR438" s="212"/>
      <c r="BS438" s="212"/>
      <c r="BT438" s="212"/>
      <c r="BU438" s="212"/>
      <c r="BV438" s="212"/>
      <c r="BW438" s="212"/>
      <c r="BX438" s="212"/>
      <c r="BY438" s="212"/>
      <c r="BZ438" s="212"/>
      <c r="CA438" s="212"/>
      <c r="CB438" s="212"/>
      <c r="CC438" s="212"/>
      <c r="CD438" s="212"/>
      <c r="CE438" s="212"/>
      <c r="CF438" s="212"/>
      <c r="CG438" s="212"/>
      <c r="CH438" s="212"/>
      <c r="CI438" s="212"/>
      <c r="CJ438" s="212"/>
      <c r="CK438" s="212"/>
      <c r="CL438" s="212"/>
    </row>
    <row r="439" spans="10:90" ht="24.75" customHeight="1" x14ac:dyDescent="0.75">
      <c r="J439" s="220"/>
      <c r="K439" s="2"/>
      <c r="N439" s="212"/>
      <c r="O439" s="212"/>
      <c r="P439" s="212"/>
      <c r="Q439" s="212"/>
      <c r="R439" s="212"/>
      <c r="S439" s="212"/>
      <c r="T439" s="212"/>
      <c r="U439" s="212"/>
      <c r="V439" s="212"/>
      <c r="W439" s="212"/>
      <c r="X439" s="212"/>
      <c r="Y439" s="212"/>
      <c r="Z439" s="212"/>
      <c r="AA439" s="212"/>
      <c r="AB439" s="212"/>
      <c r="AC439" s="212"/>
      <c r="AD439" s="212"/>
      <c r="AE439" s="212"/>
      <c r="AF439" s="212"/>
      <c r="AG439" s="212"/>
      <c r="AH439" s="212"/>
      <c r="AI439" s="212"/>
      <c r="AJ439" s="212"/>
      <c r="AK439" s="212"/>
      <c r="AL439" s="212"/>
      <c r="AM439" s="212"/>
      <c r="AN439" s="212"/>
      <c r="AO439" s="212"/>
      <c r="AP439" s="212"/>
      <c r="AQ439" s="212"/>
      <c r="AR439" s="212"/>
      <c r="AS439" s="212"/>
      <c r="AT439" s="212"/>
      <c r="AU439" s="212"/>
      <c r="AV439" s="212"/>
      <c r="AW439" s="212"/>
      <c r="AX439" s="212"/>
      <c r="AY439" s="212"/>
      <c r="AZ439" s="212"/>
      <c r="BA439" s="212"/>
      <c r="BB439" s="212"/>
      <c r="BC439" s="212"/>
      <c r="BD439" s="212"/>
      <c r="BE439" s="212"/>
      <c r="BF439" s="212"/>
      <c r="BG439" s="212"/>
      <c r="BH439" s="212"/>
      <c r="BI439" s="212"/>
      <c r="BJ439" s="212"/>
      <c r="BK439" s="212"/>
      <c r="BL439" s="212"/>
      <c r="BM439" s="212"/>
      <c r="BN439" s="212"/>
      <c r="BO439" s="212"/>
      <c r="BP439" s="212"/>
      <c r="BQ439" s="212"/>
      <c r="BR439" s="212"/>
      <c r="BS439" s="212"/>
      <c r="BT439" s="212"/>
      <c r="BU439" s="212"/>
      <c r="BV439" s="212"/>
      <c r="BW439" s="212"/>
      <c r="BX439" s="212"/>
      <c r="BY439" s="212"/>
      <c r="BZ439" s="212"/>
      <c r="CA439" s="212"/>
      <c r="CB439" s="212"/>
      <c r="CC439" s="212"/>
      <c r="CD439" s="212"/>
      <c r="CE439" s="212"/>
      <c r="CF439" s="212"/>
      <c r="CG439" s="212"/>
      <c r="CH439" s="212"/>
      <c r="CI439" s="212"/>
      <c r="CJ439" s="212"/>
      <c r="CK439" s="212"/>
      <c r="CL439" s="212"/>
    </row>
    <row r="440" spans="10:90" ht="24.75" customHeight="1" x14ac:dyDescent="0.75">
      <c r="J440" s="220"/>
      <c r="K440" s="2"/>
      <c r="N440" s="212"/>
      <c r="O440" s="212"/>
      <c r="P440" s="212"/>
      <c r="Q440" s="212"/>
      <c r="R440" s="212"/>
      <c r="S440" s="212"/>
      <c r="T440" s="212"/>
      <c r="U440" s="212"/>
      <c r="V440" s="212"/>
      <c r="W440" s="212"/>
      <c r="X440" s="212"/>
      <c r="Y440" s="212"/>
      <c r="Z440" s="212"/>
      <c r="AA440" s="212"/>
      <c r="AB440" s="212"/>
      <c r="AC440" s="212"/>
      <c r="AD440" s="212"/>
      <c r="AE440" s="212"/>
      <c r="AF440" s="212"/>
      <c r="AG440" s="212"/>
      <c r="AH440" s="212"/>
      <c r="AI440" s="212"/>
      <c r="AJ440" s="212"/>
      <c r="AK440" s="212"/>
      <c r="AL440" s="212"/>
      <c r="AM440" s="212"/>
      <c r="AN440" s="212"/>
      <c r="AO440" s="212"/>
      <c r="AP440" s="212"/>
      <c r="AQ440" s="212"/>
      <c r="AR440" s="212"/>
      <c r="AS440" s="212"/>
      <c r="AT440" s="212"/>
      <c r="AU440" s="212"/>
      <c r="AV440" s="212"/>
      <c r="AW440" s="212"/>
      <c r="AX440" s="212"/>
      <c r="AY440" s="212"/>
      <c r="AZ440" s="212"/>
      <c r="BA440" s="212"/>
      <c r="BB440" s="212"/>
      <c r="BC440" s="212"/>
      <c r="BD440" s="212"/>
      <c r="BE440" s="212"/>
      <c r="BF440" s="212"/>
      <c r="BG440" s="212"/>
      <c r="BH440" s="212"/>
      <c r="BI440" s="212"/>
      <c r="BJ440" s="212"/>
      <c r="BK440" s="212"/>
      <c r="BL440" s="212"/>
      <c r="BM440" s="212"/>
      <c r="BN440" s="212"/>
      <c r="BO440" s="212"/>
      <c r="BP440" s="212"/>
      <c r="BQ440" s="212"/>
      <c r="BR440" s="212"/>
      <c r="BS440" s="212"/>
      <c r="BT440" s="212"/>
      <c r="BU440" s="212"/>
      <c r="BV440" s="212"/>
      <c r="BW440" s="212"/>
      <c r="BX440" s="212"/>
      <c r="BY440" s="212"/>
      <c r="BZ440" s="212"/>
      <c r="CA440" s="212"/>
      <c r="CB440" s="212"/>
      <c r="CC440" s="212"/>
      <c r="CD440" s="212"/>
      <c r="CE440" s="212"/>
      <c r="CF440" s="212"/>
      <c r="CG440" s="212"/>
      <c r="CH440" s="212"/>
      <c r="CI440" s="212"/>
      <c r="CJ440" s="212"/>
      <c r="CK440" s="212"/>
      <c r="CL440" s="212"/>
    </row>
    <row r="441" spans="10:90" ht="24.75" customHeight="1" x14ac:dyDescent="0.75">
      <c r="J441" s="220"/>
      <c r="K441" s="2"/>
      <c r="N441" s="212"/>
      <c r="O441" s="212"/>
      <c r="P441" s="212"/>
      <c r="Q441" s="212"/>
      <c r="R441" s="212"/>
      <c r="S441" s="212"/>
      <c r="T441" s="212"/>
      <c r="U441" s="212"/>
      <c r="V441" s="212"/>
      <c r="W441" s="212"/>
      <c r="X441" s="212"/>
      <c r="Y441" s="212"/>
      <c r="Z441" s="212"/>
      <c r="AA441" s="212"/>
      <c r="AB441" s="212"/>
      <c r="AC441" s="212"/>
      <c r="AD441" s="212"/>
      <c r="AE441" s="212"/>
      <c r="AF441" s="212"/>
      <c r="AG441" s="212"/>
      <c r="AH441" s="212"/>
      <c r="AI441" s="212"/>
      <c r="AJ441" s="212"/>
      <c r="AK441" s="212"/>
      <c r="AL441" s="212"/>
      <c r="AM441" s="212"/>
      <c r="AN441" s="212"/>
      <c r="AO441" s="212"/>
      <c r="AP441" s="212"/>
      <c r="AQ441" s="212"/>
      <c r="AR441" s="212"/>
      <c r="AS441" s="212"/>
      <c r="AT441" s="212"/>
      <c r="AU441" s="212"/>
      <c r="AV441" s="212"/>
      <c r="AW441" s="212"/>
      <c r="AX441" s="212"/>
      <c r="AY441" s="212"/>
      <c r="AZ441" s="212"/>
      <c r="BA441" s="212"/>
      <c r="BB441" s="212"/>
      <c r="BC441" s="212"/>
      <c r="BD441" s="212"/>
      <c r="BE441" s="212"/>
      <c r="BF441" s="212"/>
      <c r="BG441" s="212"/>
      <c r="BH441" s="212"/>
      <c r="BI441" s="212"/>
      <c r="BJ441" s="212"/>
      <c r="BK441" s="212"/>
      <c r="BL441" s="212"/>
      <c r="BM441" s="212"/>
      <c r="BN441" s="212"/>
      <c r="BO441" s="212"/>
      <c r="BP441" s="212"/>
      <c r="BQ441" s="212"/>
      <c r="BR441" s="212"/>
      <c r="BS441" s="212"/>
      <c r="BT441" s="212"/>
      <c r="BU441" s="212"/>
      <c r="BV441" s="212"/>
      <c r="BW441" s="212"/>
      <c r="BX441" s="212"/>
      <c r="BY441" s="212"/>
      <c r="BZ441" s="212"/>
      <c r="CA441" s="212"/>
      <c r="CB441" s="212"/>
      <c r="CC441" s="212"/>
      <c r="CD441" s="212"/>
      <c r="CE441" s="212"/>
      <c r="CF441" s="212"/>
      <c r="CG441" s="212"/>
      <c r="CH441" s="212"/>
      <c r="CI441" s="212"/>
      <c r="CJ441" s="212"/>
      <c r="CK441" s="212"/>
      <c r="CL441" s="212"/>
    </row>
    <row r="442" spans="10:90" ht="24.75" customHeight="1" x14ac:dyDescent="0.75">
      <c r="J442" s="220"/>
      <c r="K442" s="2"/>
      <c r="N442" s="212"/>
      <c r="O442" s="212"/>
      <c r="P442" s="212"/>
      <c r="Q442" s="212"/>
      <c r="R442" s="212"/>
      <c r="S442" s="212"/>
      <c r="T442" s="212"/>
      <c r="U442" s="212"/>
      <c r="V442" s="212"/>
      <c r="W442" s="212"/>
      <c r="X442" s="212"/>
      <c r="Y442" s="212"/>
      <c r="Z442" s="212"/>
      <c r="AA442" s="212"/>
      <c r="AB442" s="212"/>
      <c r="AC442" s="212"/>
      <c r="AD442" s="212"/>
      <c r="AE442" s="212"/>
      <c r="AF442" s="212"/>
      <c r="AG442" s="212"/>
      <c r="AH442" s="212"/>
      <c r="AI442" s="212"/>
      <c r="AJ442" s="212"/>
      <c r="AK442" s="212"/>
      <c r="AL442" s="212"/>
      <c r="AM442" s="212"/>
      <c r="AN442" s="212"/>
      <c r="AO442" s="212"/>
      <c r="AP442" s="212"/>
      <c r="AQ442" s="212"/>
      <c r="AR442" s="212"/>
      <c r="AS442" s="212"/>
      <c r="AT442" s="212"/>
      <c r="AU442" s="212"/>
      <c r="AV442" s="212"/>
      <c r="AW442" s="212"/>
      <c r="AX442" s="212"/>
      <c r="AY442" s="212"/>
      <c r="AZ442" s="212"/>
      <c r="BA442" s="212"/>
      <c r="BB442" s="212"/>
      <c r="BC442" s="212"/>
      <c r="BD442" s="212"/>
      <c r="BE442" s="212"/>
      <c r="BF442" s="212"/>
      <c r="BG442" s="212"/>
      <c r="BH442" s="212"/>
      <c r="BI442" s="212"/>
      <c r="BJ442" s="212"/>
      <c r="BK442" s="212"/>
      <c r="BL442" s="212"/>
      <c r="BM442" s="212"/>
      <c r="BN442" s="212"/>
      <c r="BO442" s="212"/>
      <c r="BP442" s="212"/>
      <c r="BQ442" s="212"/>
      <c r="BR442" s="212"/>
      <c r="BS442" s="212"/>
      <c r="BT442" s="212"/>
      <c r="BU442" s="212"/>
      <c r="BV442" s="212"/>
      <c r="BW442" s="212"/>
      <c r="BX442" s="212"/>
      <c r="BY442" s="212"/>
      <c r="BZ442" s="212"/>
      <c r="CA442" s="212"/>
      <c r="CB442" s="212"/>
      <c r="CC442" s="212"/>
      <c r="CD442" s="212"/>
      <c r="CE442" s="212"/>
      <c r="CF442" s="212"/>
      <c r="CG442" s="212"/>
      <c r="CH442" s="212"/>
      <c r="CI442" s="212"/>
      <c r="CJ442" s="212"/>
      <c r="CK442" s="212"/>
      <c r="CL442" s="212"/>
    </row>
    <row r="443" spans="10:90" ht="24.75" customHeight="1" x14ac:dyDescent="0.75">
      <c r="J443" s="220"/>
      <c r="K443" s="2"/>
      <c r="N443" s="212"/>
      <c r="O443" s="212"/>
      <c r="P443" s="212"/>
      <c r="Q443" s="212"/>
      <c r="R443" s="212"/>
      <c r="S443" s="212"/>
      <c r="T443" s="212"/>
      <c r="U443" s="212"/>
      <c r="V443" s="212"/>
      <c r="W443" s="212"/>
      <c r="X443" s="212"/>
      <c r="Y443" s="212"/>
      <c r="Z443" s="212"/>
      <c r="AA443" s="212"/>
      <c r="AB443" s="212"/>
      <c r="AC443" s="212"/>
      <c r="AD443" s="212"/>
      <c r="AE443" s="212"/>
      <c r="AF443" s="212"/>
      <c r="AG443" s="212"/>
      <c r="AH443" s="212"/>
      <c r="AI443" s="212"/>
      <c r="AJ443" s="212"/>
      <c r="AK443" s="212"/>
      <c r="AL443" s="212"/>
      <c r="AM443" s="212"/>
      <c r="AN443" s="212"/>
      <c r="AO443" s="212"/>
      <c r="AP443" s="212"/>
      <c r="AQ443" s="212"/>
      <c r="AR443" s="212"/>
      <c r="AS443" s="212"/>
      <c r="AT443" s="212"/>
      <c r="AU443" s="212"/>
      <c r="AV443" s="212"/>
      <c r="AW443" s="212"/>
      <c r="AX443" s="212"/>
      <c r="AY443" s="212"/>
      <c r="AZ443" s="212"/>
      <c r="BA443" s="212"/>
      <c r="BB443" s="212"/>
      <c r="BC443" s="212"/>
      <c r="BD443" s="212"/>
      <c r="BE443" s="212"/>
      <c r="BF443" s="212"/>
      <c r="BG443" s="212"/>
      <c r="BH443" s="212"/>
      <c r="BI443" s="212"/>
      <c r="BJ443" s="212"/>
      <c r="BK443" s="212"/>
      <c r="BL443" s="212"/>
      <c r="BM443" s="212"/>
      <c r="BN443" s="212"/>
      <c r="BO443" s="212"/>
      <c r="BP443" s="212"/>
      <c r="BQ443" s="212"/>
      <c r="BR443" s="212"/>
      <c r="BS443" s="212"/>
      <c r="BT443" s="212"/>
      <c r="BU443" s="212"/>
      <c r="BV443" s="212"/>
      <c r="BW443" s="212"/>
      <c r="BX443" s="212"/>
      <c r="BY443" s="212"/>
      <c r="BZ443" s="212"/>
      <c r="CA443" s="212"/>
      <c r="CB443" s="212"/>
      <c r="CC443" s="212"/>
      <c r="CD443" s="212"/>
      <c r="CE443" s="212"/>
      <c r="CF443" s="212"/>
      <c r="CG443" s="212"/>
      <c r="CH443" s="212"/>
      <c r="CI443" s="212"/>
      <c r="CJ443" s="212"/>
      <c r="CK443" s="212"/>
      <c r="CL443" s="212"/>
    </row>
    <row r="444" spans="10:90" ht="24.75" customHeight="1" x14ac:dyDescent="0.75">
      <c r="J444" s="220"/>
      <c r="K444" s="2"/>
      <c r="N444" s="212"/>
      <c r="O444" s="212"/>
      <c r="P444" s="212"/>
      <c r="Q444" s="212"/>
      <c r="R444" s="212"/>
      <c r="S444" s="212"/>
      <c r="T444" s="212"/>
      <c r="U444" s="212"/>
      <c r="V444" s="212"/>
      <c r="W444" s="212"/>
      <c r="X444" s="212"/>
      <c r="Y444" s="212"/>
      <c r="Z444" s="212"/>
      <c r="AA444" s="212"/>
      <c r="AB444" s="212"/>
      <c r="AC444" s="212"/>
      <c r="AD444" s="212"/>
      <c r="AE444" s="212"/>
      <c r="AF444" s="212"/>
      <c r="AG444" s="212"/>
      <c r="AH444" s="212"/>
      <c r="AI444" s="212"/>
      <c r="AJ444" s="212"/>
      <c r="AK444" s="212"/>
      <c r="AL444" s="212"/>
      <c r="AM444" s="212"/>
      <c r="AN444" s="212"/>
      <c r="AO444" s="212"/>
      <c r="AP444" s="212"/>
      <c r="AQ444" s="212"/>
      <c r="AR444" s="212"/>
      <c r="AS444" s="212"/>
      <c r="AT444" s="212"/>
      <c r="AU444" s="212"/>
      <c r="AV444" s="212"/>
      <c r="AW444" s="212"/>
      <c r="AX444" s="212"/>
      <c r="AY444" s="212"/>
      <c r="AZ444" s="212"/>
      <c r="BA444" s="212"/>
      <c r="BB444" s="212"/>
      <c r="BC444" s="212"/>
      <c r="BD444" s="212"/>
      <c r="BE444" s="212"/>
      <c r="BF444" s="212"/>
      <c r="BG444" s="212"/>
      <c r="BH444" s="212"/>
      <c r="BI444" s="212"/>
      <c r="BJ444" s="212"/>
      <c r="BK444" s="212"/>
      <c r="BL444" s="212"/>
      <c r="BM444" s="212"/>
      <c r="BN444" s="212"/>
      <c r="BO444" s="212"/>
      <c r="BP444" s="212"/>
      <c r="BQ444" s="212"/>
      <c r="BR444" s="212"/>
      <c r="BS444" s="212"/>
      <c r="BT444" s="212"/>
      <c r="BU444" s="212"/>
      <c r="BV444" s="212"/>
      <c r="BW444" s="212"/>
      <c r="BX444" s="212"/>
      <c r="BY444" s="212"/>
      <c r="BZ444" s="212"/>
      <c r="CA444" s="212"/>
      <c r="CB444" s="212"/>
      <c r="CC444" s="212"/>
      <c r="CD444" s="212"/>
      <c r="CE444" s="212"/>
      <c r="CF444" s="212"/>
      <c r="CG444" s="212"/>
      <c r="CH444" s="212"/>
      <c r="CI444" s="212"/>
      <c r="CJ444" s="212"/>
      <c r="CK444" s="212"/>
      <c r="CL444" s="212"/>
    </row>
    <row r="445" spans="10:90" ht="24.75" customHeight="1" x14ac:dyDescent="0.75">
      <c r="J445" s="220"/>
      <c r="K445" s="2"/>
      <c r="N445" s="212"/>
      <c r="O445" s="212"/>
      <c r="P445" s="212"/>
      <c r="Q445" s="212"/>
      <c r="R445" s="212"/>
      <c r="S445" s="212"/>
      <c r="T445" s="212"/>
      <c r="U445" s="212"/>
      <c r="V445" s="212"/>
      <c r="W445" s="212"/>
      <c r="X445" s="212"/>
      <c r="Y445" s="212"/>
      <c r="Z445" s="212"/>
      <c r="AA445" s="212"/>
      <c r="AB445" s="212"/>
      <c r="AC445" s="212"/>
      <c r="AD445" s="212"/>
      <c r="AE445" s="212"/>
      <c r="AF445" s="212"/>
      <c r="AG445" s="212"/>
      <c r="AH445" s="212"/>
      <c r="AI445" s="212"/>
      <c r="AJ445" s="212"/>
      <c r="AK445" s="212"/>
      <c r="AL445" s="212"/>
      <c r="AM445" s="212"/>
      <c r="AN445" s="212"/>
      <c r="AO445" s="212"/>
      <c r="AP445" s="212"/>
      <c r="AQ445" s="212"/>
      <c r="AR445" s="212"/>
      <c r="AS445" s="212"/>
      <c r="AT445" s="212"/>
      <c r="AU445" s="212"/>
      <c r="AV445" s="212"/>
      <c r="AW445" s="212"/>
      <c r="AX445" s="212"/>
      <c r="AY445" s="212"/>
      <c r="AZ445" s="212"/>
      <c r="BA445" s="212"/>
      <c r="BB445" s="212"/>
      <c r="BC445" s="212"/>
      <c r="BD445" s="212"/>
      <c r="BE445" s="212"/>
      <c r="BF445" s="212"/>
      <c r="BG445" s="212"/>
      <c r="BH445" s="212"/>
      <c r="BI445" s="212"/>
      <c r="BJ445" s="212"/>
      <c r="BK445" s="212"/>
      <c r="BL445" s="212"/>
      <c r="BM445" s="212"/>
      <c r="BN445" s="212"/>
      <c r="BO445" s="212"/>
      <c r="BP445" s="212"/>
      <c r="BQ445" s="212"/>
      <c r="BR445" s="212"/>
      <c r="BS445" s="212"/>
      <c r="BT445" s="212"/>
      <c r="BU445" s="212"/>
      <c r="BV445" s="212"/>
      <c r="BW445" s="212"/>
      <c r="BX445" s="212"/>
      <c r="BY445" s="212"/>
      <c r="BZ445" s="212"/>
      <c r="CA445" s="212"/>
      <c r="CB445" s="212"/>
      <c r="CC445" s="212"/>
      <c r="CD445" s="212"/>
      <c r="CE445" s="212"/>
      <c r="CF445" s="212"/>
      <c r="CG445" s="212"/>
      <c r="CH445" s="212"/>
      <c r="CI445" s="212"/>
      <c r="CJ445" s="212"/>
      <c r="CK445" s="212"/>
      <c r="CL445" s="212"/>
    </row>
    <row r="446" spans="10:90" ht="24.75" customHeight="1" x14ac:dyDescent="0.75">
      <c r="J446" s="220"/>
      <c r="K446" s="2"/>
      <c r="N446" s="212"/>
      <c r="O446" s="212"/>
      <c r="P446" s="212"/>
      <c r="Q446" s="212"/>
      <c r="R446" s="212"/>
      <c r="S446" s="212"/>
      <c r="T446" s="212"/>
      <c r="U446" s="212"/>
      <c r="V446" s="212"/>
      <c r="W446" s="212"/>
      <c r="X446" s="212"/>
      <c r="Y446" s="212"/>
      <c r="Z446" s="212"/>
      <c r="AA446" s="212"/>
      <c r="AB446" s="212"/>
      <c r="AC446" s="212"/>
      <c r="AD446" s="212"/>
      <c r="AE446" s="212"/>
      <c r="AF446" s="212"/>
      <c r="AG446" s="212"/>
      <c r="AH446" s="212"/>
      <c r="AI446" s="212"/>
      <c r="AJ446" s="212"/>
      <c r="AK446" s="212"/>
      <c r="AL446" s="212"/>
      <c r="AM446" s="212"/>
      <c r="AN446" s="212"/>
      <c r="AO446" s="212"/>
      <c r="AP446" s="212"/>
      <c r="AQ446" s="212"/>
      <c r="AR446" s="212"/>
      <c r="AS446" s="212"/>
      <c r="AT446" s="212"/>
      <c r="AU446" s="212"/>
      <c r="AV446" s="212"/>
      <c r="AW446" s="212"/>
      <c r="AX446" s="212"/>
      <c r="AY446" s="212"/>
      <c r="AZ446" s="212"/>
      <c r="BA446" s="212"/>
      <c r="BB446" s="212"/>
      <c r="BC446" s="212"/>
      <c r="BD446" s="212"/>
      <c r="BE446" s="212"/>
      <c r="BF446" s="212"/>
      <c r="BG446" s="212"/>
      <c r="BH446" s="212"/>
      <c r="BI446" s="212"/>
      <c r="BJ446" s="212"/>
      <c r="BK446" s="212"/>
      <c r="BL446" s="212"/>
      <c r="BM446" s="212"/>
      <c r="BN446" s="212"/>
      <c r="BO446" s="212"/>
      <c r="BP446" s="212"/>
      <c r="BQ446" s="212"/>
      <c r="BR446" s="212"/>
      <c r="BS446" s="212"/>
      <c r="BT446" s="212"/>
      <c r="BU446" s="212"/>
      <c r="BV446" s="212"/>
      <c r="BW446" s="212"/>
      <c r="BX446" s="212"/>
      <c r="BY446" s="212"/>
      <c r="BZ446" s="212"/>
      <c r="CA446" s="212"/>
      <c r="CB446" s="212"/>
      <c r="CC446" s="212"/>
      <c r="CD446" s="212"/>
      <c r="CE446" s="212"/>
      <c r="CF446" s="212"/>
      <c r="CG446" s="212"/>
      <c r="CH446" s="212"/>
      <c r="CI446" s="212"/>
      <c r="CJ446" s="212"/>
      <c r="CK446" s="212"/>
      <c r="CL446" s="212"/>
    </row>
    <row r="447" spans="10:90" ht="24.75" customHeight="1" x14ac:dyDescent="0.75">
      <c r="J447" s="220"/>
      <c r="K447" s="2"/>
      <c r="N447" s="212"/>
      <c r="O447" s="212"/>
      <c r="P447" s="212"/>
      <c r="Q447" s="212"/>
      <c r="R447" s="212"/>
      <c r="S447" s="212"/>
      <c r="T447" s="212"/>
      <c r="U447" s="212"/>
      <c r="V447" s="212"/>
      <c r="W447" s="212"/>
      <c r="X447" s="212"/>
      <c r="Y447" s="212"/>
      <c r="Z447" s="212"/>
      <c r="AA447" s="212"/>
      <c r="AB447" s="212"/>
      <c r="AC447" s="212"/>
      <c r="AD447" s="212"/>
      <c r="AE447" s="212"/>
      <c r="AF447" s="212"/>
      <c r="AG447" s="212"/>
      <c r="AH447" s="212"/>
      <c r="AI447" s="212"/>
      <c r="AJ447" s="212"/>
      <c r="AK447" s="212"/>
      <c r="AL447" s="212"/>
      <c r="AM447" s="212"/>
      <c r="AN447" s="212"/>
      <c r="AO447" s="212"/>
      <c r="AP447" s="212"/>
      <c r="AQ447" s="212"/>
      <c r="AR447" s="212"/>
      <c r="AS447" s="212"/>
      <c r="AT447" s="212"/>
      <c r="AU447" s="212"/>
      <c r="AV447" s="212"/>
      <c r="AW447" s="212"/>
      <c r="AX447" s="212"/>
      <c r="AY447" s="212"/>
      <c r="AZ447" s="212"/>
      <c r="BA447" s="212"/>
      <c r="BB447" s="212"/>
      <c r="BC447" s="212"/>
      <c r="BD447" s="212"/>
      <c r="BE447" s="212"/>
      <c r="BF447" s="212"/>
      <c r="BG447" s="212"/>
      <c r="BH447" s="212"/>
      <c r="BI447" s="212"/>
      <c r="BJ447" s="212"/>
      <c r="BK447" s="212"/>
      <c r="BL447" s="212"/>
      <c r="BM447" s="212"/>
      <c r="BN447" s="212"/>
      <c r="BO447" s="212"/>
      <c r="BP447" s="212"/>
      <c r="BQ447" s="212"/>
      <c r="BR447" s="212"/>
      <c r="BS447" s="212"/>
      <c r="BT447" s="212"/>
      <c r="BU447" s="212"/>
      <c r="BV447" s="212"/>
      <c r="BW447" s="212"/>
      <c r="BX447" s="212"/>
      <c r="BY447" s="212"/>
      <c r="BZ447" s="212"/>
      <c r="CA447" s="212"/>
      <c r="CB447" s="212"/>
      <c r="CC447" s="212"/>
      <c r="CD447" s="212"/>
      <c r="CE447" s="212"/>
      <c r="CF447" s="212"/>
      <c r="CG447" s="212"/>
      <c r="CH447" s="212"/>
      <c r="CI447" s="212"/>
      <c r="CJ447" s="212"/>
      <c r="CK447" s="212"/>
      <c r="CL447" s="212"/>
    </row>
    <row r="448" spans="10:90" ht="24.75" customHeight="1" x14ac:dyDescent="0.75">
      <c r="J448" s="220"/>
      <c r="K448" s="2"/>
      <c r="N448" s="212"/>
      <c r="O448" s="212"/>
      <c r="P448" s="212"/>
      <c r="Q448" s="212"/>
      <c r="R448" s="212"/>
      <c r="S448" s="212"/>
      <c r="T448" s="212"/>
      <c r="U448" s="212"/>
      <c r="V448" s="212"/>
      <c r="W448" s="212"/>
      <c r="X448" s="212"/>
      <c r="Y448" s="212"/>
      <c r="Z448" s="212"/>
      <c r="AA448" s="212"/>
      <c r="AB448" s="212"/>
      <c r="AC448" s="212"/>
      <c r="AD448" s="212"/>
      <c r="AE448" s="212"/>
      <c r="AF448" s="212"/>
      <c r="AG448" s="212"/>
      <c r="AH448" s="212"/>
      <c r="AI448" s="212"/>
      <c r="AJ448" s="212"/>
      <c r="AK448" s="212"/>
      <c r="AL448" s="212"/>
      <c r="AM448" s="212"/>
      <c r="AN448" s="212"/>
      <c r="AO448" s="212"/>
      <c r="AP448" s="212"/>
      <c r="AQ448" s="212"/>
      <c r="AR448" s="212"/>
      <c r="AS448" s="212"/>
      <c r="AT448" s="212"/>
      <c r="AU448" s="212"/>
      <c r="AV448" s="212"/>
      <c r="AW448" s="212"/>
      <c r="AX448" s="212"/>
      <c r="AY448" s="212"/>
      <c r="AZ448" s="212"/>
      <c r="BA448" s="212"/>
      <c r="BB448" s="212"/>
      <c r="BC448" s="212"/>
      <c r="BD448" s="212"/>
      <c r="BE448" s="212"/>
      <c r="BF448" s="212"/>
      <c r="BG448" s="212"/>
      <c r="BH448" s="212"/>
      <c r="BI448" s="212"/>
      <c r="BJ448" s="212"/>
      <c r="BK448" s="212"/>
      <c r="BL448" s="212"/>
      <c r="BM448" s="212"/>
      <c r="BN448" s="212"/>
      <c r="BO448" s="212"/>
      <c r="BP448" s="212"/>
      <c r="BQ448" s="212"/>
      <c r="BR448" s="212"/>
      <c r="BS448" s="212"/>
      <c r="BT448" s="212"/>
      <c r="BU448" s="212"/>
      <c r="BV448" s="212"/>
      <c r="BW448" s="212"/>
      <c r="BX448" s="212"/>
      <c r="BY448" s="212"/>
      <c r="BZ448" s="212"/>
      <c r="CA448" s="212"/>
      <c r="CB448" s="212"/>
      <c r="CC448" s="212"/>
      <c r="CD448" s="212"/>
      <c r="CE448" s="212"/>
      <c r="CF448" s="212"/>
      <c r="CG448" s="212"/>
      <c r="CH448" s="212"/>
      <c r="CI448" s="212"/>
      <c r="CJ448" s="212"/>
      <c r="CK448" s="212"/>
      <c r="CL448" s="212"/>
    </row>
    <row r="449" spans="10:90" ht="24.75" customHeight="1" x14ac:dyDescent="0.75">
      <c r="J449" s="220"/>
      <c r="K449" s="2"/>
      <c r="N449" s="212"/>
      <c r="O449" s="212"/>
      <c r="P449" s="212"/>
      <c r="Q449" s="212"/>
      <c r="R449" s="212"/>
      <c r="S449" s="212"/>
      <c r="T449" s="212"/>
      <c r="U449" s="212"/>
      <c r="V449" s="212"/>
      <c r="W449" s="212"/>
      <c r="X449" s="212"/>
      <c r="Y449" s="212"/>
      <c r="Z449" s="212"/>
      <c r="AA449" s="212"/>
      <c r="AB449" s="212"/>
      <c r="AC449" s="212"/>
      <c r="AD449" s="212"/>
      <c r="AE449" s="212"/>
      <c r="AF449" s="212"/>
      <c r="AG449" s="212"/>
      <c r="AH449" s="212"/>
      <c r="AI449" s="212"/>
      <c r="AJ449" s="212"/>
      <c r="AK449" s="212"/>
      <c r="AL449" s="212"/>
      <c r="AM449" s="212"/>
      <c r="AN449" s="212"/>
      <c r="AO449" s="212"/>
      <c r="AP449" s="212"/>
      <c r="AQ449" s="212"/>
      <c r="AR449" s="212"/>
      <c r="AS449" s="212"/>
      <c r="AT449" s="212"/>
      <c r="AU449" s="212"/>
      <c r="AV449" s="212"/>
      <c r="AW449" s="212"/>
      <c r="AX449" s="212"/>
      <c r="AY449" s="212"/>
      <c r="AZ449" s="212"/>
      <c r="BA449" s="212"/>
      <c r="BB449" s="212"/>
      <c r="BC449" s="212"/>
      <c r="BD449" s="212"/>
      <c r="BE449" s="212"/>
      <c r="BF449" s="212"/>
      <c r="BG449" s="212"/>
      <c r="BH449" s="212"/>
      <c r="BI449" s="212"/>
      <c r="BJ449" s="212"/>
      <c r="BK449" s="212"/>
      <c r="BL449" s="212"/>
      <c r="BM449" s="212"/>
      <c r="BN449" s="212"/>
      <c r="BO449" s="212"/>
      <c r="BP449" s="212"/>
      <c r="BQ449" s="212"/>
      <c r="BR449" s="212"/>
      <c r="BS449" s="212"/>
      <c r="BT449" s="212"/>
      <c r="BU449" s="212"/>
      <c r="BV449" s="212"/>
      <c r="BW449" s="212"/>
      <c r="BX449" s="212"/>
      <c r="BY449" s="212"/>
      <c r="BZ449" s="212"/>
      <c r="CA449" s="212"/>
      <c r="CB449" s="212"/>
      <c r="CC449" s="212"/>
      <c r="CD449" s="212"/>
      <c r="CE449" s="212"/>
      <c r="CF449" s="212"/>
      <c r="CG449" s="212"/>
      <c r="CH449" s="212"/>
      <c r="CI449" s="212"/>
      <c r="CJ449" s="212"/>
      <c r="CK449" s="212"/>
      <c r="CL449" s="212"/>
    </row>
    <row r="450" spans="10:90" ht="24.75" customHeight="1" x14ac:dyDescent="0.75">
      <c r="J450" s="220"/>
      <c r="K450" s="2"/>
      <c r="N450" s="212"/>
      <c r="O450" s="212"/>
      <c r="P450" s="212"/>
      <c r="Q450" s="212"/>
      <c r="R450" s="212"/>
      <c r="S450" s="212"/>
      <c r="T450" s="212"/>
      <c r="U450" s="212"/>
      <c r="V450" s="212"/>
      <c r="W450" s="212"/>
      <c r="X450" s="212"/>
      <c r="Y450" s="212"/>
      <c r="Z450" s="212"/>
      <c r="AA450" s="212"/>
      <c r="AB450" s="212"/>
      <c r="AC450" s="212"/>
      <c r="AD450" s="212"/>
      <c r="AE450" s="212"/>
      <c r="AF450" s="212"/>
      <c r="AG450" s="212"/>
      <c r="AH450" s="212"/>
      <c r="AI450" s="212"/>
      <c r="AJ450" s="212"/>
      <c r="AK450" s="212"/>
      <c r="AL450" s="212"/>
      <c r="AM450" s="212"/>
      <c r="AN450" s="212"/>
      <c r="AO450" s="212"/>
      <c r="AP450" s="212"/>
      <c r="AQ450" s="212"/>
      <c r="AR450" s="212"/>
      <c r="AS450" s="212"/>
      <c r="AT450" s="212"/>
      <c r="AU450" s="212"/>
      <c r="AV450" s="212"/>
      <c r="AW450" s="212"/>
      <c r="AX450" s="212"/>
      <c r="AY450" s="212"/>
      <c r="AZ450" s="212"/>
      <c r="BA450" s="212"/>
      <c r="BB450" s="212"/>
      <c r="BC450" s="212"/>
      <c r="BD450" s="212"/>
      <c r="BE450" s="212"/>
      <c r="BF450" s="212"/>
      <c r="BG450" s="212"/>
      <c r="BH450" s="212"/>
      <c r="BI450" s="212"/>
      <c r="BJ450" s="212"/>
      <c r="BK450" s="212"/>
      <c r="BL450" s="212"/>
      <c r="BM450" s="212"/>
      <c r="BN450" s="212"/>
      <c r="BO450" s="212"/>
      <c r="BP450" s="212"/>
      <c r="BQ450" s="212"/>
      <c r="BR450" s="212"/>
      <c r="BS450" s="212"/>
      <c r="BT450" s="212"/>
      <c r="BU450" s="212"/>
      <c r="BV450" s="212"/>
      <c r="BW450" s="212"/>
      <c r="BX450" s="212"/>
      <c r="BY450" s="212"/>
      <c r="BZ450" s="212"/>
      <c r="CA450" s="212"/>
      <c r="CB450" s="212"/>
      <c r="CC450" s="212"/>
      <c r="CD450" s="212"/>
      <c r="CE450" s="212"/>
      <c r="CF450" s="212"/>
      <c r="CG450" s="212"/>
      <c r="CH450" s="212"/>
      <c r="CI450" s="212"/>
      <c r="CJ450" s="212"/>
      <c r="CK450" s="212"/>
      <c r="CL450" s="212"/>
    </row>
    <row r="451" spans="10:90" ht="24.75" customHeight="1" x14ac:dyDescent="0.75">
      <c r="J451" s="220"/>
      <c r="K451" s="2"/>
      <c r="N451" s="212"/>
      <c r="O451" s="212"/>
      <c r="P451" s="212"/>
      <c r="Q451" s="212"/>
      <c r="R451" s="212"/>
      <c r="S451" s="212"/>
      <c r="T451" s="212"/>
      <c r="U451" s="212"/>
      <c r="V451" s="212"/>
      <c r="W451" s="212"/>
      <c r="X451" s="212"/>
      <c r="Y451" s="212"/>
      <c r="Z451" s="212"/>
      <c r="AA451" s="212"/>
      <c r="AB451" s="212"/>
      <c r="AC451" s="212"/>
      <c r="AD451" s="212"/>
      <c r="AE451" s="212"/>
      <c r="AF451" s="212"/>
      <c r="AG451" s="212"/>
      <c r="AH451" s="212"/>
      <c r="AI451" s="212"/>
      <c r="AJ451" s="212"/>
      <c r="AK451" s="212"/>
      <c r="AL451" s="212"/>
      <c r="AM451" s="212"/>
      <c r="AN451" s="212"/>
      <c r="AO451" s="212"/>
      <c r="AP451" s="212"/>
      <c r="AQ451" s="212"/>
      <c r="AR451" s="212"/>
      <c r="AS451" s="212"/>
      <c r="AT451" s="212"/>
      <c r="AU451" s="212"/>
      <c r="AV451" s="212"/>
      <c r="AW451" s="212"/>
      <c r="AX451" s="212"/>
      <c r="AY451" s="212"/>
      <c r="AZ451" s="212"/>
      <c r="BA451" s="212"/>
      <c r="BB451" s="212"/>
      <c r="BC451" s="212"/>
      <c r="BD451" s="212"/>
      <c r="BE451" s="212"/>
      <c r="BF451" s="212"/>
      <c r="BG451" s="212"/>
      <c r="BH451" s="212"/>
      <c r="BI451" s="212"/>
      <c r="BJ451" s="212"/>
      <c r="BK451" s="212"/>
      <c r="BL451" s="212"/>
      <c r="BM451" s="212"/>
      <c r="BN451" s="212"/>
      <c r="BO451" s="212"/>
      <c r="BP451" s="212"/>
      <c r="BQ451" s="212"/>
      <c r="BR451" s="212"/>
      <c r="BS451" s="212"/>
      <c r="BT451" s="212"/>
      <c r="BU451" s="212"/>
      <c r="BV451" s="212"/>
      <c r="BW451" s="212"/>
      <c r="BX451" s="212"/>
      <c r="BY451" s="212"/>
      <c r="BZ451" s="212"/>
      <c r="CA451" s="212"/>
      <c r="CB451" s="212"/>
      <c r="CC451" s="212"/>
      <c r="CD451" s="212"/>
      <c r="CE451" s="212"/>
      <c r="CF451" s="212"/>
      <c r="CG451" s="212"/>
      <c r="CH451" s="212"/>
      <c r="CI451" s="212"/>
      <c r="CJ451" s="212"/>
      <c r="CK451" s="212"/>
      <c r="CL451" s="212"/>
    </row>
    <row r="452" spans="10:90" ht="24.75" customHeight="1" x14ac:dyDescent="0.75">
      <c r="J452" s="220"/>
      <c r="K452" s="2"/>
      <c r="N452" s="212"/>
      <c r="O452" s="212"/>
      <c r="P452" s="212"/>
      <c r="Q452" s="212"/>
      <c r="R452" s="212"/>
      <c r="S452" s="212"/>
      <c r="T452" s="212"/>
      <c r="U452" s="212"/>
      <c r="V452" s="212"/>
      <c r="W452" s="212"/>
      <c r="X452" s="212"/>
      <c r="Y452" s="212"/>
      <c r="Z452" s="212"/>
      <c r="AA452" s="212"/>
      <c r="AB452" s="212"/>
      <c r="AC452" s="212"/>
      <c r="AD452" s="212"/>
      <c r="AE452" s="212"/>
      <c r="AF452" s="212"/>
      <c r="AG452" s="212"/>
      <c r="AH452" s="212"/>
      <c r="AI452" s="212"/>
      <c r="AJ452" s="212"/>
      <c r="AK452" s="212"/>
      <c r="AL452" s="212"/>
      <c r="AM452" s="212"/>
      <c r="AN452" s="212"/>
      <c r="AO452" s="212"/>
      <c r="AP452" s="212"/>
      <c r="AQ452" s="212"/>
      <c r="AR452" s="212"/>
      <c r="AS452" s="212"/>
      <c r="AT452" s="212"/>
      <c r="AU452" s="212"/>
      <c r="AV452" s="212"/>
      <c r="AW452" s="212"/>
      <c r="AX452" s="212"/>
      <c r="AY452" s="212"/>
      <c r="AZ452" s="212"/>
      <c r="BA452" s="212"/>
      <c r="BB452" s="212"/>
      <c r="BC452" s="212"/>
      <c r="BD452" s="212"/>
      <c r="BE452" s="212"/>
      <c r="BF452" s="212"/>
      <c r="BG452" s="212"/>
      <c r="BH452" s="212"/>
      <c r="BI452" s="212"/>
      <c r="BJ452" s="212"/>
      <c r="BK452" s="212"/>
      <c r="BL452" s="212"/>
      <c r="BM452" s="212"/>
      <c r="BN452" s="212"/>
      <c r="BO452" s="212"/>
      <c r="BP452" s="212"/>
      <c r="BQ452" s="212"/>
      <c r="BR452" s="212"/>
      <c r="BS452" s="212"/>
      <c r="BT452" s="212"/>
      <c r="BU452" s="212"/>
      <c r="BV452" s="212"/>
      <c r="BW452" s="212"/>
      <c r="BX452" s="212"/>
      <c r="BY452" s="212"/>
      <c r="BZ452" s="212"/>
      <c r="CA452" s="212"/>
      <c r="CB452" s="212"/>
      <c r="CC452" s="212"/>
      <c r="CD452" s="212"/>
      <c r="CE452" s="212"/>
      <c r="CF452" s="212"/>
      <c r="CG452" s="212"/>
      <c r="CH452" s="212"/>
      <c r="CI452" s="212"/>
      <c r="CJ452" s="212"/>
      <c r="CK452" s="212"/>
      <c r="CL452" s="212"/>
    </row>
    <row r="453" spans="10:90" ht="24.75" customHeight="1" x14ac:dyDescent="0.75">
      <c r="J453" s="220"/>
      <c r="K453" s="2"/>
      <c r="N453" s="212"/>
      <c r="O453" s="212"/>
      <c r="P453" s="212"/>
      <c r="Q453" s="212"/>
      <c r="R453" s="212"/>
      <c r="S453" s="212"/>
      <c r="T453" s="212"/>
      <c r="U453" s="212"/>
      <c r="V453" s="212"/>
      <c r="W453" s="212"/>
      <c r="X453" s="212"/>
      <c r="Y453" s="212"/>
      <c r="Z453" s="212"/>
      <c r="AA453" s="212"/>
      <c r="AB453" s="212"/>
      <c r="AC453" s="212"/>
      <c r="AD453" s="212"/>
      <c r="AE453" s="212"/>
      <c r="AF453" s="212"/>
      <c r="AG453" s="212"/>
      <c r="AH453" s="212"/>
      <c r="AI453" s="212"/>
      <c r="AJ453" s="212"/>
      <c r="AK453" s="212"/>
      <c r="AL453" s="212"/>
      <c r="AM453" s="212"/>
      <c r="AN453" s="212"/>
      <c r="AO453" s="212"/>
      <c r="AP453" s="212"/>
      <c r="AQ453" s="212"/>
      <c r="AR453" s="212"/>
      <c r="AS453" s="212"/>
      <c r="AT453" s="212"/>
      <c r="AU453" s="212"/>
      <c r="AV453" s="212"/>
      <c r="AW453" s="212"/>
      <c r="AX453" s="212"/>
      <c r="AY453" s="212"/>
      <c r="AZ453" s="212"/>
      <c r="BA453" s="212"/>
      <c r="BB453" s="212"/>
      <c r="BC453" s="212"/>
      <c r="BD453" s="212"/>
      <c r="BE453" s="212"/>
      <c r="BF453" s="212"/>
      <c r="BG453" s="212"/>
      <c r="BH453" s="212"/>
      <c r="BI453" s="212"/>
      <c r="BJ453" s="212"/>
      <c r="BK453" s="212"/>
      <c r="BL453" s="212"/>
      <c r="BM453" s="212"/>
      <c r="BN453" s="212"/>
      <c r="BO453" s="212"/>
      <c r="BP453" s="212"/>
      <c r="BQ453" s="212"/>
      <c r="BR453" s="212"/>
      <c r="BS453" s="212"/>
      <c r="BT453" s="212"/>
      <c r="BU453" s="212"/>
      <c r="BV453" s="212"/>
      <c r="BW453" s="212"/>
      <c r="BX453" s="212"/>
      <c r="BY453" s="212"/>
      <c r="BZ453" s="212"/>
      <c r="CA453" s="212"/>
      <c r="CB453" s="212"/>
      <c r="CC453" s="212"/>
      <c r="CD453" s="212"/>
      <c r="CE453" s="212"/>
      <c r="CF453" s="212"/>
      <c r="CG453" s="212"/>
      <c r="CH453" s="212"/>
      <c r="CI453" s="212"/>
      <c r="CJ453" s="212"/>
      <c r="CK453" s="212"/>
      <c r="CL453" s="212"/>
    </row>
    <row r="454" spans="10:90" ht="24.75" customHeight="1" x14ac:dyDescent="0.75">
      <c r="J454" s="220"/>
      <c r="K454" s="2"/>
      <c r="N454" s="212"/>
      <c r="O454" s="212"/>
      <c r="P454" s="212"/>
      <c r="Q454" s="212"/>
      <c r="R454" s="212"/>
      <c r="S454" s="212"/>
      <c r="T454" s="212"/>
      <c r="U454" s="212"/>
      <c r="V454" s="212"/>
      <c r="W454" s="212"/>
      <c r="X454" s="212"/>
      <c r="Y454" s="212"/>
      <c r="Z454" s="212"/>
      <c r="AA454" s="212"/>
      <c r="AB454" s="212"/>
      <c r="AC454" s="212"/>
      <c r="AD454" s="212"/>
      <c r="AE454" s="212"/>
      <c r="AF454" s="212"/>
      <c r="AG454" s="212"/>
      <c r="AH454" s="212"/>
      <c r="AI454" s="212"/>
      <c r="AJ454" s="212"/>
      <c r="AK454" s="212"/>
      <c r="AL454" s="212"/>
      <c r="AM454" s="212"/>
      <c r="AN454" s="212"/>
      <c r="AO454" s="212"/>
      <c r="AP454" s="212"/>
      <c r="AQ454" s="212"/>
      <c r="AR454" s="212"/>
      <c r="AS454" s="212"/>
      <c r="AT454" s="212"/>
      <c r="AU454" s="212"/>
      <c r="AV454" s="212"/>
      <c r="AW454" s="212"/>
      <c r="AX454" s="212"/>
      <c r="AY454" s="212"/>
      <c r="AZ454" s="212"/>
      <c r="BA454" s="212"/>
      <c r="BB454" s="212"/>
      <c r="BC454" s="212"/>
      <c r="BD454" s="212"/>
      <c r="BE454" s="212"/>
      <c r="BF454" s="212"/>
      <c r="BG454" s="212"/>
      <c r="BH454" s="212"/>
      <c r="BI454" s="212"/>
      <c r="BJ454" s="212"/>
      <c r="BK454" s="212"/>
      <c r="BL454" s="212"/>
      <c r="BM454" s="212"/>
      <c r="BN454" s="212"/>
      <c r="BO454" s="212"/>
      <c r="BP454" s="212"/>
      <c r="BQ454" s="212"/>
      <c r="BR454" s="212"/>
      <c r="BS454" s="212"/>
      <c r="BT454" s="212"/>
      <c r="BU454" s="212"/>
      <c r="BV454" s="212"/>
      <c r="BW454" s="212"/>
      <c r="BX454" s="212"/>
      <c r="BY454" s="212"/>
      <c r="BZ454" s="212"/>
      <c r="CA454" s="212"/>
      <c r="CB454" s="212"/>
      <c r="CC454" s="212"/>
      <c r="CD454" s="212"/>
      <c r="CE454" s="212"/>
      <c r="CF454" s="212"/>
      <c r="CG454" s="212"/>
      <c r="CH454" s="212"/>
      <c r="CI454" s="212"/>
      <c r="CJ454" s="212"/>
      <c r="CK454" s="212"/>
      <c r="CL454" s="212"/>
    </row>
    <row r="455" spans="10:90" ht="24.75" customHeight="1" x14ac:dyDescent="0.75">
      <c r="J455" s="220"/>
      <c r="K455" s="2"/>
      <c r="N455" s="212"/>
      <c r="O455" s="212"/>
      <c r="P455" s="212"/>
      <c r="Q455" s="212"/>
      <c r="R455" s="212"/>
      <c r="S455" s="212"/>
      <c r="T455" s="212"/>
      <c r="U455" s="212"/>
      <c r="V455" s="212"/>
      <c r="W455" s="212"/>
      <c r="X455" s="212"/>
      <c r="Y455" s="212"/>
      <c r="Z455" s="212"/>
      <c r="AA455" s="212"/>
      <c r="AB455" s="212"/>
      <c r="AC455" s="212"/>
      <c r="AD455" s="212"/>
      <c r="AE455" s="212"/>
      <c r="AF455" s="212"/>
      <c r="AG455" s="212"/>
      <c r="AH455" s="212"/>
      <c r="AI455" s="212"/>
      <c r="AJ455" s="212"/>
      <c r="AK455" s="212"/>
      <c r="AL455" s="212"/>
      <c r="AM455" s="212"/>
      <c r="AN455" s="212"/>
      <c r="AO455" s="212"/>
      <c r="AP455" s="212"/>
      <c r="AQ455" s="212"/>
      <c r="AR455" s="212"/>
      <c r="AS455" s="212"/>
      <c r="AT455" s="212"/>
      <c r="AU455" s="212"/>
      <c r="AV455" s="212"/>
      <c r="AW455" s="212"/>
      <c r="AX455" s="212"/>
      <c r="AY455" s="212"/>
      <c r="AZ455" s="212"/>
      <c r="BA455" s="212"/>
      <c r="BB455" s="212"/>
      <c r="BC455" s="212"/>
      <c r="BD455" s="212"/>
      <c r="BE455" s="212"/>
      <c r="BF455" s="212"/>
      <c r="BG455" s="212"/>
      <c r="BH455" s="212"/>
      <c r="BI455" s="212"/>
      <c r="BJ455" s="212"/>
      <c r="BK455" s="212"/>
      <c r="BL455" s="212"/>
      <c r="BM455" s="212"/>
      <c r="BN455" s="212"/>
      <c r="BO455" s="212"/>
      <c r="BP455" s="212"/>
      <c r="BQ455" s="212"/>
      <c r="BR455" s="212"/>
      <c r="BS455" s="212"/>
      <c r="BT455" s="212"/>
      <c r="BU455" s="212"/>
      <c r="BV455" s="212"/>
      <c r="BW455" s="212"/>
      <c r="BX455" s="212"/>
      <c r="BY455" s="212"/>
      <c r="BZ455" s="212"/>
      <c r="CA455" s="212"/>
      <c r="CB455" s="212"/>
      <c r="CC455" s="212"/>
      <c r="CD455" s="212"/>
      <c r="CE455" s="212"/>
      <c r="CF455" s="212"/>
      <c r="CG455" s="212"/>
      <c r="CH455" s="212"/>
      <c r="CI455" s="212"/>
      <c r="CJ455" s="212"/>
      <c r="CK455" s="212"/>
      <c r="CL455" s="212"/>
    </row>
    <row r="456" spans="10:90" ht="24.75" customHeight="1" x14ac:dyDescent="0.75">
      <c r="J456" s="220"/>
      <c r="K456" s="2"/>
      <c r="N456" s="212"/>
      <c r="O456" s="212"/>
      <c r="P456" s="212"/>
      <c r="Q456" s="212"/>
      <c r="R456" s="212"/>
      <c r="S456" s="212"/>
      <c r="T456" s="212"/>
      <c r="U456" s="212"/>
      <c r="V456" s="212"/>
      <c r="W456" s="212"/>
      <c r="X456" s="212"/>
      <c r="Y456" s="212"/>
      <c r="Z456" s="212"/>
      <c r="AA456" s="212"/>
      <c r="AB456" s="212"/>
      <c r="AC456" s="212"/>
      <c r="AD456" s="212"/>
      <c r="AE456" s="212"/>
      <c r="AF456" s="212"/>
      <c r="AG456" s="212"/>
      <c r="AH456" s="212"/>
      <c r="AI456" s="212"/>
      <c r="AJ456" s="212"/>
      <c r="AK456" s="212"/>
      <c r="AL456" s="212"/>
      <c r="AM456" s="212"/>
      <c r="AN456" s="212"/>
      <c r="AO456" s="212"/>
      <c r="AP456" s="212"/>
      <c r="AQ456" s="212"/>
      <c r="AR456" s="212"/>
      <c r="AS456" s="212"/>
      <c r="AT456" s="212"/>
      <c r="AU456" s="212"/>
      <c r="AV456" s="212"/>
      <c r="AW456" s="212"/>
      <c r="AX456" s="212"/>
      <c r="AY456" s="212"/>
      <c r="AZ456" s="212"/>
      <c r="BA456" s="212"/>
      <c r="BB456" s="212"/>
      <c r="BC456" s="212"/>
      <c r="BD456" s="212"/>
      <c r="BE456" s="212"/>
      <c r="BF456" s="212"/>
      <c r="BG456" s="212"/>
      <c r="BH456" s="212"/>
      <c r="BI456" s="212"/>
      <c r="BJ456" s="212"/>
      <c r="BK456" s="212"/>
      <c r="BL456" s="212"/>
      <c r="BM456" s="212"/>
      <c r="BN456" s="212"/>
      <c r="BO456" s="212"/>
      <c r="BP456" s="212"/>
      <c r="BQ456" s="212"/>
      <c r="BR456" s="212"/>
      <c r="BS456" s="212"/>
      <c r="BT456" s="212"/>
      <c r="BU456" s="212"/>
      <c r="BV456" s="212"/>
      <c r="BW456" s="212"/>
      <c r="BX456" s="212"/>
      <c r="BY456" s="212"/>
      <c r="BZ456" s="212"/>
      <c r="CA456" s="212"/>
      <c r="CB456" s="212"/>
      <c r="CC456" s="212"/>
      <c r="CD456" s="212"/>
      <c r="CE456" s="212"/>
      <c r="CF456" s="212"/>
      <c r="CG456" s="212"/>
      <c r="CH456" s="212"/>
      <c r="CI456" s="212"/>
      <c r="CJ456" s="212"/>
      <c r="CK456" s="212"/>
      <c r="CL456" s="212"/>
    </row>
    <row r="457" spans="10:90" ht="24.75" customHeight="1" x14ac:dyDescent="0.75">
      <c r="J457" s="220"/>
      <c r="K457" s="2"/>
      <c r="N457" s="212"/>
      <c r="O457" s="212"/>
      <c r="P457" s="212"/>
      <c r="Q457" s="212"/>
      <c r="R457" s="212"/>
      <c r="S457" s="212"/>
      <c r="T457" s="212"/>
      <c r="U457" s="212"/>
      <c r="V457" s="212"/>
      <c r="W457" s="212"/>
      <c r="X457" s="212"/>
      <c r="Y457" s="212"/>
      <c r="Z457" s="212"/>
      <c r="AA457" s="212"/>
      <c r="AB457" s="212"/>
      <c r="AC457" s="212"/>
      <c r="AD457" s="212"/>
      <c r="AE457" s="212"/>
      <c r="AF457" s="212"/>
      <c r="AG457" s="212"/>
      <c r="AH457" s="212"/>
      <c r="AI457" s="212"/>
      <c r="AJ457" s="212"/>
      <c r="AK457" s="212"/>
      <c r="AL457" s="212"/>
      <c r="AM457" s="212"/>
      <c r="AN457" s="212"/>
      <c r="AO457" s="212"/>
      <c r="AP457" s="212"/>
      <c r="AQ457" s="212"/>
      <c r="AR457" s="212"/>
      <c r="AS457" s="212"/>
      <c r="AT457" s="212"/>
      <c r="AU457" s="212"/>
      <c r="AV457" s="212"/>
      <c r="AW457" s="212"/>
      <c r="AX457" s="212"/>
      <c r="AY457" s="212"/>
      <c r="AZ457" s="212"/>
      <c r="BA457" s="212"/>
      <c r="BB457" s="212"/>
      <c r="BC457" s="212"/>
      <c r="BD457" s="212"/>
      <c r="BE457" s="212"/>
      <c r="BF457" s="212"/>
      <c r="BG457" s="212"/>
      <c r="BH457" s="212"/>
      <c r="BI457" s="212"/>
      <c r="BJ457" s="212"/>
      <c r="BK457" s="212"/>
      <c r="BL457" s="212"/>
      <c r="BM457" s="212"/>
      <c r="BN457" s="212"/>
      <c r="BO457" s="212"/>
      <c r="BP457" s="212"/>
      <c r="BQ457" s="212"/>
      <c r="BR457" s="212"/>
      <c r="BS457" s="212"/>
      <c r="BT457" s="212"/>
      <c r="BU457" s="212"/>
      <c r="BV457" s="212"/>
      <c r="BW457" s="212"/>
      <c r="BX457" s="212"/>
      <c r="BY457" s="212"/>
      <c r="BZ457" s="212"/>
      <c r="CA457" s="212"/>
      <c r="CB457" s="212"/>
      <c r="CC457" s="212"/>
      <c r="CD457" s="212"/>
      <c r="CE457" s="212"/>
      <c r="CF457" s="212"/>
      <c r="CG457" s="212"/>
      <c r="CH457" s="212"/>
      <c r="CI457" s="212"/>
      <c r="CJ457" s="212"/>
      <c r="CK457" s="212"/>
      <c r="CL457" s="212"/>
    </row>
    <row r="458" spans="10:90" ht="24.75" customHeight="1" x14ac:dyDescent="0.75">
      <c r="J458" s="220"/>
      <c r="K458" s="2"/>
      <c r="N458" s="212"/>
      <c r="O458" s="212"/>
      <c r="P458" s="212"/>
      <c r="Q458" s="212"/>
      <c r="R458" s="212"/>
      <c r="S458" s="212"/>
      <c r="T458" s="212"/>
      <c r="U458" s="212"/>
      <c r="V458" s="212"/>
      <c r="W458" s="212"/>
      <c r="X458" s="212"/>
      <c r="Y458" s="212"/>
      <c r="Z458" s="212"/>
      <c r="AA458" s="212"/>
      <c r="AB458" s="212"/>
      <c r="AC458" s="212"/>
      <c r="AD458" s="212"/>
      <c r="AE458" s="212"/>
      <c r="AF458" s="212"/>
      <c r="AG458" s="212"/>
      <c r="AH458" s="212"/>
      <c r="AI458" s="212"/>
      <c r="AJ458" s="212"/>
      <c r="AK458" s="212"/>
      <c r="AL458" s="212"/>
      <c r="AM458" s="212"/>
      <c r="AN458" s="212"/>
      <c r="AO458" s="212"/>
      <c r="AP458" s="212"/>
      <c r="AQ458" s="212"/>
      <c r="AR458" s="212"/>
      <c r="AS458" s="212"/>
      <c r="AT458" s="212"/>
      <c r="AU458" s="212"/>
      <c r="AV458" s="212"/>
      <c r="AW458" s="212"/>
      <c r="AX458" s="212"/>
      <c r="AY458" s="212"/>
      <c r="AZ458" s="212"/>
      <c r="BA458" s="212"/>
      <c r="BB458" s="212"/>
      <c r="BC458" s="212"/>
      <c r="BD458" s="212"/>
      <c r="BE458" s="212"/>
      <c r="BF458" s="212"/>
      <c r="BG458" s="212"/>
      <c r="BH458" s="212"/>
      <c r="BI458" s="212"/>
      <c r="BJ458" s="212"/>
      <c r="BK458" s="212"/>
      <c r="BL458" s="212"/>
      <c r="BM458" s="212"/>
      <c r="BN458" s="212"/>
      <c r="BO458" s="212"/>
      <c r="BP458" s="212"/>
      <c r="BQ458" s="212"/>
      <c r="BR458" s="212"/>
      <c r="BS458" s="212"/>
      <c r="BT458" s="212"/>
      <c r="BU458" s="212"/>
      <c r="BV458" s="212"/>
      <c r="BW458" s="212"/>
      <c r="BX458" s="212"/>
      <c r="BY458" s="212"/>
      <c r="BZ458" s="212"/>
      <c r="CA458" s="212"/>
      <c r="CB458" s="212"/>
      <c r="CC458" s="212"/>
      <c r="CD458" s="212"/>
      <c r="CE458" s="212"/>
      <c r="CF458" s="212"/>
      <c r="CG458" s="212"/>
      <c r="CH458" s="212"/>
      <c r="CI458" s="212"/>
      <c r="CJ458" s="212"/>
      <c r="CK458" s="212"/>
      <c r="CL458" s="212"/>
    </row>
    <row r="459" spans="10:90" ht="24.75" customHeight="1" x14ac:dyDescent="0.75">
      <c r="J459" s="220"/>
      <c r="K459" s="2"/>
      <c r="N459" s="212"/>
      <c r="O459" s="212"/>
      <c r="P459" s="212"/>
      <c r="Q459" s="212"/>
      <c r="R459" s="212"/>
      <c r="S459" s="212"/>
      <c r="T459" s="212"/>
      <c r="U459" s="212"/>
      <c r="V459" s="212"/>
      <c r="W459" s="212"/>
      <c r="X459" s="212"/>
      <c r="Y459" s="212"/>
      <c r="Z459" s="212"/>
      <c r="AA459" s="212"/>
      <c r="AB459" s="212"/>
      <c r="AC459" s="212"/>
      <c r="AD459" s="212"/>
      <c r="AE459" s="212"/>
      <c r="AF459" s="212"/>
      <c r="AG459" s="212"/>
      <c r="AH459" s="212"/>
      <c r="AI459" s="212"/>
      <c r="AJ459" s="212"/>
      <c r="AK459" s="212"/>
      <c r="AL459" s="212"/>
      <c r="AM459" s="212"/>
      <c r="AN459" s="212"/>
      <c r="AO459" s="212"/>
      <c r="AP459" s="212"/>
      <c r="AQ459" s="212"/>
      <c r="AR459" s="212"/>
      <c r="AS459" s="212"/>
      <c r="AT459" s="212"/>
      <c r="AU459" s="212"/>
      <c r="AV459" s="212"/>
      <c r="AW459" s="212"/>
      <c r="AX459" s="212"/>
      <c r="AY459" s="212"/>
      <c r="AZ459" s="212"/>
      <c r="BA459" s="212"/>
      <c r="BB459" s="212"/>
      <c r="BC459" s="212"/>
      <c r="BD459" s="212"/>
      <c r="BE459" s="212"/>
      <c r="BF459" s="212"/>
      <c r="BG459" s="212"/>
      <c r="BH459" s="212"/>
      <c r="BI459" s="212"/>
      <c r="BJ459" s="212"/>
      <c r="BK459" s="212"/>
      <c r="BL459" s="212"/>
      <c r="BM459" s="212"/>
      <c r="BN459" s="212"/>
      <c r="BO459" s="212"/>
      <c r="BP459" s="212"/>
      <c r="BQ459" s="212"/>
      <c r="BR459" s="212"/>
      <c r="BS459" s="212"/>
      <c r="BT459" s="212"/>
      <c r="BU459" s="212"/>
      <c r="BV459" s="212"/>
      <c r="BW459" s="212"/>
      <c r="BX459" s="212"/>
      <c r="BY459" s="212"/>
      <c r="BZ459" s="212"/>
      <c r="CA459" s="212"/>
      <c r="CB459" s="212"/>
      <c r="CC459" s="212"/>
      <c r="CD459" s="212"/>
      <c r="CE459" s="212"/>
      <c r="CF459" s="212"/>
      <c r="CG459" s="212"/>
      <c r="CH459" s="212"/>
      <c r="CI459" s="212"/>
      <c r="CJ459" s="212"/>
      <c r="CK459" s="212"/>
      <c r="CL459" s="212"/>
    </row>
    <row r="460" spans="10:90" ht="24.75" customHeight="1" x14ac:dyDescent="0.75">
      <c r="J460" s="220"/>
      <c r="K460" s="2"/>
      <c r="N460" s="212"/>
      <c r="O460" s="212"/>
      <c r="P460" s="212"/>
      <c r="Q460" s="212"/>
      <c r="R460" s="212"/>
      <c r="S460" s="212"/>
      <c r="T460" s="212"/>
      <c r="U460" s="212"/>
      <c r="V460" s="212"/>
      <c r="W460" s="212"/>
      <c r="X460" s="212"/>
      <c r="Y460" s="212"/>
      <c r="Z460" s="212"/>
      <c r="AA460" s="212"/>
      <c r="AB460" s="212"/>
      <c r="AC460" s="212"/>
      <c r="AD460" s="212"/>
      <c r="AE460" s="212"/>
      <c r="AF460" s="212"/>
      <c r="AG460" s="212"/>
      <c r="AH460" s="212"/>
      <c r="AI460" s="212"/>
      <c r="AJ460" s="212"/>
      <c r="AK460" s="212"/>
      <c r="AL460" s="212"/>
      <c r="AM460" s="212"/>
      <c r="AN460" s="212"/>
      <c r="AO460" s="212"/>
      <c r="AP460" s="212"/>
      <c r="AQ460" s="212"/>
      <c r="AR460" s="212"/>
      <c r="AS460" s="212"/>
      <c r="AT460" s="212"/>
      <c r="AU460" s="212"/>
      <c r="AV460" s="212"/>
      <c r="AW460" s="212"/>
      <c r="AX460" s="212"/>
      <c r="AY460" s="212"/>
      <c r="AZ460" s="212"/>
      <c r="BA460" s="212"/>
      <c r="BB460" s="212"/>
      <c r="BC460" s="212"/>
      <c r="BD460" s="212"/>
      <c r="BE460" s="212"/>
      <c r="BF460" s="212"/>
      <c r="BG460" s="212"/>
      <c r="BH460" s="212"/>
      <c r="BI460" s="212"/>
      <c r="BJ460" s="212"/>
      <c r="BK460" s="212"/>
      <c r="BL460" s="212"/>
      <c r="BM460" s="212"/>
      <c r="BN460" s="212"/>
      <c r="BO460" s="212"/>
      <c r="BP460" s="212"/>
      <c r="BQ460" s="212"/>
      <c r="BR460" s="212"/>
      <c r="BS460" s="212"/>
      <c r="BT460" s="212"/>
      <c r="BU460" s="212"/>
      <c r="BV460" s="212"/>
      <c r="BW460" s="212"/>
      <c r="BX460" s="212"/>
      <c r="BY460" s="212"/>
      <c r="BZ460" s="212"/>
      <c r="CA460" s="212"/>
      <c r="CB460" s="212"/>
      <c r="CC460" s="212"/>
      <c r="CD460" s="212"/>
      <c r="CE460" s="212"/>
      <c r="CF460" s="212"/>
      <c r="CG460" s="212"/>
      <c r="CH460" s="212"/>
      <c r="CI460" s="212"/>
      <c r="CJ460" s="212"/>
      <c r="CK460" s="212"/>
      <c r="CL460" s="212"/>
    </row>
    <row r="461" spans="10:90" ht="24.75" customHeight="1" x14ac:dyDescent="0.75">
      <c r="J461" s="220"/>
      <c r="K461" s="2"/>
      <c r="N461" s="212"/>
      <c r="O461" s="212"/>
      <c r="P461" s="212"/>
      <c r="Q461" s="212"/>
      <c r="R461" s="212"/>
      <c r="S461" s="212"/>
      <c r="T461" s="212"/>
      <c r="U461" s="212"/>
      <c r="V461" s="212"/>
      <c r="W461" s="212"/>
      <c r="X461" s="212"/>
      <c r="Y461" s="212"/>
      <c r="Z461" s="212"/>
      <c r="AA461" s="212"/>
      <c r="AB461" s="212"/>
      <c r="AC461" s="212"/>
      <c r="AD461" s="212"/>
      <c r="AE461" s="212"/>
      <c r="AF461" s="212"/>
      <c r="AG461" s="212"/>
      <c r="AH461" s="212"/>
      <c r="AI461" s="212"/>
      <c r="AJ461" s="212"/>
      <c r="AK461" s="212"/>
      <c r="AL461" s="212"/>
      <c r="AM461" s="212"/>
      <c r="AN461" s="212"/>
      <c r="AO461" s="212"/>
      <c r="AP461" s="212"/>
      <c r="AQ461" s="212"/>
      <c r="AR461" s="212"/>
      <c r="AS461" s="212"/>
      <c r="AT461" s="212"/>
      <c r="AU461" s="212"/>
      <c r="AV461" s="212"/>
      <c r="AW461" s="212"/>
      <c r="AX461" s="212"/>
      <c r="AY461" s="212"/>
      <c r="AZ461" s="212"/>
      <c r="BA461" s="212"/>
      <c r="BB461" s="212"/>
      <c r="BC461" s="212"/>
      <c r="BD461" s="212"/>
      <c r="BE461" s="212"/>
      <c r="BF461" s="212"/>
      <c r="BG461" s="212"/>
      <c r="BH461" s="212"/>
      <c r="BI461" s="212"/>
      <c r="BJ461" s="212"/>
      <c r="BK461" s="212"/>
      <c r="BL461" s="212"/>
      <c r="BM461" s="212"/>
      <c r="BN461" s="212"/>
      <c r="BO461" s="212"/>
      <c r="BP461" s="212"/>
      <c r="BQ461" s="212"/>
      <c r="BR461" s="212"/>
      <c r="BS461" s="212"/>
      <c r="BT461" s="212"/>
      <c r="BU461" s="212"/>
      <c r="BV461" s="212"/>
      <c r="BW461" s="212"/>
      <c r="BX461" s="212"/>
      <c r="BY461" s="212"/>
      <c r="BZ461" s="212"/>
      <c r="CA461" s="212"/>
      <c r="CB461" s="212"/>
      <c r="CC461" s="212"/>
      <c r="CD461" s="212"/>
      <c r="CE461" s="212"/>
      <c r="CF461" s="212"/>
      <c r="CG461" s="212"/>
      <c r="CH461" s="212"/>
      <c r="CI461" s="212"/>
      <c r="CJ461" s="212"/>
      <c r="CK461" s="212"/>
      <c r="CL461" s="212"/>
    </row>
    <row r="462" spans="10:90" ht="24.75" customHeight="1" x14ac:dyDescent="0.75">
      <c r="J462" s="220"/>
      <c r="K462" s="2"/>
      <c r="N462" s="212"/>
      <c r="O462" s="212"/>
      <c r="P462" s="212"/>
      <c r="Q462" s="212"/>
      <c r="R462" s="212"/>
      <c r="S462" s="212"/>
      <c r="T462" s="212"/>
      <c r="U462" s="212"/>
      <c r="V462" s="212"/>
      <c r="W462" s="212"/>
      <c r="X462" s="212"/>
      <c r="Y462" s="212"/>
      <c r="Z462" s="212"/>
      <c r="AA462" s="212"/>
      <c r="AB462" s="212"/>
      <c r="AC462" s="212"/>
      <c r="AD462" s="212"/>
      <c r="AE462" s="212"/>
      <c r="AF462" s="212"/>
      <c r="AG462" s="212"/>
      <c r="AH462" s="212"/>
      <c r="AI462" s="212"/>
      <c r="AJ462" s="212"/>
      <c r="AK462" s="212"/>
      <c r="AL462" s="212"/>
      <c r="AM462" s="212"/>
      <c r="AN462" s="212"/>
      <c r="AO462" s="212"/>
      <c r="AP462" s="212"/>
      <c r="AQ462" s="212"/>
      <c r="AR462" s="212"/>
      <c r="AS462" s="212"/>
      <c r="AT462" s="212"/>
      <c r="AU462" s="212"/>
      <c r="AV462" s="212"/>
      <c r="AW462" s="212"/>
      <c r="AX462" s="212"/>
      <c r="AY462" s="212"/>
      <c r="AZ462" s="212"/>
      <c r="BA462" s="212"/>
      <c r="BB462" s="212"/>
      <c r="BC462" s="212"/>
      <c r="BD462" s="212"/>
      <c r="BE462" s="212"/>
      <c r="BF462" s="212"/>
      <c r="BG462" s="212"/>
      <c r="BH462" s="212"/>
      <c r="BI462" s="212"/>
      <c r="BJ462" s="212"/>
      <c r="BK462" s="212"/>
      <c r="BL462" s="212"/>
      <c r="BM462" s="212"/>
      <c r="BN462" s="212"/>
      <c r="BO462" s="212"/>
      <c r="BP462" s="212"/>
      <c r="BQ462" s="212"/>
      <c r="BR462" s="212"/>
      <c r="BS462" s="212"/>
      <c r="BT462" s="212"/>
      <c r="BU462" s="212"/>
      <c r="BV462" s="212"/>
      <c r="BW462" s="212"/>
      <c r="BX462" s="212"/>
      <c r="BY462" s="212"/>
      <c r="BZ462" s="212"/>
      <c r="CA462" s="212"/>
      <c r="CB462" s="212"/>
      <c r="CC462" s="212"/>
      <c r="CD462" s="212"/>
      <c r="CE462" s="212"/>
      <c r="CF462" s="212"/>
      <c r="CG462" s="212"/>
      <c r="CH462" s="212"/>
      <c r="CI462" s="212"/>
      <c r="CJ462" s="212"/>
      <c r="CK462" s="212"/>
      <c r="CL462" s="212"/>
    </row>
    <row r="463" spans="10:90" ht="24.75" customHeight="1" x14ac:dyDescent="0.75">
      <c r="J463" s="220"/>
      <c r="K463" s="2"/>
      <c r="N463" s="212"/>
      <c r="O463" s="212"/>
      <c r="P463" s="212"/>
      <c r="Q463" s="212"/>
      <c r="R463" s="212"/>
      <c r="S463" s="212"/>
      <c r="T463" s="212"/>
      <c r="U463" s="212"/>
      <c r="V463" s="212"/>
      <c r="W463" s="212"/>
      <c r="X463" s="212"/>
      <c r="Y463" s="212"/>
      <c r="Z463" s="212"/>
      <c r="AA463" s="212"/>
      <c r="AB463" s="212"/>
      <c r="AC463" s="212"/>
      <c r="AD463" s="212"/>
      <c r="AE463" s="212"/>
      <c r="AF463" s="212"/>
      <c r="AG463" s="212"/>
      <c r="AH463" s="212"/>
      <c r="AI463" s="212"/>
      <c r="AJ463" s="212"/>
      <c r="AK463" s="212"/>
      <c r="AL463" s="212"/>
      <c r="AM463" s="212"/>
      <c r="AN463" s="212"/>
      <c r="AO463" s="212"/>
      <c r="AP463" s="212"/>
      <c r="AQ463" s="212"/>
      <c r="AR463" s="212"/>
      <c r="AS463" s="212"/>
      <c r="AT463" s="212"/>
      <c r="AU463" s="212"/>
      <c r="AV463" s="212"/>
      <c r="AW463" s="212"/>
      <c r="AX463" s="212"/>
      <c r="AY463" s="212"/>
      <c r="AZ463" s="212"/>
      <c r="BA463" s="212"/>
      <c r="BB463" s="212"/>
      <c r="BC463" s="212"/>
      <c r="BD463" s="212"/>
      <c r="BE463" s="212"/>
      <c r="BF463" s="212"/>
      <c r="BG463" s="212"/>
      <c r="BH463" s="212"/>
      <c r="BI463" s="212"/>
      <c r="BJ463" s="212"/>
      <c r="BK463" s="212"/>
      <c r="BL463" s="212"/>
      <c r="BM463" s="212"/>
      <c r="BN463" s="212"/>
      <c r="BO463" s="212"/>
      <c r="BP463" s="212"/>
      <c r="BQ463" s="212"/>
      <c r="BR463" s="212"/>
      <c r="BS463" s="212"/>
      <c r="BT463" s="212"/>
      <c r="BU463" s="212"/>
      <c r="BV463" s="212"/>
      <c r="BW463" s="212"/>
      <c r="BX463" s="212"/>
      <c r="BY463" s="212"/>
      <c r="BZ463" s="212"/>
      <c r="CA463" s="212"/>
      <c r="CB463" s="212"/>
      <c r="CC463" s="212"/>
      <c r="CD463" s="212"/>
      <c r="CE463" s="212"/>
      <c r="CF463" s="212"/>
      <c r="CG463" s="212"/>
      <c r="CH463" s="212"/>
      <c r="CI463" s="212"/>
      <c r="CJ463" s="212"/>
      <c r="CK463" s="212"/>
      <c r="CL463" s="212"/>
    </row>
    <row r="464" spans="10:90" ht="24.75" customHeight="1" x14ac:dyDescent="0.75">
      <c r="J464" s="220"/>
      <c r="K464" s="2"/>
      <c r="N464" s="212"/>
      <c r="O464" s="212"/>
      <c r="P464" s="212"/>
      <c r="Q464" s="212"/>
      <c r="R464" s="212"/>
      <c r="S464" s="212"/>
      <c r="T464" s="212"/>
      <c r="U464" s="212"/>
      <c r="V464" s="212"/>
      <c r="W464" s="212"/>
      <c r="X464" s="212"/>
      <c r="Y464" s="212"/>
      <c r="Z464" s="212"/>
      <c r="AA464" s="212"/>
      <c r="AB464" s="212"/>
      <c r="AC464" s="212"/>
      <c r="AD464" s="212"/>
      <c r="AE464" s="212"/>
      <c r="AF464" s="212"/>
      <c r="AG464" s="212"/>
      <c r="AH464" s="212"/>
      <c r="AI464" s="212"/>
      <c r="AJ464" s="212"/>
      <c r="AK464" s="212"/>
      <c r="AL464" s="212"/>
      <c r="AM464" s="212"/>
      <c r="AN464" s="212"/>
      <c r="AO464" s="212"/>
      <c r="AP464" s="212"/>
      <c r="AQ464" s="212"/>
      <c r="AR464" s="212"/>
      <c r="AS464" s="212"/>
      <c r="AT464" s="212"/>
      <c r="AU464" s="212"/>
      <c r="AV464" s="212"/>
      <c r="AW464" s="212"/>
      <c r="AX464" s="212"/>
      <c r="AY464" s="212"/>
      <c r="AZ464" s="212"/>
      <c r="BA464" s="212"/>
      <c r="BB464" s="212"/>
      <c r="BC464" s="212"/>
      <c r="BD464" s="212"/>
      <c r="BE464" s="212"/>
      <c r="BF464" s="212"/>
      <c r="BG464" s="212"/>
      <c r="BH464" s="212"/>
      <c r="BI464" s="212"/>
      <c r="BJ464" s="212"/>
      <c r="BK464" s="212"/>
      <c r="BL464" s="212"/>
      <c r="BM464" s="212"/>
      <c r="BN464" s="212"/>
      <c r="BO464" s="212"/>
      <c r="BP464" s="212"/>
      <c r="BQ464" s="212"/>
      <c r="BR464" s="212"/>
      <c r="BS464" s="212"/>
      <c r="BT464" s="212"/>
      <c r="BU464" s="212"/>
      <c r="BV464" s="212"/>
      <c r="BW464" s="212"/>
      <c r="BX464" s="212"/>
      <c r="BY464" s="212"/>
      <c r="BZ464" s="212"/>
      <c r="CA464" s="212"/>
      <c r="CB464" s="212"/>
      <c r="CC464" s="212"/>
      <c r="CD464" s="212"/>
      <c r="CE464" s="212"/>
      <c r="CF464" s="212"/>
      <c r="CG464" s="212"/>
      <c r="CH464" s="212"/>
      <c r="CI464" s="212"/>
      <c r="CJ464" s="212"/>
      <c r="CK464" s="212"/>
      <c r="CL464" s="212"/>
    </row>
    <row r="465" spans="10:90" ht="24.75" customHeight="1" x14ac:dyDescent="0.75">
      <c r="J465" s="220"/>
      <c r="K465" s="2"/>
      <c r="N465" s="212"/>
      <c r="O465" s="212"/>
      <c r="P465" s="212"/>
      <c r="Q465" s="212"/>
      <c r="R465" s="212"/>
      <c r="S465" s="212"/>
      <c r="T465" s="212"/>
      <c r="U465" s="212"/>
      <c r="V465" s="212"/>
      <c r="W465" s="212"/>
      <c r="X465" s="212"/>
      <c r="Y465" s="212"/>
      <c r="Z465" s="212"/>
      <c r="AA465" s="212"/>
      <c r="AB465" s="212"/>
      <c r="AC465" s="212"/>
      <c r="AD465" s="212"/>
      <c r="AE465" s="212"/>
      <c r="AF465" s="212"/>
      <c r="AG465" s="212"/>
      <c r="AH465" s="212"/>
      <c r="AI465" s="212"/>
      <c r="AJ465" s="212"/>
      <c r="AK465" s="212"/>
      <c r="AL465" s="212"/>
      <c r="AM465" s="212"/>
      <c r="AN465" s="212"/>
      <c r="AO465" s="212"/>
      <c r="AP465" s="212"/>
      <c r="AQ465" s="212"/>
      <c r="AR465" s="212"/>
      <c r="AS465" s="212"/>
      <c r="AT465" s="212"/>
      <c r="AU465" s="212"/>
      <c r="AV465" s="212"/>
      <c r="AW465" s="212"/>
      <c r="AX465" s="212"/>
      <c r="AY465" s="212"/>
      <c r="AZ465" s="212"/>
      <c r="BA465" s="212"/>
      <c r="BB465" s="212"/>
      <c r="BC465" s="212"/>
      <c r="BD465" s="212"/>
      <c r="BE465" s="212"/>
      <c r="BF465" s="212"/>
      <c r="BG465" s="212"/>
      <c r="BH465" s="212"/>
      <c r="BI465" s="212"/>
      <c r="BJ465" s="212"/>
      <c r="BK465" s="212"/>
      <c r="BL465" s="212"/>
      <c r="BM465" s="212"/>
      <c r="BN465" s="212"/>
      <c r="BO465" s="212"/>
      <c r="BP465" s="212"/>
      <c r="BQ465" s="212"/>
      <c r="BR465" s="212"/>
      <c r="BS465" s="212"/>
      <c r="BT465" s="212"/>
      <c r="BU465" s="212"/>
      <c r="BV465" s="212"/>
      <c r="BW465" s="212"/>
      <c r="BX465" s="212"/>
      <c r="BY465" s="212"/>
      <c r="BZ465" s="212"/>
      <c r="CA465" s="212"/>
      <c r="CB465" s="212"/>
      <c r="CC465" s="212"/>
      <c r="CD465" s="212"/>
      <c r="CE465" s="212"/>
      <c r="CF465" s="212"/>
      <c r="CG465" s="212"/>
      <c r="CH465" s="212"/>
      <c r="CI465" s="212"/>
      <c r="CJ465" s="212"/>
      <c r="CK465" s="212"/>
      <c r="CL465" s="212"/>
    </row>
    <row r="466" spans="10:90" ht="24.75" customHeight="1" x14ac:dyDescent="0.75">
      <c r="J466" s="220"/>
      <c r="K466" s="2"/>
      <c r="N466" s="212"/>
      <c r="O466" s="212"/>
      <c r="P466" s="212"/>
      <c r="Q466" s="212"/>
      <c r="R466" s="212"/>
      <c r="S466" s="212"/>
      <c r="T466" s="212"/>
      <c r="U466" s="212"/>
      <c r="V466" s="212"/>
      <c r="W466" s="212"/>
      <c r="X466" s="212"/>
      <c r="Y466" s="212"/>
      <c r="Z466" s="212"/>
      <c r="AA466" s="212"/>
      <c r="AB466" s="212"/>
      <c r="AC466" s="212"/>
      <c r="AD466" s="212"/>
      <c r="AE466" s="212"/>
      <c r="AF466" s="212"/>
      <c r="AG466" s="212"/>
      <c r="AH466" s="212"/>
      <c r="AI466" s="212"/>
      <c r="AJ466" s="212"/>
      <c r="AK466" s="212"/>
      <c r="AL466" s="212"/>
      <c r="AM466" s="212"/>
      <c r="AN466" s="212"/>
      <c r="AO466" s="212"/>
      <c r="AP466" s="212"/>
      <c r="AQ466" s="212"/>
      <c r="AR466" s="212"/>
      <c r="AS466" s="212"/>
      <c r="AT466" s="212"/>
      <c r="AU466" s="212"/>
      <c r="AV466" s="212"/>
      <c r="AW466" s="212"/>
      <c r="AX466" s="212"/>
      <c r="AY466" s="212"/>
      <c r="AZ466" s="212"/>
      <c r="BA466" s="212"/>
      <c r="BB466" s="212"/>
      <c r="BC466" s="212"/>
      <c r="BD466" s="212"/>
      <c r="BE466" s="212"/>
      <c r="BF466" s="212"/>
      <c r="BG466" s="212"/>
      <c r="BH466" s="212"/>
      <c r="BI466" s="212"/>
      <c r="BJ466" s="212"/>
      <c r="BK466" s="212"/>
      <c r="BL466" s="212"/>
      <c r="BM466" s="212"/>
      <c r="BN466" s="212"/>
      <c r="BO466" s="212"/>
      <c r="BP466" s="212"/>
      <c r="BQ466" s="212"/>
      <c r="BR466" s="212"/>
      <c r="BS466" s="212"/>
      <c r="BT466" s="212"/>
      <c r="BU466" s="212"/>
      <c r="BV466" s="212"/>
      <c r="BW466" s="212"/>
      <c r="BX466" s="212"/>
      <c r="BY466" s="212"/>
      <c r="BZ466" s="212"/>
      <c r="CA466" s="212"/>
      <c r="CB466" s="212"/>
      <c r="CC466" s="212"/>
      <c r="CD466" s="212"/>
      <c r="CE466" s="212"/>
      <c r="CF466" s="212"/>
      <c r="CG466" s="212"/>
      <c r="CH466" s="212"/>
      <c r="CI466" s="212"/>
      <c r="CJ466" s="212"/>
      <c r="CK466" s="212"/>
      <c r="CL466" s="212"/>
    </row>
    <row r="467" spans="10:90" ht="24.75" customHeight="1" x14ac:dyDescent="0.75">
      <c r="J467" s="220"/>
      <c r="K467" s="2"/>
      <c r="N467" s="212"/>
      <c r="O467" s="212"/>
      <c r="P467" s="212"/>
      <c r="Q467" s="212"/>
      <c r="R467" s="212"/>
      <c r="S467" s="212"/>
      <c r="T467" s="212"/>
      <c r="U467" s="212"/>
      <c r="V467" s="212"/>
      <c r="W467" s="212"/>
      <c r="X467" s="212"/>
      <c r="Y467" s="212"/>
      <c r="Z467" s="212"/>
      <c r="AA467" s="212"/>
      <c r="AB467" s="212"/>
      <c r="AC467" s="212"/>
      <c r="AD467" s="212"/>
      <c r="AE467" s="212"/>
      <c r="AF467" s="212"/>
      <c r="AG467" s="212"/>
      <c r="AH467" s="212"/>
      <c r="AI467" s="212"/>
      <c r="AJ467" s="212"/>
      <c r="AK467" s="212"/>
      <c r="AL467" s="212"/>
      <c r="AM467" s="212"/>
      <c r="AN467" s="212"/>
      <c r="AO467" s="212"/>
      <c r="AP467" s="212"/>
      <c r="AQ467" s="212"/>
      <c r="AR467" s="212"/>
      <c r="AS467" s="212"/>
      <c r="AT467" s="212"/>
      <c r="AU467" s="212"/>
      <c r="AV467" s="212"/>
      <c r="AW467" s="212"/>
      <c r="AX467" s="212"/>
      <c r="AY467" s="212"/>
      <c r="AZ467" s="212"/>
      <c r="BA467" s="212"/>
      <c r="BB467" s="212"/>
      <c r="BC467" s="212"/>
      <c r="BD467" s="212"/>
      <c r="BE467" s="212"/>
      <c r="BF467" s="212"/>
      <c r="BG467" s="212"/>
      <c r="BH467" s="212"/>
      <c r="BI467" s="212"/>
      <c r="BJ467" s="212"/>
      <c r="BK467" s="212"/>
      <c r="BL467" s="212"/>
      <c r="BM467" s="212"/>
      <c r="BN467" s="212"/>
      <c r="BO467" s="212"/>
      <c r="BP467" s="212"/>
      <c r="BQ467" s="212"/>
      <c r="BR467" s="212"/>
      <c r="BS467" s="212"/>
      <c r="BT467" s="212"/>
      <c r="BU467" s="212"/>
      <c r="BV467" s="212"/>
      <c r="BW467" s="212"/>
      <c r="BX467" s="212"/>
      <c r="BY467" s="212"/>
      <c r="BZ467" s="212"/>
      <c r="CA467" s="212"/>
      <c r="CB467" s="212"/>
      <c r="CC467" s="212"/>
      <c r="CD467" s="212"/>
      <c r="CE467" s="212"/>
      <c r="CF467" s="212"/>
      <c r="CG467" s="212"/>
      <c r="CH467" s="212"/>
      <c r="CI467" s="212"/>
      <c r="CJ467" s="212"/>
      <c r="CK467" s="212"/>
      <c r="CL467" s="212"/>
    </row>
    <row r="468" spans="10:90" ht="24.75" customHeight="1" x14ac:dyDescent="0.75">
      <c r="J468" s="220"/>
      <c r="K468" s="2"/>
      <c r="N468" s="212"/>
      <c r="O468" s="212"/>
      <c r="P468" s="212"/>
      <c r="Q468" s="212"/>
      <c r="R468" s="212"/>
      <c r="S468" s="212"/>
      <c r="T468" s="212"/>
      <c r="U468" s="212"/>
      <c r="V468" s="212"/>
      <c r="W468" s="212"/>
      <c r="X468" s="212"/>
      <c r="Y468" s="212"/>
      <c r="Z468" s="212"/>
      <c r="AA468" s="212"/>
      <c r="AB468" s="212"/>
      <c r="AC468" s="212"/>
      <c r="AD468" s="212"/>
      <c r="AE468" s="212"/>
      <c r="AF468" s="212"/>
      <c r="AG468" s="212"/>
      <c r="AH468" s="212"/>
      <c r="AI468" s="212"/>
      <c r="AJ468" s="212"/>
      <c r="AK468" s="212"/>
      <c r="AL468" s="212"/>
      <c r="AM468" s="212"/>
      <c r="AN468" s="212"/>
      <c r="AO468" s="212"/>
      <c r="AP468" s="212"/>
      <c r="AQ468" s="212"/>
      <c r="AR468" s="212"/>
      <c r="AS468" s="212"/>
      <c r="AT468" s="212"/>
      <c r="AU468" s="212"/>
      <c r="AV468" s="212"/>
      <c r="AW468" s="212"/>
      <c r="AX468" s="212"/>
      <c r="AY468" s="212"/>
      <c r="AZ468" s="212"/>
      <c r="BA468" s="212"/>
      <c r="BB468" s="212"/>
      <c r="BC468" s="212"/>
      <c r="BD468" s="212"/>
      <c r="BE468" s="212"/>
      <c r="BF468" s="212"/>
      <c r="BG468" s="212"/>
      <c r="BH468" s="212"/>
      <c r="BI468" s="212"/>
      <c r="BJ468" s="212"/>
      <c r="BK468" s="212"/>
      <c r="BL468" s="212"/>
      <c r="BM468" s="212"/>
      <c r="BN468" s="212"/>
      <c r="BO468" s="212"/>
      <c r="BP468" s="212"/>
      <c r="BQ468" s="212"/>
      <c r="BR468" s="212"/>
      <c r="BS468" s="212"/>
      <c r="BT468" s="212"/>
      <c r="BU468" s="212"/>
      <c r="BV468" s="212"/>
      <c r="BW468" s="212"/>
      <c r="BX468" s="212"/>
      <c r="BY468" s="212"/>
      <c r="BZ468" s="212"/>
      <c r="CA468" s="212"/>
      <c r="CB468" s="212"/>
      <c r="CC468" s="212"/>
      <c r="CD468" s="212"/>
      <c r="CE468" s="212"/>
      <c r="CF468" s="212"/>
      <c r="CG468" s="212"/>
      <c r="CH468" s="212"/>
      <c r="CI468" s="212"/>
      <c r="CJ468" s="212"/>
      <c r="CK468" s="212"/>
      <c r="CL468" s="212"/>
    </row>
    <row r="469" spans="10:90" ht="24.75" customHeight="1" x14ac:dyDescent="0.75">
      <c r="J469" s="220"/>
      <c r="K469" s="2"/>
      <c r="N469" s="212"/>
      <c r="O469" s="212"/>
      <c r="P469" s="212"/>
      <c r="Q469" s="212"/>
      <c r="R469" s="212"/>
      <c r="S469" s="212"/>
      <c r="T469" s="212"/>
      <c r="U469" s="212"/>
      <c r="V469" s="212"/>
      <c r="W469" s="212"/>
      <c r="X469" s="212"/>
      <c r="Y469" s="212"/>
      <c r="Z469" s="212"/>
      <c r="AA469" s="212"/>
      <c r="AB469" s="212"/>
      <c r="AC469" s="212"/>
      <c r="AD469" s="212"/>
      <c r="AE469" s="212"/>
      <c r="AF469" s="212"/>
      <c r="AG469" s="212"/>
      <c r="AH469" s="212"/>
      <c r="AI469" s="212"/>
      <c r="AJ469" s="212"/>
      <c r="AK469" s="212"/>
      <c r="AL469" s="212"/>
      <c r="AM469" s="212"/>
      <c r="AN469" s="212"/>
      <c r="AO469" s="212"/>
      <c r="AP469" s="212"/>
      <c r="AQ469" s="212"/>
      <c r="AR469" s="212"/>
      <c r="AS469" s="212"/>
      <c r="AT469" s="212"/>
      <c r="AU469" s="212"/>
      <c r="AV469" s="212"/>
      <c r="AW469" s="212"/>
      <c r="AX469" s="212"/>
      <c r="AY469" s="212"/>
      <c r="AZ469" s="212"/>
      <c r="BA469" s="212"/>
      <c r="BB469" s="212"/>
      <c r="BC469" s="212"/>
      <c r="BD469" s="212"/>
      <c r="BE469" s="212"/>
      <c r="BF469" s="212"/>
      <c r="BG469" s="212"/>
      <c r="BH469" s="212"/>
      <c r="BI469" s="212"/>
      <c r="BJ469" s="212"/>
      <c r="BK469" s="212"/>
      <c r="BL469" s="212"/>
      <c r="BM469" s="212"/>
      <c r="BN469" s="212"/>
      <c r="BO469" s="212"/>
      <c r="BP469" s="212"/>
      <c r="BQ469" s="212"/>
      <c r="BR469" s="212"/>
      <c r="BS469" s="212"/>
      <c r="BT469" s="212"/>
      <c r="BU469" s="212"/>
      <c r="BV469" s="212"/>
      <c r="BW469" s="212"/>
      <c r="BX469" s="212"/>
      <c r="BY469" s="212"/>
      <c r="BZ469" s="212"/>
      <c r="CA469" s="212"/>
      <c r="CB469" s="212"/>
      <c r="CC469" s="212"/>
      <c r="CD469" s="212"/>
      <c r="CE469" s="212"/>
      <c r="CF469" s="212"/>
      <c r="CG469" s="212"/>
      <c r="CH469" s="212"/>
      <c r="CI469" s="212"/>
      <c r="CJ469" s="212"/>
      <c r="CK469" s="212"/>
      <c r="CL469" s="212"/>
    </row>
    <row r="470" spans="10:90" ht="24.75" customHeight="1" x14ac:dyDescent="0.75">
      <c r="J470" s="220"/>
      <c r="K470" s="2"/>
      <c r="N470" s="212"/>
      <c r="O470" s="212"/>
      <c r="P470" s="212"/>
      <c r="Q470" s="212"/>
      <c r="R470" s="212"/>
      <c r="S470" s="212"/>
      <c r="T470" s="212"/>
      <c r="U470" s="212"/>
      <c r="V470" s="212"/>
      <c r="W470" s="212"/>
      <c r="X470" s="212"/>
      <c r="Y470" s="212"/>
      <c r="Z470" s="212"/>
      <c r="AA470" s="212"/>
      <c r="AB470" s="212"/>
      <c r="AC470" s="212"/>
      <c r="AD470" s="212"/>
      <c r="AE470" s="212"/>
      <c r="AF470" s="212"/>
      <c r="AG470" s="212"/>
      <c r="AH470" s="212"/>
      <c r="AI470" s="212"/>
      <c r="AJ470" s="212"/>
      <c r="AK470" s="212"/>
      <c r="AL470" s="212"/>
      <c r="AM470" s="212"/>
      <c r="AN470" s="212"/>
      <c r="AO470" s="212"/>
      <c r="AP470" s="212"/>
      <c r="AQ470" s="212"/>
      <c r="AR470" s="212"/>
      <c r="AS470" s="212"/>
      <c r="AT470" s="212"/>
      <c r="AU470" s="212"/>
      <c r="AV470" s="212"/>
      <c r="AW470" s="212"/>
      <c r="AX470" s="212"/>
      <c r="AY470" s="212"/>
      <c r="AZ470" s="212"/>
      <c r="BA470" s="212"/>
      <c r="BB470" s="212"/>
      <c r="BC470" s="212"/>
      <c r="BD470" s="212"/>
      <c r="BE470" s="212"/>
      <c r="BF470" s="212"/>
      <c r="BG470" s="212"/>
      <c r="BH470" s="212"/>
      <c r="BI470" s="212"/>
      <c r="BJ470" s="212"/>
      <c r="BK470" s="212"/>
      <c r="BL470" s="212"/>
      <c r="BM470" s="212"/>
      <c r="BN470" s="212"/>
      <c r="BO470" s="212"/>
      <c r="BP470" s="212"/>
      <c r="BQ470" s="212"/>
      <c r="BR470" s="212"/>
      <c r="BS470" s="212"/>
      <c r="BT470" s="212"/>
      <c r="BU470" s="212"/>
      <c r="BV470" s="212"/>
      <c r="BW470" s="212"/>
      <c r="BX470" s="212"/>
      <c r="BY470" s="212"/>
      <c r="BZ470" s="212"/>
      <c r="CA470" s="212"/>
      <c r="CB470" s="212"/>
      <c r="CC470" s="212"/>
      <c r="CD470" s="212"/>
      <c r="CE470" s="212"/>
      <c r="CF470" s="212"/>
      <c r="CG470" s="212"/>
      <c r="CH470" s="212"/>
      <c r="CI470" s="212"/>
      <c r="CJ470" s="212"/>
      <c r="CK470" s="212"/>
      <c r="CL470" s="212"/>
    </row>
    <row r="471" spans="10:90" ht="24.75" customHeight="1" x14ac:dyDescent="0.75">
      <c r="J471" s="220"/>
      <c r="K471" s="2"/>
      <c r="N471" s="212"/>
      <c r="O471" s="212"/>
      <c r="P471" s="212"/>
      <c r="Q471" s="212"/>
      <c r="R471" s="212"/>
      <c r="S471" s="212"/>
      <c r="T471" s="212"/>
      <c r="U471" s="212"/>
      <c r="V471" s="212"/>
      <c r="W471" s="212"/>
      <c r="X471" s="212"/>
      <c r="Y471" s="212"/>
      <c r="Z471" s="212"/>
      <c r="AA471" s="212"/>
      <c r="AB471" s="212"/>
      <c r="AC471" s="212"/>
      <c r="AD471" s="212"/>
      <c r="AE471" s="212"/>
      <c r="AF471" s="212"/>
      <c r="AG471" s="212"/>
      <c r="AH471" s="212"/>
      <c r="AI471" s="212"/>
      <c r="AJ471" s="212"/>
      <c r="AK471" s="212"/>
      <c r="AL471" s="212"/>
      <c r="AM471" s="212"/>
      <c r="AN471" s="212"/>
      <c r="AO471" s="212"/>
      <c r="AP471" s="212"/>
      <c r="AQ471" s="212"/>
      <c r="AR471" s="212"/>
      <c r="AS471" s="212"/>
      <c r="AT471" s="212"/>
      <c r="AU471" s="212"/>
      <c r="AV471" s="212"/>
      <c r="AW471" s="212"/>
      <c r="AX471" s="212"/>
      <c r="AY471" s="212"/>
      <c r="AZ471" s="212"/>
      <c r="BA471" s="212"/>
      <c r="BB471" s="212"/>
      <c r="BC471" s="212"/>
      <c r="BD471" s="212"/>
      <c r="BE471" s="212"/>
      <c r="BF471" s="212"/>
      <c r="BG471" s="212"/>
      <c r="BH471" s="212"/>
      <c r="BI471" s="212"/>
      <c r="BJ471" s="212"/>
      <c r="BK471" s="212"/>
      <c r="BL471" s="212"/>
      <c r="BM471" s="212"/>
      <c r="BN471" s="212"/>
      <c r="BO471" s="212"/>
      <c r="BP471" s="212"/>
      <c r="BQ471" s="212"/>
      <c r="BR471" s="212"/>
      <c r="BS471" s="212"/>
      <c r="BT471" s="212"/>
      <c r="BU471" s="212"/>
      <c r="BV471" s="212"/>
      <c r="BW471" s="212"/>
      <c r="BX471" s="212"/>
      <c r="BY471" s="212"/>
      <c r="BZ471" s="212"/>
      <c r="CA471" s="212"/>
      <c r="CB471" s="212"/>
      <c r="CC471" s="212"/>
      <c r="CD471" s="212"/>
      <c r="CE471" s="212"/>
      <c r="CF471" s="212"/>
      <c r="CG471" s="212"/>
      <c r="CH471" s="212"/>
      <c r="CI471" s="212"/>
      <c r="CJ471" s="212"/>
      <c r="CK471" s="212"/>
      <c r="CL471" s="212"/>
    </row>
    <row r="472" spans="10:90" ht="24.75" customHeight="1" x14ac:dyDescent="0.75">
      <c r="J472" s="220"/>
      <c r="K472" s="2"/>
      <c r="N472" s="212"/>
      <c r="O472" s="212"/>
      <c r="P472" s="212"/>
      <c r="Q472" s="212"/>
      <c r="R472" s="212"/>
      <c r="S472" s="212"/>
      <c r="T472" s="212"/>
      <c r="U472" s="212"/>
      <c r="V472" s="212"/>
      <c r="W472" s="212"/>
      <c r="X472" s="212"/>
      <c r="Y472" s="212"/>
      <c r="Z472" s="212"/>
      <c r="AA472" s="212"/>
      <c r="AB472" s="212"/>
      <c r="AC472" s="212"/>
      <c r="AD472" s="212"/>
      <c r="AE472" s="212"/>
      <c r="AF472" s="212"/>
      <c r="AG472" s="212"/>
      <c r="AH472" s="212"/>
      <c r="AI472" s="212"/>
      <c r="AJ472" s="212"/>
      <c r="AK472" s="212"/>
      <c r="AL472" s="212"/>
      <c r="AM472" s="212"/>
      <c r="AN472" s="212"/>
      <c r="AO472" s="212"/>
      <c r="AP472" s="212"/>
      <c r="AQ472" s="212"/>
      <c r="AR472" s="212"/>
      <c r="AS472" s="212"/>
      <c r="AT472" s="212"/>
      <c r="AU472" s="212"/>
      <c r="AV472" s="212"/>
      <c r="AW472" s="212"/>
      <c r="AX472" s="212"/>
      <c r="AY472" s="212"/>
      <c r="AZ472" s="212"/>
      <c r="BA472" s="212"/>
      <c r="BB472" s="212"/>
      <c r="BC472" s="212"/>
      <c r="BD472" s="212"/>
      <c r="BE472" s="212"/>
      <c r="BF472" s="212"/>
      <c r="BG472" s="212"/>
      <c r="BH472" s="212"/>
      <c r="BI472" s="212"/>
      <c r="BJ472" s="212"/>
      <c r="BK472" s="212"/>
      <c r="BL472" s="212"/>
      <c r="BM472" s="212"/>
      <c r="BN472" s="212"/>
      <c r="BO472" s="212"/>
      <c r="BP472" s="212"/>
      <c r="BQ472" s="212"/>
      <c r="BR472" s="212"/>
      <c r="BS472" s="212"/>
      <c r="BT472" s="212"/>
      <c r="BU472" s="212"/>
      <c r="BV472" s="212"/>
      <c r="BW472" s="212"/>
      <c r="BX472" s="212"/>
      <c r="BY472" s="212"/>
      <c r="BZ472" s="212"/>
      <c r="CA472" s="212"/>
      <c r="CB472" s="212"/>
      <c r="CC472" s="212"/>
      <c r="CD472" s="212"/>
      <c r="CE472" s="212"/>
      <c r="CF472" s="212"/>
      <c r="CG472" s="212"/>
      <c r="CH472" s="212"/>
      <c r="CI472" s="212"/>
      <c r="CJ472" s="212"/>
      <c r="CK472" s="212"/>
      <c r="CL472" s="212"/>
    </row>
    <row r="473" spans="10:90" ht="24.75" customHeight="1" x14ac:dyDescent="0.75">
      <c r="J473" s="220"/>
      <c r="K473" s="2"/>
      <c r="N473" s="212"/>
      <c r="O473" s="212"/>
      <c r="P473" s="212"/>
      <c r="Q473" s="212"/>
      <c r="R473" s="212"/>
      <c r="S473" s="212"/>
      <c r="T473" s="212"/>
      <c r="U473" s="212"/>
      <c r="V473" s="212"/>
      <c r="W473" s="212"/>
      <c r="X473" s="212"/>
      <c r="Y473" s="212"/>
      <c r="Z473" s="212"/>
      <c r="AA473" s="212"/>
      <c r="AB473" s="212"/>
      <c r="AC473" s="212"/>
      <c r="AD473" s="212"/>
      <c r="AE473" s="212"/>
      <c r="AF473" s="212"/>
      <c r="AG473" s="212"/>
      <c r="AH473" s="212"/>
      <c r="AI473" s="212"/>
      <c r="AJ473" s="212"/>
      <c r="AK473" s="212"/>
      <c r="AL473" s="212"/>
      <c r="AM473" s="212"/>
      <c r="AN473" s="212"/>
      <c r="AO473" s="212"/>
      <c r="AP473" s="212"/>
      <c r="AQ473" s="212"/>
      <c r="AR473" s="212"/>
      <c r="AS473" s="212"/>
      <c r="AT473" s="212"/>
      <c r="AU473" s="212"/>
      <c r="AV473" s="212"/>
      <c r="AW473" s="212"/>
      <c r="AX473" s="212"/>
      <c r="AY473" s="212"/>
      <c r="AZ473" s="212"/>
      <c r="BA473" s="212"/>
      <c r="BB473" s="212"/>
      <c r="BC473" s="212"/>
      <c r="BD473" s="212"/>
      <c r="BE473" s="212"/>
      <c r="BF473" s="212"/>
      <c r="BG473" s="212"/>
      <c r="BH473" s="212"/>
      <c r="BI473" s="212"/>
      <c r="BJ473" s="212"/>
      <c r="BK473" s="212"/>
      <c r="BL473" s="212"/>
      <c r="BM473" s="212"/>
      <c r="BN473" s="212"/>
      <c r="BO473" s="212"/>
      <c r="BP473" s="212"/>
      <c r="BQ473" s="212"/>
      <c r="BR473" s="212"/>
      <c r="BS473" s="212"/>
      <c r="BT473" s="212"/>
      <c r="BU473" s="212"/>
      <c r="BV473" s="212"/>
      <c r="BW473" s="212"/>
      <c r="BX473" s="212"/>
      <c r="BY473" s="212"/>
      <c r="BZ473" s="212"/>
      <c r="CA473" s="212"/>
      <c r="CB473" s="212"/>
      <c r="CC473" s="212"/>
      <c r="CD473" s="212"/>
      <c r="CE473" s="212"/>
      <c r="CF473" s="212"/>
      <c r="CG473" s="212"/>
      <c r="CH473" s="212"/>
      <c r="CI473" s="212"/>
      <c r="CJ473" s="212"/>
      <c r="CK473" s="212"/>
      <c r="CL473" s="212"/>
    </row>
    <row r="474" spans="10:90" ht="24.75" customHeight="1" x14ac:dyDescent="0.75">
      <c r="J474" s="220"/>
      <c r="K474" s="2"/>
      <c r="N474" s="212"/>
      <c r="O474" s="212"/>
      <c r="P474" s="212"/>
      <c r="Q474" s="212"/>
      <c r="R474" s="212"/>
      <c r="S474" s="212"/>
      <c r="T474" s="212"/>
      <c r="U474" s="212"/>
      <c r="V474" s="212"/>
      <c r="W474" s="212"/>
      <c r="X474" s="212"/>
      <c r="Y474" s="212"/>
      <c r="Z474" s="212"/>
      <c r="AA474" s="212"/>
      <c r="AB474" s="212"/>
      <c r="AC474" s="212"/>
      <c r="AD474" s="212"/>
      <c r="AE474" s="212"/>
      <c r="AF474" s="212"/>
      <c r="AG474" s="212"/>
      <c r="AH474" s="212"/>
      <c r="AI474" s="212"/>
      <c r="AJ474" s="212"/>
      <c r="AK474" s="212"/>
      <c r="AL474" s="212"/>
      <c r="AM474" s="212"/>
      <c r="AN474" s="212"/>
      <c r="AO474" s="212"/>
      <c r="AP474" s="212"/>
      <c r="AQ474" s="212"/>
      <c r="AR474" s="212"/>
      <c r="AS474" s="212"/>
      <c r="AT474" s="212"/>
      <c r="AU474" s="212"/>
      <c r="AV474" s="212"/>
      <c r="AW474" s="212"/>
      <c r="AX474" s="212"/>
      <c r="AY474" s="212"/>
      <c r="AZ474" s="212"/>
      <c r="BA474" s="212"/>
      <c r="BB474" s="212"/>
      <c r="BC474" s="212"/>
      <c r="BD474" s="212"/>
      <c r="BE474" s="212"/>
      <c r="BF474" s="212"/>
      <c r="BG474" s="212"/>
      <c r="BH474" s="212"/>
      <c r="BI474" s="212"/>
      <c r="BJ474" s="212"/>
      <c r="BK474" s="212"/>
      <c r="BL474" s="212"/>
      <c r="BM474" s="212"/>
      <c r="BN474" s="212"/>
      <c r="BO474" s="212"/>
      <c r="BP474" s="212"/>
      <c r="BQ474" s="212"/>
      <c r="BR474" s="212"/>
      <c r="BS474" s="212"/>
      <c r="BT474" s="212"/>
      <c r="BU474" s="212"/>
      <c r="BV474" s="212"/>
      <c r="BW474" s="212"/>
      <c r="BX474" s="212"/>
      <c r="BY474" s="212"/>
      <c r="BZ474" s="212"/>
      <c r="CA474" s="212"/>
      <c r="CB474" s="212"/>
      <c r="CC474" s="212"/>
      <c r="CD474" s="212"/>
      <c r="CE474" s="212"/>
      <c r="CF474" s="212"/>
      <c r="CG474" s="212"/>
      <c r="CH474" s="212"/>
      <c r="CI474" s="212"/>
      <c r="CJ474" s="212"/>
      <c r="CK474" s="212"/>
      <c r="CL474" s="212"/>
    </row>
    <row r="475" spans="10:90" ht="24.75" customHeight="1" x14ac:dyDescent="0.75">
      <c r="J475" s="220"/>
      <c r="K475" s="2"/>
      <c r="N475" s="212"/>
      <c r="O475" s="212"/>
      <c r="P475" s="212"/>
      <c r="Q475" s="212"/>
      <c r="R475" s="212"/>
      <c r="S475" s="212"/>
      <c r="T475" s="212"/>
      <c r="U475" s="212"/>
      <c r="V475" s="212"/>
      <c r="W475" s="212"/>
      <c r="X475" s="212"/>
      <c r="Y475" s="212"/>
      <c r="Z475" s="212"/>
      <c r="AA475" s="212"/>
      <c r="AB475" s="212"/>
      <c r="AC475" s="212"/>
      <c r="AD475" s="212"/>
      <c r="AE475" s="212"/>
      <c r="AF475" s="212"/>
      <c r="AG475" s="212"/>
      <c r="AH475" s="212"/>
      <c r="AI475" s="212"/>
      <c r="AJ475" s="212"/>
      <c r="AK475" s="212"/>
      <c r="AL475" s="212"/>
      <c r="AM475" s="212"/>
      <c r="AN475" s="212"/>
      <c r="AO475" s="212"/>
      <c r="AP475" s="212"/>
      <c r="AQ475" s="212"/>
      <c r="AR475" s="212"/>
      <c r="AS475" s="212"/>
      <c r="AT475" s="212"/>
      <c r="AU475" s="212"/>
      <c r="AV475" s="212"/>
      <c r="AW475" s="212"/>
      <c r="AX475" s="212"/>
      <c r="AY475" s="212"/>
      <c r="AZ475" s="212"/>
      <c r="BA475" s="212"/>
      <c r="BB475" s="212"/>
      <c r="BC475" s="212"/>
      <c r="BD475" s="212"/>
      <c r="BE475" s="212"/>
      <c r="BF475" s="212"/>
      <c r="BG475" s="212"/>
      <c r="BH475" s="212"/>
      <c r="BI475" s="212"/>
      <c r="BJ475" s="212"/>
      <c r="BK475" s="212"/>
      <c r="BL475" s="212"/>
      <c r="BM475" s="212"/>
      <c r="BN475" s="212"/>
      <c r="BO475" s="212"/>
      <c r="BP475" s="212"/>
      <c r="BQ475" s="212"/>
      <c r="BR475" s="212"/>
      <c r="BS475" s="212"/>
      <c r="BT475" s="212"/>
      <c r="BU475" s="212"/>
      <c r="BV475" s="212"/>
      <c r="BW475" s="212"/>
      <c r="BX475" s="212"/>
      <c r="BY475" s="212"/>
      <c r="BZ475" s="212"/>
      <c r="CA475" s="212"/>
      <c r="CB475" s="212"/>
      <c r="CC475" s="212"/>
      <c r="CD475" s="212"/>
      <c r="CE475" s="212"/>
      <c r="CF475" s="212"/>
      <c r="CG475" s="212"/>
      <c r="CH475" s="212"/>
      <c r="CI475" s="212"/>
      <c r="CJ475" s="212"/>
      <c r="CK475" s="212"/>
      <c r="CL475" s="212"/>
    </row>
    <row r="476" spans="10:90" ht="24.75" customHeight="1" x14ac:dyDescent="0.75">
      <c r="J476" s="220"/>
      <c r="K476" s="2"/>
      <c r="N476" s="212"/>
      <c r="O476" s="212"/>
      <c r="P476" s="212"/>
      <c r="Q476" s="212"/>
      <c r="R476" s="212"/>
      <c r="S476" s="212"/>
      <c r="T476" s="212"/>
      <c r="U476" s="212"/>
      <c r="V476" s="212"/>
      <c r="W476" s="212"/>
      <c r="X476" s="212"/>
      <c r="Y476" s="212"/>
      <c r="Z476" s="212"/>
      <c r="AA476" s="212"/>
      <c r="AB476" s="212"/>
      <c r="AC476" s="212"/>
      <c r="AD476" s="212"/>
      <c r="AE476" s="212"/>
      <c r="AF476" s="212"/>
      <c r="AG476" s="212"/>
      <c r="AH476" s="212"/>
      <c r="AI476" s="212"/>
      <c r="AJ476" s="212"/>
      <c r="AK476" s="212"/>
      <c r="AL476" s="212"/>
      <c r="AM476" s="212"/>
      <c r="AN476" s="212"/>
      <c r="AO476" s="212"/>
      <c r="AP476" s="212"/>
      <c r="AQ476" s="212"/>
      <c r="AR476" s="212"/>
      <c r="AS476" s="212"/>
      <c r="AT476" s="212"/>
      <c r="AU476" s="212"/>
      <c r="AV476" s="212"/>
      <c r="AW476" s="212"/>
      <c r="AX476" s="212"/>
      <c r="AY476" s="212"/>
      <c r="AZ476" s="212"/>
      <c r="BA476" s="212"/>
      <c r="BB476" s="212"/>
      <c r="BC476" s="212"/>
      <c r="BD476" s="212"/>
      <c r="BE476" s="212"/>
      <c r="BF476" s="212"/>
      <c r="BG476" s="212"/>
      <c r="BH476" s="212"/>
      <c r="BI476" s="212"/>
      <c r="BJ476" s="212"/>
      <c r="BK476" s="212"/>
      <c r="BL476" s="212"/>
      <c r="BM476" s="212"/>
      <c r="BN476" s="212"/>
      <c r="BO476" s="212"/>
      <c r="BP476" s="212"/>
      <c r="BQ476" s="212"/>
      <c r="BR476" s="212"/>
      <c r="BS476" s="212"/>
      <c r="BT476" s="212"/>
      <c r="BU476" s="212"/>
      <c r="BV476" s="212"/>
      <c r="BW476" s="212"/>
      <c r="BX476" s="212"/>
      <c r="BY476" s="212"/>
      <c r="BZ476" s="212"/>
      <c r="CA476" s="212"/>
      <c r="CB476" s="212"/>
      <c r="CC476" s="212"/>
      <c r="CD476" s="212"/>
      <c r="CE476" s="212"/>
      <c r="CF476" s="212"/>
      <c r="CG476" s="212"/>
      <c r="CH476" s="212"/>
      <c r="CI476" s="212"/>
      <c r="CJ476" s="212"/>
      <c r="CK476" s="212"/>
      <c r="CL476" s="212"/>
    </row>
    <row r="477" spans="10:90" ht="24.75" customHeight="1" x14ac:dyDescent="0.75">
      <c r="J477" s="220"/>
      <c r="K477" s="2"/>
      <c r="N477" s="212"/>
      <c r="O477" s="212"/>
      <c r="P477" s="212"/>
      <c r="Q477" s="212"/>
      <c r="R477" s="212"/>
      <c r="S477" s="212"/>
      <c r="T477" s="212"/>
      <c r="U477" s="212"/>
      <c r="V477" s="212"/>
      <c r="W477" s="212"/>
      <c r="X477" s="212"/>
      <c r="Y477" s="212"/>
      <c r="Z477" s="212"/>
      <c r="AA477" s="212"/>
      <c r="AB477" s="212"/>
      <c r="AC477" s="212"/>
      <c r="AD477" s="212"/>
      <c r="AE477" s="212"/>
      <c r="AF477" s="212"/>
      <c r="AG477" s="212"/>
      <c r="AH477" s="212"/>
      <c r="AI477" s="212"/>
      <c r="AJ477" s="212"/>
      <c r="AK477" s="212"/>
      <c r="AL477" s="212"/>
      <c r="AM477" s="212"/>
      <c r="AN477" s="212"/>
      <c r="AO477" s="212"/>
      <c r="AP477" s="212"/>
      <c r="AQ477" s="212"/>
      <c r="AR477" s="212"/>
      <c r="AS477" s="212"/>
      <c r="AT477" s="212"/>
      <c r="AU477" s="212"/>
      <c r="AV477" s="212"/>
      <c r="AW477" s="212"/>
      <c r="AX477" s="212"/>
      <c r="AY477" s="212"/>
      <c r="AZ477" s="212"/>
      <c r="BA477" s="212"/>
      <c r="BB477" s="212"/>
      <c r="BC477" s="212"/>
      <c r="BD477" s="212"/>
      <c r="BE477" s="212"/>
      <c r="BF477" s="212"/>
      <c r="BG477" s="212"/>
      <c r="BH477" s="212"/>
      <c r="BI477" s="212"/>
      <c r="BJ477" s="212"/>
      <c r="BK477" s="212"/>
      <c r="BL477" s="212"/>
      <c r="BM477" s="212"/>
      <c r="BN477" s="212"/>
      <c r="BO477" s="212"/>
      <c r="BP477" s="212"/>
      <c r="BQ477" s="212"/>
      <c r="BR477" s="212"/>
      <c r="BS477" s="212"/>
      <c r="BT477" s="212"/>
      <c r="BU477" s="212"/>
      <c r="BV477" s="212"/>
      <c r="BW477" s="212"/>
      <c r="BX477" s="212"/>
      <c r="BY477" s="212"/>
      <c r="BZ477" s="212"/>
      <c r="CA477" s="212"/>
      <c r="CB477" s="212"/>
      <c r="CC477" s="212"/>
      <c r="CD477" s="212"/>
      <c r="CE477" s="212"/>
      <c r="CF477" s="212"/>
      <c r="CG477" s="212"/>
      <c r="CH477" s="212"/>
      <c r="CI477" s="212"/>
      <c r="CJ477" s="212"/>
      <c r="CK477" s="212"/>
      <c r="CL477" s="212"/>
    </row>
    <row r="478" spans="10:90" ht="24.75" customHeight="1" x14ac:dyDescent="0.75">
      <c r="J478" s="220"/>
      <c r="K478" s="2"/>
      <c r="N478" s="212"/>
      <c r="O478" s="212"/>
      <c r="P478" s="212"/>
      <c r="Q478" s="212"/>
      <c r="R478" s="212"/>
      <c r="S478" s="212"/>
      <c r="T478" s="212"/>
      <c r="U478" s="212"/>
      <c r="V478" s="212"/>
      <c r="W478" s="212"/>
      <c r="X478" s="212"/>
      <c r="Y478" s="212"/>
      <c r="Z478" s="212"/>
      <c r="AA478" s="212"/>
      <c r="AB478" s="212"/>
      <c r="AC478" s="212"/>
      <c r="AD478" s="212"/>
      <c r="AE478" s="212"/>
      <c r="AF478" s="212"/>
      <c r="AG478" s="212"/>
      <c r="AH478" s="212"/>
      <c r="AI478" s="212"/>
      <c r="AJ478" s="212"/>
      <c r="AK478" s="212"/>
      <c r="AL478" s="212"/>
      <c r="AM478" s="212"/>
      <c r="AN478" s="212"/>
      <c r="AO478" s="212"/>
      <c r="AP478" s="212"/>
      <c r="AQ478" s="212"/>
      <c r="AR478" s="212"/>
      <c r="AS478" s="212"/>
      <c r="AT478" s="212"/>
      <c r="AU478" s="212"/>
      <c r="AV478" s="212"/>
      <c r="AW478" s="212"/>
      <c r="AX478" s="212"/>
      <c r="AY478" s="212"/>
      <c r="AZ478" s="212"/>
      <c r="BA478" s="212"/>
      <c r="BB478" s="212"/>
      <c r="BC478" s="212"/>
      <c r="BD478" s="212"/>
      <c r="BE478" s="212"/>
      <c r="BF478" s="212"/>
      <c r="BG478" s="212"/>
      <c r="BH478" s="212"/>
      <c r="BI478" s="212"/>
      <c r="BJ478" s="212"/>
      <c r="BK478" s="212"/>
      <c r="BL478" s="212"/>
      <c r="BM478" s="212"/>
      <c r="BN478" s="212"/>
      <c r="BO478" s="212"/>
      <c r="BP478" s="212"/>
      <c r="BQ478" s="212"/>
      <c r="BR478" s="212"/>
      <c r="BS478" s="212"/>
      <c r="BT478" s="212"/>
      <c r="BU478" s="212"/>
      <c r="BV478" s="212"/>
      <c r="BW478" s="212"/>
      <c r="BX478" s="212"/>
      <c r="BY478" s="212"/>
      <c r="BZ478" s="212"/>
      <c r="CA478" s="212"/>
      <c r="CB478" s="212"/>
      <c r="CC478" s="212"/>
      <c r="CD478" s="212"/>
      <c r="CE478" s="212"/>
      <c r="CF478" s="212"/>
      <c r="CG478" s="212"/>
      <c r="CH478" s="212"/>
      <c r="CI478" s="212"/>
      <c r="CJ478" s="212"/>
      <c r="CK478" s="212"/>
      <c r="CL478" s="212"/>
    </row>
    <row r="479" spans="10:90" ht="24.75" customHeight="1" x14ac:dyDescent="0.75">
      <c r="J479" s="220"/>
      <c r="K479" s="2"/>
      <c r="N479" s="212"/>
      <c r="O479" s="212"/>
      <c r="P479" s="212"/>
      <c r="Q479" s="212"/>
      <c r="R479" s="212"/>
      <c r="S479" s="212"/>
      <c r="T479" s="212"/>
      <c r="U479" s="212"/>
      <c r="V479" s="212"/>
      <c r="W479" s="212"/>
      <c r="X479" s="212"/>
      <c r="Y479" s="212"/>
      <c r="Z479" s="212"/>
      <c r="AA479" s="212"/>
      <c r="AB479" s="212"/>
      <c r="AC479" s="212"/>
      <c r="AD479" s="212"/>
      <c r="AE479" s="212"/>
      <c r="AF479" s="212"/>
      <c r="AG479" s="212"/>
      <c r="AH479" s="212"/>
      <c r="AI479" s="212"/>
      <c r="AJ479" s="212"/>
      <c r="AK479" s="212"/>
      <c r="AL479" s="212"/>
      <c r="AM479" s="212"/>
      <c r="AN479" s="212"/>
      <c r="AO479" s="212"/>
      <c r="AP479" s="212"/>
      <c r="AQ479" s="212"/>
      <c r="AR479" s="212"/>
      <c r="AS479" s="212"/>
      <c r="AT479" s="212"/>
      <c r="AU479" s="212"/>
      <c r="AV479" s="212"/>
      <c r="AW479" s="212"/>
      <c r="AX479" s="212"/>
      <c r="AY479" s="212"/>
      <c r="AZ479" s="212"/>
      <c r="BA479" s="212"/>
      <c r="BB479" s="212"/>
      <c r="BC479" s="212"/>
      <c r="BD479" s="212"/>
      <c r="BE479" s="212"/>
      <c r="BF479" s="212"/>
      <c r="BG479" s="212"/>
      <c r="BH479" s="212"/>
      <c r="BI479" s="212"/>
      <c r="BJ479" s="212"/>
      <c r="BK479" s="212"/>
      <c r="BL479" s="212"/>
      <c r="BM479" s="212"/>
      <c r="BN479" s="212"/>
      <c r="BO479" s="212"/>
      <c r="BP479" s="212"/>
      <c r="BQ479" s="212"/>
      <c r="BR479" s="212"/>
      <c r="BS479" s="212"/>
      <c r="BT479" s="212"/>
      <c r="BU479" s="212"/>
      <c r="BV479" s="212"/>
      <c r="BW479" s="212"/>
      <c r="BX479" s="212"/>
      <c r="BY479" s="212"/>
      <c r="BZ479" s="212"/>
      <c r="CA479" s="212"/>
      <c r="CB479" s="212"/>
      <c r="CC479" s="212"/>
      <c r="CD479" s="212"/>
      <c r="CE479" s="212"/>
      <c r="CF479" s="212"/>
      <c r="CG479" s="212"/>
      <c r="CH479" s="212"/>
      <c r="CI479" s="212"/>
      <c r="CJ479" s="212"/>
      <c r="CK479" s="212"/>
      <c r="CL479" s="212"/>
    </row>
    <row r="480" spans="10:90" ht="24.75" customHeight="1" x14ac:dyDescent="0.75">
      <c r="J480" s="220"/>
      <c r="K480" s="2"/>
      <c r="N480" s="212"/>
      <c r="O480" s="212"/>
      <c r="P480" s="212"/>
      <c r="Q480" s="212"/>
      <c r="R480" s="212"/>
      <c r="S480" s="212"/>
      <c r="T480" s="212"/>
      <c r="U480" s="212"/>
      <c r="V480" s="212"/>
      <c r="W480" s="212"/>
      <c r="X480" s="212"/>
      <c r="Y480" s="212"/>
      <c r="Z480" s="212"/>
      <c r="AA480" s="212"/>
      <c r="AB480" s="212"/>
      <c r="AC480" s="212"/>
      <c r="AD480" s="212"/>
      <c r="AE480" s="212"/>
      <c r="AF480" s="212"/>
      <c r="AG480" s="212"/>
      <c r="AH480" s="212"/>
      <c r="AI480" s="212"/>
      <c r="AJ480" s="212"/>
      <c r="AK480" s="212"/>
      <c r="AL480" s="212"/>
      <c r="AM480" s="212"/>
      <c r="AN480" s="212"/>
      <c r="AO480" s="212"/>
      <c r="AP480" s="212"/>
      <c r="AQ480" s="212"/>
      <c r="AR480" s="212"/>
      <c r="AS480" s="212"/>
      <c r="AT480" s="212"/>
      <c r="AU480" s="212"/>
      <c r="AV480" s="212"/>
      <c r="AW480" s="212"/>
      <c r="AX480" s="212"/>
      <c r="AY480" s="212"/>
      <c r="AZ480" s="212"/>
      <c r="BA480" s="212"/>
      <c r="BB480" s="212"/>
      <c r="BC480" s="212"/>
      <c r="BD480" s="212"/>
      <c r="BE480" s="212"/>
      <c r="BF480" s="212"/>
      <c r="BG480" s="212"/>
      <c r="BH480" s="212"/>
      <c r="BI480" s="212"/>
      <c r="BJ480" s="212"/>
      <c r="BK480" s="212"/>
      <c r="BL480" s="212"/>
      <c r="BM480" s="212"/>
      <c r="BN480" s="212"/>
      <c r="BO480" s="212"/>
      <c r="BP480" s="212"/>
      <c r="BQ480" s="212"/>
      <c r="BR480" s="212"/>
      <c r="BS480" s="212"/>
      <c r="BT480" s="212"/>
      <c r="BU480" s="212"/>
      <c r="BV480" s="212"/>
      <c r="BW480" s="212"/>
      <c r="BX480" s="212"/>
      <c r="BY480" s="212"/>
      <c r="BZ480" s="212"/>
      <c r="CA480" s="212"/>
      <c r="CB480" s="212"/>
      <c r="CC480" s="212"/>
      <c r="CD480" s="212"/>
      <c r="CE480" s="212"/>
      <c r="CF480" s="212"/>
      <c r="CG480" s="212"/>
      <c r="CH480" s="212"/>
      <c r="CI480" s="212"/>
      <c r="CJ480" s="212"/>
      <c r="CK480" s="212"/>
      <c r="CL480" s="212"/>
    </row>
    <row r="481" spans="10:90" ht="24.75" customHeight="1" x14ac:dyDescent="0.75">
      <c r="J481" s="220"/>
      <c r="K481" s="2"/>
      <c r="N481" s="212"/>
      <c r="O481" s="212"/>
      <c r="P481" s="212"/>
      <c r="Q481" s="212"/>
      <c r="R481" s="212"/>
      <c r="S481" s="212"/>
      <c r="T481" s="212"/>
      <c r="U481" s="212"/>
      <c r="V481" s="212"/>
      <c r="W481" s="212"/>
      <c r="X481" s="212"/>
      <c r="Y481" s="212"/>
      <c r="Z481" s="212"/>
      <c r="AA481" s="212"/>
      <c r="AB481" s="212"/>
      <c r="AC481" s="212"/>
      <c r="AD481" s="212"/>
      <c r="AE481" s="212"/>
      <c r="AF481" s="212"/>
      <c r="AG481" s="212"/>
      <c r="AH481" s="212"/>
      <c r="AI481" s="212"/>
      <c r="AJ481" s="212"/>
      <c r="AK481" s="212"/>
      <c r="AL481" s="212"/>
      <c r="AM481" s="212"/>
      <c r="AN481" s="212"/>
      <c r="AO481" s="212"/>
      <c r="AP481" s="212"/>
      <c r="AQ481" s="212"/>
      <c r="AR481" s="212"/>
      <c r="AS481" s="212"/>
      <c r="AT481" s="212"/>
      <c r="AU481" s="212"/>
      <c r="AV481" s="212"/>
      <c r="AW481" s="212"/>
      <c r="AX481" s="212"/>
      <c r="AY481" s="212"/>
      <c r="AZ481" s="212"/>
      <c r="BA481" s="212"/>
      <c r="BB481" s="212"/>
      <c r="BC481" s="212"/>
      <c r="BD481" s="212"/>
      <c r="BE481" s="212"/>
      <c r="BF481" s="212"/>
      <c r="BG481" s="212"/>
      <c r="BH481" s="212"/>
      <c r="BI481" s="212"/>
      <c r="BJ481" s="212"/>
      <c r="BK481" s="212"/>
      <c r="BL481" s="212"/>
      <c r="BM481" s="212"/>
      <c r="BN481" s="212"/>
      <c r="BO481" s="212"/>
      <c r="BP481" s="212"/>
      <c r="BQ481" s="212"/>
      <c r="BR481" s="212"/>
      <c r="BS481" s="212"/>
      <c r="BT481" s="212"/>
      <c r="BU481" s="212"/>
      <c r="BV481" s="212"/>
      <c r="BW481" s="212"/>
      <c r="BX481" s="212"/>
      <c r="BY481" s="212"/>
      <c r="BZ481" s="212"/>
      <c r="CA481" s="212"/>
      <c r="CB481" s="212"/>
      <c r="CC481" s="212"/>
      <c r="CD481" s="212"/>
      <c r="CE481" s="212"/>
      <c r="CF481" s="212"/>
      <c r="CG481" s="212"/>
      <c r="CH481" s="212"/>
      <c r="CI481" s="212"/>
      <c r="CJ481" s="212"/>
      <c r="CK481" s="212"/>
      <c r="CL481" s="212"/>
    </row>
    <row r="482" spans="10:90" ht="24.75" customHeight="1" x14ac:dyDescent="0.75">
      <c r="J482" s="220"/>
      <c r="K482" s="2"/>
      <c r="N482" s="212"/>
      <c r="O482" s="212"/>
      <c r="P482" s="212"/>
      <c r="Q482" s="212"/>
      <c r="R482" s="212"/>
      <c r="S482" s="212"/>
      <c r="T482" s="212"/>
      <c r="U482" s="212"/>
      <c r="V482" s="212"/>
      <c r="W482" s="212"/>
      <c r="X482" s="212"/>
      <c r="Y482" s="212"/>
      <c r="Z482" s="212"/>
      <c r="AA482" s="212"/>
      <c r="AB482" s="212"/>
      <c r="AC482" s="212"/>
      <c r="AD482" s="212"/>
      <c r="AE482" s="212"/>
      <c r="AF482" s="212"/>
      <c r="AG482" s="212"/>
      <c r="AH482" s="212"/>
      <c r="AI482" s="212"/>
      <c r="AJ482" s="212"/>
      <c r="AK482" s="212"/>
      <c r="AL482" s="212"/>
      <c r="AM482" s="212"/>
      <c r="AN482" s="212"/>
      <c r="AO482" s="212"/>
      <c r="AP482" s="212"/>
      <c r="AQ482" s="212"/>
      <c r="AR482" s="212"/>
      <c r="AS482" s="212"/>
      <c r="AT482" s="212"/>
      <c r="AU482" s="212"/>
      <c r="AV482" s="212"/>
      <c r="AW482" s="212"/>
      <c r="AX482" s="212"/>
      <c r="AY482" s="212"/>
      <c r="AZ482" s="212"/>
      <c r="BA482" s="212"/>
      <c r="BB482" s="212"/>
      <c r="BC482" s="212"/>
      <c r="BD482" s="212"/>
      <c r="BE482" s="212"/>
      <c r="BF482" s="212"/>
      <c r="BG482" s="212"/>
      <c r="BH482" s="212"/>
      <c r="BI482" s="212"/>
      <c r="BJ482" s="212"/>
      <c r="BK482" s="212"/>
      <c r="BL482" s="212"/>
      <c r="BM482" s="212"/>
      <c r="BN482" s="212"/>
      <c r="BO482" s="212"/>
      <c r="BP482" s="212"/>
      <c r="BQ482" s="212"/>
      <c r="BR482" s="212"/>
      <c r="BS482" s="212"/>
      <c r="BT482" s="212"/>
      <c r="BU482" s="212"/>
      <c r="BV482" s="212"/>
      <c r="BW482" s="212"/>
      <c r="BX482" s="212"/>
      <c r="BY482" s="212"/>
      <c r="BZ482" s="212"/>
      <c r="CA482" s="212"/>
      <c r="CB482" s="212"/>
      <c r="CC482" s="212"/>
      <c r="CD482" s="212"/>
      <c r="CE482" s="212"/>
      <c r="CF482" s="212"/>
      <c r="CG482" s="212"/>
      <c r="CH482" s="212"/>
      <c r="CI482" s="212"/>
      <c r="CJ482" s="212"/>
      <c r="CK482" s="212"/>
      <c r="CL482" s="212"/>
    </row>
    <row r="483" spans="10:90" ht="24.75" customHeight="1" x14ac:dyDescent="0.75">
      <c r="J483" s="220"/>
      <c r="K483" s="2"/>
      <c r="N483" s="212"/>
      <c r="O483" s="212"/>
      <c r="P483" s="212"/>
      <c r="Q483" s="212"/>
      <c r="R483" s="212"/>
      <c r="S483" s="212"/>
      <c r="T483" s="212"/>
      <c r="U483" s="212"/>
      <c r="V483" s="212"/>
      <c r="W483" s="212"/>
      <c r="X483" s="212"/>
      <c r="Y483" s="212"/>
      <c r="Z483" s="212"/>
      <c r="AA483" s="212"/>
      <c r="AB483" s="212"/>
      <c r="AC483" s="212"/>
      <c r="AD483" s="212"/>
      <c r="AE483" s="212"/>
      <c r="AF483" s="212"/>
      <c r="AG483" s="212"/>
      <c r="AH483" s="212"/>
      <c r="AI483" s="212"/>
      <c r="AJ483" s="212"/>
      <c r="AK483" s="212"/>
      <c r="AL483" s="212"/>
      <c r="AM483" s="212"/>
      <c r="AN483" s="212"/>
      <c r="AO483" s="212"/>
      <c r="AP483" s="212"/>
      <c r="AQ483" s="212"/>
      <c r="AR483" s="212"/>
      <c r="AS483" s="212"/>
      <c r="AT483" s="212"/>
      <c r="AU483" s="212"/>
      <c r="AV483" s="212"/>
      <c r="AW483" s="212"/>
      <c r="AX483" s="212"/>
      <c r="AY483" s="212"/>
      <c r="AZ483" s="212"/>
      <c r="BA483" s="212"/>
      <c r="BB483" s="212"/>
      <c r="BC483" s="212"/>
      <c r="BD483" s="212"/>
      <c r="BE483" s="212"/>
      <c r="BF483" s="212"/>
      <c r="BG483" s="212"/>
      <c r="BH483" s="212"/>
      <c r="BI483" s="212"/>
      <c r="BJ483" s="212"/>
      <c r="BK483" s="212"/>
      <c r="BL483" s="212"/>
      <c r="BM483" s="212"/>
      <c r="BN483" s="212"/>
      <c r="BO483" s="212"/>
      <c r="BP483" s="212"/>
      <c r="BQ483" s="212"/>
      <c r="BR483" s="212"/>
      <c r="BS483" s="212"/>
      <c r="BT483" s="212"/>
      <c r="BU483" s="212"/>
      <c r="BV483" s="212"/>
      <c r="BW483" s="212"/>
      <c r="BX483" s="212"/>
      <c r="BY483" s="212"/>
      <c r="BZ483" s="212"/>
      <c r="CA483" s="212"/>
      <c r="CB483" s="212"/>
      <c r="CC483" s="212"/>
      <c r="CD483" s="212"/>
      <c r="CE483" s="212"/>
      <c r="CF483" s="212"/>
      <c r="CG483" s="212"/>
      <c r="CH483" s="212"/>
      <c r="CI483" s="212"/>
      <c r="CJ483" s="212"/>
      <c r="CK483" s="212"/>
      <c r="CL483" s="212"/>
    </row>
    <row r="484" spans="10:90" ht="24.75" customHeight="1" x14ac:dyDescent="0.75">
      <c r="J484" s="220"/>
      <c r="K484" s="2"/>
      <c r="N484" s="212"/>
      <c r="O484" s="212"/>
      <c r="P484" s="212"/>
      <c r="Q484" s="212"/>
      <c r="R484" s="212"/>
      <c r="S484" s="212"/>
      <c r="T484" s="212"/>
      <c r="U484" s="212"/>
      <c r="V484" s="212"/>
      <c r="W484" s="212"/>
      <c r="X484" s="212"/>
      <c r="Y484" s="212"/>
      <c r="Z484" s="212"/>
      <c r="AA484" s="212"/>
      <c r="AB484" s="212"/>
      <c r="AC484" s="212"/>
      <c r="AD484" s="212"/>
      <c r="AE484" s="212"/>
      <c r="AF484" s="212"/>
      <c r="AG484" s="212"/>
      <c r="AH484" s="212"/>
      <c r="AI484" s="212"/>
      <c r="AJ484" s="212"/>
      <c r="AK484" s="212"/>
      <c r="AL484" s="212"/>
      <c r="AM484" s="212"/>
      <c r="AN484" s="212"/>
      <c r="AO484" s="212"/>
      <c r="AP484" s="212"/>
      <c r="AQ484" s="212"/>
      <c r="AR484" s="212"/>
      <c r="AS484" s="212"/>
      <c r="AT484" s="212"/>
      <c r="AU484" s="212"/>
      <c r="AV484" s="212"/>
      <c r="AW484" s="212"/>
      <c r="AX484" s="212"/>
      <c r="AY484" s="212"/>
      <c r="AZ484" s="212"/>
      <c r="BA484" s="212"/>
      <c r="BB484" s="212"/>
      <c r="BC484" s="212"/>
      <c r="BD484" s="212"/>
      <c r="BE484" s="212"/>
      <c r="BF484" s="212"/>
      <c r="BG484" s="212"/>
      <c r="BH484" s="212"/>
      <c r="BI484" s="212"/>
      <c r="BJ484" s="212"/>
      <c r="BK484" s="212"/>
      <c r="BL484" s="212"/>
      <c r="BM484" s="212"/>
      <c r="BN484" s="212"/>
      <c r="BO484" s="212"/>
      <c r="BP484" s="212"/>
      <c r="BQ484" s="212"/>
      <c r="BR484" s="212"/>
      <c r="BS484" s="212"/>
      <c r="BT484" s="212"/>
      <c r="BU484" s="212"/>
      <c r="BV484" s="212"/>
      <c r="BW484" s="212"/>
      <c r="BX484" s="212"/>
      <c r="BY484" s="212"/>
      <c r="BZ484" s="212"/>
      <c r="CA484" s="212"/>
      <c r="CB484" s="212"/>
      <c r="CC484" s="212"/>
      <c r="CD484" s="212"/>
      <c r="CE484" s="212"/>
      <c r="CF484" s="212"/>
      <c r="CG484" s="212"/>
      <c r="CH484" s="212"/>
      <c r="CI484" s="212"/>
      <c r="CJ484" s="212"/>
      <c r="CK484" s="212"/>
      <c r="CL484" s="212"/>
    </row>
    <row r="485" spans="10:90" ht="24.75" customHeight="1" x14ac:dyDescent="0.75">
      <c r="J485" s="220"/>
      <c r="K485" s="2"/>
      <c r="N485" s="212"/>
      <c r="O485" s="212"/>
      <c r="P485" s="212"/>
      <c r="Q485" s="212"/>
      <c r="R485" s="212"/>
      <c r="S485" s="212"/>
      <c r="T485" s="212"/>
      <c r="U485" s="212"/>
      <c r="V485" s="212"/>
      <c r="W485" s="212"/>
      <c r="X485" s="212"/>
      <c r="Y485" s="212"/>
      <c r="Z485" s="212"/>
      <c r="AA485" s="212"/>
      <c r="AB485" s="212"/>
      <c r="AC485" s="212"/>
      <c r="AD485" s="212"/>
      <c r="AE485" s="212"/>
      <c r="AF485" s="212"/>
      <c r="AG485" s="212"/>
      <c r="AH485" s="212"/>
      <c r="AI485" s="212"/>
      <c r="AJ485" s="212"/>
      <c r="AK485" s="212"/>
      <c r="AL485" s="212"/>
      <c r="AM485" s="212"/>
      <c r="AN485" s="212"/>
      <c r="AO485" s="212"/>
      <c r="AP485" s="212"/>
      <c r="AQ485" s="212"/>
      <c r="AR485" s="212"/>
      <c r="AS485" s="212"/>
      <c r="AT485" s="212"/>
      <c r="AU485" s="212"/>
      <c r="AV485" s="212"/>
      <c r="AW485" s="212"/>
      <c r="AX485" s="212"/>
      <c r="AY485" s="212"/>
      <c r="AZ485" s="212"/>
      <c r="BA485" s="212"/>
      <c r="BB485" s="212"/>
      <c r="BC485" s="212"/>
      <c r="BD485" s="212"/>
      <c r="BE485" s="212"/>
      <c r="BF485" s="212"/>
      <c r="BG485" s="212"/>
      <c r="BH485" s="212"/>
      <c r="BI485" s="212"/>
      <c r="BJ485" s="212"/>
      <c r="BK485" s="212"/>
      <c r="BL485" s="212"/>
      <c r="BM485" s="212"/>
      <c r="BN485" s="212"/>
      <c r="BO485" s="212"/>
      <c r="BP485" s="212"/>
      <c r="BQ485" s="212"/>
      <c r="BR485" s="212"/>
      <c r="BS485" s="212"/>
      <c r="BT485" s="212"/>
      <c r="BU485" s="212"/>
      <c r="BV485" s="212"/>
      <c r="BW485" s="212"/>
      <c r="BX485" s="212"/>
      <c r="BY485" s="212"/>
      <c r="BZ485" s="212"/>
      <c r="CA485" s="212"/>
      <c r="CB485" s="212"/>
      <c r="CC485" s="212"/>
      <c r="CD485" s="212"/>
      <c r="CE485" s="212"/>
      <c r="CF485" s="212"/>
      <c r="CG485" s="212"/>
      <c r="CH485" s="212"/>
      <c r="CI485" s="212"/>
      <c r="CJ485" s="212"/>
      <c r="CK485" s="212"/>
      <c r="CL485" s="212"/>
    </row>
    <row r="486" spans="10:90" ht="24.75" customHeight="1" x14ac:dyDescent="0.75">
      <c r="J486" s="220"/>
      <c r="K486" s="2"/>
      <c r="N486" s="212"/>
      <c r="O486" s="212"/>
      <c r="P486" s="212"/>
      <c r="Q486" s="212"/>
      <c r="R486" s="212"/>
      <c r="S486" s="212"/>
      <c r="T486" s="212"/>
      <c r="U486" s="212"/>
      <c r="V486" s="212"/>
      <c r="W486" s="212"/>
      <c r="X486" s="212"/>
      <c r="Y486" s="212"/>
      <c r="Z486" s="212"/>
      <c r="AA486" s="212"/>
      <c r="AB486" s="212"/>
      <c r="AC486" s="212"/>
      <c r="AD486" s="212"/>
      <c r="AE486" s="212"/>
      <c r="AF486" s="212"/>
      <c r="AG486" s="212"/>
      <c r="AH486" s="212"/>
      <c r="AI486" s="212"/>
      <c r="AJ486" s="212"/>
      <c r="AK486" s="212"/>
      <c r="AL486" s="212"/>
      <c r="AM486" s="212"/>
      <c r="AN486" s="212"/>
      <c r="AO486" s="212"/>
      <c r="AP486" s="212"/>
      <c r="AQ486" s="212"/>
      <c r="AR486" s="212"/>
      <c r="AS486" s="212"/>
      <c r="AT486" s="212"/>
      <c r="AU486" s="212"/>
      <c r="AV486" s="212"/>
      <c r="AW486" s="212"/>
      <c r="AX486" s="212"/>
      <c r="AY486" s="212"/>
      <c r="AZ486" s="212"/>
      <c r="BA486" s="212"/>
      <c r="BB486" s="212"/>
      <c r="BC486" s="212"/>
      <c r="BD486" s="212"/>
      <c r="BE486" s="212"/>
      <c r="BF486" s="212"/>
      <c r="BG486" s="212"/>
      <c r="BH486" s="212"/>
      <c r="BI486" s="212"/>
      <c r="BJ486" s="212"/>
      <c r="BK486" s="212"/>
      <c r="BL486" s="212"/>
      <c r="BM486" s="212"/>
      <c r="BN486" s="212"/>
      <c r="BO486" s="212"/>
      <c r="BP486" s="212"/>
      <c r="BQ486" s="212"/>
      <c r="BR486" s="212"/>
      <c r="BS486" s="212"/>
      <c r="BT486" s="212"/>
      <c r="BU486" s="212"/>
      <c r="BV486" s="212"/>
      <c r="BW486" s="212"/>
      <c r="BX486" s="212"/>
      <c r="BY486" s="212"/>
      <c r="BZ486" s="212"/>
      <c r="CA486" s="212"/>
      <c r="CB486" s="212"/>
      <c r="CC486" s="212"/>
      <c r="CD486" s="212"/>
      <c r="CE486" s="212"/>
      <c r="CF486" s="212"/>
      <c r="CG486" s="212"/>
      <c r="CH486" s="212"/>
      <c r="CI486" s="212"/>
      <c r="CJ486" s="212"/>
      <c r="CK486" s="212"/>
      <c r="CL486" s="212"/>
    </row>
    <row r="487" spans="10:90" ht="24.75" customHeight="1" x14ac:dyDescent="0.75">
      <c r="J487" s="220"/>
      <c r="K487" s="2"/>
      <c r="N487" s="212"/>
      <c r="O487" s="212"/>
      <c r="P487" s="212"/>
      <c r="Q487" s="212"/>
      <c r="R487" s="212"/>
      <c r="S487" s="212"/>
      <c r="T487" s="212"/>
      <c r="U487" s="212"/>
      <c r="V487" s="212"/>
      <c r="W487" s="212"/>
      <c r="X487" s="212"/>
      <c r="Y487" s="212"/>
      <c r="Z487" s="212"/>
      <c r="AA487" s="212"/>
      <c r="AB487" s="212"/>
      <c r="AC487" s="212"/>
      <c r="AD487" s="212"/>
      <c r="AE487" s="212"/>
      <c r="AF487" s="212"/>
      <c r="AG487" s="212"/>
      <c r="AH487" s="212"/>
      <c r="AI487" s="212"/>
      <c r="AJ487" s="212"/>
      <c r="AK487" s="212"/>
      <c r="AL487" s="212"/>
      <c r="AM487" s="212"/>
      <c r="AN487" s="212"/>
      <c r="AO487" s="212"/>
      <c r="AP487" s="212"/>
      <c r="AQ487" s="212"/>
      <c r="AR487" s="212"/>
      <c r="AS487" s="212"/>
      <c r="AT487" s="212"/>
      <c r="AU487" s="212"/>
      <c r="AV487" s="212"/>
      <c r="AW487" s="212"/>
      <c r="AX487" s="212"/>
      <c r="AY487" s="212"/>
      <c r="AZ487" s="212"/>
      <c r="BA487" s="212"/>
      <c r="BB487" s="212"/>
      <c r="BC487" s="212"/>
      <c r="BD487" s="212"/>
      <c r="BE487" s="212"/>
      <c r="BF487" s="212"/>
      <c r="BG487" s="212"/>
      <c r="BH487" s="212"/>
      <c r="BI487" s="212"/>
      <c r="BJ487" s="212"/>
      <c r="BK487" s="212"/>
      <c r="BL487" s="212"/>
      <c r="BM487" s="212"/>
      <c r="BN487" s="212"/>
      <c r="BO487" s="212"/>
      <c r="BP487" s="212"/>
      <c r="BQ487" s="212"/>
      <c r="BR487" s="212"/>
      <c r="BS487" s="212"/>
      <c r="BT487" s="212"/>
      <c r="BU487" s="212"/>
      <c r="BV487" s="212"/>
      <c r="BW487" s="212"/>
      <c r="BX487" s="212"/>
      <c r="BY487" s="212"/>
      <c r="BZ487" s="212"/>
      <c r="CA487" s="212"/>
      <c r="CB487" s="212"/>
      <c r="CC487" s="212"/>
      <c r="CD487" s="212"/>
      <c r="CE487" s="212"/>
      <c r="CF487" s="212"/>
      <c r="CG487" s="212"/>
      <c r="CH487" s="212"/>
      <c r="CI487" s="212"/>
      <c r="CJ487" s="212"/>
      <c r="CK487" s="212"/>
      <c r="CL487" s="212"/>
    </row>
    <row r="488" spans="10:90" ht="24.75" customHeight="1" x14ac:dyDescent="0.75">
      <c r="J488" s="220"/>
      <c r="K488" s="2"/>
      <c r="N488" s="212"/>
      <c r="O488" s="212"/>
      <c r="P488" s="212"/>
      <c r="Q488" s="212"/>
      <c r="R488" s="212"/>
      <c r="S488" s="212"/>
      <c r="T488" s="212"/>
      <c r="U488" s="212"/>
      <c r="V488" s="212"/>
      <c r="W488" s="212"/>
      <c r="X488" s="212"/>
      <c r="Y488" s="212"/>
      <c r="Z488" s="212"/>
      <c r="AA488" s="212"/>
      <c r="AB488" s="212"/>
      <c r="AC488" s="212"/>
      <c r="AD488" s="212"/>
      <c r="AE488" s="212"/>
      <c r="AF488" s="212"/>
      <c r="AG488" s="212"/>
      <c r="AH488" s="212"/>
      <c r="AI488" s="212"/>
      <c r="AJ488" s="212"/>
      <c r="AK488" s="212"/>
      <c r="AL488" s="212"/>
      <c r="AM488" s="212"/>
      <c r="AN488" s="212"/>
      <c r="AO488" s="212"/>
      <c r="AP488" s="212"/>
      <c r="AQ488" s="212"/>
      <c r="AR488" s="212"/>
      <c r="AS488" s="212"/>
      <c r="AT488" s="212"/>
      <c r="AU488" s="212"/>
      <c r="AV488" s="212"/>
      <c r="AW488" s="212"/>
      <c r="AX488" s="212"/>
      <c r="AY488" s="212"/>
      <c r="AZ488" s="212"/>
      <c r="BA488" s="212"/>
      <c r="BB488" s="212"/>
      <c r="BC488" s="212"/>
      <c r="BD488" s="212"/>
      <c r="BE488" s="212"/>
      <c r="BF488" s="212"/>
      <c r="BG488" s="212"/>
      <c r="BH488" s="212"/>
      <c r="BI488" s="212"/>
      <c r="BJ488" s="212"/>
      <c r="BK488" s="212"/>
      <c r="BL488" s="212"/>
      <c r="BM488" s="212"/>
      <c r="BN488" s="212"/>
      <c r="BO488" s="212"/>
      <c r="BP488" s="212"/>
      <c r="BQ488" s="212"/>
      <c r="BR488" s="212"/>
      <c r="BS488" s="212"/>
      <c r="BT488" s="212"/>
      <c r="BU488" s="212"/>
      <c r="BV488" s="212"/>
      <c r="BW488" s="212"/>
      <c r="BX488" s="212"/>
      <c r="BY488" s="212"/>
      <c r="BZ488" s="212"/>
      <c r="CA488" s="212"/>
      <c r="CB488" s="212"/>
      <c r="CC488" s="212"/>
      <c r="CD488" s="212"/>
      <c r="CE488" s="212"/>
      <c r="CF488" s="212"/>
      <c r="CG488" s="212"/>
      <c r="CH488" s="212"/>
      <c r="CI488" s="212"/>
      <c r="CJ488" s="212"/>
      <c r="CK488" s="212"/>
      <c r="CL488" s="212"/>
    </row>
    <row r="489" spans="10:90" ht="24.75" customHeight="1" x14ac:dyDescent="0.75">
      <c r="J489" s="220"/>
      <c r="K489" s="2"/>
      <c r="N489" s="212"/>
      <c r="O489" s="212"/>
      <c r="P489" s="212"/>
      <c r="Q489" s="212"/>
      <c r="R489" s="212"/>
      <c r="S489" s="212"/>
      <c r="T489" s="212"/>
      <c r="U489" s="212"/>
      <c r="V489" s="212"/>
      <c r="W489" s="212"/>
      <c r="X489" s="212"/>
      <c r="Y489" s="212"/>
      <c r="Z489" s="212"/>
      <c r="AA489" s="212"/>
      <c r="AB489" s="212"/>
      <c r="AC489" s="212"/>
      <c r="AD489" s="212"/>
      <c r="AE489" s="212"/>
      <c r="AF489" s="212"/>
      <c r="AG489" s="212"/>
      <c r="AH489" s="212"/>
      <c r="AI489" s="212"/>
      <c r="AJ489" s="212"/>
      <c r="AK489" s="212"/>
      <c r="AL489" s="212"/>
      <c r="AM489" s="212"/>
      <c r="AN489" s="212"/>
      <c r="AO489" s="212"/>
      <c r="AP489" s="212"/>
      <c r="AQ489" s="212"/>
      <c r="AR489" s="212"/>
      <c r="AS489" s="212"/>
      <c r="AT489" s="212"/>
      <c r="AU489" s="212"/>
      <c r="AV489" s="212"/>
      <c r="AW489" s="212"/>
      <c r="AX489" s="212"/>
      <c r="AY489" s="212"/>
      <c r="AZ489" s="212"/>
      <c r="BA489" s="212"/>
      <c r="BB489" s="212"/>
      <c r="BC489" s="212"/>
      <c r="BD489" s="212"/>
      <c r="BE489" s="212"/>
      <c r="BF489" s="212"/>
      <c r="BG489" s="212"/>
      <c r="BH489" s="212"/>
      <c r="BI489" s="212"/>
      <c r="BJ489" s="212"/>
      <c r="BK489" s="212"/>
      <c r="BL489" s="212"/>
      <c r="BM489" s="212"/>
      <c r="BN489" s="212"/>
      <c r="BO489" s="212"/>
      <c r="BP489" s="212"/>
      <c r="BQ489" s="212"/>
      <c r="BR489" s="212"/>
      <c r="BS489" s="212"/>
      <c r="BT489" s="212"/>
      <c r="BU489" s="212"/>
      <c r="BV489" s="212"/>
      <c r="BW489" s="212"/>
      <c r="BX489" s="212"/>
      <c r="BY489" s="212"/>
      <c r="BZ489" s="212"/>
      <c r="CA489" s="212"/>
      <c r="CB489" s="212"/>
      <c r="CC489" s="212"/>
      <c r="CD489" s="212"/>
      <c r="CE489" s="212"/>
      <c r="CF489" s="212"/>
      <c r="CG489" s="212"/>
      <c r="CH489" s="212"/>
      <c r="CI489" s="212"/>
      <c r="CJ489" s="212"/>
      <c r="CK489" s="212"/>
      <c r="CL489" s="212"/>
    </row>
    <row r="490" spans="10:90" ht="24.75" customHeight="1" x14ac:dyDescent="0.75">
      <c r="J490" s="220"/>
      <c r="K490" s="2"/>
      <c r="N490" s="212"/>
      <c r="O490" s="212"/>
      <c r="P490" s="212"/>
      <c r="Q490" s="212"/>
      <c r="R490" s="212"/>
      <c r="S490" s="212"/>
      <c r="T490" s="212"/>
      <c r="U490" s="212"/>
      <c r="V490" s="212"/>
      <c r="W490" s="212"/>
      <c r="X490" s="212"/>
      <c r="Y490" s="212"/>
      <c r="Z490" s="212"/>
      <c r="AA490" s="212"/>
      <c r="AB490" s="212"/>
      <c r="AC490" s="212"/>
      <c r="AD490" s="212"/>
      <c r="AE490" s="212"/>
      <c r="AF490" s="212"/>
      <c r="AG490" s="212"/>
      <c r="AH490" s="212"/>
      <c r="AI490" s="212"/>
      <c r="AJ490" s="212"/>
      <c r="AK490" s="212"/>
      <c r="AL490" s="212"/>
      <c r="AM490" s="212"/>
      <c r="AN490" s="212"/>
      <c r="AO490" s="212"/>
      <c r="AP490" s="212"/>
      <c r="AQ490" s="212"/>
      <c r="AR490" s="212"/>
      <c r="AS490" s="212"/>
      <c r="AT490" s="212"/>
      <c r="AU490" s="212"/>
      <c r="AV490" s="212"/>
      <c r="AW490" s="212"/>
      <c r="AX490" s="212"/>
      <c r="AY490" s="212"/>
      <c r="AZ490" s="212"/>
      <c r="BA490" s="212"/>
      <c r="BB490" s="212"/>
      <c r="BC490" s="212"/>
      <c r="BD490" s="212"/>
      <c r="BE490" s="212"/>
      <c r="BF490" s="212"/>
      <c r="BG490" s="212"/>
      <c r="BH490" s="212"/>
      <c r="BI490" s="212"/>
      <c r="BJ490" s="212"/>
      <c r="BK490" s="212"/>
      <c r="BL490" s="212"/>
      <c r="BM490" s="212"/>
      <c r="BN490" s="212"/>
      <c r="BO490" s="212"/>
      <c r="BP490" s="212"/>
      <c r="BQ490" s="212"/>
      <c r="BR490" s="212"/>
      <c r="BS490" s="212"/>
      <c r="BT490" s="212"/>
      <c r="BU490" s="212"/>
      <c r="BV490" s="212"/>
      <c r="BW490" s="212"/>
      <c r="BX490" s="212"/>
      <c r="BY490" s="212"/>
      <c r="BZ490" s="212"/>
      <c r="CA490" s="212"/>
      <c r="CB490" s="212"/>
      <c r="CC490" s="212"/>
      <c r="CD490" s="212"/>
      <c r="CE490" s="212"/>
      <c r="CF490" s="212"/>
      <c r="CG490" s="212"/>
      <c r="CH490" s="212"/>
      <c r="CI490" s="212"/>
      <c r="CJ490" s="212"/>
      <c r="CK490" s="212"/>
      <c r="CL490" s="212"/>
    </row>
    <row r="491" spans="10:90" ht="24.75" customHeight="1" x14ac:dyDescent="0.75">
      <c r="J491" s="220"/>
      <c r="K491" s="2"/>
      <c r="N491" s="212"/>
      <c r="O491" s="212"/>
      <c r="P491" s="212"/>
      <c r="Q491" s="212"/>
      <c r="R491" s="212"/>
      <c r="S491" s="212"/>
      <c r="T491" s="212"/>
      <c r="U491" s="212"/>
      <c r="V491" s="212"/>
      <c r="W491" s="212"/>
      <c r="X491" s="212"/>
      <c r="Y491" s="212"/>
      <c r="Z491" s="212"/>
      <c r="AA491" s="212"/>
      <c r="AB491" s="212"/>
      <c r="AC491" s="212"/>
      <c r="AD491" s="212"/>
      <c r="AE491" s="212"/>
      <c r="AF491" s="212"/>
      <c r="AG491" s="212"/>
      <c r="AH491" s="212"/>
      <c r="AI491" s="212"/>
      <c r="AJ491" s="212"/>
      <c r="AK491" s="212"/>
      <c r="AL491" s="212"/>
      <c r="AM491" s="212"/>
      <c r="AN491" s="212"/>
      <c r="AO491" s="212"/>
      <c r="AP491" s="212"/>
      <c r="AQ491" s="212"/>
      <c r="AR491" s="212"/>
      <c r="AS491" s="212"/>
      <c r="AT491" s="212"/>
      <c r="AU491" s="212"/>
      <c r="AV491" s="212"/>
      <c r="AW491" s="212"/>
      <c r="AX491" s="212"/>
      <c r="AY491" s="212"/>
      <c r="AZ491" s="212"/>
      <c r="BA491" s="212"/>
      <c r="BB491" s="212"/>
      <c r="BC491" s="212"/>
      <c r="BD491" s="212"/>
      <c r="BE491" s="212"/>
      <c r="BF491" s="212"/>
      <c r="BG491" s="212"/>
      <c r="BH491" s="212"/>
      <c r="BI491" s="212"/>
      <c r="BJ491" s="212"/>
      <c r="BK491" s="212"/>
      <c r="BL491" s="212"/>
      <c r="BM491" s="212"/>
      <c r="BN491" s="212"/>
      <c r="BO491" s="212"/>
      <c r="BP491" s="212"/>
      <c r="BQ491" s="212"/>
      <c r="BR491" s="212"/>
      <c r="BS491" s="212"/>
      <c r="BT491" s="212"/>
      <c r="BU491" s="212"/>
      <c r="BV491" s="212"/>
      <c r="BW491" s="212"/>
      <c r="BX491" s="212"/>
      <c r="BY491" s="212"/>
      <c r="BZ491" s="212"/>
      <c r="CA491" s="212"/>
      <c r="CB491" s="212"/>
      <c r="CC491" s="212"/>
      <c r="CD491" s="212"/>
      <c r="CE491" s="212"/>
      <c r="CF491" s="212"/>
      <c r="CG491" s="212"/>
      <c r="CH491" s="212"/>
      <c r="CI491" s="212"/>
      <c r="CJ491" s="212"/>
      <c r="CK491" s="212"/>
      <c r="CL491" s="212"/>
    </row>
    <row r="492" spans="10:90" ht="24.75" customHeight="1" x14ac:dyDescent="0.75">
      <c r="J492" s="220"/>
      <c r="K492" s="2"/>
      <c r="N492" s="212"/>
      <c r="O492" s="212"/>
      <c r="P492" s="212"/>
      <c r="Q492" s="212"/>
      <c r="R492" s="212"/>
      <c r="S492" s="212"/>
      <c r="T492" s="212"/>
      <c r="U492" s="212"/>
      <c r="V492" s="212"/>
      <c r="W492" s="212"/>
      <c r="X492" s="212"/>
      <c r="Y492" s="212"/>
      <c r="Z492" s="212"/>
      <c r="AA492" s="212"/>
      <c r="AB492" s="212"/>
      <c r="AC492" s="212"/>
      <c r="AD492" s="212"/>
      <c r="AE492" s="212"/>
      <c r="AF492" s="212"/>
      <c r="AG492" s="212"/>
      <c r="AH492" s="212"/>
      <c r="AI492" s="212"/>
      <c r="AJ492" s="212"/>
      <c r="AK492" s="212"/>
      <c r="AL492" s="212"/>
      <c r="AM492" s="212"/>
      <c r="AN492" s="212"/>
      <c r="AO492" s="212"/>
      <c r="AP492" s="212"/>
      <c r="AQ492" s="212"/>
      <c r="AR492" s="212"/>
      <c r="AS492" s="212"/>
      <c r="AT492" s="212"/>
      <c r="AU492" s="212"/>
      <c r="AV492" s="212"/>
      <c r="AW492" s="212"/>
      <c r="AX492" s="212"/>
      <c r="AY492" s="212"/>
      <c r="AZ492" s="212"/>
      <c r="BA492" s="212"/>
      <c r="BB492" s="212"/>
      <c r="BC492" s="212"/>
      <c r="BD492" s="212"/>
      <c r="BE492" s="212"/>
      <c r="BF492" s="212"/>
      <c r="BG492" s="212"/>
      <c r="BH492" s="212"/>
      <c r="BI492" s="212"/>
      <c r="BJ492" s="212"/>
      <c r="BK492" s="212"/>
      <c r="BL492" s="212"/>
      <c r="BM492" s="212"/>
      <c r="BN492" s="212"/>
      <c r="BO492" s="212"/>
      <c r="BP492" s="212"/>
      <c r="BQ492" s="212"/>
      <c r="BR492" s="212"/>
      <c r="BS492" s="212"/>
      <c r="BT492" s="212"/>
      <c r="BU492" s="212"/>
      <c r="BV492" s="212"/>
      <c r="BW492" s="212"/>
      <c r="BX492" s="212"/>
      <c r="BY492" s="212"/>
      <c r="BZ492" s="212"/>
      <c r="CA492" s="212"/>
      <c r="CB492" s="212"/>
      <c r="CC492" s="212"/>
      <c r="CD492" s="212"/>
      <c r="CE492" s="212"/>
      <c r="CF492" s="212"/>
      <c r="CG492" s="212"/>
      <c r="CH492" s="212"/>
      <c r="CI492" s="212"/>
      <c r="CJ492" s="212"/>
      <c r="CK492" s="212"/>
      <c r="CL492" s="212"/>
    </row>
    <row r="493" spans="10:90" ht="24.75" customHeight="1" x14ac:dyDescent="0.75">
      <c r="J493" s="220"/>
      <c r="K493" s="2"/>
      <c r="N493" s="212"/>
      <c r="O493" s="212"/>
      <c r="P493" s="212"/>
      <c r="Q493" s="212"/>
      <c r="R493" s="212"/>
      <c r="S493" s="212"/>
      <c r="T493" s="212"/>
      <c r="U493" s="212"/>
      <c r="V493" s="212"/>
      <c r="W493" s="212"/>
      <c r="X493" s="212"/>
      <c r="Y493" s="212"/>
      <c r="Z493" s="212"/>
      <c r="AA493" s="212"/>
      <c r="AB493" s="212"/>
      <c r="AC493" s="212"/>
      <c r="AD493" s="212"/>
      <c r="AE493" s="212"/>
      <c r="AF493" s="212"/>
      <c r="AG493" s="212"/>
      <c r="AH493" s="212"/>
      <c r="AI493" s="212"/>
      <c r="AJ493" s="212"/>
      <c r="AK493" s="212"/>
      <c r="AL493" s="212"/>
      <c r="AM493" s="212"/>
      <c r="AN493" s="212"/>
      <c r="AO493" s="212"/>
      <c r="AP493" s="212"/>
      <c r="AQ493" s="212"/>
      <c r="AR493" s="212"/>
      <c r="AS493" s="212"/>
      <c r="AT493" s="212"/>
      <c r="AU493" s="212"/>
      <c r="AV493" s="212"/>
      <c r="AW493" s="212"/>
      <c r="AX493" s="212"/>
      <c r="AY493" s="212"/>
      <c r="AZ493" s="212"/>
      <c r="BA493" s="212"/>
      <c r="BB493" s="212"/>
      <c r="BC493" s="212"/>
      <c r="BD493" s="212"/>
      <c r="BE493" s="212"/>
      <c r="BF493" s="212"/>
      <c r="BG493" s="212"/>
      <c r="BH493" s="212"/>
      <c r="BI493" s="212"/>
      <c r="BJ493" s="212"/>
      <c r="BK493" s="212"/>
      <c r="BL493" s="212"/>
      <c r="BM493" s="212"/>
      <c r="BN493" s="212"/>
      <c r="BO493" s="212"/>
      <c r="BP493" s="212"/>
      <c r="BQ493" s="212"/>
      <c r="BR493" s="212"/>
      <c r="BS493" s="212"/>
      <c r="BT493" s="212"/>
      <c r="BU493" s="212"/>
      <c r="BV493" s="212"/>
      <c r="BW493" s="212"/>
      <c r="BX493" s="212"/>
      <c r="BY493" s="212"/>
      <c r="BZ493" s="212"/>
      <c r="CA493" s="212"/>
      <c r="CB493" s="212"/>
      <c r="CC493" s="212"/>
      <c r="CD493" s="212"/>
      <c r="CE493" s="212"/>
      <c r="CF493" s="212"/>
      <c r="CG493" s="212"/>
      <c r="CH493" s="212"/>
      <c r="CI493" s="212"/>
      <c r="CJ493" s="212"/>
      <c r="CK493" s="212"/>
      <c r="CL493" s="212"/>
    </row>
    <row r="494" spans="10:90" ht="24.75" customHeight="1" x14ac:dyDescent="0.75">
      <c r="J494" s="220"/>
      <c r="K494" s="2"/>
      <c r="N494" s="212"/>
      <c r="O494" s="212"/>
      <c r="P494" s="212"/>
      <c r="Q494" s="212"/>
      <c r="R494" s="212"/>
      <c r="S494" s="212"/>
      <c r="T494" s="212"/>
      <c r="U494" s="212"/>
      <c r="V494" s="212"/>
      <c r="W494" s="212"/>
      <c r="X494" s="212"/>
      <c r="Y494" s="212"/>
      <c r="Z494" s="212"/>
      <c r="AA494" s="212"/>
      <c r="AB494" s="212"/>
      <c r="AC494" s="212"/>
      <c r="AD494" s="212"/>
      <c r="AE494" s="212"/>
      <c r="AF494" s="212"/>
      <c r="AG494" s="212"/>
      <c r="AH494" s="212"/>
      <c r="AI494" s="212"/>
      <c r="AJ494" s="212"/>
      <c r="AK494" s="212"/>
      <c r="AL494" s="212"/>
      <c r="AM494" s="212"/>
      <c r="AN494" s="212"/>
      <c r="AO494" s="212"/>
      <c r="AP494" s="212"/>
      <c r="AQ494" s="212"/>
      <c r="AR494" s="212"/>
      <c r="AS494" s="212"/>
      <c r="AT494" s="212"/>
      <c r="AU494" s="212"/>
      <c r="AV494" s="212"/>
      <c r="AW494" s="212"/>
      <c r="AX494" s="212"/>
      <c r="AY494" s="212"/>
      <c r="AZ494" s="212"/>
      <c r="BA494" s="212"/>
      <c r="BB494" s="212"/>
      <c r="BC494" s="212"/>
      <c r="BD494" s="212"/>
      <c r="BE494" s="212"/>
      <c r="BF494" s="212"/>
      <c r="BG494" s="212"/>
      <c r="BH494" s="212"/>
      <c r="BI494" s="212"/>
      <c r="BJ494" s="212"/>
      <c r="BK494" s="212"/>
      <c r="BL494" s="212"/>
      <c r="BM494" s="212"/>
      <c r="BN494" s="212"/>
      <c r="BO494" s="212"/>
      <c r="BP494" s="212"/>
      <c r="BQ494" s="212"/>
      <c r="BR494" s="212"/>
      <c r="BS494" s="212"/>
      <c r="BT494" s="212"/>
      <c r="BU494" s="212"/>
      <c r="BV494" s="212"/>
      <c r="BW494" s="212"/>
      <c r="BX494" s="212"/>
      <c r="BY494" s="212"/>
      <c r="BZ494" s="212"/>
      <c r="CA494" s="212"/>
      <c r="CB494" s="212"/>
      <c r="CC494" s="212"/>
      <c r="CD494" s="212"/>
      <c r="CE494" s="212"/>
      <c r="CF494" s="212"/>
      <c r="CG494" s="212"/>
      <c r="CH494" s="212"/>
      <c r="CI494" s="212"/>
      <c r="CJ494" s="212"/>
      <c r="CK494" s="212"/>
      <c r="CL494" s="212"/>
    </row>
    <row r="495" spans="10:90" ht="24.75" customHeight="1" x14ac:dyDescent="0.75">
      <c r="J495" s="220"/>
      <c r="K495" s="2"/>
      <c r="N495" s="212"/>
      <c r="O495" s="212"/>
      <c r="P495" s="212"/>
      <c r="Q495" s="212"/>
      <c r="R495" s="212"/>
      <c r="S495" s="212"/>
      <c r="T495" s="212"/>
      <c r="U495" s="212"/>
      <c r="V495" s="212"/>
      <c r="W495" s="212"/>
      <c r="X495" s="212"/>
      <c r="Y495" s="212"/>
      <c r="Z495" s="212"/>
      <c r="AA495" s="212"/>
      <c r="AB495" s="212"/>
      <c r="AC495" s="212"/>
      <c r="AD495" s="212"/>
      <c r="AE495" s="212"/>
      <c r="AF495" s="212"/>
      <c r="AG495" s="212"/>
      <c r="AH495" s="212"/>
      <c r="AI495" s="212"/>
      <c r="AJ495" s="212"/>
      <c r="AK495" s="212"/>
      <c r="AL495" s="212"/>
      <c r="AM495" s="212"/>
      <c r="AN495" s="212"/>
      <c r="AO495" s="212"/>
      <c r="AP495" s="212"/>
      <c r="AQ495" s="212"/>
      <c r="AR495" s="212"/>
      <c r="AS495" s="212"/>
      <c r="AT495" s="212"/>
      <c r="AU495" s="212"/>
      <c r="AV495" s="212"/>
      <c r="AW495" s="212"/>
      <c r="AX495" s="212"/>
      <c r="AY495" s="212"/>
      <c r="AZ495" s="212"/>
      <c r="BA495" s="212"/>
      <c r="BB495" s="212"/>
      <c r="BC495" s="212"/>
      <c r="BD495" s="212"/>
      <c r="BE495" s="212"/>
      <c r="BF495" s="212"/>
      <c r="BG495" s="212"/>
      <c r="BH495" s="212"/>
      <c r="BI495" s="212"/>
      <c r="BJ495" s="212"/>
      <c r="BK495" s="212"/>
      <c r="BL495" s="212"/>
      <c r="BM495" s="212"/>
      <c r="BN495" s="212"/>
      <c r="BO495" s="212"/>
      <c r="BP495" s="212"/>
      <c r="BQ495" s="212"/>
      <c r="BR495" s="212"/>
      <c r="BS495" s="212"/>
      <c r="BT495" s="212"/>
      <c r="BU495" s="212"/>
      <c r="BV495" s="212"/>
      <c r="BW495" s="212"/>
      <c r="BX495" s="212"/>
      <c r="BY495" s="212"/>
      <c r="BZ495" s="212"/>
      <c r="CA495" s="212"/>
      <c r="CB495" s="212"/>
      <c r="CC495" s="212"/>
      <c r="CD495" s="212"/>
      <c r="CE495" s="212"/>
      <c r="CF495" s="212"/>
      <c r="CG495" s="212"/>
      <c r="CH495" s="212"/>
      <c r="CI495" s="212"/>
      <c r="CJ495" s="212"/>
      <c r="CK495" s="212"/>
      <c r="CL495" s="212"/>
    </row>
    <row r="496" spans="10:90" ht="24.75" customHeight="1" x14ac:dyDescent="0.75">
      <c r="J496" s="220"/>
      <c r="K496" s="2"/>
      <c r="N496" s="212"/>
      <c r="O496" s="212"/>
      <c r="P496" s="212"/>
      <c r="Q496" s="212"/>
      <c r="R496" s="212"/>
      <c r="S496" s="212"/>
      <c r="T496" s="212"/>
      <c r="U496" s="212"/>
      <c r="V496" s="212"/>
      <c r="W496" s="212"/>
      <c r="X496" s="212"/>
      <c r="Y496" s="212"/>
      <c r="Z496" s="212"/>
      <c r="AA496" s="212"/>
      <c r="AB496" s="212"/>
      <c r="AC496" s="212"/>
      <c r="AD496" s="212"/>
      <c r="AE496" s="212"/>
      <c r="AF496" s="212"/>
      <c r="AG496" s="212"/>
      <c r="AH496" s="212"/>
      <c r="AI496" s="212"/>
      <c r="AJ496" s="212"/>
      <c r="AK496" s="212"/>
      <c r="AL496" s="212"/>
      <c r="AM496" s="212"/>
      <c r="AN496" s="212"/>
      <c r="AO496" s="212"/>
      <c r="AP496" s="212"/>
      <c r="AQ496" s="212"/>
      <c r="AR496" s="212"/>
      <c r="AS496" s="212"/>
      <c r="AT496" s="212"/>
      <c r="AU496" s="212"/>
      <c r="AV496" s="212"/>
      <c r="AW496" s="212"/>
      <c r="AX496" s="212"/>
      <c r="AY496" s="212"/>
      <c r="AZ496" s="212"/>
      <c r="BA496" s="212"/>
      <c r="BB496" s="212"/>
      <c r="BC496" s="212"/>
      <c r="BD496" s="212"/>
      <c r="BE496" s="212"/>
      <c r="BF496" s="212"/>
      <c r="BG496" s="212"/>
      <c r="BH496" s="212"/>
      <c r="BI496" s="212"/>
      <c r="BJ496" s="212"/>
      <c r="BK496" s="212"/>
      <c r="BL496" s="212"/>
      <c r="BM496" s="212"/>
      <c r="BN496" s="212"/>
      <c r="BO496" s="212"/>
      <c r="BP496" s="212"/>
      <c r="BQ496" s="212"/>
      <c r="BR496" s="212"/>
      <c r="BS496" s="212"/>
      <c r="BT496" s="212"/>
      <c r="BU496" s="212"/>
      <c r="BV496" s="212"/>
      <c r="BW496" s="212"/>
      <c r="BX496" s="212"/>
      <c r="BY496" s="212"/>
      <c r="BZ496" s="212"/>
      <c r="CA496" s="212"/>
      <c r="CB496" s="212"/>
      <c r="CC496" s="212"/>
      <c r="CD496" s="212"/>
      <c r="CE496" s="212"/>
      <c r="CF496" s="212"/>
      <c r="CG496" s="212"/>
      <c r="CH496" s="212"/>
      <c r="CI496" s="212"/>
      <c r="CJ496" s="212"/>
      <c r="CK496" s="212"/>
      <c r="CL496" s="212"/>
    </row>
    <row r="497" spans="10:90" ht="24.75" customHeight="1" x14ac:dyDescent="0.75">
      <c r="J497" s="220"/>
      <c r="K497" s="2"/>
      <c r="N497" s="212"/>
      <c r="O497" s="212"/>
      <c r="P497" s="212"/>
      <c r="Q497" s="212"/>
      <c r="R497" s="212"/>
      <c r="S497" s="212"/>
      <c r="T497" s="212"/>
      <c r="U497" s="212"/>
      <c r="V497" s="212"/>
      <c r="W497" s="212"/>
      <c r="X497" s="212"/>
      <c r="Y497" s="212"/>
      <c r="Z497" s="212"/>
      <c r="AA497" s="212"/>
      <c r="AB497" s="212"/>
      <c r="AC497" s="212"/>
      <c r="AD497" s="212"/>
      <c r="AE497" s="212"/>
      <c r="AF497" s="212"/>
      <c r="AG497" s="212"/>
      <c r="AH497" s="212"/>
      <c r="AI497" s="212"/>
      <c r="AJ497" s="212"/>
      <c r="AK497" s="212"/>
      <c r="AL497" s="212"/>
      <c r="AM497" s="212"/>
      <c r="AN497" s="212"/>
      <c r="AO497" s="212"/>
      <c r="AP497" s="212"/>
      <c r="AQ497" s="212"/>
      <c r="AR497" s="212"/>
      <c r="AS497" s="212"/>
      <c r="AT497" s="212"/>
      <c r="AU497" s="212"/>
      <c r="AV497" s="212"/>
      <c r="AW497" s="212"/>
      <c r="AX497" s="212"/>
      <c r="AY497" s="212"/>
      <c r="AZ497" s="212"/>
      <c r="BA497" s="212"/>
      <c r="BB497" s="212"/>
      <c r="BC497" s="212"/>
      <c r="BD497" s="212"/>
      <c r="BE497" s="212"/>
      <c r="BF497" s="212"/>
      <c r="BG497" s="212"/>
      <c r="BH497" s="212"/>
      <c r="BI497" s="212"/>
      <c r="BJ497" s="212"/>
      <c r="BK497" s="212"/>
      <c r="BL497" s="212"/>
      <c r="BM497" s="212"/>
      <c r="BN497" s="212"/>
      <c r="BO497" s="212"/>
      <c r="BP497" s="212"/>
      <c r="BQ497" s="212"/>
      <c r="BR497" s="212"/>
      <c r="BS497" s="212"/>
      <c r="BT497" s="212"/>
      <c r="BU497" s="212"/>
      <c r="BV497" s="212"/>
      <c r="BW497" s="212"/>
      <c r="BX497" s="212"/>
      <c r="BY497" s="212"/>
      <c r="BZ497" s="212"/>
      <c r="CA497" s="212"/>
      <c r="CB497" s="212"/>
      <c r="CC497" s="212"/>
      <c r="CD497" s="212"/>
      <c r="CE497" s="212"/>
      <c r="CF497" s="212"/>
      <c r="CG497" s="212"/>
      <c r="CH497" s="212"/>
      <c r="CI497" s="212"/>
      <c r="CJ497" s="212"/>
      <c r="CK497" s="212"/>
      <c r="CL497" s="212"/>
    </row>
    <row r="498" spans="10:90" ht="24.75" customHeight="1" x14ac:dyDescent="0.75">
      <c r="J498" s="220"/>
      <c r="K498" s="2"/>
      <c r="N498" s="212"/>
      <c r="O498" s="212"/>
      <c r="P498" s="212"/>
      <c r="Q498" s="212"/>
      <c r="R498" s="212"/>
      <c r="S498" s="212"/>
      <c r="T498" s="212"/>
      <c r="U498" s="212"/>
      <c r="V498" s="212"/>
      <c r="W498" s="212"/>
      <c r="X498" s="212"/>
      <c r="Y498" s="212"/>
      <c r="Z498" s="212"/>
      <c r="AA498" s="212"/>
      <c r="AB498" s="212"/>
      <c r="AC498" s="212"/>
      <c r="AD498" s="212"/>
      <c r="AE498" s="212"/>
      <c r="AF498" s="212"/>
      <c r="AG498" s="212"/>
      <c r="AH498" s="212"/>
      <c r="AI498" s="212"/>
      <c r="AJ498" s="212"/>
      <c r="AK498" s="212"/>
      <c r="AL498" s="212"/>
      <c r="AM498" s="212"/>
      <c r="AN498" s="212"/>
      <c r="AO498" s="212"/>
      <c r="AP498" s="212"/>
      <c r="AQ498" s="212"/>
      <c r="AR498" s="212"/>
      <c r="AS498" s="212"/>
      <c r="AT498" s="212"/>
      <c r="AU498" s="212"/>
      <c r="AV498" s="212"/>
      <c r="AW498" s="212"/>
      <c r="AX498" s="212"/>
      <c r="AY498" s="212"/>
      <c r="AZ498" s="212"/>
      <c r="BA498" s="212"/>
      <c r="BB498" s="212"/>
      <c r="BC498" s="212"/>
      <c r="BD498" s="212"/>
      <c r="BE498" s="212"/>
      <c r="BF498" s="212"/>
      <c r="BG498" s="212"/>
      <c r="BH498" s="212"/>
      <c r="BI498" s="212"/>
      <c r="BJ498" s="212"/>
      <c r="BK498" s="212"/>
      <c r="BL498" s="212"/>
      <c r="BM498" s="212"/>
      <c r="BN498" s="212"/>
      <c r="BO498" s="212"/>
      <c r="BP498" s="212"/>
      <c r="BQ498" s="212"/>
      <c r="BR498" s="212"/>
      <c r="BS498" s="212"/>
      <c r="BT498" s="212"/>
      <c r="BU498" s="212"/>
      <c r="BV498" s="212"/>
      <c r="BW498" s="212"/>
      <c r="BX498" s="212"/>
      <c r="BY498" s="212"/>
      <c r="BZ498" s="212"/>
      <c r="CA498" s="212"/>
      <c r="CB498" s="212"/>
      <c r="CC498" s="212"/>
      <c r="CD498" s="212"/>
      <c r="CE498" s="212"/>
      <c r="CF498" s="212"/>
      <c r="CG498" s="212"/>
      <c r="CH498" s="212"/>
      <c r="CI498" s="212"/>
      <c r="CJ498" s="212"/>
      <c r="CK498" s="212"/>
      <c r="CL498" s="212"/>
    </row>
    <row r="499" spans="10:90" ht="24.75" customHeight="1" x14ac:dyDescent="0.75">
      <c r="J499" s="220"/>
      <c r="K499" s="2"/>
      <c r="N499" s="212"/>
      <c r="O499" s="212"/>
      <c r="P499" s="212"/>
      <c r="Q499" s="212"/>
      <c r="R499" s="212"/>
      <c r="S499" s="212"/>
      <c r="T499" s="212"/>
      <c r="U499" s="212"/>
      <c r="V499" s="212"/>
      <c r="W499" s="212"/>
      <c r="X499" s="212"/>
      <c r="Y499" s="212"/>
      <c r="Z499" s="212"/>
      <c r="AA499" s="212"/>
      <c r="AB499" s="212"/>
      <c r="AC499" s="212"/>
      <c r="AD499" s="212"/>
      <c r="AE499" s="212"/>
      <c r="AF499" s="212"/>
      <c r="AG499" s="212"/>
      <c r="AH499" s="212"/>
      <c r="AI499" s="212"/>
      <c r="AJ499" s="212"/>
      <c r="AK499" s="212"/>
      <c r="AL499" s="212"/>
      <c r="AM499" s="212"/>
      <c r="AN499" s="212"/>
      <c r="AO499" s="212"/>
      <c r="AP499" s="212"/>
      <c r="AQ499" s="212"/>
      <c r="AR499" s="212"/>
      <c r="AS499" s="212"/>
      <c r="AT499" s="212"/>
      <c r="AU499" s="212"/>
      <c r="AV499" s="212"/>
      <c r="AW499" s="212"/>
      <c r="AX499" s="212"/>
      <c r="AY499" s="212"/>
      <c r="AZ499" s="212"/>
      <c r="BA499" s="212"/>
      <c r="BB499" s="212"/>
      <c r="BC499" s="212"/>
      <c r="BD499" s="212"/>
      <c r="BE499" s="212"/>
      <c r="BF499" s="212"/>
      <c r="BG499" s="212"/>
      <c r="BH499" s="212"/>
      <c r="BI499" s="212"/>
      <c r="BJ499" s="212"/>
      <c r="BK499" s="212"/>
      <c r="BL499" s="212"/>
      <c r="BM499" s="212"/>
      <c r="BN499" s="212"/>
      <c r="BO499" s="212"/>
      <c r="BP499" s="212"/>
      <c r="BQ499" s="212"/>
      <c r="BR499" s="212"/>
      <c r="BS499" s="212"/>
      <c r="BT499" s="212"/>
      <c r="BU499" s="212"/>
      <c r="BV499" s="212"/>
      <c r="BW499" s="212"/>
      <c r="BX499" s="212"/>
      <c r="BY499" s="212"/>
      <c r="BZ499" s="212"/>
      <c r="CA499" s="212"/>
      <c r="CB499" s="212"/>
      <c r="CC499" s="212"/>
      <c r="CD499" s="212"/>
      <c r="CE499" s="212"/>
      <c r="CF499" s="212"/>
      <c r="CG499" s="212"/>
      <c r="CH499" s="212"/>
      <c r="CI499" s="212"/>
      <c r="CJ499" s="212"/>
      <c r="CK499" s="212"/>
      <c r="CL499" s="212"/>
    </row>
    <row r="500" spans="10:90" ht="24.75" customHeight="1" x14ac:dyDescent="0.75">
      <c r="J500" s="220"/>
      <c r="K500" s="2"/>
      <c r="N500" s="212"/>
      <c r="O500" s="212"/>
      <c r="P500" s="212"/>
      <c r="Q500" s="212"/>
      <c r="R500" s="212"/>
      <c r="S500" s="212"/>
      <c r="T500" s="212"/>
      <c r="U500" s="212"/>
      <c r="V500" s="212"/>
      <c r="W500" s="212"/>
      <c r="X500" s="212"/>
      <c r="Y500" s="212"/>
      <c r="Z500" s="212"/>
      <c r="AA500" s="212"/>
      <c r="AB500" s="212"/>
      <c r="AC500" s="212"/>
      <c r="AD500" s="212"/>
      <c r="AE500" s="212"/>
      <c r="AF500" s="212"/>
      <c r="AG500" s="212"/>
      <c r="AH500" s="212"/>
      <c r="AI500" s="212"/>
      <c r="AJ500" s="212"/>
      <c r="AK500" s="212"/>
      <c r="AL500" s="212"/>
      <c r="AM500" s="212"/>
      <c r="AN500" s="212"/>
      <c r="AO500" s="212"/>
      <c r="AP500" s="212"/>
      <c r="AQ500" s="212"/>
      <c r="AR500" s="212"/>
      <c r="AS500" s="212"/>
      <c r="AT500" s="212"/>
      <c r="AU500" s="212"/>
      <c r="AV500" s="212"/>
      <c r="AW500" s="212"/>
      <c r="AX500" s="212"/>
      <c r="AY500" s="212"/>
      <c r="AZ500" s="212"/>
      <c r="BA500" s="212"/>
      <c r="BB500" s="212"/>
      <c r="BC500" s="212"/>
      <c r="BD500" s="212"/>
      <c r="BE500" s="212"/>
      <c r="BF500" s="212"/>
      <c r="BG500" s="212"/>
      <c r="BH500" s="212"/>
      <c r="BI500" s="212"/>
      <c r="BJ500" s="212"/>
      <c r="BK500" s="212"/>
      <c r="BL500" s="212"/>
      <c r="BM500" s="212"/>
      <c r="BN500" s="212"/>
      <c r="BO500" s="212"/>
      <c r="BP500" s="212"/>
      <c r="BQ500" s="212"/>
      <c r="BR500" s="212"/>
      <c r="BS500" s="212"/>
      <c r="BT500" s="212"/>
      <c r="BU500" s="212"/>
      <c r="BV500" s="212"/>
      <c r="BW500" s="212"/>
      <c r="BX500" s="212"/>
      <c r="BY500" s="212"/>
      <c r="BZ500" s="212"/>
      <c r="CA500" s="212"/>
      <c r="CB500" s="212"/>
      <c r="CC500" s="212"/>
      <c r="CD500" s="212"/>
      <c r="CE500" s="212"/>
      <c r="CF500" s="212"/>
      <c r="CG500" s="212"/>
      <c r="CH500" s="212"/>
      <c r="CI500" s="212"/>
      <c r="CJ500" s="212"/>
      <c r="CK500" s="212"/>
      <c r="CL500" s="212"/>
    </row>
    <row r="501" spans="10:90" ht="24.75" customHeight="1" x14ac:dyDescent="0.75">
      <c r="J501" s="220"/>
      <c r="K501" s="2"/>
      <c r="N501" s="212"/>
      <c r="O501" s="212"/>
      <c r="P501" s="212"/>
      <c r="Q501" s="212"/>
      <c r="R501" s="212"/>
      <c r="S501" s="212"/>
      <c r="T501" s="212"/>
      <c r="U501" s="212"/>
      <c r="V501" s="212"/>
      <c r="W501" s="212"/>
      <c r="X501" s="212"/>
      <c r="Y501" s="212"/>
      <c r="Z501" s="212"/>
      <c r="AA501" s="212"/>
      <c r="AB501" s="212"/>
      <c r="AC501" s="212"/>
      <c r="AD501" s="212"/>
      <c r="AE501" s="212"/>
      <c r="AF501" s="212"/>
      <c r="AG501" s="212"/>
      <c r="AH501" s="212"/>
      <c r="AI501" s="212"/>
      <c r="AJ501" s="212"/>
      <c r="AK501" s="212"/>
      <c r="AL501" s="212"/>
      <c r="AM501" s="212"/>
      <c r="AN501" s="212"/>
      <c r="AO501" s="212"/>
      <c r="AP501" s="212"/>
      <c r="AQ501" s="212"/>
      <c r="AR501" s="212"/>
      <c r="AS501" s="212"/>
      <c r="AT501" s="212"/>
      <c r="AU501" s="212"/>
      <c r="AV501" s="212"/>
      <c r="AW501" s="212"/>
      <c r="AX501" s="212"/>
      <c r="AY501" s="212"/>
      <c r="AZ501" s="212"/>
      <c r="BA501" s="212"/>
      <c r="BB501" s="212"/>
      <c r="BC501" s="212"/>
      <c r="BD501" s="212"/>
      <c r="BE501" s="212"/>
      <c r="BF501" s="212"/>
      <c r="BG501" s="212"/>
      <c r="BH501" s="212"/>
      <c r="BI501" s="212"/>
      <c r="BJ501" s="212"/>
      <c r="BK501" s="212"/>
      <c r="BL501" s="212"/>
      <c r="BM501" s="212"/>
      <c r="BN501" s="212"/>
      <c r="BO501" s="212"/>
      <c r="BP501" s="212"/>
      <c r="BQ501" s="212"/>
      <c r="BR501" s="212"/>
      <c r="BS501" s="212"/>
      <c r="BT501" s="212"/>
      <c r="BU501" s="212"/>
      <c r="BV501" s="212"/>
      <c r="BW501" s="212"/>
      <c r="BX501" s="212"/>
      <c r="BY501" s="212"/>
      <c r="BZ501" s="212"/>
      <c r="CA501" s="212"/>
      <c r="CB501" s="212"/>
      <c r="CC501" s="212"/>
      <c r="CD501" s="212"/>
      <c r="CE501" s="212"/>
      <c r="CF501" s="212"/>
      <c r="CG501" s="212"/>
      <c r="CH501" s="212"/>
      <c r="CI501" s="212"/>
      <c r="CJ501" s="212"/>
      <c r="CK501" s="212"/>
      <c r="CL501" s="212"/>
    </row>
    <row r="502" spans="10:90" ht="24.75" customHeight="1" x14ac:dyDescent="0.75">
      <c r="J502" s="220"/>
      <c r="K502" s="2"/>
      <c r="N502" s="212"/>
      <c r="O502" s="212"/>
      <c r="P502" s="212"/>
      <c r="Q502" s="212"/>
      <c r="R502" s="212"/>
      <c r="S502" s="212"/>
      <c r="T502" s="212"/>
      <c r="U502" s="212"/>
      <c r="V502" s="212"/>
      <c r="W502" s="212"/>
      <c r="X502" s="212"/>
      <c r="Y502" s="212"/>
      <c r="Z502" s="212"/>
      <c r="AA502" s="212"/>
      <c r="AB502" s="212"/>
      <c r="AC502" s="212"/>
      <c r="AD502" s="212"/>
      <c r="AE502" s="212"/>
      <c r="AF502" s="212"/>
      <c r="AG502" s="212"/>
      <c r="AH502" s="212"/>
      <c r="AI502" s="212"/>
      <c r="AJ502" s="212"/>
      <c r="AK502" s="212"/>
      <c r="AL502" s="212"/>
      <c r="AM502" s="212"/>
      <c r="AN502" s="212"/>
      <c r="AO502" s="212"/>
      <c r="AP502" s="212"/>
      <c r="AQ502" s="212"/>
      <c r="AR502" s="212"/>
      <c r="AS502" s="212"/>
      <c r="AT502" s="212"/>
      <c r="AU502" s="212"/>
      <c r="AV502" s="212"/>
      <c r="AW502" s="212"/>
      <c r="AX502" s="212"/>
      <c r="AY502" s="212"/>
      <c r="AZ502" s="212"/>
      <c r="BA502" s="212"/>
      <c r="BB502" s="212"/>
      <c r="BC502" s="212"/>
      <c r="BD502" s="212"/>
      <c r="BE502" s="212"/>
      <c r="BF502" s="212"/>
      <c r="BG502" s="212"/>
      <c r="BH502" s="212"/>
      <c r="BI502" s="212"/>
      <c r="BJ502" s="212"/>
      <c r="BK502" s="212"/>
      <c r="BL502" s="212"/>
      <c r="BM502" s="212"/>
      <c r="BN502" s="212"/>
      <c r="BO502" s="212"/>
      <c r="BP502" s="212"/>
      <c r="BQ502" s="212"/>
      <c r="BR502" s="212"/>
      <c r="BS502" s="212"/>
      <c r="BT502" s="212"/>
      <c r="BU502" s="212"/>
      <c r="BV502" s="212"/>
      <c r="BW502" s="212"/>
      <c r="BX502" s="212"/>
      <c r="BY502" s="212"/>
      <c r="BZ502" s="212"/>
      <c r="CA502" s="212"/>
      <c r="CB502" s="212"/>
      <c r="CC502" s="212"/>
      <c r="CD502" s="212"/>
      <c r="CE502" s="212"/>
      <c r="CF502" s="212"/>
      <c r="CG502" s="212"/>
      <c r="CH502" s="212"/>
      <c r="CI502" s="212"/>
      <c r="CJ502" s="212"/>
      <c r="CK502" s="212"/>
      <c r="CL502" s="212"/>
    </row>
    <row r="503" spans="10:90" ht="24.75" customHeight="1" x14ac:dyDescent="0.75">
      <c r="J503" s="220"/>
      <c r="K503" s="2"/>
      <c r="N503" s="212"/>
      <c r="O503" s="212"/>
      <c r="P503" s="212"/>
      <c r="Q503" s="212"/>
      <c r="R503" s="212"/>
      <c r="S503" s="212"/>
      <c r="T503" s="212"/>
      <c r="U503" s="212"/>
      <c r="V503" s="212"/>
      <c r="W503" s="212"/>
      <c r="X503" s="212"/>
      <c r="Y503" s="212"/>
      <c r="Z503" s="212"/>
      <c r="AA503" s="212"/>
      <c r="AB503" s="212"/>
      <c r="AC503" s="212"/>
      <c r="AD503" s="212"/>
      <c r="AE503" s="212"/>
      <c r="AF503" s="212"/>
      <c r="AG503" s="212"/>
      <c r="AH503" s="212"/>
      <c r="AI503" s="212"/>
      <c r="AJ503" s="212"/>
      <c r="AK503" s="212"/>
      <c r="AL503" s="212"/>
      <c r="AM503" s="212"/>
      <c r="AN503" s="212"/>
      <c r="AO503" s="212"/>
      <c r="AP503" s="212"/>
      <c r="AQ503" s="212"/>
      <c r="AR503" s="212"/>
      <c r="AS503" s="212"/>
      <c r="AT503" s="212"/>
      <c r="AU503" s="212"/>
      <c r="AV503" s="212"/>
      <c r="AW503" s="212"/>
      <c r="AX503" s="212"/>
      <c r="AY503" s="212"/>
      <c r="AZ503" s="212"/>
      <c r="BA503" s="212"/>
      <c r="BB503" s="212"/>
      <c r="BC503" s="212"/>
      <c r="BD503" s="212"/>
      <c r="BE503" s="212"/>
      <c r="BF503" s="212"/>
      <c r="BG503" s="212"/>
      <c r="BH503" s="212"/>
      <c r="BI503" s="212"/>
      <c r="BJ503" s="212"/>
      <c r="BK503" s="212"/>
      <c r="BL503" s="212"/>
      <c r="BM503" s="212"/>
      <c r="BN503" s="212"/>
      <c r="BO503" s="212"/>
      <c r="BP503" s="212"/>
      <c r="BQ503" s="212"/>
      <c r="BR503" s="212"/>
      <c r="BS503" s="212"/>
      <c r="BT503" s="212"/>
      <c r="BU503" s="212"/>
      <c r="BV503" s="212"/>
      <c r="BW503" s="212"/>
      <c r="BX503" s="212"/>
      <c r="BY503" s="212"/>
      <c r="BZ503" s="212"/>
      <c r="CA503" s="212"/>
      <c r="CB503" s="212"/>
      <c r="CC503" s="212"/>
      <c r="CD503" s="212"/>
      <c r="CE503" s="212"/>
      <c r="CF503" s="212"/>
      <c r="CG503" s="212"/>
      <c r="CH503" s="212"/>
      <c r="CI503" s="212"/>
      <c r="CJ503" s="212"/>
      <c r="CK503" s="212"/>
      <c r="CL503" s="212"/>
    </row>
    <row r="504" spans="10:90" ht="24.75" customHeight="1" x14ac:dyDescent="0.75">
      <c r="J504" s="220"/>
      <c r="K504" s="2"/>
      <c r="N504" s="212"/>
      <c r="O504" s="212"/>
      <c r="P504" s="212"/>
      <c r="Q504" s="212"/>
      <c r="R504" s="212"/>
      <c r="S504" s="212"/>
      <c r="T504" s="212"/>
      <c r="U504" s="212"/>
      <c r="V504" s="212"/>
      <c r="W504" s="212"/>
      <c r="X504" s="212"/>
      <c r="Y504" s="212"/>
      <c r="Z504" s="212"/>
      <c r="AA504" s="212"/>
      <c r="AB504" s="212"/>
      <c r="AC504" s="212"/>
      <c r="AD504" s="212"/>
      <c r="AE504" s="212"/>
      <c r="AF504" s="212"/>
      <c r="AG504" s="212"/>
      <c r="AH504" s="212"/>
      <c r="AI504" s="212"/>
      <c r="AJ504" s="212"/>
      <c r="AK504" s="212"/>
      <c r="AL504" s="212"/>
      <c r="AM504" s="212"/>
      <c r="AN504" s="212"/>
      <c r="AO504" s="212"/>
      <c r="AP504" s="212"/>
      <c r="AQ504" s="212"/>
      <c r="AR504" s="212"/>
      <c r="AS504" s="212"/>
      <c r="AT504" s="212"/>
      <c r="AU504" s="212"/>
      <c r="AV504" s="212"/>
      <c r="AW504" s="212"/>
      <c r="AX504" s="212"/>
      <c r="AY504" s="212"/>
      <c r="AZ504" s="212"/>
      <c r="BA504" s="212"/>
      <c r="BB504" s="212"/>
      <c r="BC504" s="212"/>
      <c r="BD504" s="212"/>
      <c r="BE504" s="212"/>
      <c r="BF504" s="212"/>
      <c r="BG504" s="212"/>
      <c r="BH504" s="212"/>
      <c r="BI504" s="212"/>
      <c r="BJ504" s="212"/>
      <c r="BK504" s="212"/>
      <c r="BL504" s="212"/>
      <c r="BM504" s="212"/>
      <c r="BN504" s="212"/>
      <c r="BO504" s="212"/>
      <c r="BP504" s="212"/>
      <c r="BQ504" s="212"/>
      <c r="BR504" s="212"/>
      <c r="BS504" s="212"/>
      <c r="BT504" s="212"/>
      <c r="BU504" s="212"/>
      <c r="BV504" s="212"/>
      <c r="BW504" s="212"/>
      <c r="BX504" s="212"/>
      <c r="BY504" s="212"/>
      <c r="BZ504" s="212"/>
      <c r="CA504" s="212"/>
      <c r="CB504" s="212"/>
      <c r="CC504" s="212"/>
      <c r="CD504" s="212"/>
      <c r="CE504" s="212"/>
      <c r="CF504" s="212"/>
      <c r="CG504" s="212"/>
      <c r="CH504" s="212"/>
      <c r="CI504" s="212"/>
      <c r="CJ504" s="212"/>
      <c r="CK504" s="212"/>
      <c r="CL504" s="212"/>
    </row>
    <row r="505" spans="10:90" ht="24.75" customHeight="1" x14ac:dyDescent="0.75">
      <c r="J505" s="220"/>
      <c r="K505" s="2"/>
      <c r="N505" s="212"/>
      <c r="O505" s="212"/>
      <c r="P505" s="212"/>
      <c r="Q505" s="212"/>
      <c r="R505" s="212"/>
      <c r="S505" s="212"/>
      <c r="T505" s="212"/>
      <c r="U505" s="212"/>
      <c r="V505" s="212"/>
      <c r="W505" s="212"/>
      <c r="X505" s="212"/>
      <c r="Y505" s="212"/>
      <c r="Z505" s="212"/>
      <c r="AA505" s="212"/>
      <c r="AB505" s="212"/>
      <c r="AC505" s="212"/>
      <c r="AD505" s="212"/>
      <c r="AE505" s="212"/>
      <c r="AF505" s="212"/>
      <c r="AG505" s="212"/>
      <c r="AH505" s="212"/>
      <c r="AI505" s="212"/>
      <c r="AJ505" s="212"/>
      <c r="AK505" s="212"/>
      <c r="AL505" s="212"/>
      <c r="AM505" s="212"/>
      <c r="AN505" s="212"/>
      <c r="AO505" s="212"/>
      <c r="AP505" s="212"/>
      <c r="AQ505" s="212"/>
      <c r="AR505" s="212"/>
      <c r="AS505" s="212"/>
      <c r="AT505" s="212"/>
      <c r="AU505" s="212"/>
      <c r="AV505" s="212"/>
      <c r="AW505" s="212"/>
      <c r="AX505" s="212"/>
      <c r="AY505" s="212"/>
      <c r="AZ505" s="212"/>
      <c r="BA505" s="212"/>
      <c r="BB505" s="212"/>
      <c r="BC505" s="212"/>
      <c r="BD505" s="212"/>
      <c r="BE505" s="212"/>
      <c r="BF505" s="212"/>
      <c r="BG505" s="212"/>
      <c r="BH505" s="212"/>
      <c r="BI505" s="212"/>
      <c r="BJ505" s="212"/>
      <c r="BK505" s="212"/>
      <c r="BL505" s="212"/>
      <c r="BM505" s="212"/>
      <c r="BN505" s="212"/>
      <c r="BO505" s="212"/>
      <c r="BP505" s="212"/>
      <c r="BQ505" s="212"/>
      <c r="BR505" s="212"/>
      <c r="BS505" s="212"/>
      <c r="BT505" s="212"/>
      <c r="BU505" s="212"/>
      <c r="BV505" s="212"/>
      <c r="BW505" s="212"/>
      <c r="BX505" s="212"/>
      <c r="BY505" s="212"/>
      <c r="BZ505" s="212"/>
      <c r="CA505" s="212"/>
      <c r="CB505" s="212"/>
      <c r="CC505" s="212"/>
      <c r="CD505" s="212"/>
      <c r="CE505" s="212"/>
      <c r="CF505" s="212"/>
      <c r="CG505" s="212"/>
      <c r="CH505" s="212"/>
      <c r="CI505" s="212"/>
      <c r="CJ505" s="212"/>
      <c r="CK505" s="212"/>
      <c r="CL505" s="212"/>
    </row>
    <row r="506" spans="10:90" ht="24.75" customHeight="1" x14ac:dyDescent="0.75">
      <c r="J506" s="220"/>
      <c r="K506" s="2"/>
      <c r="N506" s="212"/>
      <c r="O506" s="212"/>
      <c r="P506" s="212"/>
      <c r="Q506" s="212"/>
      <c r="R506" s="212"/>
      <c r="S506" s="212"/>
      <c r="T506" s="212"/>
      <c r="U506" s="212"/>
      <c r="V506" s="212"/>
      <c r="W506" s="212"/>
      <c r="X506" s="212"/>
      <c r="Y506" s="212"/>
      <c r="Z506" s="212"/>
      <c r="AA506" s="212"/>
      <c r="AB506" s="212"/>
      <c r="AC506" s="212"/>
      <c r="AD506" s="212"/>
      <c r="AE506" s="212"/>
      <c r="AF506" s="212"/>
      <c r="AG506" s="212"/>
      <c r="AH506" s="212"/>
      <c r="AI506" s="212"/>
      <c r="AJ506" s="212"/>
      <c r="AK506" s="212"/>
      <c r="AL506" s="212"/>
      <c r="AM506" s="212"/>
      <c r="AN506" s="212"/>
      <c r="AO506" s="212"/>
      <c r="AP506" s="212"/>
      <c r="AQ506" s="212"/>
      <c r="AR506" s="212"/>
      <c r="AS506" s="212"/>
      <c r="AT506" s="212"/>
      <c r="AU506" s="212"/>
      <c r="AV506" s="212"/>
      <c r="AW506" s="212"/>
      <c r="AX506" s="212"/>
      <c r="AY506" s="212"/>
      <c r="AZ506" s="212"/>
      <c r="BA506" s="212"/>
      <c r="BB506" s="212"/>
      <c r="BC506" s="212"/>
      <c r="BD506" s="212"/>
      <c r="BE506" s="212"/>
      <c r="BF506" s="212"/>
      <c r="BG506" s="212"/>
      <c r="BH506" s="212"/>
      <c r="BI506" s="212"/>
      <c r="BJ506" s="212"/>
      <c r="BK506" s="212"/>
      <c r="BL506" s="212"/>
      <c r="BM506" s="212"/>
      <c r="BN506" s="212"/>
      <c r="BO506" s="212"/>
      <c r="BP506" s="212"/>
      <c r="BQ506" s="212"/>
      <c r="BR506" s="212"/>
      <c r="BS506" s="212"/>
      <c r="BT506" s="212"/>
      <c r="BU506" s="212"/>
      <c r="BV506" s="212"/>
      <c r="BW506" s="212"/>
      <c r="BX506" s="212"/>
      <c r="BY506" s="212"/>
      <c r="BZ506" s="212"/>
      <c r="CA506" s="212"/>
      <c r="CB506" s="212"/>
      <c r="CC506" s="212"/>
      <c r="CD506" s="212"/>
      <c r="CE506" s="212"/>
      <c r="CF506" s="212"/>
      <c r="CG506" s="212"/>
      <c r="CH506" s="212"/>
      <c r="CI506" s="212"/>
      <c r="CJ506" s="212"/>
      <c r="CK506" s="212"/>
      <c r="CL506" s="212"/>
    </row>
    <row r="507" spans="10:90" ht="24.75" customHeight="1" x14ac:dyDescent="0.75">
      <c r="J507" s="220"/>
      <c r="K507" s="2"/>
      <c r="N507" s="212"/>
      <c r="O507" s="212"/>
      <c r="P507" s="212"/>
      <c r="Q507" s="212"/>
      <c r="R507" s="212"/>
      <c r="S507" s="212"/>
      <c r="T507" s="212"/>
      <c r="U507" s="212"/>
      <c r="V507" s="212"/>
      <c r="W507" s="212"/>
      <c r="X507" s="212"/>
      <c r="Y507" s="212"/>
      <c r="Z507" s="212"/>
      <c r="AA507" s="212"/>
      <c r="AB507" s="212"/>
      <c r="AC507" s="212"/>
      <c r="AD507" s="212"/>
      <c r="AE507" s="212"/>
      <c r="AF507" s="212"/>
      <c r="AG507" s="212"/>
      <c r="AH507" s="212"/>
      <c r="AI507" s="212"/>
      <c r="AJ507" s="212"/>
      <c r="AK507" s="212"/>
      <c r="AL507" s="212"/>
      <c r="AM507" s="212"/>
      <c r="AN507" s="212"/>
      <c r="AO507" s="212"/>
      <c r="AP507" s="212"/>
      <c r="AQ507" s="212"/>
      <c r="AR507" s="212"/>
      <c r="AS507" s="212"/>
      <c r="AT507" s="212"/>
      <c r="AU507" s="212"/>
      <c r="AV507" s="212"/>
      <c r="AW507" s="212"/>
      <c r="AX507" s="212"/>
      <c r="AY507" s="212"/>
      <c r="AZ507" s="212"/>
      <c r="BA507" s="212"/>
      <c r="BB507" s="212"/>
      <c r="BC507" s="212"/>
      <c r="BD507" s="212"/>
      <c r="BE507" s="212"/>
      <c r="BF507" s="212"/>
      <c r="BG507" s="212"/>
      <c r="BH507" s="212"/>
      <c r="BI507" s="212"/>
      <c r="BJ507" s="212"/>
      <c r="BK507" s="212"/>
      <c r="BL507" s="212"/>
      <c r="BM507" s="212"/>
      <c r="BN507" s="212"/>
      <c r="BO507" s="212"/>
      <c r="BP507" s="212"/>
      <c r="BQ507" s="212"/>
      <c r="BR507" s="212"/>
      <c r="BS507" s="212"/>
      <c r="BT507" s="212"/>
      <c r="BU507" s="212"/>
      <c r="BV507" s="212"/>
      <c r="BW507" s="212"/>
      <c r="BX507" s="212"/>
      <c r="BY507" s="212"/>
      <c r="BZ507" s="212"/>
      <c r="CA507" s="212"/>
      <c r="CB507" s="212"/>
      <c r="CC507" s="212"/>
      <c r="CD507" s="212"/>
      <c r="CE507" s="212"/>
      <c r="CF507" s="212"/>
      <c r="CG507" s="212"/>
      <c r="CH507" s="212"/>
      <c r="CI507" s="212"/>
      <c r="CJ507" s="212"/>
      <c r="CK507" s="212"/>
      <c r="CL507" s="212"/>
    </row>
    <row r="508" spans="10:90" ht="24.75" customHeight="1" x14ac:dyDescent="0.75">
      <c r="J508" s="220"/>
      <c r="K508" s="2"/>
      <c r="N508" s="212"/>
      <c r="O508" s="212"/>
      <c r="P508" s="212"/>
      <c r="Q508" s="212"/>
      <c r="R508" s="212"/>
      <c r="S508" s="212"/>
      <c r="T508" s="212"/>
      <c r="U508" s="212"/>
      <c r="V508" s="212"/>
      <c r="W508" s="212"/>
      <c r="X508" s="212"/>
      <c r="Y508" s="212"/>
      <c r="Z508" s="212"/>
      <c r="AA508" s="212"/>
      <c r="AB508" s="212"/>
      <c r="AC508" s="212"/>
      <c r="AD508" s="212"/>
      <c r="AE508" s="212"/>
      <c r="AF508" s="212"/>
      <c r="AG508" s="212"/>
      <c r="AH508" s="212"/>
      <c r="AI508" s="212"/>
      <c r="AJ508" s="212"/>
      <c r="AK508" s="212"/>
      <c r="AL508" s="212"/>
      <c r="AM508" s="212"/>
      <c r="AN508" s="212"/>
      <c r="AO508" s="212"/>
      <c r="AP508" s="212"/>
      <c r="AQ508" s="212"/>
      <c r="AR508" s="212"/>
      <c r="AS508" s="212"/>
      <c r="AT508" s="212"/>
      <c r="AU508" s="212"/>
      <c r="AV508" s="212"/>
      <c r="AW508" s="212"/>
      <c r="AX508" s="212"/>
      <c r="AY508" s="212"/>
      <c r="AZ508" s="212"/>
      <c r="BA508" s="212"/>
      <c r="BB508" s="212"/>
      <c r="BC508" s="212"/>
      <c r="BD508" s="212"/>
      <c r="BE508" s="212"/>
      <c r="BF508" s="212"/>
      <c r="BG508" s="212"/>
      <c r="BH508" s="212"/>
      <c r="BI508" s="212"/>
      <c r="BJ508" s="212"/>
      <c r="BK508" s="212"/>
      <c r="BL508" s="212"/>
      <c r="BM508" s="212"/>
      <c r="BN508" s="212"/>
      <c r="BO508" s="212"/>
      <c r="BP508" s="212"/>
      <c r="BQ508" s="212"/>
      <c r="BR508" s="212"/>
      <c r="BS508" s="212"/>
      <c r="BT508" s="212"/>
      <c r="BU508" s="212"/>
      <c r="BV508" s="212"/>
      <c r="BW508" s="212"/>
      <c r="BX508" s="212"/>
      <c r="BY508" s="212"/>
      <c r="BZ508" s="212"/>
      <c r="CA508" s="212"/>
      <c r="CB508" s="212"/>
      <c r="CC508" s="212"/>
      <c r="CD508" s="212"/>
      <c r="CE508" s="212"/>
      <c r="CF508" s="212"/>
      <c r="CG508" s="212"/>
      <c r="CH508" s="212"/>
      <c r="CI508" s="212"/>
      <c r="CJ508" s="212"/>
      <c r="CK508" s="212"/>
      <c r="CL508" s="212"/>
    </row>
    <row r="509" spans="10:90" ht="24.75" customHeight="1" x14ac:dyDescent="0.75">
      <c r="J509" s="220"/>
      <c r="K509" s="2"/>
      <c r="N509" s="212"/>
      <c r="O509" s="212"/>
      <c r="P509" s="212"/>
      <c r="Q509" s="212"/>
      <c r="R509" s="212"/>
      <c r="S509" s="212"/>
      <c r="T509" s="212"/>
      <c r="U509" s="212"/>
      <c r="V509" s="212"/>
      <c r="W509" s="212"/>
      <c r="X509" s="212"/>
      <c r="Y509" s="212"/>
      <c r="Z509" s="212"/>
      <c r="AA509" s="212"/>
      <c r="AB509" s="212"/>
      <c r="AC509" s="212"/>
      <c r="AD509" s="212"/>
      <c r="AE509" s="212"/>
      <c r="AF509" s="212"/>
      <c r="AG509" s="212"/>
      <c r="AH509" s="212"/>
      <c r="AI509" s="212"/>
      <c r="AJ509" s="212"/>
      <c r="AK509" s="212"/>
      <c r="AL509" s="212"/>
      <c r="AM509" s="212"/>
      <c r="AN509" s="212"/>
      <c r="AO509" s="212"/>
      <c r="AP509" s="212"/>
      <c r="AQ509" s="212"/>
      <c r="AR509" s="212"/>
      <c r="AS509" s="212"/>
      <c r="AT509" s="212"/>
      <c r="AU509" s="212"/>
      <c r="AV509" s="212"/>
      <c r="AW509" s="212"/>
      <c r="AX509" s="212"/>
      <c r="AY509" s="212"/>
      <c r="AZ509" s="212"/>
      <c r="BA509" s="212"/>
      <c r="BB509" s="212"/>
      <c r="BC509" s="212"/>
      <c r="BD509" s="212"/>
      <c r="BE509" s="212"/>
      <c r="BF509" s="212"/>
      <c r="BG509" s="212"/>
      <c r="BH509" s="212"/>
      <c r="BI509" s="212"/>
      <c r="BJ509" s="212"/>
      <c r="BK509" s="212"/>
      <c r="BL509" s="212"/>
      <c r="BM509" s="212"/>
      <c r="BN509" s="212"/>
      <c r="BO509" s="212"/>
      <c r="BP509" s="212"/>
      <c r="BQ509" s="212"/>
      <c r="BR509" s="212"/>
      <c r="BS509" s="212"/>
      <c r="BT509" s="212"/>
      <c r="BU509" s="212"/>
      <c r="BV509" s="212"/>
      <c r="BW509" s="212"/>
      <c r="BX509" s="212"/>
      <c r="BY509" s="212"/>
      <c r="BZ509" s="212"/>
      <c r="CA509" s="212"/>
      <c r="CB509" s="212"/>
      <c r="CC509" s="212"/>
      <c r="CD509" s="212"/>
      <c r="CE509" s="212"/>
      <c r="CF509" s="212"/>
      <c r="CG509" s="212"/>
      <c r="CH509" s="212"/>
      <c r="CI509" s="212"/>
      <c r="CJ509" s="212"/>
      <c r="CK509" s="212"/>
      <c r="CL509" s="212"/>
    </row>
    <row r="510" spans="10:90" ht="24.75" customHeight="1" x14ac:dyDescent="0.75">
      <c r="J510" s="220"/>
      <c r="K510" s="2"/>
      <c r="N510" s="212"/>
      <c r="O510" s="212"/>
      <c r="P510" s="212"/>
      <c r="Q510" s="212"/>
      <c r="R510" s="212"/>
      <c r="S510" s="212"/>
      <c r="T510" s="212"/>
      <c r="U510" s="212"/>
      <c r="V510" s="212"/>
      <c r="W510" s="212"/>
      <c r="X510" s="212"/>
      <c r="Y510" s="212"/>
      <c r="Z510" s="212"/>
      <c r="AA510" s="212"/>
      <c r="AB510" s="212"/>
      <c r="AC510" s="212"/>
      <c r="AD510" s="212"/>
      <c r="AE510" s="212"/>
      <c r="AF510" s="212"/>
      <c r="AG510" s="212"/>
      <c r="AH510" s="212"/>
      <c r="AI510" s="212"/>
      <c r="AJ510" s="212"/>
      <c r="AK510" s="212"/>
      <c r="AL510" s="212"/>
      <c r="AM510" s="212"/>
      <c r="AN510" s="212"/>
      <c r="AO510" s="212"/>
      <c r="AP510" s="212"/>
      <c r="AQ510" s="212"/>
      <c r="AR510" s="212"/>
      <c r="AS510" s="212"/>
      <c r="AT510" s="212"/>
      <c r="AU510" s="212"/>
      <c r="AV510" s="212"/>
      <c r="AW510" s="212"/>
      <c r="AX510" s="212"/>
      <c r="AY510" s="212"/>
      <c r="AZ510" s="212"/>
      <c r="BA510" s="212"/>
      <c r="BB510" s="212"/>
      <c r="BC510" s="212"/>
      <c r="BD510" s="212"/>
      <c r="BE510" s="212"/>
      <c r="BF510" s="212"/>
      <c r="BG510" s="212"/>
      <c r="BH510" s="212"/>
      <c r="BI510" s="212"/>
      <c r="BJ510" s="212"/>
      <c r="BK510" s="212"/>
      <c r="BL510" s="212"/>
      <c r="BM510" s="212"/>
      <c r="BN510" s="212"/>
      <c r="BO510" s="212"/>
      <c r="BP510" s="212"/>
      <c r="BQ510" s="212"/>
      <c r="BR510" s="212"/>
      <c r="BS510" s="212"/>
      <c r="BT510" s="212"/>
      <c r="BU510" s="212"/>
      <c r="BV510" s="212"/>
      <c r="BW510" s="212"/>
      <c r="BX510" s="212"/>
      <c r="BY510" s="212"/>
      <c r="BZ510" s="212"/>
      <c r="CA510" s="212"/>
      <c r="CB510" s="212"/>
      <c r="CC510" s="212"/>
      <c r="CD510" s="212"/>
      <c r="CE510" s="212"/>
      <c r="CF510" s="212"/>
      <c r="CG510" s="212"/>
      <c r="CH510" s="212"/>
      <c r="CI510" s="212"/>
      <c r="CJ510" s="212"/>
      <c r="CK510" s="212"/>
      <c r="CL510" s="212"/>
    </row>
    <row r="511" spans="10:90" ht="24.75" customHeight="1" x14ac:dyDescent="0.75">
      <c r="J511" s="220"/>
      <c r="K511" s="2"/>
      <c r="N511" s="212"/>
      <c r="O511" s="212"/>
      <c r="P511" s="212"/>
      <c r="Q511" s="212"/>
      <c r="R511" s="212"/>
      <c r="S511" s="212"/>
      <c r="T511" s="212"/>
      <c r="U511" s="212"/>
      <c r="V511" s="212"/>
      <c r="W511" s="212"/>
      <c r="X511" s="212"/>
      <c r="Y511" s="212"/>
      <c r="Z511" s="212"/>
      <c r="AA511" s="212"/>
      <c r="AB511" s="212"/>
      <c r="AC511" s="212"/>
      <c r="AD511" s="212"/>
      <c r="AE511" s="212"/>
      <c r="AF511" s="212"/>
      <c r="AG511" s="212"/>
      <c r="AH511" s="212"/>
      <c r="AI511" s="212"/>
      <c r="AJ511" s="212"/>
      <c r="AK511" s="212"/>
      <c r="AL511" s="212"/>
      <c r="AM511" s="212"/>
      <c r="AN511" s="212"/>
      <c r="AO511" s="212"/>
      <c r="AP511" s="212"/>
      <c r="AQ511" s="212"/>
      <c r="AR511" s="212"/>
      <c r="AS511" s="212"/>
      <c r="AT511" s="212"/>
      <c r="AU511" s="212"/>
      <c r="AV511" s="212"/>
      <c r="AW511" s="212"/>
      <c r="AX511" s="212"/>
      <c r="AY511" s="212"/>
      <c r="AZ511" s="212"/>
      <c r="BA511" s="212"/>
      <c r="BB511" s="212"/>
      <c r="BC511" s="212"/>
      <c r="BD511" s="212"/>
      <c r="BE511" s="212"/>
      <c r="BF511" s="212"/>
      <c r="BG511" s="212"/>
      <c r="BH511" s="212"/>
      <c r="BI511" s="212"/>
      <c r="BJ511" s="212"/>
      <c r="BK511" s="212"/>
      <c r="BL511" s="212"/>
      <c r="BM511" s="212"/>
      <c r="BN511" s="212"/>
      <c r="BO511" s="212"/>
      <c r="BP511" s="212"/>
      <c r="BQ511" s="212"/>
      <c r="BR511" s="212"/>
      <c r="BS511" s="212"/>
      <c r="BT511" s="212"/>
      <c r="BU511" s="212"/>
      <c r="BV511" s="212"/>
      <c r="BW511" s="212"/>
      <c r="BX511" s="212"/>
      <c r="BY511" s="212"/>
      <c r="BZ511" s="212"/>
      <c r="CA511" s="212"/>
      <c r="CB511" s="212"/>
      <c r="CC511" s="212"/>
      <c r="CD511" s="212"/>
      <c r="CE511" s="212"/>
      <c r="CF511" s="212"/>
      <c r="CG511" s="212"/>
      <c r="CH511" s="212"/>
      <c r="CI511" s="212"/>
      <c r="CJ511" s="212"/>
      <c r="CK511" s="212"/>
      <c r="CL511" s="212"/>
    </row>
    <row r="512" spans="10:90" ht="24.75" customHeight="1" x14ac:dyDescent="0.75">
      <c r="J512" s="220"/>
      <c r="K512" s="2"/>
      <c r="N512" s="212"/>
      <c r="O512" s="212"/>
      <c r="P512" s="212"/>
      <c r="Q512" s="212"/>
      <c r="R512" s="212"/>
      <c r="S512" s="212"/>
      <c r="T512" s="212"/>
      <c r="U512" s="212"/>
      <c r="V512" s="212"/>
      <c r="W512" s="212"/>
      <c r="X512" s="212"/>
      <c r="Y512" s="212"/>
      <c r="Z512" s="212"/>
      <c r="AA512" s="212"/>
      <c r="AB512" s="212"/>
      <c r="AC512" s="212"/>
      <c r="AD512" s="212"/>
      <c r="AE512" s="212"/>
      <c r="AF512" s="212"/>
      <c r="AG512" s="212"/>
      <c r="AH512" s="212"/>
      <c r="AI512" s="212"/>
      <c r="AJ512" s="212"/>
      <c r="AK512" s="212"/>
      <c r="AL512" s="212"/>
      <c r="AM512" s="212"/>
      <c r="AN512" s="212"/>
      <c r="AO512" s="212"/>
      <c r="AP512" s="212"/>
      <c r="AQ512" s="212"/>
      <c r="AR512" s="212"/>
      <c r="AS512" s="212"/>
      <c r="AT512" s="212"/>
      <c r="AU512" s="212"/>
      <c r="AV512" s="212"/>
      <c r="AW512" s="212"/>
      <c r="AX512" s="212"/>
      <c r="AY512" s="212"/>
      <c r="AZ512" s="212"/>
      <c r="BA512" s="212"/>
      <c r="BB512" s="212"/>
      <c r="BC512" s="212"/>
      <c r="BD512" s="212"/>
      <c r="BE512" s="212"/>
      <c r="BF512" s="212"/>
      <c r="BG512" s="212"/>
      <c r="BH512" s="212"/>
      <c r="BI512" s="212"/>
      <c r="BJ512" s="212"/>
      <c r="BK512" s="212"/>
      <c r="BL512" s="212"/>
      <c r="BM512" s="212"/>
      <c r="BN512" s="212"/>
      <c r="BO512" s="212"/>
      <c r="BP512" s="212"/>
      <c r="BQ512" s="212"/>
      <c r="BR512" s="212"/>
      <c r="BS512" s="212"/>
      <c r="BT512" s="212"/>
      <c r="BU512" s="212"/>
      <c r="BV512" s="212"/>
      <c r="BW512" s="212"/>
      <c r="BX512" s="212"/>
      <c r="BY512" s="212"/>
      <c r="BZ512" s="212"/>
      <c r="CA512" s="212"/>
      <c r="CB512" s="212"/>
      <c r="CC512" s="212"/>
      <c r="CD512" s="212"/>
      <c r="CE512" s="212"/>
      <c r="CF512" s="212"/>
      <c r="CG512" s="212"/>
      <c r="CH512" s="212"/>
      <c r="CI512" s="212"/>
      <c r="CJ512" s="212"/>
      <c r="CK512" s="212"/>
      <c r="CL512" s="212"/>
    </row>
  </sheetData>
  <mergeCells count="36">
    <mergeCell ref="AR11:AT11"/>
    <mergeCell ref="AU11:AW11"/>
    <mergeCell ref="AX11:AZ11"/>
    <mergeCell ref="BA11:BC11"/>
    <mergeCell ref="J10:J12"/>
    <mergeCell ref="K10:K12"/>
    <mergeCell ref="L10:L12"/>
    <mergeCell ref="M10:M12"/>
    <mergeCell ref="N10:P10"/>
    <mergeCell ref="Q10:S10"/>
    <mergeCell ref="BS10:CG10"/>
    <mergeCell ref="CH10:CJ11"/>
    <mergeCell ref="N11:P11"/>
    <mergeCell ref="Q11:S11"/>
    <mergeCell ref="T11:V11"/>
    <mergeCell ref="W11:Y11"/>
    <mergeCell ref="Z11:AB11"/>
    <mergeCell ref="AC11:AE11"/>
    <mergeCell ref="AF11:AH11"/>
    <mergeCell ref="AO11:AQ11"/>
    <mergeCell ref="T10:V10"/>
    <mergeCell ref="W10:AH10"/>
    <mergeCell ref="AI10:AK11"/>
    <mergeCell ref="AL10:AN11"/>
    <mergeCell ref="AO10:AZ10"/>
    <mergeCell ref="BA10:BR10"/>
    <mergeCell ref="BV11:BX11"/>
    <mergeCell ref="BY11:CA11"/>
    <mergeCell ref="CB11:CD11"/>
    <mergeCell ref="CE11:CG11"/>
    <mergeCell ref="BD11:BF11"/>
    <mergeCell ref="BG11:BI11"/>
    <mergeCell ref="BJ11:BL11"/>
    <mergeCell ref="BM11:BO11"/>
    <mergeCell ref="BP11:BR11"/>
    <mergeCell ref="BS11:BU11"/>
  </mergeCells>
  <printOptions horizontalCentered="1"/>
  <pageMargins left="0.31496062992125984" right="0.31496062992125984" top="0.23622047244094491" bottom="0.43307086614173229" header="0.15748031496062992" footer="0.15748031496062992"/>
  <pageSetup paperSize="9" scale="53" fitToHeight="0" pageOrder="overThenDown" orientation="landscape" errors="blank" r:id="rId1"/>
  <headerFooter>
    <oddFooter>&amp;C&amp;"Khmer MEF1,Regular"&amp;8ទំព័រ&amp;"-,Regular"&amp;11 &amp;"Limon S1,Normal"&amp;16&amp;P&amp;"Arial Narrow,Regular"&amp;10 &amp;"Khmer MEF1,Regular"&amp;8នៃ&amp;"Arial Narrow,Regular"&amp;10 &amp;"Limon S1,Normal"&amp;16&amp;N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2.Total Revenue</vt:lpstr>
      <vt:lpstr>'2.Total Revenue'!Print_Area</vt:lpstr>
      <vt:lpstr>'2.Total Revenue'!Print_Titles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Daro</dc:creator>
  <cp:lastModifiedBy>Sineth-GSC</cp:lastModifiedBy>
  <dcterms:created xsi:type="dcterms:W3CDTF">2022-07-20T07:53:27Z</dcterms:created>
  <dcterms:modified xsi:type="dcterms:W3CDTF">2023-05-24T09:18:39Z</dcterms:modified>
</cp:coreProperties>
</file>
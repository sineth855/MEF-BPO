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Rev-Exp-Program\"/>
    </mc:Choice>
  </mc:AlternateContent>
  <xr:revisionPtr revIDLastSave="0" documentId="13_ncr:1_{F51C2566-E5C0-4B1E-B5A3-91B000A8D086}" xr6:coauthVersionLast="47" xr6:coauthVersionMax="47" xr10:uidLastSave="{00000000-0000-0000-0000-000000000000}"/>
  <bookViews>
    <workbookView xWindow="-90" yWindow="-90" windowWidth="19380" windowHeight="10260" xr2:uid="{DFFBE379-3765-4C5F-A781-535170B7EAC5}"/>
  </bookViews>
  <sheets>
    <sheet name="Sample" sheetId="1" r:id="rId1"/>
  </sheets>
  <externalReferences>
    <externalReference r:id="rId2"/>
    <externalReference r:id="rId3"/>
    <externalReference r:id="rId4"/>
    <externalReference r:id="rId5"/>
  </externalReferences>
  <definedNames>
    <definedName name="_2Ch" localSheetId="0">[1]English!#REF!</definedName>
    <definedName name="_2Ch">[1]English!#REF!</definedName>
    <definedName name="_3Ch" localSheetId="0">[1]English!#REF!</definedName>
    <definedName name="_3Ch">[1]English!#REF!</definedName>
    <definedName name="_4Ch" localSheetId="0">[1]English!#REF!</definedName>
    <definedName name="_4Ch">[1]English!#REF!</definedName>
    <definedName name="_6Ch" localSheetId="0">[1]English!#REF!</definedName>
    <definedName name="_6Ch">[1]English!#REF!</definedName>
    <definedName name="_xlnm._FilterDatabase" localSheetId="0" hidden="1">Sample!$AV$12:$AZ$25</definedName>
    <definedName name="_KVB1" localSheetId="0">#REF!</definedName>
    <definedName name="_KVB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bc" localSheetId="0">#REF!</definedName>
    <definedName name="abc">#REF!</definedName>
    <definedName name="Annex2.7B" localSheetId="0">#REF!</definedName>
    <definedName name="Annex2.7B">#REF!</definedName>
    <definedName name="Annex4B" localSheetId="0">#REF!</definedName>
    <definedName name="Annex4B">#REF!</definedName>
    <definedName name="ass" localSheetId="0">#REF!</definedName>
    <definedName name="ass">#REF!</definedName>
    <definedName name="b" localSheetId="0">#REF!</definedName>
    <definedName name="b">#REF!</definedName>
    <definedName name="baaaa" localSheetId="0">#REF!</definedName>
    <definedName name="baaaa">#REF!</definedName>
    <definedName name="Balance" localSheetId="0">[2]Total!#REF!</definedName>
    <definedName name="Balance">[2]Total!#REF!</definedName>
    <definedName name="BBB" localSheetId="0">#REF!</definedName>
    <definedName name="BBB">#REF!</definedName>
    <definedName name="br" localSheetId="0">#REF!</definedName>
    <definedName name="br">#REF!</definedName>
    <definedName name="brer" localSheetId="0">#REF!</definedName>
    <definedName name="brer">#REF!</definedName>
    <definedName name="CCC" localSheetId="0">#REF!</definedName>
    <definedName name="CCC">#REF!</definedName>
    <definedName name="Cheng" localSheetId="0">#REF!</definedName>
    <definedName name="Cheng">#REF!</definedName>
    <definedName name="content" localSheetId="0">#REF!</definedName>
    <definedName name="content">#REF!</definedName>
    <definedName name="corr" localSheetId="0">#REF!</definedName>
    <definedName name="corr">#REF!</definedName>
    <definedName name="correct" localSheetId="0">#REF!</definedName>
    <definedName name="correct">#REF!</definedName>
    <definedName name="darar2" localSheetId="0">[1]English!#REF!</definedName>
    <definedName name="darar2">[1]English!#REF!</definedName>
    <definedName name="dfd" localSheetId="0">#REF!</definedName>
    <definedName name="dfd">#REF!</definedName>
    <definedName name="dfdgag" localSheetId="0">#REF!</definedName>
    <definedName name="dfdgag">#REF!</definedName>
    <definedName name="dfdsf" localSheetId="0">#REF!</definedName>
    <definedName name="dfdsf">#REF!</definedName>
    <definedName name="documetn" localSheetId="0">#REF!</definedName>
    <definedName name="documetn">#REF!</definedName>
    <definedName name="documetna" localSheetId="0">#REF!</definedName>
    <definedName name="documetna">#REF!</definedName>
    <definedName name="dsavaw2q1" localSheetId="0">'[3]Costing(ដំបូង)'!#REF!</definedName>
    <definedName name="dsavaw2q1">'[3]Costing(ដំបូង)'!#REF!</definedName>
    <definedName name="ghhhh" localSheetId="0">#REF!</definedName>
    <definedName name="ghhhh">#REF!</definedName>
    <definedName name="gjgjkkgfkfc" localSheetId="0">#REF!</definedName>
    <definedName name="gjgjkkgfkfc">#REF!</definedName>
    <definedName name="Gov.LAD" localSheetId="0">#REF!</definedName>
    <definedName name="Gov.LAD">#REF!</definedName>
    <definedName name="h" localSheetId="0">#REF!</definedName>
    <definedName name="h">#REF!</definedName>
    <definedName name="hello" localSheetId="0">#REF!</definedName>
    <definedName name="hello">#REF!</definedName>
    <definedName name="hello1" localSheetId="0">#REF!</definedName>
    <definedName name="hello1">#REF!</definedName>
    <definedName name="hhh" localSheetId="0">#REF!</definedName>
    <definedName name="hhh">#REF!</definedName>
    <definedName name="hI" localSheetId="0">#REF!</definedName>
    <definedName name="hI">#REF!</definedName>
    <definedName name="jw3iqkdlk" localSheetId="0">#REF!</definedName>
    <definedName name="jw3iqkdlk">#REF!</definedName>
    <definedName name="K" localSheetId="0">[4]English!#REF!</definedName>
    <definedName name="K">[4]English!#REF!</definedName>
    <definedName name="Loi_de_Règlement__1998" localSheetId="0">#REF!</definedName>
    <definedName name="Loi_de_Règlement__1998">#REF!</definedName>
    <definedName name="M" localSheetId="0">#REF!</definedName>
    <definedName name="M">#REF!</definedName>
    <definedName name="new" localSheetId="0">#REF!</definedName>
    <definedName name="new">#REF!</definedName>
    <definedName name="NT" localSheetId="0">#REF!</definedName>
    <definedName name="NT">#REF!</definedName>
    <definedName name="pop" localSheetId="0">#REF!</definedName>
    <definedName name="pop">#REF!</definedName>
    <definedName name="_xlnm.Print_Area" localSheetId="0">Sample!$G$1:$AU$28</definedName>
    <definedName name="programmExQ2" localSheetId="0">'[3]Costing(ដំបូង)'!#REF!</definedName>
    <definedName name="programmExQ2">'[3]Costing(ដំបូង)'!#REF!</definedName>
    <definedName name="R5778.8" localSheetId="0">#REF!</definedName>
    <definedName name="R5778.8">#REF!</definedName>
    <definedName name="samnang" localSheetId="0">#REF!</definedName>
    <definedName name="samnang">#REF!</definedName>
    <definedName name="Samphors" localSheetId="0">#REF!</definedName>
    <definedName name="Samphors">#REF!</definedName>
    <definedName name="Sheet4" localSheetId="0">#REF!</definedName>
    <definedName name="Sheet4">#REF!</definedName>
    <definedName name="ss" localSheetId="0">#REF!</definedName>
    <definedName name="ss">#REF!</definedName>
    <definedName name="TBK" localSheetId="0">#REF!</definedName>
    <definedName name="TBK">#REF!</definedName>
    <definedName name="tc" localSheetId="0">#REF!</definedName>
    <definedName name="tc">#REF!</definedName>
    <definedName name="tcsss" localSheetId="0">#REF!</definedName>
    <definedName name="tcsss">#REF!</definedName>
    <definedName name="tvdf" localSheetId="0">#REF!</definedName>
    <definedName name="tvdf">#REF!</definedName>
    <definedName name="u" localSheetId="0">#REF!</definedName>
    <definedName name="u">#REF!</definedName>
    <definedName name="z" localSheetId="0">#REF!</definedName>
    <definedName name="z">#REF!</definedName>
    <definedName name="មមម" localSheetId="0">#REF!</definedName>
    <definedName name="មមម">#REF!</definedName>
    <definedName name="ល.រ" localSheetId="0">'[3]Costing(ដំបូង)'!#REF!</definedName>
    <definedName name="ល.រ">'[3]Costing(ដំបូង)'!#REF!</definedName>
    <definedName name="ស" localSheetId="0">#REF!</definedName>
    <definedName name="ស">#REF!</definedName>
    <definedName name="សរុប" localSheetId="0">'[3]Costing(ដំបូង)'!#REF!</definedName>
    <definedName name="សរុប">'[3]Costing(ដំបូង)'!#REF!</definedName>
    <definedName name="ឪ155" localSheetId="0">#REF!</definedName>
    <definedName name="ឪ155">#REF!</definedName>
    <definedName name="អនុគណនី" localSheetId="0">'[3]Costing(ដំបូង)'!#REF!</definedName>
    <definedName name="អនុគណនី">'[3]Costing(ដំបូង)'!#REF!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" l="1"/>
  <c r="AQ20" i="1"/>
  <c r="AM20" i="1"/>
  <c r="AI20" i="1"/>
  <c r="AE20" i="1"/>
  <c r="AA20" i="1"/>
  <c r="W20" i="1"/>
  <c r="S20" i="1"/>
  <c r="O20" i="1"/>
  <c r="AQ19" i="1"/>
  <c r="AM19" i="1"/>
  <c r="AI19" i="1"/>
  <c r="AE19" i="1"/>
  <c r="AA19" i="1"/>
  <c r="W19" i="1"/>
  <c r="S19" i="1"/>
  <c r="O19" i="1"/>
  <c r="AQ18" i="1"/>
  <c r="AM18" i="1"/>
  <c r="AI18" i="1"/>
  <c r="AE18" i="1"/>
  <c r="AA18" i="1"/>
  <c r="W18" i="1"/>
  <c r="S18" i="1"/>
  <c r="O18" i="1"/>
  <c r="AQ17" i="1"/>
  <c r="AM17" i="1"/>
  <c r="AI17" i="1"/>
  <c r="AE17" i="1"/>
  <c r="AA17" i="1"/>
  <c r="W17" i="1"/>
  <c r="S17" i="1"/>
  <c r="O17" i="1"/>
  <c r="AQ16" i="1"/>
  <c r="AM16" i="1"/>
  <c r="AI16" i="1"/>
  <c r="AE16" i="1"/>
  <c r="AA16" i="1"/>
  <c r="W16" i="1"/>
  <c r="S16" i="1"/>
  <c r="O16" i="1"/>
  <c r="AQ15" i="1"/>
  <c r="AM15" i="1"/>
  <c r="AI15" i="1"/>
  <c r="AE15" i="1"/>
  <c r="AA15" i="1"/>
  <c r="W15" i="1"/>
  <c r="W14" i="1" s="1"/>
  <c r="W13" i="1" s="1"/>
  <c r="S15" i="1"/>
  <c r="AT14" i="1"/>
  <c r="AT13" i="1" s="1"/>
  <c r="AS14" i="1"/>
  <c r="AS13" i="1" s="1"/>
  <c r="AR14" i="1"/>
  <c r="AR13" i="1" s="1"/>
  <c r="AP14" i="1"/>
  <c r="AP13" i="1" s="1"/>
  <c r="AO14" i="1"/>
  <c r="AO13" i="1" s="1"/>
  <c r="AN14" i="1"/>
  <c r="AN13" i="1" s="1"/>
  <c r="AL14" i="1"/>
  <c r="AK14" i="1"/>
  <c r="AK13" i="1" s="1"/>
  <c r="AJ14" i="1"/>
  <c r="AJ13" i="1" s="1"/>
  <c r="AH14" i="1"/>
  <c r="AH13" i="1" s="1"/>
  <c r="AG14" i="1"/>
  <c r="AG13" i="1" s="1"/>
  <c r="AF14" i="1"/>
  <c r="AF13" i="1" s="1"/>
  <c r="AD14" i="1"/>
  <c r="AD13" i="1" s="1"/>
  <c r="AC14" i="1"/>
  <c r="AC13" i="1" s="1"/>
  <c r="AB14" i="1"/>
  <c r="AB13" i="1" s="1"/>
  <c r="Z14" i="1"/>
  <c r="Z13" i="1" s="1"/>
  <c r="Y14" i="1"/>
  <c r="Y13" i="1" s="1"/>
  <c r="X14" i="1"/>
  <c r="X13" i="1" s="1"/>
  <c r="V14" i="1"/>
  <c r="U14" i="1"/>
  <c r="U13" i="1" s="1"/>
  <c r="T14" i="1"/>
  <c r="T13" i="1" s="1"/>
  <c r="R14" i="1"/>
  <c r="R13" i="1" s="1"/>
  <c r="Q14" i="1"/>
  <c r="Q13" i="1" s="1"/>
  <c r="P14" i="1"/>
  <c r="P13" i="1" s="1"/>
  <c r="L14" i="1"/>
  <c r="L13" i="1" s="1"/>
  <c r="K14" i="1"/>
  <c r="K13" i="1" s="1"/>
  <c r="AL13" i="1"/>
  <c r="V13" i="1"/>
  <c r="AA14" i="1" l="1"/>
  <c r="AA13" i="1" s="1"/>
  <c r="AE14" i="1"/>
  <c r="AE13" i="1" s="1"/>
  <c r="M19" i="1"/>
  <c r="AV19" i="1" s="1"/>
  <c r="M16" i="1"/>
  <c r="M17" i="1"/>
  <c r="M18" i="1"/>
  <c r="N18" i="1" s="1"/>
  <c r="M20" i="1"/>
  <c r="AV20" i="1" s="1"/>
  <c r="M15" i="1"/>
  <c r="N15" i="1" s="1"/>
  <c r="AI14" i="1"/>
  <c r="AI13" i="1" s="1"/>
  <c r="AQ13" i="1"/>
  <c r="AM14" i="1"/>
  <c r="AM13" i="1" s="1"/>
  <c r="S14" i="1"/>
  <c r="S13" i="1" s="1"/>
  <c r="AV16" i="1"/>
  <c r="N16" i="1"/>
  <c r="AV17" i="1"/>
  <c r="N17" i="1"/>
  <c r="AQ14" i="1"/>
  <c r="O14" i="1"/>
  <c r="O13" i="1" s="1"/>
  <c r="N19" i="1" l="1"/>
  <c r="AV18" i="1"/>
  <c r="M14" i="1"/>
  <c r="M13" i="1" s="1"/>
  <c r="AV15" i="1"/>
  <c r="N20" i="1"/>
  <c r="AV13" i="1"/>
  <c r="AV14" i="1"/>
  <c r="N14" i="1" l="1"/>
  <c r="N13" i="1" s="1"/>
</calcChain>
</file>

<file path=xl/sharedStrings.xml><?xml version="1.0" encoding="utf-8"?>
<sst xmlns="http://schemas.openxmlformats.org/spreadsheetml/2006/main" count="127" uniqueCount="104">
  <si>
    <t>ព្រះរាជាណាចក្រកម្ពុជា</t>
  </si>
  <si>
    <t>ក្រសួងសេដ្ឋកិច្ច​និងហិរញ្ញវត្ថុ</t>
  </si>
  <si>
    <t>ជាតិ សាសនា ព្រះមហាក្សត្រ</t>
  </si>
  <si>
    <t>អគ្គនាយកដ្ឋាន/មន្ទីរ...</t>
  </si>
  <si>
    <t>គម្រោងកម្មវិធី​ចំណាយ​ថវិកា​ថ្នាក់​ជាតិ-ប្រចាំ​ឆ្នាំ​.....</t>
  </si>
  <si>
    <t>របស់អគ្គនាយកដ្ឋាន/មន្ទីរ....</t>
  </si>
  <si>
    <t>ឯកតា៖ ពាន់រៀល</t>
  </si>
  <si>
    <t>ក្រសួង-ស្ថាប័ន</t>
  </si>
  <si>
    <t>ច្បាប់
ហិរញ្ញវត្ថុ</t>
  </si>
  <si>
    <t>ឥណទាន
ថ្មី</t>
  </si>
  <si>
    <t>សរុប​គម្រោងកម្មវិធី
ប្រចាំឆ្នាំ...</t>
  </si>
  <si>
    <t>ត្រីមាសទី១</t>
  </si>
  <si>
    <t>ត្រីមាសទី២</t>
  </si>
  <si>
    <t>ត្រីមាសទី៣</t>
  </si>
  <si>
    <t>ត្រីមាសទី៤</t>
  </si>
  <si>
    <t>ផ្សេងៗ</t>
  </si>
  <si>
    <t>គ្រោង​ដើមឆ្នាំ</t>
  </si>
  <si>
    <t>អនុវត្ត</t>
  </si>
  <si>
    <t>ប៉ាន់ស្មានអនុវត្ត</t>
  </si>
  <si>
    <t>ស្នើសុំកែតម្រូវ</t>
  </si>
  <si>
    <t>ទឹកប្រាក់</t>
  </si>
  <si>
    <t>%ច្បាប់</t>
  </si>
  <si>
    <t>សរុប</t>
  </si>
  <si>
    <t>ខែ​១</t>
  </si>
  <si>
    <t>ខែ​២</t>
  </si>
  <si>
    <t>ខែ​៣</t>
  </si>
  <si>
    <t>អនុ.ខែ​១</t>
  </si>
  <si>
    <t>អនុ.ខែ​២</t>
  </si>
  <si>
    <t>អនុ.ខែ​៣</t>
  </si>
  <si>
    <t>ខែ​៤</t>
  </si>
  <si>
    <t>ខែ​៥</t>
  </si>
  <si>
    <t>ខែ​៦</t>
  </si>
  <si>
    <t>អនុ.ខែ​៤</t>
  </si>
  <si>
    <t>អនុ.ខែ​៥</t>
  </si>
  <si>
    <t>ប៉ាន់.ខែ​៦</t>
  </si>
  <si>
    <t>ខែ​៧</t>
  </si>
  <si>
    <t>ខែ​៨</t>
  </si>
  <si>
    <t>ខែ​៩</t>
  </si>
  <si>
    <t>ខែ១០</t>
  </si>
  <si>
    <t>ខែ១១</t>
  </si>
  <si>
    <t>ខែ​១២</t>
  </si>
  <si>
    <t>Detail</t>
  </si>
  <si>
    <t>By
Ministries</t>
  </si>
  <si>
    <t>By Sectors
Chapters</t>
  </si>
  <si>
    <t>By Sectors</t>
  </si>
  <si>
    <t>By Chapters</t>
  </si>
  <si>
    <t>អង្គភាពថវិកាថ្នាក់កណ្តាល/មន្ទីរ</t>
  </si>
  <si>
    <t>OK</t>
  </si>
  <si>
    <t>​​  ចំណាយចរន្ដ</t>
  </si>
  <si>
    <t>ជំពូក ៦០: ការទិញ</t>
  </si>
  <si>
    <t>ជំពូក ៦១: សេវាកម្ម</t>
  </si>
  <si>
    <t>ជំពូក ៦៤: បន្ទុកបុគ្គលិក</t>
  </si>
  <si>
    <t>ជំពូក ៦២: អត្ថប្រយាជន៍សង្គម</t>
  </si>
  <si>
    <t>ជំពូក ៦៥: ឧបត្ថម្ភកធន</t>
  </si>
  <si>
    <t>ជំពូក ៦៣: ពន្ធ និង អាករ</t>
  </si>
  <si>
    <t>រាជធានីភ្នំពេញ ថ្ងៃទី      ខែ         ឆ្នាំ២០១...</t>
  </si>
  <si>
    <t>បានឃើញនិងពិនិត្យត្រឹមត្រូវ</t>
  </si>
  <si>
    <t>អ្នករៀបចំ</t>
  </si>
  <si>
    <t>បានឃើញនិងឯកភាព</t>
  </si>
  <si>
    <t>រាជធានីភ្នំពេញ ថ្ងៃទី        ខែ          ឆ្នាំ២០១...</t>
  </si>
  <si>
    <t>ប្រធាននាយកដ្ឋាន.......</t>
  </si>
  <si>
    <t>អគ្គនាយក/ប្រធានមន្ទីរ....</t>
  </si>
  <si>
    <t>id</t>
  </si>
  <si>
    <t>rev_pro_id</t>
  </si>
  <si>
    <t>entity_id</t>
  </si>
  <si>
    <t>account_group_id</t>
  </si>
  <si>
    <t>account_id</t>
  </si>
  <si>
    <t>sub_account_id</t>
  </si>
  <si>
    <t>finance_law</t>
  </si>
  <si>
    <t>annual_program_plan</t>
  </si>
  <si>
    <t>annual_percentage_law</t>
  </si>
  <si>
    <t>s1_total_bp</t>
  </si>
  <si>
    <t>s1_bp_jan</t>
  </si>
  <si>
    <t>s1_bp_feb</t>
  </si>
  <si>
    <t>s1_bp_mar</t>
  </si>
  <si>
    <t>s1_total_est_imp</t>
  </si>
  <si>
    <t>s1_est_imp_jan</t>
  </si>
  <si>
    <t>s1_est_imp_feb</t>
  </si>
  <si>
    <t>s1_est_imp_mar</t>
  </si>
  <si>
    <t>s2_total_bp</t>
  </si>
  <si>
    <t>s2_bp_apr</t>
  </si>
  <si>
    <t>s2_bp_may</t>
  </si>
  <si>
    <t>s2_bp_jun</t>
  </si>
  <si>
    <t>s2_total_adj</t>
  </si>
  <si>
    <t>s2_adj_apr</t>
  </si>
  <si>
    <t>s2_adj_may</t>
  </si>
  <si>
    <t>s2_adj_jun</t>
  </si>
  <si>
    <t>s3_total_pb</t>
  </si>
  <si>
    <t>s3_bp_jul</t>
  </si>
  <si>
    <t>s3_bp_aug</t>
  </si>
  <si>
    <t>s3_bp_sep</t>
  </si>
  <si>
    <t>s3_total_est_imp</t>
  </si>
  <si>
    <t>s3_est_imp_jul</t>
  </si>
  <si>
    <t>s3_est_imp_aug</t>
  </si>
  <si>
    <t>s3_est_imp_sep</t>
  </si>
  <si>
    <t>s4_total_bp</t>
  </si>
  <si>
    <t>s4_bp_oct</t>
  </si>
  <si>
    <t>s4_bp_nov</t>
  </si>
  <si>
    <t>s4_bp_dec</t>
  </si>
  <si>
    <t>s4_total_adj</t>
  </si>
  <si>
    <t>s4_adj_nov</t>
  </si>
  <si>
    <t>s4_adj_dec</t>
  </si>
  <si>
    <t>remark</t>
  </si>
  <si>
    <t>new_credit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</si>
</sst>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;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Khmer OS Siemreap"/>
    </font>
    <font>
      <sz val="10"/>
      <color theme="1"/>
      <name val="Khmer MEF2"/>
    </font>
    <font>
      <sz val="10"/>
      <name val="Arial"/>
      <family val="2"/>
    </font>
    <font>
      <sz val="11"/>
      <color theme="1"/>
      <name val="Khmer MEF2"/>
    </font>
    <font>
      <sz val="11"/>
      <color theme="1"/>
      <name val="Khmer OS Muol Light"/>
    </font>
    <font>
      <sz val="10"/>
      <color theme="1"/>
      <name val="Khmer MEF1"/>
    </font>
    <font>
      <sz val="11"/>
      <color theme="1"/>
      <name val="Khmer MEF1"/>
    </font>
    <font>
      <sz val="12"/>
      <color theme="1"/>
      <name val="Khmer MEF2"/>
    </font>
    <font>
      <sz val="9"/>
      <color theme="1"/>
      <name val="Khmer MEF1"/>
    </font>
    <font>
      <b/>
      <sz val="10"/>
      <color theme="1"/>
      <name val="Khmer MEF1"/>
    </font>
    <font>
      <b/>
      <sz val="10"/>
      <name val="Khmer MEF1"/>
    </font>
    <font>
      <b/>
      <sz val="10"/>
      <name val="Arial Narrow"/>
      <family val="2"/>
    </font>
    <font>
      <b/>
      <sz val="10"/>
      <name val="Khmer OS Siemreap"/>
    </font>
    <font>
      <b/>
      <sz val="10"/>
      <color rgb="FFFF0000"/>
      <name val="Khmer OS Siemreap"/>
    </font>
    <font>
      <sz val="10"/>
      <name val="Times New Roman"/>
      <family val="1"/>
    </font>
    <font>
      <sz val="10"/>
      <name val="Khmer MEF1"/>
    </font>
    <font>
      <sz val="10"/>
      <name val="Arial Narrow"/>
      <family val="2"/>
    </font>
    <font>
      <sz val="10"/>
      <name val="Khmer OS Siemreap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sz val="10"/>
      <color rgb="FF0033CC"/>
      <name val="Arial Narrow"/>
      <family val="2"/>
    </font>
    <font>
      <sz val="10"/>
      <color rgb="FF00B050"/>
      <name val="Arial Narrow"/>
      <family val="2"/>
    </font>
    <font>
      <sz val="12"/>
      <color rgb="FF000000"/>
      <name val="Khmer MEF1"/>
    </font>
    <font>
      <sz val="12"/>
      <color rgb="FF000000"/>
      <name val="Khmer MEF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16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9" xfId="0" applyFont="1" applyBorder="1" applyAlignment="1">
      <alignment horizontal="center" vertical="center" wrapText="1"/>
    </xf>
    <xf numFmtId="164" fontId="11" fillId="0" borderId="10" xfId="1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13" fillId="0" borderId="14" xfId="0" applyNumberFormat="1" applyFont="1" applyBorder="1" applyAlignment="1">
      <alignment vertical="center"/>
    </xf>
    <xf numFmtId="165" fontId="13" fillId="0" borderId="15" xfId="0" applyNumberFormat="1" applyFont="1" applyBorder="1" applyAlignment="1">
      <alignment vertical="center"/>
    </xf>
    <xf numFmtId="165" fontId="13" fillId="0" borderId="16" xfId="0" applyNumberFormat="1" applyFont="1" applyBorder="1" applyAlignment="1">
      <alignment vertical="center"/>
    </xf>
    <xf numFmtId="9" fontId="13" fillId="0" borderId="17" xfId="1" applyFont="1" applyFill="1" applyBorder="1" applyAlignment="1">
      <alignment horizontal="right" vertical="center"/>
    </xf>
    <xf numFmtId="165" fontId="13" fillId="0" borderId="18" xfId="0" applyNumberFormat="1" applyFont="1" applyBorder="1" applyAlignment="1">
      <alignment vertical="center"/>
    </xf>
    <xf numFmtId="165" fontId="13" fillId="0" borderId="17" xfId="0" applyNumberFormat="1" applyFont="1" applyBorder="1" applyAlignment="1">
      <alignment vertical="center"/>
    </xf>
    <xf numFmtId="165" fontId="14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14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17" fillId="0" borderId="14" xfId="4" applyFont="1" applyBorder="1" applyAlignment="1">
      <alignment horizontal="left" vertical="center"/>
    </xf>
    <xf numFmtId="165" fontId="18" fillId="0" borderId="14" xfId="0" applyNumberFormat="1" applyFont="1" applyBorder="1" applyAlignment="1">
      <alignment vertical="center"/>
    </xf>
    <xf numFmtId="165" fontId="18" fillId="0" borderId="15" xfId="0" applyNumberFormat="1" applyFont="1" applyBorder="1" applyAlignment="1">
      <alignment vertical="center"/>
    </xf>
    <xf numFmtId="165" fontId="18" fillId="0" borderId="16" xfId="0" applyNumberFormat="1" applyFont="1" applyBorder="1" applyAlignment="1">
      <alignment vertical="center"/>
    </xf>
    <xf numFmtId="9" fontId="18" fillId="0" borderId="17" xfId="1" applyFont="1" applyFill="1" applyBorder="1" applyAlignment="1">
      <alignment horizontal="right" vertical="center"/>
    </xf>
    <xf numFmtId="165" fontId="18" fillId="0" borderId="18" xfId="0" applyNumberFormat="1" applyFont="1" applyBorder="1" applyAlignment="1">
      <alignment vertical="center"/>
    </xf>
    <xf numFmtId="165" fontId="18" fillId="0" borderId="17" xfId="0" applyNumberFormat="1" applyFont="1" applyBorder="1" applyAlignment="1">
      <alignment vertical="center"/>
    </xf>
    <xf numFmtId="165" fontId="19" fillId="0" borderId="19" xfId="0" applyNumberFormat="1" applyFont="1" applyBorder="1" applyAlignment="1">
      <alignment vertical="center"/>
    </xf>
    <xf numFmtId="10" fontId="20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166" fontId="17" fillId="0" borderId="14" xfId="3" applyNumberFormat="1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7" fillId="0" borderId="22" xfId="4" applyFont="1" applyBorder="1" applyAlignment="1">
      <alignment horizontal="left" vertical="center"/>
    </xf>
    <xf numFmtId="165" fontId="18" fillId="0" borderId="22" xfId="0" applyNumberFormat="1" applyFont="1" applyBorder="1" applyAlignment="1">
      <alignment vertical="center"/>
    </xf>
    <xf numFmtId="165" fontId="18" fillId="0" borderId="23" xfId="0" applyNumberFormat="1" applyFont="1" applyBorder="1" applyAlignment="1">
      <alignment vertical="center"/>
    </xf>
    <xf numFmtId="165" fontId="18" fillId="0" borderId="24" xfId="0" applyNumberFormat="1" applyFont="1" applyBorder="1" applyAlignment="1">
      <alignment vertical="center"/>
    </xf>
    <xf numFmtId="9" fontId="18" fillId="0" borderId="25" xfId="1" applyFont="1" applyFill="1" applyBorder="1" applyAlignment="1">
      <alignment horizontal="right" vertical="center"/>
    </xf>
    <xf numFmtId="165" fontId="18" fillId="0" borderId="26" xfId="0" applyNumberFormat="1" applyFont="1" applyBorder="1" applyAlignment="1">
      <alignment vertical="center"/>
    </xf>
    <xf numFmtId="165" fontId="18" fillId="0" borderId="25" xfId="0" applyNumberFormat="1" applyFont="1" applyBorder="1" applyAlignment="1">
      <alignment vertical="center"/>
    </xf>
    <xf numFmtId="165" fontId="19" fillId="0" borderId="27" xfId="0" applyNumberFormat="1" applyFont="1" applyBorder="1" applyAlignment="1">
      <alignment vertical="center"/>
    </xf>
    <xf numFmtId="165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166" fontId="12" fillId="0" borderId="13" xfId="3" applyNumberFormat="1" applyFont="1" applyBorder="1" applyAlignment="1">
      <alignment vertical="center"/>
    </xf>
    <xf numFmtId="166" fontId="12" fillId="0" borderId="0" xfId="3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</cellXfs>
  <cellStyles count="5">
    <cellStyle name="Normal" xfId="0" builtinId="0"/>
    <cellStyle name="Normal 2" xfId="2" xr:uid="{3A34B778-DE20-4D00-B497-B08DFF539D7F}"/>
    <cellStyle name="Normal_annex 2" xfId="4" xr:uid="{A38FE0FC-1EBE-4033-987F-FA896F29141B}"/>
    <cellStyle name="Normal_Expenditure 94-00" xfId="3" xr:uid="{F05A5B81-0EC1-428A-8CB7-BDB039D49F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6050;&#6070;&#6030;&#6070;&#6036;&#6096;&#6016;&#6037;&#6098;&#6033;&#6081;&#6042;&#6047;&#6071;&#6033;&#6098;&#6034;&#6071;\Action%20Plan\Budget%20Program%202015\Budget%20Department\Year%202008\Rev-Exp%20Planning%2008\Q3-08\Budget%20Department\Year%202008\Budget%2008\Budget%20Law\Budget\Expenditure%20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6050;&#6070;&#6030;&#6070;&#6036;&#6096;&#6016;&#6037;&#6098;&#6033;&#6081;&#6042;&#6047;&#6071;&#6033;&#6098;&#6034;&#6071;\Action%20Plan\Budget%20Program%202015\Budget%20Department\Year%202008\Rev-Exp%20Planning%2008\Q3-08\Budget%20Department\Year%202008\Budget%2008\Budget%20Law\Budget\Revenue\Revenue%20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6050;&#6070;&#6030;&#6070;&#6036;&#6096;&#6016;&#6037;&#6098;&#6033;&#6081;&#6042;&#6047;&#6071;&#6033;&#6098;&#6034;&#6071;\ESTIMATE-2015-2016\Soly\Costing%20Province-2016-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6050;&#6070;&#6030;&#6070;&#6036;&#6096;&#6016;&#6037;&#6098;&#6033;&#6081;&#6042;&#6047;&#6071;&#6033;&#6098;&#6034;&#6071;\Budget%20Department\Year%202008\Rev-Exp%20Planning%2008\Q3-08\Budget%20Department\Year%202008\Budget%2008\Budget%20Law\Budget\Expenditure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"/>
      <sheetName val="Total"/>
      <sheetName val="English Growth"/>
      <sheetName val="ETableau5"/>
      <sheetName val="English"/>
      <sheetName val="Khmer"/>
      <sheetName val="KTableau5"/>
      <sheetName val="France"/>
      <sheetName val="English %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odel"/>
      <sheetName val="KModel"/>
      <sheetName val="Total"/>
      <sheetName val="FModel"/>
      <sheetName val="Ksummary"/>
      <sheetName val="Esumma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"/>
      <sheetName val="Total"/>
      <sheetName val="English Growth"/>
      <sheetName val="ETableau5"/>
      <sheetName val="English"/>
      <sheetName val="Khmer"/>
      <sheetName val="KTableau5"/>
      <sheetName val="France"/>
      <sheetName val="English %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FCBE-5266-4E9D-A5B3-F98937591DBF}">
  <sheetPr>
    <tabColor rgb="FFFF0000"/>
  </sheetPr>
  <dimension ref="A1:BQ490"/>
  <sheetViews>
    <sheetView tabSelected="1" topLeftCell="D7" zoomScaleNormal="100" zoomScaleSheetLayoutView="55" zoomScalePageLayoutView="40" workbookViewId="0">
      <selection activeCell="M9" sqref="M9"/>
    </sheetView>
  </sheetViews>
  <sheetFormatPr defaultColWidth="9.1328125" defaultRowHeight="24.75" customHeight="1" x14ac:dyDescent="0.75"/>
  <cols>
    <col min="1" max="6" width="9.1328125" style="1"/>
    <col min="7" max="8" width="2.26953125" style="1" customWidth="1"/>
    <col min="9" max="10" width="23.54296875" style="1" customWidth="1"/>
    <col min="11" max="11" width="13.36328125" style="1" customWidth="1"/>
    <col min="12" max="12" width="14.36328125" style="1" customWidth="1"/>
    <col min="13" max="13" width="16" style="1" customWidth="1"/>
    <col min="14" max="14" width="16.58984375" style="1" customWidth="1"/>
    <col min="15" max="15" width="10.1796875" style="1" customWidth="1"/>
    <col min="16" max="18" width="8" style="1" customWidth="1"/>
    <col min="19" max="19" width="10.86328125" style="1" hidden="1" customWidth="1"/>
    <col min="20" max="21" width="9" style="1" hidden="1" customWidth="1"/>
    <col min="22" max="22" width="9.7265625" style="1" hidden="1" customWidth="1"/>
    <col min="23" max="26" width="8.26953125" style="1" customWidth="1"/>
    <col min="27" max="30" width="9" style="1" hidden="1" customWidth="1"/>
    <col min="31" max="34" width="8.26953125" style="1" customWidth="1"/>
    <col min="35" max="35" width="11.26953125" style="1" hidden="1" customWidth="1"/>
    <col min="36" max="38" width="8.86328125" style="1" hidden="1" customWidth="1"/>
    <col min="39" max="42" width="8.1328125" style="1" customWidth="1"/>
    <col min="43" max="43" width="11.26953125" style="1" hidden="1" customWidth="1"/>
    <col min="44" max="46" width="8.86328125" style="1" hidden="1" customWidth="1"/>
    <col min="47" max="47" width="7" style="1" customWidth="1"/>
    <col min="48" max="49" width="9.1328125" style="4"/>
    <col min="50" max="50" width="10.1328125" style="4" customWidth="1"/>
    <col min="51" max="51" width="10.54296875" style="4" bestFit="1" customWidth="1"/>
    <col min="52" max="52" width="11.1328125" style="4" bestFit="1" customWidth="1"/>
    <col min="53" max="16384" width="9.1328125" style="1"/>
  </cols>
  <sheetData>
    <row r="1" spans="1:69" ht="24.75" customHeight="1" x14ac:dyDescent="0.75">
      <c r="AM1" s="2"/>
      <c r="AN1" s="2"/>
      <c r="AO1" s="3" t="s">
        <v>0</v>
      </c>
      <c r="AP1" s="2"/>
      <c r="AQ1" s="2"/>
      <c r="AR1" s="2"/>
      <c r="AS1" s="2"/>
      <c r="AT1" s="2"/>
      <c r="AU1" s="2"/>
    </row>
    <row r="2" spans="1:69" ht="23.25" customHeight="1" x14ac:dyDescent="0.75">
      <c r="G2" s="5" t="s">
        <v>1</v>
      </c>
      <c r="H2" s="2"/>
      <c r="I2" s="2"/>
      <c r="J2" s="2"/>
      <c r="AC2" s="6" t="s">
        <v>0</v>
      </c>
      <c r="AM2" s="7"/>
      <c r="AN2" s="7"/>
      <c r="AO2" s="8" t="s">
        <v>2</v>
      </c>
      <c r="AP2" s="7"/>
      <c r="AQ2" s="7"/>
      <c r="AR2" s="7"/>
      <c r="AS2" s="7"/>
      <c r="AT2" s="7"/>
      <c r="AU2" s="7"/>
    </row>
    <row r="3" spans="1:69" ht="23.25" customHeight="1" x14ac:dyDescent="0.75">
      <c r="G3" s="9" t="s">
        <v>3</v>
      </c>
      <c r="H3" s="2"/>
      <c r="I3" s="2"/>
      <c r="J3" s="2"/>
      <c r="AC3" s="6" t="s">
        <v>2</v>
      </c>
    </row>
    <row r="4" spans="1:69" ht="23.25" customHeight="1" x14ac:dyDescent="0.75">
      <c r="G4" s="9"/>
      <c r="H4" s="2"/>
      <c r="I4" s="2"/>
      <c r="J4" s="2"/>
    </row>
    <row r="5" spans="1:69" ht="23.25" customHeight="1" x14ac:dyDescent="0.75">
      <c r="G5" s="10"/>
      <c r="H5" s="11"/>
      <c r="I5" s="2"/>
      <c r="J5" s="2"/>
    </row>
    <row r="6" spans="1:69" ht="30.25" x14ac:dyDescent="0.75">
      <c r="G6" s="55" t="s">
        <v>4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</row>
    <row r="7" spans="1:69" ht="30.25" x14ac:dyDescent="0.75">
      <c r="G7" s="55" t="s">
        <v>5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</row>
    <row r="8" spans="1:69" ht="20.25" customHeight="1" x14ac:dyDescent="0.75">
      <c r="AU8" s="12" t="s">
        <v>6</v>
      </c>
    </row>
    <row r="9" spans="1:69" ht="20.25" customHeight="1" thickBot="1" x14ac:dyDescent="0.9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K9" s="1" t="s">
        <v>68</v>
      </c>
      <c r="L9" s="1" t="s">
        <v>103</v>
      </c>
      <c r="M9" s="1" t="s">
        <v>69</v>
      </c>
      <c r="N9" s="1" t="s">
        <v>70</v>
      </c>
      <c r="O9" s="1" t="s">
        <v>71</v>
      </c>
      <c r="P9" s="1" t="s">
        <v>72</v>
      </c>
      <c r="Q9" s="1" t="s">
        <v>73</v>
      </c>
      <c r="R9" s="1" t="s">
        <v>74</v>
      </c>
      <c r="S9" s="1" t="s">
        <v>75</v>
      </c>
      <c r="T9" s="1" t="s">
        <v>76</v>
      </c>
      <c r="U9" s="1" t="s">
        <v>77</v>
      </c>
      <c r="V9" s="1" t="s">
        <v>78</v>
      </c>
      <c r="W9" s="1" t="s">
        <v>79</v>
      </c>
      <c r="X9" s="1" t="s">
        <v>80</v>
      </c>
      <c r="Y9" s="1" t="s">
        <v>81</v>
      </c>
      <c r="Z9" s="1" t="s">
        <v>82</v>
      </c>
      <c r="AA9" s="1" t="s">
        <v>83</v>
      </c>
      <c r="AB9" s="1" t="s">
        <v>84</v>
      </c>
      <c r="AC9" s="1" t="s">
        <v>85</v>
      </c>
      <c r="AD9" s="1" t="s">
        <v>86</v>
      </c>
      <c r="AE9" s="1" t="s">
        <v>87</v>
      </c>
      <c r="AF9" s="1" t="s">
        <v>88</v>
      </c>
      <c r="AG9" s="1" t="s">
        <v>89</v>
      </c>
      <c r="AH9" s="1" t="s">
        <v>90</v>
      </c>
      <c r="AI9" s="1" t="s">
        <v>91</v>
      </c>
      <c r="AJ9" s="1" t="s">
        <v>92</v>
      </c>
      <c r="AK9" s="1" t="s">
        <v>93</v>
      </c>
      <c r="AL9" s="1" t="s">
        <v>94</v>
      </c>
      <c r="AM9" s="1" t="s">
        <v>95</v>
      </c>
      <c r="AN9" s="1" t="s">
        <v>96</v>
      </c>
      <c r="AO9" s="1" t="s">
        <v>97</v>
      </c>
      <c r="AP9" s="1" t="s">
        <v>98</v>
      </c>
      <c r="AQ9" s="1" t="s">
        <v>99</v>
      </c>
      <c r="AR9" s="1" t="s">
        <v>100</v>
      </c>
      <c r="AS9" s="1" t="s">
        <v>101</v>
      </c>
      <c r="AT9" s="1" t="s">
        <v>102</v>
      </c>
      <c r="AU9" s="12" t="s">
        <v>6</v>
      </c>
    </row>
    <row r="10" spans="1:69" ht="31.9" customHeight="1" thickTop="1" x14ac:dyDescent="0.75">
      <c r="G10" s="66" t="s">
        <v>7</v>
      </c>
      <c r="H10" s="67"/>
      <c r="I10" s="66" t="s">
        <v>7</v>
      </c>
      <c r="J10" s="77"/>
      <c r="K10" s="56" t="s">
        <v>8</v>
      </c>
      <c r="L10" s="56" t="s">
        <v>9</v>
      </c>
      <c r="M10" s="56" t="s">
        <v>10</v>
      </c>
      <c r="N10" s="59"/>
      <c r="O10" s="59" t="s">
        <v>11</v>
      </c>
      <c r="P10" s="59"/>
      <c r="Q10" s="59"/>
      <c r="R10" s="59"/>
      <c r="S10" s="59"/>
      <c r="T10" s="59"/>
      <c r="U10" s="59"/>
      <c r="V10" s="59"/>
      <c r="W10" s="59" t="s">
        <v>12</v>
      </c>
      <c r="X10" s="59"/>
      <c r="Y10" s="59"/>
      <c r="Z10" s="59"/>
      <c r="AA10" s="59"/>
      <c r="AB10" s="59"/>
      <c r="AC10" s="59"/>
      <c r="AD10" s="59"/>
      <c r="AE10" s="59" t="s">
        <v>13</v>
      </c>
      <c r="AF10" s="59"/>
      <c r="AG10" s="59"/>
      <c r="AH10" s="59"/>
      <c r="AI10" s="59"/>
      <c r="AJ10" s="59"/>
      <c r="AK10" s="59"/>
      <c r="AL10" s="59"/>
      <c r="AM10" s="59" t="s">
        <v>14</v>
      </c>
      <c r="AN10" s="59"/>
      <c r="AO10" s="59"/>
      <c r="AP10" s="59"/>
      <c r="AQ10" s="59"/>
      <c r="AR10" s="59"/>
      <c r="AS10" s="59"/>
      <c r="AT10" s="59"/>
      <c r="AU10" s="61" t="s">
        <v>15</v>
      </c>
    </row>
    <row r="11" spans="1:69" ht="33" customHeight="1" x14ac:dyDescent="0.75">
      <c r="G11" s="68"/>
      <c r="H11" s="69"/>
      <c r="I11" s="69"/>
      <c r="J11" s="69"/>
      <c r="K11" s="57"/>
      <c r="L11" s="57"/>
      <c r="M11" s="60"/>
      <c r="N11" s="60"/>
      <c r="O11" s="60" t="s">
        <v>16</v>
      </c>
      <c r="P11" s="60"/>
      <c r="Q11" s="60"/>
      <c r="R11" s="60"/>
      <c r="S11" s="60" t="s">
        <v>17</v>
      </c>
      <c r="T11" s="60"/>
      <c r="U11" s="60"/>
      <c r="V11" s="60"/>
      <c r="W11" s="60" t="s">
        <v>16</v>
      </c>
      <c r="X11" s="60"/>
      <c r="Y11" s="60"/>
      <c r="Z11" s="60"/>
      <c r="AA11" s="60" t="s">
        <v>18</v>
      </c>
      <c r="AB11" s="60"/>
      <c r="AC11" s="60"/>
      <c r="AD11" s="60"/>
      <c r="AE11" s="60" t="s">
        <v>16</v>
      </c>
      <c r="AF11" s="60"/>
      <c r="AG11" s="60"/>
      <c r="AH11" s="60"/>
      <c r="AI11" s="60" t="s">
        <v>19</v>
      </c>
      <c r="AJ11" s="60"/>
      <c r="AK11" s="60"/>
      <c r="AL11" s="60"/>
      <c r="AM11" s="60" t="s">
        <v>16</v>
      </c>
      <c r="AN11" s="60"/>
      <c r="AO11" s="60"/>
      <c r="AP11" s="60"/>
      <c r="AQ11" s="60" t="s">
        <v>19</v>
      </c>
      <c r="AR11" s="60"/>
      <c r="AS11" s="60"/>
      <c r="AT11" s="60"/>
      <c r="AU11" s="62"/>
    </row>
    <row r="12" spans="1:69" ht="31.9" customHeight="1" thickBot="1" x14ac:dyDescent="0.9">
      <c r="G12" s="70"/>
      <c r="H12" s="71"/>
      <c r="I12" s="71"/>
      <c r="J12" s="71"/>
      <c r="K12" s="58"/>
      <c r="L12" s="58"/>
      <c r="M12" s="13" t="s">
        <v>20</v>
      </c>
      <c r="N12" s="14" t="s">
        <v>21</v>
      </c>
      <c r="O12" s="13" t="s">
        <v>22</v>
      </c>
      <c r="P12" s="15" t="s">
        <v>23</v>
      </c>
      <c r="Q12" s="15" t="s">
        <v>24</v>
      </c>
      <c r="R12" s="16" t="s">
        <v>25</v>
      </c>
      <c r="S12" s="13" t="s">
        <v>22</v>
      </c>
      <c r="T12" s="15" t="s">
        <v>26</v>
      </c>
      <c r="U12" s="15" t="s">
        <v>27</v>
      </c>
      <c r="V12" s="16" t="s">
        <v>28</v>
      </c>
      <c r="W12" s="13" t="s">
        <v>22</v>
      </c>
      <c r="X12" s="15" t="s">
        <v>29</v>
      </c>
      <c r="Y12" s="15" t="s">
        <v>30</v>
      </c>
      <c r="Z12" s="15" t="s">
        <v>31</v>
      </c>
      <c r="AA12" s="13" t="s">
        <v>22</v>
      </c>
      <c r="AB12" s="15" t="s">
        <v>32</v>
      </c>
      <c r="AC12" s="15" t="s">
        <v>33</v>
      </c>
      <c r="AD12" s="16" t="s">
        <v>34</v>
      </c>
      <c r="AE12" s="13" t="s">
        <v>22</v>
      </c>
      <c r="AF12" s="15" t="s">
        <v>35</v>
      </c>
      <c r="AG12" s="15" t="s">
        <v>36</v>
      </c>
      <c r="AH12" s="16" t="s">
        <v>37</v>
      </c>
      <c r="AI12" s="13" t="s">
        <v>22</v>
      </c>
      <c r="AJ12" s="15" t="s">
        <v>35</v>
      </c>
      <c r="AK12" s="15" t="s">
        <v>36</v>
      </c>
      <c r="AL12" s="16" t="s">
        <v>37</v>
      </c>
      <c r="AM12" s="13" t="s">
        <v>22</v>
      </c>
      <c r="AN12" s="15" t="s">
        <v>38</v>
      </c>
      <c r="AO12" s="15" t="s">
        <v>39</v>
      </c>
      <c r="AP12" s="16" t="s">
        <v>40</v>
      </c>
      <c r="AQ12" s="13" t="s">
        <v>22</v>
      </c>
      <c r="AR12" s="15" t="s">
        <v>38</v>
      </c>
      <c r="AS12" s="15" t="s">
        <v>39</v>
      </c>
      <c r="AT12" s="16" t="s">
        <v>40</v>
      </c>
      <c r="AU12" s="63"/>
      <c r="AV12" s="4" t="s">
        <v>41</v>
      </c>
      <c r="AW12" s="17" t="s">
        <v>42</v>
      </c>
      <c r="AX12" s="17" t="s">
        <v>43</v>
      </c>
      <c r="AY12" s="4" t="s">
        <v>44</v>
      </c>
      <c r="AZ12" s="4" t="s">
        <v>45</v>
      </c>
    </row>
    <row r="13" spans="1:69" s="27" customFormat="1" ht="30" customHeight="1" thickTop="1" x14ac:dyDescent="0.75">
      <c r="G13" s="72" t="s">
        <v>46</v>
      </c>
      <c r="H13" s="73"/>
      <c r="I13" s="74"/>
      <c r="J13" s="28"/>
      <c r="K13" s="18">
        <f>K14</f>
        <v>0</v>
      </c>
      <c r="L13" s="19">
        <f t="shared" ref="L13:AP13" si="0">L14</f>
        <v>0</v>
      </c>
      <c r="M13" s="20">
        <f t="shared" si="0"/>
        <v>0</v>
      </c>
      <c r="N13" s="21">
        <f t="shared" si="0"/>
        <v>0</v>
      </c>
      <c r="O13" s="20">
        <f>O14</f>
        <v>0</v>
      </c>
      <c r="P13" s="22">
        <f>P14</f>
        <v>0</v>
      </c>
      <c r="Q13" s="22">
        <f>Q14</f>
        <v>0</v>
      </c>
      <c r="R13" s="23">
        <f>R14</f>
        <v>0</v>
      </c>
      <c r="S13" s="20">
        <f t="shared" si="0"/>
        <v>0</v>
      </c>
      <c r="T13" s="22">
        <f t="shared" si="0"/>
        <v>0</v>
      </c>
      <c r="U13" s="22">
        <f t="shared" si="0"/>
        <v>0</v>
      </c>
      <c r="V13" s="23">
        <f t="shared" si="0"/>
        <v>0</v>
      </c>
      <c r="W13" s="20">
        <f t="shared" si="0"/>
        <v>0</v>
      </c>
      <c r="X13" s="22">
        <f t="shared" si="0"/>
        <v>0</v>
      </c>
      <c r="Y13" s="22">
        <f t="shared" si="0"/>
        <v>0</v>
      </c>
      <c r="Z13" s="22">
        <f t="shared" si="0"/>
        <v>0</v>
      </c>
      <c r="AA13" s="20">
        <f t="shared" si="0"/>
        <v>0</v>
      </c>
      <c r="AB13" s="22">
        <f t="shared" si="0"/>
        <v>0</v>
      </c>
      <c r="AC13" s="22">
        <f t="shared" si="0"/>
        <v>0</v>
      </c>
      <c r="AD13" s="23">
        <f t="shared" si="0"/>
        <v>0</v>
      </c>
      <c r="AE13" s="20">
        <f t="shared" si="0"/>
        <v>0</v>
      </c>
      <c r="AF13" s="22">
        <f t="shared" si="0"/>
        <v>0</v>
      </c>
      <c r="AG13" s="22">
        <f t="shared" si="0"/>
        <v>0</v>
      </c>
      <c r="AH13" s="23">
        <f t="shared" si="0"/>
        <v>0</v>
      </c>
      <c r="AI13" s="20">
        <f t="shared" si="0"/>
        <v>0</v>
      </c>
      <c r="AJ13" s="22">
        <f t="shared" si="0"/>
        <v>0</v>
      </c>
      <c r="AK13" s="22">
        <f t="shared" si="0"/>
        <v>0</v>
      </c>
      <c r="AL13" s="23">
        <f t="shared" si="0"/>
        <v>0</v>
      </c>
      <c r="AM13" s="20">
        <f t="shared" si="0"/>
        <v>0</v>
      </c>
      <c r="AN13" s="22">
        <f t="shared" si="0"/>
        <v>0</v>
      </c>
      <c r="AO13" s="22">
        <f t="shared" si="0"/>
        <v>0</v>
      </c>
      <c r="AP13" s="23">
        <f t="shared" si="0"/>
        <v>0</v>
      </c>
      <c r="AQ13" s="20">
        <f t="shared" ref="AQ13:AQ20" si="1">SUM(AR13:AT13)</f>
        <v>0</v>
      </c>
      <c r="AR13" s="22">
        <f>AR14</f>
        <v>0</v>
      </c>
      <c r="AS13" s="22">
        <f>AS14</f>
        <v>0</v>
      </c>
      <c r="AT13" s="23">
        <f>AT14</f>
        <v>0</v>
      </c>
      <c r="AU13" s="24"/>
      <c r="AV13" s="25" t="str">
        <f t="shared" ref="AV13:AV20" si="2">IF(SUM(K13,M13), "OK ", "-")</f>
        <v>-</v>
      </c>
      <c r="AW13" s="26" t="s">
        <v>47</v>
      </c>
      <c r="AX13" s="26"/>
      <c r="AY13" s="26"/>
      <c r="AZ13" s="26"/>
    </row>
    <row r="14" spans="1:69" s="27" customFormat="1" ht="30" customHeight="1" x14ac:dyDescent="0.75">
      <c r="I14" s="75" t="s">
        <v>48</v>
      </c>
      <c r="J14" s="76"/>
      <c r="K14" s="18">
        <f>SUM(K15:K20)</f>
        <v>0</v>
      </c>
      <c r="L14" s="19">
        <f t="shared" ref="L14:AP14" si="3">SUM(L15:L20)</f>
        <v>0</v>
      </c>
      <c r="M14" s="20">
        <f t="shared" si="3"/>
        <v>0</v>
      </c>
      <c r="N14" s="21">
        <f t="shared" si="3"/>
        <v>0</v>
      </c>
      <c r="O14" s="20">
        <f>SUM(O15:O20)</f>
        <v>0</v>
      </c>
      <c r="P14" s="22">
        <f>SUM(P15:P20)</f>
        <v>0</v>
      </c>
      <c r="Q14" s="22">
        <f>SUM(Q15:Q20)</f>
        <v>0</v>
      </c>
      <c r="R14" s="23">
        <f>SUM(R15:R20)</f>
        <v>0</v>
      </c>
      <c r="S14" s="20">
        <f>SUM(S15:S20)</f>
        <v>0</v>
      </c>
      <c r="T14" s="22">
        <f t="shared" si="3"/>
        <v>0</v>
      </c>
      <c r="U14" s="22">
        <f t="shared" si="3"/>
        <v>0</v>
      </c>
      <c r="V14" s="23">
        <f t="shared" si="3"/>
        <v>0</v>
      </c>
      <c r="W14" s="20">
        <f t="shared" si="3"/>
        <v>0</v>
      </c>
      <c r="X14" s="22">
        <f t="shared" si="3"/>
        <v>0</v>
      </c>
      <c r="Y14" s="22">
        <f t="shared" si="3"/>
        <v>0</v>
      </c>
      <c r="Z14" s="22">
        <f t="shared" si="3"/>
        <v>0</v>
      </c>
      <c r="AA14" s="20">
        <f t="shared" si="3"/>
        <v>0</v>
      </c>
      <c r="AB14" s="22">
        <f t="shared" si="3"/>
        <v>0</v>
      </c>
      <c r="AC14" s="22">
        <f t="shared" si="3"/>
        <v>0</v>
      </c>
      <c r="AD14" s="23">
        <f t="shared" si="3"/>
        <v>0</v>
      </c>
      <c r="AE14" s="20">
        <f t="shared" si="3"/>
        <v>0</v>
      </c>
      <c r="AF14" s="22">
        <f t="shared" si="3"/>
        <v>0</v>
      </c>
      <c r="AG14" s="22">
        <f t="shared" si="3"/>
        <v>0</v>
      </c>
      <c r="AH14" s="23">
        <f t="shared" si="3"/>
        <v>0</v>
      </c>
      <c r="AI14" s="20">
        <f t="shared" si="3"/>
        <v>0</v>
      </c>
      <c r="AJ14" s="22">
        <f t="shared" si="3"/>
        <v>0</v>
      </c>
      <c r="AK14" s="22">
        <f t="shared" si="3"/>
        <v>0</v>
      </c>
      <c r="AL14" s="23">
        <f t="shared" si="3"/>
        <v>0</v>
      </c>
      <c r="AM14" s="20">
        <f t="shared" si="3"/>
        <v>0</v>
      </c>
      <c r="AN14" s="22">
        <f t="shared" si="3"/>
        <v>0</v>
      </c>
      <c r="AO14" s="22">
        <f t="shared" si="3"/>
        <v>0</v>
      </c>
      <c r="AP14" s="23">
        <f t="shared" si="3"/>
        <v>0</v>
      </c>
      <c r="AQ14" s="20">
        <f t="shared" si="1"/>
        <v>0</v>
      </c>
      <c r="AR14" s="22">
        <f>SUM(AR15:AR20)</f>
        <v>0</v>
      </c>
      <c r="AS14" s="22">
        <f>SUM(AS15:AS20)</f>
        <v>0</v>
      </c>
      <c r="AT14" s="23">
        <f>SUM(AT15:AT20)</f>
        <v>0</v>
      </c>
      <c r="AU14" s="24"/>
      <c r="AV14" s="25" t="str">
        <f t="shared" si="2"/>
        <v>-</v>
      </c>
      <c r="AW14" s="26" t="s">
        <v>47</v>
      </c>
      <c r="AX14" s="26"/>
      <c r="AY14" s="26"/>
      <c r="AZ14" s="26"/>
    </row>
    <row r="15" spans="1:69" ht="30" customHeight="1" x14ac:dyDescent="0.75">
      <c r="G15" s="29"/>
      <c r="H15" s="7"/>
      <c r="I15" s="30" t="s">
        <v>49</v>
      </c>
      <c r="J15" s="30"/>
      <c r="K15" s="31"/>
      <c r="L15" s="32"/>
      <c r="M15" s="33">
        <f t="shared" ref="M15:M20" si="4">O15+W15+AE15+AM15</f>
        <v>0</v>
      </c>
      <c r="N15" s="34" t="str">
        <f t="shared" ref="N15:N20" si="5">IFERROR(M15/K15, "-")</f>
        <v>-</v>
      </c>
      <c r="O15" s="33">
        <f t="shared" ref="O15:O20" si="6">SUM(P15:R15)</f>
        <v>0</v>
      </c>
      <c r="P15" s="35"/>
      <c r="Q15" s="35"/>
      <c r="R15" s="35"/>
      <c r="S15" s="33">
        <f t="shared" ref="S15:S20" si="7">SUM(T15:V15)</f>
        <v>0</v>
      </c>
      <c r="T15" s="35"/>
      <c r="U15" s="35"/>
      <c r="V15" s="36"/>
      <c r="W15" s="33">
        <f t="shared" ref="W15:W20" si="8">SUM(X15:Z15)</f>
        <v>0</v>
      </c>
      <c r="X15" s="35"/>
      <c r="Y15" s="35"/>
      <c r="Z15" s="36"/>
      <c r="AA15" s="33">
        <f t="shared" ref="AA15:AA20" si="9">SUM(AB15:AD15)</f>
        <v>0</v>
      </c>
      <c r="AB15" s="35"/>
      <c r="AC15" s="35"/>
      <c r="AD15" s="36"/>
      <c r="AE15" s="33">
        <f t="shared" ref="AE15:AE20" si="10">SUM(AF15:AH15)</f>
        <v>0</v>
      </c>
      <c r="AF15" s="35"/>
      <c r="AG15" s="35"/>
      <c r="AH15" s="36"/>
      <c r="AI15" s="33">
        <f t="shared" ref="AI15:AI20" si="11">SUM(AJ15:AL15)</f>
        <v>0</v>
      </c>
      <c r="AJ15" s="35"/>
      <c r="AK15" s="35"/>
      <c r="AL15" s="36"/>
      <c r="AM15" s="33">
        <f t="shared" ref="AM15:AM20" si="12">SUM(AN15:AP15)</f>
        <v>0</v>
      </c>
      <c r="AN15" s="35"/>
      <c r="AO15" s="35"/>
      <c r="AP15" s="36"/>
      <c r="AQ15" s="33">
        <f t="shared" si="1"/>
        <v>0</v>
      </c>
      <c r="AR15" s="35"/>
      <c r="AS15" s="35"/>
      <c r="AT15" s="36"/>
      <c r="AU15" s="37"/>
      <c r="AV15" s="25" t="str">
        <f t="shared" si="2"/>
        <v>-</v>
      </c>
      <c r="BB15" s="38">
        <v>0.30399827890205178</v>
      </c>
      <c r="BC15" s="38">
        <v>0.15384615384615385</v>
      </c>
      <c r="BD15" s="38">
        <v>0.15384615384615385</v>
      </c>
      <c r="BE15" s="38">
        <v>0.69230769230769229</v>
      </c>
      <c r="BF15" s="39">
        <v>0.23384482992465519</v>
      </c>
      <c r="BG15" s="39">
        <v>0.2</v>
      </c>
      <c r="BH15" s="39">
        <v>0.3</v>
      </c>
      <c r="BI15" s="39">
        <v>0.5</v>
      </c>
      <c r="BJ15" s="40">
        <v>0.30399827890205178</v>
      </c>
      <c r="BK15" s="40">
        <v>0.53846153846153844</v>
      </c>
      <c r="BL15" s="40">
        <v>0.23076923076923078</v>
      </c>
      <c r="BM15" s="40">
        <v>0.23076923076923078</v>
      </c>
      <c r="BN15" s="41">
        <v>0.15815861227124128</v>
      </c>
      <c r="BO15" s="41">
        <v>0.44356388798533281</v>
      </c>
      <c r="BP15" s="41">
        <v>0.29570925865688857</v>
      </c>
      <c r="BQ15" s="41">
        <v>0.26072685335777862</v>
      </c>
    </row>
    <row r="16" spans="1:69" ht="30" customHeight="1" x14ac:dyDescent="0.75">
      <c r="G16" s="29"/>
      <c r="H16" s="7"/>
      <c r="I16" s="30" t="s">
        <v>50</v>
      </c>
      <c r="J16" s="30"/>
      <c r="K16" s="31"/>
      <c r="L16" s="32"/>
      <c r="M16" s="33">
        <f t="shared" si="4"/>
        <v>0</v>
      </c>
      <c r="N16" s="34" t="str">
        <f t="shared" si="5"/>
        <v>-</v>
      </c>
      <c r="O16" s="33">
        <f t="shared" si="6"/>
        <v>0</v>
      </c>
      <c r="P16" s="35"/>
      <c r="Q16" s="35"/>
      <c r="R16" s="35"/>
      <c r="S16" s="33">
        <f t="shared" si="7"/>
        <v>0</v>
      </c>
      <c r="T16" s="35"/>
      <c r="U16" s="35"/>
      <c r="V16" s="36"/>
      <c r="W16" s="33">
        <f t="shared" si="8"/>
        <v>0</v>
      </c>
      <c r="X16" s="35"/>
      <c r="Y16" s="35"/>
      <c r="Z16" s="35"/>
      <c r="AA16" s="33">
        <f t="shared" si="9"/>
        <v>0</v>
      </c>
      <c r="AB16" s="35"/>
      <c r="AC16" s="35"/>
      <c r="AD16" s="36"/>
      <c r="AE16" s="33">
        <f t="shared" si="10"/>
        <v>0</v>
      </c>
      <c r="AF16" s="35"/>
      <c r="AG16" s="35"/>
      <c r="AH16" s="36"/>
      <c r="AI16" s="33">
        <f t="shared" si="11"/>
        <v>0</v>
      </c>
      <c r="AJ16" s="35"/>
      <c r="AK16" s="35"/>
      <c r="AL16" s="35"/>
      <c r="AM16" s="33">
        <f t="shared" si="12"/>
        <v>0</v>
      </c>
      <c r="AN16" s="35"/>
      <c r="AO16" s="35"/>
      <c r="AP16" s="36"/>
      <c r="AQ16" s="33">
        <f t="shared" si="1"/>
        <v>0</v>
      </c>
      <c r="AR16" s="35"/>
      <c r="AS16" s="35"/>
      <c r="AT16" s="36"/>
      <c r="AU16" s="37"/>
      <c r="AV16" s="25" t="str">
        <f t="shared" si="2"/>
        <v>-</v>
      </c>
      <c r="BB16" s="38">
        <v>0.29098260230335704</v>
      </c>
      <c r="BC16" s="38">
        <v>0.36842105263157893</v>
      </c>
      <c r="BD16" s="38">
        <v>0.31578947368421051</v>
      </c>
      <c r="BE16" s="38">
        <v>0.31578947368421051</v>
      </c>
      <c r="BF16" s="39">
        <v>0.24503798088703749</v>
      </c>
      <c r="BG16" s="39">
        <v>0.375</v>
      </c>
      <c r="BH16" s="39">
        <v>0.3125</v>
      </c>
      <c r="BI16" s="39">
        <v>0.3125</v>
      </c>
      <c r="BJ16" s="40">
        <v>0.21894143592256801</v>
      </c>
      <c r="BK16" s="40">
        <v>0.3005036373810856</v>
      </c>
      <c r="BL16" s="40">
        <v>0.34974818130945717</v>
      </c>
      <c r="BM16" s="40">
        <v>0.34974818130945717</v>
      </c>
      <c r="BN16" s="41">
        <v>0.24503798088703749</v>
      </c>
      <c r="BO16" s="41">
        <v>0.375</v>
      </c>
      <c r="BP16" s="41">
        <v>0.375</v>
      </c>
      <c r="BQ16" s="41">
        <v>0.25</v>
      </c>
    </row>
    <row r="17" spans="7:69" ht="30" customHeight="1" x14ac:dyDescent="0.75">
      <c r="G17" s="29"/>
      <c r="H17" s="7"/>
      <c r="I17" s="42" t="s">
        <v>51</v>
      </c>
      <c r="J17" s="42"/>
      <c r="K17" s="31"/>
      <c r="L17" s="32"/>
      <c r="M17" s="33">
        <f t="shared" si="4"/>
        <v>0</v>
      </c>
      <c r="N17" s="34" t="str">
        <f t="shared" si="5"/>
        <v>-</v>
      </c>
      <c r="O17" s="33">
        <f t="shared" si="6"/>
        <v>0</v>
      </c>
      <c r="P17" s="35"/>
      <c r="Q17" s="35"/>
      <c r="R17" s="36"/>
      <c r="S17" s="33">
        <f t="shared" si="7"/>
        <v>0</v>
      </c>
      <c r="T17" s="35"/>
      <c r="U17" s="35"/>
      <c r="V17" s="36"/>
      <c r="W17" s="35">
        <f t="shared" si="8"/>
        <v>0</v>
      </c>
      <c r="X17" s="35"/>
      <c r="Y17" s="35"/>
      <c r="Z17" s="35"/>
      <c r="AA17" s="33">
        <f t="shared" si="9"/>
        <v>0</v>
      </c>
      <c r="AB17" s="35"/>
      <c r="AC17" s="35"/>
      <c r="AD17" s="36"/>
      <c r="AE17" s="33">
        <f t="shared" si="10"/>
        <v>0</v>
      </c>
      <c r="AF17" s="35"/>
      <c r="AG17" s="35"/>
      <c r="AH17" s="35"/>
      <c r="AI17" s="33">
        <f t="shared" si="11"/>
        <v>0</v>
      </c>
      <c r="AJ17" s="35"/>
      <c r="AK17" s="35"/>
      <c r="AL17" s="36"/>
      <c r="AM17" s="33">
        <f t="shared" si="12"/>
        <v>0</v>
      </c>
      <c r="AN17" s="35"/>
      <c r="AO17" s="35"/>
      <c r="AP17" s="35"/>
      <c r="AQ17" s="33">
        <f t="shared" si="1"/>
        <v>0</v>
      </c>
      <c r="AR17" s="35"/>
      <c r="AS17" s="35"/>
      <c r="AT17" s="36"/>
      <c r="AU17" s="37"/>
      <c r="AV17" s="25" t="str">
        <f t="shared" si="2"/>
        <v>-</v>
      </c>
      <c r="BB17" s="38">
        <v>0.25000041352559516</v>
      </c>
      <c r="BC17" s="38">
        <v>0.33333333333333331</v>
      </c>
      <c r="BD17" s="38">
        <v>0.33333333333333331</v>
      </c>
      <c r="BE17" s="38">
        <v>0.33333333333333331</v>
      </c>
      <c r="BF17" s="39">
        <v>0.25</v>
      </c>
      <c r="BG17" s="39">
        <v>0.33333388470079356</v>
      </c>
      <c r="BH17" s="39">
        <v>0.33333305764960325</v>
      </c>
      <c r="BI17" s="39">
        <v>0.33333305764960325</v>
      </c>
      <c r="BJ17" s="40">
        <v>0.24999979323720242</v>
      </c>
      <c r="BK17" s="40">
        <v>0.33333333333333331</v>
      </c>
      <c r="BL17" s="40">
        <v>0.33333333333333331</v>
      </c>
      <c r="BM17" s="40">
        <v>0.33333333333333331</v>
      </c>
      <c r="BN17" s="41">
        <v>0.24999979323720242</v>
      </c>
      <c r="BO17" s="41">
        <v>0.33333333333333331</v>
      </c>
      <c r="BP17" s="41">
        <v>0.33333333333333331</v>
      </c>
      <c r="BQ17" s="41">
        <v>0.33333333333333331</v>
      </c>
    </row>
    <row r="18" spans="7:69" ht="30" customHeight="1" x14ac:dyDescent="0.75">
      <c r="G18" s="29"/>
      <c r="H18" s="7"/>
      <c r="I18" s="30" t="s">
        <v>52</v>
      </c>
      <c r="J18" s="30"/>
      <c r="K18" s="31"/>
      <c r="L18" s="32"/>
      <c r="M18" s="33">
        <f t="shared" si="4"/>
        <v>0</v>
      </c>
      <c r="N18" s="34" t="str">
        <f t="shared" si="5"/>
        <v>-</v>
      </c>
      <c r="O18" s="33">
        <f t="shared" si="6"/>
        <v>0</v>
      </c>
      <c r="P18" s="35"/>
      <c r="Q18" s="35"/>
      <c r="R18" s="36"/>
      <c r="S18" s="33">
        <f t="shared" si="7"/>
        <v>0</v>
      </c>
      <c r="T18" s="35"/>
      <c r="U18" s="35"/>
      <c r="V18" s="36"/>
      <c r="W18" s="33">
        <f t="shared" si="8"/>
        <v>0</v>
      </c>
      <c r="X18" s="35"/>
      <c r="Y18" s="35"/>
      <c r="Z18" s="36"/>
      <c r="AA18" s="33">
        <f t="shared" si="9"/>
        <v>0</v>
      </c>
      <c r="AB18" s="35"/>
      <c r="AC18" s="35"/>
      <c r="AD18" s="36"/>
      <c r="AE18" s="33">
        <f t="shared" si="10"/>
        <v>0</v>
      </c>
      <c r="AF18" s="35"/>
      <c r="AG18" s="35"/>
      <c r="AH18" s="36"/>
      <c r="AI18" s="33">
        <f t="shared" si="11"/>
        <v>0</v>
      </c>
      <c r="AJ18" s="35"/>
      <c r="AK18" s="35"/>
      <c r="AL18" s="36"/>
      <c r="AM18" s="33">
        <f t="shared" si="12"/>
        <v>0</v>
      </c>
      <c r="AN18" s="35"/>
      <c r="AO18" s="35"/>
      <c r="AP18" s="36"/>
      <c r="AQ18" s="33">
        <f t="shared" si="1"/>
        <v>0</v>
      </c>
      <c r="AR18" s="35"/>
      <c r="AS18" s="35"/>
      <c r="AT18" s="36"/>
      <c r="AU18" s="37"/>
      <c r="AV18" s="25" t="str">
        <f t="shared" si="2"/>
        <v>-</v>
      </c>
      <c r="BB18" s="38">
        <v>1</v>
      </c>
      <c r="BC18" s="38">
        <v>0</v>
      </c>
      <c r="BD18" s="38">
        <v>0</v>
      </c>
      <c r="BE18" s="38">
        <v>1</v>
      </c>
      <c r="BF18" s="39">
        <v>0</v>
      </c>
      <c r="BG18" s="39" t="e">
        <v>#DIV/0!</v>
      </c>
      <c r="BH18" s="39" t="e">
        <v>#DIV/0!</v>
      </c>
      <c r="BI18" s="39" t="e">
        <v>#DIV/0!</v>
      </c>
      <c r="BJ18" s="40">
        <v>0</v>
      </c>
      <c r="BK18" s="40" t="e">
        <v>#DIV/0!</v>
      </c>
      <c r="BL18" s="40" t="e">
        <v>#DIV/0!</v>
      </c>
      <c r="BM18" s="40" t="e">
        <v>#DIV/0!</v>
      </c>
      <c r="BN18" s="41">
        <v>0</v>
      </c>
      <c r="BO18" s="41" t="e">
        <v>#DIV/0!</v>
      </c>
      <c r="BP18" s="41" t="e">
        <v>#DIV/0!</v>
      </c>
      <c r="BQ18" s="41" t="e">
        <v>#DIV/0!</v>
      </c>
    </row>
    <row r="19" spans="7:69" ht="30" customHeight="1" x14ac:dyDescent="0.75">
      <c r="G19" s="29"/>
      <c r="H19" s="7"/>
      <c r="I19" s="30" t="s">
        <v>53</v>
      </c>
      <c r="J19" s="30"/>
      <c r="K19" s="31"/>
      <c r="L19" s="32"/>
      <c r="M19" s="33">
        <f t="shared" si="4"/>
        <v>0</v>
      </c>
      <c r="N19" s="34" t="str">
        <f t="shared" si="5"/>
        <v>-</v>
      </c>
      <c r="O19" s="33">
        <f t="shared" si="6"/>
        <v>0</v>
      </c>
      <c r="P19" s="35"/>
      <c r="Q19" s="35"/>
      <c r="R19" s="36"/>
      <c r="S19" s="33">
        <f t="shared" si="7"/>
        <v>0</v>
      </c>
      <c r="T19" s="35"/>
      <c r="U19" s="35"/>
      <c r="V19" s="36"/>
      <c r="W19" s="33">
        <f t="shared" si="8"/>
        <v>0</v>
      </c>
      <c r="X19" s="35"/>
      <c r="Y19" s="35"/>
      <c r="Z19" s="36"/>
      <c r="AA19" s="33">
        <f t="shared" si="9"/>
        <v>0</v>
      </c>
      <c r="AB19" s="35"/>
      <c r="AC19" s="35"/>
      <c r="AD19" s="36"/>
      <c r="AE19" s="33">
        <f t="shared" si="10"/>
        <v>0</v>
      </c>
      <c r="AF19" s="35"/>
      <c r="AG19" s="35"/>
      <c r="AH19" s="36"/>
      <c r="AI19" s="33">
        <f t="shared" si="11"/>
        <v>0</v>
      </c>
      <c r="AJ19" s="35"/>
      <c r="AK19" s="35"/>
      <c r="AL19" s="36"/>
      <c r="AM19" s="33">
        <f t="shared" si="12"/>
        <v>0</v>
      </c>
      <c r="AN19" s="35"/>
      <c r="AO19" s="35"/>
      <c r="AP19" s="36"/>
      <c r="AQ19" s="33">
        <f t="shared" si="1"/>
        <v>0</v>
      </c>
      <c r="AR19" s="35"/>
      <c r="AS19" s="35"/>
      <c r="AT19" s="36"/>
      <c r="AU19" s="37"/>
      <c r="AV19" s="25" t="str">
        <f t="shared" si="2"/>
        <v>-</v>
      </c>
      <c r="BB19" s="38">
        <v>0.28073000536768655</v>
      </c>
      <c r="BC19" s="38">
        <v>0.52198852772466542</v>
      </c>
      <c r="BD19" s="38">
        <v>0.19120458891013384</v>
      </c>
      <c r="BE19" s="38">
        <v>0.28680688336520077</v>
      </c>
      <c r="BF19" s="39">
        <v>0.26838432635534087</v>
      </c>
      <c r="BG19" s="39">
        <v>0.3</v>
      </c>
      <c r="BH19" s="39">
        <v>0.3</v>
      </c>
      <c r="BI19" s="39">
        <v>0.4</v>
      </c>
      <c r="BJ19" s="40">
        <v>0.24154589371980675</v>
      </c>
      <c r="BK19" s="40">
        <v>0.44444444444444442</v>
      </c>
      <c r="BL19" s="40">
        <v>0.33333333333333331</v>
      </c>
      <c r="BM19" s="40">
        <v>0.22222222222222221</v>
      </c>
      <c r="BN19" s="41">
        <v>0.20933977455716588</v>
      </c>
      <c r="BO19" s="41">
        <v>0.30769230769230771</v>
      </c>
      <c r="BP19" s="41">
        <v>0.30769230769230771</v>
      </c>
      <c r="BQ19" s="41">
        <v>0.38461538461538464</v>
      </c>
    </row>
    <row r="20" spans="7:69" ht="30" customHeight="1" thickBot="1" x14ac:dyDescent="0.9">
      <c r="G20" s="43"/>
      <c r="H20" s="44"/>
      <c r="I20" s="45" t="s">
        <v>54</v>
      </c>
      <c r="J20" s="45"/>
      <c r="K20" s="46"/>
      <c r="L20" s="47"/>
      <c r="M20" s="48">
        <f t="shared" si="4"/>
        <v>0</v>
      </c>
      <c r="N20" s="49" t="str">
        <f t="shared" si="5"/>
        <v>-</v>
      </c>
      <c r="O20" s="48">
        <f t="shared" si="6"/>
        <v>0</v>
      </c>
      <c r="P20" s="50"/>
      <c r="Q20" s="50"/>
      <c r="R20" s="51"/>
      <c r="S20" s="48">
        <f t="shared" si="7"/>
        <v>0</v>
      </c>
      <c r="T20" s="50"/>
      <c r="U20" s="50"/>
      <c r="V20" s="51"/>
      <c r="W20" s="48">
        <f t="shared" si="8"/>
        <v>0</v>
      </c>
      <c r="X20" s="50"/>
      <c r="Y20" s="50"/>
      <c r="Z20" s="51"/>
      <c r="AA20" s="48">
        <f t="shared" si="9"/>
        <v>0</v>
      </c>
      <c r="AB20" s="50"/>
      <c r="AC20" s="50"/>
      <c r="AD20" s="51"/>
      <c r="AE20" s="48">
        <f t="shared" si="10"/>
        <v>0</v>
      </c>
      <c r="AF20" s="50"/>
      <c r="AG20" s="50"/>
      <c r="AH20" s="51"/>
      <c r="AI20" s="48">
        <f t="shared" si="11"/>
        <v>0</v>
      </c>
      <c r="AJ20" s="50"/>
      <c r="AK20" s="50"/>
      <c r="AL20" s="51"/>
      <c r="AM20" s="48">
        <f t="shared" si="12"/>
        <v>0</v>
      </c>
      <c r="AN20" s="50"/>
      <c r="AO20" s="50"/>
      <c r="AP20" s="51"/>
      <c r="AQ20" s="48">
        <f t="shared" si="1"/>
        <v>0</v>
      </c>
      <c r="AR20" s="50"/>
      <c r="AS20" s="50"/>
      <c r="AT20" s="51"/>
      <c r="AU20" s="52"/>
      <c r="AV20" s="25" t="str">
        <f t="shared" si="2"/>
        <v>-</v>
      </c>
      <c r="BB20" s="38">
        <v>0.42741242143274544</v>
      </c>
      <c r="BC20" s="38">
        <v>0</v>
      </c>
      <c r="BD20" s="38">
        <v>4.793863854266539E-2</v>
      </c>
      <c r="BE20" s="38">
        <v>0.95206136145733467</v>
      </c>
      <c r="BF20" s="39">
        <v>6.2083395826520553E-2</v>
      </c>
      <c r="BG20" s="39">
        <v>0.33333333333333331</v>
      </c>
      <c r="BH20" s="39">
        <v>0.33333333333333331</v>
      </c>
      <c r="BI20" s="39">
        <v>0.33333333333333331</v>
      </c>
      <c r="BJ20" s="40">
        <v>0.44851667809984647</v>
      </c>
      <c r="BK20" s="40">
        <v>0.90772042028323441</v>
      </c>
      <c r="BL20" s="40">
        <v>4.6139789858382824E-2</v>
      </c>
      <c r="BM20" s="40">
        <v>4.6139789858382824E-2</v>
      </c>
      <c r="BN20" s="41">
        <v>6.1987504640887509E-2</v>
      </c>
      <c r="BO20" s="41">
        <v>0.33891290838655086</v>
      </c>
      <c r="BP20" s="41">
        <v>0.33054354580672457</v>
      </c>
      <c r="BQ20" s="41">
        <v>0.33054354580672457</v>
      </c>
    </row>
    <row r="21" spans="7:69" ht="33" customHeight="1" x14ac:dyDescent="0.75"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64" t="s">
        <v>55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</row>
    <row r="22" spans="7:69" ht="24.75" customHeight="1" x14ac:dyDescent="0.75">
      <c r="G22" s="7"/>
      <c r="H22" s="7"/>
      <c r="I22" s="7"/>
      <c r="J22" s="7"/>
      <c r="K22" s="7"/>
      <c r="L22" s="7"/>
      <c r="M22" s="7"/>
      <c r="N22" s="7"/>
      <c r="O22" s="7"/>
      <c r="P22" s="7"/>
      <c r="Q22" s="64" t="s">
        <v>56</v>
      </c>
      <c r="R22" s="64"/>
      <c r="S22" s="64"/>
      <c r="T22" s="64"/>
      <c r="U22" s="64"/>
      <c r="V22" s="64"/>
      <c r="W22" s="64"/>
      <c r="X22" s="64"/>
      <c r="Y22" s="64"/>
      <c r="Z22" s="64"/>
      <c r="AA22" s="53"/>
      <c r="AB22" s="53"/>
      <c r="AC22" s="53"/>
      <c r="AD22" s="53"/>
      <c r="AE22" s="53"/>
      <c r="AF22" s="53"/>
      <c r="AG22" s="53"/>
      <c r="AH22" s="65" t="s">
        <v>57</v>
      </c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</row>
    <row r="23" spans="7:69" ht="24.75" customHeight="1" x14ac:dyDescent="0.75">
      <c r="G23" s="64" t="s">
        <v>58</v>
      </c>
      <c r="H23" s="64"/>
      <c r="I23" s="64"/>
      <c r="J23" s="64"/>
      <c r="K23" s="64"/>
      <c r="L23" s="64"/>
      <c r="M23" s="53"/>
      <c r="N23" s="53"/>
      <c r="O23" s="53"/>
      <c r="P23" s="54"/>
      <c r="Q23" s="64" t="s">
        <v>55</v>
      </c>
      <c r="R23" s="64"/>
      <c r="S23" s="64"/>
      <c r="T23" s="64"/>
      <c r="U23" s="64"/>
      <c r="V23" s="64"/>
      <c r="W23" s="64"/>
      <c r="X23" s="64"/>
      <c r="Y23" s="64"/>
      <c r="Z23" s="64"/>
      <c r="AA23" s="53"/>
      <c r="AB23" s="53"/>
      <c r="AC23" s="53"/>
      <c r="AD23" s="53"/>
      <c r="AE23" s="53"/>
      <c r="AF23" s="53"/>
      <c r="AG23" s="53"/>
    </row>
    <row r="24" spans="7:69" ht="24.75" customHeight="1" x14ac:dyDescent="0.75">
      <c r="G24" s="64" t="s">
        <v>59</v>
      </c>
      <c r="H24" s="64"/>
      <c r="I24" s="64"/>
      <c r="J24" s="64"/>
      <c r="K24" s="64"/>
      <c r="L24" s="64"/>
      <c r="M24" s="53"/>
      <c r="N24" s="53"/>
      <c r="O24" s="53"/>
      <c r="Q24" s="65" t="s">
        <v>60</v>
      </c>
      <c r="R24" s="65"/>
      <c r="S24" s="65"/>
      <c r="T24" s="65"/>
      <c r="U24" s="65"/>
      <c r="V24" s="65"/>
      <c r="W24" s="65"/>
      <c r="X24" s="65"/>
      <c r="Y24" s="65"/>
      <c r="Z24" s="65"/>
      <c r="AA24" s="54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</row>
    <row r="25" spans="7:69" ht="24.75" customHeight="1" x14ac:dyDescent="0.75">
      <c r="G25" s="65" t="s">
        <v>61</v>
      </c>
      <c r="H25" s="65"/>
      <c r="I25" s="65"/>
      <c r="J25" s="65"/>
      <c r="K25" s="65"/>
      <c r="L25" s="65"/>
      <c r="M25" s="53"/>
      <c r="N25" s="53"/>
      <c r="O25" s="53"/>
      <c r="P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</row>
    <row r="26" spans="7:69" ht="24.75" customHeight="1" x14ac:dyDescent="0.75">
      <c r="G26" s="65"/>
      <c r="H26" s="65"/>
      <c r="I26" s="65"/>
      <c r="J26" s="65"/>
      <c r="K26" s="65"/>
      <c r="L26" s="65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</row>
    <row r="27" spans="7:69" ht="24.75" customHeight="1" x14ac:dyDescent="0.75"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</row>
    <row r="28" spans="7:69" ht="24.75" customHeight="1" x14ac:dyDescent="0.75"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</row>
    <row r="29" spans="7:69" ht="24.75" customHeight="1" x14ac:dyDescent="0.75"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</row>
    <row r="30" spans="7:69" ht="24.75" customHeight="1" x14ac:dyDescent="0.75"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</row>
    <row r="31" spans="7:69" ht="24.75" customHeight="1" x14ac:dyDescent="0.75"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</row>
    <row r="32" spans="7:69" ht="24.75" customHeight="1" x14ac:dyDescent="0.75"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</row>
    <row r="33" spans="11:46" ht="24.75" customHeight="1" x14ac:dyDescent="0.75"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</row>
    <row r="34" spans="11:46" ht="24.75" customHeight="1" x14ac:dyDescent="0.75"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</row>
    <row r="35" spans="11:46" ht="24.75" customHeight="1" x14ac:dyDescent="0.75"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</row>
    <row r="36" spans="11:46" ht="24.75" customHeight="1" x14ac:dyDescent="0.75"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</row>
    <row r="37" spans="11:46" ht="24.75" customHeight="1" x14ac:dyDescent="0.75"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</row>
    <row r="38" spans="11:46" ht="24.75" customHeight="1" x14ac:dyDescent="0.75"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</row>
    <row r="39" spans="11:46" ht="24.75" customHeight="1" x14ac:dyDescent="0.75"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</row>
    <row r="40" spans="11:46" ht="24.75" customHeight="1" x14ac:dyDescent="0.75"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</row>
    <row r="41" spans="11:46" ht="24.75" customHeight="1" x14ac:dyDescent="0.75"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</row>
    <row r="42" spans="11:46" ht="24.75" customHeight="1" x14ac:dyDescent="0.75"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</row>
    <row r="43" spans="11:46" ht="24.75" customHeight="1" x14ac:dyDescent="0.75"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11:46" ht="24.75" customHeight="1" x14ac:dyDescent="0.75"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</row>
    <row r="45" spans="11:46" ht="24.75" customHeight="1" x14ac:dyDescent="0.75"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</row>
    <row r="46" spans="11:46" ht="24.75" customHeight="1" x14ac:dyDescent="0.75"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</row>
    <row r="47" spans="11:46" ht="24.75" customHeight="1" x14ac:dyDescent="0.75"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11:46" ht="24.75" customHeight="1" x14ac:dyDescent="0.75"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</row>
    <row r="49" spans="11:46" ht="24.75" customHeight="1" x14ac:dyDescent="0.75"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</row>
    <row r="50" spans="11:46" ht="24.75" customHeight="1" x14ac:dyDescent="0.75"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</row>
    <row r="51" spans="11:46" ht="24.75" customHeight="1" x14ac:dyDescent="0.75"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</row>
    <row r="52" spans="11:46" ht="24.75" customHeight="1" x14ac:dyDescent="0.75"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</row>
    <row r="53" spans="11:46" ht="24.75" customHeight="1" x14ac:dyDescent="0.75"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</row>
    <row r="54" spans="11:46" ht="24.75" customHeight="1" x14ac:dyDescent="0.75"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</row>
    <row r="55" spans="11:46" ht="24.75" customHeight="1" x14ac:dyDescent="0.75"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</row>
    <row r="56" spans="11:46" ht="24.75" customHeight="1" x14ac:dyDescent="0.75"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</row>
    <row r="57" spans="11:46" ht="24.75" customHeight="1" x14ac:dyDescent="0.75"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</row>
    <row r="58" spans="11:46" ht="24.75" customHeight="1" x14ac:dyDescent="0.75"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</row>
    <row r="59" spans="11:46" ht="24.75" customHeight="1" x14ac:dyDescent="0.75"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</row>
    <row r="60" spans="11:46" ht="24.75" customHeight="1" x14ac:dyDescent="0.75"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</row>
    <row r="61" spans="11:46" ht="24.75" customHeight="1" x14ac:dyDescent="0.75"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</row>
    <row r="62" spans="11:46" ht="24.75" customHeight="1" x14ac:dyDescent="0.75"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</row>
    <row r="63" spans="11:46" ht="24.75" customHeight="1" x14ac:dyDescent="0.75"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</row>
    <row r="64" spans="11:46" ht="24.75" customHeight="1" x14ac:dyDescent="0.75"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</row>
    <row r="65" spans="11:46" ht="24.75" customHeight="1" x14ac:dyDescent="0.75"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</row>
    <row r="66" spans="11:46" ht="24.75" customHeight="1" x14ac:dyDescent="0.75"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</row>
    <row r="67" spans="11:46" ht="24.75" customHeight="1" x14ac:dyDescent="0.75"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</row>
    <row r="68" spans="11:46" ht="24.75" customHeight="1" x14ac:dyDescent="0.75"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</row>
    <row r="69" spans="11:46" ht="24.75" customHeight="1" x14ac:dyDescent="0.75"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</row>
    <row r="70" spans="11:46" ht="24.75" customHeight="1" x14ac:dyDescent="0.75"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</row>
    <row r="71" spans="11:46" ht="24.75" customHeight="1" x14ac:dyDescent="0.75"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</row>
    <row r="72" spans="11:46" ht="24.75" customHeight="1" x14ac:dyDescent="0.75"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</row>
    <row r="73" spans="11:46" ht="24.75" customHeight="1" x14ac:dyDescent="0.75"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</row>
    <row r="74" spans="11:46" ht="24.75" customHeight="1" x14ac:dyDescent="0.75"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</row>
    <row r="75" spans="11:46" ht="24.75" customHeight="1" x14ac:dyDescent="0.75"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</row>
    <row r="76" spans="11:46" ht="24.75" customHeight="1" x14ac:dyDescent="0.75"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</row>
    <row r="77" spans="11:46" ht="24.75" customHeight="1" x14ac:dyDescent="0.75"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</row>
    <row r="78" spans="11:46" ht="24.75" customHeight="1" x14ac:dyDescent="0.75"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</row>
    <row r="79" spans="11:46" ht="24.75" customHeight="1" x14ac:dyDescent="0.75"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</row>
    <row r="80" spans="11:46" ht="24.75" customHeight="1" x14ac:dyDescent="0.75"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</row>
    <row r="81" spans="11:46" ht="24.75" customHeight="1" x14ac:dyDescent="0.75"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</row>
    <row r="82" spans="11:46" ht="24.75" customHeight="1" x14ac:dyDescent="0.75"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</row>
    <row r="83" spans="11:46" ht="24.75" customHeight="1" x14ac:dyDescent="0.75"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</row>
    <row r="84" spans="11:46" ht="24.75" customHeight="1" x14ac:dyDescent="0.75"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</row>
    <row r="85" spans="11:46" ht="24.75" customHeight="1" x14ac:dyDescent="0.75"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</row>
    <row r="86" spans="11:46" ht="24.75" customHeight="1" x14ac:dyDescent="0.75"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</row>
    <row r="87" spans="11:46" ht="24.75" customHeight="1" x14ac:dyDescent="0.75"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</row>
    <row r="88" spans="11:46" ht="24.75" customHeight="1" x14ac:dyDescent="0.75"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</row>
    <row r="89" spans="11:46" ht="24.75" customHeight="1" x14ac:dyDescent="0.75"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</row>
    <row r="90" spans="11:46" ht="24.75" customHeight="1" x14ac:dyDescent="0.75"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</row>
    <row r="91" spans="11:46" ht="24.75" customHeight="1" x14ac:dyDescent="0.75"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</row>
    <row r="92" spans="11:46" ht="24.75" customHeight="1" x14ac:dyDescent="0.75"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</row>
    <row r="93" spans="11:46" ht="24.75" customHeight="1" x14ac:dyDescent="0.75"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</row>
    <row r="94" spans="11:46" ht="24.75" customHeight="1" x14ac:dyDescent="0.75"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</row>
    <row r="95" spans="11:46" ht="24.75" customHeight="1" x14ac:dyDescent="0.75"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</row>
    <row r="96" spans="11:46" ht="24.75" customHeight="1" x14ac:dyDescent="0.75"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</row>
    <row r="97" spans="11:46" ht="24.75" customHeight="1" x14ac:dyDescent="0.75"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</row>
    <row r="98" spans="11:46" ht="24.75" customHeight="1" x14ac:dyDescent="0.75"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</row>
    <row r="99" spans="11:46" ht="24.75" customHeight="1" x14ac:dyDescent="0.75"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</row>
    <row r="100" spans="11:46" ht="24.75" customHeight="1" x14ac:dyDescent="0.75"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</row>
    <row r="101" spans="11:46" ht="24.75" customHeight="1" x14ac:dyDescent="0.75"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</row>
    <row r="102" spans="11:46" ht="24.75" customHeight="1" x14ac:dyDescent="0.75"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</row>
    <row r="103" spans="11:46" ht="24.75" customHeight="1" x14ac:dyDescent="0.75"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</row>
    <row r="104" spans="11:46" ht="24.75" customHeight="1" x14ac:dyDescent="0.75"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</row>
    <row r="105" spans="11:46" ht="24.75" customHeight="1" x14ac:dyDescent="0.75"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</row>
    <row r="106" spans="11:46" ht="24.75" customHeight="1" x14ac:dyDescent="0.75"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</row>
    <row r="107" spans="11:46" ht="24.75" customHeight="1" x14ac:dyDescent="0.75"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</row>
    <row r="108" spans="11:46" ht="24.75" customHeight="1" x14ac:dyDescent="0.75"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</row>
    <row r="109" spans="11:46" ht="24.75" customHeight="1" x14ac:dyDescent="0.75"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</row>
    <row r="110" spans="11:46" ht="24.75" customHeight="1" x14ac:dyDescent="0.75"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</row>
    <row r="111" spans="11:46" ht="24.75" customHeight="1" x14ac:dyDescent="0.75"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</row>
    <row r="112" spans="11:46" ht="24.75" customHeight="1" x14ac:dyDescent="0.75"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</row>
    <row r="113" spans="11:46" ht="24.75" customHeight="1" x14ac:dyDescent="0.75"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</row>
    <row r="114" spans="11:46" ht="24.75" customHeight="1" x14ac:dyDescent="0.75"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</row>
    <row r="115" spans="11:46" ht="24.75" customHeight="1" x14ac:dyDescent="0.75"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</row>
    <row r="116" spans="11:46" ht="24.75" customHeight="1" x14ac:dyDescent="0.75"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</row>
    <row r="117" spans="11:46" ht="24.75" customHeight="1" x14ac:dyDescent="0.75"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</row>
    <row r="118" spans="11:46" ht="24.75" customHeight="1" x14ac:dyDescent="0.75"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</row>
    <row r="119" spans="11:46" ht="24.75" customHeight="1" x14ac:dyDescent="0.75"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</row>
    <row r="120" spans="11:46" ht="24.75" customHeight="1" x14ac:dyDescent="0.75"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</row>
    <row r="121" spans="11:46" ht="24.75" customHeight="1" x14ac:dyDescent="0.75"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</row>
    <row r="122" spans="11:46" ht="24.75" customHeight="1" x14ac:dyDescent="0.75"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</row>
    <row r="123" spans="11:46" ht="24.75" customHeight="1" x14ac:dyDescent="0.75"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</row>
    <row r="124" spans="11:46" ht="24.75" customHeight="1" x14ac:dyDescent="0.75"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</row>
    <row r="125" spans="11:46" ht="24.75" customHeight="1" x14ac:dyDescent="0.75"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</row>
    <row r="126" spans="11:46" ht="24.75" customHeight="1" x14ac:dyDescent="0.75"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</row>
    <row r="127" spans="11:46" ht="24.75" customHeight="1" x14ac:dyDescent="0.75"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</row>
    <row r="128" spans="11:46" ht="24.75" customHeight="1" x14ac:dyDescent="0.75"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</row>
    <row r="129" spans="11:46" ht="24.75" customHeight="1" x14ac:dyDescent="0.75"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</row>
    <row r="130" spans="11:46" ht="24.75" customHeight="1" x14ac:dyDescent="0.75"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</row>
    <row r="131" spans="11:46" ht="24.75" customHeight="1" x14ac:dyDescent="0.75"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</row>
    <row r="132" spans="11:46" ht="24.75" customHeight="1" x14ac:dyDescent="0.75"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</row>
    <row r="133" spans="11:46" ht="24.75" customHeight="1" x14ac:dyDescent="0.75"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</row>
    <row r="134" spans="11:46" ht="24.75" customHeight="1" x14ac:dyDescent="0.75"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</row>
    <row r="135" spans="11:46" ht="24.75" customHeight="1" x14ac:dyDescent="0.75"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</row>
    <row r="136" spans="11:46" ht="24.75" customHeight="1" x14ac:dyDescent="0.75"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</row>
    <row r="137" spans="11:46" ht="24.75" customHeight="1" x14ac:dyDescent="0.75"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</row>
    <row r="138" spans="11:46" ht="24.75" customHeight="1" x14ac:dyDescent="0.75"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</row>
    <row r="139" spans="11:46" ht="24.75" customHeight="1" x14ac:dyDescent="0.75"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</row>
    <row r="140" spans="11:46" ht="24.75" customHeight="1" x14ac:dyDescent="0.75"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</row>
    <row r="141" spans="11:46" ht="24.75" customHeight="1" x14ac:dyDescent="0.75"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</row>
    <row r="142" spans="11:46" ht="24.75" customHeight="1" x14ac:dyDescent="0.75"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</row>
    <row r="143" spans="11:46" ht="24.75" customHeight="1" x14ac:dyDescent="0.75"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</row>
    <row r="144" spans="11:46" ht="24.75" customHeight="1" x14ac:dyDescent="0.75"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</row>
    <row r="145" spans="11:46" ht="24.75" customHeight="1" x14ac:dyDescent="0.75"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</row>
    <row r="146" spans="11:46" ht="24.75" customHeight="1" x14ac:dyDescent="0.75"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</row>
    <row r="147" spans="11:46" ht="24.75" customHeight="1" x14ac:dyDescent="0.75"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</row>
    <row r="148" spans="11:46" ht="24.75" customHeight="1" x14ac:dyDescent="0.75"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</row>
    <row r="149" spans="11:46" ht="24.75" customHeight="1" x14ac:dyDescent="0.75"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</row>
    <row r="150" spans="11:46" ht="24.75" customHeight="1" x14ac:dyDescent="0.75"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</row>
    <row r="151" spans="11:46" ht="24.75" customHeight="1" x14ac:dyDescent="0.75"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</row>
    <row r="152" spans="11:46" ht="24.75" customHeight="1" x14ac:dyDescent="0.75"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</row>
    <row r="153" spans="11:46" ht="24.75" customHeight="1" x14ac:dyDescent="0.75"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</row>
    <row r="154" spans="11:46" ht="24.75" customHeight="1" x14ac:dyDescent="0.75"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</row>
    <row r="155" spans="11:46" ht="24.75" customHeight="1" x14ac:dyDescent="0.75"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</row>
    <row r="156" spans="11:46" ht="24.75" customHeight="1" x14ac:dyDescent="0.75"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</row>
    <row r="157" spans="11:46" ht="24.75" customHeight="1" x14ac:dyDescent="0.75"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</row>
    <row r="158" spans="11:46" ht="24.75" customHeight="1" x14ac:dyDescent="0.75"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</row>
    <row r="159" spans="11:46" ht="24.75" customHeight="1" x14ac:dyDescent="0.75"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</row>
    <row r="160" spans="11:46" ht="24.75" customHeight="1" x14ac:dyDescent="0.75"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</row>
    <row r="161" spans="11:46" ht="24.75" customHeight="1" x14ac:dyDescent="0.75"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</row>
    <row r="162" spans="11:46" ht="24.75" customHeight="1" x14ac:dyDescent="0.75"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</row>
    <row r="163" spans="11:46" ht="24.75" customHeight="1" x14ac:dyDescent="0.75"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</row>
    <row r="164" spans="11:46" ht="24.75" customHeight="1" x14ac:dyDescent="0.75"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</row>
    <row r="165" spans="11:46" ht="24.75" customHeight="1" x14ac:dyDescent="0.75"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</row>
    <row r="166" spans="11:46" ht="24.75" customHeight="1" x14ac:dyDescent="0.75"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</row>
    <row r="167" spans="11:46" ht="24.75" customHeight="1" x14ac:dyDescent="0.75"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</row>
    <row r="168" spans="11:46" ht="24.75" customHeight="1" x14ac:dyDescent="0.75"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</row>
    <row r="169" spans="11:46" ht="24.75" customHeight="1" x14ac:dyDescent="0.75"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</row>
    <row r="170" spans="11:46" ht="24.75" customHeight="1" x14ac:dyDescent="0.75"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</row>
    <row r="171" spans="11:46" ht="24.75" customHeight="1" x14ac:dyDescent="0.75"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</row>
    <row r="172" spans="11:46" ht="24.75" customHeight="1" x14ac:dyDescent="0.75"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</row>
    <row r="173" spans="11:46" ht="24.75" customHeight="1" x14ac:dyDescent="0.75"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</row>
    <row r="174" spans="11:46" ht="24.75" customHeight="1" x14ac:dyDescent="0.75"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</row>
    <row r="175" spans="11:46" ht="24.75" customHeight="1" x14ac:dyDescent="0.75"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</row>
    <row r="176" spans="11:46" ht="24.75" customHeight="1" x14ac:dyDescent="0.75"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</row>
    <row r="177" spans="11:46" ht="24.75" customHeight="1" x14ac:dyDescent="0.75"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</row>
    <row r="178" spans="11:46" ht="24.75" customHeight="1" x14ac:dyDescent="0.75"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</row>
    <row r="179" spans="11:46" ht="24.75" customHeight="1" x14ac:dyDescent="0.75"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</row>
    <row r="180" spans="11:46" ht="24.75" customHeight="1" x14ac:dyDescent="0.75"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</row>
    <row r="181" spans="11:46" ht="24.75" customHeight="1" x14ac:dyDescent="0.75"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</row>
    <row r="182" spans="11:46" ht="24.75" customHeight="1" x14ac:dyDescent="0.75"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</row>
    <row r="183" spans="11:46" ht="24.75" customHeight="1" x14ac:dyDescent="0.75"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</row>
    <row r="184" spans="11:46" ht="24.75" customHeight="1" x14ac:dyDescent="0.75"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</row>
    <row r="185" spans="11:46" ht="24.75" customHeight="1" x14ac:dyDescent="0.75"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</row>
    <row r="186" spans="11:46" ht="24.75" customHeight="1" x14ac:dyDescent="0.75"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</row>
    <row r="187" spans="11:46" ht="24.75" customHeight="1" x14ac:dyDescent="0.75"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</row>
    <row r="188" spans="11:46" ht="24.75" customHeight="1" x14ac:dyDescent="0.75"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</row>
    <row r="189" spans="11:46" ht="24.75" customHeight="1" x14ac:dyDescent="0.75"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</row>
    <row r="190" spans="11:46" ht="24.75" customHeight="1" x14ac:dyDescent="0.75"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</row>
    <row r="191" spans="11:46" ht="24.75" customHeight="1" x14ac:dyDescent="0.75"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</row>
    <row r="192" spans="11:46" ht="24.75" customHeight="1" x14ac:dyDescent="0.75"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</row>
    <row r="193" spans="11:46" ht="24.75" customHeight="1" x14ac:dyDescent="0.75"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</row>
    <row r="194" spans="11:46" ht="24.75" customHeight="1" x14ac:dyDescent="0.75"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</row>
    <row r="195" spans="11:46" ht="24.75" customHeight="1" x14ac:dyDescent="0.75"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</row>
    <row r="196" spans="11:46" ht="24.75" customHeight="1" x14ac:dyDescent="0.75"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</row>
    <row r="197" spans="11:46" ht="24.75" customHeight="1" x14ac:dyDescent="0.75"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</row>
    <row r="198" spans="11:46" ht="24.75" customHeight="1" x14ac:dyDescent="0.75"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</row>
    <row r="199" spans="11:46" ht="24.75" customHeight="1" x14ac:dyDescent="0.75"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</row>
    <row r="200" spans="11:46" ht="24.75" customHeight="1" x14ac:dyDescent="0.75"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</row>
    <row r="201" spans="11:46" ht="24.75" customHeight="1" x14ac:dyDescent="0.75"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</row>
    <row r="202" spans="11:46" ht="24.75" customHeight="1" x14ac:dyDescent="0.75"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</row>
    <row r="203" spans="11:46" ht="24.75" customHeight="1" x14ac:dyDescent="0.75"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</row>
    <row r="204" spans="11:46" ht="24.75" customHeight="1" x14ac:dyDescent="0.75"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</row>
    <row r="205" spans="11:46" ht="24.75" customHeight="1" x14ac:dyDescent="0.75"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</row>
    <row r="206" spans="11:46" ht="24.75" customHeight="1" x14ac:dyDescent="0.75"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</row>
    <row r="207" spans="11:46" ht="24.75" customHeight="1" x14ac:dyDescent="0.75"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</row>
    <row r="208" spans="11:46" ht="24.75" customHeight="1" x14ac:dyDescent="0.75"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</row>
    <row r="209" spans="11:46" ht="24.75" customHeight="1" x14ac:dyDescent="0.75"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</row>
    <row r="210" spans="11:46" ht="24.75" customHeight="1" x14ac:dyDescent="0.75"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</row>
    <row r="211" spans="11:46" ht="24.75" customHeight="1" x14ac:dyDescent="0.75"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</row>
    <row r="212" spans="11:46" ht="24.75" customHeight="1" x14ac:dyDescent="0.75"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</row>
    <row r="213" spans="11:46" ht="24.75" customHeight="1" x14ac:dyDescent="0.75"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</row>
    <row r="214" spans="11:46" ht="24.75" customHeight="1" x14ac:dyDescent="0.75"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</row>
    <row r="215" spans="11:46" ht="24.75" customHeight="1" x14ac:dyDescent="0.75"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</row>
    <row r="216" spans="11:46" ht="24.75" customHeight="1" x14ac:dyDescent="0.75"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</row>
    <row r="217" spans="11:46" ht="24.75" customHeight="1" x14ac:dyDescent="0.75"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</row>
    <row r="218" spans="11:46" ht="24.75" customHeight="1" x14ac:dyDescent="0.75"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</row>
    <row r="219" spans="11:46" ht="24.75" customHeight="1" x14ac:dyDescent="0.75"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</row>
    <row r="220" spans="11:46" ht="24.75" customHeight="1" x14ac:dyDescent="0.75"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</row>
    <row r="221" spans="11:46" ht="24.75" customHeight="1" x14ac:dyDescent="0.75"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</row>
    <row r="222" spans="11:46" ht="24.75" customHeight="1" x14ac:dyDescent="0.75"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</row>
    <row r="223" spans="11:46" ht="24.75" customHeight="1" x14ac:dyDescent="0.75"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</row>
    <row r="224" spans="11:46" ht="24.75" customHeight="1" x14ac:dyDescent="0.75"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</row>
    <row r="225" spans="11:46" ht="24.75" customHeight="1" x14ac:dyDescent="0.75"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</row>
    <row r="226" spans="11:46" ht="24.75" customHeight="1" x14ac:dyDescent="0.75"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</row>
    <row r="227" spans="11:46" ht="24.75" customHeight="1" x14ac:dyDescent="0.75"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</row>
    <row r="228" spans="11:46" ht="24.75" customHeight="1" x14ac:dyDescent="0.75"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</row>
    <row r="229" spans="11:46" ht="24.75" customHeight="1" x14ac:dyDescent="0.75"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</row>
    <row r="230" spans="11:46" ht="24.75" customHeight="1" x14ac:dyDescent="0.75"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</row>
    <row r="231" spans="11:46" ht="24.75" customHeight="1" x14ac:dyDescent="0.75"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</row>
    <row r="232" spans="11:46" ht="24.75" customHeight="1" x14ac:dyDescent="0.75"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</row>
    <row r="233" spans="11:46" ht="24.75" customHeight="1" x14ac:dyDescent="0.75"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</row>
    <row r="234" spans="11:46" ht="24.75" customHeight="1" x14ac:dyDescent="0.75"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</row>
    <row r="235" spans="11:46" ht="24.75" customHeight="1" x14ac:dyDescent="0.75"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</row>
    <row r="236" spans="11:46" ht="24.75" customHeight="1" x14ac:dyDescent="0.75"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</row>
    <row r="237" spans="11:46" ht="24.75" customHeight="1" x14ac:dyDescent="0.75"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</row>
    <row r="238" spans="11:46" ht="24.75" customHeight="1" x14ac:dyDescent="0.75"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</row>
    <row r="239" spans="11:46" ht="24.75" customHeight="1" x14ac:dyDescent="0.75"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</row>
    <row r="240" spans="11:46" ht="24.75" customHeight="1" x14ac:dyDescent="0.75"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</row>
    <row r="241" spans="11:46" ht="24.75" customHeight="1" x14ac:dyDescent="0.75"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</row>
    <row r="242" spans="11:46" ht="24.75" customHeight="1" x14ac:dyDescent="0.75"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</row>
    <row r="243" spans="11:46" ht="24.75" customHeight="1" x14ac:dyDescent="0.75"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</row>
    <row r="244" spans="11:46" ht="24.75" customHeight="1" x14ac:dyDescent="0.75"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</row>
    <row r="245" spans="11:46" ht="24.75" customHeight="1" x14ac:dyDescent="0.75"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</row>
    <row r="246" spans="11:46" ht="24.75" customHeight="1" x14ac:dyDescent="0.75"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</row>
    <row r="247" spans="11:46" ht="24.75" customHeight="1" x14ac:dyDescent="0.75"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</row>
    <row r="248" spans="11:46" ht="24.75" customHeight="1" x14ac:dyDescent="0.75"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</row>
    <row r="249" spans="11:46" ht="24.75" customHeight="1" x14ac:dyDescent="0.75"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</row>
    <row r="250" spans="11:46" ht="24.75" customHeight="1" x14ac:dyDescent="0.75"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</row>
    <row r="251" spans="11:46" ht="24.75" customHeight="1" x14ac:dyDescent="0.75"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</row>
    <row r="252" spans="11:46" ht="24.75" customHeight="1" x14ac:dyDescent="0.75"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</row>
    <row r="253" spans="11:46" ht="24.75" customHeight="1" x14ac:dyDescent="0.75"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</row>
    <row r="254" spans="11:46" ht="24.75" customHeight="1" x14ac:dyDescent="0.75"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</row>
    <row r="255" spans="11:46" ht="24.75" customHeight="1" x14ac:dyDescent="0.75"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</row>
    <row r="256" spans="11:46" ht="24.75" customHeight="1" x14ac:dyDescent="0.75"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</row>
    <row r="257" spans="11:46" ht="24.75" customHeight="1" x14ac:dyDescent="0.75"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</row>
    <row r="258" spans="11:46" ht="24.75" customHeight="1" x14ac:dyDescent="0.75"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</row>
    <row r="259" spans="11:46" ht="24.75" customHeight="1" x14ac:dyDescent="0.75"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</row>
    <row r="260" spans="11:46" ht="24.75" customHeight="1" x14ac:dyDescent="0.75"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</row>
    <row r="261" spans="11:46" ht="24.75" customHeight="1" x14ac:dyDescent="0.75"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</row>
    <row r="262" spans="11:46" ht="24.75" customHeight="1" x14ac:dyDescent="0.75"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</row>
    <row r="263" spans="11:46" ht="24.75" customHeight="1" x14ac:dyDescent="0.75"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</row>
    <row r="264" spans="11:46" ht="24.75" customHeight="1" x14ac:dyDescent="0.75"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</row>
    <row r="265" spans="11:46" ht="24.75" customHeight="1" x14ac:dyDescent="0.75"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</row>
    <row r="266" spans="11:46" ht="24.75" customHeight="1" x14ac:dyDescent="0.75"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</row>
    <row r="267" spans="11:46" ht="24.75" customHeight="1" x14ac:dyDescent="0.75"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</row>
    <row r="268" spans="11:46" ht="24.75" customHeight="1" x14ac:dyDescent="0.75"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</row>
    <row r="269" spans="11:46" ht="24.75" customHeight="1" x14ac:dyDescent="0.75"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</row>
    <row r="270" spans="11:46" ht="24.75" customHeight="1" x14ac:dyDescent="0.75"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</row>
    <row r="271" spans="11:46" ht="24.75" customHeight="1" x14ac:dyDescent="0.75"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</row>
    <row r="272" spans="11:46" ht="24.75" customHeight="1" x14ac:dyDescent="0.75"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</row>
    <row r="273" spans="11:46" ht="24.75" customHeight="1" x14ac:dyDescent="0.75"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</row>
    <row r="274" spans="11:46" ht="24.75" customHeight="1" x14ac:dyDescent="0.75"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</row>
    <row r="275" spans="11:46" ht="24.75" customHeight="1" x14ac:dyDescent="0.75"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</row>
    <row r="276" spans="11:46" ht="24.75" customHeight="1" x14ac:dyDescent="0.75"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</row>
    <row r="277" spans="11:46" ht="24.75" customHeight="1" x14ac:dyDescent="0.75"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</row>
    <row r="278" spans="11:46" ht="24.75" customHeight="1" x14ac:dyDescent="0.75"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</row>
    <row r="279" spans="11:46" ht="24.75" customHeight="1" x14ac:dyDescent="0.75"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</row>
    <row r="280" spans="11:46" ht="24.75" customHeight="1" x14ac:dyDescent="0.75"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</row>
    <row r="281" spans="11:46" ht="24.75" customHeight="1" x14ac:dyDescent="0.75"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</row>
    <row r="282" spans="11:46" ht="24.75" customHeight="1" x14ac:dyDescent="0.75"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</row>
    <row r="283" spans="11:46" ht="24.75" customHeight="1" x14ac:dyDescent="0.75"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</row>
    <row r="284" spans="11:46" ht="24.75" customHeight="1" x14ac:dyDescent="0.75"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</row>
    <row r="285" spans="11:46" ht="24.75" customHeight="1" x14ac:dyDescent="0.75"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</row>
    <row r="286" spans="11:46" ht="24.75" customHeight="1" x14ac:dyDescent="0.75"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</row>
    <row r="287" spans="11:46" ht="24.75" customHeight="1" x14ac:dyDescent="0.75"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</row>
    <row r="288" spans="11:46" ht="24.75" customHeight="1" x14ac:dyDescent="0.75"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</row>
    <row r="289" spans="11:46" ht="24.75" customHeight="1" x14ac:dyDescent="0.75"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</row>
    <row r="290" spans="11:46" ht="24.75" customHeight="1" x14ac:dyDescent="0.75"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</row>
    <row r="291" spans="11:46" ht="24.75" customHeight="1" x14ac:dyDescent="0.75"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</row>
    <row r="292" spans="11:46" ht="24.75" customHeight="1" x14ac:dyDescent="0.75"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</row>
    <row r="293" spans="11:46" ht="24.75" customHeight="1" x14ac:dyDescent="0.75"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</row>
    <row r="294" spans="11:46" ht="24.75" customHeight="1" x14ac:dyDescent="0.75"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</row>
    <row r="295" spans="11:46" ht="24.75" customHeight="1" x14ac:dyDescent="0.75"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</row>
    <row r="296" spans="11:46" ht="24.75" customHeight="1" x14ac:dyDescent="0.75"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</row>
    <row r="297" spans="11:46" ht="24.75" customHeight="1" x14ac:dyDescent="0.75"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</row>
    <row r="298" spans="11:46" ht="24.75" customHeight="1" x14ac:dyDescent="0.75"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</row>
    <row r="299" spans="11:46" ht="24.75" customHeight="1" x14ac:dyDescent="0.75"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</row>
    <row r="300" spans="11:46" ht="24.75" customHeight="1" x14ac:dyDescent="0.75"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</row>
    <row r="301" spans="11:46" ht="24.75" customHeight="1" x14ac:dyDescent="0.75"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</row>
    <row r="302" spans="11:46" ht="24.75" customHeight="1" x14ac:dyDescent="0.75"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</row>
    <row r="303" spans="11:46" ht="24.75" customHeight="1" x14ac:dyDescent="0.75"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</row>
    <row r="304" spans="11:46" ht="24.75" customHeight="1" x14ac:dyDescent="0.75"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</row>
    <row r="305" spans="11:46" ht="24.75" customHeight="1" x14ac:dyDescent="0.75"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</row>
    <row r="306" spans="11:46" ht="24.75" customHeight="1" x14ac:dyDescent="0.75"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</row>
    <row r="307" spans="11:46" ht="24.75" customHeight="1" x14ac:dyDescent="0.75"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</row>
    <row r="308" spans="11:46" ht="24.75" customHeight="1" x14ac:dyDescent="0.75"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</row>
    <row r="309" spans="11:46" ht="24.75" customHeight="1" x14ac:dyDescent="0.75"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</row>
    <row r="310" spans="11:46" ht="24.75" customHeight="1" x14ac:dyDescent="0.75"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</row>
    <row r="311" spans="11:46" ht="24.75" customHeight="1" x14ac:dyDescent="0.75"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</row>
    <row r="312" spans="11:46" ht="24.75" customHeight="1" x14ac:dyDescent="0.75"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</row>
    <row r="313" spans="11:46" ht="24.75" customHeight="1" x14ac:dyDescent="0.75"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</row>
    <row r="314" spans="11:46" ht="24.75" customHeight="1" x14ac:dyDescent="0.75"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</row>
    <row r="315" spans="11:46" ht="24.75" customHeight="1" x14ac:dyDescent="0.75"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</row>
    <row r="316" spans="11:46" ht="24.75" customHeight="1" x14ac:dyDescent="0.75"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</row>
    <row r="317" spans="11:46" ht="24.75" customHeight="1" x14ac:dyDescent="0.75"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</row>
    <row r="318" spans="11:46" ht="24.75" customHeight="1" x14ac:dyDescent="0.75"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</row>
    <row r="319" spans="11:46" ht="24.75" customHeight="1" x14ac:dyDescent="0.75"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</row>
    <row r="320" spans="11:46" ht="24.75" customHeight="1" x14ac:dyDescent="0.75"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</row>
    <row r="321" spans="11:46" ht="24.75" customHeight="1" x14ac:dyDescent="0.75"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</row>
    <row r="322" spans="11:46" ht="24.75" customHeight="1" x14ac:dyDescent="0.75"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</row>
    <row r="323" spans="11:46" ht="24.75" customHeight="1" x14ac:dyDescent="0.75"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</row>
    <row r="324" spans="11:46" ht="24.75" customHeight="1" x14ac:dyDescent="0.75"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</row>
    <row r="325" spans="11:46" ht="24.75" customHeight="1" x14ac:dyDescent="0.75"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</row>
    <row r="326" spans="11:46" ht="24.75" customHeight="1" x14ac:dyDescent="0.75"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</row>
    <row r="327" spans="11:46" ht="24.75" customHeight="1" x14ac:dyDescent="0.75"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</row>
    <row r="328" spans="11:46" ht="24.75" customHeight="1" x14ac:dyDescent="0.75"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</row>
    <row r="329" spans="11:46" ht="24.75" customHeight="1" x14ac:dyDescent="0.75"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</row>
    <row r="330" spans="11:46" ht="24.75" customHeight="1" x14ac:dyDescent="0.75"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</row>
    <row r="331" spans="11:46" ht="24.75" customHeight="1" x14ac:dyDescent="0.75"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</row>
    <row r="332" spans="11:46" ht="24.75" customHeight="1" x14ac:dyDescent="0.75"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</row>
    <row r="333" spans="11:46" ht="24.75" customHeight="1" x14ac:dyDescent="0.75"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</row>
    <row r="334" spans="11:46" ht="24.75" customHeight="1" x14ac:dyDescent="0.75"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</row>
    <row r="335" spans="11:46" ht="24.75" customHeight="1" x14ac:dyDescent="0.75"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</row>
    <row r="336" spans="11:46" ht="24.75" customHeight="1" x14ac:dyDescent="0.75"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</row>
    <row r="337" spans="11:46" ht="24.75" customHeight="1" x14ac:dyDescent="0.75"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</row>
    <row r="338" spans="11:46" ht="24.75" customHeight="1" x14ac:dyDescent="0.75"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</row>
    <row r="339" spans="11:46" ht="24.75" customHeight="1" x14ac:dyDescent="0.75"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</row>
    <row r="340" spans="11:46" ht="24.75" customHeight="1" x14ac:dyDescent="0.75"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</row>
    <row r="341" spans="11:46" ht="24.75" customHeight="1" x14ac:dyDescent="0.75"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</row>
    <row r="342" spans="11:46" ht="24.75" customHeight="1" x14ac:dyDescent="0.75"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</row>
    <row r="343" spans="11:46" ht="24.75" customHeight="1" x14ac:dyDescent="0.75"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</row>
    <row r="344" spans="11:46" ht="24.75" customHeight="1" x14ac:dyDescent="0.75"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</row>
    <row r="345" spans="11:46" ht="24.75" customHeight="1" x14ac:dyDescent="0.75"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</row>
    <row r="346" spans="11:46" ht="24.75" customHeight="1" x14ac:dyDescent="0.75"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</row>
    <row r="347" spans="11:46" ht="24.75" customHeight="1" x14ac:dyDescent="0.75"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</row>
    <row r="348" spans="11:46" ht="24.75" customHeight="1" x14ac:dyDescent="0.75"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</row>
    <row r="349" spans="11:46" ht="24.75" customHeight="1" x14ac:dyDescent="0.75"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</row>
    <row r="350" spans="11:46" ht="24.75" customHeight="1" x14ac:dyDescent="0.75"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</row>
    <row r="351" spans="11:46" ht="24.75" customHeight="1" x14ac:dyDescent="0.75"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</row>
    <row r="352" spans="11:46" ht="24.75" customHeight="1" x14ac:dyDescent="0.75"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</row>
    <row r="353" spans="11:46" ht="24.75" customHeight="1" x14ac:dyDescent="0.75"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</row>
    <row r="354" spans="11:46" ht="24.75" customHeight="1" x14ac:dyDescent="0.75"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</row>
    <row r="355" spans="11:46" ht="24.75" customHeight="1" x14ac:dyDescent="0.75"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</row>
    <row r="356" spans="11:46" ht="24.75" customHeight="1" x14ac:dyDescent="0.75"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</row>
    <row r="357" spans="11:46" ht="24.75" customHeight="1" x14ac:dyDescent="0.75"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</row>
    <row r="358" spans="11:46" ht="24.75" customHeight="1" x14ac:dyDescent="0.75"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</row>
    <row r="359" spans="11:46" ht="24.75" customHeight="1" x14ac:dyDescent="0.75"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</row>
    <row r="360" spans="11:46" ht="24.75" customHeight="1" x14ac:dyDescent="0.75"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</row>
    <row r="361" spans="11:46" ht="24.75" customHeight="1" x14ac:dyDescent="0.75"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</row>
    <row r="362" spans="11:46" ht="24.75" customHeight="1" x14ac:dyDescent="0.75"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</row>
    <row r="363" spans="11:46" ht="24.75" customHeight="1" x14ac:dyDescent="0.75"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</row>
    <row r="364" spans="11:46" ht="24.75" customHeight="1" x14ac:dyDescent="0.75"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</row>
    <row r="365" spans="11:46" ht="24.75" customHeight="1" x14ac:dyDescent="0.75"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</row>
    <row r="366" spans="11:46" ht="24.75" customHeight="1" x14ac:dyDescent="0.75"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</row>
    <row r="367" spans="11:46" ht="24.75" customHeight="1" x14ac:dyDescent="0.75"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</row>
    <row r="368" spans="11:46" ht="24.75" customHeight="1" x14ac:dyDescent="0.75"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</row>
    <row r="369" spans="11:46" ht="24.75" customHeight="1" x14ac:dyDescent="0.75"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</row>
    <row r="370" spans="11:46" ht="24.75" customHeight="1" x14ac:dyDescent="0.75"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</row>
    <row r="371" spans="11:46" ht="24.75" customHeight="1" x14ac:dyDescent="0.75"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</row>
    <row r="372" spans="11:46" ht="24.75" customHeight="1" x14ac:dyDescent="0.75"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</row>
    <row r="373" spans="11:46" ht="24.75" customHeight="1" x14ac:dyDescent="0.75"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</row>
    <row r="374" spans="11:46" ht="24.75" customHeight="1" x14ac:dyDescent="0.75"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</row>
    <row r="375" spans="11:46" ht="24.75" customHeight="1" x14ac:dyDescent="0.75"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</row>
    <row r="376" spans="11:46" ht="24.75" customHeight="1" x14ac:dyDescent="0.75"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</row>
    <row r="377" spans="11:46" ht="24.75" customHeight="1" x14ac:dyDescent="0.75"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</row>
    <row r="378" spans="11:46" ht="24.75" customHeight="1" x14ac:dyDescent="0.75"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</row>
    <row r="379" spans="11:46" ht="24.75" customHeight="1" x14ac:dyDescent="0.75"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</row>
    <row r="380" spans="11:46" ht="24.75" customHeight="1" x14ac:dyDescent="0.75"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</row>
    <row r="381" spans="11:46" ht="24.75" customHeight="1" x14ac:dyDescent="0.75"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</row>
    <row r="382" spans="11:46" ht="24.75" customHeight="1" x14ac:dyDescent="0.75"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</row>
    <row r="383" spans="11:46" ht="24.75" customHeight="1" x14ac:dyDescent="0.75"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</row>
    <row r="384" spans="11:46" ht="24.75" customHeight="1" x14ac:dyDescent="0.75"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</row>
    <row r="385" spans="11:46" ht="24.75" customHeight="1" x14ac:dyDescent="0.75"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</row>
    <row r="386" spans="11:46" ht="24.75" customHeight="1" x14ac:dyDescent="0.75"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</row>
    <row r="387" spans="11:46" ht="24.75" customHeight="1" x14ac:dyDescent="0.75"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</row>
    <row r="388" spans="11:46" ht="24.75" customHeight="1" x14ac:dyDescent="0.75"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</row>
    <row r="389" spans="11:46" ht="24.75" customHeight="1" x14ac:dyDescent="0.75"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</row>
    <row r="390" spans="11:46" ht="24.75" customHeight="1" x14ac:dyDescent="0.75"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</row>
    <row r="391" spans="11:46" ht="24.75" customHeight="1" x14ac:dyDescent="0.75"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</row>
    <row r="392" spans="11:46" ht="24.75" customHeight="1" x14ac:dyDescent="0.75"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</row>
    <row r="393" spans="11:46" ht="24.75" customHeight="1" x14ac:dyDescent="0.75"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</row>
    <row r="394" spans="11:46" ht="24.75" customHeight="1" x14ac:dyDescent="0.75"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</row>
    <row r="395" spans="11:46" ht="24.75" customHeight="1" x14ac:dyDescent="0.75"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</row>
    <row r="396" spans="11:46" ht="24.75" customHeight="1" x14ac:dyDescent="0.75"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</row>
    <row r="397" spans="11:46" ht="24.75" customHeight="1" x14ac:dyDescent="0.75"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</row>
    <row r="398" spans="11:46" ht="24.75" customHeight="1" x14ac:dyDescent="0.75"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</row>
    <row r="399" spans="11:46" ht="24.75" customHeight="1" x14ac:dyDescent="0.75"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</row>
    <row r="400" spans="11:46" ht="24.75" customHeight="1" x14ac:dyDescent="0.75"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</row>
    <row r="401" spans="11:46" ht="24.75" customHeight="1" x14ac:dyDescent="0.75"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</row>
    <row r="402" spans="11:46" ht="24.75" customHeight="1" x14ac:dyDescent="0.75"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</row>
    <row r="403" spans="11:46" ht="24.75" customHeight="1" x14ac:dyDescent="0.75"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</row>
    <row r="404" spans="11:46" ht="24.75" customHeight="1" x14ac:dyDescent="0.75"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</row>
    <row r="405" spans="11:46" ht="24.75" customHeight="1" x14ac:dyDescent="0.75"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</row>
    <row r="406" spans="11:46" ht="24.75" customHeight="1" x14ac:dyDescent="0.75"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</row>
    <row r="407" spans="11:46" ht="24.75" customHeight="1" x14ac:dyDescent="0.75"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</row>
    <row r="408" spans="11:46" ht="24.75" customHeight="1" x14ac:dyDescent="0.75"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</row>
    <row r="409" spans="11:46" ht="24.75" customHeight="1" x14ac:dyDescent="0.75"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</row>
    <row r="410" spans="11:46" ht="24.75" customHeight="1" x14ac:dyDescent="0.75"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</row>
    <row r="411" spans="11:46" ht="24.75" customHeight="1" x14ac:dyDescent="0.75"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</row>
    <row r="412" spans="11:46" ht="24.75" customHeight="1" x14ac:dyDescent="0.75"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</row>
    <row r="413" spans="11:46" ht="24.75" customHeight="1" x14ac:dyDescent="0.75"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</row>
    <row r="414" spans="11:46" ht="24.75" customHeight="1" x14ac:dyDescent="0.75"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</row>
    <row r="415" spans="11:46" ht="24.75" customHeight="1" x14ac:dyDescent="0.75"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</row>
    <row r="416" spans="11:46" ht="24.75" customHeight="1" x14ac:dyDescent="0.75"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</row>
    <row r="417" spans="11:46" ht="24.75" customHeight="1" x14ac:dyDescent="0.75"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</row>
    <row r="418" spans="11:46" ht="24.75" customHeight="1" x14ac:dyDescent="0.75"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</row>
    <row r="419" spans="11:46" ht="24.75" customHeight="1" x14ac:dyDescent="0.75"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</row>
    <row r="420" spans="11:46" ht="24.75" customHeight="1" x14ac:dyDescent="0.75"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</row>
    <row r="421" spans="11:46" ht="24.75" customHeight="1" x14ac:dyDescent="0.75"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</row>
    <row r="422" spans="11:46" ht="24.75" customHeight="1" x14ac:dyDescent="0.75"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</row>
    <row r="423" spans="11:46" ht="24.75" customHeight="1" x14ac:dyDescent="0.75"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</row>
    <row r="424" spans="11:46" ht="24.75" customHeight="1" x14ac:dyDescent="0.75"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</row>
    <row r="425" spans="11:46" ht="24.75" customHeight="1" x14ac:dyDescent="0.75"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</row>
    <row r="426" spans="11:46" ht="24.75" customHeight="1" x14ac:dyDescent="0.75"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</row>
    <row r="427" spans="11:46" ht="24.75" customHeight="1" x14ac:dyDescent="0.75"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</row>
    <row r="428" spans="11:46" ht="24.75" customHeight="1" x14ac:dyDescent="0.75"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</row>
    <row r="429" spans="11:46" ht="24.75" customHeight="1" x14ac:dyDescent="0.75"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</row>
    <row r="430" spans="11:46" ht="24.75" customHeight="1" x14ac:dyDescent="0.75"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</row>
    <row r="431" spans="11:46" ht="24.75" customHeight="1" x14ac:dyDescent="0.75"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</row>
    <row r="432" spans="11:46" ht="24.75" customHeight="1" x14ac:dyDescent="0.75"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</row>
    <row r="433" spans="11:46" ht="24.75" customHeight="1" x14ac:dyDescent="0.75"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</row>
    <row r="434" spans="11:46" ht="24.75" customHeight="1" x14ac:dyDescent="0.75"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</row>
    <row r="435" spans="11:46" ht="24.75" customHeight="1" x14ac:dyDescent="0.75"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</row>
    <row r="436" spans="11:46" ht="24.75" customHeight="1" x14ac:dyDescent="0.75"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</row>
    <row r="437" spans="11:46" ht="24.75" customHeight="1" x14ac:dyDescent="0.75"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</row>
    <row r="438" spans="11:46" ht="24.75" customHeight="1" x14ac:dyDescent="0.75"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</row>
    <row r="439" spans="11:46" ht="24.75" customHeight="1" x14ac:dyDescent="0.75"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</row>
    <row r="440" spans="11:46" ht="24.75" customHeight="1" x14ac:dyDescent="0.75"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</row>
    <row r="441" spans="11:46" ht="24.75" customHeight="1" x14ac:dyDescent="0.75"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</row>
    <row r="442" spans="11:46" ht="24.75" customHeight="1" x14ac:dyDescent="0.75"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</row>
    <row r="443" spans="11:46" ht="24.75" customHeight="1" x14ac:dyDescent="0.75"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</row>
    <row r="444" spans="11:46" ht="24.75" customHeight="1" x14ac:dyDescent="0.75"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</row>
    <row r="445" spans="11:46" ht="24.75" customHeight="1" x14ac:dyDescent="0.75"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</row>
    <row r="446" spans="11:46" ht="24.75" customHeight="1" x14ac:dyDescent="0.75"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</row>
    <row r="447" spans="11:46" ht="24.75" customHeight="1" x14ac:dyDescent="0.75"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</row>
    <row r="448" spans="11:46" ht="24.75" customHeight="1" x14ac:dyDescent="0.75"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</row>
    <row r="449" spans="11:46" ht="24.75" customHeight="1" x14ac:dyDescent="0.75"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</row>
    <row r="450" spans="11:46" ht="24.75" customHeight="1" x14ac:dyDescent="0.75"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</row>
    <row r="451" spans="11:46" ht="24.75" customHeight="1" x14ac:dyDescent="0.75"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</row>
    <row r="452" spans="11:46" ht="24.75" customHeight="1" x14ac:dyDescent="0.75"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</row>
    <row r="453" spans="11:46" ht="24.75" customHeight="1" x14ac:dyDescent="0.75"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</row>
    <row r="454" spans="11:46" ht="24.75" customHeight="1" x14ac:dyDescent="0.75"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</row>
    <row r="455" spans="11:46" ht="24.75" customHeight="1" x14ac:dyDescent="0.75"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</row>
    <row r="456" spans="11:46" ht="24.75" customHeight="1" x14ac:dyDescent="0.75"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</row>
    <row r="457" spans="11:46" ht="24.75" customHeight="1" x14ac:dyDescent="0.75"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</row>
    <row r="458" spans="11:46" ht="24.75" customHeight="1" x14ac:dyDescent="0.75"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</row>
    <row r="459" spans="11:46" ht="24.75" customHeight="1" x14ac:dyDescent="0.75"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</row>
    <row r="460" spans="11:46" ht="24.75" customHeight="1" x14ac:dyDescent="0.75"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</row>
    <row r="461" spans="11:46" ht="24.75" customHeight="1" x14ac:dyDescent="0.75"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</row>
    <row r="462" spans="11:46" ht="24.75" customHeight="1" x14ac:dyDescent="0.75"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</row>
    <row r="463" spans="11:46" ht="24.75" customHeight="1" x14ac:dyDescent="0.75"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</row>
    <row r="464" spans="11:46" ht="24.75" customHeight="1" x14ac:dyDescent="0.75"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</row>
    <row r="465" spans="11:46" ht="24.75" customHeight="1" x14ac:dyDescent="0.75"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</row>
    <row r="466" spans="11:46" ht="24.75" customHeight="1" x14ac:dyDescent="0.75"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</row>
    <row r="467" spans="11:46" ht="24.75" customHeight="1" x14ac:dyDescent="0.75"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</row>
    <row r="468" spans="11:46" ht="24.75" customHeight="1" x14ac:dyDescent="0.75"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</row>
    <row r="469" spans="11:46" ht="24.75" customHeight="1" x14ac:dyDescent="0.75"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</row>
    <row r="470" spans="11:46" ht="24.75" customHeight="1" x14ac:dyDescent="0.75"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</row>
    <row r="471" spans="11:46" ht="24.75" customHeight="1" x14ac:dyDescent="0.75"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</row>
    <row r="472" spans="11:46" ht="24.75" customHeight="1" x14ac:dyDescent="0.75"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</row>
    <row r="473" spans="11:46" ht="24.75" customHeight="1" x14ac:dyDescent="0.75"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</row>
    <row r="474" spans="11:46" ht="24.75" customHeight="1" x14ac:dyDescent="0.75"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</row>
    <row r="475" spans="11:46" ht="24.75" customHeight="1" x14ac:dyDescent="0.75"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</row>
    <row r="476" spans="11:46" ht="24.75" customHeight="1" x14ac:dyDescent="0.75"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</row>
    <row r="477" spans="11:46" ht="24.75" customHeight="1" x14ac:dyDescent="0.75"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</row>
    <row r="478" spans="11:46" ht="24.75" customHeight="1" x14ac:dyDescent="0.75"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</row>
    <row r="479" spans="11:46" ht="24.75" customHeight="1" x14ac:dyDescent="0.75"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</row>
    <row r="480" spans="11:46" ht="24.75" customHeight="1" x14ac:dyDescent="0.75"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</row>
    <row r="481" spans="11:46" ht="24.75" customHeight="1" x14ac:dyDescent="0.75"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</row>
    <row r="482" spans="11:46" ht="24.75" customHeight="1" x14ac:dyDescent="0.75"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</row>
    <row r="483" spans="11:46" ht="24.75" customHeight="1" x14ac:dyDescent="0.75"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</row>
    <row r="484" spans="11:46" ht="24.75" customHeight="1" x14ac:dyDescent="0.75"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</row>
    <row r="485" spans="11:46" ht="24.75" customHeight="1" x14ac:dyDescent="0.75"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</row>
    <row r="486" spans="11:46" ht="24.75" customHeight="1" x14ac:dyDescent="0.75"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</row>
    <row r="487" spans="11:46" ht="24.75" customHeight="1" x14ac:dyDescent="0.75"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</row>
    <row r="488" spans="11:46" ht="24.75" customHeight="1" x14ac:dyDescent="0.75"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</row>
    <row r="489" spans="11:46" ht="24.75" customHeight="1" x14ac:dyDescent="0.75"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</row>
    <row r="490" spans="11:46" ht="24.75" customHeight="1" x14ac:dyDescent="0.75"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</row>
  </sheetData>
  <autoFilter ref="AV12:AZ25" xr:uid="{00000000-0009-0000-0000-000003000000}"/>
  <mergeCells count="27">
    <mergeCell ref="G26:L26"/>
    <mergeCell ref="G23:L23"/>
    <mergeCell ref="Q23:Z23"/>
    <mergeCell ref="G24:L24"/>
    <mergeCell ref="Q24:Z24"/>
    <mergeCell ref="G25:L25"/>
    <mergeCell ref="AI11:AL11"/>
    <mergeCell ref="AM11:AP11"/>
    <mergeCell ref="AQ11:AT11"/>
    <mergeCell ref="AH21:AU21"/>
    <mergeCell ref="Q22:Z22"/>
    <mergeCell ref="AH22:AU22"/>
    <mergeCell ref="G6:AU6"/>
    <mergeCell ref="G7:AU7"/>
    <mergeCell ref="K10:K12"/>
    <mergeCell ref="L10:L12"/>
    <mergeCell ref="M10:N11"/>
    <mergeCell ref="O10:V10"/>
    <mergeCell ref="W10:AD10"/>
    <mergeCell ref="AE10:AL10"/>
    <mergeCell ref="AM10:AT10"/>
    <mergeCell ref="AU10:AU12"/>
    <mergeCell ref="O11:R11"/>
    <mergeCell ref="S11:V11"/>
    <mergeCell ref="W11:Z11"/>
    <mergeCell ref="AA11:AD11"/>
    <mergeCell ref="AE11:AH11"/>
  </mergeCells>
  <printOptions horizontalCentered="1"/>
  <pageMargins left="0.15" right="0.15" top="0.25" bottom="0.5" header="0.25" footer="0.25"/>
  <pageSetup paperSize="9" scale="70" fitToWidth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 sovandara</dc:creator>
  <cp:lastModifiedBy>Sineth-GSC</cp:lastModifiedBy>
  <dcterms:created xsi:type="dcterms:W3CDTF">2022-07-20T07:46:41Z</dcterms:created>
  <dcterms:modified xsi:type="dcterms:W3CDTF">2023-05-24T06:49:51Z</dcterms:modified>
</cp:coreProperties>
</file>
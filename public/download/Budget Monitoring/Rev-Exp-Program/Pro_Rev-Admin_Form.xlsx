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Rev-Exp-Program\"/>
    </mc:Choice>
  </mc:AlternateContent>
  <xr:revisionPtr revIDLastSave="0" documentId="13_ncr:1_{19D98C0F-06C9-4F31-AFC5-198235F58380}" xr6:coauthVersionLast="47" xr6:coauthVersionMax="47" xr10:uidLastSave="{00000000-0000-0000-0000-000000000000}"/>
  <bookViews>
    <workbookView xWindow="-90" yWindow="-90" windowWidth="19380" windowHeight="10260" xr2:uid="{EE99B851-3288-4F7B-9E75-8FCA420381D9}"/>
  </bookViews>
  <sheets>
    <sheet name="Sheet1" sheetId="3" r:id="rId1"/>
    <sheet name="by Min." sheetId="1" r:id="rId2"/>
    <sheet name="By Pro.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'by Min.'!$A$9:$AV$91</definedName>
    <definedName name="_xlnm._FilterDatabase" localSheetId="2" hidden="1">'By Pro.'!$AO$11:$AO$141</definedName>
    <definedName name="_xlnm._FilterDatabase" localSheetId="0" hidden="1">Sheet1!$A$1:$AT$77</definedName>
    <definedName name="_xlnm.Print_Area" localSheetId="1">'by Min.'!$G$1:$AT$102</definedName>
    <definedName name="_xlnm.Print_Area" localSheetId="2">'By Pro.'!$A$1:$AN$150</definedName>
    <definedName name="_xlnm.Print_Titles" localSheetId="1">'by Min.'!$10:$12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55" i="1"/>
  <c r="E34" i="1" l="1"/>
  <c r="E35" i="1"/>
  <c r="E36" i="1"/>
  <c r="E37" i="1"/>
  <c r="E38" i="1"/>
  <c r="E40" i="1"/>
  <c r="E52" i="1"/>
  <c r="E53" i="1"/>
  <c r="E54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18" i="1"/>
  <c r="F19" i="1"/>
  <c r="F20" i="1"/>
  <c r="F21" i="1"/>
  <c r="F22" i="1"/>
  <c r="F17" i="1"/>
  <c r="E25" i="1"/>
  <c r="E26" i="1"/>
  <c r="E27" i="1"/>
  <c r="E28" i="1"/>
  <c r="E29" i="1"/>
  <c r="E30" i="1"/>
  <c r="E31" i="1"/>
  <c r="E32" i="1"/>
  <c r="E33" i="1"/>
  <c r="E39" i="1"/>
  <c r="E41" i="1"/>
  <c r="E42" i="1"/>
  <c r="E43" i="1"/>
  <c r="E44" i="1"/>
  <c r="E45" i="1"/>
  <c r="E46" i="1"/>
  <c r="E47" i="1"/>
  <c r="E48" i="1"/>
  <c r="E49" i="1"/>
  <c r="E50" i="1"/>
  <c r="E51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18" i="1"/>
  <c r="E19" i="1"/>
  <c r="E20" i="1"/>
  <c r="E21" i="1"/>
  <c r="E22" i="1"/>
  <c r="E23" i="1"/>
  <c r="E24" i="1"/>
  <c r="E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17" i="1"/>
  <c r="C82" i="1"/>
  <c r="C75" i="1"/>
  <c r="C73" i="1"/>
  <c r="C69" i="1"/>
  <c r="C64" i="1"/>
  <c r="C60" i="1"/>
  <c r="C58" i="1"/>
  <c r="C39" i="1"/>
  <c r="C16" i="1"/>
  <c r="AM141" i="2"/>
  <c r="AL141" i="2"/>
  <c r="AK141" i="2"/>
  <c r="AJ141" i="2"/>
  <c r="AI141" i="2"/>
  <c r="AH141" i="2"/>
  <c r="AH137" i="2" s="1"/>
  <c r="AG141" i="2"/>
  <c r="AE141" i="2"/>
  <c r="AD141" i="2"/>
  <c r="AC141" i="2"/>
  <c r="AB141" i="2"/>
  <c r="AA141" i="2"/>
  <c r="Z141" i="2"/>
  <c r="Y141" i="2"/>
  <c r="X141" i="2" s="1"/>
  <c r="W141" i="2"/>
  <c r="V141" i="2"/>
  <c r="U141" i="2"/>
  <c r="T141" i="2"/>
  <c r="S141" i="2"/>
  <c r="R141" i="2"/>
  <c r="Q141" i="2"/>
  <c r="P141" i="2" s="1"/>
  <c r="O141" i="2"/>
  <c r="N141" i="2"/>
  <c r="M141" i="2"/>
  <c r="L141" i="2"/>
  <c r="K141" i="2"/>
  <c r="J141" i="2"/>
  <c r="I141" i="2"/>
  <c r="H141" i="2" s="1"/>
  <c r="E141" i="2"/>
  <c r="AM140" i="2"/>
  <c r="AL140" i="2"/>
  <c r="AL137" i="2" s="1"/>
  <c r="AK140" i="2"/>
  <c r="AI140" i="2"/>
  <c r="AH140" i="2"/>
  <c r="AG140" i="2"/>
  <c r="AF140" i="2"/>
  <c r="AE140" i="2"/>
  <c r="AD140" i="2"/>
  <c r="AD137" i="2" s="1"/>
  <c r="AC140" i="2"/>
  <c r="AA140" i="2"/>
  <c r="Z140" i="2"/>
  <c r="X140" i="2" s="1"/>
  <c r="Y140" i="2"/>
  <c r="W140" i="2"/>
  <c r="V140" i="2"/>
  <c r="U140" i="2"/>
  <c r="T140" i="2" s="1"/>
  <c r="S140" i="2"/>
  <c r="R140" i="2"/>
  <c r="Q140" i="2"/>
  <c r="P140" i="2"/>
  <c r="O140" i="2"/>
  <c r="N140" i="2"/>
  <c r="N137" i="2" s="1"/>
  <c r="M140" i="2"/>
  <c r="L140" i="2" s="1"/>
  <c r="K140" i="2"/>
  <c r="J140" i="2"/>
  <c r="H140" i="2" s="1"/>
  <c r="I140" i="2"/>
  <c r="F140" i="2"/>
  <c r="G140" i="2" s="1"/>
  <c r="E140" i="2"/>
  <c r="AJ139" i="2"/>
  <c r="AI139" i="2"/>
  <c r="AH139" i="2"/>
  <c r="AG139" i="2"/>
  <c r="AF139" i="2" s="1"/>
  <c r="AB139" i="2"/>
  <c r="AA139" i="2"/>
  <c r="Z139" i="2"/>
  <c r="Y139" i="2"/>
  <c r="W139" i="2"/>
  <c r="V139" i="2"/>
  <c r="U139" i="2"/>
  <c r="T139" i="2"/>
  <c r="S139" i="2"/>
  <c r="R139" i="2"/>
  <c r="Q139" i="2"/>
  <c r="O139" i="2"/>
  <c r="N139" i="2"/>
  <c r="M139" i="2"/>
  <c r="L139" i="2"/>
  <c r="K139" i="2"/>
  <c r="J139" i="2"/>
  <c r="I139" i="2"/>
  <c r="E139" i="2"/>
  <c r="AJ138" i="2"/>
  <c r="AI138" i="2"/>
  <c r="AH138" i="2"/>
  <c r="AG138" i="2"/>
  <c r="AF138" i="2" s="1"/>
  <c r="AB138" i="2"/>
  <c r="AA138" i="2"/>
  <c r="Z138" i="2"/>
  <c r="Z137" i="2" s="1"/>
  <c r="Y138" i="2"/>
  <c r="W138" i="2"/>
  <c r="V138" i="2"/>
  <c r="U138" i="2"/>
  <c r="T138" i="2" s="1"/>
  <c r="T137" i="2" s="1"/>
  <c r="S138" i="2"/>
  <c r="R138" i="2"/>
  <c r="R137" i="2" s="1"/>
  <c r="Q138" i="2"/>
  <c r="O138" i="2"/>
  <c r="N138" i="2"/>
  <c r="M138" i="2"/>
  <c r="L138" i="2" s="1"/>
  <c r="K138" i="2"/>
  <c r="J138" i="2"/>
  <c r="J137" i="2" s="1"/>
  <c r="I138" i="2"/>
  <c r="E138" i="2"/>
  <c r="AM137" i="2"/>
  <c r="AI137" i="2"/>
  <c r="AE137" i="2"/>
  <c r="W137" i="2"/>
  <c r="V137" i="2"/>
  <c r="U137" i="2"/>
  <c r="O137" i="2"/>
  <c r="E137" i="2"/>
  <c r="AM136" i="2"/>
  <c r="AL136" i="2"/>
  <c r="AK136" i="2"/>
  <c r="AJ136" i="2" s="1"/>
  <c r="AI136" i="2"/>
  <c r="AH136" i="2"/>
  <c r="AH132" i="2" s="1"/>
  <c r="AG136" i="2"/>
  <c r="AE136" i="2"/>
  <c r="AD136" i="2"/>
  <c r="AC136" i="2"/>
  <c r="AB136" i="2" s="1"/>
  <c r="AA136" i="2"/>
  <c r="Z136" i="2"/>
  <c r="Y136" i="2"/>
  <c r="W136" i="2"/>
  <c r="V136" i="2"/>
  <c r="U136" i="2"/>
  <c r="T136" i="2" s="1"/>
  <c r="S136" i="2"/>
  <c r="R136" i="2"/>
  <c r="Q136" i="2"/>
  <c r="P136" i="2" s="1"/>
  <c r="O136" i="2"/>
  <c r="N136" i="2"/>
  <c r="M136" i="2"/>
  <c r="L136" i="2" s="1"/>
  <c r="K136" i="2"/>
  <c r="J136" i="2"/>
  <c r="I136" i="2"/>
  <c r="H136" i="2" s="1"/>
  <c r="E136" i="2"/>
  <c r="AM135" i="2"/>
  <c r="AL135" i="2"/>
  <c r="AL132" i="2" s="1"/>
  <c r="AK135" i="2"/>
  <c r="AI135" i="2"/>
  <c r="AH135" i="2"/>
  <c r="AG135" i="2"/>
  <c r="AF135" i="2" s="1"/>
  <c r="F135" i="2" s="1"/>
  <c r="G135" i="2" s="1"/>
  <c r="AE135" i="2"/>
  <c r="AD135" i="2"/>
  <c r="AD132" i="2" s="1"/>
  <c r="AC135" i="2"/>
  <c r="AA135" i="2"/>
  <c r="Z135" i="2"/>
  <c r="Y135" i="2"/>
  <c r="X135" i="2"/>
  <c r="W135" i="2"/>
  <c r="V135" i="2"/>
  <c r="V132" i="2" s="1"/>
  <c r="U135" i="2"/>
  <c r="S135" i="2"/>
  <c r="R135" i="2"/>
  <c r="Q135" i="2"/>
  <c r="P135" i="2"/>
  <c r="O135" i="2"/>
  <c r="N135" i="2"/>
  <c r="M135" i="2"/>
  <c r="L135" i="2" s="1"/>
  <c r="K135" i="2"/>
  <c r="J135" i="2"/>
  <c r="I135" i="2"/>
  <c r="H135" i="2"/>
  <c r="E135" i="2"/>
  <c r="AJ134" i="2"/>
  <c r="AI134" i="2"/>
  <c r="AH134" i="2"/>
  <c r="AG134" i="2"/>
  <c r="AF134" i="2" s="1"/>
  <c r="AB134" i="2"/>
  <c r="AA134" i="2"/>
  <c r="AA132" i="2" s="1"/>
  <c r="Z134" i="2"/>
  <c r="Y134" i="2"/>
  <c r="W134" i="2"/>
  <c r="V134" i="2"/>
  <c r="U134" i="2"/>
  <c r="T134" i="2"/>
  <c r="S134" i="2"/>
  <c r="R134" i="2"/>
  <c r="Q134" i="2"/>
  <c r="O134" i="2"/>
  <c r="N134" i="2"/>
  <c r="M134" i="2"/>
  <c r="L134" i="2"/>
  <c r="L132" i="2" s="1"/>
  <c r="K134" i="2"/>
  <c r="J134" i="2"/>
  <c r="I134" i="2"/>
  <c r="E134" i="2"/>
  <c r="AJ133" i="2"/>
  <c r="AI133" i="2"/>
  <c r="AH133" i="2"/>
  <c r="AG133" i="2"/>
  <c r="AF133" i="2" s="1"/>
  <c r="AB133" i="2"/>
  <c r="AA133" i="2"/>
  <c r="Z133" i="2"/>
  <c r="Y133" i="2"/>
  <c r="W133" i="2"/>
  <c r="V133" i="2"/>
  <c r="T133" i="2" s="1"/>
  <c r="U133" i="2"/>
  <c r="S133" i="2"/>
  <c r="R133" i="2"/>
  <c r="R132" i="2" s="1"/>
  <c r="Q133" i="2"/>
  <c r="O133" i="2"/>
  <c r="N133" i="2"/>
  <c r="M133" i="2"/>
  <c r="L133" i="2"/>
  <c r="K133" i="2"/>
  <c r="J133" i="2"/>
  <c r="J132" i="2" s="1"/>
  <c r="I133" i="2"/>
  <c r="E133" i="2"/>
  <c r="AM132" i="2"/>
  <c r="AK132" i="2"/>
  <c r="AI132" i="2"/>
  <c r="AE132" i="2"/>
  <c r="W132" i="2"/>
  <c r="O132" i="2"/>
  <c r="N132" i="2"/>
  <c r="M132" i="2"/>
  <c r="E132" i="2"/>
  <c r="AM131" i="2"/>
  <c r="AL131" i="2"/>
  <c r="AJ131" i="2" s="1"/>
  <c r="AK131" i="2"/>
  <c r="AI131" i="2"/>
  <c r="AH131" i="2"/>
  <c r="AH127" i="2" s="1"/>
  <c r="AG131" i="2"/>
  <c r="AE131" i="2"/>
  <c r="AD131" i="2"/>
  <c r="AB131" i="2" s="1"/>
  <c r="AC131" i="2"/>
  <c r="AA131" i="2"/>
  <c r="Z131" i="2"/>
  <c r="Y131" i="2"/>
  <c r="X131" i="2" s="1"/>
  <c r="W131" i="2"/>
  <c r="V131" i="2"/>
  <c r="T131" i="2" s="1"/>
  <c r="U131" i="2"/>
  <c r="S131" i="2"/>
  <c r="R131" i="2"/>
  <c r="Q131" i="2"/>
  <c r="P131" i="2" s="1"/>
  <c r="O131" i="2"/>
  <c r="N131" i="2"/>
  <c r="L131" i="2" s="1"/>
  <c r="M131" i="2"/>
  <c r="K131" i="2"/>
  <c r="J131" i="2"/>
  <c r="I131" i="2"/>
  <c r="E131" i="2"/>
  <c r="AM130" i="2"/>
  <c r="AL130" i="2"/>
  <c r="AK130" i="2"/>
  <c r="AJ130" i="2" s="1"/>
  <c r="AI130" i="2"/>
  <c r="AH130" i="2"/>
  <c r="AG130" i="2"/>
  <c r="AF130" i="2"/>
  <c r="AE130" i="2"/>
  <c r="AD130" i="2"/>
  <c r="AC130" i="2"/>
  <c r="AB130" i="2" s="1"/>
  <c r="AA130" i="2"/>
  <c r="Z130" i="2"/>
  <c r="Y130" i="2"/>
  <c r="X130" i="2"/>
  <c r="W130" i="2"/>
  <c r="V130" i="2"/>
  <c r="U130" i="2"/>
  <c r="T130" i="2" s="1"/>
  <c r="S130" i="2"/>
  <c r="R130" i="2"/>
  <c r="Q130" i="2"/>
  <c r="P130" i="2"/>
  <c r="O130" i="2"/>
  <c r="N130" i="2"/>
  <c r="N127" i="2" s="1"/>
  <c r="M130" i="2"/>
  <c r="K130" i="2"/>
  <c r="J130" i="2"/>
  <c r="I130" i="2"/>
  <c r="H130" i="2"/>
  <c r="F130" i="2"/>
  <c r="E130" i="2"/>
  <c r="AJ129" i="2"/>
  <c r="AI129" i="2"/>
  <c r="AH129" i="2"/>
  <c r="AG129" i="2"/>
  <c r="AF129" i="2" s="1"/>
  <c r="AB129" i="2"/>
  <c r="AA129" i="2"/>
  <c r="AA127" i="2" s="1"/>
  <c r="Z129" i="2"/>
  <c r="X129" i="2" s="1"/>
  <c r="Y129" i="2"/>
  <c r="W129" i="2"/>
  <c r="V129" i="2"/>
  <c r="U129" i="2"/>
  <c r="T129" i="2"/>
  <c r="S129" i="2"/>
  <c r="S127" i="2" s="1"/>
  <c r="R129" i="2"/>
  <c r="P129" i="2" s="1"/>
  <c r="Q129" i="2"/>
  <c r="O129" i="2"/>
  <c r="N129" i="2"/>
  <c r="M129" i="2"/>
  <c r="L129" i="2"/>
  <c r="K129" i="2"/>
  <c r="K127" i="2" s="1"/>
  <c r="J129" i="2"/>
  <c r="H129" i="2" s="1"/>
  <c r="I129" i="2"/>
  <c r="E129" i="2"/>
  <c r="AJ128" i="2"/>
  <c r="AJ127" i="2" s="1"/>
  <c r="AI128" i="2"/>
  <c r="AH128" i="2"/>
  <c r="AG128" i="2"/>
  <c r="AF128" i="2" s="1"/>
  <c r="AB128" i="2"/>
  <c r="AA128" i="2"/>
  <c r="Z128" i="2"/>
  <c r="Z127" i="2" s="1"/>
  <c r="Y128" i="2"/>
  <c r="W128" i="2"/>
  <c r="V128" i="2"/>
  <c r="U128" i="2"/>
  <c r="T128" i="2"/>
  <c r="S128" i="2"/>
  <c r="R128" i="2"/>
  <c r="R127" i="2" s="1"/>
  <c r="Q128" i="2"/>
  <c r="O128" i="2"/>
  <c r="N128" i="2"/>
  <c r="M128" i="2"/>
  <c r="L128" i="2"/>
  <c r="K128" i="2"/>
  <c r="J128" i="2"/>
  <c r="I128" i="2"/>
  <c r="E128" i="2"/>
  <c r="AM127" i="2"/>
  <c r="AL127" i="2"/>
  <c r="AI127" i="2"/>
  <c r="AE127" i="2"/>
  <c r="AD127" i="2"/>
  <c r="AC127" i="2"/>
  <c r="W127" i="2"/>
  <c r="V127" i="2"/>
  <c r="U127" i="2"/>
  <c r="O127" i="2"/>
  <c r="M127" i="2"/>
  <c r="AM126" i="2"/>
  <c r="AL126" i="2"/>
  <c r="AK126" i="2"/>
  <c r="AJ126" i="2"/>
  <c r="AI126" i="2"/>
  <c r="AH126" i="2"/>
  <c r="AH122" i="2" s="1"/>
  <c r="AG126" i="2"/>
  <c r="AE126" i="2"/>
  <c r="AD126" i="2"/>
  <c r="AC126" i="2"/>
  <c r="AB126" i="2"/>
  <c r="AA126" i="2"/>
  <c r="Z126" i="2"/>
  <c r="Y126" i="2"/>
  <c r="X126" i="2" s="1"/>
  <c r="W126" i="2"/>
  <c r="V126" i="2"/>
  <c r="U126" i="2"/>
  <c r="T126" i="2"/>
  <c r="S126" i="2"/>
  <c r="R126" i="2"/>
  <c r="Q126" i="2"/>
  <c r="P126" i="2" s="1"/>
  <c r="O126" i="2"/>
  <c r="N126" i="2"/>
  <c r="M126" i="2"/>
  <c r="L126" i="2"/>
  <c r="K126" i="2"/>
  <c r="J126" i="2"/>
  <c r="I126" i="2"/>
  <c r="E126" i="2"/>
  <c r="AM125" i="2"/>
  <c r="AL125" i="2"/>
  <c r="AL122" i="2" s="1"/>
  <c r="AK125" i="2"/>
  <c r="AJ125" i="2" s="1"/>
  <c r="AI125" i="2"/>
  <c r="AH125" i="2"/>
  <c r="AG125" i="2"/>
  <c r="AF125" i="2"/>
  <c r="AE125" i="2"/>
  <c r="AD125" i="2"/>
  <c r="AD122" i="2" s="1"/>
  <c r="AC125" i="2"/>
  <c r="AA125" i="2"/>
  <c r="Z125" i="2"/>
  <c r="Y125" i="2"/>
  <c r="X125" i="2"/>
  <c r="W125" i="2"/>
  <c r="V125" i="2"/>
  <c r="U125" i="2"/>
  <c r="T125" i="2" s="1"/>
  <c r="S125" i="2"/>
  <c r="R125" i="2"/>
  <c r="Q125" i="2"/>
  <c r="P125" i="2"/>
  <c r="O125" i="2"/>
  <c r="N125" i="2"/>
  <c r="M125" i="2"/>
  <c r="L125" i="2" s="1"/>
  <c r="K125" i="2"/>
  <c r="J125" i="2"/>
  <c r="I125" i="2"/>
  <c r="H125" i="2"/>
  <c r="F125" i="2"/>
  <c r="E125" i="2"/>
  <c r="AJ124" i="2"/>
  <c r="AI124" i="2"/>
  <c r="AH124" i="2"/>
  <c r="AG124" i="2"/>
  <c r="AF124" i="2" s="1"/>
  <c r="AB124" i="2"/>
  <c r="AA124" i="2"/>
  <c r="AA122" i="2" s="1"/>
  <c r="Z124" i="2"/>
  <c r="X124" i="2" s="1"/>
  <c r="Y124" i="2"/>
  <c r="W124" i="2"/>
  <c r="V124" i="2"/>
  <c r="U124" i="2"/>
  <c r="T124" i="2"/>
  <c r="S124" i="2"/>
  <c r="S122" i="2" s="1"/>
  <c r="R124" i="2"/>
  <c r="P124" i="2" s="1"/>
  <c r="Q124" i="2"/>
  <c r="O124" i="2"/>
  <c r="N124" i="2"/>
  <c r="M124" i="2"/>
  <c r="L124" i="2"/>
  <c r="L122" i="2" s="1"/>
  <c r="K124" i="2"/>
  <c r="K122" i="2" s="1"/>
  <c r="J124" i="2"/>
  <c r="H124" i="2" s="1"/>
  <c r="I124" i="2"/>
  <c r="E124" i="2"/>
  <c r="AJ123" i="2"/>
  <c r="AI123" i="2"/>
  <c r="AI122" i="2" s="1"/>
  <c r="AH123" i="2"/>
  <c r="AG123" i="2"/>
  <c r="AF123" i="2" s="1"/>
  <c r="AB123" i="2"/>
  <c r="AA123" i="2"/>
  <c r="Z123" i="2"/>
  <c r="Z122" i="2" s="1"/>
  <c r="Y123" i="2"/>
  <c r="W123" i="2"/>
  <c r="V123" i="2"/>
  <c r="U123" i="2"/>
  <c r="T123" i="2"/>
  <c r="S123" i="2"/>
  <c r="R123" i="2"/>
  <c r="R122" i="2" s="1"/>
  <c r="Q123" i="2"/>
  <c r="O123" i="2"/>
  <c r="N123" i="2"/>
  <c r="M123" i="2"/>
  <c r="L123" i="2"/>
  <c r="K123" i="2"/>
  <c r="J123" i="2"/>
  <c r="I123" i="2"/>
  <c r="E123" i="2"/>
  <c r="AM122" i="2"/>
  <c r="AE122" i="2"/>
  <c r="AC122" i="2"/>
  <c r="W122" i="2"/>
  <c r="V122" i="2"/>
  <c r="U122" i="2"/>
  <c r="O122" i="2"/>
  <c r="N122" i="2"/>
  <c r="M122" i="2"/>
  <c r="AM121" i="2"/>
  <c r="AL121" i="2"/>
  <c r="AK121" i="2"/>
  <c r="AJ121" i="2"/>
  <c r="AI121" i="2"/>
  <c r="AH121" i="2"/>
  <c r="AH117" i="2" s="1"/>
  <c r="AG121" i="2"/>
  <c r="AE121" i="2"/>
  <c r="AD121" i="2"/>
  <c r="AC121" i="2"/>
  <c r="AB121" i="2"/>
  <c r="AA121" i="2"/>
  <c r="Z121" i="2"/>
  <c r="Y121" i="2"/>
  <c r="X121" i="2" s="1"/>
  <c r="W121" i="2"/>
  <c r="V121" i="2"/>
  <c r="U121" i="2"/>
  <c r="T121" i="2"/>
  <c r="S121" i="2"/>
  <c r="R121" i="2"/>
  <c r="Q121" i="2"/>
  <c r="P121" i="2" s="1"/>
  <c r="O121" i="2"/>
  <c r="N121" i="2"/>
  <c r="M121" i="2"/>
  <c r="L121" i="2"/>
  <c r="K121" i="2"/>
  <c r="J121" i="2"/>
  <c r="I121" i="2"/>
  <c r="E121" i="2"/>
  <c r="AM120" i="2"/>
  <c r="AL120" i="2"/>
  <c r="AL117" i="2" s="1"/>
  <c r="AK120" i="2"/>
  <c r="AJ120" i="2" s="1"/>
  <c r="AI120" i="2"/>
  <c r="AH120" i="2"/>
  <c r="AG120" i="2"/>
  <c r="AF120" i="2"/>
  <c r="AE120" i="2"/>
  <c r="AD120" i="2"/>
  <c r="AD117" i="2" s="1"/>
  <c r="AC120" i="2"/>
  <c r="AA120" i="2"/>
  <c r="Z120" i="2"/>
  <c r="Y120" i="2"/>
  <c r="X120" i="2"/>
  <c r="W120" i="2"/>
  <c r="V120" i="2"/>
  <c r="U120" i="2"/>
  <c r="T120" i="2" s="1"/>
  <c r="S120" i="2"/>
  <c r="R120" i="2"/>
  <c r="Q120" i="2"/>
  <c r="P120" i="2"/>
  <c r="O120" i="2"/>
  <c r="N120" i="2"/>
  <c r="M120" i="2"/>
  <c r="L120" i="2" s="1"/>
  <c r="K120" i="2"/>
  <c r="J120" i="2"/>
  <c r="I120" i="2"/>
  <c r="H120" i="2"/>
  <c r="F120" i="2"/>
  <c r="E120" i="2"/>
  <c r="AJ119" i="2"/>
  <c r="AI119" i="2"/>
  <c r="AH119" i="2"/>
  <c r="AG119" i="2"/>
  <c r="AF119" i="2" s="1"/>
  <c r="AB119" i="2"/>
  <c r="AA119" i="2"/>
  <c r="AA117" i="2" s="1"/>
  <c r="Z119" i="2"/>
  <c r="X119" i="2" s="1"/>
  <c r="Y119" i="2"/>
  <c r="W119" i="2"/>
  <c r="V119" i="2"/>
  <c r="U119" i="2"/>
  <c r="T119" i="2"/>
  <c r="S119" i="2"/>
  <c r="S117" i="2" s="1"/>
  <c r="R119" i="2"/>
  <c r="P119" i="2" s="1"/>
  <c r="Q119" i="2"/>
  <c r="O119" i="2"/>
  <c r="N119" i="2"/>
  <c r="M119" i="2"/>
  <c r="L119" i="2"/>
  <c r="L117" i="2" s="1"/>
  <c r="K119" i="2"/>
  <c r="K117" i="2" s="1"/>
  <c r="J119" i="2"/>
  <c r="H119" i="2" s="1"/>
  <c r="I119" i="2"/>
  <c r="E119" i="2"/>
  <c r="AJ118" i="2"/>
  <c r="AI118" i="2"/>
  <c r="AI117" i="2" s="1"/>
  <c r="AH118" i="2"/>
  <c r="AG118" i="2"/>
  <c r="AF118" i="2" s="1"/>
  <c r="AB118" i="2"/>
  <c r="AA118" i="2"/>
  <c r="Z118" i="2"/>
  <c r="Z117" i="2" s="1"/>
  <c r="Y118" i="2"/>
  <c r="W118" i="2"/>
  <c r="V118" i="2"/>
  <c r="U118" i="2"/>
  <c r="T118" i="2"/>
  <c r="S118" i="2"/>
  <c r="R118" i="2"/>
  <c r="R117" i="2" s="1"/>
  <c r="Q118" i="2"/>
  <c r="O118" i="2"/>
  <c r="N118" i="2"/>
  <c r="M118" i="2"/>
  <c r="L118" i="2"/>
  <c r="K118" i="2"/>
  <c r="J118" i="2"/>
  <c r="I118" i="2"/>
  <c r="E118" i="2"/>
  <c r="AM117" i="2"/>
  <c r="AE117" i="2"/>
  <c r="AC117" i="2"/>
  <c r="W117" i="2"/>
  <c r="V117" i="2"/>
  <c r="U117" i="2"/>
  <c r="O117" i="2"/>
  <c r="N117" i="2"/>
  <c r="M117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T116" i="2" s="1"/>
  <c r="U116" i="2"/>
  <c r="S116" i="2"/>
  <c r="R116" i="2"/>
  <c r="Q116" i="2"/>
  <c r="P116" i="2"/>
  <c r="O116" i="2"/>
  <c r="N116" i="2"/>
  <c r="L116" i="2" s="1"/>
  <c r="M116" i="2"/>
  <c r="K116" i="2"/>
  <c r="J116" i="2"/>
  <c r="I116" i="2"/>
  <c r="H116" i="2"/>
  <c r="F116" i="2"/>
  <c r="G116" i="2" s="1"/>
  <c r="E116" i="2"/>
  <c r="AM115" i="2"/>
  <c r="AL115" i="2"/>
  <c r="AL112" i="2" s="1"/>
  <c r="AK115" i="2"/>
  <c r="AK112" i="2" s="1"/>
  <c r="AI115" i="2"/>
  <c r="AH115" i="2"/>
  <c r="AF115" i="2" s="1"/>
  <c r="AG115" i="2"/>
  <c r="AE115" i="2"/>
  <c r="AD115" i="2"/>
  <c r="AD112" i="2" s="1"/>
  <c r="AC115" i="2"/>
  <c r="AC112" i="2" s="1"/>
  <c r="AA115" i="2"/>
  <c r="Z115" i="2"/>
  <c r="Y115" i="2"/>
  <c r="W115" i="2"/>
  <c r="V115" i="2"/>
  <c r="T115" i="2" s="1"/>
  <c r="U115" i="2"/>
  <c r="S115" i="2"/>
  <c r="R115" i="2"/>
  <c r="Q115" i="2"/>
  <c r="O115" i="2"/>
  <c r="N115" i="2"/>
  <c r="L115" i="2" s="1"/>
  <c r="M115" i="2"/>
  <c r="K115" i="2"/>
  <c r="J115" i="2"/>
  <c r="J112" i="2" s="1"/>
  <c r="I115" i="2"/>
  <c r="E115" i="2"/>
  <c r="AJ114" i="2"/>
  <c r="AI114" i="2"/>
  <c r="AH114" i="2"/>
  <c r="AH112" i="2" s="1"/>
  <c r="AG114" i="2"/>
  <c r="AB114" i="2"/>
  <c r="AA114" i="2"/>
  <c r="Z114" i="2"/>
  <c r="X114" i="2" s="1"/>
  <c r="Y114" i="2"/>
  <c r="W114" i="2"/>
  <c r="W112" i="2" s="1"/>
  <c r="V114" i="2"/>
  <c r="U114" i="2"/>
  <c r="S114" i="2"/>
  <c r="R114" i="2"/>
  <c r="P114" i="2" s="1"/>
  <c r="Q114" i="2"/>
  <c r="O114" i="2"/>
  <c r="N114" i="2"/>
  <c r="M114" i="2"/>
  <c r="L114" i="2" s="1"/>
  <c r="K114" i="2"/>
  <c r="J114" i="2"/>
  <c r="H114" i="2" s="1"/>
  <c r="I114" i="2"/>
  <c r="E114" i="2"/>
  <c r="AJ113" i="2"/>
  <c r="AI113" i="2"/>
  <c r="AI112" i="2" s="1"/>
  <c r="AH113" i="2"/>
  <c r="AG113" i="2"/>
  <c r="AF113" i="2"/>
  <c r="AB113" i="2"/>
  <c r="AA113" i="2"/>
  <c r="Z113" i="2"/>
  <c r="Y113" i="2"/>
  <c r="W113" i="2"/>
  <c r="V113" i="2"/>
  <c r="V112" i="2" s="1"/>
  <c r="U113" i="2"/>
  <c r="S113" i="2"/>
  <c r="R113" i="2"/>
  <c r="Q113" i="2"/>
  <c r="O113" i="2"/>
  <c r="N113" i="2"/>
  <c r="N112" i="2" s="1"/>
  <c r="M113" i="2"/>
  <c r="L113" i="2"/>
  <c r="K113" i="2"/>
  <c r="J113" i="2"/>
  <c r="I113" i="2"/>
  <c r="E113" i="2"/>
  <c r="AM112" i="2"/>
  <c r="AG112" i="2"/>
  <c r="AE112" i="2"/>
  <c r="Y112" i="2"/>
  <c r="Q112" i="2"/>
  <c r="O112" i="2"/>
  <c r="I112" i="2"/>
  <c r="AM111" i="2"/>
  <c r="AL111" i="2"/>
  <c r="AL107" i="2" s="1"/>
  <c r="AK111" i="2"/>
  <c r="AK107" i="2" s="1"/>
  <c r="AJ111" i="2"/>
  <c r="AI111" i="2"/>
  <c r="AF111" i="2" s="1"/>
  <c r="AH111" i="2"/>
  <c r="AG111" i="2"/>
  <c r="AE111" i="2"/>
  <c r="AD111" i="2"/>
  <c r="AD107" i="2" s="1"/>
  <c r="AC111" i="2"/>
  <c r="AC107" i="2" s="1"/>
  <c r="AB111" i="2"/>
  <c r="AA111" i="2"/>
  <c r="X111" i="2" s="1"/>
  <c r="Z111" i="2"/>
  <c r="Y111" i="2"/>
  <c r="W111" i="2"/>
  <c r="V111" i="2"/>
  <c r="U111" i="2"/>
  <c r="T111" i="2" s="1"/>
  <c r="S111" i="2"/>
  <c r="P111" i="2" s="1"/>
  <c r="R111" i="2"/>
  <c r="Q111" i="2"/>
  <c r="O111" i="2"/>
  <c r="N111" i="2"/>
  <c r="M111" i="2"/>
  <c r="L111" i="2"/>
  <c r="K111" i="2"/>
  <c r="H111" i="2" s="1"/>
  <c r="J111" i="2"/>
  <c r="I111" i="2"/>
  <c r="E111" i="2"/>
  <c r="AM110" i="2"/>
  <c r="AJ110" i="2" s="1"/>
  <c r="AL110" i="2"/>
  <c r="AK110" i="2"/>
  <c r="AI110" i="2"/>
  <c r="AH110" i="2"/>
  <c r="AG110" i="2"/>
  <c r="AF110" i="2"/>
  <c r="AE110" i="2"/>
  <c r="AD110" i="2"/>
  <c r="AC110" i="2"/>
  <c r="AA110" i="2"/>
  <c r="Z110" i="2"/>
  <c r="Y110" i="2"/>
  <c r="X110" i="2"/>
  <c r="W110" i="2"/>
  <c r="V110" i="2"/>
  <c r="U110" i="2"/>
  <c r="S110" i="2"/>
  <c r="R110" i="2"/>
  <c r="Q110" i="2"/>
  <c r="P110" i="2" s="1"/>
  <c r="O110" i="2"/>
  <c r="L110" i="2" s="1"/>
  <c r="N110" i="2"/>
  <c r="M110" i="2"/>
  <c r="K110" i="2"/>
  <c r="J110" i="2"/>
  <c r="I110" i="2"/>
  <c r="I107" i="2" s="1"/>
  <c r="E110" i="2"/>
  <c r="AJ109" i="2"/>
  <c r="AI109" i="2"/>
  <c r="AH109" i="2"/>
  <c r="AH107" i="2" s="1"/>
  <c r="AG109" i="2"/>
  <c r="AG107" i="2" s="1"/>
  <c r="AF109" i="2"/>
  <c r="AB109" i="2"/>
  <c r="AA109" i="2"/>
  <c r="Z109" i="2"/>
  <c r="X109" i="2" s="1"/>
  <c r="Y109" i="2"/>
  <c r="W109" i="2"/>
  <c r="V109" i="2"/>
  <c r="U109" i="2"/>
  <c r="S109" i="2"/>
  <c r="R109" i="2"/>
  <c r="P109" i="2" s="1"/>
  <c r="Q109" i="2"/>
  <c r="O109" i="2"/>
  <c r="O107" i="2" s="1"/>
  <c r="N109" i="2"/>
  <c r="M109" i="2"/>
  <c r="L109" i="2" s="1"/>
  <c r="K109" i="2"/>
  <c r="J109" i="2"/>
  <c r="H109" i="2" s="1"/>
  <c r="I109" i="2"/>
  <c r="E109" i="2"/>
  <c r="AJ108" i="2"/>
  <c r="AI108" i="2"/>
  <c r="AI107" i="2" s="1"/>
  <c r="AH108" i="2"/>
  <c r="AG108" i="2"/>
  <c r="AF108" i="2"/>
  <c r="AB108" i="2"/>
  <c r="AA108" i="2"/>
  <c r="Z108" i="2"/>
  <c r="Y108" i="2"/>
  <c r="W108" i="2"/>
  <c r="V108" i="2"/>
  <c r="V107" i="2" s="1"/>
  <c r="U108" i="2"/>
  <c r="T108" i="2"/>
  <c r="S108" i="2"/>
  <c r="R108" i="2"/>
  <c r="Q108" i="2"/>
  <c r="O108" i="2"/>
  <c r="N108" i="2"/>
  <c r="N107" i="2" s="1"/>
  <c r="M108" i="2"/>
  <c r="L108" i="2"/>
  <c r="K108" i="2"/>
  <c r="J108" i="2"/>
  <c r="I108" i="2"/>
  <c r="E108" i="2"/>
  <c r="AM107" i="2"/>
  <c r="Y107" i="2"/>
  <c r="Q107" i="2"/>
  <c r="AM106" i="2"/>
  <c r="AL106" i="2"/>
  <c r="AL102" i="2" s="1"/>
  <c r="AK106" i="2"/>
  <c r="AK102" i="2" s="1"/>
  <c r="AJ106" i="2"/>
  <c r="AI106" i="2"/>
  <c r="AF106" i="2" s="1"/>
  <c r="AH106" i="2"/>
  <c r="AG106" i="2"/>
  <c r="AE106" i="2"/>
  <c r="AD106" i="2"/>
  <c r="AD102" i="2" s="1"/>
  <c r="AC106" i="2"/>
  <c r="AC102" i="2" s="1"/>
  <c r="AB106" i="2"/>
  <c r="AA106" i="2"/>
  <c r="X106" i="2" s="1"/>
  <c r="Z106" i="2"/>
  <c r="Y106" i="2"/>
  <c r="W106" i="2"/>
  <c r="V106" i="2"/>
  <c r="U106" i="2"/>
  <c r="T106" i="2"/>
  <c r="S106" i="2"/>
  <c r="P106" i="2" s="1"/>
  <c r="R106" i="2"/>
  <c r="Q106" i="2"/>
  <c r="O106" i="2"/>
  <c r="N106" i="2"/>
  <c r="M106" i="2"/>
  <c r="L106" i="2" s="1"/>
  <c r="K106" i="2"/>
  <c r="H106" i="2" s="1"/>
  <c r="J106" i="2"/>
  <c r="I106" i="2"/>
  <c r="E106" i="2"/>
  <c r="AM105" i="2"/>
  <c r="AJ105" i="2" s="1"/>
  <c r="AL105" i="2"/>
  <c r="AK105" i="2"/>
  <c r="AI105" i="2"/>
  <c r="AH105" i="2"/>
  <c r="AG105" i="2"/>
  <c r="AF105" i="2" s="1"/>
  <c r="AE105" i="2"/>
  <c r="AB105" i="2" s="1"/>
  <c r="AD105" i="2"/>
  <c r="AC105" i="2"/>
  <c r="AA105" i="2"/>
  <c r="Z105" i="2"/>
  <c r="Y105" i="2"/>
  <c r="W105" i="2"/>
  <c r="T105" i="2" s="1"/>
  <c r="V105" i="2"/>
  <c r="U105" i="2"/>
  <c r="S105" i="2"/>
  <c r="R105" i="2"/>
  <c r="Q105" i="2"/>
  <c r="O105" i="2"/>
  <c r="L105" i="2" s="1"/>
  <c r="N105" i="2"/>
  <c r="M105" i="2"/>
  <c r="K105" i="2"/>
  <c r="J105" i="2"/>
  <c r="I105" i="2"/>
  <c r="I102" i="2" s="1"/>
  <c r="H105" i="2"/>
  <c r="E105" i="2"/>
  <c r="AJ104" i="2"/>
  <c r="AI104" i="2"/>
  <c r="AH104" i="2"/>
  <c r="AH102" i="2" s="1"/>
  <c r="AG104" i="2"/>
  <c r="AF104" i="2" s="1"/>
  <c r="AF102" i="2" s="1"/>
  <c r="AB104" i="2"/>
  <c r="AA104" i="2"/>
  <c r="Z104" i="2"/>
  <c r="X104" i="2" s="1"/>
  <c r="Y104" i="2"/>
  <c r="W104" i="2"/>
  <c r="V104" i="2"/>
  <c r="U104" i="2"/>
  <c r="S104" i="2"/>
  <c r="R104" i="2"/>
  <c r="P104" i="2" s="1"/>
  <c r="Q104" i="2"/>
  <c r="O104" i="2"/>
  <c r="O102" i="2" s="1"/>
  <c r="N104" i="2"/>
  <c r="M104" i="2"/>
  <c r="K104" i="2"/>
  <c r="J104" i="2"/>
  <c r="H104" i="2" s="1"/>
  <c r="I104" i="2"/>
  <c r="F104" i="2"/>
  <c r="G104" i="2" s="1"/>
  <c r="E104" i="2"/>
  <c r="AJ103" i="2"/>
  <c r="AI103" i="2"/>
  <c r="AI102" i="2" s="1"/>
  <c r="AH103" i="2"/>
  <c r="AG103" i="2"/>
  <c r="AF103" i="2"/>
  <c r="AB103" i="2"/>
  <c r="AB102" i="2" s="1"/>
  <c r="AA103" i="2"/>
  <c r="Z103" i="2"/>
  <c r="Y103" i="2"/>
  <c r="W103" i="2"/>
  <c r="V103" i="2"/>
  <c r="V102" i="2" s="1"/>
  <c r="U103" i="2"/>
  <c r="U102" i="2" s="1"/>
  <c r="S103" i="2"/>
  <c r="R103" i="2"/>
  <c r="Q103" i="2"/>
  <c r="O103" i="2"/>
  <c r="N103" i="2"/>
  <c r="N102" i="2" s="1"/>
  <c r="M103" i="2"/>
  <c r="M102" i="2" s="1"/>
  <c r="K103" i="2"/>
  <c r="J103" i="2"/>
  <c r="I103" i="2"/>
  <c r="E103" i="2"/>
  <c r="AM102" i="2"/>
  <c r="AG102" i="2"/>
  <c r="AE102" i="2"/>
  <c r="W102" i="2"/>
  <c r="AM101" i="2"/>
  <c r="AL101" i="2"/>
  <c r="AL97" i="2" s="1"/>
  <c r="AK101" i="2"/>
  <c r="AI101" i="2"/>
  <c r="AH101" i="2"/>
  <c r="AG101" i="2"/>
  <c r="AF101" i="2"/>
  <c r="AE101" i="2"/>
  <c r="AD101" i="2"/>
  <c r="AD97" i="2" s="1"/>
  <c r="AC101" i="2"/>
  <c r="AA101" i="2"/>
  <c r="Z101" i="2"/>
  <c r="Y101" i="2"/>
  <c r="X101" i="2"/>
  <c r="W101" i="2"/>
  <c r="V101" i="2"/>
  <c r="U101" i="2"/>
  <c r="T101" i="2" s="1"/>
  <c r="S101" i="2"/>
  <c r="R101" i="2"/>
  <c r="Q101" i="2"/>
  <c r="P101" i="2"/>
  <c r="O101" i="2"/>
  <c r="N101" i="2"/>
  <c r="M101" i="2"/>
  <c r="L101" i="2" s="1"/>
  <c r="K101" i="2"/>
  <c r="J101" i="2"/>
  <c r="I101" i="2"/>
  <c r="H101" i="2"/>
  <c r="F101" i="2" s="1"/>
  <c r="E101" i="2"/>
  <c r="AO101" i="2" s="1"/>
  <c r="AM100" i="2"/>
  <c r="AJ100" i="2" s="1"/>
  <c r="AL100" i="2"/>
  <c r="AK100" i="2"/>
  <c r="AI100" i="2"/>
  <c r="AH100" i="2"/>
  <c r="AG100" i="2"/>
  <c r="AF100" i="2"/>
  <c r="AE100" i="2"/>
  <c r="AD100" i="2"/>
  <c r="AC100" i="2"/>
  <c r="AA100" i="2"/>
  <c r="Z100" i="2"/>
  <c r="Y100" i="2"/>
  <c r="Y97" i="2" s="1"/>
  <c r="X100" i="2"/>
  <c r="W100" i="2"/>
  <c r="T100" i="2" s="1"/>
  <c r="V100" i="2"/>
  <c r="U100" i="2"/>
  <c r="S100" i="2"/>
  <c r="R100" i="2"/>
  <c r="Q100" i="2"/>
  <c r="O100" i="2"/>
  <c r="N100" i="2"/>
  <c r="M100" i="2"/>
  <c r="K100" i="2"/>
  <c r="J100" i="2"/>
  <c r="I100" i="2"/>
  <c r="I97" i="2" s="1"/>
  <c r="E100" i="2"/>
  <c r="AJ99" i="2"/>
  <c r="AI99" i="2"/>
  <c r="AH99" i="2"/>
  <c r="AH97" i="2" s="1"/>
  <c r="AG99" i="2"/>
  <c r="AG97" i="2" s="1"/>
  <c r="AF99" i="2"/>
  <c r="AB99" i="2"/>
  <c r="AA99" i="2"/>
  <c r="Z99" i="2"/>
  <c r="Y99" i="2"/>
  <c r="W99" i="2"/>
  <c r="V99" i="2"/>
  <c r="U99" i="2"/>
  <c r="T99" i="2" s="1"/>
  <c r="S99" i="2"/>
  <c r="R99" i="2"/>
  <c r="Q99" i="2"/>
  <c r="O99" i="2"/>
  <c r="N99" i="2"/>
  <c r="M99" i="2"/>
  <c r="K99" i="2"/>
  <c r="J99" i="2"/>
  <c r="I99" i="2"/>
  <c r="E99" i="2"/>
  <c r="AJ98" i="2"/>
  <c r="AI98" i="2"/>
  <c r="AI97" i="2" s="1"/>
  <c r="AH98" i="2"/>
  <c r="AG98" i="2"/>
  <c r="AF98" i="2"/>
  <c r="AB98" i="2"/>
  <c r="AA98" i="2"/>
  <c r="Z98" i="2"/>
  <c r="Y98" i="2"/>
  <c r="X98" i="2"/>
  <c r="W98" i="2"/>
  <c r="V98" i="2"/>
  <c r="V97" i="2" s="1"/>
  <c r="U98" i="2"/>
  <c r="T98" i="2"/>
  <c r="T97" i="2" s="1"/>
  <c r="S98" i="2"/>
  <c r="S97" i="2" s="1"/>
  <c r="R98" i="2"/>
  <c r="Q98" i="2"/>
  <c r="P98" i="2"/>
  <c r="O98" i="2"/>
  <c r="N98" i="2"/>
  <c r="N97" i="2" s="1"/>
  <c r="M98" i="2"/>
  <c r="M97" i="2" s="1"/>
  <c r="L98" i="2"/>
  <c r="K98" i="2"/>
  <c r="K97" i="2" s="1"/>
  <c r="J98" i="2"/>
  <c r="I98" i="2"/>
  <c r="H98" i="2"/>
  <c r="E98" i="2"/>
  <c r="AM97" i="2"/>
  <c r="AM96" i="2"/>
  <c r="AL96" i="2"/>
  <c r="AL92" i="2" s="1"/>
  <c r="AK96" i="2"/>
  <c r="AK92" i="2" s="1"/>
  <c r="AI96" i="2"/>
  <c r="AH96" i="2"/>
  <c r="AG96" i="2"/>
  <c r="AF96" i="2"/>
  <c r="AE96" i="2"/>
  <c r="AD96" i="2"/>
  <c r="AD92" i="2" s="1"/>
  <c r="AC96" i="2"/>
  <c r="AC92" i="2" s="1"/>
  <c r="AA96" i="2"/>
  <c r="Z96" i="2"/>
  <c r="Y96" i="2"/>
  <c r="X96" i="2"/>
  <c r="W96" i="2"/>
  <c r="V96" i="2"/>
  <c r="U96" i="2"/>
  <c r="T96" i="2" s="1"/>
  <c r="S96" i="2"/>
  <c r="R96" i="2"/>
  <c r="Q96" i="2"/>
  <c r="P96" i="2"/>
  <c r="O96" i="2"/>
  <c r="N96" i="2"/>
  <c r="M96" i="2"/>
  <c r="L96" i="2" s="1"/>
  <c r="K96" i="2"/>
  <c r="J96" i="2"/>
  <c r="I96" i="2"/>
  <c r="H96" i="2"/>
  <c r="E96" i="2"/>
  <c r="AM95" i="2"/>
  <c r="AM92" i="2" s="1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L92" i="2" s="1"/>
  <c r="K95" i="2"/>
  <c r="J95" i="2"/>
  <c r="I95" i="2"/>
  <c r="H95" i="2"/>
  <c r="F95" i="2" s="1"/>
  <c r="AO95" i="2" s="1"/>
  <c r="G95" i="2"/>
  <c r="E95" i="2"/>
  <c r="AJ94" i="2"/>
  <c r="AI94" i="2"/>
  <c r="AH94" i="2"/>
  <c r="AG94" i="2"/>
  <c r="AB94" i="2"/>
  <c r="AA94" i="2"/>
  <c r="Z94" i="2"/>
  <c r="Y94" i="2"/>
  <c r="W94" i="2"/>
  <c r="W92" i="2" s="1"/>
  <c r="V94" i="2"/>
  <c r="U94" i="2"/>
  <c r="S94" i="2"/>
  <c r="R94" i="2"/>
  <c r="Q94" i="2"/>
  <c r="O94" i="2"/>
  <c r="N94" i="2"/>
  <c r="M94" i="2"/>
  <c r="L94" i="2" s="1"/>
  <c r="K94" i="2"/>
  <c r="J94" i="2"/>
  <c r="I94" i="2"/>
  <c r="E94" i="2"/>
  <c r="AJ93" i="2"/>
  <c r="AI93" i="2"/>
  <c r="AH93" i="2"/>
  <c r="AG93" i="2"/>
  <c r="AB93" i="2"/>
  <c r="AA93" i="2"/>
  <c r="AA92" i="2" s="1"/>
  <c r="Z93" i="2"/>
  <c r="Y93" i="2"/>
  <c r="X93" i="2"/>
  <c r="W93" i="2"/>
  <c r="V93" i="2"/>
  <c r="U93" i="2"/>
  <c r="T93" i="2"/>
  <c r="S93" i="2"/>
  <c r="S92" i="2" s="1"/>
  <c r="R93" i="2"/>
  <c r="Q93" i="2"/>
  <c r="P93" i="2"/>
  <c r="O93" i="2"/>
  <c r="N93" i="2"/>
  <c r="M93" i="2"/>
  <c r="L93" i="2"/>
  <c r="K93" i="2"/>
  <c r="K92" i="2" s="1"/>
  <c r="J93" i="2"/>
  <c r="I93" i="2"/>
  <c r="H93" i="2"/>
  <c r="E93" i="2"/>
  <c r="AG92" i="2"/>
  <c r="AE92" i="2"/>
  <c r="Y92" i="2"/>
  <c r="Q92" i="2"/>
  <c r="O92" i="2"/>
  <c r="I92" i="2"/>
  <c r="AM91" i="2"/>
  <c r="AL91" i="2"/>
  <c r="AK91" i="2"/>
  <c r="AK87" i="2" s="1"/>
  <c r="AJ91" i="2"/>
  <c r="AI91" i="2"/>
  <c r="AF91" i="2" s="1"/>
  <c r="AH91" i="2"/>
  <c r="AG91" i="2"/>
  <c r="AE91" i="2"/>
  <c r="AD91" i="2"/>
  <c r="AC91" i="2"/>
  <c r="AC87" i="2" s="1"/>
  <c r="AB91" i="2"/>
  <c r="AA91" i="2"/>
  <c r="X91" i="2" s="1"/>
  <c r="Z91" i="2"/>
  <c r="Y91" i="2"/>
  <c r="W91" i="2"/>
  <c r="V91" i="2"/>
  <c r="U91" i="2"/>
  <c r="T91" i="2"/>
  <c r="S91" i="2"/>
  <c r="P91" i="2" s="1"/>
  <c r="R91" i="2"/>
  <c r="Q91" i="2"/>
  <c r="O91" i="2"/>
  <c r="N91" i="2"/>
  <c r="M91" i="2"/>
  <c r="L91" i="2" s="1"/>
  <c r="K91" i="2"/>
  <c r="H91" i="2" s="1"/>
  <c r="J91" i="2"/>
  <c r="I91" i="2"/>
  <c r="E91" i="2"/>
  <c r="AM90" i="2"/>
  <c r="AL90" i="2"/>
  <c r="AK90" i="2"/>
  <c r="AI90" i="2"/>
  <c r="AH90" i="2"/>
  <c r="AG90" i="2"/>
  <c r="AF90" i="2" s="1"/>
  <c r="AE90" i="2"/>
  <c r="AD90" i="2"/>
  <c r="AC90" i="2"/>
  <c r="AA90" i="2"/>
  <c r="Z90" i="2"/>
  <c r="Y90" i="2"/>
  <c r="X90" i="2" s="1"/>
  <c r="W90" i="2"/>
  <c r="T90" i="2" s="1"/>
  <c r="V90" i="2"/>
  <c r="U90" i="2"/>
  <c r="S90" i="2"/>
  <c r="R90" i="2"/>
  <c r="Q90" i="2"/>
  <c r="Q87" i="2" s="1"/>
  <c r="O90" i="2"/>
  <c r="L90" i="2" s="1"/>
  <c r="N90" i="2"/>
  <c r="M90" i="2"/>
  <c r="K90" i="2"/>
  <c r="J90" i="2"/>
  <c r="I90" i="2"/>
  <c r="H90" i="2" s="1"/>
  <c r="E90" i="2"/>
  <c r="AJ89" i="2"/>
  <c r="AI89" i="2"/>
  <c r="AH89" i="2"/>
  <c r="AH87" i="2" s="1"/>
  <c r="AG89" i="2"/>
  <c r="AF89" i="2" s="1"/>
  <c r="AB89" i="2"/>
  <c r="AA89" i="2"/>
  <c r="Z89" i="2"/>
  <c r="Y89" i="2"/>
  <c r="W89" i="2"/>
  <c r="V89" i="2"/>
  <c r="V87" i="2" s="1"/>
  <c r="U89" i="2"/>
  <c r="S89" i="2"/>
  <c r="R89" i="2"/>
  <c r="Q89" i="2"/>
  <c r="O89" i="2"/>
  <c r="N89" i="2"/>
  <c r="N87" i="2" s="1"/>
  <c r="M89" i="2"/>
  <c r="K89" i="2"/>
  <c r="J89" i="2"/>
  <c r="I89" i="2"/>
  <c r="E89" i="2"/>
  <c r="AJ88" i="2"/>
  <c r="AI88" i="2"/>
  <c r="AH88" i="2"/>
  <c r="AG88" i="2"/>
  <c r="AF88" i="2"/>
  <c r="AB88" i="2"/>
  <c r="AA88" i="2"/>
  <c r="Z88" i="2"/>
  <c r="Y88" i="2"/>
  <c r="W88" i="2"/>
  <c r="V88" i="2"/>
  <c r="U88" i="2"/>
  <c r="T88" i="2"/>
  <c r="S88" i="2"/>
  <c r="R88" i="2"/>
  <c r="Q88" i="2"/>
  <c r="O88" i="2"/>
  <c r="N88" i="2"/>
  <c r="M88" i="2"/>
  <c r="L88" i="2"/>
  <c r="K88" i="2"/>
  <c r="J88" i="2"/>
  <c r="I88" i="2"/>
  <c r="E88" i="2"/>
  <c r="AL87" i="2"/>
  <c r="AG87" i="2"/>
  <c r="AD87" i="2"/>
  <c r="W87" i="2"/>
  <c r="AM86" i="2"/>
  <c r="AL86" i="2"/>
  <c r="AK86" i="2"/>
  <c r="AK82" i="2" s="1"/>
  <c r="AI86" i="2"/>
  <c r="AH86" i="2"/>
  <c r="AG86" i="2"/>
  <c r="AF86" i="2"/>
  <c r="AE86" i="2"/>
  <c r="AD86" i="2"/>
  <c r="AC86" i="2"/>
  <c r="AC82" i="2" s="1"/>
  <c r="AA86" i="2"/>
  <c r="Z86" i="2"/>
  <c r="Y86" i="2"/>
  <c r="X86" i="2"/>
  <c r="W86" i="2"/>
  <c r="V86" i="2"/>
  <c r="U86" i="2"/>
  <c r="T86" i="2" s="1"/>
  <c r="S86" i="2"/>
  <c r="R86" i="2"/>
  <c r="P86" i="2" s="1"/>
  <c r="Q86" i="2"/>
  <c r="O86" i="2"/>
  <c r="N86" i="2"/>
  <c r="M86" i="2"/>
  <c r="L86" i="2" s="1"/>
  <c r="K86" i="2"/>
  <c r="J86" i="2"/>
  <c r="I86" i="2"/>
  <c r="H86" i="2"/>
  <c r="F86" i="2" s="1"/>
  <c r="E86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V82" i="2" s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AO85" i="2" s="1"/>
  <c r="E85" i="2"/>
  <c r="AJ84" i="2"/>
  <c r="AI84" i="2"/>
  <c r="AH84" i="2"/>
  <c r="AH82" i="2" s="1"/>
  <c r="AG84" i="2"/>
  <c r="AF84" i="2"/>
  <c r="AB84" i="2"/>
  <c r="AA84" i="2"/>
  <c r="Z84" i="2"/>
  <c r="X84" i="2" s="1"/>
  <c r="F84" i="2" s="1"/>
  <c r="G84" i="2" s="1"/>
  <c r="Y84" i="2"/>
  <c r="W84" i="2"/>
  <c r="V84" i="2"/>
  <c r="U84" i="2"/>
  <c r="S84" i="2"/>
  <c r="R84" i="2"/>
  <c r="P84" i="2" s="1"/>
  <c r="Q84" i="2"/>
  <c r="O84" i="2"/>
  <c r="O82" i="2" s="1"/>
  <c r="N84" i="2"/>
  <c r="L84" i="2" s="1"/>
  <c r="M84" i="2"/>
  <c r="K84" i="2"/>
  <c r="J84" i="2"/>
  <c r="H84" i="2" s="1"/>
  <c r="I84" i="2"/>
  <c r="E84" i="2"/>
  <c r="AO84" i="2" s="1"/>
  <c r="AJ83" i="2"/>
  <c r="AI83" i="2"/>
  <c r="AI82" i="2" s="1"/>
  <c r="AH83" i="2"/>
  <c r="AG83" i="2"/>
  <c r="AF83" i="2"/>
  <c r="AB83" i="2"/>
  <c r="AA83" i="2"/>
  <c r="Z83" i="2"/>
  <c r="Y83" i="2"/>
  <c r="W83" i="2"/>
  <c r="V83" i="2"/>
  <c r="U83" i="2"/>
  <c r="U82" i="2" s="1"/>
  <c r="T83" i="2"/>
  <c r="S83" i="2"/>
  <c r="R83" i="2"/>
  <c r="Q83" i="2"/>
  <c r="O83" i="2"/>
  <c r="N83" i="2"/>
  <c r="M83" i="2"/>
  <c r="K83" i="2"/>
  <c r="J83" i="2"/>
  <c r="I83" i="2"/>
  <c r="E83" i="2"/>
  <c r="AM82" i="2"/>
  <c r="AL82" i="2"/>
  <c r="AG82" i="2"/>
  <c r="AE82" i="2"/>
  <c r="AD82" i="2"/>
  <c r="Y82" i="2"/>
  <c r="Q82" i="2"/>
  <c r="N82" i="2"/>
  <c r="I82" i="2"/>
  <c r="AM81" i="2"/>
  <c r="AL81" i="2"/>
  <c r="AK81" i="2"/>
  <c r="AK77" i="2" s="1"/>
  <c r="AJ81" i="2"/>
  <c r="AI81" i="2"/>
  <c r="AH81" i="2"/>
  <c r="AG81" i="2"/>
  <c r="AF81" i="2"/>
  <c r="AE81" i="2"/>
  <c r="AD81" i="2"/>
  <c r="AC81" i="2"/>
  <c r="AC77" i="2" s="1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F81" i="2" s="1"/>
  <c r="G81" i="2" s="1"/>
  <c r="E81" i="2"/>
  <c r="AM80" i="2"/>
  <c r="AM77" i="2" s="1"/>
  <c r="AL80" i="2"/>
  <c r="AK80" i="2"/>
  <c r="AI80" i="2"/>
  <c r="AH80" i="2"/>
  <c r="AG80" i="2"/>
  <c r="AF80" i="2"/>
  <c r="AE80" i="2"/>
  <c r="AE77" i="2" s="1"/>
  <c r="AD80" i="2"/>
  <c r="AC80" i="2"/>
  <c r="AA80" i="2"/>
  <c r="Z80" i="2"/>
  <c r="Y80" i="2"/>
  <c r="X80" i="2"/>
  <c r="W80" i="2"/>
  <c r="W77" i="2" s="1"/>
  <c r="V80" i="2"/>
  <c r="U80" i="2"/>
  <c r="S80" i="2"/>
  <c r="R80" i="2"/>
  <c r="Q80" i="2"/>
  <c r="P80" i="2"/>
  <c r="O80" i="2"/>
  <c r="N80" i="2"/>
  <c r="L80" i="2" s="1"/>
  <c r="M80" i="2"/>
  <c r="K80" i="2"/>
  <c r="J80" i="2"/>
  <c r="I80" i="2"/>
  <c r="H80" i="2"/>
  <c r="F80" i="2" s="1"/>
  <c r="E80" i="2"/>
  <c r="AJ79" i="2"/>
  <c r="AI79" i="2"/>
  <c r="AH79" i="2"/>
  <c r="AG79" i="2"/>
  <c r="AF79" i="2"/>
  <c r="AB79" i="2"/>
  <c r="AA79" i="2"/>
  <c r="Z79" i="2"/>
  <c r="X79" i="2" s="1"/>
  <c r="Y79" i="2"/>
  <c r="W79" i="2"/>
  <c r="V79" i="2"/>
  <c r="U79" i="2"/>
  <c r="T79" i="2"/>
  <c r="S79" i="2"/>
  <c r="R79" i="2"/>
  <c r="P79" i="2" s="1"/>
  <c r="Q79" i="2"/>
  <c r="O79" i="2"/>
  <c r="N79" i="2"/>
  <c r="M79" i="2"/>
  <c r="L79" i="2"/>
  <c r="K79" i="2"/>
  <c r="J79" i="2"/>
  <c r="H79" i="2" s="1"/>
  <c r="I79" i="2"/>
  <c r="E79" i="2"/>
  <c r="AJ78" i="2"/>
  <c r="AI78" i="2"/>
  <c r="AH78" i="2"/>
  <c r="AG78" i="2"/>
  <c r="AB78" i="2"/>
  <c r="AA78" i="2"/>
  <c r="AA77" i="2" s="1"/>
  <c r="Z78" i="2"/>
  <c r="Z77" i="2" s="1"/>
  <c r="Y78" i="2"/>
  <c r="W78" i="2"/>
  <c r="V78" i="2"/>
  <c r="V77" i="2" s="1"/>
  <c r="U78" i="2"/>
  <c r="T78" i="2" s="1"/>
  <c r="S78" i="2"/>
  <c r="S77" i="2" s="1"/>
  <c r="R78" i="2"/>
  <c r="R77" i="2" s="1"/>
  <c r="Q78" i="2"/>
  <c r="O78" i="2"/>
  <c r="N78" i="2"/>
  <c r="M78" i="2"/>
  <c r="L78" i="2" s="1"/>
  <c r="L77" i="2" s="1"/>
  <c r="K78" i="2"/>
  <c r="K77" i="2" s="1"/>
  <c r="J78" i="2"/>
  <c r="J77" i="2" s="1"/>
  <c r="I78" i="2"/>
  <c r="H78" i="2"/>
  <c r="E78" i="2"/>
  <c r="E77" i="2" s="1"/>
  <c r="AH77" i="2"/>
  <c r="AG77" i="2"/>
  <c r="Y77" i="2"/>
  <c r="Q77" i="2"/>
  <c r="O77" i="2"/>
  <c r="N77" i="2"/>
  <c r="I77" i="2"/>
  <c r="AM76" i="2"/>
  <c r="AL76" i="2"/>
  <c r="AK76" i="2"/>
  <c r="AI76" i="2"/>
  <c r="AH76" i="2"/>
  <c r="AG76" i="2"/>
  <c r="AF76" i="2"/>
  <c r="F76" i="2" s="1"/>
  <c r="G76" i="2" s="1"/>
  <c r="AE76" i="2"/>
  <c r="AD76" i="2"/>
  <c r="AC76" i="2"/>
  <c r="AA76" i="2"/>
  <c r="Z76" i="2"/>
  <c r="Y76" i="2"/>
  <c r="X76" i="2"/>
  <c r="W76" i="2"/>
  <c r="V76" i="2"/>
  <c r="T76" i="2" s="1"/>
  <c r="U76" i="2"/>
  <c r="S76" i="2"/>
  <c r="R76" i="2"/>
  <c r="Q76" i="2"/>
  <c r="P76" i="2"/>
  <c r="O76" i="2"/>
  <c r="N76" i="2"/>
  <c r="L76" i="2" s="1"/>
  <c r="M76" i="2"/>
  <c r="K76" i="2"/>
  <c r="J76" i="2"/>
  <c r="I76" i="2"/>
  <c r="H76" i="2"/>
  <c r="E76" i="2"/>
  <c r="AM75" i="2"/>
  <c r="AL75" i="2"/>
  <c r="AJ75" i="2" s="1"/>
  <c r="AK75" i="2"/>
  <c r="AI75" i="2"/>
  <c r="AH75" i="2"/>
  <c r="AG75" i="2"/>
  <c r="AE75" i="2"/>
  <c r="AD75" i="2"/>
  <c r="AB75" i="2" s="1"/>
  <c r="AC75" i="2"/>
  <c r="AA75" i="2"/>
  <c r="Z75" i="2"/>
  <c r="Y75" i="2"/>
  <c r="X75" i="2" s="1"/>
  <c r="W75" i="2"/>
  <c r="V75" i="2"/>
  <c r="T75" i="2" s="1"/>
  <c r="U75" i="2"/>
  <c r="S75" i="2"/>
  <c r="R75" i="2"/>
  <c r="R72" i="2" s="1"/>
  <c r="Q75" i="2"/>
  <c r="O75" i="2"/>
  <c r="N75" i="2"/>
  <c r="L75" i="2" s="1"/>
  <c r="M75" i="2"/>
  <c r="K75" i="2"/>
  <c r="J75" i="2"/>
  <c r="I75" i="2"/>
  <c r="H75" i="2" s="1"/>
  <c r="E75" i="2"/>
  <c r="AJ74" i="2"/>
  <c r="AI74" i="2"/>
  <c r="AH74" i="2"/>
  <c r="AF74" i="2" s="1"/>
  <c r="AG74" i="2"/>
  <c r="AB74" i="2"/>
  <c r="AA74" i="2"/>
  <c r="Z74" i="2"/>
  <c r="Y74" i="2"/>
  <c r="Y72" i="2" s="1"/>
  <c r="X74" i="2"/>
  <c r="W74" i="2"/>
  <c r="T74" i="2" s="1"/>
  <c r="V74" i="2"/>
  <c r="U74" i="2"/>
  <c r="S74" i="2"/>
  <c r="R74" i="2"/>
  <c r="Q74" i="2"/>
  <c r="P74" i="2"/>
  <c r="O74" i="2"/>
  <c r="L74" i="2" s="1"/>
  <c r="N74" i="2"/>
  <c r="M74" i="2"/>
  <c r="K74" i="2"/>
  <c r="J74" i="2"/>
  <c r="I74" i="2"/>
  <c r="H74" i="2"/>
  <c r="E74" i="2"/>
  <c r="AJ73" i="2"/>
  <c r="AI73" i="2"/>
  <c r="AH73" i="2"/>
  <c r="AH72" i="2" s="1"/>
  <c r="AG73" i="2"/>
  <c r="AB73" i="2"/>
  <c r="AA73" i="2"/>
  <c r="Z73" i="2"/>
  <c r="X73" i="2" s="1"/>
  <c r="Y73" i="2"/>
  <c r="W73" i="2"/>
  <c r="W72" i="2" s="1"/>
  <c r="V73" i="2"/>
  <c r="U73" i="2"/>
  <c r="S73" i="2"/>
  <c r="R73" i="2"/>
  <c r="P73" i="2" s="1"/>
  <c r="Q73" i="2"/>
  <c r="O73" i="2"/>
  <c r="N73" i="2"/>
  <c r="M73" i="2"/>
  <c r="K73" i="2"/>
  <c r="J73" i="2"/>
  <c r="I73" i="2"/>
  <c r="H73" i="2" s="1"/>
  <c r="H72" i="2" s="1"/>
  <c r="E73" i="2"/>
  <c r="AM72" i="2"/>
  <c r="AK72" i="2"/>
  <c r="AI72" i="2"/>
  <c r="AG72" i="2"/>
  <c r="AE72" i="2"/>
  <c r="AC72" i="2"/>
  <c r="AA72" i="2"/>
  <c r="Z72" i="2"/>
  <c r="S72" i="2"/>
  <c r="K72" i="2"/>
  <c r="J72" i="2"/>
  <c r="I72" i="2"/>
  <c r="AM71" i="2"/>
  <c r="AM67" i="2" s="1"/>
  <c r="AL71" i="2"/>
  <c r="AL67" i="2" s="1"/>
  <c r="AK71" i="2"/>
  <c r="AI71" i="2"/>
  <c r="AH71" i="2"/>
  <c r="AG71" i="2"/>
  <c r="AF71" i="2" s="1"/>
  <c r="AE71" i="2"/>
  <c r="AE67" i="2" s="1"/>
  <c r="AD71" i="2"/>
  <c r="AD67" i="2" s="1"/>
  <c r="AC71" i="2"/>
  <c r="AA71" i="2"/>
  <c r="Z71" i="2"/>
  <c r="Y71" i="2"/>
  <c r="X71" i="2" s="1"/>
  <c r="W71" i="2"/>
  <c r="V71" i="2"/>
  <c r="U71" i="2"/>
  <c r="T71" i="2" s="1"/>
  <c r="S71" i="2"/>
  <c r="R71" i="2"/>
  <c r="Q71" i="2"/>
  <c r="P71" i="2" s="1"/>
  <c r="O71" i="2"/>
  <c r="N71" i="2"/>
  <c r="M71" i="2"/>
  <c r="K71" i="2"/>
  <c r="J71" i="2"/>
  <c r="I71" i="2"/>
  <c r="H71" i="2" s="1"/>
  <c r="F71" i="2" s="1"/>
  <c r="G71" i="2" s="1"/>
  <c r="E71" i="2"/>
  <c r="AM70" i="2"/>
  <c r="AL70" i="2"/>
  <c r="AK70" i="2"/>
  <c r="AJ70" i="2" s="1"/>
  <c r="AI70" i="2"/>
  <c r="AI67" i="2" s="1"/>
  <c r="AH70" i="2"/>
  <c r="AG70" i="2"/>
  <c r="AE70" i="2"/>
  <c r="AD70" i="2"/>
  <c r="AC70" i="2"/>
  <c r="AB70" i="2" s="1"/>
  <c r="AA70" i="2"/>
  <c r="AA67" i="2" s="1"/>
  <c r="Z70" i="2"/>
  <c r="Z67" i="2" s="1"/>
  <c r="Y70" i="2"/>
  <c r="W70" i="2"/>
  <c r="V70" i="2"/>
  <c r="U70" i="2"/>
  <c r="T70" i="2" s="1"/>
  <c r="S70" i="2"/>
  <c r="S67" i="2" s="1"/>
  <c r="R70" i="2"/>
  <c r="Q70" i="2"/>
  <c r="O70" i="2"/>
  <c r="N70" i="2"/>
  <c r="M70" i="2"/>
  <c r="L70" i="2" s="1"/>
  <c r="K70" i="2"/>
  <c r="J70" i="2"/>
  <c r="I70" i="2"/>
  <c r="H70" i="2" s="1"/>
  <c r="E70" i="2"/>
  <c r="AJ69" i="2"/>
  <c r="AI69" i="2"/>
  <c r="AH69" i="2"/>
  <c r="AG69" i="2"/>
  <c r="AF69" i="2" s="1"/>
  <c r="AB69" i="2"/>
  <c r="AA69" i="2"/>
  <c r="Z69" i="2"/>
  <c r="Y69" i="2"/>
  <c r="X69" i="2"/>
  <c r="W69" i="2"/>
  <c r="T69" i="2" s="1"/>
  <c r="V69" i="2"/>
  <c r="U69" i="2"/>
  <c r="S69" i="2"/>
  <c r="R69" i="2"/>
  <c r="Q69" i="2"/>
  <c r="P69" i="2" s="1"/>
  <c r="O69" i="2"/>
  <c r="L69" i="2" s="1"/>
  <c r="N69" i="2"/>
  <c r="M69" i="2"/>
  <c r="K69" i="2"/>
  <c r="J69" i="2"/>
  <c r="I69" i="2"/>
  <c r="I67" i="2" s="1"/>
  <c r="H69" i="2"/>
  <c r="E69" i="2"/>
  <c r="AJ68" i="2"/>
  <c r="AI68" i="2"/>
  <c r="AH68" i="2"/>
  <c r="AF68" i="2" s="1"/>
  <c r="AG68" i="2"/>
  <c r="AB68" i="2"/>
  <c r="AA68" i="2"/>
  <c r="Z68" i="2"/>
  <c r="Y68" i="2"/>
  <c r="X68" i="2" s="1"/>
  <c r="W68" i="2"/>
  <c r="W67" i="2" s="1"/>
  <c r="V68" i="2"/>
  <c r="V67" i="2" s="1"/>
  <c r="U68" i="2"/>
  <c r="S68" i="2"/>
  <c r="R68" i="2"/>
  <c r="Q68" i="2"/>
  <c r="P68" i="2" s="1"/>
  <c r="O68" i="2"/>
  <c r="O67" i="2" s="1"/>
  <c r="N68" i="2"/>
  <c r="N67" i="2" s="1"/>
  <c r="M68" i="2"/>
  <c r="K68" i="2"/>
  <c r="J68" i="2"/>
  <c r="I68" i="2"/>
  <c r="H68" i="2" s="1"/>
  <c r="F68" i="2" s="1"/>
  <c r="E68" i="2"/>
  <c r="AG67" i="2"/>
  <c r="R67" i="2"/>
  <c r="Q67" i="2"/>
  <c r="K67" i="2"/>
  <c r="J67" i="2"/>
  <c r="AM66" i="2"/>
  <c r="AM62" i="2" s="1"/>
  <c r="AL66" i="2"/>
  <c r="AL62" i="2" s="1"/>
  <c r="AK66" i="2"/>
  <c r="AI66" i="2"/>
  <c r="AH66" i="2"/>
  <c r="AG66" i="2"/>
  <c r="AF66" i="2" s="1"/>
  <c r="F66" i="2" s="1"/>
  <c r="G66" i="2" s="1"/>
  <c r="AE66" i="2"/>
  <c r="AE62" i="2" s="1"/>
  <c r="AD66" i="2"/>
  <c r="AD62" i="2" s="1"/>
  <c r="AC66" i="2"/>
  <c r="AA66" i="2"/>
  <c r="Z66" i="2"/>
  <c r="Y66" i="2"/>
  <c r="X66" i="2" s="1"/>
  <c r="W66" i="2"/>
  <c r="V66" i="2"/>
  <c r="U66" i="2"/>
  <c r="S66" i="2"/>
  <c r="R66" i="2"/>
  <c r="Q66" i="2"/>
  <c r="P66" i="2" s="1"/>
  <c r="O66" i="2"/>
  <c r="N66" i="2"/>
  <c r="M66" i="2"/>
  <c r="L66" i="2" s="1"/>
  <c r="K66" i="2"/>
  <c r="J66" i="2"/>
  <c r="I66" i="2"/>
  <c r="H66" i="2" s="1"/>
  <c r="E66" i="2"/>
  <c r="AM65" i="2"/>
  <c r="AL65" i="2"/>
  <c r="AK65" i="2"/>
  <c r="AJ65" i="2" s="1"/>
  <c r="AI65" i="2"/>
  <c r="AH65" i="2"/>
  <c r="AG65" i="2"/>
  <c r="AE65" i="2"/>
  <c r="AD65" i="2"/>
  <c r="AC65" i="2"/>
  <c r="AB65" i="2" s="1"/>
  <c r="AA65" i="2"/>
  <c r="AA62" i="2" s="1"/>
  <c r="Z65" i="2"/>
  <c r="Z62" i="2" s="1"/>
  <c r="Y65" i="2"/>
  <c r="X65" i="2" s="1"/>
  <c r="W65" i="2"/>
  <c r="V65" i="2"/>
  <c r="U65" i="2"/>
  <c r="T65" i="2" s="1"/>
  <c r="S65" i="2"/>
  <c r="R65" i="2"/>
  <c r="Q65" i="2"/>
  <c r="P65" i="2" s="1"/>
  <c r="O65" i="2"/>
  <c r="N65" i="2"/>
  <c r="M65" i="2"/>
  <c r="L65" i="2" s="1"/>
  <c r="K65" i="2"/>
  <c r="J65" i="2"/>
  <c r="J62" i="2" s="1"/>
  <c r="I65" i="2"/>
  <c r="E65" i="2"/>
  <c r="AJ64" i="2"/>
  <c r="AI64" i="2"/>
  <c r="AH64" i="2"/>
  <c r="AH62" i="2" s="1"/>
  <c r="AG64" i="2"/>
  <c r="AB64" i="2"/>
  <c r="AA64" i="2"/>
  <c r="Z64" i="2"/>
  <c r="Y64" i="2"/>
  <c r="X64" i="2"/>
  <c r="W64" i="2"/>
  <c r="T64" i="2" s="1"/>
  <c r="V64" i="2"/>
  <c r="U64" i="2"/>
  <c r="S64" i="2"/>
  <c r="R64" i="2"/>
  <c r="Q64" i="2"/>
  <c r="P64" i="2"/>
  <c r="O64" i="2"/>
  <c r="L64" i="2" s="1"/>
  <c r="N64" i="2"/>
  <c r="M64" i="2"/>
  <c r="K64" i="2"/>
  <c r="J64" i="2"/>
  <c r="I64" i="2"/>
  <c r="I62" i="2" s="1"/>
  <c r="E64" i="2"/>
  <c r="AJ63" i="2"/>
  <c r="AI63" i="2"/>
  <c r="AH63" i="2"/>
  <c r="AG63" i="2"/>
  <c r="AG62" i="2" s="1"/>
  <c r="AF63" i="2"/>
  <c r="AB63" i="2"/>
  <c r="AA63" i="2"/>
  <c r="Z63" i="2"/>
  <c r="Y63" i="2"/>
  <c r="X63" i="2" s="1"/>
  <c r="W63" i="2"/>
  <c r="V63" i="2"/>
  <c r="U63" i="2"/>
  <c r="S63" i="2"/>
  <c r="R63" i="2"/>
  <c r="Q63" i="2"/>
  <c r="P63" i="2" s="1"/>
  <c r="P62" i="2" s="1"/>
  <c r="O63" i="2"/>
  <c r="O62" i="2" s="1"/>
  <c r="N63" i="2"/>
  <c r="N62" i="2" s="1"/>
  <c r="M63" i="2"/>
  <c r="K63" i="2"/>
  <c r="J63" i="2"/>
  <c r="I63" i="2"/>
  <c r="H63" i="2" s="1"/>
  <c r="E63" i="2"/>
  <c r="S62" i="2"/>
  <c r="R62" i="2"/>
  <c r="Q62" i="2"/>
  <c r="K62" i="2"/>
  <c r="AM61" i="2"/>
  <c r="AM57" i="2" s="1"/>
  <c r="AL61" i="2"/>
  <c r="AL57" i="2" s="1"/>
  <c r="AK61" i="2"/>
  <c r="AI61" i="2"/>
  <c r="AH61" i="2"/>
  <c r="AG61" i="2"/>
  <c r="AF61" i="2" s="1"/>
  <c r="AE61" i="2"/>
  <c r="AE57" i="2" s="1"/>
  <c r="AD61" i="2"/>
  <c r="AD57" i="2" s="1"/>
  <c r="AC61" i="2"/>
  <c r="AA61" i="2"/>
  <c r="Z61" i="2"/>
  <c r="Y61" i="2"/>
  <c r="X61" i="2" s="1"/>
  <c r="F61" i="2" s="1"/>
  <c r="G61" i="2" s="1"/>
  <c r="W61" i="2"/>
  <c r="V61" i="2"/>
  <c r="U61" i="2"/>
  <c r="S61" i="2"/>
  <c r="R61" i="2"/>
  <c r="Q61" i="2"/>
  <c r="P61" i="2" s="1"/>
  <c r="O61" i="2"/>
  <c r="N61" i="2"/>
  <c r="M61" i="2"/>
  <c r="L61" i="2" s="1"/>
  <c r="K61" i="2"/>
  <c r="J61" i="2"/>
  <c r="I61" i="2"/>
  <c r="H61" i="2" s="1"/>
  <c r="E61" i="2"/>
  <c r="AM60" i="2"/>
  <c r="AL60" i="2"/>
  <c r="AK60" i="2"/>
  <c r="AJ60" i="2" s="1"/>
  <c r="AI60" i="2"/>
  <c r="AH60" i="2"/>
  <c r="AG60" i="2"/>
  <c r="AF60" i="2" s="1"/>
  <c r="AE60" i="2"/>
  <c r="AD60" i="2"/>
  <c r="AC60" i="2"/>
  <c r="AB60" i="2" s="1"/>
  <c r="AA60" i="2"/>
  <c r="AA57" i="2" s="1"/>
  <c r="Z60" i="2"/>
  <c r="Z57" i="2" s="1"/>
  <c r="Y60" i="2"/>
  <c r="W60" i="2"/>
  <c r="V60" i="2"/>
  <c r="U60" i="2"/>
  <c r="T60" i="2" s="1"/>
  <c r="S60" i="2"/>
  <c r="R60" i="2"/>
  <c r="Q60" i="2"/>
  <c r="P60" i="2" s="1"/>
  <c r="O60" i="2"/>
  <c r="N60" i="2"/>
  <c r="M60" i="2"/>
  <c r="L60" i="2" s="1"/>
  <c r="K60" i="2"/>
  <c r="K57" i="2" s="1"/>
  <c r="J60" i="2"/>
  <c r="I60" i="2"/>
  <c r="E60" i="2"/>
  <c r="AJ59" i="2"/>
  <c r="AI59" i="2"/>
  <c r="AH59" i="2"/>
  <c r="AG59" i="2"/>
  <c r="AB59" i="2"/>
  <c r="AA59" i="2"/>
  <c r="Z59" i="2"/>
  <c r="Y59" i="2"/>
  <c r="X59" i="2"/>
  <c r="W59" i="2"/>
  <c r="T59" i="2" s="1"/>
  <c r="V59" i="2"/>
  <c r="U59" i="2"/>
  <c r="S59" i="2"/>
  <c r="R59" i="2"/>
  <c r="Q59" i="2"/>
  <c r="P59" i="2"/>
  <c r="O59" i="2"/>
  <c r="L59" i="2" s="1"/>
  <c r="N59" i="2"/>
  <c r="M59" i="2"/>
  <c r="K59" i="2"/>
  <c r="J59" i="2"/>
  <c r="I59" i="2"/>
  <c r="H59" i="2"/>
  <c r="E59" i="2"/>
  <c r="AJ58" i="2"/>
  <c r="AI58" i="2"/>
  <c r="AH58" i="2"/>
  <c r="AH57" i="2" s="1"/>
  <c r="AG58" i="2"/>
  <c r="AG57" i="2" s="1"/>
  <c r="AB58" i="2"/>
  <c r="AA58" i="2"/>
  <c r="Z58" i="2"/>
  <c r="Y58" i="2"/>
  <c r="X58" i="2" s="1"/>
  <c r="W58" i="2"/>
  <c r="V58" i="2"/>
  <c r="U58" i="2"/>
  <c r="S58" i="2"/>
  <c r="R58" i="2"/>
  <c r="Q58" i="2"/>
  <c r="P58" i="2" s="1"/>
  <c r="O58" i="2"/>
  <c r="O57" i="2" s="1"/>
  <c r="N58" i="2"/>
  <c r="N57" i="2" s="1"/>
  <c r="M58" i="2"/>
  <c r="K58" i="2"/>
  <c r="J58" i="2"/>
  <c r="I58" i="2"/>
  <c r="H58" i="2" s="1"/>
  <c r="E58" i="2"/>
  <c r="AI57" i="2"/>
  <c r="Y57" i="2"/>
  <c r="S57" i="2"/>
  <c r="R57" i="2"/>
  <c r="Q57" i="2"/>
  <c r="J57" i="2"/>
  <c r="I57" i="2"/>
  <c r="AM56" i="2"/>
  <c r="AM52" i="2" s="1"/>
  <c r="AL56" i="2"/>
  <c r="AK56" i="2"/>
  <c r="AI56" i="2"/>
  <c r="AH56" i="2"/>
  <c r="AG56" i="2"/>
  <c r="AF56" i="2" s="1"/>
  <c r="AE56" i="2"/>
  <c r="AE52" i="2" s="1"/>
  <c r="AD56" i="2"/>
  <c r="AC56" i="2"/>
  <c r="AA56" i="2"/>
  <c r="Z56" i="2"/>
  <c r="Y56" i="2"/>
  <c r="X56" i="2" s="1"/>
  <c r="W56" i="2"/>
  <c r="V56" i="2"/>
  <c r="U56" i="2"/>
  <c r="S56" i="2"/>
  <c r="R56" i="2"/>
  <c r="Q56" i="2"/>
  <c r="P56" i="2" s="1"/>
  <c r="O56" i="2"/>
  <c r="N56" i="2"/>
  <c r="M56" i="2"/>
  <c r="L56" i="2" s="1"/>
  <c r="K56" i="2"/>
  <c r="J56" i="2"/>
  <c r="I56" i="2"/>
  <c r="H56" i="2" s="1"/>
  <c r="F56" i="2" s="1"/>
  <c r="G56" i="2" s="1"/>
  <c r="E56" i="2"/>
  <c r="AM55" i="2"/>
  <c r="AL55" i="2"/>
  <c r="AK55" i="2"/>
  <c r="AJ55" i="2" s="1"/>
  <c r="AI55" i="2"/>
  <c r="AH55" i="2"/>
  <c r="AG55" i="2"/>
  <c r="AE55" i="2"/>
  <c r="AD55" i="2"/>
  <c r="AC55" i="2"/>
  <c r="AB55" i="2" s="1"/>
  <c r="AA55" i="2"/>
  <c r="AA52" i="2" s="1"/>
  <c r="Z55" i="2"/>
  <c r="Y55" i="2"/>
  <c r="W55" i="2"/>
  <c r="V55" i="2"/>
  <c r="U55" i="2"/>
  <c r="T55" i="2" s="1"/>
  <c r="S55" i="2"/>
  <c r="R55" i="2"/>
  <c r="Q55" i="2"/>
  <c r="O55" i="2"/>
  <c r="N55" i="2"/>
  <c r="M55" i="2"/>
  <c r="L55" i="2" s="1"/>
  <c r="K55" i="2"/>
  <c r="J55" i="2"/>
  <c r="I55" i="2"/>
  <c r="H55" i="2" s="1"/>
  <c r="E55" i="2"/>
  <c r="AJ54" i="2"/>
  <c r="AI54" i="2"/>
  <c r="AH54" i="2"/>
  <c r="AG54" i="2"/>
  <c r="AF54" i="2" s="1"/>
  <c r="AB54" i="2"/>
  <c r="AA54" i="2"/>
  <c r="Z54" i="2"/>
  <c r="Y54" i="2"/>
  <c r="W54" i="2"/>
  <c r="V54" i="2"/>
  <c r="U54" i="2"/>
  <c r="T54" i="2"/>
  <c r="S54" i="2"/>
  <c r="R54" i="2"/>
  <c r="Q54" i="2"/>
  <c r="O54" i="2"/>
  <c r="N54" i="2"/>
  <c r="M54" i="2"/>
  <c r="L54" i="2"/>
  <c r="K54" i="2"/>
  <c r="J54" i="2"/>
  <c r="I54" i="2"/>
  <c r="E54" i="2"/>
  <c r="AJ53" i="2"/>
  <c r="AI53" i="2"/>
  <c r="AH53" i="2"/>
  <c r="AH52" i="2" s="1"/>
  <c r="AG53" i="2"/>
  <c r="AB53" i="2"/>
  <c r="AA53" i="2"/>
  <c r="Z53" i="2"/>
  <c r="Y53" i="2"/>
  <c r="X53" i="2" s="1"/>
  <c r="W53" i="2"/>
  <c r="V53" i="2"/>
  <c r="V52" i="2" s="1"/>
  <c r="U53" i="2"/>
  <c r="S53" i="2"/>
  <c r="R53" i="2"/>
  <c r="R52" i="2" s="1"/>
  <c r="Q53" i="2"/>
  <c r="O53" i="2"/>
  <c r="O52" i="2" s="1"/>
  <c r="N53" i="2"/>
  <c r="N52" i="2" s="1"/>
  <c r="M53" i="2"/>
  <c r="M52" i="2" s="1"/>
  <c r="L53" i="2"/>
  <c r="L52" i="2" s="1"/>
  <c r="K53" i="2"/>
  <c r="J53" i="2"/>
  <c r="I53" i="2"/>
  <c r="H53" i="2" s="1"/>
  <c r="E53" i="2"/>
  <c r="AL52" i="2"/>
  <c r="AI52" i="2"/>
  <c r="AD52" i="2"/>
  <c r="AC52" i="2"/>
  <c r="Z52" i="2"/>
  <c r="S52" i="2"/>
  <c r="K52" i="2"/>
  <c r="J52" i="2"/>
  <c r="E52" i="2"/>
  <c r="AM51" i="2"/>
  <c r="AL51" i="2"/>
  <c r="AK51" i="2"/>
  <c r="AJ51" i="2" s="1"/>
  <c r="AI51" i="2"/>
  <c r="AH51" i="2"/>
  <c r="AG51" i="2"/>
  <c r="AF51" i="2" s="1"/>
  <c r="AE51" i="2"/>
  <c r="AD51" i="2"/>
  <c r="AC51" i="2"/>
  <c r="AA51" i="2"/>
  <c r="Z51" i="2"/>
  <c r="Y51" i="2"/>
  <c r="X51" i="2"/>
  <c r="W51" i="2"/>
  <c r="T51" i="2" s="1"/>
  <c r="V51" i="2"/>
  <c r="U51" i="2"/>
  <c r="S51" i="2"/>
  <c r="R51" i="2"/>
  <c r="Q51" i="2"/>
  <c r="P51" i="2"/>
  <c r="O51" i="2"/>
  <c r="L51" i="2" s="1"/>
  <c r="N51" i="2"/>
  <c r="M51" i="2"/>
  <c r="K51" i="2"/>
  <c r="J51" i="2"/>
  <c r="I51" i="2"/>
  <c r="H51" i="2"/>
  <c r="F51" i="2" s="1"/>
  <c r="G51" i="2" s="1"/>
  <c r="E51" i="2"/>
  <c r="AM50" i="2"/>
  <c r="AL50" i="2"/>
  <c r="AK50" i="2"/>
  <c r="AJ50" i="2"/>
  <c r="AJ47" i="2" s="1"/>
  <c r="AI50" i="2"/>
  <c r="AF50" i="2" s="1"/>
  <c r="AH50" i="2"/>
  <c r="AG50" i="2"/>
  <c r="AE50" i="2"/>
  <c r="AD50" i="2"/>
  <c r="AC50" i="2"/>
  <c r="AB50" i="2"/>
  <c r="AA50" i="2"/>
  <c r="Z50" i="2"/>
  <c r="Y50" i="2"/>
  <c r="W50" i="2"/>
  <c r="V50" i="2"/>
  <c r="U50" i="2"/>
  <c r="T50" i="2"/>
  <c r="S50" i="2"/>
  <c r="P50" i="2" s="1"/>
  <c r="R50" i="2"/>
  <c r="Q50" i="2"/>
  <c r="O50" i="2"/>
  <c r="N50" i="2"/>
  <c r="M50" i="2"/>
  <c r="L50" i="2"/>
  <c r="K50" i="2"/>
  <c r="H50" i="2" s="1"/>
  <c r="J50" i="2"/>
  <c r="I50" i="2"/>
  <c r="E50" i="2"/>
  <c r="AJ49" i="2"/>
  <c r="AI49" i="2"/>
  <c r="AH49" i="2"/>
  <c r="AG49" i="2"/>
  <c r="AG47" i="2" s="1"/>
  <c r="AB49" i="2"/>
  <c r="AA49" i="2"/>
  <c r="Z49" i="2"/>
  <c r="Y49" i="2"/>
  <c r="W49" i="2"/>
  <c r="V49" i="2"/>
  <c r="T49" i="2" s="1"/>
  <c r="U49" i="2"/>
  <c r="S49" i="2"/>
  <c r="R49" i="2"/>
  <c r="Q49" i="2"/>
  <c r="P49" i="2" s="1"/>
  <c r="O49" i="2"/>
  <c r="N49" i="2"/>
  <c r="L49" i="2" s="1"/>
  <c r="M49" i="2"/>
  <c r="K49" i="2"/>
  <c r="J49" i="2"/>
  <c r="I49" i="2"/>
  <c r="H49" i="2" s="1"/>
  <c r="E49" i="2"/>
  <c r="AJ48" i="2"/>
  <c r="AI48" i="2"/>
  <c r="AI47" i="2" s="1"/>
  <c r="AH48" i="2"/>
  <c r="AG48" i="2"/>
  <c r="AB48" i="2"/>
  <c r="AA48" i="2"/>
  <c r="Z48" i="2"/>
  <c r="Y48" i="2"/>
  <c r="X48" i="2"/>
  <c r="W48" i="2"/>
  <c r="V48" i="2"/>
  <c r="U48" i="2"/>
  <c r="S48" i="2"/>
  <c r="R48" i="2"/>
  <c r="R47" i="2" s="1"/>
  <c r="Q48" i="2"/>
  <c r="P48" i="2"/>
  <c r="O48" i="2"/>
  <c r="N48" i="2"/>
  <c r="M48" i="2"/>
  <c r="K48" i="2"/>
  <c r="J48" i="2"/>
  <c r="I48" i="2"/>
  <c r="H48" i="2"/>
  <c r="E48" i="2"/>
  <c r="AM47" i="2"/>
  <c r="AL47" i="2"/>
  <c r="AK47" i="2"/>
  <c r="AD47" i="2"/>
  <c r="AC47" i="2"/>
  <c r="U47" i="2"/>
  <c r="S47" i="2"/>
  <c r="M47" i="2"/>
  <c r="E47" i="2"/>
  <c r="AM46" i="2"/>
  <c r="AL46" i="2"/>
  <c r="AK46" i="2"/>
  <c r="AI46" i="2"/>
  <c r="AH46" i="2"/>
  <c r="AG46" i="2"/>
  <c r="AF46" i="2"/>
  <c r="AE46" i="2"/>
  <c r="AD46" i="2"/>
  <c r="AC46" i="2"/>
  <c r="AA46" i="2"/>
  <c r="Z46" i="2"/>
  <c r="Y46" i="2"/>
  <c r="X46" i="2"/>
  <c r="W46" i="2"/>
  <c r="T46" i="2" s="1"/>
  <c r="V46" i="2"/>
  <c r="U46" i="2"/>
  <c r="S46" i="2"/>
  <c r="R46" i="2"/>
  <c r="Q46" i="2"/>
  <c r="P46" i="2"/>
  <c r="O46" i="2"/>
  <c r="L46" i="2" s="1"/>
  <c r="N46" i="2"/>
  <c r="M46" i="2"/>
  <c r="K46" i="2"/>
  <c r="J46" i="2"/>
  <c r="I46" i="2"/>
  <c r="H46" i="2"/>
  <c r="E46" i="2"/>
  <c r="AM45" i="2"/>
  <c r="AL45" i="2"/>
  <c r="AK45" i="2"/>
  <c r="AJ45" i="2"/>
  <c r="AI45" i="2"/>
  <c r="AF45" i="2" s="1"/>
  <c r="AH45" i="2"/>
  <c r="AG45" i="2"/>
  <c r="AE45" i="2"/>
  <c r="AD45" i="2"/>
  <c r="AC45" i="2"/>
  <c r="AB45" i="2"/>
  <c r="AA45" i="2"/>
  <c r="X45" i="2" s="1"/>
  <c r="Z45" i="2"/>
  <c r="Y45" i="2"/>
  <c r="W45" i="2"/>
  <c r="V45" i="2"/>
  <c r="U45" i="2"/>
  <c r="T45" i="2"/>
  <c r="S45" i="2"/>
  <c r="P45" i="2" s="1"/>
  <c r="R45" i="2"/>
  <c r="Q45" i="2"/>
  <c r="O45" i="2"/>
  <c r="N45" i="2"/>
  <c r="M45" i="2"/>
  <c r="L45" i="2"/>
  <c r="K45" i="2"/>
  <c r="H45" i="2" s="1"/>
  <c r="F45" i="2" s="1"/>
  <c r="J45" i="2"/>
  <c r="I45" i="2"/>
  <c r="E45" i="2"/>
  <c r="AJ44" i="2"/>
  <c r="AI44" i="2"/>
  <c r="AH44" i="2"/>
  <c r="AG44" i="2"/>
  <c r="AG42" i="2" s="1"/>
  <c r="AB44" i="2"/>
  <c r="AA44" i="2"/>
  <c r="Z44" i="2"/>
  <c r="Y44" i="2"/>
  <c r="X44" i="2" s="1"/>
  <c r="W44" i="2"/>
  <c r="V44" i="2"/>
  <c r="V42" i="2" s="1"/>
  <c r="U44" i="2"/>
  <c r="T44" i="2" s="1"/>
  <c r="S44" i="2"/>
  <c r="R44" i="2"/>
  <c r="Q44" i="2"/>
  <c r="O44" i="2"/>
  <c r="N44" i="2"/>
  <c r="N42" i="2" s="1"/>
  <c r="M44" i="2"/>
  <c r="L44" i="2" s="1"/>
  <c r="K44" i="2"/>
  <c r="J44" i="2"/>
  <c r="I44" i="2"/>
  <c r="H44" i="2" s="1"/>
  <c r="E44" i="2"/>
  <c r="AJ43" i="2"/>
  <c r="AI43" i="2"/>
  <c r="AI42" i="2" s="1"/>
  <c r="AH43" i="2"/>
  <c r="AH42" i="2" s="1"/>
  <c r="AG43" i="2"/>
  <c r="AF43" i="2" s="1"/>
  <c r="AB43" i="2"/>
  <c r="AA43" i="2"/>
  <c r="Z43" i="2"/>
  <c r="Z42" i="2" s="1"/>
  <c r="Y43" i="2"/>
  <c r="Y42" i="2" s="1"/>
  <c r="X43" i="2"/>
  <c r="W43" i="2"/>
  <c r="V43" i="2"/>
  <c r="U43" i="2"/>
  <c r="S43" i="2"/>
  <c r="R43" i="2"/>
  <c r="R42" i="2" s="1"/>
  <c r="Q43" i="2"/>
  <c r="Q42" i="2" s="1"/>
  <c r="P43" i="2"/>
  <c r="O43" i="2"/>
  <c r="N43" i="2"/>
  <c r="M43" i="2"/>
  <c r="K43" i="2"/>
  <c r="J43" i="2"/>
  <c r="I43" i="2"/>
  <c r="H43" i="2"/>
  <c r="E43" i="2"/>
  <c r="AL42" i="2"/>
  <c r="AK42" i="2"/>
  <c r="AD42" i="2"/>
  <c r="AC42" i="2"/>
  <c r="AA42" i="2"/>
  <c r="U42" i="2"/>
  <c r="S42" i="2"/>
  <c r="M42" i="2"/>
  <c r="K42" i="2"/>
  <c r="E42" i="2"/>
  <c r="AM41" i="2"/>
  <c r="AL41" i="2"/>
  <c r="AK41" i="2"/>
  <c r="AI41" i="2"/>
  <c r="AH41" i="2"/>
  <c r="AG41" i="2"/>
  <c r="AF41" i="2"/>
  <c r="AE41" i="2"/>
  <c r="AD41" i="2"/>
  <c r="AC41" i="2"/>
  <c r="AA41" i="2"/>
  <c r="Z41" i="2"/>
  <c r="Y41" i="2"/>
  <c r="X41" i="2"/>
  <c r="W41" i="2"/>
  <c r="T41" i="2" s="1"/>
  <c r="V41" i="2"/>
  <c r="U41" i="2"/>
  <c r="S41" i="2"/>
  <c r="R41" i="2"/>
  <c r="Q41" i="2"/>
  <c r="P41" i="2"/>
  <c r="O41" i="2"/>
  <c r="L41" i="2" s="1"/>
  <c r="N41" i="2"/>
  <c r="M41" i="2"/>
  <c r="K41" i="2"/>
  <c r="J41" i="2"/>
  <c r="I41" i="2"/>
  <c r="H41" i="2"/>
  <c r="E41" i="2"/>
  <c r="AM40" i="2"/>
  <c r="AL40" i="2"/>
  <c r="AK40" i="2"/>
  <c r="AJ40" i="2"/>
  <c r="AI40" i="2"/>
  <c r="AF40" i="2" s="1"/>
  <c r="AH40" i="2"/>
  <c r="AG40" i="2"/>
  <c r="AE40" i="2"/>
  <c r="AD40" i="2"/>
  <c r="AC40" i="2"/>
  <c r="AB40" i="2"/>
  <c r="AA40" i="2"/>
  <c r="X40" i="2" s="1"/>
  <c r="Z40" i="2"/>
  <c r="Y40" i="2"/>
  <c r="W40" i="2"/>
  <c r="V40" i="2"/>
  <c r="U40" i="2"/>
  <c r="T40" i="2"/>
  <c r="S40" i="2"/>
  <c r="P40" i="2" s="1"/>
  <c r="R40" i="2"/>
  <c r="Q40" i="2"/>
  <c r="O40" i="2"/>
  <c r="N40" i="2"/>
  <c r="M40" i="2"/>
  <c r="L40" i="2"/>
  <c r="K40" i="2"/>
  <c r="H40" i="2" s="1"/>
  <c r="J40" i="2"/>
  <c r="I40" i="2"/>
  <c r="E40" i="2"/>
  <c r="AJ39" i="2"/>
  <c r="AI39" i="2"/>
  <c r="AH39" i="2"/>
  <c r="AG39" i="2"/>
  <c r="AG37" i="2" s="1"/>
  <c r="AB39" i="2"/>
  <c r="AA39" i="2"/>
  <c r="Z39" i="2"/>
  <c r="Z37" i="2" s="1"/>
  <c r="Y39" i="2"/>
  <c r="W39" i="2"/>
  <c r="V39" i="2"/>
  <c r="V37" i="2" s="1"/>
  <c r="U39" i="2"/>
  <c r="T39" i="2" s="1"/>
  <c r="S39" i="2"/>
  <c r="R39" i="2"/>
  <c r="R37" i="2" s="1"/>
  <c r="Q39" i="2"/>
  <c r="O39" i="2"/>
  <c r="N39" i="2"/>
  <c r="N37" i="2" s="1"/>
  <c r="M39" i="2"/>
  <c r="L39" i="2" s="1"/>
  <c r="K39" i="2"/>
  <c r="J39" i="2"/>
  <c r="J37" i="2" s="1"/>
  <c r="I39" i="2"/>
  <c r="E39" i="2"/>
  <c r="AJ38" i="2"/>
  <c r="AI38" i="2"/>
  <c r="AH38" i="2"/>
  <c r="AH37" i="2" s="1"/>
  <c r="AG38" i="2"/>
  <c r="AF38" i="2" s="1"/>
  <c r="AB38" i="2"/>
  <c r="AA38" i="2"/>
  <c r="Z38" i="2"/>
  <c r="Y38" i="2"/>
  <c r="X38" i="2"/>
  <c r="W38" i="2"/>
  <c r="V38" i="2"/>
  <c r="U38" i="2"/>
  <c r="S38" i="2"/>
  <c r="R38" i="2"/>
  <c r="Q38" i="2"/>
  <c r="P38" i="2"/>
  <c r="O38" i="2"/>
  <c r="N38" i="2"/>
  <c r="M38" i="2"/>
  <c r="K38" i="2"/>
  <c r="J38" i="2"/>
  <c r="I38" i="2"/>
  <c r="H38" i="2"/>
  <c r="E38" i="2"/>
  <c r="AL37" i="2"/>
  <c r="AK37" i="2"/>
  <c r="AI37" i="2"/>
  <c r="AD37" i="2"/>
  <c r="AC37" i="2"/>
  <c r="AA37" i="2"/>
  <c r="U37" i="2"/>
  <c r="S37" i="2"/>
  <c r="M37" i="2"/>
  <c r="K37" i="2"/>
  <c r="E37" i="2"/>
  <c r="AM36" i="2"/>
  <c r="AL36" i="2"/>
  <c r="AK36" i="2"/>
  <c r="AI36" i="2"/>
  <c r="AH36" i="2"/>
  <c r="AG36" i="2"/>
  <c r="AF36" i="2"/>
  <c r="AE36" i="2"/>
  <c r="AD36" i="2"/>
  <c r="AC36" i="2"/>
  <c r="AA36" i="2"/>
  <c r="Z36" i="2"/>
  <c r="Y36" i="2"/>
  <c r="X36" i="2"/>
  <c r="W36" i="2"/>
  <c r="T36" i="2" s="1"/>
  <c r="V36" i="2"/>
  <c r="U36" i="2"/>
  <c r="S36" i="2"/>
  <c r="R36" i="2"/>
  <c r="Q36" i="2"/>
  <c r="P36" i="2"/>
  <c r="O36" i="2"/>
  <c r="L36" i="2" s="1"/>
  <c r="N36" i="2"/>
  <c r="M36" i="2"/>
  <c r="K36" i="2"/>
  <c r="J36" i="2"/>
  <c r="I36" i="2"/>
  <c r="H36" i="2"/>
  <c r="F36" i="2" s="1"/>
  <c r="E36" i="2"/>
  <c r="AM35" i="2"/>
  <c r="AL35" i="2"/>
  <c r="AK35" i="2"/>
  <c r="AJ35" i="2"/>
  <c r="AI35" i="2"/>
  <c r="AF35" i="2" s="1"/>
  <c r="AH35" i="2"/>
  <c r="AG35" i="2"/>
  <c r="AE35" i="2"/>
  <c r="AD35" i="2"/>
  <c r="AC35" i="2"/>
  <c r="AB35" i="2"/>
  <c r="AA35" i="2"/>
  <c r="X35" i="2" s="1"/>
  <c r="Z35" i="2"/>
  <c r="Y35" i="2"/>
  <c r="W35" i="2"/>
  <c r="V35" i="2"/>
  <c r="U35" i="2"/>
  <c r="T35" i="2"/>
  <c r="S35" i="2"/>
  <c r="P35" i="2" s="1"/>
  <c r="R35" i="2"/>
  <c r="Q35" i="2"/>
  <c r="O35" i="2"/>
  <c r="N35" i="2"/>
  <c r="M35" i="2"/>
  <c r="L35" i="2"/>
  <c r="K35" i="2"/>
  <c r="H35" i="2" s="1"/>
  <c r="J35" i="2"/>
  <c r="I35" i="2"/>
  <c r="E35" i="2"/>
  <c r="AJ34" i="2"/>
  <c r="AI34" i="2"/>
  <c r="AH34" i="2"/>
  <c r="AG34" i="2"/>
  <c r="AB34" i="2"/>
  <c r="AA34" i="2"/>
  <c r="Z34" i="2"/>
  <c r="Z32" i="2" s="1"/>
  <c r="Y34" i="2"/>
  <c r="W34" i="2"/>
  <c r="V34" i="2"/>
  <c r="V32" i="2" s="1"/>
  <c r="U34" i="2"/>
  <c r="T34" i="2" s="1"/>
  <c r="S34" i="2"/>
  <c r="R34" i="2"/>
  <c r="R32" i="2" s="1"/>
  <c r="Q34" i="2"/>
  <c r="O34" i="2"/>
  <c r="N34" i="2"/>
  <c r="N32" i="2" s="1"/>
  <c r="M34" i="2"/>
  <c r="K34" i="2"/>
  <c r="J34" i="2"/>
  <c r="J32" i="2" s="1"/>
  <c r="I34" i="2"/>
  <c r="E34" i="2"/>
  <c r="AJ33" i="2"/>
  <c r="AI33" i="2"/>
  <c r="AI32" i="2" s="1"/>
  <c r="AH33" i="2"/>
  <c r="AH32" i="2" s="1"/>
  <c r="AG33" i="2"/>
  <c r="AB33" i="2"/>
  <c r="AA33" i="2"/>
  <c r="Z33" i="2"/>
  <c r="Y33" i="2"/>
  <c r="X33" i="2"/>
  <c r="W33" i="2"/>
  <c r="V33" i="2"/>
  <c r="U33" i="2"/>
  <c r="S33" i="2"/>
  <c r="R33" i="2"/>
  <c r="Q33" i="2"/>
  <c r="P33" i="2"/>
  <c r="O33" i="2"/>
  <c r="N33" i="2"/>
  <c r="M33" i="2"/>
  <c r="K33" i="2"/>
  <c r="J33" i="2"/>
  <c r="I33" i="2"/>
  <c r="H33" i="2"/>
  <c r="E33" i="2"/>
  <c r="AL32" i="2"/>
  <c r="AK32" i="2"/>
  <c r="AD32" i="2"/>
  <c r="AC32" i="2"/>
  <c r="AA32" i="2"/>
  <c r="U32" i="2"/>
  <c r="S32" i="2"/>
  <c r="M32" i="2"/>
  <c r="E32" i="2"/>
  <c r="AM31" i="2"/>
  <c r="AL31" i="2"/>
  <c r="AK31" i="2"/>
  <c r="AI31" i="2"/>
  <c r="AH31" i="2"/>
  <c r="AG31" i="2"/>
  <c r="AF31" i="2"/>
  <c r="AE31" i="2"/>
  <c r="AD31" i="2"/>
  <c r="AC31" i="2"/>
  <c r="AA31" i="2"/>
  <c r="Z31" i="2"/>
  <c r="Y31" i="2"/>
  <c r="X31" i="2"/>
  <c r="W31" i="2"/>
  <c r="T31" i="2" s="1"/>
  <c r="V31" i="2"/>
  <c r="U31" i="2"/>
  <c r="S31" i="2"/>
  <c r="R31" i="2"/>
  <c r="Q31" i="2"/>
  <c r="P31" i="2"/>
  <c r="O31" i="2"/>
  <c r="N31" i="2"/>
  <c r="M31" i="2"/>
  <c r="K31" i="2"/>
  <c r="J31" i="2"/>
  <c r="I31" i="2"/>
  <c r="H31" i="2" s="1"/>
  <c r="F31" i="2" s="1"/>
  <c r="G31" i="2" s="1"/>
  <c r="E31" i="2"/>
  <c r="AM30" i="2"/>
  <c r="AL30" i="2"/>
  <c r="AK30" i="2"/>
  <c r="AJ30" i="2" s="1"/>
  <c r="AI30" i="2"/>
  <c r="AH30" i="2"/>
  <c r="AG30" i="2"/>
  <c r="AF30" i="2" s="1"/>
  <c r="AE30" i="2"/>
  <c r="AD30" i="2"/>
  <c r="AC30" i="2"/>
  <c r="AB30" i="2" s="1"/>
  <c r="AA30" i="2"/>
  <c r="Z30" i="2"/>
  <c r="Y30" i="2"/>
  <c r="W30" i="2"/>
  <c r="V30" i="2"/>
  <c r="U30" i="2"/>
  <c r="T30" i="2" s="1"/>
  <c r="S30" i="2"/>
  <c r="S27" i="2" s="1"/>
  <c r="R30" i="2"/>
  <c r="Q30" i="2"/>
  <c r="O30" i="2"/>
  <c r="N30" i="2"/>
  <c r="M30" i="2"/>
  <c r="L30" i="2" s="1"/>
  <c r="K30" i="2"/>
  <c r="K27" i="2" s="1"/>
  <c r="J30" i="2"/>
  <c r="I30" i="2"/>
  <c r="E30" i="2"/>
  <c r="AJ29" i="2"/>
  <c r="AI29" i="2"/>
  <c r="AH29" i="2"/>
  <c r="AF29" i="2" s="1"/>
  <c r="AG29" i="2"/>
  <c r="AB29" i="2"/>
  <c r="AA29" i="2"/>
  <c r="Z29" i="2"/>
  <c r="Y29" i="2"/>
  <c r="Y27" i="2" s="1"/>
  <c r="W29" i="2"/>
  <c r="V29" i="2"/>
  <c r="U29" i="2"/>
  <c r="T29" i="2"/>
  <c r="S29" i="2"/>
  <c r="R29" i="2"/>
  <c r="Q29" i="2"/>
  <c r="Q27" i="2" s="1"/>
  <c r="O29" i="2"/>
  <c r="N29" i="2"/>
  <c r="M29" i="2"/>
  <c r="L29" i="2"/>
  <c r="K29" i="2"/>
  <c r="J29" i="2"/>
  <c r="I29" i="2"/>
  <c r="I27" i="2" s="1"/>
  <c r="E29" i="2"/>
  <c r="AJ28" i="2"/>
  <c r="AI28" i="2"/>
  <c r="AH28" i="2"/>
  <c r="AG28" i="2"/>
  <c r="AB28" i="2"/>
  <c r="AA28" i="2"/>
  <c r="Z28" i="2"/>
  <c r="Y28" i="2"/>
  <c r="X28" i="2" s="1"/>
  <c r="W28" i="2"/>
  <c r="V28" i="2"/>
  <c r="V27" i="2" s="1"/>
  <c r="U28" i="2"/>
  <c r="S28" i="2"/>
  <c r="R28" i="2"/>
  <c r="Q28" i="2"/>
  <c r="P28" i="2" s="1"/>
  <c r="O28" i="2"/>
  <c r="O27" i="2" s="1"/>
  <c r="N28" i="2"/>
  <c r="M28" i="2"/>
  <c r="K28" i="2"/>
  <c r="J28" i="2"/>
  <c r="I28" i="2"/>
  <c r="H28" i="2" s="1"/>
  <c r="E28" i="2"/>
  <c r="AL27" i="2"/>
  <c r="AK27" i="2"/>
  <c r="AI27" i="2"/>
  <c r="AH27" i="2"/>
  <c r="AD27" i="2"/>
  <c r="AC27" i="2"/>
  <c r="AA27" i="2"/>
  <c r="Z27" i="2"/>
  <c r="U27" i="2"/>
  <c r="R27" i="2"/>
  <c r="M27" i="2"/>
  <c r="J27" i="2"/>
  <c r="E27" i="2"/>
  <c r="AM26" i="2"/>
  <c r="AL26" i="2"/>
  <c r="AK26" i="2"/>
  <c r="AI26" i="2"/>
  <c r="AH26" i="2"/>
  <c r="AG26" i="2"/>
  <c r="AF26" i="2" s="1"/>
  <c r="AE26" i="2"/>
  <c r="AD26" i="2"/>
  <c r="AC26" i="2"/>
  <c r="AA26" i="2"/>
  <c r="Z26" i="2"/>
  <c r="Y26" i="2"/>
  <c r="X26" i="2" s="1"/>
  <c r="W26" i="2"/>
  <c r="W22" i="2" s="1"/>
  <c r="V26" i="2"/>
  <c r="U26" i="2"/>
  <c r="S26" i="2"/>
  <c r="R26" i="2"/>
  <c r="Q26" i="2"/>
  <c r="P26" i="2" s="1"/>
  <c r="O26" i="2"/>
  <c r="N26" i="2"/>
  <c r="M26" i="2"/>
  <c r="K26" i="2"/>
  <c r="J26" i="2"/>
  <c r="I26" i="2"/>
  <c r="H26" i="2" s="1"/>
  <c r="E26" i="2"/>
  <c r="AM25" i="2"/>
  <c r="AL25" i="2"/>
  <c r="AK25" i="2"/>
  <c r="AJ25" i="2" s="1"/>
  <c r="AI25" i="2"/>
  <c r="AH25" i="2"/>
  <c r="AG25" i="2"/>
  <c r="AE25" i="2"/>
  <c r="AD25" i="2"/>
  <c r="AC25" i="2"/>
  <c r="AB25" i="2" s="1"/>
  <c r="AA25" i="2"/>
  <c r="Z25" i="2"/>
  <c r="Y25" i="2"/>
  <c r="W25" i="2"/>
  <c r="V25" i="2"/>
  <c r="U25" i="2"/>
  <c r="T25" i="2" s="1"/>
  <c r="S25" i="2"/>
  <c r="R25" i="2"/>
  <c r="Q25" i="2"/>
  <c r="O25" i="2"/>
  <c r="N25" i="2"/>
  <c r="M25" i="2"/>
  <c r="L25" i="2" s="1"/>
  <c r="K25" i="2"/>
  <c r="J25" i="2"/>
  <c r="I25" i="2"/>
  <c r="E25" i="2"/>
  <c r="AM24" i="2"/>
  <c r="AM22" i="2" s="1"/>
  <c r="AL24" i="2"/>
  <c r="AK24" i="2"/>
  <c r="AI24" i="2"/>
  <c r="AH24" i="2"/>
  <c r="AG24" i="2"/>
  <c r="AF24" i="2" s="1"/>
  <c r="AE24" i="2"/>
  <c r="AD24" i="2"/>
  <c r="AD22" i="2" s="1"/>
  <c r="AC24" i="2"/>
  <c r="AA24" i="2"/>
  <c r="Z24" i="2"/>
  <c r="Y24" i="2"/>
  <c r="X24" i="2" s="1"/>
  <c r="W24" i="2"/>
  <c r="V24" i="2"/>
  <c r="U24" i="2"/>
  <c r="S24" i="2"/>
  <c r="R24" i="2"/>
  <c r="Q24" i="2"/>
  <c r="P24" i="2" s="1"/>
  <c r="O24" i="2"/>
  <c r="N24" i="2"/>
  <c r="N22" i="2" s="1"/>
  <c r="M24" i="2"/>
  <c r="K24" i="2"/>
  <c r="J24" i="2"/>
  <c r="I24" i="2"/>
  <c r="H24" i="2" s="1"/>
  <c r="F24" i="2" s="1"/>
  <c r="G24" i="2" s="1"/>
  <c r="E24" i="2"/>
  <c r="AM23" i="2"/>
  <c r="AL23" i="2"/>
  <c r="AK23" i="2"/>
  <c r="AJ23" i="2" s="1"/>
  <c r="AI23" i="2"/>
  <c r="AI22" i="2" s="1"/>
  <c r="AH23" i="2"/>
  <c r="AH22" i="2" s="1"/>
  <c r="AG23" i="2"/>
  <c r="AF23" i="2" s="1"/>
  <c r="AE23" i="2"/>
  <c r="AD23" i="2"/>
  <c r="AC23" i="2"/>
  <c r="AB23" i="2" s="1"/>
  <c r="AA23" i="2"/>
  <c r="Z23" i="2"/>
  <c r="Z22" i="2" s="1"/>
  <c r="Y23" i="2"/>
  <c r="W23" i="2"/>
  <c r="V23" i="2"/>
  <c r="U23" i="2"/>
  <c r="T23" i="2" s="1"/>
  <c r="S23" i="2"/>
  <c r="S22" i="2" s="1"/>
  <c r="R23" i="2"/>
  <c r="Q23" i="2"/>
  <c r="O23" i="2"/>
  <c r="N23" i="2"/>
  <c r="M23" i="2"/>
  <c r="L23" i="2" s="1"/>
  <c r="K23" i="2"/>
  <c r="K22" i="2" s="1"/>
  <c r="J23" i="2"/>
  <c r="J22" i="2" s="1"/>
  <c r="I23" i="2"/>
  <c r="E23" i="2"/>
  <c r="AL22" i="2"/>
  <c r="AK22" i="2"/>
  <c r="AG22" i="2"/>
  <c r="AE22" i="2"/>
  <c r="AC22" i="2"/>
  <c r="Y22" i="2"/>
  <c r="V22" i="2"/>
  <c r="U22" i="2"/>
  <c r="Q22" i="2"/>
  <c r="O22" i="2"/>
  <c r="M22" i="2"/>
  <c r="I22" i="2"/>
  <c r="E22" i="2"/>
  <c r="AM21" i="2"/>
  <c r="AL21" i="2"/>
  <c r="AK21" i="2"/>
  <c r="AJ21" i="2" s="1"/>
  <c r="AI21" i="2"/>
  <c r="AH21" i="2"/>
  <c r="AG21" i="2"/>
  <c r="AE21" i="2"/>
  <c r="AD21" i="2"/>
  <c r="AC21" i="2"/>
  <c r="AB21" i="2" s="1"/>
  <c r="AA21" i="2"/>
  <c r="Z21" i="2"/>
  <c r="Y21" i="2"/>
  <c r="W21" i="2"/>
  <c r="V21" i="2"/>
  <c r="U21" i="2"/>
  <c r="T21" i="2" s="1"/>
  <c r="S21" i="2"/>
  <c r="R21" i="2"/>
  <c r="Q21" i="2"/>
  <c r="P21" i="2" s="1"/>
  <c r="O21" i="2"/>
  <c r="N21" i="2"/>
  <c r="M21" i="2"/>
  <c r="L21" i="2" s="1"/>
  <c r="K21" i="2"/>
  <c r="J21" i="2"/>
  <c r="I21" i="2"/>
  <c r="E21" i="2"/>
  <c r="AM20" i="2"/>
  <c r="AL20" i="2"/>
  <c r="AK20" i="2"/>
  <c r="AI20" i="2"/>
  <c r="AH20" i="2"/>
  <c r="AG20" i="2"/>
  <c r="AF20" i="2" s="1"/>
  <c r="AE20" i="2"/>
  <c r="AD20" i="2"/>
  <c r="AC20" i="2"/>
  <c r="AB20" i="2" s="1"/>
  <c r="AA20" i="2"/>
  <c r="Z20" i="2"/>
  <c r="Y20" i="2"/>
  <c r="X20" i="2" s="1"/>
  <c r="W20" i="2"/>
  <c r="V20" i="2"/>
  <c r="U20" i="2"/>
  <c r="S20" i="2"/>
  <c r="R20" i="2"/>
  <c r="Q20" i="2"/>
  <c r="P20" i="2" s="1"/>
  <c r="O20" i="2"/>
  <c r="N20" i="2"/>
  <c r="M20" i="2"/>
  <c r="K20" i="2"/>
  <c r="J20" i="2"/>
  <c r="I20" i="2"/>
  <c r="H20" i="2" s="1"/>
  <c r="F20" i="2" s="1"/>
  <c r="G20" i="2"/>
  <c r="E20" i="2"/>
  <c r="AJ19" i="2"/>
  <c r="AI19" i="2"/>
  <c r="AH19" i="2"/>
  <c r="AG19" i="2"/>
  <c r="AF19" i="2"/>
  <c r="AB19" i="2"/>
  <c r="AA19" i="2"/>
  <c r="Z19" i="2"/>
  <c r="Y19" i="2"/>
  <c r="X19" i="2"/>
  <c r="W19" i="2"/>
  <c r="V19" i="2"/>
  <c r="U19" i="2"/>
  <c r="T19" i="2" s="1"/>
  <c r="S19" i="2"/>
  <c r="R19" i="2"/>
  <c r="Q19" i="2"/>
  <c r="P19" i="2" s="1"/>
  <c r="O19" i="2"/>
  <c r="N19" i="2"/>
  <c r="M19" i="2"/>
  <c r="M17" i="2" s="1"/>
  <c r="L19" i="2"/>
  <c r="K19" i="2"/>
  <c r="J19" i="2"/>
  <c r="I19" i="2"/>
  <c r="H19" i="2"/>
  <c r="E19" i="2"/>
  <c r="AJ18" i="2"/>
  <c r="AI18" i="2"/>
  <c r="AH18" i="2"/>
  <c r="AG18" i="2"/>
  <c r="AG17" i="2" s="1"/>
  <c r="AF18" i="2"/>
  <c r="AB18" i="2"/>
  <c r="AA18" i="2"/>
  <c r="AA17" i="2" s="1"/>
  <c r="Z18" i="2"/>
  <c r="Z17" i="2" s="1"/>
  <c r="Y18" i="2"/>
  <c r="W18" i="2"/>
  <c r="V18" i="2"/>
  <c r="V17" i="2" s="1"/>
  <c r="U18" i="2"/>
  <c r="T18" i="2" s="1"/>
  <c r="S18" i="2"/>
  <c r="R18" i="2"/>
  <c r="Q18" i="2"/>
  <c r="O18" i="2"/>
  <c r="O17" i="2" s="1"/>
  <c r="N18" i="2"/>
  <c r="N17" i="2" s="1"/>
  <c r="M18" i="2"/>
  <c r="K18" i="2"/>
  <c r="K17" i="2" s="1"/>
  <c r="J18" i="2"/>
  <c r="J17" i="2" s="1"/>
  <c r="I18" i="2"/>
  <c r="H18" i="2" s="1"/>
  <c r="E18" i="2"/>
  <c r="E17" i="2" s="1"/>
  <c r="AM17" i="2"/>
  <c r="AL17" i="2"/>
  <c r="AK17" i="2"/>
  <c r="AI17" i="2"/>
  <c r="AH17" i="2"/>
  <c r="AE17" i="2"/>
  <c r="AD17" i="2"/>
  <c r="AC17" i="2"/>
  <c r="W17" i="2"/>
  <c r="S17" i="2"/>
  <c r="R17" i="2"/>
  <c r="I17" i="2"/>
  <c r="AJ16" i="2"/>
  <c r="AB16" i="2"/>
  <c r="X16" i="2"/>
  <c r="AC91" i="1"/>
  <c r="AB91" i="1"/>
  <c r="P16" i="2"/>
  <c r="S91" i="1"/>
  <c r="AF15" i="2"/>
  <c r="AB15" i="2"/>
  <c r="Z12" i="2"/>
  <c r="T15" i="2"/>
  <c r="U90" i="1"/>
  <c r="H15" i="2"/>
  <c r="AJ14" i="2"/>
  <c r="AK89" i="1"/>
  <c r="AJ89" i="1"/>
  <c r="X14" i="2"/>
  <c r="S12" i="2"/>
  <c r="L14" i="2"/>
  <c r="K12" i="2"/>
  <c r="H14" i="2"/>
  <c r="AJ13" i="2"/>
  <c r="AF13" i="2"/>
  <c r="X13" i="2"/>
  <c r="V12" i="2"/>
  <c r="T13" i="2"/>
  <c r="P13" i="2"/>
  <c r="H13" i="2"/>
  <c r="AI12" i="2"/>
  <c r="AH12" i="2"/>
  <c r="AC12" i="2"/>
  <c r="AA12" i="2"/>
  <c r="Y12" i="2"/>
  <c r="R12" i="2"/>
  <c r="J12" i="2"/>
  <c r="I12" i="2"/>
  <c r="AS91" i="1"/>
  <c r="AR91" i="1"/>
  <c r="AQ91" i="1"/>
  <c r="AL91" i="1"/>
  <c r="AK91" i="1"/>
  <c r="AJ91" i="1"/>
  <c r="AI91" i="1"/>
  <c r="AD91" i="1"/>
  <c r="AA91" i="1"/>
  <c r="V91" i="1"/>
  <c r="U91" i="1"/>
  <c r="T91" i="1"/>
  <c r="N91" i="1"/>
  <c r="AS90" i="1"/>
  <c r="AR90" i="1"/>
  <c r="AQ90" i="1"/>
  <c r="AL90" i="1"/>
  <c r="AK90" i="1"/>
  <c r="AJ90" i="1"/>
  <c r="AI90" i="1"/>
  <c r="AD90" i="1"/>
  <c r="AC90" i="1"/>
  <c r="AB90" i="1"/>
  <c r="AA90" i="1"/>
  <c r="V90" i="1"/>
  <c r="T90" i="1"/>
  <c r="S90" i="1"/>
  <c r="N90" i="1"/>
  <c r="AS89" i="1"/>
  <c r="AR89" i="1"/>
  <c r="AQ89" i="1"/>
  <c r="AL89" i="1"/>
  <c r="AI89" i="1"/>
  <c r="AD89" i="1"/>
  <c r="AC89" i="1"/>
  <c r="AB89" i="1"/>
  <c r="V89" i="1"/>
  <c r="U89" i="1"/>
  <c r="T89" i="1"/>
  <c r="S89" i="1"/>
  <c r="N89" i="1"/>
  <c r="AQ88" i="1"/>
  <c r="AL88" i="1"/>
  <c r="AI88" i="1"/>
  <c r="AD88" i="1"/>
  <c r="AB88" i="1"/>
  <c r="AA88" i="1"/>
  <c r="V88" i="1"/>
  <c r="S88" i="1"/>
  <c r="N88" i="1"/>
  <c r="AO87" i="1"/>
  <c r="AN87" i="1"/>
  <c r="AM87" i="1"/>
  <c r="AG87" i="1"/>
  <c r="AF87" i="1"/>
  <c r="AE87" i="1"/>
  <c r="Y87" i="1"/>
  <c r="X87" i="1"/>
  <c r="W87" i="1"/>
  <c r="Q87" i="1"/>
  <c r="P87" i="1"/>
  <c r="O87" i="1"/>
  <c r="K87" i="1"/>
  <c r="AP86" i="1"/>
  <c r="AL86" i="1"/>
  <c r="AH86" i="1"/>
  <c r="AD86" i="1"/>
  <c r="Z86" i="1"/>
  <c r="V86" i="1"/>
  <c r="R86" i="1"/>
  <c r="N86" i="1"/>
  <c r="AP85" i="1"/>
  <c r="AL85" i="1"/>
  <c r="AH85" i="1"/>
  <c r="AD85" i="1"/>
  <c r="Z85" i="1"/>
  <c r="V85" i="1"/>
  <c r="R85" i="1"/>
  <c r="N85" i="1"/>
  <c r="AP84" i="1"/>
  <c r="AL84" i="1"/>
  <c r="AH84" i="1"/>
  <c r="AD84" i="1"/>
  <c r="Z84" i="1"/>
  <c r="V84" i="1"/>
  <c r="R84" i="1"/>
  <c r="N84" i="1"/>
  <c r="AP83" i="1"/>
  <c r="AL83" i="1"/>
  <c r="AH83" i="1"/>
  <c r="AD83" i="1"/>
  <c r="Z83" i="1"/>
  <c r="V83" i="1"/>
  <c r="R83" i="1"/>
  <c r="N83" i="1"/>
  <c r="AS82" i="1"/>
  <c r="AR82" i="1"/>
  <c r="AQ82" i="1"/>
  <c r="AO82" i="1"/>
  <c r="AN82" i="1"/>
  <c r="AM82" i="1"/>
  <c r="AK82" i="1"/>
  <c r="AJ82" i="1"/>
  <c r="AI82" i="1"/>
  <c r="AG82" i="1"/>
  <c r="AF82" i="1"/>
  <c r="AE82" i="1"/>
  <c r="AC82" i="1"/>
  <c r="AB82" i="1"/>
  <c r="AA82" i="1"/>
  <c r="Y82" i="1"/>
  <c r="X82" i="1"/>
  <c r="W82" i="1"/>
  <c r="U82" i="1"/>
  <c r="T82" i="1"/>
  <c r="S82" i="1"/>
  <c r="Q82" i="1"/>
  <c r="P82" i="1"/>
  <c r="O82" i="1"/>
  <c r="K82" i="1"/>
  <c r="AP81" i="1"/>
  <c r="AL81" i="1"/>
  <c r="AH81" i="1"/>
  <c r="AD81" i="1"/>
  <c r="Z81" i="1"/>
  <c r="V81" i="1"/>
  <c r="R81" i="1"/>
  <c r="N81" i="1"/>
  <c r="AP80" i="1"/>
  <c r="AL80" i="1"/>
  <c r="AH80" i="1"/>
  <c r="AD80" i="1"/>
  <c r="Z80" i="1"/>
  <c r="V80" i="1"/>
  <c r="R80" i="1"/>
  <c r="N80" i="1"/>
  <c r="AP79" i="1"/>
  <c r="AL79" i="1"/>
  <c r="AH79" i="1"/>
  <c r="AD79" i="1"/>
  <c r="Z79" i="1"/>
  <c r="V79" i="1"/>
  <c r="R79" i="1"/>
  <c r="N79" i="1"/>
  <c r="AP78" i="1"/>
  <c r="AL78" i="1"/>
  <c r="AH78" i="1"/>
  <c r="AD78" i="1"/>
  <c r="Z78" i="1"/>
  <c r="V78" i="1"/>
  <c r="R78" i="1"/>
  <c r="N78" i="1"/>
  <c r="AP77" i="1"/>
  <c r="AL77" i="1"/>
  <c r="AH77" i="1"/>
  <c r="AD77" i="1"/>
  <c r="Z77" i="1"/>
  <c r="V77" i="1"/>
  <c r="R77" i="1"/>
  <c r="N77" i="1"/>
  <c r="AP76" i="1"/>
  <c r="AL76" i="1"/>
  <c r="AH76" i="1"/>
  <c r="AD76" i="1"/>
  <c r="Z76" i="1"/>
  <c r="V76" i="1"/>
  <c r="V75" i="1" s="1"/>
  <c r="R76" i="1"/>
  <c r="N76" i="1"/>
  <c r="AS75" i="1"/>
  <c r="AR75" i="1"/>
  <c r="AQ75" i="1"/>
  <c r="AO75" i="1"/>
  <c r="AN75" i="1"/>
  <c r="AM75" i="1"/>
  <c r="AK75" i="1"/>
  <c r="AJ75" i="1"/>
  <c r="AI75" i="1"/>
  <c r="AG75" i="1"/>
  <c r="AF75" i="1"/>
  <c r="AE75" i="1"/>
  <c r="AC75" i="1"/>
  <c r="AB75" i="1"/>
  <c r="AA75" i="1"/>
  <c r="Y75" i="1"/>
  <c r="X75" i="1"/>
  <c r="W75" i="1"/>
  <c r="U75" i="1"/>
  <c r="T75" i="1"/>
  <c r="S75" i="1"/>
  <c r="Q75" i="1"/>
  <c r="P75" i="1"/>
  <c r="O75" i="1"/>
  <c r="K75" i="1"/>
  <c r="AP74" i="1"/>
  <c r="AL74" i="1"/>
  <c r="AH74" i="1"/>
  <c r="AD74" i="1"/>
  <c r="Z74" i="1"/>
  <c r="V74" i="1"/>
  <c r="R74" i="1"/>
  <c r="N74" i="1"/>
  <c r="AR73" i="1"/>
  <c r="AP72" i="1"/>
  <c r="AL72" i="1"/>
  <c r="AH72" i="1"/>
  <c r="AD72" i="1"/>
  <c r="Z72" i="1"/>
  <c r="V72" i="1"/>
  <c r="R72" i="1"/>
  <c r="N72" i="1"/>
  <c r="AP71" i="1"/>
  <c r="AL71" i="1"/>
  <c r="AH71" i="1"/>
  <c r="AD71" i="1"/>
  <c r="Z71" i="1"/>
  <c r="V71" i="1"/>
  <c r="R71" i="1"/>
  <c r="N71" i="1"/>
  <c r="AP70" i="1"/>
  <c r="AP69" i="1" s="1"/>
  <c r="AL70" i="1"/>
  <c r="AH70" i="1"/>
  <c r="AD70" i="1"/>
  <c r="Z70" i="1"/>
  <c r="V70" i="1"/>
  <c r="R70" i="1"/>
  <c r="R69" i="1" s="1"/>
  <c r="N70" i="1"/>
  <c r="N69" i="1" s="1"/>
  <c r="AS69" i="1"/>
  <c r="AR69" i="1"/>
  <c r="AQ69" i="1"/>
  <c r="AO69" i="1"/>
  <c r="AN69" i="1"/>
  <c r="AM69" i="1"/>
  <c r="AK69" i="1"/>
  <c r="AJ69" i="1"/>
  <c r="AI69" i="1"/>
  <c r="AG69" i="1"/>
  <c r="AF69" i="1"/>
  <c r="AE69" i="1"/>
  <c r="AC69" i="1"/>
  <c r="AB69" i="1"/>
  <c r="AA69" i="1"/>
  <c r="Y69" i="1"/>
  <c r="X69" i="1"/>
  <c r="X68" i="1" s="1"/>
  <c r="W69" i="1"/>
  <c r="W68" i="1" s="1"/>
  <c r="U69" i="1"/>
  <c r="T69" i="1"/>
  <c r="S69" i="1"/>
  <c r="Q69" i="1"/>
  <c r="P69" i="1"/>
  <c r="O69" i="1"/>
  <c r="K69" i="1"/>
  <c r="AP66" i="1"/>
  <c r="AL66" i="1"/>
  <c r="AH66" i="1"/>
  <c r="AD66" i="1"/>
  <c r="Z66" i="1"/>
  <c r="V66" i="1"/>
  <c r="R66" i="1"/>
  <c r="N66" i="1"/>
  <c r="AP65" i="1"/>
  <c r="AP64" i="1" s="1"/>
  <c r="AL65" i="1"/>
  <c r="AL64" i="1" s="1"/>
  <c r="AH65" i="1"/>
  <c r="AD65" i="1"/>
  <c r="AD64" i="1" s="1"/>
  <c r="Z65" i="1"/>
  <c r="V65" i="1"/>
  <c r="V64" i="1" s="1"/>
  <c r="R65" i="1"/>
  <c r="N65" i="1"/>
  <c r="AS64" i="1"/>
  <c r="AR64" i="1"/>
  <c r="AQ64" i="1"/>
  <c r="AO64" i="1"/>
  <c r="AN64" i="1"/>
  <c r="AM64" i="1"/>
  <c r="AK64" i="1"/>
  <c r="AJ64" i="1"/>
  <c r="AI64" i="1"/>
  <c r="AG64" i="1"/>
  <c r="AF64" i="1"/>
  <c r="AE64" i="1"/>
  <c r="AC64" i="1"/>
  <c r="AB64" i="1"/>
  <c r="AA64" i="1"/>
  <c r="Y64" i="1"/>
  <c r="X64" i="1"/>
  <c r="W64" i="1"/>
  <c r="U64" i="1"/>
  <c r="T64" i="1"/>
  <c r="S64" i="1"/>
  <c r="Q64" i="1"/>
  <c r="P64" i="1"/>
  <c r="O64" i="1"/>
  <c r="K64" i="1"/>
  <c r="AP63" i="1"/>
  <c r="AL63" i="1"/>
  <c r="AH63" i="1"/>
  <c r="AD63" i="1"/>
  <c r="Z63" i="1"/>
  <c r="V63" i="1"/>
  <c r="R63" i="1"/>
  <c r="N63" i="1"/>
  <c r="AP62" i="1"/>
  <c r="AL62" i="1"/>
  <c r="AH62" i="1"/>
  <c r="AD62" i="1"/>
  <c r="Z62" i="1"/>
  <c r="V62" i="1"/>
  <c r="R62" i="1"/>
  <c r="N62" i="1"/>
  <c r="AP61" i="1"/>
  <c r="AP60" i="1" s="1"/>
  <c r="AL61" i="1"/>
  <c r="AH61" i="1"/>
  <c r="AD61" i="1"/>
  <c r="AD60" i="1" s="1"/>
  <c r="Z61" i="1"/>
  <c r="Z60" i="1" s="1"/>
  <c r="V61" i="1"/>
  <c r="R61" i="1"/>
  <c r="N61" i="1"/>
  <c r="AS60" i="1"/>
  <c r="AR60" i="1"/>
  <c r="AQ60" i="1"/>
  <c r="AO60" i="1"/>
  <c r="AN60" i="1"/>
  <c r="AM60" i="1"/>
  <c r="AK60" i="1"/>
  <c r="AJ60" i="1"/>
  <c r="AI60" i="1"/>
  <c r="AG60" i="1"/>
  <c r="AF60" i="1"/>
  <c r="AE60" i="1"/>
  <c r="AC60" i="1"/>
  <c r="AB60" i="1"/>
  <c r="AA60" i="1"/>
  <c r="Y60" i="1"/>
  <c r="X60" i="1"/>
  <c r="W60" i="1"/>
  <c r="U60" i="1"/>
  <c r="T60" i="1"/>
  <c r="S60" i="1"/>
  <c r="Q60" i="1"/>
  <c r="P60" i="1"/>
  <c r="O60" i="1"/>
  <c r="K60" i="1"/>
  <c r="AU59" i="1"/>
  <c r="AP59" i="1"/>
  <c r="AP58" i="1" s="1"/>
  <c r="AL59" i="1"/>
  <c r="AL58" i="1" s="1"/>
  <c r="AH59" i="1"/>
  <c r="AH58" i="1" s="1"/>
  <c r="AD59" i="1"/>
  <c r="AD58" i="1" s="1"/>
  <c r="Z59" i="1"/>
  <c r="Z58" i="1" s="1"/>
  <c r="V59" i="1"/>
  <c r="V58" i="1" s="1"/>
  <c r="R59" i="1"/>
  <c r="R58" i="1" s="1"/>
  <c r="N59" i="1"/>
  <c r="N58" i="1" s="1"/>
  <c r="M59" i="1"/>
  <c r="AS58" i="1"/>
  <c r="AR58" i="1"/>
  <c r="AQ58" i="1"/>
  <c r="AO58" i="1"/>
  <c r="AN58" i="1"/>
  <c r="AM58" i="1"/>
  <c r="AK58" i="1"/>
  <c r="AJ58" i="1"/>
  <c r="AI58" i="1"/>
  <c r="AG58" i="1"/>
  <c r="AF58" i="1"/>
  <c r="AE58" i="1"/>
  <c r="AC58" i="1"/>
  <c r="AB58" i="1"/>
  <c r="AA58" i="1"/>
  <c r="Y58" i="1"/>
  <c r="X58" i="1"/>
  <c r="W58" i="1"/>
  <c r="U58" i="1"/>
  <c r="T58" i="1"/>
  <c r="S58" i="1"/>
  <c r="Q58" i="1"/>
  <c r="P58" i="1"/>
  <c r="O58" i="1"/>
  <c r="L58" i="1"/>
  <c r="K58" i="1"/>
  <c r="AU57" i="1"/>
  <c r="AP57" i="1"/>
  <c r="AL57" i="1"/>
  <c r="AH57" i="1"/>
  <c r="AD57" i="1"/>
  <c r="Z57" i="1"/>
  <c r="V57" i="1"/>
  <c r="R57" i="1"/>
  <c r="N57" i="1"/>
  <c r="M57" i="1"/>
  <c r="AU56" i="1"/>
  <c r="AP56" i="1"/>
  <c r="AL56" i="1"/>
  <c r="AH56" i="1"/>
  <c r="AD56" i="1"/>
  <c r="Z56" i="1"/>
  <c r="V56" i="1"/>
  <c r="R56" i="1"/>
  <c r="N56" i="1"/>
  <c r="M56" i="1"/>
  <c r="AS55" i="1"/>
  <c r="AR55" i="1"/>
  <c r="AQ55" i="1"/>
  <c r="AO55" i="1"/>
  <c r="AN55" i="1"/>
  <c r="AM55" i="1"/>
  <c r="AK55" i="1"/>
  <c r="AJ55" i="1"/>
  <c r="AI55" i="1"/>
  <c r="AG55" i="1"/>
  <c r="AF55" i="1"/>
  <c r="AE55" i="1"/>
  <c r="AC55" i="1"/>
  <c r="AB55" i="1"/>
  <c r="AA55" i="1"/>
  <c r="Y55" i="1"/>
  <c r="X55" i="1"/>
  <c r="W55" i="1"/>
  <c r="U55" i="1"/>
  <c r="T55" i="1"/>
  <c r="S55" i="1"/>
  <c r="Q55" i="1"/>
  <c r="P55" i="1"/>
  <c r="O55" i="1"/>
  <c r="L55" i="1"/>
  <c r="K55" i="1"/>
  <c r="AP54" i="1"/>
  <c r="AL54" i="1"/>
  <c r="AH54" i="1"/>
  <c r="AD54" i="1"/>
  <c r="Z54" i="1"/>
  <c r="V54" i="1"/>
  <c r="R54" i="1"/>
  <c r="N54" i="1"/>
  <c r="AP53" i="1"/>
  <c r="AL53" i="1"/>
  <c r="AH53" i="1"/>
  <c r="AD53" i="1"/>
  <c r="Z53" i="1"/>
  <c r="V53" i="1"/>
  <c r="R53" i="1"/>
  <c r="N53" i="1"/>
  <c r="AP52" i="1"/>
  <c r="AL52" i="1"/>
  <c r="AH52" i="1"/>
  <c r="AD52" i="1"/>
  <c r="Z52" i="1"/>
  <c r="V52" i="1"/>
  <c r="R52" i="1"/>
  <c r="N52" i="1"/>
  <c r="AP51" i="1"/>
  <c r="AL51" i="1"/>
  <c r="AH51" i="1"/>
  <c r="AD51" i="1"/>
  <c r="Z51" i="1"/>
  <c r="V51" i="1"/>
  <c r="R51" i="1"/>
  <c r="N51" i="1"/>
  <c r="AP50" i="1"/>
  <c r="AL50" i="1"/>
  <c r="AH50" i="1"/>
  <c r="AD50" i="1"/>
  <c r="Z50" i="1"/>
  <c r="V50" i="1"/>
  <c r="R50" i="1"/>
  <c r="N50" i="1"/>
  <c r="AP49" i="1"/>
  <c r="AL49" i="1"/>
  <c r="AH49" i="1"/>
  <c r="AD49" i="1"/>
  <c r="Z49" i="1"/>
  <c r="V49" i="1"/>
  <c r="R49" i="1"/>
  <c r="N49" i="1"/>
  <c r="AP48" i="1"/>
  <c r="AL48" i="1"/>
  <c r="AH48" i="1"/>
  <c r="AD48" i="1"/>
  <c r="Z48" i="1"/>
  <c r="V48" i="1"/>
  <c r="R48" i="1"/>
  <c r="N48" i="1"/>
  <c r="AP47" i="1"/>
  <c r="AL47" i="1"/>
  <c r="AH47" i="1"/>
  <c r="AD47" i="1"/>
  <c r="Z47" i="1"/>
  <c r="V47" i="1"/>
  <c r="R47" i="1"/>
  <c r="N47" i="1"/>
  <c r="AP46" i="1"/>
  <c r="AL46" i="1"/>
  <c r="AH46" i="1"/>
  <c r="AD46" i="1"/>
  <c r="Z46" i="1"/>
  <c r="V46" i="1"/>
  <c r="R46" i="1"/>
  <c r="N46" i="1"/>
  <c r="AP45" i="1"/>
  <c r="AL45" i="1"/>
  <c r="AH45" i="1"/>
  <c r="AD45" i="1"/>
  <c r="Z45" i="1"/>
  <c r="V45" i="1"/>
  <c r="R45" i="1"/>
  <c r="N45" i="1"/>
  <c r="AP44" i="1"/>
  <c r="AL44" i="1"/>
  <c r="AH44" i="1"/>
  <c r="AD44" i="1"/>
  <c r="Z44" i="1"/>
  <c r="V44" i="1"/>
  <c r="R44" i="1"/>
  <c r="N44" i="1"/>
  <c r="AP43" i="1"/>
  <c r="AL43" i="1"/>
  <c r="AH43" i="1"/>
  <c r="AD43" i="1"/>
  <c r="Z43" i="1"/>
  <c r="V43" i="1"/>
  <c r="R43" i="1"/>
  <c r="N43" i="1"/>
  <c r="AP42" i="1"/>
  <c r="AL42" i="1"/>
  <c r="AH42" i="1"/>
  <c r="AD42" i="1"/>
  <c r="Z42" i="1"/>
  <c r="V42" i="1"/>
  <c r="R42" i="1"/>
  <c r="N42" i="1"/>
  <c r="AP41" i="1"/>
  <c r="AL41" i="1"/>
  <c r="AH41" i="1"/>
  <c r="AD41" i="1"/>
  <c r="Z41" i="1"/>
  <c r="V41" i="1"/>
  <c r="R41" i="1"/>
  <c r="N41" i="1"/>
  <c r="AP40" i="1"/>
  <c r="AL40" i="1"/>
  <c r="AH40" i="1"/>
  <c r="AD40" i="1"/>
  <c r="Z40" i="1"/>
  <c r="V40" i="1"/>
  <c r="R40" i="1"/>
  <c r="N40" i="1"/>
  <c r="AS39" i="1"/>
  <c r="AR39" i="1"/>
  <c r="AQ39" i="1"/>
  <c r="AO39" i="1"/>
  <c r="AN39" i="1"/>
  <c r="AM39" i="1"/>
  <c r="AK39" i="1"/>
  <c r="AJ39" i="1"/>
  <c r="AI39" i="1"/>
  <c r="AG39" i="1"/>
  <c r="AF39" i="1"/>
  <c r="AE39" i="1"/>
  <c r="AC39" i="1"/>
  <c r="AB39" i="1"/>
  <c r="AA39" i="1"/>
  <c r="Y39" i="1"/>
  <c r="X39" i="1"/>
  <c r="W39" i="1"/>
  <c r="U39" i="1"/>
  <c r="T39" i="1"/>
  <c r="S39" i="1"/>
  <c r="Q39" i="1"/>
  <c r="P39" i="1"/>
  <c r="O39" i="1"/>
  <c r="K39" i="1"/>
  <c r="AU38" i="1"/>
  <c r="AP38" i="1"/>
  <c r="AL38" i="1"/>
  <c r="AH38" i="1"/>
  <c r="AD38" i="1"/>
  <c r="Z38" i="1"/>
  <c r="V38" i="1"/>
  <c r="R38" i="1"/>
  <c r="N38" i="1"/>
  <c r="M38" i="1"/>
  <c r="AU37" i="1"/>
  <c r="AP37" i="1"/>
  <c r="AL37" i="1"/>
  <c r="AH37" i="1"/>
  <c r="AD37" i="1"/>
  <c r="Z37" i="1"/>
  <c r="V37" i="1"/>
  <c r="R37" i="1"/>
  <c r="N37" i="1"/>
  <c r="M37" i="1"/>
  <c r="AU36" i="1"/>
  <c r="AP36" i="1"/>
  <c r="AL36" i="1"/>
  <c r="AH36" i="1"/>
  <c r="AD36" i="1"/>
  <c r="Z36" i="1"/>
  <c r="V36" i="1"/>
  <c r="R36" i="1"/>
  <c r="N36" i="1"/>
  <c r="M36" i="1"/>
  <c r="AU35" i="1"/>
  <c r="AP35" i="1"/>
  <c r="AL35" i="1"/>
  <c r="AH35" i="1"/>
  <c r="AD35" i="1"/>
  <c r="Z35" i="1"/>
  <c r="V35" i="1"/>
  <c r="R35" i="1"/>
  <c r="N35" i="1"/>
  <c r="M35" i="1"/>
  <c r="AU34" i="1"/>
  <c r="AP34" i="1"/>
  <c r="AL34" i="1"/>
  <c r="AH34" i="1"/>
  <c r="AD34" i="1"/>
  <c r="Z34" i="1"/>
  <c r="V34" i="1"/>
  <c r="R34" i="1"/>
  <c r="N34" i="1"/>
  <c r="M34" i="1"/>
  <c r="AU33" i="1"/>
  <c r="AP33" i="1"/>
  <c r="AL33" i="1"/>
  <c r="AH33" i="1"/>
  <c r="AD33" i="1"/>
  <c r="Z33" i="1"/>
  <c r="V33" i="1"/>
  <c r="R33" i="1"/>
  <c r="N33" i="1"/>
  <c r="M33" i="1"/>
  <c r="AU32" i="1"/>
  <c r="AP32" i="1"/>
  <c r="AL32" i="1"/>
  <c r="AH32" i="1"/>
  <c r="AD32" i="1"/>
  <c r="Z32" i="1"/>
  <c r="V32" i="1"/>
  <c r="R32" i="1"/>
  <c r="N32" i="1"/>
  <c r="M32" i="1"/>
  <c r="AU31" i="1"/>
  <c r="AP31" i="1"/>
  <c r="AL31" i="1"/>
  <c r="AH31" i="1"/>
  <c r="AD31" i="1"/>
  <c r="Z31" i="1"/>
  <c r="V31" i="1"/>
  <c r="R31" i="1"/>
  <c r="N31" i="1"/>
  <c r="M31" i="1"/>
  <c r="AU30" i="1"/>
  <c r="AP30" i="1"/>
  <c r="AL30" i="1"/>
  <c r="AH30" i="1"/>
  <c r="AD30" i="1"/>
  <c r="Z30" i="1"/>
  <c r="V30" i="1"/>
  <c r="R30" i="1"/>
  <c r="N30" i="1"/>
  <c r="M30" i="1"/>
  <c r="AU29" i="1"/>
  <c r="AP29" i="1"/>
  <c r="AL29" i="1"/>
  <c r="AH29" i="1"/>
  <c r="AD29" i="1"/>
  <c r="Z29" i="1"/>
  <c r="V29" i="1"/>
  <c r="R29" i="1"/>
  <c r="N29" i="1"/>
  <c r="M29" i="1"/>
  <c r="AU28" i="1"/>
  <c r="AP28" i="1"/>
  <c r="AL28" i="1"/>
  <c r="AH28" i="1"/>
  <c r="AD28" i="1"/>
  <c r="Z28" i="1"/>
  <c r="V28" i="1"/>
  <c r="R28" i="1"/>
  <c r="N28" i="1"/>
  <c r="M28" i="1"/>
  <c r="AU27" i="1"/>
  <c r="AP27" i="1"/>
  <c r="AL27" i="1"/>
  <c r="AH27" i="1"/>
  <c r="AD27" i="1"/>
  <c r="Z27" i="1"/>
  <c r="V27" i="1"/>
  <c r="R27" i="1"/>
  <c r="N27" i="1"/>
  <c r="M27" i="1"/>
  <c r="AU26" i="1"/>
  <c r="AP26" i="1"/>
  <c r="AL26" i="1"/>
  <c r="AH26" i="1"/>
  <c r="AD26" i="1"/>
  <c r="Z26" i="1"/>
  <c r="V26" i="1"/>
  <c r="R26" i="1"/>
  <c r="N26" i="1"/>
  <c r="M26" i="1"/>
  <c r="AU25" i="1"/>
  <c r="AP25" i="1"/>
  <c r="AL25" i="1"/>
  <c r="AH25" i="1"/>
  <c r="AD25" i="1"/>
  <c r="Z25" i="1"/>
  <c r="V25" i="1"/>
  <c r="R25" i="1"/>
  <c r="N25" i="1"/>
  <c r="M25" i="1"/>
  <c r="AU24" i="1"/>
  <c r="AP24" i="1"/>
  <c r="AL24" i="1"/>
  <c r="AH24" i="1"/>
  <c r="AD24" i="1"/>
  <c r="Z24" i="1"/>
  <c r="V24" i="1"/>
  <c r="R24" i="1"/>
  <c r="N24" i="1"/>
  <c r="M24" i="1"/>
  <c r="AU23" i="1"/>
  <c r="AP23" i="1"/>
  <c r="AL23" i="1"/>
  <c r="AH23" i="1"/>
  <c r="AD23" i="1"/>
  <c r="Z23" i="1"/>
  <c r="V23" i="1"/>
  <c r="R23" i="1"/>
  <c r="N23" i="1"/>
  <c r="M23" i="1"/>
  <c r="AU22" i="1"/>
  <c r="AP22" i="1"/>
  <c r="AL22" i="1"/>
  <c r="AH22" i="1"/>
  <c r="AD22" i="1"/>
  <c r="Z22" i="1"/>
  <c r="V22" i="1"/>
  <c r="R22" i="1"/>
  <c r="N22" i="1"/>
  <c r="M22" i="1"/>
  <c r="AU21" i="1"/>
  <c r="AP21" i="1"/>
  <c r="AL21" i="1"/>
  <c r="AH21" i="1"/>
  <c r="AD21" i="1"/>
  <c r="Z21" i="1"/>
  <c r="V21" i="1"/>
  <c r="R21" i="1"/>
  <c r="N21" i="1"/>
  <c r="M21" i="1"/>
  <c r="AU20" i="1"/>
  <c r="AP20" i="1"/>
  <c r="AL20" i="1"/>
  <c r="AH20" i="1"/>
  <c r="AD20" i="1"/>
  <c r="Z20" i="1"/>
  <c r="V20" i="1"/>
  <c r="R20" i="1"/>
  <c r="N20" i="1"/>
  <c r="M20" i="1"/>
  <c r="AU19" i="1"/>
  <c r="AP19" i="1"/>
  <c r="AL19" i="1"/>
  <c r="AH19" i="1"/>
  <c r="AD19" i="1"/>
  <c r="Z19" i="1"/>
  <c r="V19" i="1"/>
  <c r="R19" i="1"/>
  <c r="N19" i="1"/>
  <c r="M19" i="1"/>
  <c r="AU18" i="1"/>
  <c r="AP18" i="1"/>
  <c r="AL18" i="1"/>
  <c r="AH18" i="1"/>
  <c r="AD18" i="1"/>
  <c r="Z18" i="1"/>
  <c r="V18" i="1"/>
  <c r="R18" i="1"/>
  <c r="N18" i="1"/>
  <c r="M18" i="1"/>
  <c r="AU17" i="1"/>
  <c r="AP17" i="1"/>
  <c r="AL17" i="1"/>
  <c r="AH17" i="1"/>
  <c r="AD17" i="1"/>
  <c r="Z17" i="1"/>
  <c r="V17" i="1"/>
  <c r="R17" i="1"/>
  <c r="N17" i="1"/>
  <c r="M17" i="1"/>
  <c r="AS16" i="1"/>
  <c r="AR16" i="1"/>
  <c r="AQ16" i="1"/>
  <c r="AO16" i="1"/>
  <c r="AN16" i="1"/>
  <c r="AM16" i="1"/>
  <c r="AK16" i="1"/>
  <c r="AJ16" i="1"/>
  <c r="AI16" i="1"/>
  <c r="AG16" i="1"/>
  <c r="AF16" i="1"/>
  <c r="AE16" i="1"/>
  <c r="AC16" i="1"/>
  <c r="AB16" i="1"/>
  <c r="AA16" i="1"/>
  <c r="Y16" i="1"/>
  <c r="X16" i="1"/>
  <c r="W16" i="1"/>
  <c r="U16" i="1"/>
  <c r="T16" i="1"/>
  <c r="S16" i="1"/>
  <c r="Q16" i="1"/>
  <c r="P16" i="1"/>
  <c r="O16" i="1"/>
  <c r="L16" i="1"/>
  <c r="K16" i="1"/>
  <c r="AF68" i="1" l="1"/>
  <c r="AF15" i="1" s="1"/>
  <c r="AA73" i="1"/>
  <c r="AA67" i="1" s="1"/>
  <c r="AA14" i="1" s="1"/>
  <c r="Y73" i="1"/>
  <c r="Y67" i="1" s="1"/>
  <c r="Y14" i="1" s="1"/>
  <c r="Y13" i="1" s="1"/>
  <c r="AJ73" i="1"/>
  <c r="AJ67" i="1" s="1"/>
  <c r="AJ14" i="1" s="1"/>
  <c r="AG68" i="1"/>
  <c r="AG15" i="1" s="1"/>
  <c r="S73" i="1"/>
  <c r="S67" i="1" s="1"/>
  <c r="S14" i="1" s="1"/>
  <c r="AC73" i="1"/>
  <c r="AC67" i="1" s="1"/>
  <c r="AC14" i="1" s="1"/>
  <c r="L86" i="1"/>
  <c r="AU86" i="1" s="1"/>
  <c r="Q68" i="1"/>
  <c r="Q15" i="1" s="1"/>
  <c r="AM68" i="1"/>
  <c r="AM15" i="1" s="1"/>
  <c r="L65" i="1"/>
  <c r="M65" i="1" s="1"/>
  <c r="L66" i="1"/>
  <c r="M66" i="1" s="1"/>
  <c r="AK68" i="1"/>
  <c r="AK15" i="1" s="1"/>
  <c r="L91" i="1"/>
  <c r="M91" i="1" s="1"/>
  <c r="AE68" i="1"/>
  <c r="AE15" i="1" s="1"/>
  <c r="AO68" i="1"/>
  <c r="AO15" i="1" s="1"/>
  <c r="U68" i="1"/>
  <c r="U15" i="1" s="1"/>
  <c r="AQ68" i="1"/>
  <c r="AQ15" i="1" s="1"/>
  <c r="AE73" i="1"/>
  <c r="AE67" i="1" s="1"/>
  <c r="AE14" i="1" s="1"/>
  <c r="AE13" i="1" s="1"/>
  <c r="L54" i="1"/>
  <c r="AU54" i="1" s="1"/>
  <c r="L84" i="1"/>
  <c r="M84" i="1" s="1"/>
  <c r="R89" i="1"/>
  <c r="AP90" i="1"/>
  <c r="AB73" i="1"/>
  <c r="AB67" i="1" s="1"/>
  <c r="AB14" i="1" s="1"/>
  <c r="AM73" i="1"/>
  <c r="AM67" i="1" s="1"/>
  <c r="AM14" i="1" s="1"/>
  <c r="AM13" i="1" s="1"/>
  <c r="V55" i="1"/>
  <c r="AU58" i="1"/>
  <c r="L71" i="1"/>
  <c r="AU71" i="1" s="1"/>
  <c r="Z64" i="1"/>
  <c r="AR68" i="1"/>
  <c r="AR15" i="1" s="1"/>
  <c r="AI68" i="1"/>
  <c r="AI15" i="1" s="1"/>
  <c r="AS68" i="1"/>
  <c r="AS15" i="1" s="1"/>
  <c r="U73" i="1"/>
  <c r="U67" i="1" s="1"/>
  <c r="U14" i="1" s="1"/>
  <c r="AQ73" i="1"/>
  <c r="AQ67" i="1" s="1"/>
  <c r="AQ14" i="1" s="1"/>
  <c r="L47" i="1"/>
  <c r="AU47" i="1" s="1"/>
  <c r="L50" i="1"/>
  <c r="AU50" i="1" s="1"/>
  <c r="Y68" i="1"/>
  <c r="Y15" i="1" s="1"/>
  <c r="L81" i="1"/>
  <c r="AU81" i="1" s="1"/>
  <c r="X73" i="1"/>
  <c r="X67" i="1" s="1"/>
  <c r="X14" i="1" s="1"/>
  <c r="X13" i="1" s="1"/>
  <c r="AS73" i="1"/>
  <c r="AS67" i="1" s="1"/>
  <c r="AS14" i="1" s="1"/>
  <c r="R64" i="1"/>
  <c r="AH69" i="1"/>
  <c r="L77" i="1"/>
  <c r="AU77" i="1" s="1"/>
  <c r="L80" i="1"/>
  <c r="M80" i="1" s="1"/>
  <c r="N16" i="1"/>
  <c r="L41" i="1"/>
  <c r="AU41" i="1" s="1"/>
  <c r="AL69" i="1"/>
  <c r="AN68" i="1"/>
  <c r="AN15" i="1" s="1"/>
  <c r="Z75" i="1"/>
  <c r="T68" i="1"/>
  <c r="T15" i="1" s="1"/>
  <c r="R60" i="1"/>
  <c r="O68" i="1"/>
  <c r="O15" i="1" s="1"/>
  <c r="AJ68" i="1"/>
  <c r="AJ15" i="1" s="1"/>
  <c r="AK73" i="1"/>
  <c r="AK67" i="1" s="1"/>
  <c r="AK14" i="1" s="1"/>
  <c r="Z55" i="1"/>
  <c r="P68" i="1"/>
  <c r="P15" i="1" s="1"/>
  <c r="AA68" i="1"/>
  <c r="AA15" i="1" s="1"/>
  <c r="AR67" i="1"/>
  <c r="AR14" i="1" s="1"/>
  <c r="L43" i="1"/>
  <c r="AU43" i="1" s="1"/>
  <c r="L51" i="1"/>
  <c r="AU51" i="1" s="1"/>
  <c r="L53" i="1"/>
  <c r="M53" i="1" s="1"/>
  <c r="AD55" i="1"/>
  <c r="AG73" i="1"/>
  <c r="AG67" i="1" s="1"/>
  <c r="AG14" i="1" s="1"/>
  <c r="AG13" i="1" s="1"/>
  <c r="AU55" i="1"/>
  <c r="M58" i="1"/>
  <c r="AB68" i="1"/>
  <c r="AB15" i="1" s="1"/>
  <c r="AD75" i="1"/>
  <c r="P73" i="1"/>
  <c r="P67" i="1" s="1"/>
  <c r="P14" i="1" s="1"/>
  <c r="P13" i="1" s="1"/>
  <c r="R82" i="1"/>
  <c r="AQ87" i="1"/>
  <c r="Z90" i="1"/>
  <c r="AI87" i="1"/>
  <c r="Z16" i="1"/>
  <c r="L44" i="1"/>
  <c r="AU44" i="1" s="1"/>
  <c r="L49" i="1"/>
  <c r="AU49" i="1" s="1"/>
  <c r="M55" i="1"/>
  <c r="AH60" i="1"/>
  <c r="AC68" i="1"/>
  <c r="AC15" i="1" s="1"/>
  <c r="S68" i="1"/>
  <c r="S15" i="1" s="1"/>
  <c r="T73" i="1"/>
  <c r="T67" i="1" s="1"/>
  <c r="T14" i="1" s="1"/>
  <c r="L74" i="1"/>
  <c r="AU74" i="1" s="1"/>
  <c r="K73" i="1"/>
  <c r="K67" i="1" s="1"/>
  <c r="K14" i="1" s="1"/>
  <c r="Q73" i="1"/>
  <c r="Q67" i="1" s="1"/>
  <c r="Q14" i="1" s="1"/>
  <c r="Q13" i="1" s="1"/>
  <c r="L85" i="1"/>
  <c r="M85" i="1" s="1"/>
  <c r="AL16" i="1"/>
  <c r="AP16" i="1"/>
  <c r="AL60" i="1"/>
  <c r="N75" i="1"/>
  <c r="N68" i="1" s="1"/>
  <c r="W73" i="1"/>
  <c r="W67" i="1" s="1"/>
  <c r="W14" i="1" s="1"/>
  <c r="W13" i="1" s="1"/>
  <c r="L76" i="1"/>
  <c r="AU76" i="1" s="1"/>
  <c r="AN73" i="1"/>
  <c r="AN67" i="1" s="1"/>
  <c r="AN14" i="1" s="1"/>
  <c r="AN13" i="1" s="1"/>
  <c r="Z82" i="1"/>
  <c r="V87" i="1"/>
  <c r="R16" i="1"/>
  <c r="AH16" i="1"/>
  <c r="L46" i="1"/>
  <c r="AU46" i="1" s="1"/>
  <c r="AP55" i="1"/>
  <c r="AH55" i="1"/>
  <c r="AH64" i="1"/>
  <c r="O73" i="1"/>
  <c r="O67" i="1" s="1"/>
  <c r="O14" i="1" s="1"/>
  <c r="O13" i="1" s="1"/>
  <c r="AI73" i="1"/>
  <c r="AI67" i="1" s="1"/>
  <c r="AI14" i="1" s="1"/>
  <c r="AO73" i="1"/>
  <c r="AO67" i="1" s="1"/>
  <c r="AO14" i="1" s="1"/>
  <c r="AO13" i="1" s="1"/>
  <c r="L90" i="1"/>
  <c r="M90" i="1" s="1"/>
  <c r="N55" i="1"/>
  <c r="AL55" i="1"/>
  <c r="Z69" i="1"/>
  <c r="L78" i="1"/>
  <c r="AU78" i="1" s="1"/>
  <c r="AF73" i="1"/>
  <c r="AF67" i="1" s="1"/>
  <c r="AF14" i="1" s="1"/>
  <c r="AF13" i="1" s="1"/>
  <c r="AH82" i="1"/>
  <c r="AL87" i="1"/>
  <c r="R90" i="1"/>
  <c r="L42" i="1"/>
  <c r="AU42" i="1" s="1"/>
  <c r="L45" i="1"/>
  <c r="M45" i="1" s="1"/>
  <c r="L48" i="1"/>
  <c r="AU48" i="1" s="1"/>
  <c r="R55" i="1"/>
  <c r="AD69" i="1"/>
  <c r="R75" i="1"/>
  <c r="R68" i="1" s="1"/>
  <c r="AP82" i="1"/>
  <c r="L89" i="1"/>
  <c r="AU89" i="1" s="1"/>
  <c r="Z91" i="1"/>
  <c r="M16" i="1"/>
  <c r="AH91" i="1"/>
  <c r="AH90" i="1"/>
  <c r="R91" i="1"/>
  <c r="L83" i="1"/>
  <c r="N82" i="1"/>
  <c r="AJ88" i="1"/>
  <c r="AJ87" i="1" s="1"/>
  <c r="AD12" i="2"/>
  <c r="AB135" i="2"/>
  <c r="AB132" i="2" s="1"/>
  <c r="AC132" i="2"/>
  <c r="AJ140" i="2"/>
  <c r="AK137" i="2"/>
  <c r="AD39" i="1"/>
  <c r="V60" i="1"/>
  <c r="L63" i="1"/>
  <c r="AL75" i="1"/>
  <c r="K132" i="2"/>
  <c r="H134" i="2"/>
  <c r="V16" i="1"/>
  <c r="AP75" i="1"/>
  <c r="V82" i="1"/>
  <c r="V73" i="1" s="1"/>
  <c r="M86" i="1"/>
  <c r="L88" i="1"/>
  <c r="N87" i="1"/>
  <c r="T14" i="2"/>
  <c r="AA89" i="1"/>
  <c r="Z89" i="1" s="1"/>
  <c r="U12" i="2"/>
  <c r="L26" i="2"/>
  <c r="T48" i="2"/>
  <c r="T47" i="2" s="1"/>
  <c r="W47" i="2"/>
  <c r="X50" i="2"/>
  <c r="F50" i="2" s="1"/>
  <c r="AA47" i="2"/>
  <c r="I52" i="2"/>
  <c r="H54" i="2"/>
  <c r="G86" i="2"/>
  <c r="AO86" i="2"/>
  <c r="AK88" i="1"/>
  <c r="AK87" i="1" s="1"/>
  <c r="AE12" i="2"/>
  <c r="P15" i="2"/>
  <c r="Q12" i="2"/>
  <c r="U112" i="2"/>
  <c r="T113" i="2"/>
  <c r="T112" i="2" s="1"/>
  <c r="H133" i="2"/>
  <c r="I132" i="2"/>
  <c r="AF141" i="2"/>
  <c r="AF137" i="2" s="1"/>
  <c r="AG137" i="2"/>
  <c r="X15" i="1"/>
  <c r="AL39" i="1"/>
  <c r="AH39" i="1"/>
  <c r="Z39" i="1"/>
  <c r="L13" i="2"/>
  <c r="W12" i="2"/>
  <c r="AC88" i="1"/>
  <c r="AC87" i="1" s="1"/>
  <c r="L48" i="2"/>
  <c r="L47" i="2" s="1"/>
  <c r="O47" i="2"/>
  <c r="G80" i="2"/>
  <c r="AO80" i="2"/>
  <c r="Q102" i="2"/>
  <c r="P105" i="2"/>
  <c r="F105" i="2" s="1"/>
  <c r="T135" i="2"/>
  <c r="T132" i="2" s="1"/>
  <c r="U132" i="2"/>
  <c r="AA137" i="2"/>
  <c r="X139" i="2"/>
  <c r="AD16" i="1"/>
  <c r="AP39" i="1"/>
  <c r="L79" i="1"/>
  <c r="AD82" i="1"/>
  <c r="N12" i="2"/>
  <c r="T88" i="1"/>
  <c r="T87" i="1" s="1"/>
  <c r="X12" i="2"/>
  <c r="AB17" i="2"/>
  <c r="AB24" i="2"/>
  <c r="P25" i="2"/>
  <c r="AH89" i="1"/>
  <c r="S87" i="1"/>
  <c r="E12" i="2"/>
  <c r="O12" i="2"/>
  <c r="U88" i="1"/>
  <c r="U87" i="1" s="1"/>
  <c r="F43" i="2"/>
  <c r="H42" i="2"/>
  <c r="AJ15" i="2"/>
  <c r="AJ12" i="2" s="1"/>
  <c r="AK12" i="2"/>
  <c r="AB140" i="2"/>
  <c r="AC137" i="2"/>
  <c r="L40" i="1"/>
  <c r="N39" i="1"/>
  <c r="L61" i="1"/>
  <c r="N60" i="1"/>
  <c r="K68" i="1"/>
  <c r="K15" i="1" s="1"/>
  <c r="L70" i="1"/>
  <c r="V69" i="1"/>
  <c r="L72" i="1"/>
  <c r="L52" i="1"/>
  <c r="L62" i="1"/>
  <c r="AL82" i="1"/>
  <c r="AB87" i="1"/>
  <c r="F13" i="2"/>
  <c r="AO13" i="2" s="1"/>
  <c r="AL12" i="2"/>
  <c r="AR88" i="1"/>
  <c r="AF16" i="2"/>
  <c r="AF12" i="2" s="1"/>
  <c r="AG12" i="2"/>
  <c r="X18" i="2"/>
  <c r="Y17" i="2"/>
  <c r="AJ17" i="2"/>
  <c r="T28" i="2"/>
  <c r="T27" i="2" s="1"/>
  <c r="I42" i="2"/>
  <c r="W15" i="1"/>
  <c r="S132" i="2"/>
  <c r="P134" i="2"/>
  <c r="V39" i="1"/>
  <c r="R39" i="1"/>
  <c r="AH75" i="1"/>
  <c r="AD87" i="1"/>
  <c r="AP89" i="1"/>
  <c r="AP91" i="1"/>
  <c r="AB13" i="2"/>
  <c r="AM12" i="2"/>
  <c r="AS88" i="1"/>
  <c r="AS87" i="1" s="1"/>
  <c r="L16" i="2"/>
  <c r="M12" i="2"/>
  <c r="F26" i="2"/>
  <c r="G26" i="2" s="1"/>
  <c r="N64" i="1"/>
  <c r="AF14" i="2"/>
  <c r="U17" i="2"/>
  <c r="P18" i="2"/>
  <c r="P17" i="2" s="1"/>
  <c r="AO19" i="2"/>
  <c r="T20" i="2"/>
  <c r="H21" i="2"/>
  <c r="X23" i="2"/>
  <c r="X22" i="2" s="1"/>
  <c r="T24" i="2"/>
  <c r="H25" i="2"/>
  <c r="AO26" i="2"/>
  <c r="AJ26" i="2"/>
  <c r="L28" i="2"/>
  <c r="W27" i="2"/>
  <c r="AJ27" i="2"/>
  <c r="X30" i="2"/>
  <c r="X27" i="2" s="1"/>
  <c r="N27" i="2"/>
  <c r="AJ31" i="2"/>
  <c r="AM27" i="2"/>
  <c r="AO104" i="2"/>
  <c r="AF17" i="2"/>
  <c r="F19" i="2"/>
  <c r="G19" i="2" s="1"/>
  <c r="L20" i="2"/>
  <c r="AF21" i="2"/>
  <c r="P23" i="2"/>
  <c r="P22" i="2" s="1"/>
  <c r="AA22" i="2"/>
  <c r="L24" i="2"/>
  <c r="L22" i="2" s="1"/>
  <c r="AF25" i="2"/>
  <c r="AF22" i="2" s="1"/>
  <c r="AB26" i="2"/>
  <c r="H29" i="2"/>
  <c r="F29" i="2" s="1"/>
  <c r="G29" i="2" s="1"/>
  <c r="P29" i="2"/>
  <c r="X29" i="2"/>
  <c r="P30" i="2"/>
  <c r="P27" i="2" s="1"/>
  <c r="L31" i="2"/>
  <c r="AB31" i="2"/>
  <c r="AB27" i="2" s="1"/>
  <c r="AE27" i="2"/>
  <c r="G36" i="2"/>
  <c r="AO36" i="2"/>
  <c r="X103" i="2"/>
  <c r="AA102" i="2"/>
  <c r="T17" i="2"/>
  <c r="R22" i="2"/>
  <c r="AB22" i="2"/>
  <c r="X34" i="2"/>
  <c r="X32" i="2" s="1"/>
  <c r="Y32" i="2"/>
  <c r="AI62" i="2"/>
  <c r="AU16" i="1"/>
  <c r="P14" i="2"/>
  <c r="F14" i="2" s="1"/>
  <c r="L15" i="2"/>
  <c r="H16" i="2"/>
  <c r="AO20" i="2"/>
  <c r="AJ20" i="2"/>
  <c r="X21" i="2"/>
  <c r="H23" i="2"/>
  <c r="AO24" i="2"/>
  <c r="AJ24" i="2"/>
  <c r="AJ22" i="2" s="1"/>
  <c r="X25" i="2"/>
  <c r="T26" i="2"/>
  <c r="H30" i="2"/>
  <c r="F30" i="2" s="1"/>
  <c r="G30" i="2" s="1"/>
  <c r="AO31" i="2"/>
  <c r="W32" i="2"/>
  <c r="T33" i="2"/>
  <c r="T32" i="2" s="1"/>
  <c r="AB46" i="2"/>
  <c r="AB42" i="2" s="1"/>
  <c r="AE42" i="2"/>
  <c r="Y52" i="2"/>
  <c r="X54" i="2"/>
  <c r="X52" i="2" s="1"/>
  <c r="AB90" i="2"/>
  <c r="AB87" i="2" s="1"/>
  <c r="AE87" i="2"/>
  <c r="AB14" i="2"/>
  <c r="X15" i="2"/>
  <c r="T16" i="2"/>
  <c r="Q17" i="2"/>
  <c r="L18" i="2"/>
  <c r="T22" i="2"/>
  <c r="H27" i="2"/>
  <c r="AF28" i="2"/>
  <c r="AG27" i="2"/>
  <c r="O32" i="2"/>
  <c r="L33" i="2"/>
  <c r="L32" i="2" s="1"/>
  <c r="AO45" i="2"/>
  <c r="G45" i="2"/>
  <c r="P54" i="2"/>
  <c r="Q52" i="2"/>
  <c r="E57" i="2"/>
  <c r="P34" i="2"/>
  <c r="P32" i="2" s="1"/>
  <c r="Q32" i="2"/>
  <c r="X39" i="2"/>
  <c r="X37" i="2" s="1"/>
  <c r="Y37" i="2"/>
  <c r="F41" i="2"/>
  <c r="J42" i="2"/>
  <c r="K47" i="2"/>
  <c r="P47" i="2"/>
  <c r="Y47" i="2"/>
  <c r="AF53" i="2"/>
  <c r="AG52" i="2"/>
  <c r="L63" i="2"/>
  <c r="L62" i="2" s="1"/>
  <c r="M62" i="2"/>
  <c r="W62" i="2"/>
  <c r="AH67" i="2"/>
  <c r="AO76" i="2"/>
  <c r="P89" i="2"/>
  <c r="R87" i="2"/>
  <c r="L112" i="2"/>
  <c r="AJ36" i="2"/>
  <c r="AJ32" i="2" s="1"/>
  <c r="AM32" i="2"/>
  <c r="T38" i="2"/>
  <c r="T37" i="2" s="1"/>
  <c r="W37" i="2"/>
  <c r="AF42" i="2"/>
  <c r="F48" i="2"/>
  <c r="H47" i="2"/>
  <c r="Q47" i="2"/>
  <c r="Z47" i="2"/>
  <c r="F49" i="2"/>
  <c r="AB51" i="2"/>
  <c r="AB47" i="2" s="1"/>
  <c r="AE47" i="2"/>
  <c r="T53" i="2"/>
  <c r="T52" i="2" s="1"/>
  <c r="U52" i="2"/>
  <c r="X62" i="2"/>
  <c r="Y62" i="2"/>
  <c r="P75" i="2"/>
  <c r="F75" i="2" s="1"/>
  <c r="Q72" i="2"/>
  <c r="T84" i="2"/>
  <c r="W82" i="2"/>
  <c r="S87" i="2"/>
  <c r="P88" i="2"/>
  <c r="P87" i="2" s="1"/>
  <c r="H34" i="2"/>
  <c r="H32" i="2" s="1"/>
  <c r="I32" i="2"/>
  <c r="AG32" i="2"/>
  <c r="AF34" i="2"/>
  <c r="F35" i="2"/>
  <c r="AB36" i="2"/>
  <c r="AB32" i="2" s="1"/>
  <c r="AE32" i="2"/>
  <c r="L38" i="2"/>
  <c r="L37" i="2" s="1"/>
  <c r="O37" i="2"/>
  <c r="P39" i="2"/>
  <c r="Q37" i="2"/>
  <c r="F46" i="2"/>
  <c r="I47" i="2"/>
  <c r="G68" i="2"/>
  <c r="X70" i="2"/>
  <c r="X67" i="2" s="1"/>
  <c r="Y67" i="2"/>
  <c r="O72" i="2"/>
  <c r="X72" i="2"/>
  <c r="M82" i="2"/>
  <c r="L83" i="2"/>
  <c r="L82" i="2" s="1"/>
  <c r="K87" i="2"/>
  <c r="H88" i="2"/>
  <c r="T87" i="2"/>
  <c r="AF87" i="2"/>
  <c r="AC97" i="2"/>
  <c r="AB101" i="2"/>
  <c r="T110" i="2"/>
  <c r="T107" i="2" s="1"/>
  <c r="W107" i="2"/>
  <c r="K32" i="2"/>
  <c r="P37" i="2"/>
  <c r="AJ41" i="2"/>
  <c r="AJ37" i="2" s="1"/>
  <c r="AM37" i="2"/>
  <c r="T43" i="2"/>
  <c r="T42" i="2" s="1"/>
  <c r="W42" i="2"/>
  <c r="J47" i="2"/>
  <c r="E72" i="2"/>
  <c r="Q97" i="2"/>
  <c r="P100" i="2"/>
  <c r="AF107" i="2"/>
  <c r="AF33" i="2"/>
  <c r="F33" i="2" s="1"/>
  <c r="F38" i="2"/>
  <c r="H39" i="2"/>
  <c r="H37" i="2" s="1"/>
  <c r="I37" i="2"/>
  <c r="F40" i="2"/>
  <c r="AB41" i="2"/>
  <c r="AB37" i="2" s="1"/>
  <c r="AE37" i="2"/>
  <c r="L43" i="2"/>
  <c r="L42" i="2" s="1"/>
  <c r="O42" i="2"/>
  <c r="X42" i="2"/>
  <c r="P44" i="2"/>
  <c r="F44" i="2" s="1"/>
  <c r="T66" i="2"/>
  <c r="AH92" i="2"/>
  <c r="AF94" i="2"/>
  <c r="H100" i="2"/>
  <c r="Y102" i="2"/>
  <c r="X105" i="2"/>
  <c r="L34" i="2"/>
  <c r="AJ46" i="2"/>
  <c r="AJ42" i="2" s="1"/>
  <c r="AM42" i="2"/>
  <c r="AH47" i="2"/>
  <c r="AF48" i="2"/>
  <c r="X49" i="2"/>
  <c r="X47" i="2" s="1"/>
  <c r="P55" i="2"/>
  <c r="F63" i="2"/>
  <c r="L68" i="2"/>
  <c r="M67" i="2"/>
  <c r="P99" i="2"/>
  <c r="R97" i="2"/>
  <c r="H52" i="2"/>
  <c r="W52" i="2"/>
  <c r="F55" i="2"/>
  <c r="AO56" i="2"/>
  <c r="AJ56" i="2"/>
  <c r="AK52" i="2"/>
  <c r="P57" i="2"/>
  <c r="AO63" i="2"/>
  <c r="E62" i="2"/>
  <c r="P72" i="2"/>
  <c r="F74" i="2"/>
  <c r="G74" i="2" s="1"/>
  <c r="AI77" i="2"/>
  <c r="AF78" i="2"/>
  <c r="AF77" i="2" s="1"/>
  <c r="AJ80" i="2"/>
  <c r="AJ77" i="2" s="1"/>
  <c r="AL77" i="2"/>
  <c r="U97" i="2"/>
  <c r="AF97" i="2"/>
  <c r="H99" i="2"/>
  <c r="J97" i="2"/>
  <c r="M112" i="2"/>
  <c r="N47" i="2"/>
  <c r="V47" i="2"/>
  <c r="AJ52" i="2"/>
  <c r="AB57" i="2"/>
  <c r="H60" i="2"/>
  <c r="AO61" i="2"/>
  <c r="AJ61" i="2"/>
  <c r="AJ57" i="2" s="1"/>
  <c r="AK57" i="2"/>
  <c r="AO68" i="2"/>
  <c r="E67" i="2"/>
  <c r="P70" i="2"/>
  <c r="L71" i="2"/>
  <c r="AF73" i="2"/>
  <c r="AF72" i="2" s="1"/>
  <c r="X78" i="2"/>
  <c r="X77" i="2" s="1"/>
  <c r="AB80" i="2"/>
  <c r="AB77" i="2" s="1"/>
  <c r="AD77" i="2"/>
  <c r="F91" i="2"/>
  <c r="S102" i="2"/>
  <c r="P103" i="2"/>
  <c r="AJ102" i="2"/>
  <c r="AF39" i="2"/>
  <c r="AF37" i="2" s="1"/>
  <c r="AF44" i="2"/>
  <c r="AF49" i="2"/>
  <c r="P53" i="2"/>
  <c r="F53" i="2" s="1"/>
  <c r="AF55" i="2"/>
  <c r="AB56" i="2"/>
  <c r="H57" i="2"/>
  <c r="AF58" i="2"/>
  <c r="AB62" i="2"/>
  <c r="H64" i="2"/>
  <c r="H65" i="2"/>
  <c r="AO66" i="2"/>
  <c r="AJ66" i="2"/>
  <c r="AJ62" i="2" s="1"/>
  <c r="AK62" i="2"/>
  <c r="P67" i="2"/>
  <c r="T73" i="2"/>
  <c r="T72" i="2" s="1"/>
  <c r="U72" i="2"/>
  <c r="AF75" i="2"/>
  <c r="P78" i="2"/>
  <c r="P77" i="2" s="1"/>
  <c r="T80" i="2"/>
  <c r="T77" i="2" s="1"/>
  <c r="AA82" i="2"/>
  <c r="X83" i="2"/>
  <c r="X82" i="2" s="1"/>
  <c r="AB100" i="2"/>
  <c r="AB97" i="2" s="1"/>
  <c r="AE97" i="2"/>
  <c r="X123" i="2"/>
  <c r="X122" i="2" s="1"/>
  <c r="Y122" i="2"/>
  <c r="AO125" i="2"/>
  <c r="E122" i="2"/>
  <c r="T58" i="2"/>
  <c r="U57" i="2"/>
  <c r="AB61" i="2"/>
  <c r="AC57" i="2"/>
  <c r="H62" i="2"/>
  <c r="AF62" i="2"/>
  <c r="F69" i="2"/>
  <c r="G69" i="2" s="1"/>
  <c r="AO71" i="2"/>
  <c r="AJ71" i="2"/>
  <c r="AJ67" i="2" s="1"/>
  <c r="AK67" i="2"/>
  <c r="V72" i="2"/>
  <c r="H77" i="2"/>
  <c r="S82" i="2"/>
  <c r="P83" i="2"/>
  <c r="P82" i="2" s="1"/>
  <c r="AB82" i="2"/>
  <c r="E92" i="2"/>
  <c r="AI92" i="2"/>
  <c r="AF93" i="2"/>
  <c r="P97" i="2"/>
  <c r="K102" i="2"/>
  <c r="H103" i="2"/>
  <c r="P123" i="2"/>
  <c r="P122" i="2" s="1"/>
  <c r="Q122" i="2"/>
  <c r="G125" i="2"/>
  <c r="AO51" i="2"/>
  <c r="AB52" i="2"/>
  <c r="X55" i="2"/>
  <c r="T56" i="2"/>
  <c r="V57" i="2"/>
  <c r="AF59" i="2"/>
  <c r="F59" i="2" s="1"/>
  <c r="T63" i="2"/>
  <c r="T62" i="2" s="1"/>
  <c r="U62" i="2"/>
  <c r="AF65" i="2"/>
  <c r="AB66" i="2"/>
  <c r="AC62" i="2"/>
  <c r="H67" i="2"/>
  <c r="L73" i="2"/>
  <c r="L72" i="2" s="1"/>
  <c r="M72" i="2"/>
  <c r="AJ76" i="2"/>
  <c r="AJ72" i="2" s="1"/>
  <c r="AL72" i="2"/>
  <c r="K82" i="2"/>
  <c r="H83" i="2"/>
  <c r="T82" i="2"/>
  <c r="AF82" i="2"/>
  <c r="O87" i="2"/>
  <c r="X89" i="2"/>
  <c r="Z87" i="2"/>
  <c r="X92" i="2"/>
  <c r="L100" i="2"/>
  <c r="O97" i="2"/>
  <c r="E107" i="2"/>
  <c r="F109" i="2"/>
  <c r="G109" i="2" s="1"/>
  <c r="F114" i="2"/>
  <c r="G114" i="2" s="1"/>
  <c r="L58" i="2"/>
  <c r="L57" i="2" s="1"/>
  <c r="M57" i="2"/>
  <c r="W57" i="2"/>
  <c r="X60" i="2"/>
  <c r="X57" i="2" s="1"/>
  <c r="T61" i="2"/>
  <c r="V62" i="2"/>
  <c r="AF64" i="2"/>
  <c r="T68" i="2"/>
  <c r="T67" i="2" s="1"/>
  <c r="U67" i="2"/>
  <c r="AF70" i="2"/>
  <c r="AF67" i="2" s="1"/>
  <c r="AB71" i="2"/>
  <c r="AB67" i="2" s="1"/>
  <c r="AC67" i="2"/>
  <c r="N72" i="2"/>
  <c r="AB76" i="2"/>
  <c r="AB72" i="2" s="1"/>
  <c r="AD72" i="2"/>
  <c r="F79" i="2"/>
  <c r="AA87" i="2"/>
  <c r="X88" i="2"/>
  <c r="X87" i="2" s="1"/>
  <c r="AJ90" i="2"/>
  <c r="AJ87" i="2" s="1"/>
  <c r="AM87" i="2"/>
  <c r="F96" i="2"/>
  <c r="W97" i="2"/>
  <c r="AK97" i="2"/>
  <c r="AJ101" i="2"/>
  <c r="AJ97" i="2" s="1"/>
  <c r="F106" i="2"/>
  <c r="G106" i="2" s="1"/>
  <c r="AB110" i="2"/>
  <c r="AE107" i="2"/>
  <c r="T114" i="2"/>
  <c r="X115" i="2"/>
  <c r="Z112" i="2"/>
  <c r="H123" i="2"/>
  <c r="I122" i="2"/>
  <c r="P138" i="2"/>
  <c r="Q137" i="2"/>
  <c r="S137" i="2"/>
  <c r="P139" i="2"/>
  <c r="AB137" i="2"/>
  <c r="I87" i="2"/>
  <c r="Y87" i="2"/>
  <c r="M87" i="2"/>
  <c r="U87" i="2"/>
  <c r="P90" i="2"/>
  <c r="F90" i="2" s="1"/>
  <c r="X94" i="2"/>
  <c r="Z92" i="2"/>
  <c r="E97" i="2"/>
  <c r="G101" i="2"/>
  <c r="L103" i="2"/>
  <c r="L102" i="2" s="1"/>
  <c r="T103" i="2"/>
  <c r="X108" i="2"/>
  <c r="X107" i="2" s="1"/>
  <c r="AA107" i="2"/>
  <c r="P115" i="2"/>
  <c r="R112" i="2"/>
  <c r="AO81" i="2"/>
  <c r="E82" i="2"/>
  <c r="AB86" i="2"/>
  <c r="AJ86" i="2"/>
  <c r="AJ82" i="2" s="1"/>
  <c r="H89" i="2"/>
  <c r="J87" i="2"/>
  <c r="T89" i="2"/>
  <c r="AB96" i="2"/>
  <c r="AB92" i="2" s="1"/>
  <c r="AJ96" i="2"/>
  <c r="AJ92" i="2" s="1"/>
  <c r="F98" i="2"/>
  <c r="L99" i="2"/>
  <c r="L97" i="2" s="1"/>
  <c r="T104" i="2"/>
  <c r="P108" i="2"/>
  <c r="P107" i="2" s="1"/>
  <c r="S107" i="2"/>
  <c r="AB107" i="2"/>
  <c r="H110" i="2"/>
  <c r="F110" i="2" s="1"/>
  <c r="F111" i="2"/>
  <c r="G111" i="2" s="1"/>
  <c r="E112" i="2"/>
  <c r="H115" i="2"/>
  <c r="AO116" i="2"/>
  <c r="H131" i="2"/>
  <c r="M77" i="2"/>
  <c r="U77" i="2"/>
  <c r="E87" i="2"/>
  <c r="P94" i="2"/>
  <c r="P92" i="2" s="1"/>
  <c r="R92" i="2"/>
  <c r="H108" i="2"/>
  <c r="K107" i="2"/>
  <c r="X113" i="2"/>
  <c r="X112" i="2" s="1"/>
  <c r="AA112" i="2"/>
  <c r="X118" i="2"/>
  <c r="X117" i="2" s="1"/>
  <c r="Y117" i="2"/>
  <c r="AO120" i="2"/>
  <c r="E117" i="2"/>
  <c r="X128" i="2"/>
  <c r="X127" i="2" s="1"/>
  <c r="Y127" i="2"/>
  <c r="AO130" i="2"/>
  <c r="E127" i="2"/>
  <c r="AI87" i="2"/>
  <c r="L89" i="2"/>
  <c r="L87" i="2" s="1"/>
  <c r="M92" i="2"/>
  <c r="U92" i="2"/>
  <c r="X99" i="2"/>
  <c r="X97" i="2" s="1"/>
  <c r="Z97" i="2"/>
  <c r="E102" i="2"/>
  <c r="L104" i="2"/>
  <c r="L107" i="2"/>
  <c r="U107" i="2"/>
  <c r="T109" i="2"/>
  <c r="P113" i="2"/>
  <c r="P112" i="2" s="1"/>
  <c r="S112" i="2"/>
  <c r="AB112" i="2"/>
  <c r="P118" i="2"/>
  <c r="P117" i="2" s="1"/>
  <c r="Q117" i="2"/>
  <c r="G120" i="2"/>
  <c r="P128" i="2"/>
  <c r="P127" i="2" s="1"/>
  <c r="Q127" i="2"/>
  <c r="G130" i="2"/>
  <c r="AF131" i="2"/>
  <c r="AF127" i="2" s="1"/>
  <c r="AG127" i="2"/>
  <c r="J82" i="2"/>
  <c r="R82" i="2"/>
  <c r="Z82" i="2"/>
  <c r="N92" i="2"/>
  <c r="V92" i="2"/>
  <c r="H94" i="2"/>
  <c r="F94" i="2" s="1"/>
  <c r="G94" i="2" s="1"/>
  <c r="J92" i="2"/>
  <c r="T94" i="2"/>
  <c r="T92" i="2" s="1"/>
  <c r="AA97" i="2"/>
  <c r="M107" i="2"/>
  <c r="AJ107" i="2"/>
  <c r="H113" i="2"/>
  <c r="K112" i="2"/>
  <c r="AF114" i="2"/>
  <c r="AF112" i="2" s="1"/>
  <c r="H118" i="2"/>
  <c r="I117" i="2"/>
  <c r="J102" i="2"/>
  <c r="R102" i="2"/>
  <c r="Z102" i="2"/>
  <c r="J107" i="2"/>
  <c r="R107" i="2"/>
  <c r="Z107" i="2"/>
  <c r="AB115" i="2"/>
  <c r="AJ115" i="2"/>
  <c r="AJ112" i="2" s="1"/>
  <c r="J117" i="2"/>
  <c r="F119" i="2"/>
  <c r="J122" i="2"/>
  <c r="F124" i="2"/>
  <c r="H128" i="2"/>
  <c r="I127" i="2"/>
  <c r="H138" i="2"/>
  <c r="I137" i="2"/>
  <c r="K137" i="2"/>
  <c r="H139" i="2"/>
  <c r="T117" i="2"/>
  <c r="AB120" i="2"/>
  <c r="AB117" i="2" s="1"/>
  <c r="AF121" i="2"/>
  <c r="AF117" i="2" s="1"/>
  <c r="T122" i="2"/>
  <c r="AB125" i="2"/>
  <c r="AB122" i="2" s="1"/>
  <c r="AF126" i="2"/>
  <c r="AF122" i="2" s="1"/>
  <c r="AG122" i="2"/>
  <c r="J127" i="2"/>
  <c r="F129" i="2"/>
  <c r="G129" i="2" s="1"/>
  <c r="AB127" i="2"/>
  <c r="T127" i="2"/>
  <c r="X133" i="2"/>
  <c r="Y132" i="2"/>
  <c r="AO135" i="2"/>
  <c r="AF136" i="2"/>
  <c r="AF132" i="2" s="1"/>
  <c r="AG132" i="2"/>
  <c r="M137" i="2"/>
  <c r="AK117" i="2"/>
  <c r="AK122" i="2"/>
  <c r="L127" i="2"/>
  <c r="Z132" i="2"/>
  <c r="X134" i="2"/>
  <c r="L137" i="2"/>
  <c r="AJ137" i="2"/>
  <c r="AJ117" i="2"/>
  <c r="H121" i="2"/>
  <c r="AJ122" i="2"/>
  <c r="H126" i="2"/>
  <c r="F126" i="2" s="1"/>
  <c r="G126" i="2" s="1"/>
  <c r="AK127" i="2"/>
  <c r="L130" i="2"/>
  <c r="P133" i="2"/>
  <c r="P132" i="2" s="1"/>
  <c r="Q132" i="2"/>
  <c r="AJ135" i="2"/>
  <c r="AJ132" i="2" s="1"/>
  <c r="X136" i="2"/>
  <c r="F136" i="2" s="1"/>
  <c r="X138" i="2"/>
  <c r="X137" i="2" s="1"/>
  <c r="Y137" i="2"/>
  <c r="AO140" i="2"/>
  <c r="AG117" i="2"/>
  <c r="AU80" i="1" l="1"/>
  <c r="AU91" i="1"/>
  <c r="M77" i="1"/>
  <c r="M47" i="1"/>
  <c r="M54" i="1"/>
  <c r="AU66" i="1"/>
  <c r="AU90" i="1"/>
  <c r="M41" i="1"/>
  <c r="L64" i="1"/>
  <c r="AU65" i="1"/>
  <c r="AD68" i="1"/>
  <c r="AD15" i="1" s="1"/>
  <c r="AU84" i="1"/>
  <c r="AU53" i="1"/>
  <c r="M71" i="1"/>
  <c r="M51" i="1"/>
  <c r="M81" i="1"/>
  <c r="AS13" i="1"/>
  <c r="AD73" i="1"/>
  <c r="AD67" i="1" s="1"/>
  <c r="AD14" i="1" s="1"/>
  <c r="AD13" i="1" s="1"/>
  <c r="AH73" i="1"/>
  <c r="AH67" i="1" s="1"/>
  <c r="AH14" i="1" s="1"/>
  <c r="AU85" i="1"/>
  <c r="M50" i="1"/>
  <c r="AC13" i="1"/>
  <c r="M76" i="1"/>
  <c r="M42" i="1"/>
  <c r="Z73" i="1"/>
  <c r="Z67" i="1" s="1"/>
  <c r="Z14" i="1" s="1"/>
  <c r="AB13" i="1"/>
  <c r="M43" i="1"/>
  <c r="AK13" i="1"/>
  <c r="S13" i="1"/>
  <c r="AQ13" i="1"/>
  <c r="M48" i="1"/>
  <c r="AL68" i="1"/>
  <c r="AL15" i="1" s="1"/>
  <c r="AI13" i="1"/>
  <c r="AP73" i="1"/>
  <c r="AP67" i="1" s="1"/>
  <c r="AP14" i="1" s="1"/>
  <c r="M46" i="1"/>
  <c r="Z68" i="1"/>
  <c r="Z15" i="1" s="1"/>
  <c r="N15" i="1"/>
  <c r="M89" i="1"/>
  <c r="M44" i="1"/>
  <c r="AP68" i="1"/>
  <c r="AP15" i="1" s="1"/>
  <c r="N73" i="1"/>
  <c r="N67" i="1" s="1"/>
  <c r="N14" i="1" s="1"/>
  <c r="N13" i="1" s="1"/>
  <c r="T13" i="1"/>
  <c r="R15" i="1"/>
  <c r="M49" i="1"/>
  <c r="L75" i="1"/>
  <c r="M75" i="1" s="1"/>
  <c r="R73" i="1"/>
  <c r="R67" i="1" s="1"/>
  <c r="R14" i="1" s="1"/>
  <c r="M78" i="1"/>
  <c r="M74" i="1"/>
  <c r="AU45" i="1"/>
  <c r="T12" i="2"/>
  <c r="AA87" i="1"/>
  <c r="AA13" i="1" s="1"/>
  <c r="Z88" i="1"/>
  <c r="Z87" i="1" s="1"/>
  <c r="U13" i="1"/>
  <c r="L12" i="2"/>
  <c r="R88" i="1"/>
  <c r="R87" i="1" s="1"/>
  <c r="G136" i="2"/>
  <c r="AO136" i="2"/>
  <c r="G53" i="2"/>
  <c r="AO53" i="2"/>
  <c r="F32" i="2"/>
  <c r="G33" i="2"/>
  <c r="AO33" i="2"/>
  <c r="AO105" i="2"/>
  <c r="G105" i="2"/>
  <c r="AO50" i="2"/>
  <c r="G50" i="2"/>
  <c r="AO90" i="2"/>
  <c r="G90" i="2"/>
  <c r="G44" i="2"/>
  <c r="AO44" i="2"/>
  <c r="G59" i="2"/>
  <c r="AO59" i="2"/>
  <c r="AO75" i="2"/>
  <c r="G75" i="2"/>
  <c r="G14" i="2"/>
  <c r="AO14" i="2"/>
  <c r="G98" i="2"/>
  <c r="G49" i="2"/>
  <c r="AO49" i="2"/>
  <c r="F138" i="2"/>
  <c r="H137" i="2"/>
  <c r="T57" i="2"/>
  <c r="AR87" i="1"/>
  <c r="AR13" i="1" s="1"/>
  <c r="AP88" i="1"/>
  <c r="AP87" i="1" s="1"/>
  <c r="F121" i="2"/>
  <c r="AO126" i="2"/>
  <c r="AO129" i="2"/>
  <c r="G110" i="2"/>
  <c r="AO110" i="2"/>
  <c r="F123" i="2"/>
  <c r="H122" i="2"/>
  <c r="F103" i="2"/>
  <c r="H102" i="2"/>
  <c r="F70" i="2"/>
  <c r="P102" i="2"/>
  <c r="F60" i="2"/>
  <c r="F99" i="2"/>
  <c r="H97" i="2"/>
  <c r="AF47" i="2"/>
  <c r="AO40" i="2"/>
  <c r="G40" i="2"/>
  <c r="L17" i="2"/>
  <c r="F25" i="2"/>
  <c r="AH68" i="1"/>
  <c r="AH15" i="1" s="1"/>
  <c r="AU88" i="1"/>
  <c r="L87" i="1"/>
  <c r="M88" i="1"/>
  <c r="AJ13" i="1"/>
  <c r="F113" i="2"/>
  <c r="H112" i="2"/>
  <c r="AF57" i="2"/>
  <c r="F58" i="2"/>
  <c r="AO35" i="2"/>
  <c r="G35" i="2"/>
  <c r="F16" i="2"/>
  <c r="M61" i="1"/>
  <c r="L60" i="1"/>
  <c r="AU61" i="1"/>
  <c r="AO43" i="2"/>
  <c r="F42" i="2"/>
  <c r="G43" i="2"/>
  <c r="X132" i="2"/>
  <c r="AO119" i="2"/>
  <c r="G119" i="2"/>
  <c r="F108" i="2"/>
  <c r="H107" i="2"/>
  <c r="F131" i="2"/>
  <c r="AO98" i="2"/>
  <c r="AO69" i="2"/>
  <c r="F100" i="2"/>
  <c r="AF52" i="2"/>
  <c r="AO30" i="2"/>
  <c r="X102" i="2"/>
  <c r="P12" i="2"/>
  <c r="AU62" i="1"/>
  <c r="M62" i="1"/>
  <c r="AU72" i="1"/>
  <c r="M72" i="1"/>
  <c r="L39" i="1"/>
  <c r="AU40" i="1"/>
  <c r="M40" i="1"/>
  <c r="AH88" i="1"/>
  <c r="AH87" i="1" s="1"/>
  <c r="F134" i="2"/>
  <c r="L82" i="1"/>
  <c r="M83" i="1"/>
  <c r="AU83" i="1"/>
  <c r="K13" i="1"/>
  <c r="AO124" i="2"/>
  <c r="G124" i="2"/>
  <c r="AO55" i="2"/>
  <c r="G55" i="2"/>
  <c r="AO41" i="2"/>
  <c r="G41" i="2"/>
  <c r="G46" i="2"/>
  <c r="AO46" i="2"/>
  <c r="G13" i="2"/>
  <c r="V67" i="1"/>
  <c r="V14" i="1" s="1"/>
  <c r="V13" i="1" s="1"/>
  <c r="V68" i="1"/>
  <c r="V15" i="1" s="1"/>
  <c r="F139" i="2"/>
  <c r="F115" i="2"/>
  <c r="F89" i="2"/>
  <c r="G96" i="2"/>
  <c r="AO96" i="2"/>
  <c r="F83" i="2"/>
  <c r="H82" i="2"/>
  <c r="AF92" i="2"/>
  <c r="F78" i="2"/>
  <c r="P52" i="2"/>
  <c r="F88" i="2"/>
  <c r="H87" i="2"/>
  <c r="F34" i="2"/>
  <c r="F23" i="2"/>
  <c r="H22" i="2"/>
  <c r="AB12" i="2"/>
  <c r="AU52" i="1"/>
  <c r="M52" i="1"/>
  <c r="AU70" i="1"/>
  <c r="M70" i="1"/>
  <c r="L69" i="1"/>
  <c r="F54" i="2"/>
  <c r="F52" i="2" s="1"/>
  <c r="AL73" i="1"/>
  <c r="AL67" i="1" s="1"/>
  <c r="AL14" i="1" s="1"/>
  <c r="AL13" i="1" s="1"/>
  <c r="AO106" i="2"/>
  <c r="F39" i="2"/>
  <c r="F141" i="2"/>
  <c r="F128" i="2"/>
  <c r="H127" i="2"/>
  <c r="F118" i="2"/>
  <c r="H117" i="2"/>
  <c r="AO114" i="2"/>
  <c r="AO94" i="2"/>
  <c r="H92" i="2"/>
  <c r="F65" i="2"/>
  <c r="L67" i="2"/>
  <c r="P42" i="2"/>
  <c r="F73" i="2"/>
  <c r="G38" i="2"/>
  <c r="F67" i="2"/>
  <c r="G67" i="2" s="1"/>
  <c r="AO38" i="2"/>
  <c r="AO111" i="2"/>
  <c r="F21" i="2"/>
  <c r="X17" i="2"/>
  <c r="F15" i="2"/>
  <c r="AO79" i="2"/>
  <c r="G79" i="2"/>
  <c r="G91" i="2"/>
  <c r="AO91" i="2"/>
  <c r="AO48" i="2"/>
  <c r="F47" i="2"/>
  <c r="G48" i="2"/>
  <c r="AO29" i="2"/>
  <c r="F18" i="2"/>
  <c r="T102" i="2"/>
  <c r="P137" i="2"/>
  <c r="AO109" i="2"/>
  <c r="F93" i="2"/>
  <c r="F64" i="2"/>
  <c r="F62" i="2"/>
  <c r="G62" i="2" s="1"/>
  <c r="G63" i="2"/>
  <c r="AF32" i="2"/>
  <c r="AO74" i="2"/>
  <c r="AF27" i="2"/>
  <c r="F28" i="2"/>
  <c r="H17" i="2"/>
  <c r="L27" i="2"/>
  <c r="AU79" i="1"/>
  <c r="M79" i="1"/>
  <c r="H12" i="2"/>
  <c r="F133" i="2"/>
  <c r="H132" i="2"/>
  <c r="AU63" i="1"/>
  <c r="M63" i="1"/>
  <c r="M64" i="1" l="1"/>
  <c r="AU64" i="1"/>
  <c r="AH13" i="1"/>
  <c r="Z13" i="1"/>
  <c r="AU75" i="1"/>
  <c r="R13" i="1"/>
  <c r="AP13" i="1"/>
  <c r="G52" i="2"/>
  <c r="AO52" i="2"/>
  <c r="G133" i="2"/>
  <c r="AO133" i="2"/>
  <c r="F132" i="2"/>
  <c r="F92" i="2"/>
  <c r="G93" i="2"/>
  <c r="AO93" i="2"/>
  <c r="F17" i="2"/>
  <c r="G18" i="2"/>
  <c r="AO18" i="2"/>
  <c r="F72" i="2"/>
  <c r="G73" i="2"/>
  <c r="AO73" i="2"/>
  <c r="G115" i="2"/>
  <c r="AO115" i="2"/>
  <c r="G100" i="2"/>
  <c r="AO100" i="2"/>
  <c r="G138" i="2"/>
  <c r="AO138" i="2"/>
  <c r="F137" i="2"/>
  <c r="G32" i="2"/>
  <c r="AO32" i="2"/>
  <c r="G78" i="2"/>
  <c r="F77" i="2"/>
  <c r="AO78" i="2"/>
  <c r="G139" i="2"/>
  <c r="AO139" i="2"/>
  <c r="G16" i="2"/>
  <c r="AO16" i="2"/>
  <c r="F102" i="2"/>
  <c r="G103" i="2"/>
  <c r="AO103" i="2"/>
  <c r="G121" i="2"/>
  <c r="AO121" i="2"/>
  <c r="G21" i="2"/>
  <c r="AO21" i="2"/>
  <c r="M82" i="1"/>
  <c r="AU82" i="1"/>
  <c r="G118" i="2"/>
  <c r="F117" i="2"/>
  <c r="AO118" i="2"/>
  <c r="AO47" i="2"/>
  <c r="G47" i="2"/>
  <c r="G65" i="2"/>
  <c r="AO65" i="2"/>
  <c r="G128" i="2"/>
  <c r="F127" i="2"/>
  <c r="AO128" i="2"/>
  <c r="G54" i="2"/>
  <c r="AO54" i="2"/>
  <c r="G23" i="2"/>
  <c r="F22" i="2"/>
  <c r="AO23" i="2"/>
  <c r="G134" i="2"/>
  <c r="AO134" i="2"/>
  <c r="M87" i="1"/>
  <c r="AU87" i="1"/>
  <c r="G123" i="2"/>
  <c r="F122" i="2"/>
  <c r="AO123" i="2"/>
  <c r="L73" i="1"/>
  <c r="G39" i="2"/>
  <c r="AO39" i="2"/>
  <c r="G34" i="2"/>
  <c r="AO34" i="2"/>
  <c r="F12" i="2"/>
  <c r="G60" i="2"/>
  <c r="AO60" i="2"/>
  <c r="AO62" i="2"/>
  <c r="G141" i="2"/>
  <c r="AO141" i="2"/>
  <c r="G83" i="2"/>
  <c r="F82" i="2"/>
  <c r="AO83" i="2"/>
  <c r="G64" i="2"/>
  <c r="AO64" i="2"/>
  <c r="AO67" i="2"/>
  <c r="F107" i="2"/>
  <c r="G108" i="2"/>
  <c r="AO108" i="2"/>
  <c r="G25" i="2"/>
  <c r="AO25" i="2"/>
  <c r="F27" i="2"/>
  <c r="G28" i="2"/>
  <c r="AO28" i="2"/>
  <c r="L68" i="1"/>
  <c r="L15" i="1" s="1"/>
  <c r="M69" i="1"/>
  <c r="AU69" i="1"/>
  <c r="G131" i="2"/>
  <c r="AO131" i="2"/>
  <c r="AO42" i="2"/>
  <c r="G42" i="2"/>
  <c r="F57" i="2"/>
  <c r="G58" i="2"/>
  <c r="AO58" i="2"/>
  <c r="G99" i="2"/>
  <c r="AO99" i="2"/>
  <c r="F97" i="2"/>
  <c r="G15" i="2"/>
  <c r="AO15" i="2"/>
  <c r="F37" i="2"/>
  <c r="F87" i="2"/>
  <c r="G88" i="2"/>
  <c r="AO88" i="2"/>
  <c r="AO89" i="2"/>
  <c r="G89" i="2"/>
  <c r="M39" i="1"/>
  <c r="AU39" i="1"/>
  <c r="AU60" i="1"/>
  <c r="M60" i="1"/>
  <c r="F112" i="2"/>
  <c r="G113" i="2"/>
  <c r="AO113" i="2"/>
  <c r="G70" i="2"/>
  <c r="AO70" i="2"/>
  <c r="G87" i="2" l="1"/>
  <c r="AO87" i="2"/>
  <c r="G57" i="2"/>
  <c r="AO57" i="2"/>
  <c r="G107" i="2"/>
  <c r="AO107" i="2"/>
  <c r="M73" i="1"/>
  <c r="AU73" i="1"/>
  <c r="G92" i="2"/>
  <c r="AO92" i="2"/>
  <c r="M15" i="1"/>
  <c r="AU15" i="1"/>
  <c r="G22" i="2"/>
  <c r="AO22" i="2"/>
  <c r="G137" i="2"/>
  <c r="AO137" i="2"/>
  <c r="G132" i="2"/>
  <c r="AO132" i="2"/>
  <c r="G112" i="2"/>
  <c r="AO112" i="2"/>
  <c r="G97" i="2"/>
  <c r="AO97" i="2"/>
  <c r="G27" i="2"/>
  <c r="AO27" i="2"/>
  <c r="G122" i="2"/>
  <c r="AO122" i="2"/>
  <c r="G72" i="2"/>
  <c r="AO72" i="2"/>
  <c r="G127" i="2"/>
  <c r="AO127" i="2"/>
  <c r="G12" i="2"/>
  <c r="AO12" i="2"/>
  <c r="M68" i="1"/>
  <c r="AU68" i="1"/>
  <c r="G102" i="2"/>
  <c r="AO102" i="2"/>
  <c r="G82" i="2"/>
  <c r="AO82" i="2"/>
  <c r="AO37" i="2"/>
  <c r="G37" i="2"/>
  <c r="L67" i="1"/>
  <c r="G117" i="2"/>
  <c r="AO117" i="2"/>
  <c r="AO77" i="2"/>
  <c r="G77" i="2"/>
  <c r="G17" i="2"/>
  <c r="AO17" i="2"/>
  <c r="M67" i="1" l="1"/>
  <c r="AU67" i="1"/>
  <c r="L14" i="1"/>
  <c r="M14" i="1" l="1"/>
  <c r="L13" i="1"/>
  <c r="AU14" i="1"/>
  <c r="M13" i="1" l="1"/>
  <c r="AU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Samnang</author>
  </authors>
  <commentList>
    <comment ref="U12" authorId="0" shapeId="0" xr:uid="{2FCEAA56-2B94-4A02-95AD-BF2EB2799E57}">
      <text>
        <r>
          <rPr>
            <b/>
            <sz val="9"/>
            <color indexed="81"/>
            <rFont val="Tahoma"/>
            <family val="2"/>
          </rPr>
          <t>Samnang:</t>
        </r>
        <r>
          <rPr>
            <sz val="9"/>
            <color indexed="81"/>
            <rFont val="Tahoma"/>
            <family val="2"/>
          </rPr>
          <t xml:space="preserve">
ប្រសិនបើការប៉ាន់ស្មានក្នុងខែ៣ ប្រែប្រួលសូមធ្វើការកែសម្រួល
</t>
        </r>
      </text>
    </comment>
    <comment ref="J43" authorId="0" shapeId="0" xr:uid="{02880632-142A-4CFC-8A55-2D606793B7E9}">
      <text>
        <r>
          <rPr>
            <b/>
            <sz val="9"/>
            <color indexed="81"/>
            <rFont val="Tahoma"/>
            <family val="2"/>
          </rPr>
          <t>Samnang:</t>
        </r>
        <r>
          <rPr>
            <sz val="9"/>
            <color indexed="81"/>
            <rFont val="Tahoma"/>
            <family val="2"/>
          </rPr>
          <t xml:space="preserve">
ផ្ទេរទៅថ្នាក់ក្រោមជាតិ
</t>
        </r>
      </text>
    </comment>
    <comment ref="J44" authorId="0" shapeId="0" xr:uid="{C29BB51E-9BB5-4BA1-888E-A16279E51B12}">
      <text>
        <r>
          <rPr>
            <b/>
            <sz val="9"/>
            <color indexed="81"/>
            <rFont val="Tahoma"/>
            <family val="2"/>
          </rPr>
          <t>Samnang:</t>
        </r>
        <r>
          <rPr>
            <sz val="9"/>
            <color indexed="81"/>
            <rFont val="Tahoma"/>
            <family val="2"/>
          </rPr>
          <t xml:space="preserve">
ផ្ទេរទៅថ្នាក់ក្រោមជាតិ
</t>
        </r>
      </text>
    </comment>
  </commentList>
</comments>
</file>

<file path=xl/sharedStrings.xml><?xml version="1.0" encoding="utf-8"?>
<sst xmlns="http://schemas.openxmlformats.org/spreadsheetml/2006/main" count="832" uniqueCount="191">
  <si>
    <t>ព្រះរាជាណាចក្រកម្ពុជា</t>
  </si>
  <si>
    <t>ក្រសួងសេដ្ឋកិច្ច​និងហិរញ្ញវត្ថុ</t>
  </si>
  <si>
    <t>ជាតិ សាសនា ព្រះមហាក្សត្រ</t>
  </si>
  <si>
    <t>អគ្គលេខាធិការដ្ឋាន</t>
  </si>
  <si>
    <t>​</t>
  </si>
  <si>
    <t>គម្រោងកម្មវិធីចំណូល​ថវិកាថ្នាក់ជាតិ-ប្រចាំឆ្នាំ២០២២</t>
  </si>
  <si>
    <t>របស់ក្រសួងសេដ្ឋកិច្ចនិងហិរញ្ញវត្ថុ</t>
  </si>
  <si>
    <t>ឯកតា៖ ពាន់រៀល</t>
  </si>
  <si>
    <t>ជំពូក</t>
  </si>
  <si>
    <t>គណនី</t>
  </si>
  <si>
    <t>អនុគណនី</t>
  </si>
  <si>
    <t>ក្រសួង-ស្ថាប័ន</t>
  </si>
  <si>
    <t>ច្បាប់
ហិរញ្ញវត្ថុ</t>
  </si>
  <si>
    <t>សរុបគម្រោង
កម្មវិធីប្រចាំឆ្នំា</t>
  </si>
  <si>
    <t>ត្រីមាសទី១</t>
  </si>
  <si>
    <t>ត្រីមាសទី២</t>
  </si>
  <si>
    <t>ត្រីមាសទី៣</t>
  </si>
  <si>
    <t>ត្រីមាសទី៤</t>
  </si>
  <si>
    <t>ផ្សេងៗ</t>
  </si>
  <si>
    <t>គ្រោងដើមឆ្នាំ</t>
  </si>
  <si>
    <t>ប៉ាន់ស្មានអនុវត្ត</t>
  </si>
  <si>
    <t>ស្នើសុំកែតម្រូវ</t>
  </si>
  <si>
    <t>គ្រោង​ដើមឆ្នាំ</t>
  </si>
  <si>
    <t>ស្នើសុំ​កែតម្រូវ</t>
  </si>
  <si>
    <t>ទឹកប្រាក់</t>
  </si>
  <si>
    <t>%ច្បាប់</t>
  </si>
  <si>
    <t>សរុប</t>
  </si>
  <si>
    <t>ខែ១</t>
  </si>
  <si>
    <t>ខែ​២</t>
  </si>
  <si>
    <t>ខែ​៣</t>
  </si>
  <si>
    <t>អនុ.ខែ១</t>
  </si>
  <si>
    <t>អនុ.ខែ​២</t>
  </si>
  <si>
    <t>អនុ.ខែ​៣</t>
  </si>
  <si>
    <t>ខែ៤</t>
  </si>
  <si>
    <t>ខែ​៥</t>
  </si>
  <si>
    <t>ខែ​៦</t>
  </si>
  <si>
    <t>ខែ៧</t>
  </si>
  <si>
    <t>ខែ​៨</t>
  </si>
  <si>
    <t>ខែ​៩</t>
  </si>
  <si>
    <t>អនុ.ខែ៧</t>
  </si>
  <si>
    <t>អនុ.ខែ​៨</t>
  </si>
  <si>
    <t>ប៉ាន់អនុ.ខែ​៩</t>
  </si>
  <si>
    <t>ខែ១០</t>
  </si>
  <si>
    <t>ខែ​១១</t>
  </si>
  <si>
    <t>ខែ​១២</t>
  </si>
  <si>
    <t>ក្រសួងសេដ្ឋកិច្ច និងហិរញ្ញវត្ថុ</t>
  </si>
  <si>
    <t>១.សរុបរួមថ្នាក់កណ្តាល (បូកបញ្ចូលចំណូលមិនឆ្លងកាត់រតនាគារជាតិ)</t>
  </si>
  <si>
    <t>១.សរុបរួមថ្នាក់កណ្តាល (មិនបូកបញ្ចូលចំណូលមិនឆ្លងកាត់រតនាគារជាតិ)</t>
  </si>
  <si>
    <t>អាករលើតម្លៃបន្ថែម របបនាំចូល (សហគ្រាសប្រេងឥន្ធនៈ)</t>
  </si>
  <si>
    <t>អាករលើតម្លៃបន្ថែម របបនាំចូល (សហគ្រាសផ្សេងៗទៀត)</t>
  </si>
  <si>
    <t>អាករលើតម្លៃបន្ថែម របបនាំចូល (ជាបន្ទុករបស់រដ្ឋ)</t>
  </si>
  <si>
    <t>អាករពិសេសលើទំនិញមួយចំនួន របបនាំចូល (សហគ្រាសប្រេងឥន្ធនៈ)</t>
  </si>
  <si>
    <t>អាករពិសេសលើទំនិញមួយចំនួន របបនាំចូល (សហគ្រាសផ្សេងៗទៀត)</t>
  </si>
  <si>
    <t>ពន្ធគយពីការនាំចូល</t>
  </si>
  <si>
    <t>កម្រៃពីការងារគយ</t>
  </si>
  <si>
    <t>ពន្ធគយលើផលិតផលតេលសីលា</t>
  </si>
  <si>
    <t>អាករបន្ថែមលើផលិតផលតែលសិលាសំរាប់ថែទាំផ្លូវថ្នល់</t>
  </si>
  <si>
    <t>ផលពីការលក់ទំនិញរឹបអូស និងទំនិញគ្មានការទាមទារ</t>
  </si>
  <si>
    <t>ពិន័យផ្សេងៗលើការនាំចូល</t>
  </si>
  <si>
    <t>ពន្ធនាំចូល (ជាបន្ទុករបស់រដ្ឋ)</t>
  </si>
  <si>
    <t>អាករលើការនាំចេញឈើ</t>
  </si>
  <si>
    <t>អាករលើការនាំចេញកៅស៊ូ</t>
  </si>
  <si>
    <t>អាករលើការនាំចេញទំនិញផ្សេងៗ</t>
  </si>
  <si>
    <t>ពិន័យផ្សេងៗ ពីការនាំចេញ</t>
  </si>
  <si>
    <t>លក់ឯកសារ លតាប័ត្រ និង លិខិតបោះពុម្ភផ្សេងៗ</t>
  </si>
  <si>
    <t>7302</t>
  </si>
  <si>
    <t>ផលពីការបង់សិទ្ធិប្រឡង</t>
  </si>
  <si>
    <t>ចំណូលពីការអនុញ្ញាតរដ្ឋបាល ទម្រង់ការរដ្ឋបាល និងការគ្រប់គ្រងរដ្ឋបាលផ្សេងៗ</t>
  </si>
  <si>
    <t>ផលពីសេវាផ្សេងៗទៀត</t>
  </si>
  <si>
    <t>7306</t>
  </si>
  <si>
    <t>ចំណូលពីអាជ្ញាប័ណ្ណក្នុងស្រុក</t>
  </si>
  <si>
    <t>ផលពីការត្រួតពិនិត្យគុណភាពផលិតផល និងការគោរពបទដ្ឋាន</t>
  </si>
  <si>
    <t>អគ្គនាយកដ្ឋានពន្ធដារ</t>
  </si>
  <si>
    <t>ពន្ធលើប្រាក់ចំណូល (រូបវន្តបុគ្គល)</t>
  </si>
  <si>
    <t>ពន្ធលើប្រាក់ចំណូល (នីតិបុគ្គល)</t>
  </si>
  <si>
    <t>ពន្ធលើប្រាក់បៀវត្ស</t>
  </si>
  <si>
    <t>ពន្ធលើឈ្នួលចលននិងអចលនទ្រព្យ (រូបវន្តបុគ្គល)</t>
  </si>
  <si>
    <t>ពន្ធលើឈ្នួលចលននិងអចលនទ្រព្យ (នីតិបុគ្គល)</t>
  </si>
  <si>
    <t xml:space="preserve">អាករលើតម្លៃបន្ថែម </t>
  </si>
  <si>
    <t>អាករពិសេសលើទំនិញមួយចំនួន</t>
  </si>
  <si>
    <t>អាករពិសេសលើសេវាមួយចំនួន</t>
  </si>
  <si>
    <t>ពន្ធតែមប្រិ៍</t>
  </si>
  <si>
    <t>ប្រាក់ទោសទណ្ឌសារពើពន្ធ</t>
  </si>
  <si>
    <t>ផលពីការបង្កើតសហគ្រាស</t>
  </si>
  <si>
    <t>សេវាលើពន្ធប្រថាប់ត្រា</t>
  </si>
  <si>
    <t>ចំណូលពីការចុះបញ្ជីយានយន្ត និងជលយាន</t>
  </si>
  <si>
    <t>អាករលើផលរបរ</t>
  </si>
  <si>
    <t>73</t>
  </si>
  <si>
    <t>និយ័តករបរធនបាលកិច្ច</t>
  </si>
  <si>
    <t>ចំណូលពីកាតព្វកិច្ចកាស៊ីណូ</t>
  </si>
  <si>
    <t>ចំណូលពីកាតព្វកិច្ចឆ្នោត</t>
  </si>
  <si>
    <t>ទីស្ដីការក្រសួង (បូកបញ្ចូលប្រតិបត្តិការឆ្លងកាត់រតនាគាជាតិ)</t>
  </si>
  <si>
    <t>ទីស្ដីការក្រសួង (មិនបញ្ចូលប្រតិបត្តិការមិនឆ្លងកាត់រតនាគារជាតិ)</t>
  </si>
  <si>
    <t>ផលទុនអាកាសចរស៊ីវិល</t>
  </si>
  <si>
    <t>ការប្រាក់លើការឱ្យខ្ចី</t>
  </si>
  <si>
    <t>ប្រតិបត្ដិការឆ្លងកាត់អគ្គនាយកដ្ឋានរតនាគារជាតិ</t>
  </si>
  <si>
    <t>ការឱ្យខ្ចី ទៅសហគ្រាសសាធារណៈ</t>
  </si>
  <si>
    <t>ឧបត្ថម្ភកធនពីក្រៅប្រទេស-ទ្វេភាគី សម្រាប់ចំណាយវិនិយោគ</t>
  </si>
  <si>
    <t>ឧបត្ថម្ភធនពីក្រៅប្រទេស-ពហុភាគី សម្រាប់ចំណាយវិនិយោគ</t>
  </si>
  <si>
    <t>ការខ្ចីក្រៅប្រទេស-ពហុភាគី</t>
  </si>
  <si>
    <t>ការខ្ចីក្រៅប្រទេស-ទ្វេភាគី</t>
  </si>
  <si>
    <t>5004</t>
  </si>
  <si>
    <t>សញ្ញាប័ណ្ណ</t>
  </si>
  <si>
    <t>ប្រតិបត្ដិការមិនឆ្លងកាត់អគ្គនាយកដ្ឋានរតនាគារជាតិ</t>
  </si>
  <si>
    <t>ឧបត្ថម្ភកធនពីក្រៅប្រទេស-ពហុភាគី សម្រាប់ចំណាយវិនិយោគ</t>
  </si>
  <si>
    <t>២. មន្ទីរសេដ្ឋកិច្ចនិងហិរញ្ញវត្ថុរាជធានី-ខេត្ដ</t>
  </si>
  <si>
    <t>7307</t>
  </si>
  <si>
    <t>ការជួលដីទំនេរ</t>
  </si>
  <si>
    <t>ការជួលដីមានអគារ</t>
  </si>
  <si>
    <t>គម្រោងកម្មវិធីចំណូល​ថវិកាថ្នាក់ជាតិ-ប្រចាំឆ្នាំ​២០២២</t>
  </si>
  <si>
    <t>របស់មន្ទីរសេដ្ឋកិច្ចនិងហិរញ្ញវត្ថុរាជធានី ខេត្ត</t>
  </si>
  <si>
    <t>ប៉ាន់អនុ.ខែ​៣</t>
  </si>
  <si>
    <t>មន្ទីរសេដ្ឋកិច្ចនិងហិរញ្ញវត្ថុ</t>
  </si>
  <si>
    <t>មន្ទីរសេដ្ឋកិច្ចនិងហិរញ្ញវត្ថុខេត្តបន្ទាយមានជ័យ</t>
  </si>
  <si>
    <t>មន្ទីរសេដ្ឋកិច្ចនិងហិរញ្ញវត្ថុខេត្តបាត់ដំបង</t>
  </si>
  <si>
    <t>មន្ទីរសេដ្ឋកិច្ចនិងហិរញ្ញវត្ថុខេត្តកំពង់ចាម</t>
  </si>
  <si>
    <t>មន្ទីរសេដ្ឋកិច្ចនិងហិរញ្ញវត្ថុខេត្តកំពង់ឆ្នំាង</t>
  </si>
  <si>
    <t>មន្ទីរសេដ្ឋកិច្ចនិងហិរញ្ញវត្ថុខេត្តកំពង់ស្ពឺ</t>
  </si>
  <si>
    <t>មន្ទីរសេដ្ឋកិច្ចនិងហិរញ្ញវត្ថុខេត្តកំពង់ធំ</t>
  </si>
  <si>
    <t>មន្ទីរសេដ្ឋកិច្ចនិងហិរញ្ញវត្ថុខេត្តកំពត</t>
  </si>
  <si>
    <t>មន្ទីរសេដ្ឋកិច្ចនិងហិរញ្ញវត្ថុខេត្តកណ្តាល</t>
  </si>
  <si>
    <t>មន្ទីរសេដ្ឋកិច្ចនិងហិរញ្ញវត្ថុខេត្តកោះកុង</t>
  </si>
  <si>
    <t>មន្ទីរសេដ្ឋកិច្ចនិងហិរញ្ញវត្ថុខេត្តក្រចេះ</t>
  </si>
  <si>
    <t>មន្ទីរសេដ្ឋកិច្ចនិងហិរញ្ញវត្ថុខេត្តមណ្ឌលគិរី</t>
  </si>
  <si>
    <t>មន្ទីរសេដ្ឋកិច្ចនិងហិរញ្ញវត្ថុរាជធានៅភ្នំពេញ</t>
  </si>
  <si>
    <t>មន្ទីរសេដ្ឋកិច្ចនិងហិរញ្ញវត្ថុខេត្តព្រះវិហារ</t>
  </si>
  <si>
    <t>មន្ទីរសេដ្ឋកិច្ចនិងហិរញ្ញវត្ថុខេត្តព្រៃវែង</t>
  </si>
  <si>
    <t>មន្ទីរសេដ្ឋកិច្ចនិងហិរញ្ញវត្ថុខេត្តពោធិ៍សាត់</t>
  </si>
  <si>
    <t>មន្ទីរសេដ្ឋកិច្ចនិងហិរញ្ញវត្ថុខេត្តរតនគិរី</t>
  </si>
  <si>
    <t>មន្ទីរសេដ្ឋកិច្ចនិងហិរញ្ញវត្ថុខេត្តសៀមរាប</t>
  </si>
  <si>
    <t>មន្ទីរសេដ្ឋកិច្ចនិងហិរញ្ញវត្ថុខេត្តព្រះសីហនុ</t>
  </si>
  <si>
    <t>មន្ទីរសេដ្ឋកិច្ចនិងហិរញ្ញវត្ថុខេត្តស្ទឹងត្រែង</t>
  </si>
  <si>
    <t>មន្ទីរសេដ្ឋកិច្ចនិងហិរញ្ញវត្ថុខេត្តស្វាយរៀង</t>
  </si>
  <si>
    <t>មន្ទីរសេដ្ឋកិច្ចនិងហិរញ្ញវត្ថុខេត្តតាកែវ</t>
  </si>
  <si>
    <t>មន្ទីរសេដ្ឋកិច្ចនិងហិរញ្ញវត្ថុខេត្តឧត្តរមានជ័យ</t>
  </si>
  <si>
    <t>មន្ទីរសេដ្ឋកិច្ចនិងហិរញ្ញវត្ថុខេត្តកែប</t>
  </si>
  <si>
    <t>មន្ទីរសេដ្ឋកិច្ចនិងហិរញ្ញវត្ថុខេត្តប៉ៃលិន</t>
  </si>
  <si>
    <t>មន្ទីរសេដ្ឋកិច្ចនិងហិរញ្ញវត្ថុខេត្តត្បូងឃ្មុំ</t>
  </si>
  <si>
    <t>id</t>
  </si>
  <si>
    <t>entity_id</t>
  </si>
  <si>
    <t>account_group_id</t>
  </si>
  <si>
    <t>account_id</t>
  </si>
  <si>
    <t>sub_account_id</t>
  </si>
  <si>
    <t>អគ្គនាយកដ្ឋានគយនិងរដ្ឋាករកម្ពុជា</t>
  </si>
  <si>
    <t>និយ័តករធានារ៉ាប់រងកម្ពុជា</t>
  </si>
  <si>
    <t>និយ័តករអាជីវកម្មអចលនវត្ថុនិងបញ្ចាំ</t>
  </si>
  <si>
    <t>អគ្គលេខាធិការដ្ឋានគណៈកម្មការគ្រប់គ្រងល្បែងពាណិជ្ជកម្មកម្ពុជា</t>
  </si>
  <si>
    <t>និយ័តករគណនេយ្យនិងសវនកម្ម</t>
  </si>
  <si>
    <t>អគ្គនាយកដ្ឋានសហប្រតិបត្តិការអន្តរជាតិនិងគ្រប់គ្រងបំណុល</t>
  </si>
  <si>
    <t>finance_law</t>
  </si>
  <si>
    <t>annual_program_plan</t>
  </si>
  <si>
    <t>annual_percentage_law</t>
  </si>
  <si>
    <t>s1_total_bp</t>
  </si>
  <si>
    <t>s1_bp_jan</t>
  </si>
  <si>
    <t>s1_bp_feb</t>
  </si>
  <si>
    <t>s1_bp_mar</t>
  </si>
  <si>
    <t>s1_total_est_imp</t>
  </si>
  <si>
    <t>s1_est_imp_jan</t>
  </si>
  <si>
    <t>s1_est_imp_feb</t>
  </si>
  <si>
    <t>s1_est_imp_mar</t>
  </si>
  <si>
    <t>s2_total_bp</t>
  </si>
  <si>
    <t>s2_bp_apr</t>
  </si>
  <si>
    <t>s2_bp_may</t>
  </si>
  <si>
    <t>s2_bp_jun</t>
  </si>
  <si>
    <t>s2_total_adj</t>
  </si>
  <si>
    <t>s2_adj_apr</t>
  </si>
  <si>
    <t>s2_adj_may</t>
  </si>
  <si>
    <t>s2_adj_jun</t>
  </si>
  <si>
    <t>s3_total_pb</t>
  </si>
  <si>
    <t>s3_bp_aug</t>
  </si>
  <si>
    <t>s3_bp_jul</t>
  </si>
  <si>
    <t>s3_bp_sep</t>
  </si>
  <si>
    <t>s3_total_est_imp</t>
  </si>
  <si>
    <t>s3_est_imp_jul</t>
  </si>
  <si>
    <t>s3_est_imp_aug</t>
  </si>
  <si>
    <t>s3_est_imp_sep</t>
  </si>
  <si>
    <t>s4_total_bp</t>
  </si>
  <si>
    <t>s4_bp_oct</t>
  </si>
  <si>
    <t>s4_bp_nov</t>
  </si>
  <si>
    <t>s4_bp_dec</t>
  </si>
  <si>
    <t>s4_total_adj</t>
  </si>
  <si>
    <t>s4_adj_oct</t>
  </si>
  <si>
    <t>s4_adj_nov</t>
  </si>
  <si>
    <t>s4_adj_dec</t>
  </si>
  <si>
    <t>remark</t>
  </si>
  <si>
    <t>-</t>
  </si>
  <si>
    <t/>
  </si>
  <si>
    <t>rev_pro_id</t>
  </si>
  <si>
    <t>col1</t>
  </si>
  <si>
    <t>col2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</si>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</sst>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;"/>
    <numFmt numFmtId="166" formatCode="#,##0.0"/>
    <numFmt numFmtId="167" formatCode="#,##0.0;;"/>
    <numFmt numFmtId="168" formatCode="0.0%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Khmer OS Siemreap"/>
    </font>
    <font>
      <sz val="10"/>
      <color rgb="FF0000FF"/>
      <name val="Khmer OS Siemreap"/>
    </font>
    <font>
      <sz val="10"/>
      <color theme="1"/>
      <name val="Khmer OS Siemreap"/>
    </font>
    <font>
      <sz val="10"/>
      <name val="Arial"/>
      <family val="2"/>
    </font>
    <font>
      <sz val="12"/>
      <color theme="1"/>
      <name val="Khmer OS Muol Light"/>
    </font>
    <font>
      <sz val="14"/>
      <color theme="1"/>
      <name val="Khmer MEF2"/>
    </font>
    <font>
      <sz val="12"/>
      <color theme="1"/>
      <name val="Khmer MEF2"/>
    </font>
    <font>
      <sz val="12"/>
      <color theme="1"/>
      <name val="Khmer OS Siemreap"/>
    </font>
    <font>
      <sz val="11"/>
      <color theme="1"/>
      <name val="Khmer OS Muol Light"/>
    </font>
    <font>
      <sz val="14"/>
      <color theme="1"/>
      <name val="Khmer MEF1"/>
    </font>
    <font>
      <sz val="8"/>
      <color theme="1"/>
      <name val="Khmer OS Siemreap"/>
    </font>
    <font>
      <sz val="10"/>
      <color theme="1"/>
      <name val="Khmer MEF2"/>
    </font>
    <font>
      <sz val="10"/>
      <color theme="1"/>
      <name val="Khmer MEF1"/>
    </font>
    <font>
      <b/>
      <sz val="12"/>
      <color rgb="FFFF0000"/>
      <name val="Khmer MEF1"/>
    </font>
    <font>
      <b/>
      <sz val="12"/>
      <color rgb="FF0000FF"/>
      <name val="Khmer MEF1"/>
    </font>
    <font>
      <b/>
      <sz val="12"/>
      <color theme="1"/>
      <name val="Khmer MEF1"/>
    </font>
    <font>
      <b/>
      <sz val="10"/>
      <color theme="1"/>
      <name val="Khmer OS Siemreap"/>
    </font>
    <font>
      <b/>
      <sz val="8"/>
      <color theme="1"/>
      <name val="Khmer MEF1"/>
    </font>
    <font>
      <b/>
      <sz val="11"/>
      <color theme="1"/>
      <name val="Khmer MEF1"/>
    </font>
    <font>
      <b/>
      <sz val="10"/>
      <color theme="1"/>
      <name val="Khmer MEF1"/>
    </font>
    <font>
      <sz val="11"/>
      <color indexed="8"/>
      <name val="Khmer MEF1"/>
    </font>
    <font>
      <sz val="10"/>
      <color indexed="8"/>
      <name val="Khmer MEF1"/>
    </font>
    <font>
      <b/>
      <sz val="10"/>
      <color rgb="FF00B050"/>
      <name val="Arial Narrow"/>
      <family val="2"/>
    </font>
    <font>
      <sz val="10"/>
      <name val="Times New Roman"/>
      <family val="1"/>
    </font>
    <font>
      <sz val="12"/>
      <color rgb="FF00B050"/>
      <name val="Khmer MEF2"/>
    </font>
    <font>
      <b/>
      <sz val="11"/>
      <color rgb="FF00B050"/>
      <name val="Arial Narrow"/>
      <family val="2"/>
    </font>
    <font>
      <b/>
      <sz val="10"/>
      <color rgb="FF00B050"/>
      <name val="Khmer OS Siemreap"/>
    </font>
    <font>
      <b/>
      <sz val="10"/>
      <color rgb="FFFF0000"/>
      <name val="Khmer MEF1"/>
    </font>
    <font>
      <b/>
      <sz val="10"/>
      <color rgb="FFFF0000"/>
      <name val="Arial Narrow"/>
      <family val="2"/>
    </font>
    <font>
      <b/>
      <sz val="10"/>
      <color rgb="FFFF0000"/>
      <name val="Khmer OS Siemreap"/>
    </font>
    <font>
      <b/>
      <sz val="10"/>
      <color rgb="FF0000FF"/>
      <name val="Arial Narrow"/>
      <family val="2"/>
    </font>
    <font>
      <b/>
      <sz val="11"/>
      <color rgb="FF0000FF"/>
      <name val="Khmer MEF1"/>
    </font>
    <font>
      <b/>
      <sz val="10"/>
      <color rgb="FF0000FF"/>
      <name val="Khmer OS Siemreap"/>
    </font>
    <font>
      <sz val="10"/>
      <color rgb="FFFF0000"/>
      <name val="Arial Narrow"/>
      <family val="2"/>
    </font>
    <font>
      <sz val="10"/>
      <color rgb="FF0000FF"/>
      <name val="Arial Narrow"/>
      <family val="2"/>
    </font>
    <font>
      <sz val="10"/>
      <name val="Arial Narrow"/>
      <family val="2"/>
    </font>
    <font>
      <sz val="10"/>
      <name val="Khmer MEF1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Khmer OS Siemreap"/>
    </font>
    <font>
      <sz val="9"/>
      <name val="Khmer MEF1"/>
    </font>
    <font>
      <sz val="10"/>
      <color rgb="FF0000CC"/>
      <name val="Arial Narrow"/>
      <family val="2"/>
    </font>
    <font>
      <b/>
      <sz val="10"/>
      <name val="Khmer OS Siemreap"/>
    </font>
    <font>
      <b/>
      <sz val="10"/>
      <color rgb="FF0000FF"/>
      <name val="Khmer MEF1"/>
    </font>
    <font>
      <b/>
      <sz val="10"/>
      <color rgb="FF0000CC"/>
      <name val="Khmer OS Siemreap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1"/>
      <name val="Khmer MEF2"/>
    </font>
    <font>
      <sz val="11"/>
      <color theme="1"/>
      <name val="Khmer MEF2"/>
    </font>
    <font>
      <sz val="12"/>
      <color theme="1"/>
      <name val="Khmer MEF1"/>
    </font>
    <font>
      <sz val="9"/>
      <color theme="1"/>
      <name val="Khmer MEF1"/>
    </font>
    <font>
      <b/>
      <sz val="9"/>
      <color theme="1"/>
      <name val="Khmer MEF1"/>
    </font>
    <font>
      <sz val="10"/>
      <color rgb="FFFF0000"/>
      <name val="Khmer MEF2"/>
    </font>
    <font>
      <sz val="10"/>
      <color rgb="FF0000FF"/>
      <name val="Khmer MEF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/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25" fillId="0" borderId="0"/>
  </cellStyleXfs>
  <cellXfs count="4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vertical="center"/>
    </xf>
    <xf numFmtId="0" fontId="8" fillId="0" borderId="0" xfId="3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3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49" fontId="24" fillId="2" borderId="13" xfId="4" applyNumberFormat="1" applyFont="1" applyFill="1" applyBorder="1" applyAlignment="1" applyProtection="1">
      <alignment horizontal="center" vertical="center"/>
      <protection locked="0"/>
    </xf>
    <xf numFmtId="49" fontId="24" fillId="2" borderId="14" xfId="4" applyNumberFormat="1" applyFont="1" applyFill="1" applyBorder="1" applyAlignment="1" applyProtection="1">
      <alignment horizontal="center" vertical="center"/>
      <protection locked="0"/>
    </xf>
    <xf numFmtId="0" fontId="24" fillId="2" borderId="15" xfId="0" applyFont="1" applyFill="1" applyBorder="1" applyAlignment="1" applyProtection="1">
      <alignment horizontal="left" vertical="center"/>
      <protection locked="0"/>
    </xf>
    <xf numFmtId="0" fontId="26" fillId="2" borderId="16" xfId="5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vertical="center"/>
    </xf>
    <xf numFmtId="165" fontId="27" fillId="2" borderId="17" xfId="0" applyNumberFormat="1" applyFont="1" applyFill="1" applyBorder="1" applyAlignment="1">
      <alignment vertical="center"/>
    </xf>
    <xf numFmtId="9" fontId="27" fillId="2" borderId="18" xfId="2" applyFont="1" applyFill="1" applyBorder="1" applyAlignment="1">
      <alignment horizontal="right" vertical="center"/>
    </xf>
    <xf numFmtId="165" fontId="27" fillId="2" borderId="19" xfId="0" applyNumberFormat="1" applyFont="1" applyFill="1" applyBorder="1" applyAlignment="1">
      <alignment vertical="center"/>
    </xf>
    <xf numFmtId="165" fontId="27" fillId="2" borderId="18" xfId="0" applyNumberFormat="1" applyFont="1" applyFill="1" applyBorder="1" applyAlignment="1">
      <alignment vertical="center"/>
    </xf>
    <xf numFmtId="165" fontId="24" fillId="2" borderId="17" xfId="0" applyNumberFormat="1" applyFont="1" applyFill="1" applyBorder="1" applyAlignment="1">
      <alignment vertical="center"/>
    </xf>
    <xf numFmtId="165" fontId="24" fillId="2" borderId="19" xfId="0" applyNumberFormat="1" applyFont="1" applyFill="1" applyBorder="1" applyAlignment="1">
      <alignment vertical="center"/>
    </xf>
    <xf numFmtId="165" fontId="24" fillId="2" borderId="18" xfId="0" applyNumberFormat="1" applyFont="1" applyFill="1" applyBorder="1" applyAlignment="1">
      <alignment vertical="center"/>
    </xf>
    <xf numFmtId="166" fontId="24" fillId="0" borderId="20" xfId="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3" borderId="21" xfId="5" applyFont="1" applyFill="1" applyBorder="1" applyAlignment="1">
      <alignment vertical="center"/>
    </xf>
    <xf numFmtId="0" fontId="29" fillId="3" borderId="22" xfId="5" applyFont="1" applyFill="1" applyBorder="1" applyAlignment="1">
      <alignment vertical="center"/>
    </xf>
    <xf numFmtId="0" fontId="29" fillId="3" borderId="23" xfId="5" applyFont="1" applyFill="1" applyBorder="1" applyAlignment="1">
      <alignment vertical="center"/>
    </xf>
    <xf numFmtId="165" fontId="30" fillId="3" borderId="24" xfId="0" applyNumberFormat="1" applyFont="1" applyFill="1" applyBorder="1" applyAlignment="1">
      <alignment vertical="center"/>
    </xf>
    <xf numFmtId="165" fontId="30" fillId="3" borderId="25" xfId="0" applyNumberFormat="1" applyFont="1" applyFill="1" applyBorder="1" applyAlignment="1">
      <alignment vertical="center"/>
    </xf>
    <xf numFmtId="9" fontId="30" fillId="3" borderId="26" xfId="2" applyFont="1" applyFill="1" applyBorder="1" applyAlignment="1">
      <alignment horizontal="right" vertical="center"/>
    </xf>
    <xf numFmtId="165" fontId="30" fillId="3" borderId="27" xfId="0" applyNumberFormat="1" applyFont="1" applyFill="1" applyBorder="1" applyAlignment="1">
      <alignment vertical="center"/>
    </xf>
    <xf numFmtId="165" fontId="30" fillId="3" borderId="26" xfId="0" applyNumberFormat="1" applyFont="1" applyFill="1" applyBorder="1" applyAlignment="1">
      <alignment vertical="center"/>
    </xf>
    <xf numFmtId="166" fontId="30" fillId="0" borderId="28" xfId="0" applyNumberFormat="1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165" fontId="30" fillId="0" borderId="29" xfId="0" applyNumberFormat="1" applyFont="1" applyBorder="1" applyAlignment="1">
      <alignment vertical="center"/>
    </xf>
    <xf numFmtId="165" fontId="30" fillId="0" borderId="30" xfId="0" applyNumberFormat="1" applyFont="1" applyBorder="1" applyAlignment="1">
      <alignment vertical="center"/>
    </xf>
    <xf numFmtId="9" fontId="30" fillId="0" borderId="31" xfId="2" applyFont="1" applyFill="1" applyBorder="1" applyAlignment="1">
      <alignment horizontal="right" vertical="center"/>
    </xf>
    <xf numFmtId="165" fontId="30" fillId="0" borderId="32" xfId="0" applyNumberFormat="1" applyFont="1" applyBorder="1" applyAlignment="1">
      <alignment vertical="center"/>
    </xf>
    <xf numFmtId="165" fontId="30" fillId="0" borderId="31" xfId="0" applyNumberFormat="1" applyFont="1" applyBorder="1" applyAlignment="1">
      <alignment vertical="center"/>
    </xf>
    <xf numFmtId="166" fontId="30" fillId="0" borderId="33" xfId="0" applyNumberFormat="1" applyFont="1" applyBorder="1" applyAlignment="1">
      <alignment vertical="center"/>
    </xf>
    <xf numFmtId="49" fontId="32" fillId="0" borderId="34" xfId="4" applyNumberFormat="1" applyFont="1" applyBorder="1" applyAlignment="1" applyProtection="1">
      <alignment horizontal="center" vertical="center"/>
      <protection locked="0"/>
    </xf>
    <xf numFmtId="49" fontId="32" fillId="0" borderId="35" xfId="4" applyNumberFormat="1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left" vertical="center"/>
      <protection locked="0"/>
    </xf>
    <xf numFmtId="0" fontId="33" fillId="0" borderId="37" xfId="5" applyFont="1" applyBorder="1" applyAlignment="1">
      <alignment horizontal="center" vertical="center"/>
    </xf>
    <xf numFmtId="165" fontId="32" fillId="0" borderId="38" xfId="0" applyNumberFormat="1" applyFont="1" applyBorder="1" applyAlignment="1">
      <alignment vertical="center"/>
    </xf>
    <xf numFmtId="165" fontId="32" fillId="0" borderId="39" xfId="0" applyNumberFormat="1" applyFont="1" applyBorder="1" applyAlignment="1">
      <alignment vertical="center"/>
    </xf>
    <xf numFmtId="9" fontId="32" fillId="0" borderId="40" xfId="2" applyFont="1" applyFill="1" applyBorder="1" applyAlignment="1">
      <alignment horizontal="right" vertical="center"/>
    </xf>
    <xf numFmtId="165" fontId="32" fillId="0" borderId="41" xfId="0" applyNumberFormat="1" applyFont="1" applyBorder="1" applyAlignment="1">
      <alignment vertical="center"/>
    </xf>
    <xf numFmtId="165" fontId="32" fillId="0" borderId="40" xfId="0" applyNumberFormat="1" applyFont="1" applyBorder="1" applyAlignment="1">
      <alignment vertical="center"/>
    </xf>
    <xf numFmtId="165" fontId="32" fillId="4" borderId="39" xfId="0" applyNumberFormat="1" applyFont="1" applyFill="1" applyBorder="1" applyAlignment="1">
      <alignment vertical="center"/>
    </xf>
    <xf numFmtId="165" fontId="32" fillId="4" borderId="41" xfId="0" applyNumberFormat="1" applyFont="1" applyFill="1" applyBorder="1" applyAlignment="1">
      <alignment vertical="center"/>
    </xf>
    <xf numFmtId="165" fontId="32" fillId="4" borderId="40" xfId="0" applyNumberFormat="1" applyFont="1" applyFill="1" applyBorder="1" applyAlignment="1">
      <alignment vertical="center"/>
    </xf>
    <xf numFmtId="166" fontId="32" fillId="0" borderId="42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49" fontId="35" fillId="0" borderId="43" xfId="4" applyNumberFormat="1" applyFont="1" applyBorder="1" applyAlignment="1" applyProtection="1">
      <alignment horizontal="center" vertical="center"/>
      <protection locked="0"/>
    </xf>
    <xf numFmtId="49" fontId="36" fillId="0" borderId="44" xfId="4" applyNumberFormat="1" applyFont="1" applyBorder="1" applyAlignment="1" applyProtection="1">
      <alignment horizontal="center" vertical="center"/>
      <protection locked="0"/>
    </xf>
    <xf numFmtId="0" fontId="37" fillId="0" borderId="45" xfId="0" applyFont="1" applyBorder="1" applyAlignment="1" applyProtection="1">
      <alignment horizontal="left" vertical="center"/>
      <protection locked="0"/>
    </xf>
    <xf numFmtId="0" fontId="38" fillId="0" borderId="46" xfId="5" applyFont="1" applyBorder="1" applyAlignment="1">
      <alignment horizontal="left" vertical="center"/>
    </xf>
    <xf numFmtId="165" fontId="39" fillId="0" borderId="47" xfId="0" applyNumberFormat="1" applyFont="1" applyBorder="1" applyAlignment="1">
      <alignment vertical="center"/>
    </xf>
    <xf numFmtId="165" fontId="40" fillId="0" borderId="48" xfId="0" applyNumberFormat="1" applyFont="1" applyBorder="1" applyAlignment="1">
      <alignment vertical="center"/>
    </xf>
    <xf numFmtId="9" fontId="41" fillId="0" borderId="45" xfId="2" applyFont="1" applyFill="1" applyBorder="1" applyAlignment="1">
      <alignment horizontal="right" vertical="center"/>
    </xf>
    <xf numFmtId="165" fontId="41" fillId="0" borderId="44" xfId="0" applyNumberFormat="1" applyFont="1" applyBorder="1" applyAlignment="1">
      <alignment vertical="center"/>
    </xf>
    <xf numFmtId="165" fontId="41" fillId="0" borderId="45" xfId="0" applyNumberFormat="1" applyFont="1" applyBorder="1" applyAlignment="1">
      <alignment vertical="center"/>
    </xf>
    <xf numFmtId="166" fontId="41" fillId="0" borderId="49" xfId="0" applyNumberFormat="1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8" fillId="0" borderId="46" xfId="5" applyFont="1" applyBorder="1" applyAlignment="1">
      <alignment horizontal="left" vertical="center" wrapText="1"/>
    </xf>
    <xf numFmtId="0" fontId="43" fillId="0" borderId="46" xfId="5" applyFont="1" applyBorder="1" applyAlignment="1">
      <alignment horizontal="left" vertical="center" wrapText="1"/>
    </xf>
    <xf numFmtId="49" fontId="35" fillId="0" borderId="50" xfId="4" applyNumberFormat="1" applyFont="1" applyBorder="1" applyAlignment="1" applyProtection="1">
      <alignment horizontal="center" vertical="center"/>
      <protection locked="0"/>
    </xf>
    <xf numFmtId="49" fontId="36" fillId="0" borderId="51" xfId="4" applyNumberFormat="1" applyFont="1" applyBorder="1" applyAlignment="1" applyProtection="1">
      <alignment horizontal="center" vertical="center"/>
      <protection locked="0"/>
    </xf>
    <xf numFmtId="0" fontId="37" fillId="0" borderId="52" xfId="0" applyFont="1" applyBorder="1" applyAlignment="1" applyProtection="1">
      <alignment horizontal="left" vertical="center"/>
      <protection locked="0"/>
    </xf>
    <xf numFmtId="0" fontId="38" fillId="0" borderId="53" xfId="5" applyFont="1" applyBorder="1" applyAlignment="1">
      <alignment horizontal="left" vertical="center"/>
    </xf>
    <xf numFmtId="0" fontId="44" fillId="0" borderId="45" xfId="0" applyFont="1" applyBorder="1" applyAlignment="1" applyProtection="1">
      <alignment horizontal="left" vertical="center"/>
      <protection locked="0"/>
    </xf>
    <xf numFmtId="165" fontId="40" fillId="0" borderId="54" xfId="0" applyNumberFormat="1" applyFont="1" applyBorder="1" applyAlignment="1">
      <alignment vertical="center"/>
    </xf>
    <xf numFmtId="165" fontId="41" fillId="0" borderId="54" xfId="0" applyNumberFormat="1" applyFont="1" applyBorder="1" applyAlignment="1">
      <alignment vertical="center"/>
    </xf>
    <xf numFmtId="49" fontId="32" fillId="0" borderId="55" xfId="4" applyNumberFormat="1" applyFont="1" applyBorder="1" applyAlignment="1" applyProtection="1">
      <alignment horizontal="center" vertical="center"/>
      <protection locked="0"/>
    </xf>
    <xf numFmtId="49" fontId="32" fillId="0" borderId="41" xfId="4" applyNumberFormat="1" applyFont="1" applyBorder="1" applyAlignment="1" applyProtection="1">
      <alignment horizontal="center" vertical="center"/>
      <protection locked="0"/>
    </xf>
    <xf numFmtId="0" fontId="32" fillId="0" borderId="40" xfId="0" applyFont="1" applyBorder="1" applyAlignment="1" applyProtection="1">
      <alignment horizontal="left" vertical="center"/>
      <protection locked="0"/>
    </xf>
    <xf numFmtId="0" fontId="33" fillId="0" borderId="56" xfId="5" applyFont="1" applyBorder="1" applyAlignment="1">
      <alignment horizontal="center" vertical="center"/>
    </xf>
    <xf numFmtId="165" fontId="32" fillId="0" borderId="57" xfId="0" applyNumberFormat="1" applyFont="1" applyBorder="1" applyAlignment="1">
      <alignment vertical="center"/>
    </xf>
    <xf numFmtId="49" fontId="35" fillId="0" borderId="58" xfId="4" applyNumberFormat="1" applyFont="1" applyBorder="1" applyAlignment="1" applyProtection="1">
      <alignment horizontal="center" vertical="center"/>
      <protection locked="0"/>
    </xf>
    <xf numFmtId="49" fontId="36" fillId="0" borderId="32" xfId="4" applyNumberFormat="1" applyFont="1" applyBorder="1" applyAlignment="1" applyProtection="1">
      <alignment horizontal="center" vertical="center"/>
      <protection locked="0"/>
    </xf>
    <xf numFmtId="0" fontId="37" fillId="0" borderId="31" xfId="0" applyFont="1" applyBorder="1" applyAlignment="1" applyProtection="1">
      <alignment horizontal="left" vertical="center"/>
      <protection locked="0"/>
    </xf>
    <xf numFmtId="0" fontId="38" fillId="0" borderId="59" xfId="5" applyFont="1" applyBorder="1" applyAlignment="1">
      <alignment horizontal="left" vertical="center"/>
    </xf>
    <xf numFmtId="165" fontId="40" fillId="0" borderId="47" xfId="0" applyNumberFormat="1" applyFont="1" applyBorder="1" applyAlignment="1">
      <alignment vertical="center"/>
    </xf>
    <xf numFmtId="166" fontId="40" fillId="0" borderId="49" xfId="0" applyNumberFormat="1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167" fontId="40" fillId="0" borderId="47" xfId="0" applyNumberFormat="1" applyFont="1" applyBorder="1" applyAlignment="1">
      <alignment vertical="center"/>
    </xf>
    <xf numFmtId="168" fontId="41" fillId="0" borderId="45" xfId="2" applyNumberFormat="1" applyFont="1" applyFill="1" applyBorder="1" applyAlignment="1">
      <alignment horizontal="right" vertical="center"/>
    </xf>
    <xf numFmtId="166" fontId="41" fillId="0" borderId="44" xfId="0" applyNumberFormat="1" applyFont="1" applyBorder="1" applyAlignment="1">
      <alignment vertical="center"/>
    </xf>
    <xf numFmtId="166" fontId="41" fillId="0" borderId="45" xfId="0" applyNumberFormat="1" applyFont="1" applyBorder="1" applyAlignment="1">
      <alignment vertical="center"/>
    </xf>
    <xf numFmtId="166" fontId="40" fillId="0" borderId="48" xfId="0" applyNumberFormat="1" applyFont="1" applyBorder="1" applyAlignment="1">
      <alignment vertical="center"/>
    </xf>
    <xf numFmtId="0" fontId="41" fillId="0" borderId="45" xfId="0" applyFont="1" applyBorder="1" applyAlignment="1" applyProtection="1">
      <alignment horizontal="left" vertical="center"/>
      <protection locked="0"/>
    </xf>
    <xf numFmtId="0" fontId="14" fillId="0" borderId="46" xfId="5" applyFont="1" applyBorder="1" applyAlignment="1">
      <alignment horizontal="left" vertical="center"/>
    </xf>
    <xf numFmtId="165" fontId="40" fillId="0" borderId="44" xfId="0" applyNumberFormat="1" applyFont="1" applyBorder="1" applyAlignment="1">
      <alignment vertical="center"/>
    </xf>
    <xf numFmtId="165" fontId="40" fillId="0" borderId="47" xfId="1" applyNumberFormat="1" applyFont="1" applyFill="1" applyBorder="1" applyAlignment="1">
      <alignment vertical="center"/>
    </xf>
    <xf numFmtId="0" fontId="41" fillId="0" borderId="52" xfId="0" applyFont="1" applyBorder="1" applyAlignment="1" applyProtection="1">
      <alignment horizontal="left" vertical="center"/>
      <protection locked="0"/>
    </xf>
    <xf numFmtId="0" fontId="14" fillId="0" borderId="53" xfId="5" applyFont="1" applyBorder="1" applyAlignment="1">
      <alignment horizontal="left" vertical="center"/>
    </xf>
    <xf numFmtId="165" fontId="40" fillId="0" borderId="60" xfId="1" applyNumberFormat="1" applyFont="1" applyFill="1" applyBorder="1" applyAlignment="1">
      <alignment vertical="center"/>
    </xf>
    <xf numFmtId="9" fontId="41" fillId="0" borderId="52" xfId="2" applyFont="1" applyFill="1" applyBorder="1" applyAlignment="1">
      <alignment horizontal="right" vertical="center"/>
    </xf>
    <xf numFmtId="165" fontId="40" fillId="0" borderId="61" xfId="0" applyNumberFormat="1" applyFont="1" applyBorder="1" applyAlignment="1">
      <alignment vertical="center"/>
    </xf>
    <xf numFmtId="165" fontId="41" fillId="0" borderId="51" xfId="0" applyNumberFormat="1" applyFont="1" applyBorder="1" applyAlignment="1">
      <alignment vertical="center"/>
    </xf>
    <xf numFmtId="165" fontId="41" fillId="0" borderId="52" xfId="0" applyNumberFormat="1" applyFont="1" applyBorder="1" applyAlignment="1">
      <alignment vertical="center"/>
    </xf>
    <xf numFmtId="165" fontId="40" fillId="0" borderId="51" xfId="0" applyNumberFormat="1" applyFont="1" applyBorder="1" applyAlignment="1">
      <alignment vertical="center"/>
    </xf>
    <xf numFmtId="166" fontId="41" fillId="0" borderId="62" xfId="0" applyNumberFormat="1" applyFont="1" applyBorder="1" applyAlignment="1">
      <alignment vertical="center"/>
    </xf>
    <xf numFmtId="49" fontId="35" fillId="0" borderId="63" xfId="4" applyNumberFormat="1" applyFont="1" applyBorder="1" applyAlignment="1" applyProtection="1">
      <alignment horizontal="center" vertical="center"/>
      <protection locked="0"/>
    </xf>
    <xf numFmtId="49" fontId="36" fillId="0" borderId="64" xfId="4" applyNumberFormat="1" applyFont="1" applyBorder="1" applyAlignment="1" applyProtection="1">
      <alignment horizontal="center" vertical="center"/>
      <protection locked="0"/>
    </xf>
    <xf numFmtId="0" fontId="41" fillId="0" borderId="65" xfId="0" applyFont="1" applyBorder="1" applyAlignment="1" applyProtection="1">
      <alignment horizontal="left" vertical="center"/>
      <protection locked="0"/>
    </xf>
    <xf numFmtId="0" fontId="14" fillId="0" borderId="66" xfId="5" applyFont="1" applyBorder="1" applyAlignment="1">
      <alignment horizontal="left" vertical="center"/>
    </xf>
    <xf numFmtId="167" fontId="40" fillId="0" borderId="67" xfId="1" applyNumberFormat="1" applyFont="1" applyFill="1" applyBorder="1" applyAlignment="1">
      <alignment vertical="center"/>
    </xf>
    <xf numFmtId="168" fontId="41" fillId="0" borderId="65" xfId="2" applyNumberFormat="1" applyFont="1" applyFill="1" applyBorder="1" applyAlignment="1">
      <alignment horizontal="right" vertical="center"/>
    </xf>
    <xf numFmtId="166" fontId="41" fillId="0" borderId="64" xfId="0" applyNumberFormat="1" applyFont="1" applyBorder="1" applyAlignment="1">
      <alignment vertical="center"/>
    </xf>
    <xf numFmtId="166" fontId="41" fillId="0" borderId="65" xfId="0" applyNumberFormat="1" applyFont="1" applyBorder="1" applyAlignment="1">
      <alignment vertical="center"/>
    </xf>
    <xf numFmtId="166" fontId="40" fillId="0" borderId="68" xfId="0" applyNumberFormat="1" applyFont="1" applyBorder="1" applyAlignment="1">
      <alignment vertical="center"/>
    </xf>
    <xf numFmtId="166" fontId="40" fillId="0" borderId="64" xfId="0" applyNumberFormat="1" applyFont="1" applyBorder="1" applyAlignment="1">
      <alignment vertical="center"/>
    </xf>
    <xf numFmtId="166" fontId="40" fillId="0" borderId="65" xfId="0" applyNumberFormat="1" applyFont="1" applyBorder="1" applyAlignment="1">
      <alignment vertical="center"/>
    </xf>
    <xf numFmtId="166" fontId="41" fillId="0" borderId="69" xfId="0" applyNumberFormat="1" applyFont="1" applyBorder="1" applyAlignment="1">
      <alignment vertical="center"/>
    </xf>
    <xf numFmtId="0" fontId="46" fillId="0" borderId="56" xfId="5" applyFont="1" applyBorder="1" applyAlignment="1">
      <alignment horizontal="center" vertical="center"/>
    </xf>
    <xf numFmtId="165" fontId="35" fillId="0" borderId="45" xfId="0" applyNumberFormat="1" applyFont="1" applyBorder="1" applyAlignment="1">
      <alignment vertical="center"/>
    </xf>
    <xf numFmtId="165" fontId="35" fillId="0" borderId="52" xfId="0" applyNumberFormat="1" applyFont="1" applyBorder="1" applyAlignment="1">
      <alignment vertical="center"/>
    </xf>
    <xf numFmtId="49" fontId="36" fillId="0" borderId="55" xfId="4" applyNumberFormat="1" applyFont="1" applyBorder="1" applyAlignment="1" applyProtection="1">
      <alignment horizontal="center" vertical="center"/>
      <protection locked="0"/>
    </xf>
    <xf numFmtId="49" fontId="36" fillId="0" borderId="41" xfId="4" applyNumberFormat="1" applyFont="1" applyBorder="1" applyAlignment="1" applyProtection="1">
      <alignment horizontal="center" vertical="center"/>
      <protection locked="0"/>
    </xf>
    <xf numFmtId="0" fontId="36" fillId="0" borderId="40" xfId="0" applyFont="1" applyBorder="1" applyAlignment="1" applyProtection="1">
      <alignment horizontal="left" vertical="center"/>
      <protection locked="0"/>
    </xf>
    <xf numFmtId="165" fontId="30" fillId="0" borderId="5" xfId="0" applyNumberFormat="1" applyFont="1" applyBorder="1" applyAlignment="1">
      <alignment vertical="center"/>
    </xf>
    <xf numFmtId="165" fontId="30" fillId="0" borderId="70" xfId="0" applyNumberFormat="1" applyFont="1" applyBorder="1" applyAlignment="1">
      <alignment vertical="center"/>
    </xf>
    <xf numFmtId="9" fontId="30" fillId="0" borderId="71" xfId="2" applyFont="1" applyFill="1" applyBorder="1" applyAlignment="1">
      <alignment horizontal="right" vertical="center"/>
    </xf>
    <xf numFmtId="165" fontId="30" fillId="0" borderId="72" xfId="0" applyNumberFormat="1" applyFont="1" applyBorder="1" applyAlignment="1">
      <alignment vertical="center"/>
    </xf>
    <xf numFmtId="165" fontId="30" fillId="0" borderId="71" xfId="0" applyNumberFormat="1" applyFont="1" applyBorder="1" applyAlignment="1">
      <alignment vertical="center"/>
    </xf>
    <xf numFmtId="165" fontId="30" fillId="3" borderId="70" xfId="0" applyNumberFormat="1" applyFont="1" applyFill="1" applyBorder="1" applyAlignment="1">
      <alignment vertical="center"/>
    </xf>
    <xf numFmtId="165" fontId="30" fillId="3" borderId="72" xfId="0" applyNumberFormat="1" applyFont="1" applyFill="1" applyBorder="1" applyAlignment="1">
      <alignment vertical="center"/>
    </xf>
    <xf numFmtId="165" fontId="30" fillId="3" borderId="71" xfId="0" applyNumberFormat="1" applyFont="1" applyFill="1" applyBorder="1" applyAlignment="1">
      <alignment vertical="center"/>
    </xf>
    <xf numFmtId="166" fontId="30" fillId="0" borderId="73" xfId="0" applyNumberFormat="1" applyFont="1" applyBorder="1" applyAlignment="1">
      <alignment vertical="center"/>
    </xf>
    <xf numFmtId="0" fontId="31" fillId="5" borderId="0" xfId="0" applyFont="1" applyFill="1" applyAlignment="1">
      <alignment vertical="center"/>
    </xf>
    <xf numFmtId="0" fontId="34" fillId="5" borderId="0" xfId="0" applyFont="1" applyFill="1" applyAlignment="1">
      <alignment vertical="center"/>
    </xf>
    <xf numFmtId="165" fontId="39" fillId="0" borderId="74" xfId="0" applyNumberFormat="1" applyFont="1" applyBorder="1" applyAlignment="1">
      <alignment vertical="center"/>
    </xf>
    <xf numFmtId="9" fontId="37" fillId="0" borderId="36" xfId="2" applyFont="1" applyFill="1" applyBorder="1" applyAlignment="1">
      <alignment horizontal="right" vertical="center"/>
    </xf>
    <xf numFmtId="165" fontId="37" fillId="0" borderId="35" xfId="0" applyNumberFormat="1" applyFont="1" applyBorder="1" applyAlignment="1">
      <alignment vertical="center"/>
    </xf>
    <xf numFmtId="165" fontId="37" fillId="0" borderId="36" xfId="0" applyNumberFormat="1" applyFont="1" applyBorder="1" applyAlignment="1">
      <alignment vertical="center"/>
    </xf>
    <xf numFmtId="166" fontId="32" fillId="0" borderId="75" xfId="0" applyNumberFormat="1" applyFont="1" applyBorder="1" applyAlignment="1">
      <alignment vertical="center"/>
    </xf>
    <xf numFmtId="166" fontId="30" fillId="0" borderId="76" xfId="0" applyNumberFormat="1" applyFont="1" applyBorder="1" applyAlignment="1">
      <alignment vertical="center"/>
    </xf>
    <xf numFmtId="165" fontId="40" fillId="0" borderId="67" xfId="0" applyNumberFormat="1" applyFont="1" applyBorder="1" applyAlignment="1">
      <alignment vertical="center"/>
    </xf>
    <xf numFmtId="165" fontId="40" fillId="0" borderId="68" xfId="0" applyNumberFormat="1" applyFont="1" applyBorder="1" applyAlignment="1">
      <alignment vertical="center"/>
    </xf>
    <xf numFmtId="9" fontId="41" fillId="0" borderId="65" xfId="2" applyFont="1" applyFill="1" applyBorder="1" applyAlignment="1">
      <alignment horizontal="right" vertical="center"/>
    </xf>
    <xf numFmtId="165" fontId="41" fillId="0" borderId="64" xfId="0" applyNumberFormat="1" applyFont="1" applyBorder="1" applyAlignment="1">
      <alignment vertical="center"/>
    </xf>
    <xf numFmtId="165" fontId="41" fillId="0" borderId="65" xfId="0" applyNumberFormat="1" applyFont="1" applyBorder="1" applyAlignment="1">
      <alignment vertical="center"/>
    </xf>
    <xf numFmtId="166" fontId="30" fillId="0" borderId="77" xfId="0" applyNumberFormat="1" applyFont="1" applyBorder="1" applyAlignment="1">
      <alignment vertical="center"/>
    </xf>
    <xf numFmtId="0" fontId="41" fillId="0" borderId="31" xfId="0" applyFont="1" applyBorder="1" applyAlignment="1" applyProtection="1">
      <alignment horizontal="left" vertical="center"/>
      <protection locked="0"/>
    </xf>
    <xf numFmtId="0" fontId="14" fillId="0" borderId="59" xfId="5" applyFont="1" applyBorder="1" applyAlignment="1">
      <alignment horizontal="left" vertical="center"/>
    </xf>
    <xf numFmtId="165" fontId="40" fillId="0" borderId="29" xfId="0" applyNumberFormat="1" applyFont="1" applyBorder="1" applyAlignment="1">
      <alignment vertical="center"/>
    </xf>
    <xf numFmtId="165" fontId="40" fillId="0" borderId="30" xfId="0" applyNumberFormat="1" applyFont="1" applyBorder="1" applyAlignment="1">
      <alignment vertical="center"/>
    </xf>
    <xf numFmtId="9" fontId="41" fillId="0" borderId="31" xfId="2" applyFont="1" applyFill="1" applyBorder="1" applyAlignment="1">
      <alignment horizontal="right" vertical="center"/>
    </xf>
    <xf numFmtId="165" fontId="41" fillId="0" borderId="32" xfId="0" applyNumberFormat="1" applyFont="1" applyBorder="1" applyAlignment="1">
      <alignment vertical="center"/>
    </xf>
    <xf numFmtId="165" fontId="41" fillId="0" borderId="31" xfId="0" applyNumberFormat="1" applyFont="1" applyBorder="1" applyAlignment="1">
      <alignment vertical="center"/>
    </xf>
    <xf numFmtId="165" fontId="37" fillId="0" borderId="32" xfId="0" applyNumberFormat="1" applyFont="1" applyBorder="1" applyAlignment="1">
      <alignment vertical="center"/>
    </xf>
    <xf numFmtId="165" fontId="37" fillId="0" borderId="31" xfId="0" applyNumberFormat="1" applyFont="1" applyBorder="1" applyAlignment="1">
      <alignment vertical="center"/>
    </xf>
    <xf numFmtId="165" fontId="35" fillId="0" borderId="32" xfId="0" applyNumberFormat="1" applyFont="1" applyBorder="1" applyAlignment="1">
      <alignment vertical="center"/>
    </xf>
    <xf numFmtId="165" fontId="35" fillId="0" borderId="31" xfId="0" applyNumberFormat="1" applyFont="1" applyBorder="1" applyAlignment="1">
      <alignment vertical="center"/>
    </xf>
    <xf numFmtId="166" fontId="41" fillId="0" borderId="76" xfId="0" applyNumberFormat="1" applyFont="1" applyBorder="1" applyAlignment="1">
      <alignment vertical="center"/>
    </xf>
    <xf numFmtId="49" fontId="40" fillId="0" borderId="43" xfId="4" applyNumberFormat="1" applyFont="1" applyBorder="1" applyAlignment="1" applyProtection="1">
      <alignment horizontal="center" vertical="center"/>
      <protection locked="0"/>
    </xf>
    <xf numFmtId="49" fontId="40" fillId="0" borderId="44" xfId="4" applyNumberFormat="1" applyFont="1" applyBorder="1" applyAlignment="1" applyProtection="1">
      <alignment horizontal="center" vertical="center"/>
      <protection locked="0"/>
    </xf>
    <xf numFmtId="0" fontId="40" fillId="0" borderId="45" xfId="0" applyFont="1" applyBorder="1" applyAlignment="1" applyProtection="1">
      <alignment horizontal="left" vertical="center"/>
      <protection locked="0"/>
    </xf>
    <xf numFmtId="0" fontId="21" fillId="0" borderId="46" xfId="5" applyFont="1" applyBorder="1" applyAlignment="1">
      <alignment horizontal="center" vertical="center"/>
    </xf>
    <xf numFmtId="9" fontId="40" fillId="0" borderId="45" xfId="2" applyFont="1" applyFill="1" applyBorder="1" applyAlignment="1">
      <alignment horizontal="right" vertical="center"/>
    </xf>
    <xf numFmtId="165" fontId="40" fillId="0" borderId="45" xfId="0" applyNumberFormat="1" applyFont="1" applyBorder="1" applyAlignment="1">
      <alignment vertical="center"/>
    </xf>
    <xf numFmtId="165" fontId="40" fillId="2" borderId="48" xfId="0" applyNumberFormat="1" applyFont="1" applyFill="1" applyBorder="1" applyAlignment="1">
      <alignment vertical="center"/>
    </xf>
    <xf numFmtId="165" fontId="40" fillId="2" borderId="44" xfId="0" applyNumberFormat="1" applyFont="1" applyFill="1" applyBorder="1" applyAlignment="1">
      <alignment vertical="center"/>
    </xf>
    <xf numFmtId="165" fontId="40" fillId="2" borderId="45" xfId="0" applyNumberFormat="1" applyFont="1" applyFill="1" applyBorder="1" applyAlignment="1">
      <alignment vertical="center"/>
    </xf>
    <xf numFmtId="166" fontId="40" fillId="0" borderId="76" xfId="0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5" fontId="37" fillId="0" borderId="44" xfId="0" applyNumberFormat="1" applyFont="1" applyBorder="1" applyAlignment="1">
      <alignment vertical="center"/>
    </xf>
    <xf numFmtId="165" fontId="37" fillId="0" borderId="45" xfId="0" applyNumberFormat="1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8" fillId="0" borderId="60" xfId="5" applyFont="1" applyBorder="1" applyAlignment="1">
      <alignment horizontal="left" vertical="center"/>
    </xf>
    <xf numFmtId="165" fontId="39" fillId="0" borderId="60" xfId="0" applyNumberFormat="1" applyFont="1" applyBorder="1" applyAlignment="1">
      <alignment vertical="center"/>
    </xf>
    <xf numFmtId="165" fontId="37" fillId="0" borderId="51" xfId="0" applyNumberFormat="1" applyFont="1" applyBorder="1" applyAlignment="1">
      <alignment vertical="center"/>
    </xf>
    <xf numFmtId="165" fontId="37" fillId="0" borderId="52" xfId="0" applyNumberFormat="1" applyFont="1" applyBorder="1" applyAlignment="1">
      <alignment vertical="center"/>
    </xf>
    <xf numFmtId="165" fontId="39" fillId="0" borderId="29" xfId="0" applyNumberFormat="1" applyFont="1" applyBorder="1" applyAlignment="1">
      <alignment vertical="center"/>
    </xf>
    <xf numFmtId="49" fontId="35" fillId="0" borderId="80" xfId="4" applyNumberFormat="1" applyFont="1" applyBorder="1" applyAlignment="1" applyProtection="1">
      <alignment horizontal="center" vertical="center"/>
      <protection locked="0"/>
    </xf>
    <xf numFmtId="49" fontId="36" fillId="0" borderId="81" xfId="4" applyNumberFormat="1" applyFont="1" applyBorder="1" applyAlignment="1" applyProtection="1">
      <alignment horizontal="center" vertical="center"/>
      <protection locked="0"/>
    </xf>
    <xf numFmtId="0" fontId="37" fillId="0" borderId="82" xfId="0" applyFont="1" applyBorder="1" applyAlignment="1" applyProtection="1">
      <alignment horizontal="left" vertical="center"/>
      <protection locked="0"/>
    </xf>
    <xf numFmtId="0" fontId="38" fillId="0" borderId="83" xfId="5" applyFont="1" applyBorder="1" applyAlignment="1">
      <alignment horizontal="left" vertical="center"/>
    </xf>
    <xf numFmtId="165" fontId="39" fillId="0" borderId="84" xfId="0" applyNumberFormat="1" applyFont="1" applyBorder="1" applyAlignment="1">
      <alignment vertical="center"/>
    </xf>
    <xf numFmtId="165" fontId="40" fillId="0" borderId="85" xfId="0" applyNumberFormat="1" applyFont="1" applyBorder="1" applyAlignment="1">
      <alignment vertical="center"/>
    </xf>
    <xf numFmtId="9" fontId="41" fillId="0" borderId="82" xfId="2" applyFont="1" applyFill="1" applyBorder="1" applyAlignment="1">
      <alignment horizontal="right" vertical="center"/>
    </xf>
    <xf numFmtId="165" fontId="41" fillId="0" borderId="81" xfId="0" applyNumberFormat="1" applyFont="1" applyBorder="1" applyAlignment="1">
      <alignment vertical="center"/>
    </xf>
    <xf numFmtId="165" fontId="41" fillId="0" borderId="82" xfId="0" applyNumberFormat="1" applyFont="1" applyBorder="1" applyAlignment="1">
      <alignment vertical="center"/>
    </xf>
    <xf numFmtId="165" fontId="37" fillId="0" borderId="81" xfId="0" applyNumberFormat="1" applyFont="1" applyBorder="1" applyAlignment="1">
      <alignment vertical="center"/>
    </xf>
    <xf numFmtId="165" fontId="37" fillId="0" borderId="82" xfId="0" applyNumberFormat="1" applyFont="1" applyBorder="1" applyAlignment="1">
      <alignment vertical="center"/>
    </xf>
    <xf numFmtId="166" fontId="41" fillId="0" borderId="86" xfId="0" applyNumberFormat="1" applyFont="1" applyBorder="1" applyAlignment="1">
      <alignment vertical="center"/>
    </xf>
    <xf numFmtId="49" fontId="36" fillId="6" borderId="58" xfId="4" applyNumberFormat="1" applyFont="1" applyFill="1" applyBorder="1" applyAlignment="1" applyProtection="1">
      <alignment horizontal="center" vertical="center"/>
      <protection locked="0"/>
    </xf>
    <xf numFmtId="49" fontId="36" fillId="6" borderId="32" xfId="4" applyNumberFormat="1" applyFont="1" applyFill="1" applyBorder="1" applyAlignment="1" applyProtection="1">
      <alignment horizontal="center" vertical="center"/>
      <protection locked="0"/>
    </xf>
    <xf numFmtId="0" fontId="36" fillId="6" borderId="31" xfId="0" applyFont="1" applyFill="1" applyBorder="1" applyAlignment="1" applyProtection="1">
      <alignment horizontal="left" vertical="center"/>
      <protection locked="0"/>
    </xf>
    <xf numFmtId="0" fontId="33" fillId="6" borderId="59" xfId="5" applyFont="1" applyFill="1" applyBorder="1" applyAlignment="1">
      <alignment horizontal="center" vertical="center"/>
    </xf>
    <xf numFmtId="165" fontId="32" fillId="6" borderId="29" xfId="0" applyNumberFormat="1" applyFont="1" applyFill="1" applyBorder="1" applyAlignment="1">
      <alignment vertical="center"/>
    </xf>
    <xf numFmtId="165" fontId="32" fillId="6" borderId="30" xfId="0" applyNumberFormat="1" applyFont="1" applyFill="1" applyBorder="1" applyAlignment="1">
      <alignment vertical="center"/>
    </xf>
    <xf numFmtId="9" fontId="32" fillId="6" borderId="31" xfId="2" applyFont="1" applyFill="1" applyBorder="1" applyAlignment="1">
      <alignment horizontal="right" vertical="center"/>
    </xf>
    <xf numFmtId="165" fontId="32" fillId="6" borderId="32" xfId="0" applyNumberFormat="1" applyFont="1" applyFill="1" applyBorder="1" applyAlignment="1">
      <alignment vertical="center"/>
    </xf>
    <xf numFmtId="165" fontId="32" fillId="6" borderId="31" xfId="0" applyNumberFormat="1" applyFont="1" applyFill="1" applyBorder="1" applyAlignment="1">
      <alignment vertical="center"/>
    </xf>
    <xf numFmtId="166" fontId="32" fillId="0" borderId="87" xfId="0" applyNumberFormat="1" applyFont="1" applyBorder="1" applyAlignment="1">
      <alignment vertical="center"/>
    </xf>
    <xf numFmtId="165" fontId="39" fillId="0" borderId="48" xfId="0" applyNumberFormat="1" applyFont="1" applyBorder="1" applyAlignment="1">
      <alignment vertical="center"/>
    </xf>
    <xf numFmtId="166" fontId="37" fillId="0" borderId="88" xfId="0" applyNumberFormat="1" applyFont="1" applyBorder="1" applyAlignment="1">
      <alignment vertical="center"/>
    </xf>
    <xf numFmtId="165" fontId="39" fillId="0" borderId="30" xfId="0" applyNumberFormat="1" applyFont="1" applyBorder="1" applyAlignment="1">
      <alignment vertical="center"/>
    </xf>
    <xf numFmtId="9" fontId="37" fillId="0" borderId="31" xfId="2" applyFont="1" applyFill="1" applyBorder="1" applyAlignment="1">
      <alignment horizontal="right" vertical="center"/>
    </xf>
    <xf numFmtId="166" fontId="37" fillId="0" borderId="89" xfId="0" applyNumberFormat="1" applyFont="1" applyBorder="1" applyAlignment="1">
      <alignment vertical="center"/>
    </xf>
    <xf numFmtId="166" fontId="37" fillId="0" borderId="76" xfId="0" applyNumberFormat="1" applyFont="1" applyBorder="1" applyAlignment="1">
      <alignment vertical="center"/>
    </xf>
    <xf numFmtId="0" fontId="42" fillId="0" borderId="90" xfId="0" applyFont="1" applyBorder="1" applyAlignment="1">
      <alignment horizontal="center" vertical="center"/>
    </xf>
    <xf numFmtId="0" fontId="28" fillId="0" borderId="90" xfId="0" applyFont="1" applyBorder="1" applyAlignment="1">
      <alignment vertical="center"/>
    </xf>
    <xf numFmtId="0" fontId="42" fillId="0" borderId="90" xfId="0" applyFont="1" applyBorder="1" applyAlignment="1">
      <alignment vertical="center"/>
    </xf>
    <xf numFmtId="0" fontId="37" fillId="0" borderId="92" xfId="0" applyFont="1" applyBorder="1" applyAlignment="1" applyProtection="1">
      <alignment horizontal="left" vertical="center"/>
      <protection locked="0"/>
    </xf>
    <xf numFmtId="0" fontId="38" fillId="0" borderId="93" xfId="5" applyFont="1" applyBorder="1" applyAlignment="1">
      <alignment horizontal="left" vertical="center"/>
    </xf>
    <xf numFmtId="165" fontId="39" fillId="0" borderId="94" xfId="0" applyNumberFormat="1" applyFont="1" applyBorder="1" applyAlignment="1">
      <alignment vertical="center"/>
    </xf>
    <xf numFmtId="165" fontId="39" fillId="0" borderId="95" xfId="0" applyNumberFormat="1" applyFont="1" applyBorder="1" applyAlignment="1">
      <alignment vertical="center"/>
    </xf>
    <xf numFmtId="9" fontId="37" fillId="0" borderId="92" xfId="2" applyFont="1" applyFill="1" applyBorder="1" applyAlignment="1">
      <alignment horizontal="right" vertical="center"/>
    </xf>
    <xf numFmtId="165" fontId="37" fillId="0" borderId="91" xfId="0" applyNumberFormat="1" applyFont="1" applyBorder="1" applyAlignment="1">
      <alignment vertical="center"/>
    </xf>
    <xf numFmtId="165" fontId="37" fillId="0" borderId="92" xfId="0" applyNumberFormat="1" applyFont="1" applyBorder="1" applyAlignment="1">
      <alignment vertical="center"/>
    </xf>
    <xf numFmtId="166" fontId="37" fillId="0" borderId="86" xfId="0" applyNumberFormat="1" applyFont="1" applyBorder="1" applyAlignment="1">
      <alignment vertical="center"/>
    </xf>
    <xf numFmtId="166" fontId="4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3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0" fontId="51" fillId="0" borderId="0" xfId="3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52" fillId="0" borderId="0" xfId="3" applyFont="1" applyAlignment="1">
      <alignment horizontal="center" vertical="center"/>
    </xf>
    <xf numFmtId="0" fontId="51" fillId="0" borderId="0" xfId="3" applyFont="1" applyAlignment="1">
      <alignment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53" fillId="0" borderId="0" xfId="0" applyFont="1" applyAlignment="1">
      <alignment horizontal="right" vertical="center"/>
    </xf>
    <xf numFmtId="0" fontId="23" fillId="0" borderId="9" xfId="0" applyFont="1" applyBorder="1" applyAlignment="1">
      <alignment horizontal="center" vertical="center" wrapText="1"/>
    </xf>
    <xf numFmtId="49" fontId="35" fillId="0" borderId="96" xfId="4" applyNumberFormat="1" applyFont="1" applyBorder="1" applyAlignment="1" applyProtection="1">
      <alignment horizontal="center" vertical="center"/>
      <protection locked="0"/>
    </xf>
    <xf numFmtId="49" fontId="36" fillId="0" borderId="19" xfId="4" applyNumberFormat="1" applyFont="1" applyBorder="1" applyAlignment="1" applyProtection="1">
      <alignment horizontal="center" vertical="center"/>
      <protection locked="0"/>
    </xf>
    <xf numFmtId="0" fontId="37" fillId="0" borderId="18" xfId="0" applyFont="1" applyBorder="1" applyAlignment="1" applyProtection="1">
      <alignment horizontal="left" vertical="center"/>
      <protection locked="0"/>
    </xf>
    <xf numFmtId="0" fontId="55" fillId="0" borderId="97" xfId="5" applyFont="1" applyBorder="1" applyAlignment="1">
      <alignment horizontal="center" vertical="center"/>
    </xf>
    <xf numFmtId="3" fontId="30" fillId="0" borderId="2" xfId="0" applyNumberFormat="1" applyFont="1" applyBorder="1" applyAlignment="1">
      <alignment vertical="center"/>
    </xf>
    <xf numFmtId="3" fontId="30" fillId="0" borderId="17" xfId="0" applyNumberFormat="1" applyFont="1" applyBorder="1" applyAlignment="1">
      <alignment vertical="center"/>
    </xf>
    <xf numFmtId="9" fontId="30" fillId="0" borderId="18" xfId="2" applyFont="1" applyFill="1" applyBorder="1" applyAlignment="1">
      <alignment horizontal="right" vertical="center"/>
    </xf>
    <xf numFmtId="3" fontId="30" fillId="0" borderId="19" xfId="0" applyNumberFormat="1" applyFont="1" applyBorder="1" applyAlignment="1">
      <alignment vertical="center"/>
    </xf>
    <xf numFmtId="3" fontId="30" fillId="0" borderId="18" xfId="0" applyNumberFormat="1" applyFont="1" applyBorder="1" applyAlignment="1">
      <alignment vertical="center"/>
    </xf>
    <xf numFmtId="166" fontId="30" fillId="0" borderId="17" xfId="0" applyNumberFormat="1" applyFont="1" applyBorder="1" applyAlignment="1">
      <alignment vertical="center"/>
    </xf>
    <xf numFmtId="166" fontId="30" fillId="0" borderId="19" xfId="0" applyNumberFormat="1" applyFont="1" applyBorder="1" applyAlignment="1">
      <alignment vertical="center"/>
    </xf>
    <xf numFmtId="166" fontId="30" fillId="0" borderId="18" xfId="0" applyNumberFormat="1" applyFont="1" applyBorder="1" applyAlignment="1">
      <alignment vertical="center"/>
    </xf>
    <xf numFmtId="0" fontId="30" fillId="0" borderId="20" xfId="0" applyFont="1" applyBorder="1" applyAlignment="1">
      <alignment vertical="center"/>
    </xf>
    <xf numFmtId="49" fontId="35" fillId="0" borderId="34" xfId="4" applyNumberFormat="1" applyFont="1" applyBorder="1" applyAlignment="1" applyProtection="1">
      <alignment horizontal="center" vertical="center"/>
      <protection locked="0"/>
    </xf>
    <xf numFmtId="49" fontId="36" fillId="0" borderId="35" xfId="4" applyNumberFormat="1" applyFont="1" applyBorder="1" applyAlignment="1" applyProtection="1">
      <alignment horizontal="center" vertical="center"/>
      <protection locked="0"/>
    </xf>
    <xf numFmtId="0" fontId="37" fillId="0" borderId="36" xfId="0" applyFont="1" applyBorder="1" applyAlignment="1" applyProtection="1">
      <alignment horizontal="left" vertical="center"/>
      <protection locked="0"/>
    </xf>
    <xf numFmtId="0" fontId="38" fillId="0" borderId="37" xfId="5" applyFont="1" applyBorder="1" applyAlignment="1">
      <alignment horizontal="left" vertical="center"/>
    </xf>
    <xf numFmtId="3" fontId="39" fillId="0" borderId="98" xfId="0" applyNumberFormat="1" applyFont="1" applyBorder="1" applyAlignment="1">
      <alignment vertical="center"/>
    </xf>
    <xf numFmtId="3" fontId="39" fillId="0" borderId="74" xfId="0" applyNumberFormat="1" applyFont="1" applyBorder="1" applyAlignment="1">
      <alignment vertical="center"/>
    </xf>
    <xf numFmtId="3" fontId="37" fillId="0" borderId="35" xfId="0" applyNumberFormat="1" applyFont="1" applyBorder="1" applyAlignment="1">
      <alignment vertical="center"/>
    </xf>
    <xf numFmtId="3" fontId="37" fillId="0" borderId="36" xfId="0" applyNumberFormat="1" applyFont="1" applyBorder="1" applyAlignment="1">
      <alignment vertical="center"/>
    </xf>
    <xf numFmtId="166" fontId="39" fillId="0" borderId="74" xfId="0" applyNumberFormat="1" applyFont="1" applyBorder="1" applyAlignment="1">
      <alignment vertical="center"/>
    </xf>
    <xf numFmtId="166" fontId="37" fillId="0" borderId="35" xfId="0" applyNumberFormat="1" applyFont="1" applyBorder="1" applyAlignment="1">
      <alignment vertical="center"/>
    </xf>
    <xf numFmtId="166" fontId="37" fillId="0" borderId="36" xfId="0" applyNumberFormat="1" applyFont="1" applyBorder="1" applyAlignment="1">
      <alignment vertical="center"/>
    </xf>
    <xf numFmtId="0" fontId="37" fillId="0" borderId="75" xfId="0" applyFont="1" applyBorder="1" applyAlignment="1">
      <alignment vertical="center"/>
    </xf>
    <xf numFmtId="3" fontId="39" fillId="0" borderId="60" xfId="0" applyNumberFormat="1" applyFont="1" applyBorder="1" applyAlignment="1">
      <alignment vertical="center"/>
    </xf>
    <xf numFmtId="3" fontId="39" fillId="0" borderId="61" xfId="0" applyNumberFormat="1" applyFont="1" applyBorder="1" applyAlignment="1">
      <alignment vertical="center"/>
    </xf>
    <xf numFmtId="9" fontId="37" fillId="0" borderId="52" xfId="2" applyFont="1" applyFill="1" applyBorder="1" applyAlignment="1">
      <alignment horizontal="right" vertical="center"/>
    </xf>
    <xf numFmtId="3" fontId="37" fillId="0" borderId="51" xfId="0" applyNumberFormat="1" applyFont="1" applyBorder="1" applyAlignment="1">
      <alignment vertical="center"/>
    </xf>
    <xf numFmtId="3" fontId="37" fillId="0" borderId="52" xfId="0" applyNumberFormat="1" applyFont="1" applyBorder="1" applyAlignment="1">
      <alignment vertical="center"/>
    </xf>
    <xf numFmtId="166" fontId="39" fillId="0" borderId="61" xfId="0" applyNumberFormat="1" applyFont="1" applyBorder="1" applyAlignment="1">
      <alignment vertical="center"/>
    </xf>
    <xf numFmtId="166" fontId="37" fillId="0" borderId="51" xfId="0" applyNumberFormat="1" applyFont="1" applyBorder="1" applyAlignment="1">
      <alignment vertical="center"/>
    </xf>
    <xf numFmtId="166" fontId="37" fillId="0" borderId="52" xfId="0" applyNumberFormat="1" applyFont="1" applyBorder="1" applyAlignment="1">
      <alignment vertical="center"/>
    </xf>
    <xf numFmtId="0" fontId="37" fillId="0" borderId="62" xfId="0" applyFont="1" applyBorder="1" applyAlignment="1">
      <alignment vertical="center"/>
    </xf>
    <xf numFmtId="3" fontId="39" fillId="0" borderId="47" xfId="0" applyNumberFormat="1" applyFont="1" applyBorder="1" applyAlignment="1">
      <alignment vertical="center"/>
    </xf>
    <xf numFmtId="3" fontId="39" fillId="0" borderId="48" xfId="0" applyNumberFormat="1" applyFont="1" applyBorder="1" applyAlignment="1">
      <alignment vertical="center"/>
    </xf>
    <xf numFmtId="9" fontId="37" fillId="0" borderId="45" xfId="2" applyFont="1" applyFill="1" applyBorder="1" applyAlignment="1">
      <alignment horizontal="right" vertical="center"/>
    </xf>
    <xf numFmtId="3" fontId="37" fillId="0" borderId="44" xfId="0" applyNumberFormat="1" applyFont="1" applyBorder="1" applyAlignment="1">
      <alignment vertical="center"/>
    </xf>
    <xf numFmtId="3" fontId="37" fillId="0" borderId="45" xfId="0" applyNumberFormat="1" applyFont="1" applyBorder="1" applyAlignment="1">
      <alignment vertical="center"/>
    </xf>
    <xf numFmtId="166" fontId="39" fillId="0" borderId="48" xfId="0" applyNumberFormat="1" applyFont="1" applyBorder="1" applyAlignment="1">
      <alignment vertical="center"/>
    </xf>
    <xf numFmtId="166" fontId="37" fillId="0" borderId="44" xfId="0" applyNumberFormat="1" applyFont="1" applyBorder="1" applyAlignment="1">
      <alignment vertical="center"/>
    </xf>
    <xf numFmtId="166" fontId="37" fillId="0" borderId="45" xfId="0" applyNumberFormat="1" applyFont="1" applyBorder="1" applyAlignment="1">
      <alignment vertical="center"/>
    </xf>
    <xf numFmtId="0" fontId="37" fillId="0" borderId="49" xfId="0" applyFont="1" applyBorder="1" applyAlignment="1">
      <alignment vertical="center"/>
    </xf>
    <xf numFmtId="49" fontId="35" fillId="0" borderId="99" xfId="4" applyNumberFormat="1" applyFont="1" applyBorder="1" applyAlignment="1" applyProtection="1">
      <alignment horizontal="center" vertical="center"/>
      <protection locked="0"/>
    </xf>
    <xf numFmtId="3" fontId="39" fillId="0" borderId="84" xfId="0" applyNumberFormat="1" applyFont="1" applyBorder="1" applyAlignment="1">
      <alignment vertical="center"/>
    </xf>
    <xf numFmtId="3" fontId="39" fillId="0" borderId="85" xfId="0" applyNumberFormat="1" applyFont="1" applyBorder="1" applyAlignment="1">
      <alignment vertical="center"/>
    </xf>
    <xf numFmtId="9" fontId="37" fillId="0" borderId="82" xfId="2" applyFont="1" applyFill="1" applyBorder="1" applyAlignment="1">
      <alignment horizontal="right" vertical="center"/>
    </xf>
    <xf numFmtId="3" fontId="37" fillId="0" borderId="81" xfId="0" applyNumberFormat="1" applyFont="1" applyBorder="1" applyAlignment="1">
      <alignment vertical="center"/>
    </xf>
    <xf numFmtId="3" fontId="37" fillId="0" borderId="82" xfId="0" applyNumberFormat="1" applyFont="1" applyBorder="1" applyAlignment="1">
      <alignment vertical="center"/>
    </xf>
    <xf numFmtId="166" fontId="39" fillId="0" borderId="68" xfId="0" applyNumberFormat="1" applyFont="1" applyBorder="1" applyAlignment="1">
      <alignment vertical="center"/>
    </xf>
    <xf numFmtId="166" fontId="37" fillId="0" borderId="64" xfId="0" applyNumberFormat="1" applyFont="1" applyBorder="1" applyAlignment="1">
      <alignment vertical="center"/>
    </xf>
    <xf numFmtId="166" fontId="37" fillId="0" borderId="65" xfId="0" applyNumberFormat="1" applyFont="1" applyBorder="1" applyAlignment="1">
      <alignment vertical="center"/>
    </xf>
    <xf numFmtId="3" fontId="39" fillId="0" borderId="68" xfId="0" applyNumberFormat="1" applyFont="1" applyBorder="1" applyAlignment="1">
      <alignment vertical="center"/>
    </xf>
    <xf numFmtId="3" fontId="37" fillId="0" borderId="64" xfId="0" applyNumberFormat="1" applyFont="1" applyBorder="1" applyAlignment="1">
      <alignment vertical="center"/>
    </xf>
    <xf numFmtId="3" fontId="37" fillId="0" borderId="65" xfId="0" applyNumberFormat="1" applyFont="1" applyBorder="1" applyAlignment="1">
      <alignment vertical="center"/>
    </xf>
    <xf numFmtId="0" fontId="37" fillId="0" borderId="100" xfId="0" applyFont="1" applyBorder="1" applyAlignment="1">
      <alignment vertical="center"/>
    </xf>
    <xf numFmtId="49" fontId="35" fillId="7" borderId="34" xfId="4" applyNumberFormat="1" applyFont="1" applyFill="1" applyBorder="1" applyAlignment="1" applyProtection="1">
      <alignment horizontal="center" vertical="center"/>
      <protection locked="0"/>
    </xf>
    <xf numFmtId="49" fontId="36" fillId="7" borderId="35" xfId="4" applyNumberFormat="1" applyFont="1" applyFill="1" applyBorder="1" applyAlignment="1" applyProtection="1">
      <alignment horizontal="center" vertical="center"/>
      <protection locked="0"/>
    </xf>
    <xf numFmtId="0" fontId="37" fillId="7" borderId="36" xfId="0" applyFont="1" applyFill="1" applyBorder="1" applyAlignment="1" applyProtection="1">
      <alignment horizontal="left" vertical="center"/>
      <protection locked="0"/>
    </xf>
    <xf numFmtId="0" fontId="56" fillId="7" borderId="37" xfId="5" applyFont="1" applyFill="1" applyBorder="1" applyAlignment="1">
      <alignment horizontal="center" vertical="center"/>
    </xf>
    <xf numFmtId="166" fontId="32" fillId="7" borderId="98" xfId="0" applyNumberFormat="1" applyFont="1" applyFill="1" applyBorder="1" applyAlignment="1">
      <alignment vertical="center"/>
    </xf>
    <xf numFmtId="166" fontId="32" fillId="7" borderId="74" xfId="0" applyNumberFormat="1" applyFont="1" applyFill="1" applyBorder="1" applyAlignment="1">
      <alignment vertical="center"/>
    </xf>
    <xf numFmtId="168" fontId="32" fillId="7" borderId="37" xfId="2" applyNumberFormat="1" applyFont="1" applyFill="1" applyBorder="1" applyAlignment="1">
      <alignment horizontal="right" vertical="center"/>
    </xf>
    <xf numFmtId="166" fontId="32" fillId="7" borderId="35" xfId="0" applyNumberFormat="1" applyFont="1" applyFill="1" applyBorder="1" applyAlignment="1">
      <alignment vertical="center"/>
    </xf>
    <xf numFmtId="166" fontId="32" fillId="7" borderId="36" xfId="0" applyNumberFormat="1" applyFont="1" applyFill="1" applyBorder="1" applyAlignment="1">
      <alignment vertical="center"/>
    </xf>
    <xf numFmtId="166" fontId="32" fillId="7" borderId="39" xfId="0" applyNumberFormat="1" applyFont="1" applyFill="1" applyBorder="1" applyAlignment="1">
      <alignment vertical="center"/>
    </xf>
    <xf numFmtId="166" fontId="32" fillId="7" borderId="41" xfId="0" applyNumberFormat="1" applyFont="1" applyFill="1" applyBorder="1" applyAlignment="1">
      <alignment vertical="center"/>
    </xf>
    <xf numFmtId="166" fontId="32" fillId="7" borderId="40" xfId="0" applyNumberFormat="1" applyFont="1" applyFill="1" applyBorder="1" applyAlignment="1">
      <alignment vertical="center"/>
    </xf>
    <xf numFmtId="3" fontId="32" fillId="7" borderId="39" xfId="0" applyNumberFormat="1" applyFont="1" applyFill="1" applyBorder="1" applyAlignment="1">
      <alignment vertical="center"/>
    </xf>
    <xf numFmtId="3" fontId="32" fillId="7" borderId="41" xfId="0" applyNumberFormat="1" applyFont="1" applyFill="1" applyBorder="1" applyAlignment="1">
      <alignment vertical="center"/>
    </xf>
    <xf numFmtId="3" fontId="32" fillId="7" borderId="40" xfId="0" applyNumberFormat="1" applyFont="1" applyFill="1" applyBorder="1" applyAlignment="1">
      <alignment vertical="center"/>
    </xf>
    <xf numFmtId="0" fontId="32" fillId="7" borderId="75" xfId="0" applyFont="1" applyFill="1" applyBorder="1" applyAlignment="1">
      <alignment vertical="center"/>
    </xf>
    <xf numFmtId="166" fontId="39" fillId="0" borderId="47" xfId="0" applyNumberFormat="1" applyFont="1" applyBorder="1" applyAlignment="1">
      <alignment vertical="center"/>
    </xf>
    <xf numFmtId="168" fontId="37" fillId="0" borderId="45" xfId="2" applyNumberFormat="1" applyFont="1" applyFill="1" applyBorder="1" applyAlignment="1">
      <alignment horizontal="right" vertical="center"/>
    </xf>
    <xf numFmtId="166" fontId="39" fillId="0" borderId="60" xfId="0" applyNumberFormat="1" applyFont="1" applyBorder="1" applyAlignment="1">
      <alignment vertical="center"/>
    </xf>
    <xf numFmtId="168" fontId="37" fillId="0" borderId="52" xfId="2" applyNumberFormat="1" applyFont="1" applyFill="1" applyBorder="1" applyAlignment="1">
      <alignment horizontal="right" vertical="center"/>
    </xf>
    <xf numFmtId="0" fontId="37" fillId="0" borderId="65" xfId="0" applyFont="1" applyBorder="1" applyAlignment="1" applyProtection="1">
      <alignment horizontal="left" vertical="center"/>
      <protection locked="0"/>
    </xf>
    <xf numFmtId="0" fontId="38" fillId="0" borderId="66" xfId="5" applyFont="1" applyBorder="1" applyAlignment="1">
      <alignment horizontal="left" vertical="center"/>
    </xf>
    <xf numFmtId="166" fontId="39" fillId="0" borderId="67" xfId="0" applyNumberFormat="1" applyFont="1" applyBorder="1" applyAlignment="1">
      <alignment vertical="center"/>
    </xf>
    <xf numFmtId="168" fontId="37" fillId="0" borderId="65" xfId="2" applyNumberFormat="1" applyFont="1" applyFill="1" applyBorder="1" applyAlignment="1">
      <alignment horizontal="right" vertical="center"/>
    </xf>
    <xf numFmtId="0" fontId="37" fillId="0" borderId="69" xfId="0" applyFont="1" applyBorder="1" applyAlignment="1">
      <alignment vertical="center"/>
    </xf>
    <xf numFmtId="49" fontId="35" fillId="7" borderId="55" xfId="4" applyNumberFormat="1" applyFont="1" applyFill="1" applyBorder="1" applyAlignment="1" applyProtection="1">
      <alignment horizontal="center" vertical="center"/>
      <protection locked="0"/>
    </xf>
    <xf numFmtId="49" fontId="36" fillId="7" borderId="41" xfId="4" applyNumberFormat="1" applyFont="1" applyFill="1" applyBorder="1" applyAlignment="1" applyProtection="1">
      <alignment horizontal="center" vertical="center"/>
      <protection locked="0"/>
    </xf>
    <xf numFmtId="0" fontId="37" fillId="7" borderId="40" xfId="0" applyFont="1" applyFill="1" applyBorder="1" applyAlignment="1" applyProtection="1">
      <alignment horizontal="left" vertical="center"/>
      <protection locked="0"/>
    </xf>
    <xf numFmtId="0" fontId="56" fillId="7" borderId="56" xfId="5" applyFont="1" applyFill="1" applyBorder="1" applyAlignment="1">
      <alignment horizontal="center" vertical="center"/>
    </xf>
    <xf numFmtId="166" fontId="32" fillId="7" borderId="38" xfId="0" applyNumberFormat="1" applyFont="1" applyFill="1" applyBorder="1" applyAlignment="1">
      <alignment vertical="center"/>
    </xf>
    <xf numFmtId="168" fontId="32" fillId="7" borderId="56" xfId="2" applyNumberFormat="1" applyFont="1" applyFill="1" applyBorder="1" applyAlignment="1">
      <alignment horizontal="right" vertical="center"/>
    </xf>
    <xf numFmtId="0" fontId="32" fillId="7" borderId="42" xfId="0" applyFont="1" applyFill="1" applyBorder="1" applyAlignment="1">
      <alignment vertical="center"/>
    </xf>
    <xf numFmtId="3" fontId="32" fillId="7" borderId="74" xfId="0" applyNumberFormat="1" applyFont="1" applyFill="1" applyBorder="1" applyAlignment="1">
      <alignment vertical="center"/>
    </xf>
    <xf numFmtId="3" fontId="32" fillId="7" borderId="35" xfId="0" applyNumberFormat="1" applyFont="1" applyFill="1" applyBorder="1" applyAlignment="1">
      <alignment vertical="center"/>
    </xf>
    <xf numFmtId="3" fontId="32" fillId="7" borderId="36" xfId="0" applyNumberFormat="1" applyFont="1" applyFill="1" applyBorder="1" applyAlignment="1">
      <alignment vertical="center"/>
    </xf>
    <xf numFmtId="166" fontId="39" fillId="0" borderId="85" xfId="0" applyNumberFormat="1" applyFont="1" applyBorder="1" applyAlignment="1">
      <alignment vertical="center"/>
    </xf>
    <xf numFmtId="166" fontId="37" fillId="0" borderId="81" xfId="0" applyNumberFormat="1" applyFont="1" applyBorder="1" applyAlignment="1">
      <alignment vertical="center"/>
    </xf>
    <xf numFmtId="166" fontId="37" fillId="0" borderId="82" xfId="0" applyNumberFormat="1" applyFont="1" applyBorder="1" applyAlignment="1">
      <alignment vertical="center"/>
    </xf>
    <xf numFmtId="0" fontId="33" fillId="0" borderId="78" xfId="5" applyFont="1" applyBorder="1" applyAlignment="1">
      <alignment vertical="center"/>
    </xf>
    <xf numFmtId="0" fontId="33" fillId="0" borderId="79" xfId="5" applyFont="1" applyBorder="1" applyAlignment="1">
      <alignment vertical="center"/>
    </xf>
    <xf numFmtId="0" fontId="33" fillId="0" borderId="56" xfId="5" applyFont="1" applyBorder="1" applyAlignment="1">
      <alignment vertical="center"/>
    </xf>
    <xf numFmtId="0" fontId="36" fillId="0" borderId="44" xfId="4" applyFont="1" applyBorder="1" applyAlignment="1" applyProtection="1">
      <alignment horizontal="center" vertical="center"/>
      <protection locked="0"/>
    </xf>
    <xf numFmtId="0" fontId="36" fillId="0" borderId="32" xfId="4" applyFont="1" applyBorder="1" applyAlignment="1" applyProtection="1">
      <alignment horizontal="center" vertical="center"/>
      <protection locked="0"/>
    </xf>
    <xf numFmtId="0" fontId="36" fillId="0" borderId="51" xfId="4" applyFont="1" applyBorder="1" applyAlignment="1" applyProtection="1">
      <alignment horizontal="center" vertical="center"/>
      <protection locked="0"/>
    </xf>
    <xf numFmtId="0" fontId="36" fillId="0" borderId="64" xfId="4" applyFont="1" applyBorder="1" applyAlignment="1" applyProtection="1">
      <alignment horizontal="center" vertical="center"/>
      <protection locked="0"/>
    </xf>
    <xf numFmtId="0" fontId="36" fillId="0" borderId="91" xfId="4" applyFont="1" applyBorder="1" applyAlignment="1" applyProtection="1">
      <alignment horizontal="center" vertical="center"/>
      <protection locked="0"/>
    </xf>
    <xf numFmtId="0" fontId="35" fillId="0" borderId="43" xfId="4" applyFont="1" applyBorder="1" applyAlignment="1" applyProtection="1">
      <alignment horizontal="center" vertical="center"/>
      <protection locked="0"/>
    </xf>
    <xf numFmtId="0" fontId="35" fillId="0" borderId="58" xfId="4" applyFont="1" applyBorder="1" applyAlignment="1" applyProtection="1">
      <alignment horizontal="center" vertical="center"/>
      <protection locked="0"/>
    </xf>
    <xf numFmtId="0" fontId="35" fillId="0" borderId="50" xfId="4" applyFont="1" applyBorder="1" applyAlignment="1" applyProtection="1">
      <alignment horizontal="center" vertical="center"/>
      <protection locked="0"/>
    </xf>
    <xf numFmtId="0" fontId="35" fillId="0" borderId="63" xfId="4" applyFont="1" applyBorder="1" applyAlignment="1" applyProtection="1">
      <alignment horizontal="center" vertical="center"/>
      <protection locked="0"/>
    </xf>
    <xf numFmtId="0" fontId="35" fillId="0" borderId="80" xfId="4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/>
    </xf>
    <xf numFmtId="0" fontId="15" fillId="0" borderId="4" xfId="0" applyFont="1" applyBorder="1" applyAlignment="1">
      <alignment horizontal="center" vertical="center" textRotation="90"/>
    </xf>
    <xf numFmtId="0" fontId="15" fillId="0" borderId="7" xfId="0" applyFont="1" applyBorder="1" applyAlignment="1">
      <alignment horizontal="center" vertical="center" textRotation="90"/>
    </xf>
    <xf numFmtId="0" fontId="16" fillId="0" borderId="2" xfId="0" applyFont="1" applyBorder="1" applyAlignment="1">
      <alignment horizontal="center" vertical="center" textRotation="90"/>
    </xf>
    <xf numFmtId="0" fontId="16" fillId="0" borderId="5" xfId="0" applyFont="1" applyBorder="1" applyAlignment="1">
      <alignment horizontal="center" vertical="center" textRotation="90"/>
    </xf>
    <xf numFmtId="0" fontId="16" fillId="0" borderId="8" xfId="0" applyFont="1" applyBorder="1" applyAlignment="1">
      <alignment horizontal="center" vertical="center" textRotation="90"/>
    </xf>
    <xf numFmtId="0" fontId="17" fillId="0" borderId="2" xfId="0" applyFont="1" applyBorder="1" applyAlignment="1">
      <alignment horizontal="center" vertical="center" textRotation="90"/>
    </xf>
    <xf numFmtId="0" fontId="17" fillId="0" borderId="5" xfId="0" applyFont="1" applyBorder="1" applyAlignment="1">
      <alignment horizontal="center" vertical="center" textRotation="90"/>
    </xf>
    <xf numFmtId="0" fontId="17" fillId="0" borderId="8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9" fillId="0" borderId="21" xfId="5" applyFont="1" applyBorder="1" applyAlignment="1">
      <alignment horizontal="center" vertical="center" wrapText="1"/>
    </xf>
    <xf numFmtId="0" fontId="29" fillId="0" borderId="22" xfId="5" applyFont="1" applyBorder="1" applyAlignment="1">
      <alignment horizontal="center" vertical="center" wrapText="1"/>
    </xf>
    <xf numFmtId="0" fontId="29" fillId="0" borderId="23" xfId="5" applyFont="1" applyBorder="1" applyAlignment="1">
      <alignment horizontal="center" vertical="center" wrapText="1"/>
    </xf>
    <xf numFmtId="0" fontId="29" fillId="0" borderId="21" xfId="5" applyFont="1" applyBorder="1" applyAlignment="1">
      <alignment horizontal="center" vertical="center"/>
    </xf>
    <xf numFmtId="0" fontId="29" fillId="0" borderId="22" xfId="5" applyFont="1" applyBorder="1" applyAlignment="1">
      <alignment horizontal="center" vertical="center"/>
    </xf>
    <xf numFmtId="0" fontId="29" fillId="0" borderId="23" xfId="5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textRotation="90"/>
    </xf>
    <xf numFmtId="0" fontId="29" fillId="0" borderId="4" xfId="0" applyFont="1" applyBorder="1" applyAlignment="1">
      <alignment horizontal="center" vertical="center" textRotation="90"/>
    </xf>
    <xf numFmtId="0" fontId="29" fillId="0" borderId="7" xfId="0" applyFont="1" applyBorder="1" applyAlignment="1">
      <alignment horizontal="center" vertical="center" textRotation="90"/>
    </xf>
    <xf numFmtId="0" fontId="46" fillId="0" borderId="2" xfId="0" applyFont="1" applyBorder="1" applyAlignment="1">
      <alignment horizontal="center" vertical="center" textRotation="90"/>
    </xf>
    <xf numFmtId="0" fontId="46" fillId="0" borderId="5" xfId="0" applyFont="1" applyBorder="1" applyAlignment="1">
      <alignment horizontal="center" vertical="center" textRotation="90"/>
    </xf>
    <xf numFmtId="0" fontId="46" fillId="0" borderId="8" xfId="0" applyFont="1" applyBorder="1" applyAlignment="1">
      <alignment horizontal="center" vertical="center" textRotation="90"/>
    </xf>
    <xf numFmtId="0" fontId="21" fillId="0" borderId="2" xfId="0" applyFont="1" applyBorder="1" applyAlignment="1">
      <alignment horizontal="center" vertical="center" textRotation="90"/>
    </xf>
    <xf numFmtId="0" fontId="21" fillId="0" borderId="5" xfId="0" applyFont="1" applyBorder="1" applyAlignment="1">
      <alignment horizontal="center" vertical="center" textRotation="90"/>
    </xf>
    <xf numFmtId="0" fontId="21" fillId="0" borderId="8" xfId="0" applyFont="1" applyBorder="1" applyAlignment="1">
      <alignment horizontal="center" vertical="center" textRotation="90"/>
    </xf>
    <xf numFmtId="0" fontId="51" fillId="0" borderId="2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" xfId="3" xr:uid="{C603B2DC-984D-437D-89CF-973DF6CD1983}"/>
    <cellStyle name="Normal_annex 2" xfId="5" xr:uid="{5D9D8493-670D-4CEC-B2D7-43C3F6B21AD5}"/>
    <cellStyle name="Normal_Report Revenue Al Ministry update - 2005xls" xfId="4" xr:uid="{0FE12BA2-D41A-4ED1-9582-B2C67897FBD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246529</xdr:colOff>
      <xdr:row>91</xdr:row>
      <xdr:rowOff>90127</xdr:rowOff>
    </xdr:from>
    <xdr:to>
      <xdr:col>46</xdr:col>
      <xdr:colOff>67235</xdr:colOff>
      <xdr:row>98</xdr:row>
      <xdr:rowOff>56029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BE6419-CECE-4C4D-A04C-503A2516B35B}"/>
            </a:ext>
          </a:extLst>
        </xdr:cNvPr>
        <xdr:cNvSpPr/>
      </xdr:nvSpPr>
      <xdr:spPr>
        <a:xfrm>
          <a:off x="15038854" y="34494427"/>
          <a:ext cx="3964081" cy="21661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</a:t>
          </a:r>
          <a:r>
            <a:rPr lang="en-US" sz="14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ខែ</a:t>
          </a:r>
          <a:r>
            <a:rPr lang="en-US" sz="14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ឆ្នាំ២០២២</a:t>
          </a: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ប្រធានការិយាល័យផែនការថវិកា</a:t>
          </a:r>
        </a:p>
        <a:p>
          <a:pPr algn="ctr"/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  <a:p>
          <a:pPr algn="ctr"/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សាយ អ៊ាន</a:t>
          </a:r>
          <a:endParaRPr lang="km-KH" sz="14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  <xdr:twoCellAnchor>
    <xdr:from>
      <xdr:col>14</xdr:col>
      <xdr:colOff>260226</xdr:colOff>
      <xdr:row>91</xdr:row>
      <xdr:rowOff>261144</xdr:rowOff>
    </xdr:from>
    <xdr:to>
      <xdr:col>23</xdr:col>
      <xdr:colOff>324971</xdr:colOff>
      <xdr:row>98</xdr:row>
      <xdr:rowOff>137317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64716C9-0217-4A0D-AACA-EEDCFF94ABEA}"/>
            </a:ext>
          </a:extLst>
        </xdr:cNvPr>
        <xdr:cNvSpPr/>
      </xdr:nvSpPr>
      <xdr:spPr>
        <a:xfrm>
          <a:off x="7518276" y="34665444"/>
          <a:ext cx="3855695" cy="20764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</a:t>
          </a:r>
          <a:r>
            <a:rPr lang="en-US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និងពិនិត្យត្រឹមត្រូវ</a:t>
          </a: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4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4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ខែ</a:t>
          </a:r>
          <a:r>
            <a:rPr lang="km-KH" sz="14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ឆ្នាំ២០២២          </a:t>
          </a:r>
          <a:endParaRPr lang="en-US" sz="14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ប្រធាននាយកដ្ឋានរដ្ឋបាលនិងហិរញ្ញវត្ថុ</a:t>
          </a:r>
        </a:p>
      </xdr:txBody>
    </xdr:sp>
    <xdr:clientData/>
  </xdr:twoCellAnchor>
  <xdr:twoCellAnchor>
    <xdr:from>
      <xdr:col>6</xdr:col>
      <xdr:colOff>67236</xdr:colOff>
      <xdr:row>92</xdr:row>
      <xdr:rowOff>87778</xdr:rowOff>
    </xdr:from>
    <xdr:to>
      <xdr:col>10</xdr:col>
      <xdr:colOff>605119</xdr:colOff>
      <xdr:row>97</xdr:row>
      <xdr:rowOff>276464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34F1BC8-C52C-4C91-A1D4-5BE13E23BB3D}"/>
            </a:ext>
          </a:extLst>
        </xdr:cNvPr>
        <xdr:cNvSpPr/>
      </xdr:nvSpPr>
      <xdr:spPr>
        <a:xfrm>
          <a:off x="67236" y="34806403"/>
          <a:ext cx="4814608" cy="1760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</a:t>
          </a:r>
          <a:r>
            <a:rPr lang="en-US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និងឯកភាព</a:t>
          </a: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   </a:t>
          </a:r>
          <a:r>
            <a:rPr lang="en-US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4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       ឆ្នាំ២០២២</a:t>
          </a: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អគ្គលេខាធិការ</a:t>
          </a:r>
        </a:p>
        <a:p>
          <a:pPr algn="ctr"/>
          <a:r>
            <a:rPr lang="km-KH" sz="14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អគ្គលេខាធិការដ្ឋាន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Entity.xlsx" TargetMode="External"/><Relationship Id="rId1" Type="http://schemas.openxmlformats.org/officeDocument/2006/relationships/externalLinkPath" Target="/Project/MEF-BPO/documents/Master%20Data%20Setup/General%20Setup/Ent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Group.xlsx" TargetMode="External"/><Relationship Id="rId1" Type="http://schemas.openxmlformats.org/officeDocument/2006/relationships/externalLinkPath" Target="/Project/MEF-BPO/documents/Master%20Data%20Setup/General%20Setup/AccountGrou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.xlsx" TargetMode="External"/><Relationship Id="rId1" Type="http://schemas.openxmlformats.org/officeDocument/2006/relationships/externalLinkPath" Target="/Project/MEF-BPO/documents/Master%20Data%20Setup/General%20Setup/Accoun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SubAccount.xlsx" TargetMode="External"/><Relationship Id="rId1" Type="http://schemas.openxmlformats.org/officeDocument/2006/relationships/externalLinkPath" Target="/Project/MEF-BPO/documents/Master%20Data%20Setup/General%20Setup/Sub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b2e9eb2e9473a96/BPD/Budget%20Entities%20of%20MEF/Exp-General%20Admin%202022/Exp%5e0Rev_General%20Admin_2022_for_BEs/Rev-General%20Admin-Q1_v2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ity"/>
      <sheetName val="Sheet3"/>
      <sheetName val="List Entity"/>
      <sheetName val="Sub_Entity (2)"/>
    </sheetNames>
    <sheetDataSet>
      <sheetData sheetId="0">
        <row r="2">
          <cell r="A2">
            <v>1</v>
          </cell>
          <cell r="E2" t="str">
            <v>អគ្គនាយកដ្ឋានគោលនយោបាយ</v>
          </cell>
        </row>
        <row r="3">
          <cell r="A3">
            <v>2</v>
          </cell>
          <cell r="E3" t="str">
            <v>អគ្គលេខាធិការដ្ឋានក្រសួងសេដ្ឋកិច្ចនិងហិរញ្ញវត្ថុ</v>
          </cell>
        </row>
        <row r="4">
          <cell r="A4">
            <v>3</v>
          </cell>
          <cell r="E4" t="str">
            <v>អគ្គនាយកដ្ឋានថវិកា</v>
          </cell>
        </row>
        <row r="5">
          <cell r="A5">
            <v>4</v>
          </cell>
          <cell r="E5" t="str">
            <v>អគ្គនាយកដ្ឋានហិរញ្ញវត្ថុរដ្ឋបាលថ្នាក់ក្រោមជាតិ</v>
          </cell>
        </row>
        <row r="6">
          <cell r="A6">
            <v>5</v>
          </cell>
          <cell r="E6" t="str">
            <v>អគ្គនាយកដ្ឋានលទ្ធកម្មសាធារណៈ</v>
          </cell>
        </row>
        <row r="7">
          <cell r="A7">
            <v>6</v>
          </cell>
          <cell r="E7" t="str">
            <v>អគ្គនាយកដ្ឋានគយនិងរដ្ឋាករកម្ពុជា</v>
          </cell>
        </row>
        <row r="8">
          <cell r="A8">
            <v>7</v>
          </cell>
          <cell r="E8" t="str">
            <v>អគ្គនាយកដ្ឋានពន្ធដារ</v>
          </cell>
        </row>
        <row r="9">
          <cell r="A9">
            <v>8</v>
          </cell>
          <cell r="E9" t="str">
            <v>អគ្គនាយកដ្ឋានទ្រព្យសម្បត្តិរដ្ឋនិងចំណូលមិនមែនសារពើពន្ធ</v>
          </cell>
        </row>
        <row r="10">
          <cell r="A10">
            <v>9</v>
          </cell>
          <cell r="E10" t="str">
            <v>អគ្គនាយកដ្ឋានរតនាគារជាតិ</v>
          </cell>
        </row>
        <row r="11">
          <cell r="A11">
            <v>10</v>
          </cell>
          <cell r="E11" t="str">
            <v>អគ្គាធិការដ្ឋាន</v>
          </cell>
        </row>
        <row r="12">
          <cell r="A12">
            <v>11</v>
          </cell>
          <cell r="E12" t="str">
            <v>អគ្គនាយកដ្ឋានសវនកម្មផ្ទៃក្នុង</v>
          </cell>
        </row>
        <row r="13">
          <cell r="A13">
            <v>12</v>
          </cell>
          <cell r="E13" t="str">
            <v>អគ្គនាយកដ្ឋានដោះស្រាយផលប៉ះពាល់ដោយសារគម្រោងអភិវឌ្ឍន៍</v>
          </cell>
        </row>
        <row r="14">
          <cell r="A14">
            <v>13</v>
          </cell>
          <cell r="E14" t="str">
            <v>អគ្គនាយកដ្ឋានសហប្រតិបត្តិការអន្តរជាតិនិងគ្រប់គ្រងបំណុល</v>
          </cell>
        </row>
        <row r="15">
          <cell r="A15">
            <v>14</v>
          </cell>
          <cell r="E15" t="str">
            <v>វិទ្យាស្ថានសេដ្ឋកិច្ចនិងហិរញ្ញវត្ថុ</v>
          </cell>
        </row>
        <row r="16">
          <cell r="A16">
            <v>15</v>
          </cell>
          <cell r="E16" t="str">
            <v>និយ័តករមូលបត្រកម្ពុជា</v>
          </cell>
        </row>
        <row r="17">
          <cell r="A17">
            <v>16</v>
          </cell>
          <cell r="E17" t="str">
            <v>និយ័តករគណនេយ្យនិងសវនកម្ម</v>
          </cell>
        </row>
        <row r="18">
          <cell r="A18">
            <v>17</v>
          </cell>
          <cell r="E18" t="str">
            <v>អគ្គលេខាធិការដ្ឋានគណៈកម្មាធិការដឹកនាំការងារកែទម្រង់ការគ្រប់គ្រងហិរញ្ញវត្ថុសាធារណៈ</v>
          </cell>
        </row>
        <row r="19">
          <cell r="A19">
            <v>18</v>
          </cell>
          <cell r="E19" t="str">
            <v>ឧត្តមក្រុមប្រឹក្សាសេដ្ឋកិច្ចជាតិ</v>
          </cell>
        </row>
        <row r="20">
          <cell r="A20">
            <v>19</v>
          </cell>
          <cell r="E20" t="str">
            <v>អគ្គលេខាធិការដ្ឋានគណៈកម្មាធិការជាតិផលិតភាពសេដ្ឋកិច្ច​កម្ពុជា</v>
          </cell>
        </row>
        <row r="21">
          <cell r="A21">
            <v>20</v>
          </cell>
          <cell r="E21" t="str">
            <v>អគ្គលេខាធិការដ្ឋាន​ក្រុមប្រឹក្សាជាតិគាំពារសង្គម</v>
          </cell>
        </row>
        <row r="22">
          <cell r="A22">
            <v>21</v>
          </cell>
          <cell r="E22" t="str">
            <v>លេខាធិការដ្ឋានក្រុមប្រឹក្សានីតិកម្ម</v>
          </cell>
        </row>
        <row r="23">
          <cell r="A23">
            <v>22</v>
          </cell>
          <cell r="E23" t="str">
            <v>អង្គភាពភាពជាដៃគូរវាងរដ្ឋនិងឯកជនថ្នាក់កណ្ដាល</v>
          </cell>
        </row>
        <row r="24">
          <cell r="A24">
            <v>23</v>
          </cell>
          <cell r="E24" t="str">
            <v>អគ្គលេខាធិការដ្ឋាន​អាជ្ញាធរសេវាហិរញ្ញវត្ថុ​មិនមែនធនាគារ</v>
          </cell>
        </row>
        <row r="25">
          <cell r="A25">
            <v>24</v>
          </cell>
          <cell r="E25" t="str">
            <v>និយ័តករធានារ៉ាប់រងកម្ពុជា</v>
          </cell>
        </row>
        <row r="26">
          <cell r="A26">
            <v>25</v>
          </cell>
          <cell r="E26" t="str">
            <v>និយ័តករបរធនបាលកិច្ច</v>
          </cell>
        </row>
        <row r="27">
          <cell r="A27">
            <v>26</v>
          </cell>
          <cell r="E27" t="str">
            <v>និយ័តករអាជីវកម្មអចលនវត្ថុនិងបញ្ចាំ</v>
          </cell>
        </row>
        <row r="28">
          <cell r="A28">
            <v>27</v>
          </cell>
          <cell r="E28" t="str">
            <v>អគ្គលេខាធិការដ្ឋានគណៈកម្មការគ្រប់គ្រងល្បែងពាណិជ្ជកម្មកម្ពុជា</v>
          </cell>
        </row>
        <row r="29">
          <cell r="A29">
            <v>28</v>
          </cell>
          <cell r="E29" t="str">
            <v>មន្ទីរសេដ្ឋកិច្ច​និងហិរញ្ញវត្ថុ​ រាជធានី ខេត្ត</v>
          </cell>
        </row>
        <row r="30">
          <cell r="A30">
            <v>29</v>
          </cell>
          <cell r="E30" t="str">
            <v>លេខាធិការដ្ឋាន</v>
          </cell>
        </row>
        <row r="31">
          <cell r="A31">
            <v>30</v>
          </cell>
          <cell r="E31" t="str">
            <v>នាយកដ្ឋានគោលនយោ​បាយ​ម៉ាក្រូសេដ្ឋកិច្ចនិងសារពើពន្ធ</v>
          </cell>
        </row>
        <row r="32">
          <cell r="A32">
            <v>31</v>
          </cell>
          <cell r="E32" t="str">
            <v>នាយកដ្ឋានស្ថិតិ និងវិភាគសេដ្ឋកិច្ច</v>
          </cell>
        </row>
        <row r="33">
          <cell r="A33">
            <v>32</v>
          </cell>
          <cell r="E33" t="str">
            <v>នាយកដ្ឋានសមាហរណកម្មសេដ្ឋកិច្ច និងអាស៊ាន</v>
          </cell>
        </row>
        <row r="34">
          <cell r="A34">
            <v>33</v>
          </cell>
          <cell r="E34" t="str">
            <v>នាយកដ្ឋានប្រសិទ្ធភាពចំណាយ</v>
          </cell>
        </row>
        <row r="35">
          <cell r="A35">
            <v>34</v>
          </cell>
          <cell r="E35" t="str">
            <v>នាយកដ្ឋានសេដ្ឋកិច្ចថ្មី</v>
          </cell>
        </row>
        <row r="36">
          <cell r="A36">
            <v>35</v>
          </cell>
          <cell r="E36" t="str">
            <v>នាយកដ្ឋានរដ្ឋបាលនិងហិរញ្ញវត្ថុ</v>
          </cell>
        </row>
        <row r="37">
          <cell r="A37">
            <v>36</v>
          </cell>
          <cell r="E37" t="str">
            <v>នាយកដ្ឋានបុគ្គលិក</v>
          </cell>
        </row>
        <row r="38">
          <cell r="A38">
            <v>37</v>
          </cell>
          <cell r="E38" t="str">
            <v>នាយកដ្ឋានបច្ចេកវិទ្យាព័ត៌មាន</v>
          </cell>
        </row>
        <row r="39">
          <cell r="A39">
            <v>38</v>
          </cell>
          <cell r="E39" t="str">
            <v>នាយកដ្ឋានបណ្ណសារ</v>
          </cell>
        </row>
        <row r="40">
          <cell r="A40">
            <v>39</v>
          </cell>
          <cell r="E40" t="str">
            <v>នាយកដ្ឋានផែនការថវិកា</v>
          </cell>
        </row>
        <row r="41">
          <cell r="A41">
            <v>40</v>
          </cell>
          <cell r="E41" t="str">
            <v>មជ្ឈមណ្ឌលបណ្តុះធុរកិច្ចថ្មី "តេជោ"</v>
          </cell>
        </row>
        <row r="42">
          <cell r="A42">
            <v>41</v>
          </cell>
          <cell r="E42" t="str">
            <v>នាយកដ្ឋានកិច្ចការទូទៅ</v>
          </cell>
        </row>
        <row r="43">
          <cell r="A43">
            <v>42</v>
          </cell>
          <cell r="E43" t="str">
            <v>នាយកដ្ឋានថវិកានីយកម្ម</v>
          </cell>
        </row>
        <row r="44">
          <cell r="A44">
            <v>43</v>
          </cell>
          <cell r="E44" t="str">
            <v>នាយកដ្ឋានហិរញ្ញកិច្ច</v>
          </cell>
        </row>
        <row r="45">
          <cell r="A45">
            <v>44</v>
          </cell>
          <cell r="E45" t="str">
            <v>នាយកដ្ឋានវិនិយោគ</v>
          </cell>
        </row>
        <row r="46">
          <cell r="A46">
            <v>45</v>
          </cell>
          <cell r="E46" t="str">
            <v>នាយកដ្ឋានតាមដាននិងវាយតម្លៃ</v>
          </cell>
        </row>
        <row r="47">
          <cell r="A47">
            <v>46</v>
          </cell>
          <cell r="E47" t="str">
            <v>នាយកដ្ឋានគ្រប់គ្រងរដ្ឋបាលនិងបច្ចេកទេស និងលេខាធិការដ្ឋាន</v>
          </cell>
        </row>
        <row r="48">
          <cell r="A48">
            <v>47</v>
          </cell>
          <cell r="E48" t="str">
            <v>នាយកដ្ឋានគ្រប់គ្រងហិរញ្ញវត្ថុរដ្ឋបាលថ្នាក់ក្រោមជាតិទី១</v>
          </cell>
        </row>
        <row r="49">
          <cell r="A49">
            <v>48</v>
          </cell>
          <cell r="E49" t="str">
            <v>នាយកដ្ឋានគ្រប់គ្រងហិរញ្ញវត្ថុរដ្ឋបាលថ្នាក់ក្រោមជាតិទី២</v>
          </cell>
        </row>
        <row r="50">
          <cell r="A50">
            <v>49</v>
          </cell>
          <cell r="E50" t="str">
            <v>នាយកដ្ឋានគ្រប់គ្រងហិរញ្ញវត្ថុរដ្ឋបាលថ្នាក់ក្រោមជាតិទី៣</v>
          </cell>
        </row>
        <row r="51">
          <cell r="A51">
            <v>50</v>
          </cell>
          <cell r="E51" t="str">
            <v>នាយកដ្ឋានរដ្ឋបាល បុគ្គលិក និងផែនការ និង លេខា​ធិការដ្ឋាន</v>
          </cell>
        </row>
        <row r="52">
          <cell r="A52">
            <v>51</v>
          </cell>
          <cell r="E52" t="str">
            <v>នាយកដ្ឋានគ្រប់គ្រង​លទ្ធកម្មទំនិញ</v>
          </cell>
        </row>
        <row r="53">
          <cell r="A53">
            <v>52</v>
          </cell>
          <cell r="E53" t="str">
            <v>នាយកដ្ឋានគ្រប់គ្រងលទ្ធកម្មសំណង់ និងសេវា</v>
          </cell>
        </row>
        <row r="54">
          <cell r="A54">
            <v>53</v>
          </cell>
          <cell r="E54" t="str">
            <v>នាយកដ្ឋានគ្រប់គ្រងលទ្ធកម្មរដ្ឋបាលថ្នាក់ក្រោមជាតិ</v>
          </cell>
        </row>
        <row r="55">
          <cell r="A55">
            <v>54</v>
          </cell>
          <cell r="E55" t="str">
            <v>នាយកដ្ឋានត្រួតពិនិត្យ និងដោះស្រាយវិវាទលទ្ធកម្ម</v>
          </cell>
        </row>
        <row r="56">
          <cell r="A56">
            <v>55</v>
          </cell>
          <cell r="E56" t="str">
            <v>នាយកដ្ឋានហិរញ្ញវត្ថុនិងបុគ្គលិក</v>
          </cell>
        </row>
        <row r="57">
          <cell r="A57">
            <v>56</v>
          </cell>
          <cell r="E57" t="str">
            <v>នាយកដ្ឋានផែនការនិងបច្ចេកទេស</v>
          </cell>
        </row>
        <row r="58">
          <cell r="A58">
            <v>57</v>
          </cell>
          <cell r="E58" t="str">
            <v>នាយកដ្ឋានកិច្ចការច្បាប់និងទំនាក់ទំនងសាធារណៈ</v>
          </cell>
        </row>
        <row r="59">
          <cell r="A59">
            <v>58</v>
          </cell>
          <cell r="E59" t="str">
            <v>នាយកដ្ឋានសវនកម្មគយ</v>
          </cell>
        </row>
        <row r="60">
          <cell r="A60">
            <v>59</v>
          </cell>
          <cell r="E60" t="str">
            <v>នាយកដ្ឋានបង្ការនិងបង្ក្រាបបទល្មើស</v>
          </cell>
        </row>
        <row r="61">
          <cell r="A61">
            <v>60</v>
          </cell>
          <cell r="E61" t="str">
            <v>នាយកដ្ឋានរដ្ឋាករ</v>
          </cell>
        </row>
        <row r="62">
          <cell r="A62">
            <v>61</v>
          </cell>
          <cell r="E62" t="str">
            <v>នាយកដ្ឋានរបបគយ</v>
          </cell>
        </row>
        <row r="63">
          <cell r="A63">
            <v>62</v>
          </cell>
          <cell r="E63" t="str">
            <v>នាយកដ្ឋានគ្រប់គ្រងតំបន់រួចពន្ធ</v>
          </cell>
        </row>
        <row r="64">
          <cell r="A64">
            <v>63</v>
          </cell>
          <cell r="E64" t="str">
            <v>នាយកដ្ឋានសហប្រតិបត្តិការគយអន្តរជាតិ</v>
          </cell>
        </row>
        <row r="65">
          <cell r="A65">
            <v>64</v>
          </cell>
          <cell r="E65" t="str">
            <v xml:space="preserve"> គ្រប់គ្រង អនុវត្ត ត្រួតពិនិត្យ តាមដាន និងវាយតម្លៃការនាំចេញ</v>
          </cell>
        </row>
        <row r="66">
          <cell r="A66">
            <v>65</v>
          </cell>
          <cell r="E66" t="str">
            <v>លេខាធិការដ្ឋាន នៃអគ្គនាយកដ្ឋានគយនិងរដ្ឋាករកម្ពុជា</v>
          </cell>
        </row>
        <row r="67">
          <cell r="A67">
            <v>66</v>
          </cell>
          <cell r="E67" t="str">
            <v>សាលាជាតិគយ</v>
          </cell>
        </row>
        <row r="68">
          <cell r="A68">
            <v>67</v>
          </cell>
          <cell r="E68" t="str">
            <v xml:space="preserve">អង្គភាពមូលដ្ឋានគយនិងរដ្ឋាករ </v>
          </cell>
        </row>
        <row r="69">
          <cell r="A69">
            <v>68</v>
          </cell>
          <cell r="E69" t="str">
            <v>នាយកដ្ឋានគយនិងរដ្ឋាកររាជធានីភ្នំពេញ</v>
          </cell>
        </row>
        <row r="70">
          <cell r="A70">
            <v>69</v>
          </cell>
          <cell r="E70" t="str">
            <v>នាយកដ្ឋានរដ្ឋបាល និងកិច្ចការទូទៅ</v>
          </cell>
        </row>
        <row r="71">
          <cell r="A71">
            <v>70</v>
          </cell>
          <cell r="E71" t="str">
            <v>នាយកដ្ឋានហិរញ្ញវត្ថុ និងបុគ្គលិក</v>
          </cell>
        </row>
        <row r="72">
          <cell r="A72">
            <v>71</v>
          </cell>
          <cell r="E72" t="str">
            <v>នាយកដ្ឋាននីតិកម្ម គោលនយោបាយសារពើពន្ធ
 និងសហប្រតិបត្តិការពន្ធដារអន្តរជាតិ</v>
          </cell>
        </row>
        <row r="73">
          <cell r="A73">
            <v>72</v>
          </cell>
          <cell r="E73" t="str">
            <v>នាយកដ្ឋានពន្ធចលនទ្រព្យនិងអចលនទ្រព្យ</v>
          </cell>
        </row>
        <row r="74">
          <cell r="A74">
            <v>73</v>
          </cell>
          <cell r="E74" t="str">
            <v>នាយកដ្ឋានស៊ើបអង្កេតបទល្មើសពន្ធដារ</v>
          </cell>
        </row>
        <row r="75">
          <cell r="A75">
            <v>74</v>
          </cell>
          <cell r="E75" t="str">
            <v>នាយកដ្ឋានគ្រប់គ្រងអ្នកជាប់ពន្ធធំ</v>
          </cell>
        </row>
        <row r="76">
          <cell r="A76">
            <v>75</v>
          </cell>
          <cell r="E76" t="str">
            <v>នាយកដ្ឋានគ្រប់គ្រងអ្នកជាប់ពន្ធតូចនិងមធ្យម</v>
          </cell>
        </row>
        <row r="77">
          <cell r="A77">
            <v>76</v>
          </cell>
          <cell r="E77" t="str">
            <v>នាយកដ្ឋានសវនកម្មសហគ្រាស</v>
          </cell>
        </row>
        <row r="78">
          <cell r="A78">
            <v>77</v>
          </cell>
          <cell r="E78" t="str">
            <v>សាលាជាតិពន្ធដារ</v>
          </cell>
        </row>
        <row r="79">
          <cell r="A79">
            <v>78</v>
          </cell>
          <cell r="E79" t="str">
            <v>ទីចាត់ការពន្ធដាររាជធានីភ្នំពេញ</v>
          </cell>
        </row>
        <row r="80">
          <cell r="A80">
            <v>79</v>
          </cell>
          <cell r="E80" t="str">
            <v>សាខាពន្ធដារខេត្ត-ខណ្ឌ</v>
          </cell>
        </row>
        <row r="81">
          <cell r="A81">
            <v>80</v>
          </cell>
          <cell r="E81" t="str">
            <v>នាយដ្ឋានចំណូលពីទ្រព្យសម្បត្តិរដ្ឋ</v>
          </cell>
        </row>
        <row r="82">
          <cell r="A82">
            <v>81</v>
          </cell>
          <cell r="E82" t="str">
            <v>នាយកដ្ឋានចំណូលសាធារណៈ</v>
          </cell>
        </row>
        <row r="83">
          <cell r="A83">
            <v>82</v>
          </cell>
          <cell r="E83" t="str">
            <v>នាយកដ្ឋានសហគ្រាសសាធារណៈ</v>
          </cell>
        </row>
        <row r="84">
          <cell r="A84">
            <v>83</v>
          </cell>
          <cell r="E84" t="str">
            <v>នាយកដ្ឋានសារពើភណ្ឌទ្រព្យសម្បត្តិរដ្ឋ</v>
          </cell>
        </row>
        <row r="85">
          <cell r="A85">
            <v>84</v>
          </cell>
          <cell r="E85" t="str">
            <v>នាយកដ្ឋានរដ្ឋបាលនិងបុគ្គលិក</v>
          </cell>
        </row>
        <row r="86">
          <cell r="A86">
            <v>85</v>
          </cell>
          <cell r="E86" t="str">
            <v>នាយកដ្ឋានចំណូលថវិកា</v>
          </cell>
        </row>
        <row r="87">
          <cell r="A87">
            <v>86</v>
          </cell>
          <cell r="E87" t="str">
            <v>នាយកដ្ឋានចំណាយថវិកា</v>
          </cell>
        </row>
        <row r="88">
          <cell r="A88">
            <v>87</v>
          </cell>
          <cell r="E88" t="str">
            <v>នាយកដ្ឋានគណនេយ្យ</v>
          </cell>
        </row>
        <row r="89">
          <cell r="A89">
            <v>88</v>
          </cell>
          <cell r="E89" t="str">
            <v>នាយកដ្ឋានគ្រប់គ្រងរតនាគារថ្នាក់មូលដ្ឋាននិងសរុបស្ថិតិ</v>
          </cell>
        </row>
        <row r="90">
          <cell r="A90">
            <v>89</v>
          </cell>
          <cell r="E90" t="str">
            <v>អធិការកិច្ចរតនាគារ</v>
          </cell>
        </row>
        <row r="91">
          <cell r="A91">
            <v>90</v>
          </cell>
          <cell r="E91" t="str">
            <v>នាយកដ្ឋានគ្រប់គ្រងសាច់ប្រាក់និងវិភាគការអនុវត្តថវិកា</v>
          </cell>
        </row>
        <row r="92">
          <cell r="A92">
            <v>91</v>
          </cell>
          <cell r="E92" t="str">
            <v>រតនាគាររាជធានី ខេត្ត</v>
          </cell>
        </row>
        <row r="93">
          <cell r="A93">
            <v>92</v>
          </cell>
          <cell r="E93" t="str">
            <v>នាយកដ្ឋានគោលការណ៍គណនេយ្យនិងវិភាគការអនុវត្តថវិកា</v>
          </cell>
        </row>
        <row r="94">
          <cell r="A94">
            <v>93</v>
          </cell>
          <cell r="E94" t="str">
            <v>នាយកដ្ឋានរដ្ឋបាល ផែនការ និងសិក្សាស្រាវជ្រាវបណ្ដឹង</v>
          </cell>
        </row>
        <row r="95">
          <cell r="A95">
            <v>94</v>
          </cell>
          <cell r="E95" t="str">
            <v>នាយកដ្ឋានអធិការកិច្ចហិរញ្ញវត្ថុទី១</v>
          </cell>
        </row>
        <row r="96">
          <cell r="A96">
            <v>95</v>
          </cell>
          <cell r="E96" t="str">
            <v>នាយកដ្ឋានអធិការកិច្ចហិរញ្ញវត្ថុទី២</v>
          </cell>
        </row>
        <row r="97">
          <cell r="A97">
            <v>96</v>
          </cell>
          <cell r="E97" t="str">
            <v>នាយកដ្ឋានអធិការកិច្ចហិរញ្ញវត្ថុទី៣</v>
          </cell>
        </row>
        <row r="98">
          <cell r="A98">
            <v>97</v>
          </cell>
          <cell r="E98" t="str">
            <v>នាយកដ្ឋានសវនកម្មផ្ទៃក្នុងថ្នាក់កណ្តាល</v>
          </cell>
        </row>
        <row r="99">
          <cell r="A99">
            <v>98</v>
          </cell>
          <cell r="E99" t="str">
            <v>នាយកដ្ឋានសវនកម្មផ្ទៃក្នុងថ្នាក់មូលដ្ឋាន</v>
          </cell>
        </row>
        <row r="100">
          <cell r="A100">
            <v>99</v>
          </cell>
          <cell r="E100" t="str">
            <v>នាយកដ្ឋានដោះស្រាយផលប៉ះពាល់ទី១</v>
          </cell>
        </row>
        <row r="101">
          <cell r="A101">
            <v>100</v>
          </cell>
          <cell r="E101" t="str">
            <v>នាយកដ្ឋានដោះស្រាយផលប៉ះពាល់ទី២</v>
          </cell>
        </row>
        <row r="102">
          <cell r="A102">
            <v>101</v>
          </cell>
          <cell r="E102" t="str">
            <v>នាយកដ្ឋានដោះស្រាយផលប៉ះពាល់ទី៣</v>
          </cell>
        </row>
        <row r="103">
          <cell r="A103">
            <v>102</v>
          </cell>
          <cell r="E103" t="str">
            <v>នាយកដ្ឋានត្រួតពិនិត្យផ្ទៃក្នុង និងគ្រប់គ្រងទិន្នន័យ</v>
          </cell>
        </row>
        <row r="104">
          <cell r="A104">
            <v>103</v>
          </cell>
          <cell r="E104" t="str">
            <v>នាយកដ្ឋានសហប្រតិបត្តិការពហុភាគី</v>
          </cell>
        </row>
        <row r="105">
          <cell r="A105">
            <v>104</v>
          </cell>
          <cell r="E105" t="str">
            <v>នាយកដ្ឋានសហប្រតិបត្តិការទ្វេភាគី</v>
          </cell>
        </row>
        <row r="106">
          <cell r="A106">
            <v>105</v>
          </cell>
          <cell r="E106" t="str">
            <v>នាយកដ្ឋានគ្រប់គ្រងបំណុល</v>
          </cell>
        </row>
        <row r="107">
          <cell r="A107">
            <v>106</v>
          </cell>
          <cell r="E107" t="str">
            <v>នាយកដ្ឋានតាមដាន និងត្រួតពិនិត្យការអនុវត្តគម្រោង</v>
          </cell>
        </row>
        <row r="108">
          <cell r="A108">
            <v>107</v>
          </cell>
          <cell r="E108" t="str">
            <v>នាយកដ្ឋានបុគ្គលិក រដ្ឋបាល និងហិរញ្ញវត្ថុ</v>
          </cell>
        </row>
        <row r="109">
          <cell r="A109">
            <v>108</v>
          </cell>
          <cell r="E109" t="str">
            <v>នាយកដ្ឋានបណ្តុះបណ្តាល និងវិក្រឹតការ</v>
          </cell>
        </row>
        <row r="110">
          <cell r="A110">
            <v>109</v>
          </cell>
          <cell r="E110" t="str">
            <v>នាយកដ្ឋានស្រាវជ្រាវ និងអភិវឌ្ឍ</v>
          </cell>
        </row>
        <row r="111">
          <cell r="A111">
            <v>110</v>
          </cell>
          <cell r="E111" t="str">
            <v>នាយកដ្ឋានគ្រប់គ្រងប្រព័ន្ធឌីជីថល</v>
          </cell>
        </row>
        <row r="112">
          <cell r="A112">
            <v>111</v>
          </cell>
          <cell r="E112" t="str">
            <v>នាយកដ្ឋានរដ្ឋបាល និងហិរញ្ញវត្ថុ</v>
          </cell>
        </row>
        <row r="113">
          <cell r="A113">
            <v>112</v>
          </cell>
          <cell r="E113" t="str">
            <v>នាយកដ្ឋានស្រាវជ្រាវ បណ្ដុះបណ្ដាល អភិវឌ្ឍន៍ទីផ្សារមូលបត្រ និងទំនាក់ទំនងអន្តរជាតិ</v>
          </cell>
        </row>
        <row r="114">
          <cell r="A114">
            <v>113</v>
          </cell>
          <cell r="E114" t="str">
            <v>នាយកដ្ឋានត្រួតពិនិត្យអន្តរការីមូលបត្រ</v>
          </cell>
        </row>
        <row r="115">
          <cell r="A115">
            <v>114</v>
          </cell>
          <cell r="E115" t="str">
            <v>នាយកដ្ឋានត្រួតពិនិត្យទីផ្សារមូលបត្រ</v>
          </cell>
        </row>
        <row r="116">
          <cell r="A116">
            <v>115</v>
          </cell>
          <cell r="E116" t="str">
            <v>នាយកដ្ឋានកិច្ចការគតិយុត្ត</v>
          </cell>
        </row>
        <row r="117">
          <cell r="A117">
            <v>116</v>
          </cell>
          <cell r="E117" t="str">
            <v>នាយកដ្ឋានគ្រប់គ្រងការបោះផ្សាយលក់មូលបត្រ</v>
          </cell>
        </row>
        <row r="118">
          <cell r="A118">
            <v>117</v>
          </cell>
          <cell r="E118" t="str">
            <v>នាយកដ្ឋានបច្ចេកទេស</v>
          </cell>
        </row>
        <row r="119">
          <cell r="A119">
            <v>118</v>
          </cell>
          <cell r="E119" t="str">
            <v>នាយកដ្ឋានគ្រប់គ្រងវិជ្ជាជីវៈគណនេយ្យនិងសវនកម្ម</v>
          </cell>
        </row>
        <row r="120">
          <cell r="A120">
            <v>119</v>
          </cell>
          <cell r="E120" t="str">
            <v>នាយកដ្ឋានកិច្ចការគតិយុត្ត និងអនុលោមភាព</v>
          </cell>
        </row>
        <row r="121">
          <cell r="A121">
            <v>120</v>
          </cell>
          <cell r="E121" t="str">
            <v>អ.គ.ហ.</v>
          </cell>
        </row>
        <row r="122">
          <cell r="A122">
            <v>121</v>
          </cell>
          <cell r="E122" t="str">
            <v>ផ្នែករដ្ឋបាល និងហិរញ្ញវត្ថុ</v>
          </cell>
        </row>
        <row r="123">
          <cell r="A123">
            <v>122</v>
          </cell>
          <cell r="E123" t="str">
            <v>ផ្នែកបច្ចេកទេសសិក្សាស្រាវជ្រាវ​</v>
          </cell>
        </row>
        <row r="124">
          <cell r="A124">
            <v>123</v>
          </cell>
          <cell r="E124" t="str">
            <v>នាយកដ្ឋានជំនួយសង្គម</v>
          </cell>
        </row>
        <row r="125">
          <cell r="A125">
            <v>124</v>
          </cell>
          <cell r="E125" t="str">
            <v>នាយកដ្ឋានសន្តិសុខសង្គម</v>
          </cell>
        </row>
        <row r="126">
          <cell r="A126">
            <v>125</v>
          </cell>
          <cell r="E126" t="str">
            <v>នាយកដ្ឋាននីតិកម្ម</v>
          </cell>
        </row>
        <row r="127">
          <cell r="A127">
            <v>126</v>
          </cell>
          <cell r="E127" t="str">
            <v>ផ្នែកគាំទ្រទូទៅ</v>
          </cell>
        </row>
        <row r="128">
          <cell r="A128">
            <v>127</v>
          </cell>
          <cell r="E128" t="str">
            <v>ផ្នែកនីតិកម្មចំណូល</v>
          </cell>
        </row>
        <row r="129">
          <cell r="A129">
            <v>128</v>
          </cell>
          <cell r="E129" t="str">
            <v>ផ្នែកនីតិកម្មចំណាយ</v>
          </cell>
        </row>
        <row r="130">
          <cell r="A130">
            <v>129</v>
          </cell>
          <cell r="E130" t="str">
            <v>ផ្នែកបច្ចេកវិទ្យាព័ត៌មាននីតិកម្ម</v>
          </cell>
        </row>
        <row r="131">
          <cell r="A131">
            <v>130</v>
          </cell>
          <cell r="E131" t="str">
            <v>ផ្នែកកិច្ចការទូទៅ</v>
          </cell>
        </row>
        <row r="132">
          <cell r="A132">
            <v>131</v>
          </cell>
          <cell r="E132" t="str">
            <v>ផ្នែកគោលនយោបាយ និងគ្រប់គ្រងចំណេះដឹង, ផ្នែកអភិវឌ្ឍន៍គម្រោង, ផ្នែកប្រគល់ទទួល និងត្រួតពិនិត្យគម្រោង</v>
          </cell>
        </row>
        <row r="133">
          <cell r="A133">
            <v>132</v>
          </cell>
          <cell r="E133" t="str">
            <v>អគ្គលេខាធិការដ្ឋាន​ នៃអាជ្ញាធរសេវាហិរញ្ញវត្ថុ​មិនមែនធនាគារ</v>
          </cell>
        </row>
        <row r="134">
          <cell r="A134">
            <v>133</v>
          </cell>
          <cell r="E134" t="str">
            <v>មជ្ឈមណ្ឌលបច្ចេកវិទ្យាហិរញ្ញវត្ថុ</v>
          </cell>
        </row>
        <row r="135">
          <cell r="A135">
            <v>134</v>
          </cell>
          <cell r="E135" t="str">
            <v>អង្គភាពសវនកម្មផ្ទៃក្នុង ​នៃអាជ្ញាធរសេវាហិរញ្ញវត្ថុ​មិនមែនធនាគារ</v>
          </cell>
        </row>
        <row r="136">
          <cell r="A136">
            <v>135</v>
          </cell>
          <cell r="E136" t="str">
            <v>នាយកដ្ឋានគ្រប់គ្រងអាជ្ញាបណ្ណនិងកិច្ចការគតិយុត្តិ</v>
          </cell>
        </row>
        <row r="137">
          <cell r="A137">
            <v>136</v>
          </cell>
          <cell r="E137" t="str">
            <v>នាយកដ្ឋានត្រួតពិនិត្យ</v>
          </cell>
        </row>
        <row r="138">
          <cell r="A138">
            <v>137</v>
          </cell>
          <cell r="E138" t="str">
            <v>នាយកដ្ឋានអភិវឌ្ឍន៍ទីផ្សារ</v>
          </cell>
        </row>
        <row r="139">
          <cell r="A139">
            <v>138</v>
          </cell>
          <cell r="E139" t="str">
            <v>នាយកដ្ឋានស្រាវជ្រាវ បណ្តុះបណ្តាល និងសហប្រតិបត្តិការ</v>
          </cell>
        </row>
        <row r="140">
          <cell r="A140">
            <v>139</v>
          </cell>
          <cell r="E140" t="str">
            <v>នាយកដ្ឋានចុះបញ្ជីបរធនបាលកិច្ច</v>
          </cell>
        </row>
        <row r="141">
          <cell r="A141">
            <v>140</v>
          </cell>
          <cell r="E141" t="str">
            <v>នាយកដ្ឋានកិច្ចការនីតិកម្ម ធ្វើអធិការកិច្ច</v>
          </cell>
        </row>
        <row r="142">
          <cell r="A142">
            <v>141</v>
          </cell>
          <cell r="E142" t="str">
            <v>នាយកដ្ឋានគ្រប់គ្រង​អាជ្ញាបណ្ណនិងកិច្ចការគតិយុត្ត</v>
          </cell>
        </row>
        <row r="143">
          <cell r="A143">
            <v>142</v>
          </cell>
          <cell r="E143" t="str">
            <v>នាយកដ្ឋានកិច្ចការគតិយុត្ត និងគ្រប់គ្រងអាជ្ញាបណ្ណ</v>
          </cell>
        </row>
        <row r="144">
          <cell r="A144">
            <v>143</v>
          </cell>
          <cell r="E144" t="str">
            <v>នាយកដ្ឋានត្រួតពិនិត្យ និងគ្រប់គ្រងចំណូល</v>
          </cell>
        </row>
        <row r="145">
          <cell r="A145">
            <v>144</v>
          </cell>
          <cell r="E145" t="str">
            <v>នាយកដ្ឋានគ្រប់គ្រងបច្ចេកទេសល្បែង</v>
          </cell>
        </row>
        <row r="146">
          <cell r="A146">
            <v>145</v>
          </cell>
          <cell r="E146" t="str">
            <v>នាយកដ្ឋានគ្រប់គ្រងសន្តិសុខ និងសណ្តាប់ធ្នាប់</v>
          </cell>
        </row>
        <row r="147">
          <cell r="A147">
            <v>146</v>
          </cell>
          <cell r="E147" t="str">
            <v>អង្គភាពសវនកម្មផ្ទៃក្នុង</v>
          </cell>
        </row>
        <row r="148">
          <cell r="A148">
            <v>147</v>
          </cell>
          <cell r="E148" t="str">
            <v>មន្ទីរ សហវ. ខេត្តបន្ទាយមានជ័យ</v>
          </cell>
        </row>
        <row r="149">
          <cell r="A149">
            <v>148</v>
          </cell>
          <cell r="E149" t="str">
            <v>មន្ទីរ សហវ. ខេត្តបាត់ដំបង</v>
          </cell>
        </row>
        <row r="150">
          <cell r="A150">
            <v>149</v>
          </cell>
          <cell r="E150" t="str">
            <v>មន្ទីរ សហវ. ខេត្តកំពង់ចាម</v>
          </cell>
        </row>
        <row r="151">
          <cell r="A151">
            <v>150</v>
          </cell>
          <cell r="E151" t="str">
            <v>មន្ទីរ សហវ. ខេត្តកំពង់ឆ្នាំង</v>
          </cell>
        </row>
        <row r="152">
          <cell r="A152">
            <v>151</v>
          </cell>
          <cell r="E152" t="str">
            <v>មន្ទីរ សហវ. ខេត្តកំពង់ស្ពឺ</v>
          </cell>
        </row>
        <row r="153">
          <cell r="A153">
            <v>152</v>
          </cell>
          <cell r="E153" t="str">
            <v>មន្ទីរ សហវ. ខេត្តកំពង់ធំ</v>
          </cell>
        </row>
        <row r="154">
          <cell r="A154">
            <v>153</v>
          </cell>
          <cell r="E154" t="str">
            <v>មន្ទីរ សហវ. ខេត្តកំពត</v>
          </cell>
        </row>
        <row r="155">
          <cell r="A155">
            <v>154</v>
          </cell>
          <cell r="E155" t="str">
            <v>មន្ទីរ សហវ. ខេត្តកណ្តាល</v>
          </cell>
        </row>
        <row r="156">
          <cell r="A156">
            <v>155</v>
          </cell>
          <cell r="E156" t="str">
            <v>មន្ទីរ សហវ. ខេត្តកោះកុង</v>
          </cell>
        </row>
        <row r="157">
          <cell r="A157">
            <v>156</v>
          </cell>
          <cell r="E157" t="str">
            <v>មន្ទីរ សហវ. ខេត្តក្រចេះ</v>
          </cell>
        </row>
        <row r="158">
          <cell r="A158">
            <v>157</v>
          </cell>
          <cell r="E158" t="str">
            <v>មន្ទីរ សហវ. ខេត្តមណ្ឌលគិរី</v>
          </cell>
        </row>
        <row r="159">
          <cell r="A159">
            <v>158</v>
          </cell>
          <cell r="E159" t="str">
            <v>មន្ទីរ សហវ. រាជធានីភ្នំពេញ</v>
          </cell>
        </row>
        <row r="160">
          <cell r="A160">
            <v>159</v>
          </cell>
          <cell r="E160" t="str">
            <v>មន្ទីរ សហវ. ខេត្តព្រះវិហារ</v>
          </cell>
        </row>
        <row r="161">
          <cell r="A161">
            <v>160</v>
          </cell>
          <cell r="E161" t="str">
            <v>មន្ទីរ សហវ. ខេត្តព្រៃវែង</v>
          </cell>
        </row>
        <row r="162">
          <cell r="A162">
            <v>161</v>
          </cell>
          <cell r="E162" t="str">
            <v>មន្ទីរ សហវ. ខេត្តពោធិ៍សាត់</v>
          </cell>
        </row>
        <row r="163">
          <cell r="A163">
            <v>162</v>
          </cell>
          <cell r="E163" t="str">
            <v>មន្ទីរ សហវ. ខេត្តរតនគិរី</v>
          </cell>
        </row>
        <row r="164">
          <cell r="A164">
            <v>163</v>
          </cell>
          <cell r="E164" t="str">
            <v>មន្ទីរ សហវ. ខេត្តសៀមរាប</v>
          </cell>
        </row>
        <row r="165">
          <cell r="A165">
            <v>164</v>
          </cell>
          <cell r="E165" t="str">
            <v>មន្ទីរ សហវ. ខេត្តព្រះសីហនុ</v>
          </cell>
        </row>
        <row r="166">
          <cell r="A166">
            <v>165</v>
          </cell>
          <cell r="E166" t="str">
            <v>មន្ទីរ សហវ. ខេត្តស្ទឹងត្រែង</v>
          </cell>
        </row>
        <row r="167">
          <cell r="A167">
            <v>166</v>
          </cell>
          <cell r="E167" t="str">
            <v>មន្ទីរ សហវ. ខេត្តស្វាយរៀង</v>
          </cell>
        </row>
        <row r="168">
          <cell r="A168">
            <v>167</v>
          </cell>
          <cell r="E168" t="str">
            <v>មន្ទីរ សហវ. ខេត្តតាកែវ</v>
          </cell>
        </row>
        <row r="169">
          <cell r="A169">
            <v>168</v>
          </cell>
          <cell r="E169" t="str">
            <v>មន្ទីរ សហវ. ខេត្តឧត្តរមានជ័យ</v>
          </cell>
        </row>
        <row r="170">
          <cell r="A170">
            <v>169</v>
          </cell>
          <cell r="E170" t="str">
            <v>មន្ទីរ សហវ. ខេត្តកែប</v>
          </cell>
        </row>
        <row r="171">
          <cell r="A171">
            <v>170</v>
          </cell>
          <cell r="E171" t="str">
            <v>មន្ទីរ សហវ. ខេត្តប៉ៃលិន</v>
          </cell>
        </row>
        <row r="172">
          <cell r="A172">
            <v>171</v>
          </cell>
          <cell r="E172" t="str">
            <v>មន្ទីរ សហវ. ខេត្តត្បូងឃ្មុំ</v>
          </cell>
        </row>
        <row r="173">
          <cell r="A173">
            <v>172</v>
          </cell>
          <cell r="E173" t="str">
            <v>ការិយាល័យស្រាវជ្រាវ</v>
          </cell>
        </row>
        <row r="174">
          <cell r="A174">
            <v>173</v>
          </cell>
          <cell r="E174" t="str">
            <v>ការិយាល័យវិភាគនិងព្យាករណ៍សារពើពន្ធ</v>
          </cell>
        </row>
        <row r="175">
          <cell r="A175">
            <v>174</v>
          </cell>
          <cell r="E175" t="str">
            <v>ការិយាល័យគោលនយោបាយសេដ្ឋកិច្ច</v>
          </cell>
        </row>
        <row r="176">
          <cell r="A176">
            <v>175</v>
          </cell>
          <cell r="E176" t="str">
            <v>ការិយាល័យវិភាគនិងព្យាករណ៍សេដ្ឋកិច្ច</v>
          </cell>
        </row>
        <row r="177">
          <cell r="A177">
            <v>176</v>
          </cell>
          <cell r="E177" t="str">
            <v>ការិយាល័យគោលនយោបាយហិរញ្ញវត្ថុសាធារណៈ</v>
          </cell>
        </row>
        <row r="178">
          <cell r="A178">
            <v>177</v>
          </cell>
          <cell r="E178" t="str">
            <v>ការិយាល័យកិច្ចការទូទៅនិងសម្របសម្រួល</v>
          </cell>
        </row>
        <row r="179">
          <cell r="A179">
            <v>178</v>
          </cell>
          <cell r="E179" t="str">
            <v>ការិយាល័យស្ថិតិហិរញ្ញវត្ថុសាធារណៈ</v>
          </cell>
        </row>
        <row r="180">
          <cell r="A180">
            <v>179</v>
          </cell>
          <cell r="E180" t="str">
            <v>ការិយាល័យស្ថិតិនិងវិភាគម៉ាក្រូសេដ្ឋកិច្ច</v>
          </cell>
        </row>
        <row r="181">
          <cell r="A181">
            <v>180</v>
          </cell>
          <cell r="E181" t="str">
            <v>ការិយាល័យស្ថិតិនិងវិភាគសេដ្ឋកិច្ចតាមវិស័យ</v>
          </cell>
        </row>
        <row r="182">
          <cell r="A182">
            <v>181</v>
          </cell>
          <cell r="E182" t="str">
            <v>ការិយាល័យតាមដានថ្លៃទំនិញ និងសេវា</v>
          </cell>
        </row>
        <row r="183">
          <cell r="A183">
            <v>182</v>
          </cell>
          <cell r="E183" t="str">
            <v>ការិយាល័យតាមដាននិងវិភាគនិន្នាការសេដ្ឋកិច្ច</v>
          </cell>
        </row>
        <row r="184">
          <cell r="A184">
            <v>183</v>
          </cell>
          <cell r="E184" t="str">
            <v>ការិយាល័យសហប្រតិបត្តិការហិរញ្ញវត្ថុនិងរូបិយវត្ថុ</v>
          </cell>
        </row>
        <row r="185">
          <cell r="A185">
            <v>184</v>
          </cell>
          <cell r="E185" t="str">
            <v>ការិយាល័យសហប្រតិបត្តិការអនុតំបន់និងពហុភាគី និងការិយាល័យតំបន់ពាណិជ្ជកម្មសេរី</v>
          </cell>
        </row>
        <row r="186">
          <cell r="A186">
            <v>185</v>
          </cell>
          <cell r="E186" t="str">
            <v>ការិយាល័យគណនេយ្យ និងហិរញ្ញវត្ថុ</v>
          </cell>
        </row>
        <row r="187">
          <cell r="A187">
            <v>186</v>
          </cell>
          <cell r="E187" t="str">
            <v>ការិយាល័យគ្រប់គ្រងព័ត៌មានវិទ្យា</v>
          </cell>
        </row>
        <row r="188">
          <cell r="A188">
            <v>187</v>
          </cell>
          <cell r="E188" t="str">
            <v>ការិយាល័យរដ្ឋបាល និងបុគ្គលិក</v>
          </cell>
        </row>
        <row r="189">
          <cell r="A189">
            <v>188</v>
          </cell>
          <cell r="E189" t="str">
            <v>ការិយាល័យផែនការថវិកា</v>
          </cell>
        </row>
        <row r="190">
          <cell r="A190">
            <v>189</v>
          </cell>
          <cell r="E190" t="str">
            <v>ការិយាល័យស្រាវជ្រាវ និងអភិវឌ្ឍន៍ទីផ្សារមូលបត្រ</v>
          </cell>
        </row>
        <row r="191">
          <cell r="A191">
            <v>190</v>
          </cell>
          <cell r="E191" t="str">
            <v>ការិយាល័យទំនាក់ទំនងអន្តរជាតិ</v>
          </cell>
        </row>
        <row r="192">
          <cell r="A192">
            <v>191</v>
          </cell>
          <cell r="E192" t="str">
            <v>ការិយាល័យបណ្តុះបណ្តាល និងផ្សព្វផ្សាយ</v>
          </cell>
        </row>
        <row r="193">
          <cell r="A193">
            <v>192</v>
          </cell>
          <cell r="E193" t="str">
            <v>ការិយាល័យសម្របសម្រួល និងអាជ្ញាបណ្ណ</v>
          </cell>
        </row>
        <row r="194">
          <cell r="A194">
            <v>193</v>
          </cell>
          <cell r="E194" t="str">
            <v>ការិយាល័យត្រួតពិនិត្យលើឯកសារ</v>
          </cell>
        </row>
        <row r="195">
          <cell r="A195">
            <v>194</v>
          </cell>
          <cell r="E195" t="str">
            <v>ការិយាល័យត្រួតពិនិត្យដល់ទីកន្លែង</v>
          </cell>
        </row>
        <row r="196">
          <cell r="A196">
            <v>195</v>
          </cell>
          <cell r="E196" t="str">
            <v>ការិយាល័យត្រួតពិនិត្យប្រតិបត្តិការទីផ្សារមូលបត្រ
ការិយាល័យត្រួតពិនិត្យប្រព័ន្ធផាត់ទាត់និងទូទាត់មូលបត្រ
ការិយាល័យត្រួតពិនិត្យសេវារក្សាទុកមូលបត្រ</v>
          </cell>
        </row>
        <row r="197">
          <cell r="A197">
            <v>196</v>
          </cell>
          <cell r="E197" t="str">
            <v>ការិយាល័យត្រួតពិនិត្យប្រព័ន្ធផាត់ទាត់និងទូទាត់មូលបត្រ
ការិយាល័យត្រួតពិនិត្យសេវារក្សាទុកមូលបត្រ</v>
          </cell>
        </row>
        <row r="198">
          <cell r="A198">
            <v>197</v>
          </cell>
          <cell r="E198" t="str">
            <v>ការិយាល័យត្រួតពិនិត្យប្រព័ន្ធផាត់ទាត់និងទូទាត់មូលបត្រ</v>
          </cell>
        </row>
        <row r="199">
          <cell r="A199">
            <v>198</v>
          </cell>
          <cell r="E199" t="str">
            <v>ការិយាល័យស៊ើបអង្កេត</v>
          </cell>
        </row>
        <row r="200">
          <cell r="A200">
            <v>199</v>
          </cell>
          <cell r="E200" t="str">
            <v>ការិយាល័យទទួលពាក្យបណ្តឹង និងដោះស្រាយវិវាទ</v>
          </cell>
        </row>
        <row r="201">
          <cell r="A201">
            <v>200</v>
          </cell>
          <cell r="E201" t="str">
            <v>ការិយាល័យបោះផ្សាយមូលបត្រ និងឯកសារផ្តល់ព័តមាន</v>
          </cell>
        </row>
        <row r="202">
          <cell r="A202">
            <v>201</v>
          </cell>
          <cell r="E202" t="str">
            <v>ការិយាល័យអភិបាលកិច្ចសាជីវកម្ម</v>
          </cell>
        </row>
        <row r="203">
          <cell r="A203">
            <v>202</v>
          </cell>
          <cell r="E203" t="str">
            <v>ការិយាល័យត្រួតពិនិត្យកិច្ចការគណនេយ្យ</v>
          </cell>
        </row>
        <row r="204">
          <cell r="A204">
            <v>203</v>
          </cell>
          <cell r="E204" t="str">
            <v>ការិយាល័យគ្រប់គ្រងព័ត៌មានសាជីវកម្ម</v>
          </cell>
        </row>
        <row r="205">
          <cell r="A205">
            <v>204</v>
          </cell>
          <cell r="E205" t="str">
            <v>ការិយាល័យរដ្ឋបាលនិងបុគ្គលិក</v>
          </cell>
        </row>
        <row r="206">
          <cell r="A206">
            <v>205</v>
          </cell>
          <cell r="E206" t="str">
            <v>ការិយាល័យគណនេយ្យនិងហិរញ្ញវត្ថុ</v>
          </cell>
        </row>
        <row r="207">
          <cell r="A207">
            <v>206</v>
          </cell>
          <cell r="E207" t="str">
            <v>ការិយាល័យព័ត៌មានវិទ្យា</v>
          </cell>
        </row>
        <row r="208">
          <cell r="A208">
            <v>207</v>
          </cell>
          <cell r="E208" t="str">
            <v>ការិយាល័យសហប្រតិបត្តិការ</v>
          </cell>
        </row>
        <row r="209">
          <cell r="A209">
            <v>208</v>
          </cell>
          <cell r="E209" t="str">
            <v>ការិយាល័យស្ដង់ដាគណនេយ្យឯកជន</v>
          </cell>
        </row>
        <row r="210">
          <cell r="A210">
            <v>209</v>
          </cell>
          <cell r="E210" t="str">
            <v xml:space="preserve">ការិយាល័យស្ដង់ដាគណនេយ្យអង្គភាពមិនស្វែងរកប្រាក់ចំនេញ </v>
          </cell>
        </row>
        <row r="211">
          <cell r="A211">
            <v>210</v>
          </cell>
          <cell r="E211" t="str">
            <v>ការិយាល័យស្ដង់ដាគណនេយ្យសាធារណៈ</v>
          </cell>
        </row>
        <row r="212">
          <cell r="A212">
            <v>211</v>
          </cell>
          <cell r="E212" t="str">
            <v>ការិយាល័យស្តង់ដាសវនកម្ម</v>
          </cell>
        </row>
        <row r="213">
          <cell r="A213">
            <v>212</v>
          </cell>
          <cell r="E213" t="str">
            <v>ការិយាល័យអាជ្ញាបណ្ណ</v>
          </cell>
        </row>
        <row r="214">
          <cell r="A214">
            <v>213</v>
          </cell>
          <cell r="E214" t="str">
            <v>ការិយាល័យត្រួតពិនិត្យទី១</v>
          </cell>
        </row>
        <row r="215">
          <cell r="A215">
            <v>214</v>
          </cell>
          <cell r="E215" t="str">
            <v>ការិយាល័យត្រួតពិនិត្យទី២</v>
          </cell>
        </row>
        <row r="216">
          <cell r="A216">
            <v>215</v>
          </cell>
          <cell r="E216" t="str">
            <v>ការិយាល័យអភិវឌ្ឍន៍វិជ្ជាជីវៈ</v>
          </cell>
        </row>
        <row r="217">
          <cell r="A217">
            <v>216</v>
          </cell>
          <cell r="E217" t="str">
            <v>ការិយាល័យនីតិកម្ម និងដោះស្រាយវិវាទ​</v>
          </cell>
        </row>
        <row r="218">
          <cell r="A218">
            <v>217</v>
          </cell>
          <cell r="E218" t="str">
            <v>ការិយាល័យអនុលោមភាពទី១</v>
          </cell>
        </row>
        <row r="219">
          <cell r="A219">
            <v>218</v>
          </cell>
          <cell r="E219" t="str">
            <v>ការិយាល័យអនុលោមភាពទី២</v>
          </cell>
        </row>
        <row r="220">
          <cell r="A220">
            <v>219</v>
          </cell>
          <cell r="E220" t="str">
            <v>ការិយាល័យអនុលោមភាពទី៣</v>
          </cell>
        </row>
        <row r="221">
          <cell r="A221">
            <v>220</v>
          </cell>
          <cell r="E221" t="str">
            <v xml:space="preserve">ការិយាល័យអនុលោមភាពទី១ ទី២ និងទី៣ </v>
          </cell>
        </row>
        <row r="222">
          <cell r="A222">
            <v>221</v>
          </cell>
          <cell r="E222" t="str">
            <v>ការិយាល័យផ្សព្វផ្សាយនិងបណ្តុះបណ្តាល</v>
          </cell>
        </row>
        <row r="223">
          <cell r="A223">
            <v>222</v>
          </cell>
          <cell r="E223" t="str">
            <v>ការិយាល័យអាជីវកម្មអភិវឌ្ឍនលំនៅឋាន និងសហកម្មសិទ្ធិ</v>
          </cell>
        </row>
        <row r="224">
          <cell r="A224">
            <v>223</v>
          </cell>
          <cell r="E224" t="str">
            <v>ការិយាល័យសេវាកម្មវាយតម្លៃ និងអចនវត្ថុ</v>
          </cell>
        </row>
        <row r="225">
          <cell r="A225">
            <v>224</v>
          </cell>
          <cell r="E225" t="str">
            <v>ការិយាល័យអាជីវកម្មអភិវឌ្ឍដីឡូត៍</v>
          </cell>
        </row>
        <row r="226">
          <cell r="A226">
            <v>225</v>
          </cell>
          <cell r="E226" t="str">
            <v>ការិយាល័យអាជីវកម្មបញ្ចាំ និងប្រាតិភោគដោយអនុប្បទាន</v>
          </cell>
        </row>
        <row r="227">
          <cell r="A227">
            <v>226</v>
          </cell>
          <cell r="E227" t="str">
            <v>ការិយាល័យកិច្ចការគតិយុត្ត</v>
          </cell>
        </row>
        <row r="228">
          <cell r="A228">
            <v>227</v>
          </cell>
          <cell r="E228" t="str">
            <v>ការិយាល័យស្រាវជ្រាវ និងអភិវឌ្ឍន៍</v>
          </cell>
        </row>
        <row r="229">
          <cell r="A229">
            <v>228</v>
          </cell>
          <cell r="E229" t="str">
            <v>ការិយាល័យរដ្ឋបាលនិងគ្រប់គ្រង</v>
          </cell>
        </row>
        <row r="230">
          <cell r="A230">
            <v>229</v>
          </cell>
          <cell r="E230" t="str">
            <v>ការិយាល័យផែនការនិងគោលនយោបាយគយ</v>
          </cell>
        </row>
        <row r="231">
          <cell r="A231">
            <v>230</v>
          </cell>
          <cell r="E231" t="str">
            <v>ការិយាល័យតម្លៃគិតពន្ធគយ</v>
          </cell>
        </row>
        <row r="232">
          <cell r="A232">
            <v>231</v>
          </cell>
          <cell r="E232" t="str">
            <v>ការិយាល័យចំណាត់ថ្នាក់ទំនិញ</v>
          </cell>
        </row>
        <row r="233">
          <cell r="A233">
            <v>232</v>
          </cell>
          <cell r="E233" t="str">
            <v>ការិយាល័យដើមកំណើតទំនិញ</v>
          </cell>
        </row>
        <row r="234">
          <cell r="A234">
            <v>233</v>
          </cell>
          <cell r="E234" t="str">
            <v>ការិយាល័យកិច្ចការច្បាប់</v>
          </cell>
        </row>
        <row r="235">
          <cell r="A235">
            <v>234</v>
          </cell>
          <cell r="E235" t="str">
            <v>ការិយាល័យទំនាក់ទំនងសាធារណៈ</v>
          </cell>
        </row>
        <row r="236">
          <cell r="A236">
            <v>235</v>
          </cell>
          <cell r="E236" t="str">
            <v>ការិយាល័យសវនកម្មសហគ្រាស</v>
          </cell>
        </row>
        <row r="237">
          <cell r="A237">
            <v>236</v>
          </cell>
          <cell r="E237" t="str">
            <v>ការិយាល័យគ្រប់គ្រងហានិភ័យ</v>
          </cell>
        </row>
        <row r="238">
          <cell r="A238">
            <v>237</v>
          </cell>
          <cell r="E238" t="str">
            <v>ការិយាល័យរដ្ឋបាលនិងគោលនយោបាយ</v>
          </cell>
        </row>
        <row r="239">
          <cell r="A239">
            <v>238</v>
          </cell>
          <cell r="E239" t="str">
            <v>ការិយាល័យគ្រប់គ្រងវិភាគព័ត៌មាននិងស៊ើបអង្កេតបទល្មើសគយ</v>
          </cell>
        </row>
        <row r="240">
          <cell r="A240">
            <v>239</v>
          </cell>
          <cell r="E240" t="str">
            <v>ការិយាល័យស្រាវជ្រាវនិងបង្ក្រាបអំពើរត់ពន្ធតំបន់១</v>
          </cell>
        </row>
        <row r="241">
          <cell r="A241">
            <v>240</v>
          </cell>
          <cell r="E241" t="str">
            <v>ការិយាល័យស្រាវជ្រាវនិងបង្ក្រាបអំពើរត់ពន្ធតំបន់២</v>
          </cell>
        </row>
        <row r="242">
          <cell r="A242">
            <v>241</v>
          </cell>
          <cell r="E242" t="str">
            <v>ការិយាល័យស្រាវជ្រាវនិងបង្ក្រាបអំពើរត់ពន្ធតំបន់៣</v>
          </cell>
        </row>
        <row r="243">
          <cell r="A243">
            <v>242</v>
          </cell>
          <cell r="E243" t="str">
            <v>ការិយាល័យស្រាវជ្រាវនិងបង្ក្រាបអំពើរត់ពន្ធតំបន់៤</v>
          </cell>
        </row>
        <row r="244">
          <cell r="A244">
            <v>243</v>
          </cell>
          <cell r="E244" t="str">
            <v>ការិយាល័យស្រាវជ្រាវនិងបង្ក្រាបអំពើរត់ពន្ធតំបន់៥</v>
          </cell>
        </row>
        <row r="245">
          <cell r="A245">
            <v>244</v>
          </cell>
          <cell r="E245" t="str">
            <v>ការិយាល័យស្រាវជ្រាវនិងបង្ក្រាបអំពើរត់ពន្ធតំបន់៦</v>
          </cell>
        </row>
        <row r="246">
          <cell r="A246">
            <v>245</v>
          </cell>
          <cell r="E246" t="str">
            <v>ការិយាល័យនាវាចរគយ</v>
          </cell>
        </row>
        <row r="247">
          <cell r="A247">
            <v>246</v>
          </cell>
          <cell r="E247" t="str">
            <v>ការិយាល័យគោលនយោបាយរដ្ឋាករ និងគ្រប់គ្រង</v>
          </cell>
        </row>
        <row r="248">
          <cell r="A248">
            <v>247</v>
          </cell>
          <cell r="E248" t="str">
            <v>ការិយាល័យគ្រប់គ្រងផលិតផលតេលសិលា និងថាមពល</v>
          </cell>
        </row>
        <row r="249">
          <cell r="A249">
            <v>248</v>
          </cell>
          <cell r="E249" t="str">
            <v>ការិយាល័យបង្ការ បង្ក្រាបបទល្មើស និងគ្រប់គ្រងផលិតកម្ម</v>
          </cell>
        </row>
        <row r="250">
          <cell r="A250">
            <v>249</v>
          </cell>
          <cell r="E250" t="str">
            <v>ការិយាល័យត្រួតពិនិត្យ</v>
          </cell>
        </row>
        <row r="251">
          <cell r="A251">
            <v>250</v>
          </cell>
          <cell r="E251" t="str">
            <v>ការិយាល័យគ្រប់គ្រងវិនិយោគកាត់ដេរ</v>
          </cell>
        </row>
        <row r="252">
          <cell r="A252">
            <v>251</v>
          </cell>
          <cell r="E252" t="str">
            <v>ការិយាល័យគ្រប់គ្រងវិនិយោគមិនមែនកាត់ដេរ</v>
          </cell>
        </row>
        <row r="253">
          <cell r="A253">
            <v>252</v>
          </cell>
          <cell r="E253" t="str">
            <v>ការិយាល័យគោលនយោបាយ និងគ្រប់គ្រងតំបន់រួចពន្ធ</v>
          </cell>
        </row>
        <row r="254">
          <cell r="A254">
            <v>253</v>
          </cell>
          <cell r="E254" t="str">
            <v>ការិយាល័យគយនិងរដ្ឋាករ​ ប្រចាំតំបន់សេដ្ឋកិច្ចពិសេសនានា</v>
          </cell>
        </row>
        <row r="255">
          <cell r="A255">
            <v>254</v>
          </cell>
          <cell r="E255" t="str">
            <v>ការិយាល័យរដ្ឋបាលនិងស្ថិតិ</v>
          </cell>
        </row>
        <row r="256">
          <cell r="A256">
            <v>255</v>
          </cell>
          <cell r="E256" t="str">
            <v>ការិយាល័យហេដ្ឋារចនាសម្ព័ន្ធប្រព័ន្ធ</v>
          </cell>
        </row>
        <row r="257">
          <cell r="A257">
            <v>256</v>
          </cell>
          <cell r="E257" t="str">
            <v>ការិយាល័យបច្ចេកវិទ្យាព័ត៌មាន</v>
          </cell>
        </row>
        <row r="258">
          <cell r="A258">
            <v>257</v>
          </cell>
          <cell r="E258" t="str">
            <v>ការិយាល័យសហប្រតិបត្តិការគយ</v>
          </cell>
        </row>
        <row r="259">
          <cell r="A259">
            <v>258</v>
          </cell>
          <cell r="E259" t="str">
            <v>ការិយាល័យពាណិជ្ជកម្មសេរី</v>
          </cell>
        </row>
        <row r="260">
          <cell r="A260">
            <v>259</v>
          </cell>
          <cell r="E260" t="str">
            <v>ការិយាល័យត្រួតពិនិត្យគយលើទំនិញនាំចេញរាជធានីភ្នំពេញ</v>
          </cell>
        </row>
        <row r="261">
          <cell r="A261">
            <v>260</v>
          </cell>
          <cell r="E261" t="str">
            <v>ការិយាល័យត្រួតពិនិត្យគយលើទំនិញនាំចេញខេត្តកណ្តាល</v>
          </cell>
        </row>
        <row r="262">
          <cell r="A262">
            <v>261</v>
          </cell>
          <cell r="E262" t="str">
            <v>ការិយាល័យត្រួតពិនិត្យគយលើទំនិញនាំចេញខេត្តកំពង់ស្ពឺ</v>
          </cell>
        </row>
        <row r="263">
          <cell r="A263">
            <v>262</v>
          </cell>
          <cell r="E263" t="str">
            <v>ការិយាល័យត្រួតពិនិត្យគយលើទំនិញនាំចេញខេត្តនានា</v>
          </cell>
        </row>
        <row r="264">
          <cell r="A264">
            <v>263</v>
          </cell>
          <cell r="E264" t="str">
            <v>ការិយាល័យលេខាធិការ និងជំនួយការ</v>
          </cell>
        </row>
        <row r="265">
          <cell r="A265">
            <v>264</v>
          </cell>
          <cell r="E265" t="str">
            <v>ការិយាល័យសវនកម្មផ្ទៃក្នុង</v>
          </cell>
        </row>
        <row r="266">
          <cell r="A266">
            <v>265</v>
          </cell>
          <cell r="E266" t="str">
            <v>ការិយាល័យផែនការ គោលនយោបាយ និងសហប្រតិបត្តិការ</v>
          </cell>
        </row>
        <row r="267">
          <cell r="A267">
            <v>266</v>
          </cell>
          <cell r="E267" t="str">
            <v>ការិយាល័យបណ្តុះបណ្តាល និងពិសោធន៍ស្រាវជ្រាវ</v>
          </cell>
        </row>
        <row r="268">
          <cell r="A268">
            <v>267</v>
          </cell>
          <cell r="E268" t="str">
            <v>អង្គភាពត្រួតពិនិត្យបែបបទគយមូលដ្ឋានទាំង៥</v>
          </cell>
        </row>
        <row r="269">
          <cell r="A269">
            <v>268</v>
          </cell>
          <cell r="E269" t="str">
            <v>អង្គភាពមូលដ្ឋានគយនិងរដ្ឋាករ ដែលជាសាខាគយ
និងរដ្ឋាករខេត្តជាប់ព្រំដែនទាំង១៩</v>
          </cell>
        </row>
        <row r="270">
          <cell r="A270">
            <v>269</v>
          </cell>
          <cell r="E270" t="str">
            <v>អង្គភាពមូលដ្ឋានគយនិងរដ្ឋាករ ដែលជាសាខាគយរាជធានី ខេត្ត មិនជាប់ព្រំដែនទាំង៦</v>
          </cell>
        </row>
        <row r="271">
          <cell r="A271">
            <v>270</v>
          </cell>
          <cell r="E271" t="str">
            <v>ការិយាល័យរដ្ឋបាល</v>
          </cell>
        </row>
        <row r="272">
          <cell r="A272">
            <v>271</v>
          </cell>
          <cell r="E272" t="str">
            <v>ការិយាល័យកិច្ចការទូទៅ</v>
          </cell>
        </row>
        <row r="273">
          <cell r="A273">
            <v>272</v>
          </cell>
          <cell r="E273" t="str">
            <v>ការិយាល័យពិគ្រោះយោបល់</v>
          </cell>
        </row>
        <row r="274">
          <cell r="A274">
            <v>273</v>
          </cell>
          <cell r="E274" t="str">
            <v>ការិយាល័យចុះបញ្ជី</v>
          </cell>
        </row>
        <row r="275">
          <cell r="A275">
            <v>274</v>
          </cell>
          <cell r="E275" t="str">
            <v>ការិយាល័យហិរញ្ញវត្ថុ និងលទ្ធកម្ម</v>
          </cell>
        </row>
        <row r="276">
          <cell r="A276">
            <v>275</v>
          </cell>
          <cell r="E276" t="str">
            <v>ការិយាល័យបុគ្គលិក</v>
          </cell>
        </row>
        <row r="277">
          <cell r="A277">
            <v>276</v>
          </cell>
          <cell r="E277" t="str">
            <v>ការិយាល័យបណ្តុះបណ្តាលនិងអភិវឌ្ឍន៍ធនធានមនុស្ស</v>
          </cell>
        </row>
        <row r="278">
          <cell r="A278">
            <v>277</v>
          </cell>
          <cell r="E278" t="str">
            <v>ការិយាល័យនីតិកម្ម</v>
          </cell>
        </row>
        <row r="279">
          <cell r="A279">
            <v>278</v>
          </cell>
          <cell r="E279" t="str">
            <v>ការិយាល័យគោលនយោបាយសារពើពន្ធ</v>
          </cell>
        </row>
        <row r="280">
          <cell r="A280">
            <v>279</v>
          </cell>
          <cell r="E280" t="str">
            <v>ការិយាល័យសហប្រតិបត្តិការពន្ធដារអន្តរជាតិ</v>
          </cell>
        </row>
        <row r="281">
          <cell r="A281">
            <v>280</v>
          </cell>
          <cell r="E281" t="str">
            <v>ការិយាល័យវិវាទ</v>
          </cell>
        </row>
        <row r="282">
          <cell r="A282">
            <v>281</v>
          </cell>
          <cell r="E282" t="str">
            <v>ការិយាល័យស្ថិតិ និងព្យាករណ៍ចំណូល</v>
          </cell>
        </row>
        <row r="283">
          <cell r="A283">
            <v>282</v>
          </cell>
          <cell r="E283" t="str">
            <v>ការិយាល័យផ្លាស់ប្តូរព័ត៌មាន</v>
          </cell>
        </row>
        <row r="284">
          <cell r="A284">
            <v>283</v>
          </cell>
          <cell r="E284" t="str">
            <v>ការិយាល័យពន្ធចលនទ្រព្យ</v>
          </cell>
        </row>
        <row r="285">
          <cell r="A285">
            <v>284</v>
          </cell>
          <cell r="E285" t="str">
            <v>ការិយាល័យពន្ធអចលនទ្រព្យ</v>
          </cell>
        </row>
        <row r="286">
          <cell r="A286">
            <v>285</v>
          </cell>
          <cell r="E286" t="str">
            <v>ការិយាល័យពន្ធប្រថាប់ត្រាទី១</v>
          </cell>
        </row>
        <row r="287">
          <cell r="A287">
            <v>286</v>
          </cell>
          <cell r="E287" t="str">
            <v>ការិយាល័យពន្ធប្រថាប់ត្រាទី២</v>
          </cell>
        </row>
        <row r="288">
          <cell r="A288">
            <v>287</v>
          </cell>
          <cell r="E288" t="str">
            <v>ការិយាល័យគ្រប់គ្រងការងារពន្ធចំណេញមូលធនទី១</v>
          </cell>
        </row>
        <row r="289">
          <cell r="A289">
            <v>288</v>
          </cell>
          <cell r="E289" t="str">
            <v>ការិយាល័យគ្រប់គ្រងការងារពន្ធចំណេញមូលធនទី២</v>
          </cell>
        </row>
        <row r="290">
          <cell r="A290">
            <v>289</v>
          </cell>
          <cell r="E290" t="str">
            <v>ការិយាល័យហេដ្ឋារចនាសម្ព័ន្ធបច្ចេកវិទ្យាព័ត៌មាន</v>
          </cell>
        </row>
        <row r="291">
          <cell r="A291">
            <v>290</v>
          </cell>
          <cell r="E291" t="str">
            <v>ការិយាល័យស្រាវជ្រាវ និងអភិវឌ្ឍប្រព័ន្ធ</v>
          </cell>
        </row>
        <row r="292">
          <cell r="A292">
            <v>291</v>
          </cell>
          <cell r="E292" t="str">
            <v>ការិយាល័យគ្រប់គ្រងទិន្នន័យ</v>
          </cell>
        </row>
        <row r="293">
          <cell r="A293">
            <v>292</v>
          </cell>
          <cell r="E293" t="str">
            <v>ការិយាល័យធានាគុណភាព</v>
          </cell>
        </row>
        <row r="294">
          <cell r="A294">
            <v>293</v>
          </cell>
          <cell r="E294" t="str">
            <v>ការិយាល័យបណ្តុះបណ្តាល</v>
          </cell>
        </row>
        <row r="295">
          <cell r="A295">
            <v>294</v>
          </cell>
          <cell r="E295" t="str">
            <v>ការិយាល័យបំប្លែងទិន្នន័យ</v>
          </cell>
        </row>
        <row r="296">
          <cell r="A296">
            <v>295</v>
          </cell>
          <cell r="E296" t="str">
            <v>ការិយាល័យសេវាកម្មបច្ចេកវិទ្យាព័ត៌មាន</v>
          </cell>
        </row>
        <row r="297">
          <cell r="A297">
            <v>296</v>
          </cell>
          <cell r="E297" t="str">
            <v>ការិយាល័យប្រព័ន្ធផ្សព្វផ្សាយ</v>
          </cell>
        </row>
        <row r="298">
          <cell r="A298">
            <v>297</v>
          </cell>
          <cell r="E298" t="str">
            <v>ការិយាល័យគាំទ្របច្ចេកទេស</v>
          </cell>
        </row>
        <row r="299">
          <cell r="A299">
            <v>298</v>
          </cell>
          <cell r="E299" t="str">
            <v>ការិយាល័យប្រមូលព័ត៌មានអ្នកជាប់ពន្ធ</v>
          </cell>
        </row>
        <row r="300">
          <cell r="A300">
            <v>299</v>
          </cell>
          <cell r="E300" t="str">
            <v xml:space="preserve">ការិយាល័យស៊ើបអង្កេតបទល្មើសពន្ធដារទី១ </v>
          </cell>
        </row>
        <row r="301">
          <cell r="A301">
            <v>300</v>
          </cell>
          <cell r="E301" t="str">
            <v xml:space="preserve">ការិយាល័យស៊ើបអង្កេតបទល្មើសពន្ធដារទី២ </v>
          </cell>
        </row>
        <row r="302">
          <cell r="A302">
            <v>301</v>
          </cell>
          <cell r="E302" t="str">
            <v>ការិយាល័យសេវាអ្នកជាប់ពន្ធ</v>
          </cell>
        </row>
        <row r="303">
          <cell r="A303">
            <v>302</v>
          </cell>
          <cell r="E303" t="str">
            <v>ការិយាល័យចាត់ចែងលិខិតប្រកាស</v>
          </cell>
        </row>
        <row r="304">
          <cell r="A304">
            <v>303</v>
          </cell>
          <cell r="E304" t="str">
            <v>ការិយាល័យសវនកម្មទី១</v>
          </cell>
        </row>
        <row r="305">
          <cell r="A305">
            <v>304</v>
          </cell>
          <cell r="E305" t="str">
            <v>ការិយាល័យសវនកម្មទី២</v>
          </cell>
        </row>
        <row r="306">
          <cell r="A306">
            <v>305</v>
          </cell>
          <cell r="E306" t="str">
            <v>ការិយាល័យសវនកម្មទី៣</v>
          </cell>
        </row>
        <row r="307">
          <cell r="A307">
            <v>306</v>
          </cell>
          <cell r="E307" t="str">
            <v>ការិយាល័យសវនកម្មទី៤</v>
          </cell>
        </row>
        <row r="308">
          <cell r="A308">
            <v>307</v>
          </cell>
          <cell r="E308" t="str">
            <v>ការិយាល័យសវនកម្មទី៥</v>
          </cell>
        </row>
        <row r="309">
          <cell r="A309">
            <v>308</v>
          </cell>
          <cell r="E309" t="str">
            <v>ការិយាល័យសវនកម្មទី៦</v>
          </cell>
        </row>
        <row r="310">
          <cell r="A310">
            <v>309</v>
          </cell>
          <cell r="E310" t="str">
            <v>ការិយាល័យគ្រប់គ្រងអាករពិសេស</v>
          </cell>
        </row>
        <row r="311">
          <cell r="A311">
            <v>310</v>
          </cell>
          <cell r="E311" t="str">
            <v>ការិយាល័យបំណុលពន្ធ</v>
          </cell>
        </row>
        <row r="312">
          <cell r="A312">
            <v>311</v>
          </cell>
          <cell r="E312" t="str">
            <v>ការិយាល័យបង្វិលសងអាករលើតម្លៃបន្ថែម</v>
          </cell>
        </row>
        <row r="313">
          <cell r="A313">
            <v>312</v>
          </cell>
          <cell r="E313" t="str">
            <v>ការិយាល័យគ្រប់គ្រងការងារប្រមូលចំណូលពន្ធ</v>
          </cell>
        </row>
        <row r="314">
          <cell r="A314">
            <v>313</v>
          </cell>
          <cell r="E314" t="str">
            <v>ការិយាល័យគ្រប់គ្រងការងារសវនកម្មទី១</v>
          </cell>
        </row>
        <row r="315">
          <cell r="A315">
            <v>314</v>
          </cell>
          <cell r="E315" t="str">
            <v>ការិយាល័យគ្រប់គ្រងការងារសវនកម្មទី២</v>
          </cell>
        </row>
        <row r="316">
          <cell r="A316">
            <v>315</v>
          </cell>
          <cell r="E316" t="str">
            <v>ការិយាល័យគ្រប់គ្រងការងារបំណុលពន្ធ</v>
          </cell>
        </row>
        <row r="317">
          <cell r="A317">
            <v>316</v>
          </cell>
          <cell r="E317" t="str">
            <v>ការិយាល័យសវនកម្មសហគ្រាសទី១</v>
          </cell>
        </row>
        <row r="318">
          <cell r="A318">
            <v>317</v>
          </cell>
          <cell r="E318" t="str">
            <v>ការិយាល័យសវនកម្មសហគ្រាសទី២</v>
          </cell>
        </row>
        <row r="319">
          <cell r="A319">
            <v>318</v>
          </cell>
          <cell r="E319" t="str">
            <v>ការិយាល័យសវនកម្មសហគ្រាសទី៣</v>
          </cell>
        </row>
        <row r="320">
          <cell r="A320">
            <v>319</v>
          </cell>
          <cell r="E320" t="str">
            <v>ការិយាល័យសវនកម្មសហគ្រាសទី៤</v>
          </cell>
        </row>
        <row r="321">
          <cell r="A321">
            <v>320</v>
          </cell>
          <cell r="E321" t="str">
            <v>ការិយាល័យសវនកម្មសហគ្រាសទី៥</v>
          </cell>
        </row>
        <row r="322">
          <cell r="A322">
            <v>321</v>
          </cell>
          <cell r="E322" t="str">
            <v>ការិយាល័យសវនកម្មសហគ្រាសទី៦</v>
          </cell>
        </row>
        <row r="323">
          <cell r="A323">
            <v>322</v>
          </cell>
          <cell r="E323" t="str">
            <v>ការិយាល័យសវនកម្មសហគ្រាសទី៧</v>
          </cell>
        </row>
        <row r="324">
          <cell r="A324">
            <v>323</v>
          </cell>
          <cell r="E324" t="str">
            <v>ការិយាល័យសវនកម្មសហគ្រាសទី៨</v>
          </cell>
        </row>
        <row r="325">
          <cell r="A325">
            <v>324</v>
          </cell>
          <cell r="E325" t="str">
            <v>ការិយាល័យសវនកម្មសហគ្រាសទី៩</v>
          </cell>
        </row>
        <row r="326">
          <cell r="A326">
            <v>325</v>
          </cell>
          <cell r="E326" t="str">
            <v>ការិយាល័យសវនកម្មសហគ្រាសទី១០</v>
          </cell>
        </row>
        <row r="327">
          <cell r="A327">
            <v>326</v>
          </cell>
          <cell r="E327" t="str">
            <v>ការិយាល័យគ្រប់គ្រងការផ្ទេរថ្លៃ</v>
          </cell>
        </row>
        <row r="328">
          <cell r="A328">
            <v>327</v>
          </cell>
          <cell r="E328" t="str">
            <v>ការិយាល័យរដ្ឋបាល និងសហប្រតិបត្តិការ</v>
          </cell>
        </row>
        <row r="329">
          <cell r="A329">
            <v>328</v>
          </cell>
          <cell r="E329" t="str">
            <v>ការិយាល័យស្រាវជ្រាវ អភិវឌ្ឍន៍កម្មវិធី និងបណ្ណាល័យ</v>
          </cell>
        </row>
        <row r="330">
          <cell r="A330">
            <v>329</v>
          </cell>
          <cell r="E330" t="str">
            <v>ការិយាល័យបណ្តុះបណ្តាលមន្រ្តីពន្ធដារ</v>
          </cell>
        </row>
        <row r="331">
          <cell r="A331">
            <v>330</v>
          </cell>
          <cell r="E331" t="str">
            <v>ការិយាល័យបណ្តុះបណ្តាលសាធារណៈ</v>
          </cell>
        </row>
        <row r="332">
          <cell r="A332">
            <v>331</v>
          </cell>
          <cell r="E332" t="str">
            <v>ការិយាល័យគ្រប់គ្រងសាខាពន្ធដារខណ្ឌទី១</v>
          </cell>
        </row>
        <row r="333">
          <cell r="A333">
            <v>332</v>
          </cell>
          <cell r="E333" t="str">
            <v>ការិយាល័យចំណូលពីធនធានធម្មជាតិ</v>
          </cell>
        </row>
        <row r="334">
          <cell r="A334">
            <v>333</v>
          </cell>
          <cell r="E334" t="str">
            <v>ការិយាល័យចំណូលពីទ្រព្យសម្បត្តិឯកជនរបស់រដ្ឋ</v>
          </cell>
        </row>
        <row r="335">
          <cell r="A335">
            <v>334</v>
          </cell>
          <cell r="E335" t="str">
            <v>ការិយាល័យសម្បទានទ្រព្យសម្បត្តិរសាធារណៈរបស់រដ្ឋ</v>
          </cell>
        </row>
        <row r="336">
          <cell r="A336">
            <v>335</v>
          </cell>
          <cell r="E336" t="str">
            <v>ការិយាល័យចំណូលសាធារណៈវិស័យរដ្ឋបាលទូទៅ</v>
          </cell>
        </row>
        <row r="337">
          <cell r="A337">
            <v>336</v>
          </cell>
          <cell r="E337" t="str">
            <v>ការិយាល័យចំណូលសាធារណៈវិស័យការពារជាតិ និងសន្តិសុខ</v>
          </cell>
        </row>
        <row r="338">
          <cell r="A338">
            <v>337</v>
          </cell>
          <cell r="E338" t="str">
            <v>ការិយាល័យចំណូលសាធារណៈវិស័យសង្គមកិច្ច</v>
          </cell>
        </row>
        <row r="339">
          <cell r="A339">
            <v>338</v>
          </cell>
          <cell r="E339" t="str">
            <v>ការិយាល័យចំណូលសាធារណៈវិស័យសេដ្ឋកិច្ច</v>
          </cell>
        </row>
        <row r="340">
          <cell r="A340">
            <v>339</v>
          </cell>
          <cell r="E340" t="str">
            <v>ការិយាល័យសហគ្រាសសាធារណៈ</v>
          </cell>
        </row>
        <row r="341">
          <cell r="A341">
            <v>340</v>
          </cell>
          <cell r="E341" t="str">
            <v>ការិយាល័យគ្រឹះស្ថានសាធារណៈរដ្ឋបាល</v>
          </cell>
        </row>
        <row r="342">
          <cell r="A342">
            <v>341</v>
          </cell>
          <cell r="E342" t="str">
            <v>ការិយាល័យអង្គភាពនីតិបុគ្គលសាធារណៈ</v>
          </cell>
        </row>
        <row r="343">
          <cell r="A343">
            <v>342</v>
          </cell>
          <cell r="E343" t="str">
            <v>ការិយាល័យសារពើភណ្ឌថ្នាក់ជាតិ</v>
          </cell>
        </row>
        <row r="344">
          <cell r="A344">
            <v>343</v>
          </cell>
          <cell r="E344" t="str">
            <v>ការិយាល័យសារពើភណ្ឌថ្នាក់ក្រោមជាតិ</v>
          </cell>
        </row>
        <row r="345">
          <cell r="A345">
            <v>344</v>
          </cell>
          <cell r="E345" t="str">
            <v>ការិយាល័យសារពើភណ្ឌថ្នាក់នីតិបុគ្គលសាធារណៈ</v>
          </cell>
        </row>
        <row r="346">
          <cell r="A346">
            <v>345</v>
          </cell>
          <cell r="E346" t="str">
            <v>ការិយាល័យបច្ចេកវិទ្យាព័ត៌មាននៃចំណូលមិនមែនសារពើពន្ធ</v>
          </cell>
        </row>
        <row r="347">
          <cell r="A347">
            <v>346</v>
          </cell>
          <cell r="E347" t="str">
            <v>ការិយាល័យបច្ចេកវិទ្យាព័ត៌មាននៃបញ្ជីសារពើភណ្ឌទ្រព្យសម្បត្តិរដ្ឋ</v>
          </cell>
        </row>
        <row r="348">
          <cell r="A348">
            <v>347</v>
          </cell>
          <cell r="E348" t="str">
            <v>ការិយាល័យសេវាបច្ចេកវិទ្យាព័ត៌មាន</v>
          </cell>
        </row>
        <row r="349">
          <cell r="A349">
            <v>348</v>
          </cell>
          <cell r="E349" t="str">
            <v>គ្រប់ការិយាល័យ</v>
          </cell>
        </row>
        <row r="350">
          <cell r="A350">
            <v>349</v>
          </cell>
          <cell r="E350" t="str">
            <v xml:space="preserve">គ្រប់ការិយាល័យ </v>
          </cell>
        </row>
        <row r="351">
          <cell r="A351">
            <v>350</v>
          </cell>
          <cell r="E351" t="str">
            <v>ការិយាល័យរដ្ឋបាលនិងសរុបថវិកា</v>
          </cell>
        </row>
        <row r="352">
          <cell r="A352">
            <v>351</v>
          </cell>
          <cell r="E352" t="str">
            <v>ការិយាល័យរដ្ឋបាលនិងសរុប</v>
          </cell>
        </row>
        <row r="353">
          <cell r="A353">
            <v>352</v>
          </cell>
          <cell r="E353" t="str">
            <v>ការិយាល័យគ្រប់គ្រងរដ្ឋបាល និងបុគ្គលិក</v>
          </cell>
        </row>
        <row r="354">
          <cell r="A354">
            <v>353</v>
          </cell>
          <cell r="E354" t="str">
            <v>ការិយាល័យគ្រប់គ្រងទិន្នន័យ និងព័ត៌មានវិទ្យា</v>
          </cell>
        </row>
        <row r="355">
          <cell r="A355">
            <v>354</v>
          </cell>
          <cell r="E355" t="str">
            <v>ការិយាល័យផែនការ និងគោលនយោបាយ</v>
          </cell>
        </row>
        <row r="356">
          <cell r="A356">
            <v>355</v>
          </cell>
          <cell r="E356" t="str">
            <v xml:space="preserve">ការិយាល័យគ្រប់គ្រងហិរញ្ញវត្ថុរដ្ឋបាលរាជធានីភ្នំពេញ និងខេត្តកែប </v>
          </cell>
        </row>
        <row r="357">
          <cell r="A357">
            <v>356</v>
          </cell>
          <cell r="E357" t="str">
            <v>ការិយាល័យគ្រប់គ្រងហិរញ្ញវត្ថុរដ្ឋបាលខេត្តតាកែវ ខេត្តកំពត និងខេត្តកោះកុង</v>
          </cell>
        </row>
        <row r="358">
          <cell r="A358">
            <v>357</v>
          </cell>
          <cell r="E358" t="str">
            <v>ការិយាល័យគ្រប់គ្រងហិរញ្ញវត្ថុរដ្ឋបាលខេត្តកណ្តាល ខេត្តកំពង់ស្ពឺ និងខេត្តព្រះសីហនុ</v>
          </cell>
        </row>
        <row r="359">
          <cell r="A359">
            <v>358</v>
          </cell>
          <cell r="E359" t="str">
            <v>ការិយាល័យគ្រប់គ្រងហិរញ្ញវត្ថុរដ្ឋបាលខេត្តសៀមរាប និងខេត្តបាត់ដំបង</v>
          </cell>
        </row>
        <row r="360">
          <cell r="A360">
            <v>359</v>
          </cell>
          <cell r="E360" t="str">
            <v>ការិយាល័យគ្រប់គ្រងហិរញ្ញវត្ថុរដ្ឋបាលខេត្តកំពង់ចាម ខេត្តកំពង់ឆ្នាំង និងខេត្តពោធិ៍សាត់</v>
          </cell>
        </row>
        <row r="361">
          <cell r="A361">
            <v>360</v>
          </cell>
          <cell r="E361" t="str">
            <v>ការិយាល័យគ្រប់គ្រងហិរញ្ញវត្ថុរដ្ឋបាលខេត្តឧត្តរមានជ័យ ខេត្តបន្ទាយមានជ័យ និងខេត្តប៉ៃលិន</v>
          </cell>
        </row>
        <row r="362">
          <cell r="A362">
            <v>361</v>
          </cell>
          <cell r="E362" t="str">
            <v xml:space="preserve">ការិយាល័យគ្រប់គ្រងហិរញ្ញវត្ថុរដ្ឋបាលខេត្តត្បូងឃ្មុំ ខេត្តព្រៃវែង និងខេត្តស្វាយរៀង </v>
          </cell>
        </row>
        <row r="363">
          <cell r="A363">
            <v>362</v>
          </cell>
          <cell r="E363" t="str">
            <v>ការិយាល័យគ្រប់គ្រងហិរញ្ញវត្ថុរដ្ឋបាលខេត្តមណ្ឌលគិរី ខេត្តរតនគិរី និងខេត្តក្រចេះ</v>
          </cell>
        </row>
        <row r="364">
          <cell r="A364">
            <v>363</v>
          </cell>
          <cell r="E364" t="str">
            <v>ការិយាល័យគ្រប់គ្រងហិរញ្ញវត្ថុរដ្ឋបាលខេត្តកំពង់ធំ ខេត្តព្រះវិហារ និងខេត្តស្ទឹងត្រែង</v>
          </cell>
        </row>
        <row r="365">
          <cell r="A365">
            <v>364</v>
          </cell>
          <cell r="E365" t="str">
            <v>ការិយាល័យរដ្ឋបាល បុគ្គលិក និងបណ្តុះបណ្តាល</v>
          </cell>
        </row>
        <row r="366">
          <cell r="A366">
            <v>365</v>
          </cell>
          <cell r="E366" t="str">
            <v>ការិយាល័យ គ្រប់គ្រងបញ្ជីអ្នកដេញថ្លៃ</v>
          </cell>
        </row>
        <row r="367">
          <cell r="A367">
            <v>366</v>
          </cell>
          <cell r="E367" t="str">
            <v>ការិយាល័យផែនការ និងសិ្ថតិ</v>
          </cell>
        </row>
        <row r="368">
          <cell r="A368">
            <v>367</v>
          </cell>
          <cell r="E368" t="str">
            <v>ការិយាល័យគ្រប់​គ្រងកិច្ចសន្យា</v>
          </cell>
        </row>
        <row r="369">
          <cell r="A369">
            <v>368</v>
          </cell>
          <cell r="E369" t="str">
            <v>ការិយាល័យលទ្ធកម្មទំនិញ​ទី១</v>
          </cell>
        </row>
        <row r="370">
          <cell r="A370">
            <v>369</v>
          </cell>
          <cell r="E370" t="str">
            <v>ការិយាល័យលទ្ធកម្មទំនិញ​ទី២</v>
          </cell>
        </row>
        <row r="371">
          <cell r="A371">
            <v>370</v>
          </cell>
          <cell r="E371" t="str">
            <v>ការិយាល័យលទ្ធកម្មទំនិញ​ទី៣</v>
          </cell>
        </row>
        <row r="372">
          <cell r="A372">
            <v>371</v>
          </cell>
          <cell r="E372" t="str">
            <v>ការិយាល័យលទ្ធកម្មទំនិញ​ទី៤</v>
          </cell>
        </row>
        <row r="373">
          <cell r="A373">
            <v>372</v>
          </cell>
          <cell r="E373" t="str">
            <v>ការិយាល័យ​លទ្ធកម្មសំណង់និងសេវាទី១</v>
          </cell>
        </row>
        <row r="374">
          <cell r="A374">
            <v>373</v>
          </cell>
          <cell r="E374" t="str">
            <v>ការិយាល័យ​លទ្ធកម្មសំណង់ និងសេវាទី២</v>
          </cell>
        </row>
        <row r="375">
          <cell r="A375">
            <v>374</v>
          </cell>
          <cell r="E375" t="str">
            <v>ការិយាល័យ​លទ្ធកម្មសំណង់ និងសេវាទី៣</v>
          </cell>
        </row>
        <row r="376">
          <cell r="A376">
            <v>375</v>
          </cell>
          <cell r="E376" t="str">
            <v>ការិយាល័យ​លទ្ធកម្មសំណង់ និងសេវាទី៤</v>
          </cell>
        </row>
        <row r="377">
          <cell r="A377">
            <v>376</v>
          </cell>
          <cell r="E377" t="str">
            <v>ការិយាល័យលទ្ធកម្ម​រដ្ឋបាលថ្នាក់ក្រោមជាតិទី១</v>
          </cell>
        </row>
        <row r="378">
          <cell r="A378">
            <v>377</v>
          </cell>
          <cell r="E378" t="str">
            <v>ការិយាល័យលទ្ធកម្ម​រដ្ឋបាលថ្នាក់ក្រោមជាតិទី២</v>
          </cell>
        </row>
        <row r="379">
          <cell r="A379">
            <v>378</v>
          </cell>
          <cell r="E379" t="str">
            <v>ការិយាល័យលទ្ធកម្ម​រដ្ឋបាលថ្នាក់ក្រោមជាតិទី៣</v>
          </cell>
        </row>
        <row r="380">
          <cell r="A380">
            <v>379</v>
          </cell>
          <cell r="E380" t="str">
            <v>ការិយាល័យលទ្ធកម្ម​រដ្ឋបាលថ្នាក់ក្រោមជាតិទី៤</v>
          </cell>
        </row>
        <row r="381">
          <cell r="A381">
            <v>380</v>
          </cell>
          <cell r="E381" t="str">
            <v>ការិយាល័យត្រួតពិនិត្យលទ្ធកម្មថ្នាក់ជាតិ</v>
          </cell>
        </row>
        <row r="382">
          <cell r="A382">
            <v>381</v>
          </cell>
          <cell r="E382" t="str">
            <v>ការិយាល័យត្រួតពិនិត្យកិច្ចលទ្ធកម្មថ្នាក់ក្រោម​ជាតិ (រាជធានី-ខេត្ត)</v>
          </cell>
        </row>
        <row r="383">
          <cell r="A383">
            <v>382</v>
          </cell>
          <cell r="E383" t="str">
            <v>ការិយាល័យត្រួតពិនិត្យកិច្ច​លទ្ធកម្មអង្គ​ភាពស្វយ័ត</v>
          </cell>
        </row>
        <row r="384">
          <cell r="A384">
            <v>383</v>
          </cell>
          <cell r="E384" t="str">
            <v>ការិយាល័យត្រួត​ពិនិត្យនិងដោះ​​ស្រាយវិវាទ</v>
          </cell>
        </row>
        <row r="385">
          <cell r="A385">
            <v>384</v>
          </cell>
          <cell r="E385" t="str">
            <v>ការិយាល័យរដ្ឋបាល និងហិរញ្ញវត្ថុ</v>
          </cell>
        </row>
        <row r="386">
          <cell r="A386">
            <v>385</v>
          </cell>
          <cell r="E386" t="str">
            <v>ការិយាល័យទំនាក់ទំនង និងពិធីការ</v>
          </cell>
        </row>
        <row r="387">
          <cell r="A387">
            <v>386</v>
          </cell>
          <cell r="E387" t="str">
            <v>ការិយាល័យចំណូលថវិកាពន្ធដារនិងសរុប
ការិយាល័យចំណូលថវិកាពន្ធគយនិងរដ្ឋាករ</v>
          </cell>
        </row>
        <row r="388">
          <cell r="A388">
            <v>387</v>
          </cell>
          <cell r="E388" t="str">
            <v>ការិយាល័យចំណូលថវិកាមិនមែនសារពើពន្ធ</v>
          </cell>
        </row>
        <row r="389">
          <cell r="A389">
            <v>388</v>
          </cell>
          <cell r="E389" t="str">
            <v>ការិយាល័យចំណូលថវិកាពន្ធដារនិងសរុប
ការិយាល័យចំណូលថវិកាពន្ធគយនិងរដ្ឋាករ
ការិយាល័យចំណូលថវិកាមិនមែនសារពើពន្ធ</v>
          </cell>
        </row>
        <row r="390">
          <cell r="A390">
            <v>389</v>
          </cell>
          <cell r="E390" t="str">
            <v>ការិយាល័យចំណាយថវិកាទី១ និងសរុប</v>
          </cell>
        </row>
        <row r="391">
          <cell r="A391">
            <v>390</v>
          </cell>
          <cell r="E391" t="str">
            <v>ការិយាល័យចំណាយថវិកាទី២</v>
          </cell>
        </row>
        <row r="392">
          <cell r="A392">
            <v>391</v>
          </cell>
          <cell r="E392" t="str">
            <v>ការិយាល័យចំណាយថវិការូបិយប័ណ្ណបរទេស</v>
          </cell>
        </row>
        <row r="393">
          <cell r="A393">
            <v>392</v>
          </cell>
          <cell r="E393" t="str">
            <v>ការិយាល័យគណនេយ្យទី១ និងសរុប</v>
          </cell>
        </row>
        <row r="394">
          <cell r="A394">
            <v>393</v>
          </cell>
          <cell r="E394" t="str">
            <v>ការិយាល័យគណនេយ្យទី២</v>
          </cell>
        </row>
        <row r="395">
          <cell r="A395">
            <v>394</v>
          </cell>
          <cell r="E395" t="str">
            <v>ការិយាល័យគណនេយ្យទី៣</v>
          </cell>
        </row>
        <row r="396">
          <cell r="A396">
            <v>395</v>
          </cell>
          <cell r="E396" t="str">
            <v>ការិយាល័យប្រាក់បញ្ញើ</v>
          </cell>
        </row>
        <row r="397">
          <cell r="A397">
            <v>396</v>
          </cell>
          <cell r="E397" t="str">
            <v>ការិយាល័យគ្រប់គ្រងរតនាគារថ្នាក់មូលដ្ឋានតំបន់១ និងសរុប</v>
          </cell>
        </row>
        <row r="398">
          <cell r="A398">
            <v>397</v>
          </cell>
          <cell r="E398" t="str">
            <v>ការិយាល័យគ្រប់គ្រងរតនាគារថ្នាក់មូលដ្ឋានតំបន់២</v>
          </cell>
        </row>
        <row r="399">
          <cell r="A399">
            <v>398</v>
          </cell>
          <cell r="E399" t="str">
            <v>ការិយាល័យគ្រប់គ្រងរតនាគារថ្នាក់មូលដ្ឋានតំបន់៣</v>
          </cell>
        </row>
        <row r="400">
          <cell r="A400">
            <v>399</v>
          </cell>
          <cell r="E400" t="str">
            <v>ការិយាល័យបច្ចេកវិទ្យាព័ត៌មានថ្នាក់កណ្តាល</v>
          </cell>
        </row>
        <row r="401">
          <cell r="A401">
            <v>400</v>
          </cell>
          <cell r="E401" t="str">
            <v>ការិយាល័យបច្ចេកវិទ្យាព័ត៌មានថ្នាក់មូលដ្ឋាន</v>
          </cell>
        </row>
        <row r="402">
          <cell r="A402">
            <v>401</v>
          </cell>
          <cell r="E402" t="str">
            <v>ការិយាល័យបច្ចេកវិទ្យាព័ត៌មានសរុប</v>
          </cell>
        </row>
        <row r="403">
          <cell r="A403">
            <v>402</v>
          </cell>
          <cell r="E403" t="str">
            <v>ការិយាល័យអធិការកិច្ចរតនាគារទី១និងសរុប</v>
          </cell>
        </row>
        <row r="404">
          <cell r="A404">
            <v>403</v>
          </cell>
          <cell r="E404" t="str">
            <v>ការិយាល័យអធិការកិច្ចរតនាគារទី២</v>
          </cell>
        </row>
        <row r="405">
          <cell r="A405">
            <v>404</v>
          </cell>
          <cell r="E405" t="str">
            <v>ការិយាល័យអធិការកិច្ចរតនាគារទី៣</v>
          </cell>
        </row>
        <row r="406">
          <cell r="A406">
            <v>405</v>
          </cell>
          <cell r="E406" t="str">
            <v>ការិយាល័យគ្រប់គ្រងសាច់ប្រាក់</v>
          </cell>
        </row>
        <row r="407">
          <cell r="A407">
            <v>406</v>
          </cell>
          <cell r="E407" t="str">
            <v>ការិយាល័យវិភាគការអនុវត្តថវិកា</v>
          </cell>
        </row>
        <row r="408">
          <cell r="A408">
            <v>407</v>
          </cell>
          <cell r="E408" t="str">
            <v>ការិយាល័យគ្រប់គ្រងប្រាក់កក់</v>
          </cell>
        </row>
        <row r="409">
          <cell r="A409">
            <v>408</v>
          </cell>
          <cell r="E409" t="str">
            <v>ការិយាល័យរដ្ឋបាលបុគ្គលិក</v>
          </cell>
        </row>
        <row r="410">
          <cell r="A410">
            <v>409</v>
          </cell>
          <cell r="E410" t="str">
            <v>ការិយាល័យគណនេយ្យថវិកាថ្នាក់ជាតិ និងសរុប</v>
          </cell>
        </row>
        <row r="411">
          <cell r="A411">
            <v>410</v>
          </cell>
          <cell r="E411" t="str">
            <v>ការិយាល័យគណនេយ្យថវិកាថ្នាក់ក្រោមជាតិ</v>
          </cell>
        </row>
        <row r="412">
          <cell r="A412">
            <v>411</v>
          </cell>
          <cell r="E412" t="str">
            <v>ការិយាល័យសរុប និងព័ត៌មានវិទ្យា</v>
          </cell>
        </row>
        <row r="413">
          <cell r="A413">
            <v>412</v>
          </cell>
          <cell r="E413" t="str">
            <v>ការិយាល័យសហប្រតិបត្តិការពហុភាគីទី១</v>
          </cell>
        </row>
        <row r="414">
          <cell r="A414">
            <v>413</v>
          </cell>
          <cell r="E414" t="str">
            <v>ការិយាល័យសហប្រតិបត្តិការពហុភាគីទី២</v>
          </cell>
        </row>
        <row r="415">
          <cell r="A415">
            <v>414</v>
          </cell>
          <cell r="E415" t="str">
            <v>ការិយាល័យសហប្រតិបត្តិការពហុភាគីទី៣</v>
          </cell>
        </row>
        <row r="416">
          <cell r="A416">
            <v>415</v>
          </cell>
          <cell r="E416" t="str">
            <v>ការិយាល័យសហប្រតិបត្តិការទ្វេភាគីទី១</v>
          </cell>
        </row>
        <row r="417">
          <cell r="A417">
            <v>416</v>
          </cell>
          <cell r="E417" t="str">
            <v>ការិយាល័យសហប្រតិបត្តិការទ្វេភាគីទី២</v>
          </cell>
        </row>
        <row r="418">
          <cell r="A418">
            <v>417</v>
          </cell>
          <cell r="E418" t="str">
            <v>ការិយាល័យវិភាគបំណុល</v>
          </cell>
        </row>
        <row r="419">
          <cell r="A419">
            <v>418</v>
          </cell>
          <cell r="E419" t="str">
            <v>ការិយាល័យទូទាត់សេវាបំណុល</v>
          </cell>
        </row>
        <row r="420">
          <cell r="A420">
            <v>419</v>
          </cell>
          <cell r="E420" t="str">
            <v>ការិយាល័យរដ្ឋបាល និងព័ត៌មានវិទ្យា</v>
          </cell>
        </row>
        <row r="421">
          <cell r="A421">
            <v>420</v>
          </cell>
          <cell r="E421" t="str">
            <v>ការិយាល័យតាមដាន និងត្រួតពិនិត្យលើការ
អនុវត្តគម្រោងសហប្រតិបត្តិការទ្វេភាគី</v>
          </cell>
        </row>
        <row r="422">
          <cell r="A422">
            <v>421</v>
          </cell>
          <cell r="E422" t="str">
            <v>ការិយាល័យតាមដាន និងត្រួតពិនិត្យលើការអនុវត្តគម្រោងសហប្រតិបត្តិការពហុភាគី</v>
          </cell>
        </row>
        <row r="423">
          <cell r="A423">
            <v>422</v>
          </cell>
          <cell r="E423" t="str">
            <v>ផ្នែកគោលនយោបាយ និងគ្រប់គ្រងចំណេះដឹង</v>
          </cell>
        </row>
        <row r="424">
          <cell r="A424">
            <v>423</v>
          </cell>
          <cell r="E424" t="str">
            <v>ផ្នែកអភិវឌ្ឍន៍គម្រោង</v>
          </cell>
        </row>
        <row r="425">
          <cell r="A425">
            <v>424</v>
          </cell>
          <cell r="E425" t="str">
            <v>ផ្នែកប្រគល់ និងត្រួតពិនិត្យគម្រោង</v>
          </cell>
        </row>
        <row r="426">
          <cell r="A426">
            <v>425</v>
          </cell>
          <cell r="E426" t="str">
            <v>ផ្នែគោលនយោបាយ និងគ្រប់គ្រងចំណេះដឹង</v>
          </cell>
        </row>
        <row r="427">
          <cell r="A427">
            <v>426</v>
          </cell>
          <cell r="E427" t="str">
            <v>ការិយាល័យបុគ្គលិក រដ្ឋបាល និងហិរញ្ញវត្ថុ</v>
          </cell>
        </row>
        <row r="428">
          <cell r="A428">
            <v>427</v>
          </cell>
          <cell r="E428" t="str">
            <v>ការិយល័យផែនការ និងច្បាប់</v>
          </cell>
        </row>
        <row r="429">
          <cell r="A429">
            <v>428</v>
          </cell>
          <cell r="E429" t="str">
            <v>- ការិយាល័យគម្រោងសហប្រតិបត្តិការទ្វេភាគីទី ១
- ការិយាល័យគម្រោងសហប្រតិបត្តិការពហុភាគីទី ១</v>
          </cell>
        </row>
        <row r="430">
          <cell r="A430">
            <v>429</v>
          </cell>
          <cell r="E430" t="str">
            <v>- ការិយាល័យគម្រោងសហប្រតិបត្តិការទ្វេភាគីទី ២
- ការិយាល័យគម្រោងសហប្រតិបត្តិការពហុភាគីទី ២</v>
          </cell>
        </row>
        <row r="431">
          <cell r="A431">
            <v>430</v>
          </cell>
          <cell r="E431" t="str">
            <v>- ការិយាល័យគម្រោងសហប្រតិបត្តិការទ្វេភាគីទី ៣
- ការិយាល័យគម្រោងសហប្រតិបត្តិការពហុភាគីទី ៣</v>
          </cell>
        </row>
        <row r="432">
          <cell r="A432">
            <v>431</v>
          </cell>
          <cell r="E432" t="str">
            <v>ការិយាល័យត្រួតពិនិត្យផ្ទៃក្នុង</v>
          </cell>
        </row>
        <row r="433">
          <cell r="A433">
            <v>432</v>
          </cell>
          <cell r="E433" t="str">
            <v>ការិយាល័យទទួលពាក្យបណ្តឹង និងទំនាក់ទំនងសាធារណៈ</v>
          </cell>
        </row>
        <row r="434">
          <cell r="A434">
            <v>433</v>
          </cell>
          <cell r="E434" t="str">
            <v>ការិយាល័យសរុប បុគ្គលិក និងបណ្ដុះបណ្ដាល</v>
          </cell>
        </row>
        <row r="435">
          <cell r="A435">
            <v>434</v>
          </cell>
          <cell r="E435" t="str">
            <v>ការិយាល័យច្បាប់ និងវិវាទ</v>
          </cell>
        </row>
        <row r="436">
          <cell r="A436">
            <v>435</v>
          </cell>
          <cell r="E436" t="str">
            <v>ការិយាល័យអធិការកិច្ចហិរញ្ញវត្ថុ តាមពាក្យបណ្ដឹង តវ៉ា និងបរិហារ</v>
          </cell>
        </row>
        <row r="437">
          <cell r="A437">
            <v>436</v>
          </cell>
          <cell r="E437" t="str">
            <v>ការិយាល័យអធិការកិច្ចហិរញ្ញវត្ថុតាមបច្ចេកវិទ្យាព័ត៌មាន</v>
          </cell>
        </row>
        <row r="438">
          <cell r="A438">
            <v>437</v>
          </cell>
          <cell r="E438" t="str">
            <v>ការិយាល័យអធិការកិច្ចហិរញ្ញវត្ថុរដ្ឋបាលថ្នាក់ជាតិទី១</v>
          </cell>
        </row>
        <row r="439">
          <cell r="A439">
            <v>438</v>
          </cell>
          <cell r="E439" t="str">
            <v>ការិយាល័យអធិការកិច្ចហិរញ្ញវត្ថុរដ្ឋបាលថ្នាក់ក្រោមជាតិទី១</v>
          </cell>
        </row>
        <row r="440">
          <cell r="A440">
            <v>439</v>
          </cell>
          <cell r="E440" t="str">
            <v>ការិយាល័យអធិការកិច្ចហិរញ្ញវត្ថុគ្រឹះស្ថាន សហគ្រាសទី១</v>
          </cell>
        </row>
        <row r="441">
          <cell r="A441">
            <v>440</v>
          </cell>
          <cell r="E441" t="str">
            <v>ការិយាល័យអធិការកិច្ចហិរញ្ញវត្ថុរដ្ឋបាលថ្នាក់ជាតិទី២</v>
          </cell>
        </row>
        <row r="442">
          <cell r="A442">
            <v>441</v>
          </cell>
          <cell r="E442" t="str">
            <v>ការិយាល័យអធិការកិច្ចហិរញ្ញវត្ថុរដ្ឋបាលថ្នាក់ក្រោមជាតិទី២</v>
          </cell>
        </row>
        <row r="443">
          <cell r="A443">
            <v>442</v>
          </cell>
          <cell r="E443" t="str">
            <v>ការិយាល័យអធិការកិច្ចហិរញ្ញវត្ថុគ្រឹះស្ថាន សហគ្រាសទី២</v>
          </cell>
        </row>
        <row r="444">
          <cell r="A444">
            <v>443</v>
          </cell>
          <cell r="E444" t="str">
            <v>ការិយាល័យអធិការកិច្ចហិរញ្ញវត្ថុរដ្ឋបាលថ្នាក់ជាតិទី៣</v>
          </cell>
        </row>
        <row r="445">
          <cell r="A445">
            <v>444</v>
          </cell>
          <cell r="E445" t="str">
            <v>ការិយាល័យអធិការកិច្ចហិរញ្ញវត្ថុរដ្ឋបាលថ្នាក់ក្រោមជាតិទី៣</v>
          </cell>
        </row>
        <row r="446">
          <cell r="A446">
            <v>445</v>
          </cell>
          <cell r="E446" t="str">
            <v>ការិយាល័យអធិការកិច្ចហិរញ្ញវត្ថុគ្រឹះស្ថាន សហគ្រាសទី៣</v>
          </cell>
        </row>
        <row r="447">
          <cell r="A447">
            <v>446</v>
          </cell>
          <cell r="E447" t="str">
            <v>ការិយាល័យបុគ្គលិក និង រដ្ឋបាល</v>
          </cell>
        </row>
        <row r="448">
          <cell r="A448">
            <v>447</v>
          </cell>
          <cell r="E448" t="str">
            <v>ការិយាល័យគណនេយ្យ</v>
          </cell>
        </row>
        <row r="449">
          <cell r="A449">
            <v>448</v>
          </cell>
          <cell r="E449" t="str">
            <v>ការិយាល័យបណ្តុះបណ្តាល និងវិក្រឹតការ</v>
          </cell>
        </row>
        <row r="450">
          <cell r="A450">
            <v>449</v>
          </cell>
          <cell r="E450" t="str">
            <v>ការិយាល័យត្រួតពិនិត្យ និងវាយតម្លៃ</v>
          </cell>
        </row>
        <row r="451">
          <cell r="A451">
            <v>450</v>
          </cell>
          <cell r="E451" t="str">
            <v>ការិយាល័យអភិវឌ្ឍកម្មវិធី</v>
          </cell>
        </row>
        <row r="452">
          <cell r="A452">
            <v>451</v>
          </cell>
          <cell r="E452" t="str">
            <v>ការិយាល័យគ្រប់គ្រងប្រព័ន្ធផ្សព្វផ្សាយ</v>
          </cell>
        </row>
        <row r="453">
          <cell r="A453">
            <v>452</v>
          </cell>
          <cell r="E453" t="str">
            <v>ការិយាល័យអភិវឌ្ឍប្រព័ន្ធឌីជីថល និងគ្រប់គ្រងទិន្នន័យ</v>
          </cell>
        </row>
        <row r="454">
          <cell r="A454">
            <v>453</v>
          </cell>
          <cell r="E454" t="str">
            <v>ការិយាល័យហិរញ្ញវត្ថុ</v>
          </cell>
        </row>
        <row r="455">
          <cell r="A455">
            <v>454</v>
          </cell>
          <cell r="E455" t="str">
            <v>ការិយាល័យធនធានមនុស្ស</v>
          </cell>
        </row>
        <row r="456">
          <cell r="A456">
            <v>455</v>
          </cell>
          <cell r="E456" t="str">
            <v>ការិយាល័យនីតិចំណូលសារពើពន្ធ</v>
          </cell>
        </row>
        <row r="457">
          <cell r="A457">
            <v>456</v>
          </cell>
          <cell r="E457" t="str">
            <v>ការិយាល័យនីតិចំណូលមិនមែនសារពើពន្ធ</v>
          </cell>
        </row>
        <row r="458">
          <cell r="A458">
            <v>457</v>
          </cell>
          <cell r="E458" t="str">
            <v>ការិយាល័យនីតិទ្រព្យសម្បត្តិរដ្ឋ</v>
          </cell>
        </row>
        <row r="459">
          <cell r="A459">
            <v>458</v>
          </cell>
          <cell r="E459" t="str">
            <v>ការិយាល័យនីតិហិរញ្ញវត្ថុឯកជន</v>
          </cell>
        </row>
        <row r="460">
          <cell r="A460">
            <v>459</v>
          </cell>
          <cell r="E460" t="str">
            <v>ការិយាល័យនីតិថវិកាថ្នាក់ជាតិ</v>
          </cell>
        </row>
        <row r="461">
          <cell r="A461">
            <v>460</v>
          </cell>
          <cell r="E461" t="str">
            <v>ការិយាល័យនីតិថវិកាថ្នាក់ក្រោមជាតិ</v>
          </cell>
        </row>
        <row r="462">
          <cell r="A462">
            <v>461</v>
          </cell>
          <cell r="E462" t="str">
            <v>ការិយាល័យនីតិរដ្ឋបាលសាធារណៈ</v>
          </cell>
        </row>
        <row r="463">
          <cell r="A463">
            <v>462</v>
          </cell>
          <cell r="E463" t="str">
            <v>ការិយាល័យនីតិសេដ្ឋកិច្ចឌីជីថល</v>
          </cell>
        </row>
        <row r="464">
          <cell r="A464">
            <v>463</v>
          </cell>
          <cell r="E464" t="str">
            <v>ការិយាល័យរចនានិងផ្សព្វផ្សាយស្នាដៃនីតិសាស្ត្រ</v>
          </cell>
        </row>
        <row r="465">
          <cell r="A465">
            <v>464</v>
          </cell>
          <cell r="E465" t="str">
            <v>ការិយាល័យរៀបចំនិងគ្រប់គ្រងប្រព័ន្ធបច្ចេកវិទ្យាព័ត៌មាននីតិកម្ម</v>
          </cell>
        </row>
        <row r="466">
          <cell r="A466">
            <v>465</v>
          </cell>
          <cell r="E466" t="str">
            <v>ការិយាល័យរៀបចំនិងគ្រប់គ្រងគេហទំព័រនិងប្រព័ន្ធទិន្នន័យច្បាប់</v>
          </cell>
        </row>
        <row r="467">
          <cell r="A467">
            <v>466</v>
          </cell>
          <cell r="E467" t="str">
            <v>អង្គភាពលទ្ធកម្ម</v>
          </cell>
        </row>
        <row r="468">
          <cell r="A468">
            <v>467</v>
          </cell>
          <cell r="E468" t="str">
            <v>ការិយាល័យសម្ភារ និងទ្រព្យសម្បត្តិរដ្ឋ</v>
          </cell>
        </row>
        <row r="469">
          <cell r="A469">
            <v>468</v>
          </cell>
          <cell r="E469" t="str">
            <v>ការិយាល័យពិធីការ</v>
          </cell>
        </row>
        <row r="470">
          <cell r="A470">
            <v>469</v>
          </cell>
          <cell r="E470" t="str">
            <v>ការិយាល័យបៀវត្ស</v>
          </cell>
        </row>
        <row r="471">
          <cell r="A471">
            <v>470</v>
          </cell>
          <cell r="E471" t="str">
            <v>ការិយាល័យត្រួតពិនិត្យបុគ្គលិក</v>
          </cell>
        </row>
        <row r="472">
          <cell r="A472">
            <v>471</v>
          </cell>
          <cell r="E472" t="str">
            <v>ការិយាល័យគ្រប់គ្រងការបណ្តុះបណ្តាល និងអភិវឌ្ឍន៍ធនធានមនុស្ស</v>
          </cell>
        </row>
        <row r="473">
          <cell r="A473">
            <v>472</v>
          </cell>
          <cell r="E473" t="str">
            <v xml:space="preserve">ការិយាល័យហេដ្ឋារចនាសម្ព័ន្ធបច្ចេកវិទ្យាព័ត៌មាន និង គមនាគមន៍ </v>
          </cell>
        </row>
        <row r="474">
          <cell r="A474">
            <v>473</v>
          </cell>
          <cell r="E474" t="str">
            <v>ការិយាល័យអភិវឌ្ឍកម្មវិធីនិងស្រាវជ្រាវបច្ចេកវិទ្យាព័ត៌មាន</v>
          </cell>
        </row>
        <row r="475">
          <cell r="A475">
            <v>474</v>
          </cell>
          <cell r="E475" t="str">
            <v xml:space="preserve">ការិយាល័យគ្រប់គ្រងការផ្លាស់ប្តូរ </v>
          </cell>
        </row>
        <row r="476">
          <cell r="A476">
            <v>475</v>
          </cell>
          <cell r="E476" t="str">
            <v>ការិយាល័យវិភាគធុរកិច្ចបច្ចេកវិទ្យាព័ត៌មាន</v>
          </cell>
        </row>
        <row r="477">
          <cell r="A477">
            <v>476</v>
          </cell>
          <cell r="E477" t="str">
            <v>ការិយាល័យរដ្ឋបាលនិងធនធាន</v>
          </cell>
        </row>
        <row r="478">
          <cell r="A478">
            <v>477</v>
          </cell>
          <cell r="E478" t="str">
            <v xml:space="preserve">ការិយាល័យសុវត្ថិភាពបច្ចេកវិទ្យាព័ត៌មាននិងគមនាគមន៍ </v>
          </cell>
        </row>
        <row r="479">
          <cell r="A479">
            <v>478</v>
          </cell>
          <cell r="E479" t="str">
            <v>ការិយាល័យគ្រប់គ្រងគុណភាព</v>
          </cell>
        </row>
        <row r="480">
          <cell r="A480">
            <v>479</v>
          </cell>
          <cell r="E480" t="str">
            <v>ការិយាល័យគោលនយោបាយ និង គាំទ្រគម្រោង</v>
          </cell>
        </row>
        <row r="481">
          <cell r="A481">
            <v>480</v>
          </cell>
          <cell r="E481" t="str">
            <v>ការិយាល័យតម្កល់ឯកសារ និងកិច្ចការទូទៅ</v>
          </cell>
        </row>
        <row r="482">
          <cell r="A482">
            <v>481</v>
          </cell>
          <cell r="E482" t="str">
            <v>ការិយាល័យគ្រប់គ្រងទិន្នន័យឯកសារ</v>
          </cell>
        </row>
        <row r="483">
          <cell r="A483">
            <v>482</v>
          </cell>
          <cell r="E483" t="str">
            <v>ការិយាល័យអភិវឌ្ឍមូលធនឯកសារ និងព័ត៌មាន</v>
          </cell>
        </row>
        <row r="484">
          <cell r="A484">
            <v>483</v>
          </cell>
          <cell r="E484" t="str">
            <v>ការិ.សវនកម្មផ្ទៃក្នុងថ្នាក់កណ្តាលទី១ និងការិ.សវនកម្ម បច្ចេកវិទ្យាព័ត៌មានថ្នាក់កណ្តាល</v>
          </cell>
        </row>
        <row r="485">
          <cell r="A485">
            <v>484</v>
          </cell>
          <cell r="E485" t="str">
            <v>ការិ.សវនកម្មផ្ទៃក្នុងថ្នាក់កណ្តាលទី២</v>
          </cell>
        </row>
        <row r="486">
          <cell r="A486">
            <v>485</v>
          </cell>
          <cell r="E486" t="str">
            <v>ការិ.សវនកម្មផ្ទៃក្នុងថ្នាក់កណ្តាលទី៣</v>
          </cell>
        </row>
        <row r="487">
          <cell r="A487">
            <v>486</v>
          </cell>
          <cell r="E487" t="str">
            <v>ការិ.សវនកម្មផ្ទៃក្នុងថ្នាក់កណ្តាលទី៤</v>
          </cell>
        </row>
        <row r="488">
          <cell r="A488">
            <v>487</v>
          </cell>
          <cell r="E488" t="str">
            <v>ការិ.សវនកម្មផ្ទៃក្នុងថ្នាក់មូលដ្ឋានទី១</v>
          </cell>
        </row>
        <row r="489">
          <cell r="A489">
            <v>488</v>
          </cell>
          <cell r="E489" t="str">
            <v>ការិ.សវនកម្មផ្ទៃក្នុងថ្នាក់មូលដ្ឋានទី២</v>
          </cell>
        </row>
        <row r="490">
          <cell r="A490">
            <v>489</v>
          </cell>
          <cell r="E490" t="str">
            <v>ការិ.សវនកម្មផ្ទៃក្នុងថ្នាក់មូលដ្ឋានទី៣</v>
          </cell>
        </row>
        <row r="491">
          <cell r="A491">
            <v>490</v>
          </cell>
          <cell r="E491" t="str">
            <v>ការិ.សវនកម្មបច្ចេកវិទ្យាព័ត៌មានថ្នាក់មូលដ្ឋាន</v>
          </cell>
        </row>
        <row r="492">
          <cell r="A492">
            <v>491</v>
          </cell>
          <cell r="E492" t="str">
            <v>អគ្គនាយកដ្ឋានភាពជាដៃគូរវាងរដ្ឋនិងឯកជន​</v>
          </cell>
        </row>
        <row r="493">
          <cell r="A493">
            <v>492</v>
          </cell>
          <cell r="E493" t="str">
            <v>ការិយាល័យវិភាគជាយុទ្ធសាស្ត្រទស្សនវិស័យអនាគត</v>
          </cell>
        </row>
        <row r="494">
          <cell r="A494">
            <v>493</v>
          </cell>
          <cell r="E494" t="str">
            <v>ការិយាល័យគោលនយោបាយសេដ្ឋកិច្ចបៃតង</v>
          </cell>
        </row>
        <row r="495">
          <cell r="A495">
            <v>494</v>
          </cell>
          <cell r="E495" t="str">
            <v>ការិយាល័យគោលនយោបាយសេដ្ឋកិច្ចឌីជីថល</v>
          </cell>
        </row>
        <row r="496">
          <cell r="A496">
            <v>495</v>
          </cell>
          <cell r="E496" t="str">
            <v>ការិយាល័យគោលនយោបាយលើកទឹកចិត្តវិនិយោគ</v>
          </cell>
        </row>
        <row r="497">
          <cell r="A497">
            <v>496</v>
          </cell>
          <cell r="E497" t="str">
            <v>ការិយាល័យ ស្តង់ដារថ្លៃ និង ថ្លៃដើម</v>
          </cell>
        </row>
        <row r="498">
          <cell r="A498">
            <v>497</v>
          </cell>
          <cell r="E498" t="str">
            <v>ការិយាល័យ វិភាគ និងវាយតម្លៃគម្រោង</v>
          </cell>
        </row>
        <row r="499">
          <cell r="A499">
            <v>498</v>
          </cell>
          <cell r="E499" t="str">
            <v>ការិយាល័យ តាមដាន និងវាយតម្លៃ វិនិយោគសាធារណៈ</v>
          </cell>
        </row>
        <row r="500">
          <cell r="A500">
            <v>499</v>
          </cell>
          <cell r="E500" t="str">
            <v>ការិយាល័យ យុទ្ធសាស្រ្តវិនិយោគសាធារណៈ</v>
          </cell>
        </row>
        <row r="501">
          <cell r="A501">
            <v>500</v>
          </cell>
          <cell r="E501" t="str">
            <v>ការិយាល័យគោលនយោបាយសហគ្រិនភាពនិងជំនាញ</v>
          </cell>
        </row>
        <row r="502">
          <cell r="A502">
            <v>501</v>
          </cell>
          <cell r="E502" t="str">
    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    </cell>
        </row>
        <row r="503">
          <cell r="A503">
            <v>502</v>
          </cell>
          <cell r="E503" t="str">
            <v>ការិយាល័យសហប្រតិបត្តិការហិរញ្ញវត្ថុនិងរូបិយវត្ថុ,ការិយាល័យអាស៊ីបូព៌ា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 Group"/>
    </sheetNames>
    <sheetDataSet>
      <sheetData sheetId="0">
        <row r="1">
          <cell r="A1" t="str">
            <v>id</v>
          </cell>
          <cell r="B1" t="str">
            <v>code</v>
          </cell>
        </row>
        <row r="2">
          <cell r="A2">
            <v>1</v>
          </cell>
          <cell r="B2">
            <v>20</v>
          </cell>
        </row>
        <row r="3">
          <cell r="A3">
            <v>2</v>
          </cell>
          <cell r="B3">
            <v>21</v>
          </cell>
        </row>
        <row r="4">
          <cell r="A4">
            <v>3</v>
          </cell>
          <cell r="B4">
            <v>22</v>
          </cell>
        </row>
        <row r="5">
          <cell r="A5">
            <v>4</v>
          </cell>
          <cell r="B5">
            <v>23</v>
          </cell>
        </row>
        <row r="6">
          <cell r="A6">
            <v>5</v>
          </cell>
          <cell r="B6">
            <v>26</v>
          </cell>
        </row>
        <row r="7">
          <cell r="A7">
            <v>6</v>
          </cell>
          <cell r="B7">
            <v>27</v>
          </cell>
        </row>
        <row r="8">
          <cell r="A8">
            <v>7</v>
          </cell>
          <cell r="B8">
            <v>50</v>
          </cell>
        </row>
        <row r="9">
          <cell r="A9">
            <v>8</v>
          </cell>
          <cell r="B9">
            <v>60</v>
          </cell>
        </row>
        <row r="10">
          <cell r="A10">
            <v>9</v>
          </cell>
          <cell r="B10">
            <v>61</v>
          </cell>
        </row>
        <row r="11">
          <cell r="A11">
            <v>10</v>
          </cell>
          <cell r="B11">
            <v>62</v>
          </cell>
        </row>
        <row r="12">
          <cell r="A12">
            <v>11</v>
          </cell>
          <cell r="B12">
            <v>63</v>
          </cell>
        </row>
        <row r="13">
          <cell r="A13">
            <v>12</v>
          </cell>
          <cell r="B13">
            <v>64</v>
          </cell>
        </row>
        <row r="14">
          <cell r="A14">
            <v>13</v>
          </cell>
          <cell r="B14">
            <v>65</v>
          </cell>
        </row>
        <row r="15">
          <cell r="A15">
            <v>14</v>
          </cell>
          <cell r="B15">
            <v>66</v>
          </cell>
        </row>
        <row r="16">
          <cell r="A16">
            <v>15</v>
          </cell>
          <cell r="B16">
            <v>67</v>
          </cell>
        </row>
        <row r="17">
          <cell r="A17">
            <v>16</v>
          </cell>
          <cell r="B17">
            <v>68</v>
          </cell>
        </row>
        <row r="18">
          <cell r="A18">
            <v>17</v>
          </cell>
          <cell r="B18">
            <v>69</v>
          </cell>
        </row>
        <row r="19">
          <cell r="A19">
            <v>18</v>
          </cell>
          <cell r="B19">
            <v>70</v>
          </cell>
        </row>
        <row r="20">
          <cell r="A20">
            <v>19</v>
          </cell>
          <cell r="B20">
            <v>71</v>
          </cell>
        </row>
        <row r="21">
          <cell r="A21">
            <v>20</v>
          </cell>
          <cell r="B21">
            <v>72</v>
          </cell>
        </row>
        <row r="22">
          <cell r="A22">
            <v>21</v>
          </cell>
          <cell r="B22">
            <v>73</v>
          </cell>
        </row>
        <row r="23">
          <cell r="A23">
            <v>22</v>
          </cell>
          <cell r="B23">
            <v>74</v>
          </cell>
        </row>
        <row r="24">
          <cell r="A24">
            <v>23</v>
          </cell>
          <cell r="B24">
            <v>75</v>
          </cell>
        </row>
        <row r="25">
          <cell r="A25">
            <v>24</v>
          </cell>
          <cell r="B25">
            <v>76</v>
          </cell>
        </row>
        <row r="26">
          <cell r="A26">
            <v>25</v>
          </cell>
          <cell r="B26">
            <v>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"/>
    </sheetNames>
    <sheetDataSet>
      <sheetData sheetId="0">
        <row r="1">
          <cell r="A1" t="str">
            <v>id</v>
          </cell>
          <cell r="D1" t="str">
            <v>code</v>
          </cell>
        </row>
        <row r="2">
          <cell r="A2">
            <v>1</v>
          </cell>
          <cell r="D2">
            <v>2003</v>
          </cell>
        </row>
        <row r="3">
          <cell r="A3">
            <v>2</v>
          </cell>
          <cell r="D3">
            <v>2005</v>
          </cell>
        </row>
        <row r="4">
          <cell r="A4">
            <v>3</v>
          </cell>
          <cell r="D4">
            <v>2101</v>
          </cell>
        </row>
        <row r="5">
          <cell r="A5">
            <v>4</v>
          </cell>
          <cell r="D5">
            <v>2102</v>
          </cell>
        </row>
        <row r="6">
          <cell r="A6">
            <v>5</v>
          </cell>
          <cell r="D6">
            <v>2103</v>
          </cell>
        </row>
        <row r="7">
          <cell r="A7">
            <v>6</v>
          </cell>
          <cell r="D7">
            <v>2104</v>
          </cell>
        </row>
        <row r="8">
          <cell r="A8">
            <v>7</v>
          </cell>
          <cell r="D8">
            <v>2105</v>
          </cell>
        </row>
        <row r="9">
          <cell r="A9">
            <v>8</v>
          </cell>
          <cell r="D9">
            <v>2106</v>
          </cell>
        </row>
        <row r="10">
          <cell r="A10">
            <v>9</v>
          </cell>
          <cell r="D10">
            <v>2108</v>
          </cell>
        </row>
        <row r="11">
          <cell r="A11">
            <v>10</v>
          </cell>
          <cell r="D11">
            <v>2109</v>
          </cell>
        </row>
        <row r="12">
          <cell r="A12">
            <v>11</v>
          </cell>
          <cell r="D12">
            <v>2201</v>
          </cell>
        </row>
        <row r="13">
          <cell r="A13">
            <v>12</v>
          </cell>
          <cell r="D13">
            <v>2300</v>
          </cell>
        </row>
        <row r="14">
          <cell r="A14">
            <v>13</v>
          </cell>
          <cell r="D14">
            <v>2302</v>
          </cell>
        </row>
        <row r="15">
          <cell r="A15">
            <v>14</v>
          </cell>
          <cell r="D15">
            <v>2303</v>
          </cell>
        </row>
        <row r="16">
          <cell r="A16">
            <v>15</v>
          </cell>
          <cell r="D16">
            <v>2304</v>
          </cell>
        </row>
        <row r="17">
          <cell r="A17">
            <v>16</v>
          </cell>
          <cell r="D17">
            <v>2305</v>
          </cell>
        </row>
        <row r="18">
          <cell r="A18">
            <v>17</v>
          </cell>
          <cell r="D18">
            <v>2601</v>
          </cell>
        </row>
        <row r="19">
          <cell r="A19">
            <v>18</v>
          </cell>
          <cell r="D19">
            <v>2602</v>
          </cell>
        </row>
        <row r="20">
          <cell r="A20">
            <v>19</v>
          </cell>
          <cell r="D20">
            <v>2701</v>
          </cell>
        </row>
        <row r="21">
          <cell r="A21">
            <v>20</v>
          </cell>
          <cell r="D21">
            <v>2702</v>
          </cell>
        </row>
        <row r="22">
          <cell r="A22">
            <v>21</v>
          </cell>
          <cell r="D22">
            <v>5001</v>
          </cell>
        </row>
        <row r="23">
          <cell r="A23">
            <v>22</v>
          </cell>
          <cell r="D23">
            <v>5002</v>
          </cell>
        </row>
        <row r="24">
          <cell r="A24">
            <v>23</v>
          </cell>
          <cell r="D24">
            <v>5004</v>
          </cell>
        </row>
        <row r="25">
          <cell r="A25">
            <v>24</v>
          </cell>
          <cell r="D25">
            <v>6001</v>
          </cell>
        </row>
        <row r="26">
          <cell r="A26">
            <v>25</v>
          </cell>
          <cell r="D26">
            <v>6002</v>
          </cell>
        </row>
        <row r="27">
          <cell r="A27">
            <v>26</v>
          </cell>
          <cell r="D27">
            <v>6003</v>
          </cell>
        </row>
        <row r="28">
          <cell r="A28">
            <v>27</v>
          </cell>
          <cell r="D28">
            <v>6004</v>
          </cell>
        </row>
        <row r="29">
          <cell r="A29">
            <v>28</v>
          </cell>
          <cell r="D29">
            <v>6005</v>
          </cell>
        </row>
        <row r="30">
          <cell r="A30">
            <v>29</v>
          </cell>
          <cell r="D30">
            <v>6006</v>
          </cell>
        </row>
        <row r="31">
          <cell r="A31">
            <v>30</v>
          </cell>
          <cell r="D31">
            <v>6007</v>
          </cell>
        </row>
        <row r="32">
          <cell r="A32">
            <v>31</v>
          </cell>
          <cell r="D32">
            <v>6098</v>
          </cell>
        </row>
        <row r="33">
          <cell r="A33">
            <v>32</v>
          </cell>
          <cell r="D33">
            <v>6101</v>
          </cell>
        </row>
        <row r="34">
          <cell r="A34">
            <v>33</v>
          </cell>
          <cell r="D34">
            <v>6102</v>
          </cell>
        </row>
        <row r="35">
          <cell r="A35">
            <v>34</v>
          </cell>
          <cell r="D35">
            <v>6103</v>
          </cell>
        </row>
        <row r="36">
          <cell r="A36">
            <v>35</v>
          </cell>
          <cell r="D36">
            <v>6104</v>
          </cell>
        </row>
        <row r="37">
          <cell r="A37">
            <v>36</v>
          </cell>
          <cell r="D37">
            <v>6105</v>
          </cell>
        </row>
        <row r="38">
          <cell r="A38">
            <v>37</v>
          </cell>
          <cell r="D38">
            <v>6106</v>
          </cell>
        </row>
        <row r="39">
          <cell r="A39">
            <v>38</v>
          </cell>
          <cell r="D39">
            <v>6107</v>
          </cell>
        </row>
        <row r="40">
          <cell r="A40">
            <v>39</v>
          </cell>
          <cell r="D40">
            <v>6108</v>
          </cell>
        </row>
        <row r="41">
          <cell r="A41">
            <v>40</v>
          </cell>
          <cell r="D41">
            <v>6109</v>
          </cell>
        </row>
        <row r="42">
          <cell r="A42">
            <v>41</v>
          </cell>
          <cell r="D42">
            <v>6110</v>
          </cell>
        </row>
        <row r="43">
          <cell r="A43">
            <v>42</v>
          </cell>
          <cell r="D43">
            <v>6111</v>
          </cell>
        </row>
        <row r="44">
          <cell r="A44">
            <v>43</v>
          </cell>
          <cell r="D44">
            <v>6112</v>
          </cell>
        </row>
        <row r="45">
          <cell r="A45">
            <v>44</v>
          </cell>
          <cell r="D45">
            <v>6113</v>
          </cell>
        </row>
        <row r="46">
          <cell r="A46">
            <v>45</v>
          </cell>
          <cell r="D46">
            <v>6114</v>
          </cell>
        </row>
        <row r="47">
          <cell r="A47">
            <v>46</v>
          </cell>
          <cell r="D47">
            <v>6115</v>
          </cell>
        </row>
        <row r="48">
          <cell r="A48">
            <v>47</v>
          </cell>
          <cell r="D48">
            <v>6116</v>
          </cell>
        </row>
        <row r="49">
          <cell r="A49">
            <v>48</v>
          </cell>
          <cell r="D49">
            <v>6198</v>
          </cell>
        </row>
        <row r="50">
          <cell r="A50">
            <v>49</v>
          </cell>
          <cell r="D50">
            <v>6201</v>
          </cell>
        </row>
        <row r="51">
          <cell r="A51">
            <v>50</v>
          </cell>
          <cell r="D51">
            <v>6202</v>
          </cell>
        </row>
        <row r="52">
          <cell r="A52">
            <v>51</v>
          </cell>
          <cell r="D52">
            <v>6203</v>
          </cell>
        </row>
        <row r="53">
          <cell r="A53">
            <v>52</v>
          </cell>
          <cell r="D53">
            <v>6204</v>
          </cell>
        </row>
        <row r="54">
          <cell r="A54">
            <v>53</v>
          </cell>
          <cell r="D54">
            <v>6205</v>
          </cell>
        </row>
        <row r="55">
          <cell r="A55">
            <v>54</v>
          </cell>
          <cell r="D55">
            <v>6206</v>
          </cell>
        </row>
        <row r="56">
          <cell r="A56">
            <v>55</v>
          </cell>
          <cell r="D56">
            <v>6298</v>
          </cell>
        </row>
        <row r="57">
          <cell r="A57">
            <v>56</v>
          </cell>
          <cell r="D57">
            <v>6301</v>
          </cell>
        </row>
        <row r="58">
          <cell r="A58">
            <v>57</v>
          </cell>
          <cell r="D58">
            <v>6302</v>
          </cell>
        </row>
        <row r="59">
          <cell r="A59">
            <v>58</v>
          </cell>
          <cell r="D59">
            <v>6303</v>
          </cell>
        </row>
        <row r="60">
          <cell r="A60">
            <v>59</v>
          </cell>
          <cell r="D60">
            <v>6304</v>
          </cell>
        </row>
        <row r="61">
          <cell r="A61">
            <v>60</v>
          </cell>
          <cell r="D61">
            <v>6305</v>
          </cell>
        </row>
        <row r="62">
          <cell r="A62">
            <v>61</v>
          </cell>
          <cell r="D62">
            <v>6306</v>
          </cell>
        </row>
        <row r="63">
          <cell r="A63">
            <v>62</v>
          </cell>
          <cell r="D63">
            <v>6398</v>
          </cell>
        </row>
        <row r="64">
          <cell r="A64">
            <v>63</v>
          </cell>
          <cell r="D64">
            <v>6401</v>
          </cell>
        </row>
        <row r="65">
          <cell r="A65">
            <v>64</v>
          </cell>
          <cell r="D65">
            <v>6402</v>
          </cell>
        </row>
        <row r="66">
          <cell r="A66">
            <v>65</v>
          </cell>
          <cell r="D66">
            <v>6403</v>
          </cell>
        </row>
        <row r="67">
          <cell r="A67">
            <v>66</v>
          </cell>
          <cell r="D67">
            <v>6404</v>
          </cell>
        </row>
        <row r="68">
          <cell r="A68">
            <v>67</v>
          </cell>
          <cell r="D68">
            <v>6405</v>
          </cell>
        </row>
        <row r="69">
          <cell r="A69">
            <v>68</v>
          </cell>
          <cell r="D69">
            <v>6406</v>
          </cell>
        </row>
        <row r="70">
          <cell r="A70">
            <v>69</v>
          </cell>
          <cell r="D70">
            <v>6407</v>
          </cell>
        </row>
        <row r="71">
          <cell r="A71">
            <v>70</v>
          </cell>
          <cell r="D71">
            <v>6498</v>
          </cell>
        </row>
        <row r="72">
          <cell r="A72">
            <v>71</v>
          </cell>
          <cell r="D72">
            <v>6501</v>
          </cell>
        </row>
        <row r="73">
          <cell r="A73">
            <v>72</v>
          </cell>
          <cell r="D73">
            <v>6502</v>
          </cell>
        </row>
        <row r="74">
          <cell r="A74">
            <v>73</v>
          </cell>
          <cell r="D74">
            <v>6503</v>
          </cell>
        </row>
        <row r="75">
          <cell r="A75">
            <v>74</v>
          </cell>
          <cell r="D75">
            <v>6504</v>
          </cell>
        </row>
        <row r="76">
          <cell r="A76">
            <v>75</v>
          </cell>
          <cell r="D76">
            <v>6505</v>
          </cell>
        </row>
        <row r="77">
          <cell r="A77">
            <v>76</v>
          </cell>
          <cell r="D77">
            <v>6506</v>
          </cell>
        </row>
        <row r="78">
          <cell r="A78">
            <v>77</v>
          </cell>
          <cell r="D78">
            <v>6507</v>
          </cell>
        </row>
        <row r="79">
          <cell r="A79">
            <v>78</v>
          </cell>
          <cell r="D79">
            <v>6508</v>
          </cell>
        </row>
        <row r="80">
          <cell r="A80">
            <v>79</v>
          </cell>
          <cell r="D80">
            <v>6598</v>
          </cell>
        </row>
        <row r="81">
          <cell r="A81">
            <v>80</v>
          </cell>
          <cell r="D81">
            <v>6601</v>
          </cell>
        </row>
        <row r="82">
          <cell r="A82">
            <v>81</v>
          </cell>
          <cell r="D82">
            <v>6602</v>
          </cell>
        </row>
        <row r="83">
          <cell r="A83">
            <v>82</v>
          </cell>
          <cell r="D83">
            <v>6698</v>
          </cell>
        </row>
        <row r="84">
          <cell r="A84">
            <v>83</v>
          </cell>
          <cell r="D84">
            <v>6701</v>
          </cell>
        </row>
        <row r="85">
          <cell r="A85">
            <v>84</v>
          </cell>
          <cell r="D85">
            <v>6705</v>
          </cell>
        </row>
        <row r="86">
          <cell r="A86">
            <v>85</v>
          </cell>
          <cell r="D86">
            <v>6801</v>
          </cell>
        </row>
        <row r="87">
          <cell r="A87">
            <v>86</v>
          </cell>
          <cell r="D87">
            <v>6901</v>
          </cell>
        </row>
        <row r="88">
          <cell r="A88">
            <v>87</v>
          </cell>
          <cell r="D88">
            <v>6902</v>
          </cell>
        </row>
        <row r="89">
          <cell r="A89">
            <v>88</v>
          </cell>
          <cell r="D89">
            <v>6908</v>
          </cell>
        </row>
        <row r="90">
          <cell r="A90">
            <v>89</v>
          </cell>
          <cell r="D90">
            <v>7009</v>
          </cell>
        </row>
        <row r="91">
          <cell r="A91">
            <v>90</v>
          </cell>
          <cell r="D91">
            <v>7001</v>
          </cell>
        </row>
        <row r="92">
          <cell r="A92">
            <v>91</v>
          </cell>
          <cell r="D92">
            <v>7002</v>
          </cell>
        </row>
        <row r="93">
          <cell r="A93">
            <v>92</v>
          </cell>
          <cell r="D93">
            <v>7003</v>
          </cell>
        </row>
        <row r="94">
          <cell r="A94">
            <v>93</v>
          </cell>
          <cell r="D94">
            <v>7004</v>
          </cell>
        </row>
        <row r="95">
          <cell r="A95">
            <v>94</v>
          </cell>
          <cell r="D95">
            <v>7005</v>
          </cell>
        </row>
        <row r="96">
          <cell r="A96">
            <v>95</v>
          </cell>
          <cell r="D96">
            <v>7006</v>
          </cell>
        </row>
        <row r="97">
          <cell r="A97">
            <v>96</v>
          </cell>
          <cell r="D97">
            <v>7007</v>
          </cell>
        </row>
        <row r="98">
          <cell r="A98">
            <v>97</v>
          </cell>
          <cell r="D98">
            <v>7008</v>
          </cell>
        </row>
        <row r="99">
          <cell r="A99">
            <v>98</v>
          </cell>
          <cell r="D99">
            <v>7100</v>
          </cell>
        </row>
        <row r="100">
          <cell r="A100">
            <v>99</v>
          </cell>
          <cell r="D100">
            <v>7101</v>
          </cell>
        </row>
        <row r="101">
          <cell r="A101">
            <v>100</v>
          </cell>
          <cell r="D101">
            <v>7200</v>
          </cell>
        </row>
        <row r="102">
          <cell r="A102">
            <v>101</v>
          </cell>
          <cell r="D102">
            <v>7201</v>
          </cell>
        </row>
        <row r="103">
          <cell r="A103">
            <v>102</v>
          </cell>
          <cell r="D103">
            <v>7300</v>
          </cell>
        </row>
        <row r="104">
          <cell r="A104">
            <v>103</v>
          </cell>
          <cell r="D104">
            <v>7301</v>
          </cell>
        </row>
        <row r="105">
          <cell r="A105">
            <v>104</v>
          </cell>
          <cell r="D105">
            <v>7302</v>
          </cell>
        </row>
        <row r="106">
          <cell r="A106">
            <v>105</v>
          </cell>
          <cell r="D106">
            <v>7304</v>
          </cell>
        </row>
        <row r="107">
          <cell r="A107">
            <v>106</v>
          </cell>
          <cell r="D107">
            <v>7305</v>
          </cell>
        </row>
        <row r="108">
          <cell r="A108">
            <v>107</v>
          </cell>
          <cell r="D108">
            <v>7306</v>
          </cell>
        </row>
        <row r="109">
          <cell r="A109">
            <v>108</v>
          </cell>
          <cell r="D109">
            <v>7307</v>
          </cell>
        </row>
        <row r="110">
          <cell r="A110">
            <v>109</v>
          </cell>
          <cell r="D110">
            <v>7308</v>
          </cell>
        </row>
        <row r="111">
          <cell r="A111">
            <v>110</v>
          </cell>
          <cell r="D111">
            <v>7401</v>
          </cell>
        </row>
        <row r="112">
          <cell r="A112">
            <v>111</v>
          </cell>
          <cell r="D112">
            <v>7403</v>
          </cell>
        </row>
        <row r="113">
          <cell r="A113">
            <v>112</v>
          </cell>
          <cell r="D113">
            <v>7408</v>
          </cell>
        </row>
        <row r="114">
          <cell r="A114">
            <v>113</v>
          </cell>
          <cell r="D114">
            <v>7501</v>
          </cell>
        </row>
        <row r="115">
          <cell r="A115">
            <v>114</v>
          </cell>
          <cell r="D115">
            <v>7502</v>
          </cell>
        </row>
        <row r="116">
          <cell r="A116">
            <v>115</v>
          </cell>
          <cell r="D116">
            <v>7503</v>
          </cell>
        </row>
        <row r="117">
          <cell r="A117">
            <v>116</v>
          </cell>
          <cell r="D117">
            <v>7504</v>
          </cell>
        </row>
        <row r="118">
          <cell r="A118">
            <v>117</v>
          </cell>
          <cell r="D118">
            <v>7506</v>
          </cell>
        </row>
        <row r="119">
          <cell r="A119">
            <v>118</v>
          </cell>
          <cell r="D119">
            <v>7507</v>
          </cell>
        </row>
        <row r="120">
          <cell r="A120">
            <v>119</v>
          </cell>
          <cell r="D120">
            <v>7508</v>
          </cell>
        </row>
        <row r="121">
          <cell r="A121">
            <v>120</v>
          </cell>
          <cell r="D121">
            <v>7510</v>
          </cell>
        </row>
        <row r="122">
          <cell r="A122">
            <v>121</v>
          </cell>
          <cell r="D122">
            <v>7511</v>
          </cell>
        </row>
        <row r="123">
          <cell r="A123">
            <v>122</v>
          </cell>
          <cell r="D123">
            <v>7512</v>
          </cell>
        </row>
        <row r="124">
          <cell r="A124">
            <v>123</v>
          </cell>
          <cell r="D124">
            <v>7513</v>
          </cell>
        </row>
        <row r="125">
          <cell r="A125">
            <v>124</v>
          </cell>
          <cell r="D125">
            <v>7514</v>
          </cell>
        </row>
        <row r="126">
          <cell r="A126">
            <v>125</v>
          </cell>
          <cell r="D126">
            <v>7517</v>
          </cell>
        </row>
        <row r="127">
          <cell r="A127">
            <v>126</v>
          </cell>
          <cell r="D127">
            <v>7518</v>
          </cell>
        </row>
        <row r="128">
          <cell r="A128">
            <v>127</v>
          </cell>
          <cell r="D128">
            <v>7601</v>
          </cell>
        </row>
        <row r="129">
          <cell r="A129">
            <v>128</v>
          </cell>
          <cell r="D129">
            <v>7602</v>
          </cell>
        </row>
        <row r="130">
          <cell r="A130">
            <v>129</v>
          </cell>
          <cell r="D130">
            <v>7603</v>
          </cell>
        </row>
        <row r="131">
          <cell r="A131">
            <v>130</v>
          </cell>
          <cell r="D131">
            <v>7606</v>
          </cell>
        </row>
        <row r="132">
          <cell r="A132">
            <v>131</v>
          </cell>
          <cell r="D132">
            <v>7698</v>
          </cell>
        </row>
        <row r="133">
          <cell r="A133">
            <v>132</v>
          </cell>
          <cell r="D133">
            <v>7701</v>
          </cell>
        </row>
        <row r="134">
          <cell r="A134">
            <v>133</v>
          </cell>
          <cell r="D134">
            <v>7702</v>
          </cell>
        </row>
        <row r="135">
          <cell r="A135">
            <v>134</v>
          </cell>
          <cell r="D135">
            <v>7703</v>
          </cell>
        </row>
        <row r="136">
          <cell r="A136">
            <v>135</v>
          </cell>
          <cell r="D136">
            <v>7704</v>
          </cell>
        </row>
        <row r="137">
          <cell r="A137">
            <v>136</v>
          </cell>
          <cell r="D137">
            <v>7705</v>
          </cell>
        </row>
        <row r="138">
          <cell r="A138">
            <v>137</v>
          </cell>
          <cell r="D138">
            <v>7798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 Account"/>
    </sheetNames>
    <sheetDataSet>
      <sheetData sheetId="0">
        <row r="1">
          <cell r="A1" t="str">
            <v>id</v>
          </cell>
          <cell r="D1" t="str">
            <v>code</v>
          </cell>
        </row>
        <row r="2">
          <cell r="A2">
            <v>138</v>
          </cell>
          <cell r="D2">
            <v>20031</v>
          </cell>
        </row>
        <row r="3">
          <cell r="A3">
            <v>139</v>
          </cell>
          <cell r="D3">
            <v>20038</v>
          </cell>
        </row>
        <row r="4">
          <cell r="A4">
            <v>140</v>
          </cell>
          <cell r="D4">
            <v>20051</v>
          </cell>
        </row>
        <row r="5">
          <cell r="A5">
            <v>141</v>
          </cell>
          <cell r="D5">
            <v>20052</v>
          </cell>
        </row>
        <row r="6">
          <cell r="A6">
            <v>142</v>
          </cell>
          <cell r="D6">
            <v>20053</v>
          </cell>
        </row>
        <row r="7">
          <cell r="A7">
            <v>143</v>
          </cell>
          <cell r="D7">
            <v>20054</v>
          </cell>
        </row>
        <row r="8">
          <cell r="A8">
            <v>144</v>
          </cell>
          <cell r="D8">
            <v>20058</v>
          </cell>
        </row>
        <row r="9">
          <cell r="A9">
            <v>145</v>
          </cell>
          <cell r="D9">
            <v>21011</v>
          </cell>
        </row>
        <row r="10">
          <cell r="A10">
            <v>146</v>
          </cell>
          <cell r="D10">
            <v>21012</v>
          </cell>
        </row>
        <row r="11">
          <cell r="A11">
            <v>147</v>
          </cell>
          <cell r="D11">
            <v>21018</v>
          </cell>
        </row>
        <row r="12">
          <cell r="A12">
            <v>148</v>
          </cell>
          <cell r="D12">
            <v>21021</v>
          </cell>
        </row>
        <row r="13">
          <cell r="A13">
            <v>149</v>
          </cell>
          <cell r="D13">
            <v>21022</v>
          </cell>
        </row>
        <row r="14">
          <cell r="A14">
            <v>150</v>
          </cell>
          <cell r="D14">
            <v>21028</v>
          </cell>
        </row>
        <row r="15">
          <cell r="A15">
            <v>151</v>
          </cell>
          <cell r="D15">
            <v>21031</v>
          </cell>
        </row>
        <row r="16">
          <cell r="A16">
            <v>152</v>
          </cell>
          <cell r="D16">
            <v>21032</v>
          </cell>
        </row>
        <row r="17">
          <cell r="A17">
            <v>153</v>
          </cell>
          <cell r="D17">
            <v>21038</v>
          </cell>
        </row>
        <row r="18">
          <cell r="A18">
            <v>154</v>
          </cell>
          <cell r="D18">
            <v>21041</v>
          </cell>
        </row>
        <row r="19">
          <cell r="A19">
            <v>155</v>
          </cell>
          <cell r="D19">
            <v>21042</v>
          </cell>
        </row>
        <row r="20">
          <cell r="A20">
            <v>156</v>
          </cell>
          <cell r="D20">
            <v>21043</v>
          </cell>
        </row>
        <row r="21">
          <cell r="A21">
            <v>157</v>
          </cell>
          <cell r="D21">
            <v>21044</v>
          </cell>
        </row>
        <row r="22">
          <cell r="A22">
            <v>158</v>
          </cell>
          <cell r="D22">
            <v>21045</v>
          </cell>
        </row>
        <row r="23">
          <cell r="A23">
            <v>159</v>
          </cell>
          <cell r="D23">
            <v>21046</v>
          </cell>
        </row>
        <row r="24">
          <cell r="A24">
            <v>160</v>
          </cell>
          <cell r="D24">
            <v>21047</v>
          </cell>
        </row>
        <row r="25">
          <cell r="A25">
            <v>161</v>
          </cell>
          <cell r="D25">
            <v>21048</v>
          </cell>
        </row>
        <row r="26">
          <cell r="A26">
            <v>162</v>
          </cell>
          <cell r="D26">
            <v>21051</v>
          </cell>
        </row>
        <row r="27">
          <cell r="A27">
            <v>163</v>
          </cell>
          <cell r="D27">
            <v>21052</v>
          </cell>
        </row>
        <row r="28">
          <cell r="A28">
            <v>164</v>
          </cell>
          <cell r="D28">
            <v>21053</v>
          </cell>
        </row>
        <row r="29">
          <cell r="A29">
            <v>165</v>
          </cell>
          <cell r="D29">
            <v>21058</v>
          </cell>
        </row>
        <row r="30">
          <cell r="A30">
            <v>166</v>
          </cell>
          <cell r="D30">
            <v>21061</v>
          </cell>
        </row>
        <row r="31">
          <cell r="A31">
            <v>167</v>
          </cell>
          <cell r="D31">
            <v>21081</v>
          </cell>
        </row>
        <row r="32">
          <cell r="A32">
            <v>168</v>
          </cell>
          <cell r="D32">
            <v>21082</v>
          </cell>
        </row>
        <row r="33">
          <cell r="A33">
            <v>169</v>
          </cell>
          <cell r="D33">
            <v>21083</v>
          </cell>
        </row>
        <row r="34">
          <cell r="A34">
            <v>170</v>
          </cell>
          <cell r="D34">
            <v>21084</v>
          </cell>
        </row>
        <row r="35">
          <cell r="A35">
            <v>171</v>
          </cell>
          <cell r="D35">
            <v>21088</v>
          </cell>
        </row>
        <row r="36">
          <cell r="A36">
            <v>172</v>
          </cell>
          <cell r="D36">
            <v>21091</v>
          </cell>
        </row>
        <row r="37">
          <cell r="A37">
            <v>173</v>
          </cell>
          <cell r="D37">
            <v>21092</v>
          </cell>
        </row>
        <row r="38">
          <cell r="A38">
            <v>174</v>
          </cell>
          <cell r="D38">
            <v>21093</v>
          </cell>
        </row>
        <row r="39">
          <cell r="A39">
            <v>175</v>
          </cell>
          <cell r="D39">
            <v>21094</v>
          </cell>
        </row>
        <row r="40">
          <cell r="A40">
            <v>176</v>
          </cell>
          <cell r="D40">
            <v>21095</v>
          </cell>
        </row>
        <row r="41">
          <cell r="A41">
            <v>177</v>
          </cell>
          <cell r="D41">
            <v>21096</v>
          </cell>
        </row>
        <row r="42">
          <cell r="A42">
            <v>178</v>
          </cell>
          <cell r="D42">
            <v>21097</v>
          </cell>
        </row>
        <row r="43">
          <cell r="A43">
            <v>179</v>
          </cell>
          <cell r="D43">
            <v>21098</v>
          </cell>
        </row>
        <row r="44">
          <cell r="A44">
            <v>180</v>
          </cell>
          <cell r="D44">
            <v>22011</v>
          </cell>
        </row>
        <row r="45">
          <cell r="A45">
            <v>181</v>
          </cell>
          <cell r="D45">
            <v>22012</v>
          </cell>
        </row>
        <row r="46">
          <cell r="A46">
            <v>182</v>
          </cell>
          <cell r="D46">
            <v>23003</v>
          </cell>
        </row>
        <row r="47">
          <cell r="A47">
            <v>183</v>
          </cell>
          <cell r="D47">
            <v>23005</v>
          </cell>
        </row>
        <row r="48">
          <cell r="A48">
            <v>184</v>
          </cell>
          <cell r="D48">
            <v>23021</v>
          </cell>
        </row>
        <row r="49">
          <cell r="A49">
            <v>185</v>
          </cell>
          <cell r="D49">
            <v>23022</v>
          </cell>
        </row>
        <row r="50">
          <cell r="A50">
            <v>186</v>
          </cell>
          <cell r="D50">
            <v>23028</v>
          </cell>
        </row>
        <row r="51">
          <cell r="A51">
            <v>187</v>
          </cell>
          <cell r="D51">
            <v>23031</v>
          </cell>
        </row>
        <row r="52">
          <cell r="A52">
            <v>188</v>
          </cell>
          <cell r="D52">
            <v>23032</v>
          </cell>
        </row>
        <row r="53">
          <cell r="A53">
            <v>189</v>
          </cell>
          <cell r="D53">
            <v>23038</v>
          </cell>
        </row>
        <row r="54">
          <cell r="A54">
            <v>190</v>
          </cell>
          <cell r="D54">
            <v>23041</v>
          </cell>
        </row>
        <row r="55">
          <cell r="A55">
            <v>191</v>
          </cell>
          <cell r="D55">
            <v>23042</v>
          </cell>
        </row>
        <row r="56">
          <cell r="A56">
            <v>192</v>
          </cell>
          <cell r="D56">
            <v>23043</v>
          </cell>
        </row>
        <row r="57">
          <cell r="A57">
            <v>193</v>
          </cell>
          <cell r="D57">
            <v>23044</v>
          </cell>
        </row>
        <row r="58">
          <cell r="A58">
            <v>194</v>
          </cell>
          <cell r="D58">
            <v>23045</v>
          </cell>
        </row>
        <row r="59">
          <cell r="A59">
            <v>195</v>
          </cell>
          <cell r="D59">
            <v>23046</v>
          </cell>
        </row>
        <row r="60">
          <cell r="A60">
            <v>196</v>
          </cell>
          <cell r="D60">
            <v>23047</v>
          </cell>
        </row>
        <row r="61">
          <cell r="A61">
            <v>197</v>
          </cell>
          <cell r="D61">
            <v>23048</v>
          </cell>
        </row>
        <row r="62">
          <cell r="A62">
            <v>198</v>
          </cell>
          <cell r="D62">
            <v>23051</v>
          </cell>
        </row>
        <row r="63">
          <cell r="A63">
            <v>199</v>
          </cell>
          <cell r="D63">
            <v>23052</v>
          </cell>
        </row>
        <row r="64">
          <cell r="A64">
            <v>200</v>
          </cell>
          <cell r="D64">
            <v>23053</v>
          </cell>
        </row>
        <row r="65">
          <cell r="A65">
            <v>201</v>
          </cell>
          <cell r="D65">
            <v>23058</v>
          </cell>
        </row>
        <row r="66">
          <cell r="A66">
            <v>202</v>
          </cell>
          <cell r="D66">
            <v>26011</v>
          </cell>
        </row>
        <row r="67">
          <cell r="A67">
            <v>203</v>
          </cell>
          <cell r="D67">
            <v>26012</v>
          </cell>
        </row>
        <row r="68">
          <cell r="A68">
            <v>204</v>
          </cell>
          <cell r="D68">
            <v>26013</v>
          </cell>
        </row>
        <row r="69">
          <cell r="A69">
            <v>205</v>
          </cell>
          <cell r="D69">
            <v>26021</v>
          </cell>
        </row>
        <row r="70">
          <cell r="A70">
            <v>206</v>
          </cell>
          <cell r="D70">
            <v>26022</v>
          </cell>
        </row>
        <row r="71">
          <cell r="A71">
            <v>207</v>
          </cell>
          <cell r="D71">
            <v>26023</v>
          </cell>
        </row>
        <row r="72">
          <cell r="A72">
            <v>208</v>
          </cell>
          <cell r="D72">
            <v>27011</v>
          </cell>
        </row>
        <row r="73">
          <cell r="A73">
            <v>209</v>
          </cell>
          <cell r="D73">
            <v>27012</v>
          </cell>
        </row>
        <row r="74">
          <cell r="A74">
            <v>210</v>
          </cell>
          <cell r="D74">
            <v>27013</v>
          </cell>
        </row>
        <row r="75">
          <cell r="A75">
            <v>211</v>
          </cell>
          <cell r="D75">
            <v>27018</v>
          </cell>
        </row>
        <row r="76">
          <cell r="A76">
            <v>212</v>
          </cell>
          <cell r="D76">
            <v>27022</v>
          </cell>
        </row>
        <row r="77">
          <cell r="A77">
            <v>213</v>
          </cell>
          <cell r="D77">
            <v>27028</v>
          </cell>
        </row>
        <row r="78">
          <cell r="A78">
            <v>214</v>
          </cell>
          <cell r="D78">
            <v>50011</v>
          </cell>
        </row>
        <row r="79">
          <cell r="A79">
            <v>215</v>
          </cell>
          <cell r="D79">
            <v>50012</v>
          </cell>
        </row>
        <row r="80">
          <cell r="A80">
            <v>216</v>
          </cell>
          <cell r="D80">
            <v>50018</v>
          </cell>
        </row>
        <row r="81">
          <cell r="A81">
            <v>217</v>
          </cell>
          <cell r="D81">
            <v>50021</v>
          </cell>
        </row>
        <row r="82">
          <cell r="A82">
            <v>218</v>
          </cell>
          <cell r="D82">
            <v>50022</v>
          </cell>
        </row>
        <row r="83">
          <cell r="A83">
            <v>219</v>
          </cell>
          <cell r="D83">
            <v>50041</v>
          </cell>
        </row>
        <row r="84">
          <cell r="A84">
            <v>220</v>
          </cell>
          <cell r="D84">
            <v>50042</v>
          </cell>
        </row>
        <row r="85">
          <cell r="A85">
            <v>221</v>
          </cell>
          <cell r="D85">
            <v>60011</v>
          </cell>
        </row>
        <row r="86">
          <cell r="A86">
            <v>222</v>
          </cell>
          <cell r="D86">
            <v>60012</v>
          </cell>
        </row>
        <row r="87">
          <cell r="A87">
            <v>223</v>
          </cell>
          <cell r="D87">
            <v>60013</v>
          </cell>
        </row>
        <row r="88">
          <cell r="A88">
            <v>224</v>
          </cell>
          <cell r="D88">
            <v>60014</v>
          </cell>
        </row>
        <row r="89">
          <cell r="A89">
            <v>225</v>
          </cell>
          <cell r="D89">
            <v>60015</v>
          </cell>
        </row>
        <row r="90">
          <cell r="A90">
            <v>226</v>
          </cell>
          <cell r="D90">
            <v>60018</v>
          </cell>
        </row>
        <row r="91">
          <cell r="A91">
            <v>227</v>
          </cell>
          <cell r="D91">
            <v>60021</v>
          </cell>
        </row>
        <row r="92">
          <cell r="A92">
            <v>228</v>
          </cell>
          <cell r="D92">
            <v>60022</v>
          </cell>
        </row>
        <row r="93">
          <cell r="A93">
            <v>229</v>
          </cell>
          <cell r="D93">
            <v>60023</v>
          </cell>
        </row>
        <row r="94">
          <cell r="A94">
            <v>230</v>
          </cell>
          <cell r="D94">
            <v>60028</v>
          </cell>
        </row>
        <row r="95">
          <cell r="A95">
            <v>231</v>
          </cell>
          <cell r="D95">
            <v>60031</v>
          </cell>
        </row>
        <row r="96">
          <cell r="A96">
            <v>232</v>
          </cell>
          <cell r="D96">
            <v>60032</v>
          </cell>
        </row>
        <row r="97">
          <cell r="A97">
            <v>233</v>
          </cell>
          <cell r="D97">
            <v>60033</v>
          </cell>
        </row>
        <row r="98">
          <cell r="A98">
            <v>234</v>
          </cell>
          <cell r="D98">
            <v>60034</v>
          </cell>
        </row>
        <row r="99">
          <cell r="A99">
            <v>235</v>
          </cell>
          <cell r="D99">
            <v>60035</v>
          </cell>
        </row>
        <row r="100">
          <cell r="A100">
            <v>236</v>
          </cell>
          <cell r="D100">
            <v>60036</v>
          </cell>
        </row>
        <row r="101">
          <cell r="A101">
            <v>237</v>
          </cell>
          <cell r="D101">
            <v>60037</v>
          </cell>
        </row>
        <row r="102">
          <cell r="A102">
            <v>238</v>
          </cell>
          <cell r="D102">
            <v>60038</v>
          </cell>
        </row>
        <row r="103">
          <cell r="A103">
            <v>239</v>
          </cell>
          <cell r="D103">
            <v>60041</v>
          </cell>
        </row>
        <row r="104">
          <cell r="A104">
            <v>240</v>
          </cell>
          <cell r="D104">
            <v>60042</v>
          </cell>
        </row>
        <row r="105">
          <cell r="A105">
            <v>241</v>
          </cell>
          <cell r="D105">
            <v>60043</v>
          </cell>
        </row>
        <row r="106">
          <cell r="A106">
            <v>242</v>
          </cell>
          <cell r="D106">
            <v>60048</v>
          </cell>
        </row>
        <row r="107">
          <cell r="A107">
            <v>243</v>
          </cell>
          <cell r="D107">
            <v>60051</v>
          </cell>
        </row>
        <row r="108">
          <cell r="A108">
            <v>244</v>
          </cell>
          <cell r="D108">
            <v>60052</v>
          </cell>
        </row>
        <row r="109">
          <cell r="A109">
            <v>245</v>
          </cell>
          <cell r="D109">
            <v>60053</v>
          </cell>
        </row>
        <row r="110">
          <cell r="A110">
            <v>246</v>
          </cell>
          <cell r="D110">
            <v>60054</v>
          </cell>
        </row>
        <row r="111">
          <cell r="A111">
            <v>247</v>
          </cell>
          <cell r="D111">
            <v>60055</v>
          </cell>
        </row>
        <row r="112">
          <cell r="A112">
            <v>248</v>
          </cell>
          <cell r="D112">
            <v>60058</v>
          </cell>
        </row>
        <row r="113">
          <cell r="A113">
            <v>249</v>
          </cell>
          <cell r="D113">
            <v>60061</v>
          </cell>
        </row>
        <row r="114">
          <cell r="A114">
            <v>250</v>
          </cell>
          <cell r="D114">
            <v>60062</v>
          </cell>
        </row>
        <row r="115">
          <cell r="A115">
            <v>251</v>
          </cell>
          <cell r="D115">
            <v>60068</v>
          </cell>
        </row>
        <row r="116">
          <cell r="A116">
            <v>252</v>
          </cell>
          <cell r="D116">
            <v>60071</v>
          </cell>
        </row>
        <row r="117">
          <cell r="A117">
            <v>253</v>
          </cell>
          <cell r="D117">
            <v>60072</v>
          </cell>
        </row>
        <row r="118">
          <cell r="A118">
            <v>254</v>
          </cell>
          <cell r="D118">
            <v>60078</v>
          </cell>
        </row>
        <row r="119">
          <cell r="A119">
            <v>255</v>
          </cell>
          <cell r="D119">
            <v>60981</v>
          </cell>
        </row>
        <row r="120">
          <cell r="A120">
            <v>256</v>
          </cell>
          <cell r="D120">
            <v>61011</v>
          </cell>
        </row>
        <row r="121">
          <cell r="A121">
            <v>257</v>
          </cell>
          <cell r="D121">
            <v>61012</v>
          </cell>
        </row>
        <row r="122">
          <cell r="A122">
            <v>258</v>
          </cell>
          <cell r="D122">
            <v>61018</v>
          </cell>
        </row>
        <row r="123">
          <cell r="A123">
            <v>259</v>
          </cell>
          <cell r="D123">
            <v>61021</v>
          </cell>
        </row>
        <row r="124">
          <cell r="A124">
            <v>260</v>
          </cell>
          <cell r="D124">
            <v>61028</v>
          </cell>
        </row>
        <row r="125">
          <cell r="A125">
            <v>261</v>
          </cell>
          <cell r="D125">
            <v>61031</v>
          </cell>
        </row>
        <row r="126">
          <cell r="A126">
            <v>262</v>
          </cell>
          <cell r="D126">
            <v>61032</v>
          </cell>
        </row>
        <row r="127">
          <cell r="A127">
            <v>263</v>
          </cell>
          <cell r="D127">
            <v>61038</v>
          </cell>
        </row>
        <row r="128">
          <cell r="A128">
            <v>264</v>
          </cell>
          <cell r="D128">
            <v>61041</v>
          </cell>
        </row>
        <row r="129">
          <cell r="A129">
            <v>265</v>
          </cell>
          <cell r="D129">
            <v>61048</v>
          </cell>
        </row>
        <row r="130">
          <cell r="A130">
            <v>266</v>
          </cell>
          <cell r="D130">
            <v>61051</v>
          </cell>
        </row>
        <row r="131">
          <cell r="A131">
            <v>267</v>
          </cell>
          <cell r="D131">
            <v>61052</v>
          </cell>
        </row>
        <row r="132">
          <cell r="A132">
            <v>268</v>
          </cell>
          <cell r="D132">
            <v>61053</v>
          </cell>
        </row>
        <row r="133">
          <cell r="A133">
            <v>269</v>
          </cell>
          <cell r="D133">
            <v>61054</v>
          </cell>
        </row>
        <row r="134">
          <cell r="A134">
            <v>270</v>
          </cell>
          <cell r="D134">
            <v>61055</v>
          </cell>
        </row>
        <row r="135">
          <cell r="A135">
            <v>271</v>
          </cell>
          <cell r="D135">
            <v>61056</v>
          </cell>
        </row>
        <row r="136">
          <cell r="A136">
            <v>272</v>
          </cell>
          <cell r="D136">
            <v>61057</v>
          </cell>
        </row>
        <row r="137">
          <cell r="A137">
            <v>273</v>
          </cell>
          <cell r="D137">
            <v>61058</v>
          </cell>
        </row>
        <row r="138">
          <cell r="A138">
            <v>274</v>
          </cell>
          <cell r="D138">
            <v>61061</v>
          </cell>
        </row>
        <row r="139">
          <cell r="A139">
            <v>275</v>
          </cell>
          <cell r="D139">
            <v>61062</v>
          </cell>
        </row>
        <row r="140">
          <cell r="A140">
            <v>276</v>
          </cell>
          <cell r="D140">
            <v>61063</v>
          </cell>
        </row>
        <row r="141">
          <cell r="A141">
            <v>277</v>
          </cell>
          <cell r="D141">
            <v>61068</v>
          </cell>
        </row>
        <row r="142">
          <cell r="A142">
            <v>278</v>
          </cell>
          <cell r="D142">
            <v>61071</v>
          </cell>
        </row>
        <row r="143">
          <cell r="A143">
            <v>279</v>
          </cell>
          <cell r="D143">
            <v>61072</v>
          </cell>
        </row>
        <row r="144">
          <cell r="A144">
            <v>280</v>
          </cell>
          <cell r="D144">
            <v>61073</v>
          </cell>
        </row>
        <row r="145">
          <cell r="A145">
            <v>281</v>
          </cell>
          <cell r="D145">
            <v>61074</v>
          </cell>
        </row>
        <row r="146">
          <cell r="A146">
            <v>282</v>
          </cell>
          <cell r="D146">
            <v>61078</v>
          </cell>
        </row>
        <row r="147">
          <cell r="A147">
            <v>283</v>
          </cell>
          <cell r="D147">
            <v>61081</v>
          </cell>
        </row>
        <row r="148">
          <cell r="A148">
            <v>284</v>
          </cell>
          <cell r="D148">
            <v>61088</v>
          </cell>
        </row>
        <row r="149">
          <cell r="A149">
            <v>285</v>
          </cell>
          <cell r="D149">
            <v>61091</v>
          </cell>
        </row>
        <row r="150">
          <cell r="A150">
            <v>286</v>
          </cell>
          <cell r="D150">
            <v>61092</v>
          </cell>
        </row>
        <row r="151">
          <cell r="A151">
            <v>287</v>
          </cell>
          <cell r="D151">
            <v>61093</v>
          </cell>
        </row>
        <row r="152">
          <cell r="A152">
            <v>288</v>
          </cell>
          <cell r="D152">
            <v>61094</v>
          </cell>
        </row>
        <row r="153">
          <cell r="A153">
            <v>289</v>
          </cell>
          <cell r="D153">
            <v>61098</v>
          </cell>
        </row>
        <row r="154">
          <cell r="A154">
            <v>290</v>
          </cell>
          <cell r="D154">
            <v>61101</v>
          </cell>
        </row>
        <row r="155">
          <cell r="A155">
            <v>291</v>
          </cell>
          <cell r="D155">
            <v>61102</v>
          </cell>
        </row>
        <row r="156">
          <cell r="A156">
            <v>292</v>
          </cell>
          <cell r="D156">
            <v>61103</v>
          </cell>
        </row>
        <row r="157">
          <cell r="A157">
            <v>293</v>
          </cell>
          <cell r="D157">
            <v>61104</v>
          </cell>
        </row>
        <row r="158">
          <cell r="A158">
            <v>294</v>
          </cell>
          <cell r="D158">
            <v>61105</v>
          </cell>
        </row>
        <row r="159">
          <cell r="A159">
            <v>295</v>
          </cell>
          <cell r="D159">
            <v>61106</v>
          </cell>
        </row>
        <row r="160">
          <cell r="A160">
            <v>296</v>
          </cell>
          <cell r="D160">
            <v>61107</v>
          </cell>
        </row>
        <row r="161">
          <cell r="A161">
            <v>297</v>
          </cell>
          <cell r="D161">
            <v>61108</v>
          </cell>
        </row>
        <row r="162">
          <cell r="A162">
            <v>298</v>
          </cell>
          <cell r="D162">
            <v>61111</v>
          </cell>
        </row>
        <row r="163">
          <cell r="A163">
            <v>299</v>
          </cell>
          <cell r="D163">
            <v>61112</v>
          </cell>
        </row>
        <row r="164">
          <cell r="A164">
            <v>300</v>
          </cell>
          <cell r="D164">
            <v>61113</v>
          </cell>
        </row>
        <row r="165">
          <cell r="A165">
            <v>301</v>
          </cell>
          <cell r="D165">
            <v>61118</v>
          </cell>
        </row>
        <row r="166">
          <cell r="A166">
            <v>302</v>
          </cell>
          <cell r="D166">
            <v>61121</v>
          </cell>
        </row>
        <row r="167">
          <cell r="A167">
            <v>303</v>
          </cell>
          <cell r="D167">
            <v>61122</v>
          </cell>
        </row>
        <row r="168">
          <cell r="A168">
            <v>304</v>
          </cell>
          <cell r="D168">
            <v>61123</v>
          </cell>
        </row>
        <row r="169">
          <cell r="A169">
            <v>305</v>
          </cell>
          <cell r="D169">
            <v>61128</v>
          </cell>
        </row>
        <row r="170">
          <cell r="A170">
            <v>306</v>
          </cell>
          <cell r="D170">
            <v>61131</v>
          </cell>
        </row>
        <row r="171">
          <cell r="A171">
            <v>307</v>
          </cell>
          <cell r="D171">
            <v>61132</v>
          </cell>
        </row>
        <row r="172">
          <cell r="A172">
            <v>308</v>
          </cell>
          <cell r="D172">
            <v>61133</v>
          </cell>
        </row>
        <row r="173">
          <cell r="A173">
            <v>309</v>
          </cell>
          <cell r="D173">
            <v>61138</v>
          </cell>
        </row>
        <row r="174">
          <cell r="A174">
            <v>310</v>
          </cell>
          <cell r="D174">
            <v>61141</v>
          </cell>
        </row>
        <row r="175">
          <cell r="A175">
            <v>311</v>
          </cell>
          <cell r="D175">
            <v>61142</v>
          </cell>
        </row>
        <row r="176">
          <cell r="A176">
            <v>312</v>
          </cell>
          <cell r="D176">
            <v>61148</v>
          </cell>
        </row>
        <row r="177">
          <cell r="A177">
            <v>313</v>
          </cell>
          <cell r="D177">
            <v>61151</v>
          </cell>
        </row>
        <row r="178">
          <cell r="A178">
            <v>314</v>
          </cell>
          <cell r="D178">
            <v>61161</v>
          </cell>
        </row>
        <row r="179">
          <cell r="A179">
            <v>315</v>
          </cell>
          <cell r="D179">
            <v>61162</v>
          </cell>
        </row>
        <row r="180">
          <cell r="A180">
            <v>316</v>
          </cell>
          <cell r="D180">
            <v>61163</v>
          </cell>
        </row>
        <row r="181">
          <cell r="A181">
            <v>317</v>
          </cell>
          <cell r="D181">
            <v>61164</v>
          </cell>
        </row>
        <row r="182">
          <cell r="A182">
            <v>318</v>
          </cell>
          <cell r="D182">
            <v>61165</v>
          </cell>
        </row>
        <row r="183">
          <cell r="A183">
            <v>319</v>
          </cell>
          <cell r="D183">
            <v>61166</v>
          </cell>
        </row>
        <row r="184">
          <cell r="A184">
            <v>320</v>
          </cell>
          <cell r="D184">
            <v>61167</v>
          </cell>
        </row>
        <row r="185">
          <cell r="A185">
            <v>321</v>
          </cell>
          <cell r="D185">
            <v>61168</v>
          </cell>
        </row>
        <row r="186">
          <cell r="A186">
            <v>322</v>
          </cell>
          <cell r="D186">
            <v>61981</v>
          </cell>
        </row>
        <row r="187">
          <cell r="A187">
            <v>323</v>
          </cell>
          <cell r="D187">
            <v>62011</v>
          </cell>
        </row>
        <row r="188">
          <cell r="A188">
            <v>324</v>
          </cell>
          <cell r="D188">
            <v>62021</v>
          </cell>
        </row>
        <row r="189">
          <cell r="A189">
            <v>325</v>
          </cell>
          <cell r="D189">
            <v>62022</v>
          </cell>
        </row>
        <row r="190">
          <cell r="A190">
            <v>326</v>
          </cell>
          <cell r="D190">
            <v>62023</v>
          </cell>
        </row>
        <row r="191">
          <cell r="A191">
            <v>327</v>
          </cell>
          <cell r="D191">
            <v>62024</v>
          </cell>
        </row>
        <row r="192">
          <cell r="A192">
            <v>328</v>
          </cell>
          <cell r="D192">
            <v>62025</v>
          </cell>
        </row>
        <row r="193">
          <cell r="A193">
            <v>329</v>
          </cell>
          <cell r="D193">
            <v>62026</v>
          </cell>
        </row>
        <row r="194">
          <cell r="A194">
            <v>330</v>
          </cell>
          <cell r="D194">
            <v>62027</v>
          </cell>
        </row>
        <row r="195">
          <cell r="A195">
            <v>331</v>
          </cell>
          <cell r="D195">
            <v>62028</v>
          </cell>
        </row>
        <row r="196">
          <cell r="A196">
            <v>332</v>
          </cell>
          <cell r="D196">
            <v>62031</v>
          </cell>
        </row>
        <row r="197">
          <cell r="A197">
            <v>333</v>
          </cell>
          <cell r="D197">
            <v>62032</v>
          </cell>
        </row>
        <row r="198">
          <cell r="A198">
            <v>334</v>
          </cell>
          <cell r="D198">
            <v>62033</v>
          </cell>
        </row>
        <row r="199">
          <cell r="A199">
            <v>335</v>
          </cell>
          <cell r="D199">
            <v>62034</v>
          </cell>
        </row>
        <row r="200">
          <cell r="A200">
            <v>336</v>
          </cell>
          <cell r="D200">
            <v>62035</v>
          </cell>
        </row>
        <row r="201">
          <cell r="A201">
            <v>337</v>
          </cell>
          <cell r="D201">
            <v>62036</v>
          </cell>
        </row>
        <row r="202">
          <cell r="A202">
            <v>338</v>
          </cell>
          <cell r="D202">
            <v>62037</v>
          </cell>
        </row>
        <row r="203">
          <cell r="A203">
            <v>339</v>
          </cell>
          <cell r="D203">
            <v>62038</v>
          </cell>
        </row>
        <row r="204">
          <cell r="A204">
            <v>340</v>
          </cell>
          <cell r="D204">
            <v>62041</v>
          </cell>
        </row>
        <row r="205">
          <cell r="A205">
            <v>341</v>
          </cell>
          <cell r="D205">
            <v>62051</v>
          </cell>
        </row>
        <row r="206">
          <cell r="A206">
            <v>342</v>
          </cell>
          <cell r="D206">
            <v>62061</v>
          </cell>
        </row>
        <row r="207">
          <cell r="A207">
            <v>343</v>
          </cell>
          <cell r="D207">
            <v>62068</v>
          </cell>
        </row>
        <row r="208">
          <cell r="A208">
            <v>344</v>
          </cell>
          <cell r="D208">
            <v>62981</v>
          </cell>
        </row>
        <row r="209">
          <cell r="A209">
            <v>345</v>
          </cell>
          <cell r="D209">
            <v>63011</v>
          </cell>
        </row>
        <row r="210">
          <cell r="A210">
            <v>346</v>
          </cell>
          <cell r="D210">
            <v>63021</v>
          </cell>
        </row>
        <row r="211">
          <cell r="A211">
            <v>347</v>
          </cell>
          <cell r="D211">
            <v>63022</v>
          </cell>
        </row>
        <row r="212">
          <cell r="A212">
            <v>348</v>
          </cell>
          <cell r="D212">
            <v>63023</v>
          </cell>
        </row>
        <row r="213">
          <cell r="A213">
            <v>349</v>
          </cell>
          <cell r="D213">
            <v>63028</v>
          </cell>
        </row>
        <row r="214">
          <cell r="A214">
            <v>350</v>
          </cell>
          <cell r="D214">
            <v>63031</v>
          </cell>
        </row>
        <row r="215">
          <cell r="A215">
            <v>351</v>
          </cell>
          <cell r="D215">
            <v>63032</v>
          </cell>
        </row>
        <row r="216">
          <cell r="A216">
            <v>352</v>
          </cell>
          <cell r="D216">
            <v>63038</v>
          </cell>
        </row>
        <row r="217">
          <cell r="A217">
            <v>353</v>
          </cell>
          <cell r="D217">
            <v>63041</v>
          </cell>
        </row>
        <row r="218">
          <cell r="A218">
            <v>354</v>
          </cell>
          <cell r="D218">
            <v>63051</v>
          </cell>
        </row>
        <row r="219">
          <cell r="A219">
            <v>355</v>
          </cell>
          <cell r="D219">
            <v>63052</v>
          </cell>
        </row>
        <row r="220">
          <cell r="A220">
            <v>356</v>
          </cell>
          <cell r="D220">
            <v>63058</v>
          </cell>
        </row>
        <row r="221">
          <cell r="A221">
            <v>357</v>
          </cell>
          <cell r="D221">
            <v>63061</v>
          </cell>
        </row>
        <row r="222">
          <cell r="A222">
            <v>358</v>
          </cell>
          <cell r="D222">
            <v>63062</v>
          </cell>
        </row>
        <row r="223">
          <cell r="A223">
            <v>359</v>
          </cell>
          <cell r="D223">
            <v>63063</v>
          </cell>
        </row>
        <row r="224">
          <cell r="A224">
            <v>360</v>
          </cell>
          <cell r="D224">
            <v>63068</v>
          </cell>
        </row>
        <row r="225">
          <cell r="A225">
            <v>361</v>
          </cell>
          <cell r="D225">
            <v>63981</v>
          </cell>
        </row>
        <row r="226">
          <cell r="A226">
            <v>362</v>
          </cell>
          <cell r="D226">
            <v>64011</v>
          </cell>
        </row>
        <row r="227">
          <cell r="A227">
            <v>363</v>
          </cell>
          <cell r="D227">
            <v>64012</v>
          </cell>
        </row>
        <row r="228">
          <cell r="A228">
            <v>364</v>
          </cell>
          <cell r="D228">
            <v>64013</v>
          </cell>
        </row>
        <row r="229">
          <cell r="A229">
            <v>365</v>
          </cell>
          <cell r="D229">
            <v>64014</v>
          </cell>
        </row>
        <row r="230">
          <cell r="A230">
            <v>366</v>
          </cell>
          <cell r="D230">
            <v>64015</v>
          </cell>
        </row>
        <row r="231">
          <cell r="A231">
            <v>367</v>
          </cell>
          <cell r="D231">
            <v>64016</v>
          </cell>
        </row>
        <row r="232">
          <cell r="A232">
            <v>368</v>
          </cell>
          <cell r="D232">
            <v>64017</v>
          </cell>
        </row>
        <row r="233">
          <cell r="A233">
            <v>369</v>
          </cell>
          <cell r="D233">
            <v>64018</v>
          </cell>
        </row>
        <row r="234">
          <cell r="A234">
            <v>370</v>
          </cell>
          <cell r="D234">
            <v>64021</v>
          </cell>
        </row>
        <row r="235">
          <cell r="A235">
            <v>371</v>
          </cell>
          <cell r="D235">
            <v>64022</v>
          </cell>
        </row>
        <row r="236">
          <cell r="A236">
            <v>372</v>
          </cell>
          <cell r="D236">
            <v>64023</v>
          </cell>
        </row>
        <row r="237">
          <cell r="A237">
            <v>373</v>
          </cell>
          <cell r="D237">
            <v>64024</v>
          </cell>
        </row>
        <row r="238">
          <cell r="A238">
            <v>374</v>
          </cell>
          <cell r="D238">
            <v>64025</v>
          </cell>
        </row>
        <row r="239">
          <cell r="A239">
            <v>375</v>
          </cell>
          <cell r="D239">
            <v>64026</v>
          </cell>
        </row>
        <row r="240">
          <cell r="A240">
            <v>376</v>
          </cell>
          <cell r="D240">
            <v>64027</v>
          </cell>
        </row>
        <row r="241">
          <cell r="A241">
            <v>377</v>
          </cell>
          <cell r="D241">
            <v>64028</v>
          </cell>
        </row>
        <row r="242">
          <cell r="A242">
            <v>378</v>
          </cell>
          <cell r="D242">
            <v>64033</v>
          </cell>
        </row>
        <row r="243">
          <cell r="A243">
            <v>379</v>
          </cell>
          <cell r="D243">
            <v>64034</v>
          </cell>
        </row>
        <row r="244">
          <cell r="A244">
            <v>380</v>
          </cell>
          <cell r="D244">
            <v>64035</v>
          </cell>
        </row>
        <row r="245">
          <cell r="A245">
            <v>381</v>
          </cell>
          <cell r="D245">
            <v>64037</v>
          </cell>
        </row>
        <row r="246">
          <cell r="A246">
            <v>382</v>
          </cell>
          <cell r="D246">
            <v>64038</v>
          </cell>
        </row>
        <row r="247">
          <cell r="A247">
            <v>383</v>
          </cell>
          <cell r="D247">
            <v>64041</v>
          </cell>
        </row>
        <row r="248">
          <cell r="A248">
            <v>384</v>
          </cell>
          <cell r="D248">
            <v>64042</v>
          </cell>
        </row>
        <row r="249">
          <cell r="A249">
            <v>385</v>
          </cell>
          <cell r="D249">
            <v>64048</v>
          </cell>
        </row>
        <row r="250">
          <cell r="A250">
            <v>386</v>
          </cell>
          <cell r="D250">
            <v>64051</v>
          </cell>
        </row>
        <row r="251">
          <cell r="A251">
            <v>387</v>
          </cell>
          <cell r="D251">
            <v>64052</v>
          </cell>
        </row>
        <row r="252">
          <cell r="A252">
            <v>388</v>
          </cell>
          <cell r="D252">
            <v>64053</v>
          </cell>
        </row>
        <row r="253">
          <cell r="A253">
            <v>389</v>
          </cell>
          <cell r="D253">
            <v>64054</v>
          </cell>
        </row>
        <row r="254">
          <cell r="A254">
            <v>390</v>
          </cell>
          <cell r="D254">
            <v>64055</v>
          </cell>
        </row>
        <row r="255">
          <cell r="A255">
            <v>391</v>
          </cell>
          <cell r="D255">
            <v>64056</v>
          </cell>
        </row>
        <row r="256">
          <cell r="A256">
            <v>392</v>
          </cell>
          <cell r="D256">
            <v>64058</v>
          </cell>
        </row>
        <row r="257">
          <cell r="A257">
            <v>393</v>
          </cell>
          <cell r="D257">
            <v>64061</v>
          </cell>
        </row>
        <row r="258">
          <cell r="A258">
            <v>394</v>
          </cell>
          <cell r="D258">
            <v>64063</v>
          </cell>
        </row>
        <row r="259">
          <cell r="A259">
            <v>395</v>
          </cell>
          <cell r="D259">
            <v>64064</v>
          </cell>
        </row>
        <row r="260">
          <cell r="A260">
            <v>396</v>
          </cell>
          <cell r="D260">
            <v>64068</v>
          </cell>
        </row>
        <row r="261">
          <cell r="A261">
            <v>397</v>
          </cell>
          <cell r="D261">
            <v>64071</v>
          </cell>
        </row>
        <row r="262">
          <cell r="A262">
            <v>398</v>
          </cell>
          <cell r="D262">
            <v>64072</v>
          </cell>
        </row>
        <row r="263">
          <cell r="A263">
            <v>399</v>
          </cell>
          <cell r="D263">
            <v>64073</v>
          </cell>
        </row>
        <row r="264">
          <cell r="A264">
            <v>400</v>
          </cell>
          <cell r="D264">
            <v>64074</v>
          </cell>
        </row>
        <row r="265">
          <cell r="A265">
            <v>401</v>
          </cell>
          <cell r="D265">
            <v>64075</v>
          </cell>
        </row>
        <row r="266">
          <cell r="A266">
            <v>402</v>
          </cell>
          <cell r="D266">
            <v>64076</v>
          </cell>
        </row>
        <row r="267">
          <cell r="A267">
            <v>403</v>
          </cell>
          <cell r="D267">
            <v>64077</v>
          </cell>
        </row>
        <row r="268">
          <cell r="A268">
            <v>404</v>
          </cell>
          <cell r="D268">
            <v>64078</v>
          </cell>
        </row>
        <row r="269">
          <cell r="A269">
            <v>405</v>
          </cell>
          <cell r="D269">
            <v>64981</v>
          </cell>
        </row>
        <row r="270">
          <cell r="A270">
            <v>406</v>
          </cell>
          <cell r="D270">
            <v>65011</v>
          </cell>
        </row>
        <row r="271">
          <cell r="A271">
            <v>407</v>
          </cell>
          <cell r="D271">
            <v>65012</v>
          </cell>
        </row>
        <row r="272">
          <cell r="A272">
            <v>408</v>
          </cell>
          <cell r="D272">
            <v>65013</v>
          </cell>
        </row>
        <row r="273">
          <cell r="A273">
            <v>409</v>
          </cell>
          <cell r="D273">
            <v>65014</v>
          </cell>
        </row>
        <row r="274">
          <cell r="A274">
            <v>410</v>
          </cell>
          <cell r="D274">
            <v>65018</v>
          </cell>
        </row>
        <row r="275">
          <cell r="A275">
            <v>411</v>
          </cell>
          <cell r="D275">
            <v>65021</v>
          </cell>
        </row>
        <row r="276">
          <cell r="A276">
            <v>412</v>
          </cell>
          <cell r="D276">
            <v>65022</v>
          </cell>
        </row>
        <row r="277">
          <cell r="A277">
            <v>413</v>
          </cell>
          <cell r="D277">
            <v>65023</v>
          </cell>
        </row>
        <row r="278">
          <cell r="A278">
            <v>414</v>
          </cell>
          <cell r="D278">
            <v>65024</v>
          </cell>
        </row>
        <row r="279">
          <cell r="A279">
            <v>415</v>
          </cell>
          <cell r="D279">
            <v>65025</v>
          </cell>
        </row>
        <row r="280">
          <cell r="A280">
            <v>416</v>
          </cell>
          <cell r="D280">
            <v>65026</v>
          </cell>
        </row>
        <row r="281">
          <cell r="A281">
            <v>417</v>
          </cell>
          <cell r="D281">
            <v>65027</v>
          </cell>
        </row>
        <row r="282">
          <cell r="A282">
            <v>418</v>
          </cell>
          <cell r="D282">
            <v>65028</v>
          </cell>
        </row>
        <row r="283">
          <cell r="A283">
            <v>419</v>
          </cell>
          <cell r="D283">
            <v>65031</v>
          </cell>
        </row>
        <row r="284">
          <cell r="A284">
            <v>420</v>
          </cell>
          <cell r="D284">
            <v>65032</v>
          </cell>
        </row>
        <row r="285">
          <cell r="A285">
            <v>421</v>
          </cell>
          <cell r="D285">
            <v>65041</v>
          </cell>
        </row>
        <row r="286">
          <cell r="A286">
            <v>422</v>
          </cell>
          <cell r="D286">
            <v>65042</v>
          </cell>
        </row>
        <row r="287">
          <cell r="A287">
            <v>423</v>
          </cell>
          <cell r="D287">
            <v>65043</v>
          </cell>
        </row>
        <row r="288">
          <cell r="A288">
            <v>424</v>
          </cell>
          <cell r="D288">
            <v>65044</v>
          </cell>
        </row>
        <row r="289">
          <cell r="A289">
            <v>425</v>
          </cell>
          <cell r="D289">
            <v>65045</v>
          </cell>
        </row>
        <row r="290">
          <cell r="A290">
            <v>426</v>
          </cell>
          <cell r="D290">
            <v>65051</v>
          </cell>
        </row>
        <row r="291">
          <cell r="A291">
            <v>427</v>
          </cell>
          <cell r="D291">
            <v>65052</v>
          </cell>
        </row>
        <row r="292">
          <cell r="A292">
            <v>428</v>
          </cell>
          <cell r="D292">
            <v>65061</v>
          </cell>
        </row>
        <row r="293">
          <cell r="A293">
            <v>429</v>
          </cell>
          <cell r="D293">
            <v>65062</v>
          </cell>
        </row>
        <row r="294">
          <cell r="A294">
            <v>430</v>
          </cell>
          <cell r="D294">
            <v>65063</v>
          </cell>
        </row>
        <row r="295">
          <cell r="A295">
            <v>431</v>
          </cell>
          <cell r="D295">
            <v>65064</v>
          </cell>
        </row>
        <row r="296">
          <cell r="A296">
            <v>432</v>
          </cell>
          <cell r="D296">
            <v>65065</v>
          </cell>
        </row>
        <row r="297">
          <cell r="A297">
            <v>433</v>
          </cell>
          <cell r="D297">
            <v>65068</v>
          </cell>
        </row>
        <row r="298">
          <cell r="A298">
            <v>434</v>
          </cell>
          <cell r="D298">
            <v>65071</v>
          </cell>
        </row>
        <row r="299">
          <cell r="A299">
            <v>435</v>
          </cell>
          <cell r="D299">
            <v>65072</v>
          </cell>
        </row>
        <row r="300">
          <cell r="A300">
            <v>436</v>
          </cell>
          <cell r="D300">
            <v>65081</v>
          </cell>
        </row>
        <row r="301">
          <cell r="A301">
            <v>437</v>
          </cell>
          <cell r="D301">
            <v>65082</v>
          </cell>
        </row>
        <row r="302">
          <cell r="A302">
            <v>438</v>
          </cell>
          <cell r="D302">
            <v>65981</v>
          </cell>
        </row>
        <row r="303">
          <cell r="A303">
            <v>439</v>
          </cell>
          <cell r="D303">
            <v>66011</v>
          </cell>
        </row>
        <row r="304">
          <cell r="A304">
            <v>440</v>
          </cell>
          <cell r="D304">
            <v>66012</v>
          </cell>
        </row>
        <row r="305">
          <cell r="A305">
            <v>441</v>
          </cell>
          <cell r="D305">
            <v>66013</v>
          </cell>
        </row>
        <row r="306">
          <cell r="A306">
            <v>442</v>
          </cell>
          <cell r="D306">
            <v>66014</v>
          </cell>
        </row>
        <row r="307">
          <cell r="A307">
            <v>443</v>
          </cell>
          <cell r="D307">
            <v>66018</v>
          </cell>
        </row>
        <row r="308">
          <cell r="A308">
            <v>444</v>
          </cell>
          <cell r="D308">
            <v>66021</v>
          </cell>
        </row>
        <row r="309">
          <cell r="A309">
            <v>445</v>
          </cell>
          <cell r="D309">
            <v>66022</v>
          </cell>
        </row>
        <row r="310">
          <cell r="A310">
            <v>446</v>
          </cell>
          <cell r="D310">
            <v>66981</v>
          </cell>
        </row>
        <row r="311">
          <cell r="A311">
            <v>447</v>
          </cell>
          <cell r="D311">
            <v>66988</v>
          </cell>
        </row>
        <row r="312">
          <cell r="A312">
            <v>448</v>
          </cell>
          <cell r="D312">
            <v>67011</v>
          </cell>
        </row>
        <row r="313">
          <cell r="A313">
            <v>449</v>
          </cell>
          <cell r="D313">
            <v>67051</v>
          </cell>
        </row>
        <row r="314">
          <cell r="A314">
            <v>450</v>
          </cell>
          <cell r="D314">
            <v>68011</v>
          </cell>
        </row>
        <row r="315">
          <cell r="A315">
            <v>451</v>
          </cell>
          <cell r="D315">
            <v>68012</v>
          </cell>
        </row>
        <row r="316">
          <cell r="A316">
            <v>452</v>
          </cell>
          <cell r="D316">
            <v>69011</v>
          </cell>
        </row>
        <row r="317">
          <cell r="A317">
            <v>453</v>
          </cell>
          <cell r="D317">
            <v>69021</v>
          </cell>
        </row>
        <row r="318">
          <cell r="A318">
            <v>454</v>
          </cell>
          <cell r="D318">
            <v>69081</v>
          </cell>
        </row>
        <row r="319">
          <cell r="A319">
            <v>455</v>
          </cell>
          <cell r="D319">
            <v>70091</v>
          </cell>
        </row>
        <row r="320">
          <cell r="A320">
            <v>456</v>
          </cell>
          <cell r="D320">
            <v>70098</v>
          </cell>
        </row>
        <row r="321">
          <cell r="A321">
            <v>457</v>
          </cell>
          <cell r="D321">
            <v>70011</v>
          </cell>
        </row>
        <row r="322">
          <cell r="A322">
            <v>458</v>
          </cell>
          <cell r="D322">
            <v>70012</v>
          </cell>
        </row>
        <row r="323">
          <cell r="A323">
            <v>459</v>
          </cell>
          <cell r="D323">
            <v>70013</v>
          </cell>
        </row>
        <row r="324">
          <cell r="A324">
            <v>460</v>
          </cell>
          <cell r="D324">
            <v>70014</v>
          </cell>
        </row>
        <row r="325">
          <cell r="A325">
            <v>461</v>
          </cell>
          <cell r="D325">
            <v>70015</v>
          </cell>
        </row>
        <row r="326">
          <cell r="A326">
            <v>462</v>
          </cell>
          <cell r="D326">
            <v>70022</v>
          </cell>
        </row>
        <row r="327">
          <cell r="A327">
            <v>463</v>
          </cell>
          <cell r="D327">
            <v>70031</v>
          </cell>
        </row>
        <row r="328">
          <cell r="A328">
            <v>464</v>
          </cell>
          <cell r="D328">
            <v>70034</v>
          </cell>
        </row>
        <row r="329">
          <cell r="A329">
            <v>465</v>
          </cell>
          <cell r="D329">
            <v>70081</v>
          </cell>
        </row>
        <row r="330">
          <cell r="A330">
            <v>466</v>
          </cell>
          <cell r="D330">
            <v>70082</v>
          </cell>
        </row>
        <row r="331">
          <cell r="A331">
            <v>467</v>
          </cell>
          <cell r="D331">
            <v>73012</v>
          </cell>
        </row>
        <row r="332">
          <cell r="A332">
            <v>468</v>
          </cell>
          <cell r="D332">
            <v>73023</v>
          </cell>
        </row>
        <row r="333">
          <cell r="A333">
            <v>469</v>
          </cell>
          <cell r="D333">
            <v>73047</v>
          </cell>
        </row>
        <row r="334">
          <cell r="A334">
            <v>470</v>
          </cell>
          <cell r="D334">
            <v>73084</v>
          </cell>
        </row>
        <row r="335">
          <cell r="A335">
            <v>471</v>
          </cell>
          <cell r="D335">
            <v>70021</v>
          </cell>
        </row>
        <row r="336">
          <cell r="A336">
            <v>472</v>
          </cell>
          <cell r="D336">
            <v>73048</v>
          </cell>
        </row>
        <row r="337">
          <cell r="A337">
            <v>473</v>
          </cell>
          <cell r="D337">
            <v>73066</v>
          </cell>
        </row>
        <row r="338">
          <cell r="A338">
            <v>474</v>
          </cell>
          <cell r="D338">
            <v>73061</v>
          </cell>
        </row>
        <row r="339">
          <cell r="A339">
            <v>475</v>
          </cell>
          <cell r="D339">
            <v>73062</v>
          </cell>
        </row>
        <row r="340">
          <cell r="A340">
            <v>476</v>
          </cell>
          <cell r="D340">
            <v>73001</v>
          </cell>
        </row>
        <row r="341">
          <cell r="A341">
            <v>477</v>
          </cell>
          <cell r="D341">
            <v>76011</v>
          </cell>
        </row>
        <row r="342">
          <cell r="A342">
            <v>478</v>
          </cell>
          <cell r="D342">
            <v>75141</v>
          </cell>
        </row>
        <row r="343">
          <cell r="A343">
            <v>479</v>
          </cell>
          <cell r="D343">
            <v>75142</v>
          </cell>
        </row>
        <row r="344">
          <cell r="A344">
            <v>480</v>
          </cell>
          <cell r="D344">
            <v>73071</v>
          </cell>
        </row>
        <row r="345">
          <cell r="A345">
            <v>481</v>
          </cell>
          <cell r="D345">
            <v>73072</v>
          </cell>
        </row>
        <row r="346">
          <cell r="A346">
            <v>482</v>
          </cell>
          <cell r="D346">
            <v>70025</v>
          </cell>
        </row>
        <row r="347">
          <cell r="A347">
            <v>483</v>
          </cell>
          <cell r="D347">
            <v>70026</v>
          </cell>
        </row>
        <row r="348">
          <cell r="A348">
            <v>484</v>
          </cell>
          <cell r="D348">
            <v>70027</v>
          </cell>
        </row>
        <row r="349">
          <cell r="A349">
            <v>485</v>
          </cell>
          <cell r="D349">
            <v>70032</v>
          </cell>
        </row>
        <row r="350">
          <cell r="A350">
            <v>486</v>
          </cell>
          <cell r="D350">
            <v>70033</v>
          </cell>
        </row>
        <row r="351">
          <cell r="A351">
            <v>487</v>
          </cell>
          <cell r="D351">
            <v>71001</v>
          </cell>
        </row>
        <row r="352">
          <cell r="A352">
            <v>488</v>
          </cell>
          <cell r="D352">
            <v>71002</v>
          </cell>
        </row>
        <row r="353">
          <cell r="A353">
            <v>489</v>
          </cell>
          <cell r="D353">
            <v>71003</v>
          </cell>
        </row>
        <row r="354">
          <cell r="A354">
            <v>490</v>
          </cell>
          <cell r="D354">
            <v>71004</v>
          </cell>
        </row>
        <row r="355">
          <cell r="A355">
            <v>491</v>
          </cell>
          <cell r="D355">
            <v>71005</v>
          </cell>
        </row>
        <row r="356">
          <cell r="A356">
            <v>492</v>
          </cell>
          <cell r="D356">
            <v>71006</v>
          </cell>
        </row>
        <row r="357">
          <cell r="A357">
            <v>493</v>
          </cell>
          <cell r="D357">
            <v>71007</v>
          </cell>
        </row>
        <row r="358">
          <cell r="A358">
            <v>494</v>
          </cell>
          <cell r="D358">
            <v>71011</v>
          </cell>
        </row>
        <row r="359">
          <cell r="A359">
            <v>495</v>
          </cell>
          <cell r="D359">
            <v>71012</v>
          </cell>
        </row>
        <row r="360">
          <cell r="A360">
            <v>496</v>
          </cell>
          <cell r="D360">
            <v>71014</v>
          </cell>
        </row>
        <row r="361">
          <cell r="A361">
            <v>497</v>
          </cell>
          <cell r="D361">
            <v>71016</v>
          </cell>
        </row>
        <row r="362">
          <cell r="A362">
            <v>498</v>
          </cell>
          <cell r="D362">
            <v>73024</v>
          </cell>
        </row>
        <row r="363">
          <cell r="A363">
            <v>499</v>
          </cell>
          <cell r="D363">
            <v>73028</v>
          </cell>
        </row>
        <row r="364">
          <cell r="A364">
            <v>500</v>
          </cell>
          <cell r="D364">
            <v>73087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Min."/>
      <sheetName val="By Pro."/>
      <sheetName val="&lt;&lt;"/>
      <sheetName val="01.BMC"/>
      <sheetName val="02.BTB"/>
      <sheetName val="03.KPC"/>
      <sheetName val="04.KCH"/>
      <sheetName val="05.KPS"/>
      <sheetName val="06.KPT"/>
      <sheetName val="07.KP"/>
      <sheetName val="08.KD"/>
      <sheetName val="09.KK"/>
      <sheetName val="10.KRT"/>
      <sheetName val="11.MDK"/>
      <sheetName val="12.PP"/>
      <sheetName val="13.PHV"/>
      <sheetName val="14.PV"/>
      <sheetName val="15.PS"/>
      <sheetName val="16.RTK"/>
      <sheetName val="17.SR"/>
      <sheetName val="18.SHV"/>
      <sheetName val="19.ST"/>
      <sheetName val="20.SVR"/>
      <sheetName val="21.TK"/>
      <sheetName val="22.ODM"/>
      <sheetName val="23.KEP"/>
      <sheetName val="24.PL"/>
      <sheetName val="25.TBK"/>
      <sheetName val="&gt;&gt;"/>
    </sheetNames>
    <sheetDataSet>
      <sheetData sheetId="0"/>
      <sheetData sheetId="1"/>
      <sheetData sheetId="2"/>
      <sheetData sheetId="3">
        <row r="13">
          <cell r="E13">
            <v>5000</v>
          </cell>
          <cell r="K13">
            <v>1500</v>
          </cell>
          <cell r="S13">
            <v>1500</v>
          </cell>
          <cell r="AA13">
            <v>1000</v>
          </cell>
          <cell r="AH13">
            <v>1000</v>
          </cell>
        </row>
      </sheetData>
      <sheetData sheetId="4">
        <row r="13">
          <cell r="K13">
            <v>3000</v>
          </cell>
          <cell r="S13">
            <v>2000</v>
          </cell>
          <cell r="AA13">
            <v>1000</v>
          </cell>
          <cell r="AI13">
            <v>1000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D881-FBDA-4461-AE95-5E1F281DC242}">
  <dimension ref="A1:AT77"/>
  <sheetViews>
    <sheetView tabSelected="1" workbookViewId="0">
      <selection sqref="A1:XFD1"/>
    </sheetView>
  </sheetViews>
  <sheetFormatPr defaultRowHeight="14.75" x14ac:dyDescent="0.75"/>
  <cols>
    <col min="2" max="2" width="16.2265625" customWidth="1"/>
    <col min="3" max="3" width="13.7265625" customWidth="1"/>
    <col min="8" max="8" width="18.36328125" customWidth="1"/>
    <col min="9" max="9" width="61.26953125" customWidth="1"/>
    <col min="10" max="10" width="14.953125" customWidth="1"/>
  </cols>
  <sheetData>
    <row r="1" spans="1:46" x14ac:dyDescent="0.75">
      <c r="A1" t="s">
        <v>138</v>
      </c>
      <c r="B1" t="s">
        <v>187</v>
      </c>
      <c r="C1" t="s">
        <v>139</v>
      </c>
      <c r="D1" t="s">
        <v>140</v>
      </c>
      <c r="E1" t="s">
        <v>141</v>
      </c>
      <c r="F1" t="s">
        <v>142</v>
      </c>
      <c r="H1" t="s">
        <v>188</v>
      </c>
      <c r="I1" t="s">
        <v>189</v>
      </c>
      <c r="J1" t="s">
        <v>190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170</v>
      </c>
      <c r="AF1" t="s">
        <v>169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  <c r="AL1" t="s">
        <v>176</v>
      </c>
      <c r="AM1" t="s">
        <v>177</v>
      </c>
      <c r="AN1" t="s">
        <v>178</v>
      </c>
      <c r="AO1" t="s">
        <v>179</v>
      </c>
      <c r="AP1" t="s">
        <v>180</v>
      </c>
      <c r="AQ1" t="s">
        <v>181</v>
      </c>
      <c r="AR1" t="s">
        <v>182</v>
      </c>
      <c r="AS1" t="s">
        <v>183</v>
      </c>
      <c r="AT1" t="s">
        <v>184</v>
      </c>
    </row>
    <row r="2" spans="1:46" x14ac:dyDescent="0.75">
      <c r="A2">
        <v>1</v>
      </c>
      <c r="B2">
        <v>0</v>
      </c>
      <c r="C2">
        <v>6</v>
      </c>
      <c r="J2" t="s">
        <v>143</v>
      </c>
      <c r="K2">
        <v>0</v>
      </c>
      <c r="L2">
        <v>0</v>
      </c>
      <c r="M2" t="s">
        <v>185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6" x14ac:dyDescent="0.75">
      <c r="A3">
        <v>2</v>
      </c>
      <c r="B3">
        <v>1</v>
      </c>
      <c r="C3" t="s">
        <v>186</v>
      </c>
      <c r="D3">
        <v>18</v>
      </c>
      <c r="E3">
        <v>91</v>
      </c>
      <c r="F3">
        <v>482</v>
      </c>
      <c r="G3">
        <v>70</v>
      </c>
      <c r="H3">
        <v>7002</v>
      </c>
      <c r="I3">
        <v>70025</v>
      </c>
      <c r="J3" t="s">
        <v>48</v>
      </c>
      <c r="M3" t="s">
        <v>185</v>
      </c>
      <c r="N3">
        <v>0</v>
      </c>
      <c r="R3">
        <v>0</v>
      </c>
      <c r="V3">
        <v>0</v>
      </c>
      <c r="Z3">
        <v>0</v>
      </c>
      <c r="AD3">
        <v>0</v>
      </c>
      <c r="AH3">
        <v>0</v>
      </c>
      <c r="AL3">
        <v>0</v>
      </c>
      <c r="AP3">
        <v>0</v>
      </c>
    </row>
    <row r="4" spans="1:46" x14ac:dyDescent="0.75">
      <c r="A4">
        <v>3</v>
      </c>
      <c r="B4">
        <v>1</v>
      </c>
      <c r="C4" t="s">
        <v>186</v>
      </c>
      <c r="D4">
        <v>18</v>
      </c>
      <c r="E4">
        <v>91</v>
      </c>
      <c r="F4">
        <v>483</v>
      </c>
      <c r="G4">
        <v>70</v>
      </c>
      <c r="H4">
        <v>7002</v>
      </c>
      <c r="I4">
        <v>70026</v>
      </c>
      <c r="J4" t="s">
        <v>49</v>
      </c>
      <c r="M4" t="s">
        <v>185</v>
      </c>
      <c r="N4">
        <v>0</v>
      </c>
      <c r="R4">
        <v>0</v>
      </c>
      <c r="V4">
        <v>0</v>
      </c>
      <c r="Z4">
        <v>0</v>
      </c>
      <c r="AD4">
        <v>0</v>
      </c>
      <c r="AH4">
        <v>0</v>
      </c>
      <c r="AL4">
        <v>0</v>
      </c>
      <c r="AP4">
        <v>0</v>
      </c>
    </row>
    <row r="5" spans="1:46" x14ac:dyDescent="0.75">
      <c r="A5">
        <v>4</v>
      </c>
      <c r="B5">
        <v>1</v>
      </c>
      <c r="C5" t="s">
        <v>186</v>
      </c>
      <c r="D5">
        <v>18</v>
      </c>
      <c r="E5">
        <v>91</v>
      </c>
      <c r="F5">
        <v>484</v>
      </c>
      <c r="G5">
        <v>70</v>
      </c>
      <c r="H5">
        <v>7002</v>
      </c>
      <c r="I5">
        <v>70027</v>
      </c>
      <c r="J5" t="s">
        <v>50</v>
      </c>
      <c r="M5" t="s">
        <v>185</v>
      </c>
      <c r="N5">
        <v>0</v>
      </c>
      <c r="R5">
        <v>0</v>
      </c>
      <c r="V5">
        <v>0</v>
      </c>
      <c r="Z5">
        <v>0</v>
      </c>
      <c r="AD5">
        <v>0</v>
      </c>
      <c r="AH5">
        <v>0</v>
      </c>
      <c r="AL5">
        <v>0</v>
      </c>
      <c r="AP5">
        <v>0</v>
      </c>
    </row>
    <row r="6" spans="1:46" x14ac:dyDescent="0.75">
      <c r="A6">
        <v>5</v>
      </c>
      <c r="B6">
        <v>1</v>
      </c>
      <c r="C6" t="s">
        <v>186</v>
      </c>
      <c r="D6">
        <v>18</v>
      </c>
      <c r="E6">
        <v>92</v>
      </c>
      <c r="F6">
        <v>485</v>
      </c>
      <c r="G6">
        <v>70</v>
      </c>
      <c r="H6">
        <v>7003</v>
      </c>
      <c r="I6">
        <v>70032</v>
      </c>
      <c r="J6" t="s">
        <v>51</v>
      </c>
      <c r="M6" t="s">
        <v>185</v>
      </c>
      <c r="N6">
        <v>0</v>
      </c>
      <c r="R6">
        <v>0</v>
      </c>
      <c r="V6">
        <v>0</v>
      </c>
      <c r="Z6">
        <v>0</v>
      </c>
      <c r="AD6">
        <v>0</v>
      </c>
      <c r="AH6">
        <v>0</v>
      </c>
      <c r="AL6">
        <v>0</v>
      </c>
      <c r="AP6">
        <v>0</v>
      </c>
    </row>
    <row r="7" spans="1:46" x14ac:dyDescent="0.75">
      <c r="A7">
        <v>6</v>
      </c>
      <c r="B7">
        <v>1</v>
      </c>
      <c r="C7" t="s">
        <v>186</v>
      </c>
      <c r="D7">
        <v>18</v>
      </c>
      <c r="E7">
        <v>92</v>
      </c>
      <c r="F7">
        <v>486</v>
      </c>
      <c r="G7">
        <v>70</v>
      </c>
      <c r="H7">
        <v>7003</v>
      </c>
      <c r="I7">
        <v>70033</v>
      </c>
      <c r="J7" t="s">
        <v>52</v>
      </c>
      <c r="M7" t="s">
        <v>185</v>
      </c>
      <c r="N7">
        <v>0</v>
      </c>
      <c r="R7">
        <v>0</v>
      </c>
      <c r="V7">
        <v>0</v>
      </c>
      <c r="Z7">
        <v>0</v>
      </c>
      <c r="AD7">
        <v>0</v>
      </c>
      <c r="AH7">
        <v>0</v>
      </c>
      <c r="AL7">
        <v>0</v>
      </c>
      <c r="AP7">
        <v>0</v>
      </c>
    </row>
    <row r="8" spans="1:46" x14ac:dyDescent="0.75">
      <c r="A8">
        <v>7</v>
      </c>
      <c r="B8">
        <v>1</v>
      </c>
      <c r="C8" t="s">
        <v>186</v>
      </c>
      <c r="D8">
        <v>19</v>
      </c>
      <c r="E8">
        <v>98</v>
      </c>
      <c r="F8">
        <v>487</v>
      </c>
      <c r="G8">
        <v>71</v>
      </c>
      <c r="H8">
        <v>7100</v>
      </c>
      <c r="I8">
        <v>71001</v>
      </c>
      <c r="J8" t="s">
        <v>53</v>
      </c>
      <c r="M8" t="s">
        <v>185</v>
      </c>
      <c r="N8">
        <v>0</v>
      </c>
      <c r="R8">
        <v>0</v>
      </c>
      <c r="V8">
        <v>0</v>
      </c>
      <c r="Z8">
        <v>0</v>
      </c>
      <c r="AD8">
        <v>0</v>
      </c>
      <c r="AH8">
        <v>0</v>
      </c>
      <c r="AL8">
        <v>0</v>
      </c>
      <c r="AP8">
        <v>0</v>
      </c>
    </row>
    <row r="9" spans="1:46" x14ac:dyDescent="0.75">
      <c r="A9">
        <v>8</v>
      </c>
      <c r="B9">
        <v>1</v>
      </c>
      <c r="C9" t="s">
        <v>186</v>
      </c>
      <c r="D9">
        <v>19</v>
      </c>
      <c r="E9">
        <v>98</v>
      </c>
      <c r="F9">
        <v>488</v>
      </c>
      <c r="G9">
        <v>71</v>
      </c>
      <c r="H9">
        <v>7100</v>
      </c>
      <c r="I9">
        <v>71002</v>
      </c>
      <c r="J9" t="s">
        <v>54</v>
      </c>
      <c r="M9" t="s">
        <v>185</v>
      </c>
      <c r="N9">
        <v>0</v>
      </c>
      <c r="R9">
        <v>0</v>
      </c>
      <c r="V9">
        <v>0</v>
      </c>
      <c r="Z9">
        <v>0</v>
      </c>
      <c r="AD9">
        <v>0</v>
      </c>
      <c r="AH9">
        <v>0</v>
      </c>
      <c r="AL9">
        <v>0</v>
      </c>
      <c r="AP9">
        <v>0</v>
      </c>
    </row>
    <row r="10" spans="1:46" x14ac:dyDescent="0.75">
      <c r="A10">
        <v>9</v>
      </c>
      <c r="B10">
        <v>1</v>
      </c>
      <c r="C10" t="s">
        <v>186</v>
      </c>
      <c r="D10">
        <v>19</v>
      </c>
      <c r="E10">
        <v>98</v>
      </c>
      <c r="F10">
        <v>489</v>
      </c>
      <c r="G10">
        <v>71</v>
      </c>
      <c r="H10">
        <v>7100</v>
      </c>
      <c r="I10">
        <v>71003</v>
      </c>
      <c r="J10" t="s">
        <v>55</v>
      </c>
      <c r="M10" t="s">
        <v>185</v>
      </c>
      <c r="N10">
        <v>0</v>
      </c>
      <c r="R10">
        <v>0</v>
      </c>
      <c r="V10">
        <v>0</v>
      </c>
      <c r="Z10">
        <v>0</v>
      </c>
      <c r="AD10">
        <v>0</v>
      </c>
      <c r="AH10">
        <v>0</v>
      </c>
      <c r="AL10">
        <v>0</v>
      </c>
      <c r="AP10">
        <v>0</v>
      </c>
    </row>
    <row r="11" spans="1:46" x14ac:dyDescent="0.75">
      <c r="A11">
        <v>10</v>
      </c>
      <c r="B11">
        <v>1</v>
      </c>
      <c r="C11" t="s">
        <v>186</v>
      </c>
      <c r="D11">
        <v>19</v>
      </c>
      <c r="E11">
        <v>98</v>
      </c>
      <c r="F11">
        <v>490</v>
      </c>
      <c r="G11">
        <v>71</v>
      </c>
      <c r="H11">
        <v>7100</v>
      </c>
      <c r="I11">
        <v>71004</v>
      </c>
      <c r="J11" t="s">
        <v>56</v>
      </c>
      <c r="M11" t="s">
        <v>185</v>
      </c>
      <c r="N11">
        <v>0</v>
      </c>
      <c r="R11">
        <v>0</v>
      </c>
      <c r="V11">
        <v>0</v>
      </c>
      <c r="Z11">
        <v>0</v>
      </c>
      <c r="AD11">
        <v>0</v>
      </c>
      <c r="AH11">
        <v>0</v>
      </c>
      <c r="AL11">
        <v>0</v>
      </c>
      <c r="AP11">
        <v>0</v>
      </c>
    </row>
    <row r="12" spans="1:46" x14ac:dyDescent="0.75">
      <c r="A12">
        <v>11</v>
      </c>
      <c r="B12">
        <v>1</v>
      </c>
      <c r="C12" t="s">
        <v>186</v>
      </c>
      <c r="D12">
        <v>19</v>
      </c>
      <c r="E12">
        <v>98</v>
      </c>
      <c r="F12">
        <v>491</v>
      </c>
      <c r="G12">
        <v>71</v>
      </c>
      <c r="H12">
        <v>7100</v>
      </c>
      <c r="I12">
        <v>71005</v>
      </c>
      <c r="J12" t="s">
        <v>57</v>
      </c>
      <c r="M12" t="s">
        <v>185</v>
      </c>
      <c r="N12">
        <v>0</v>
      </c>
      <c r="R12">
        <v>0</v>
      </c>
      <c r="V12">
        <v>0</v>
      </c>
      <c r="Z12">
        <v>0</v>
      </c>
      <c r="AD12">
        <v>0</v>
      </c>
      <c r="AH12">
        <v>0</v>
      </c>
      <c r="AL12">
        <v>0</v>
      </c>
      <c r="AP12">
        <v>0</v>
      </c>
    </row>
    <row r="13" spans="1:46" x14ac:dyDescent="0.75">
      <c r="A13">
        <v>12</v>
      </c>
      <c r="B13">
        <v>1</v>
      </c>
      <c r="C13" t="s">
        <v>186</v>
      </c>
      <c r="D13">
        <v>19</v>
      </c>
      <c r="E13">
        <v>98</v>
      </c>
      <c r="F13">
        <v>492</v>
      </c>
      <c r="G13">
        <v>71</v>
      </c>
      <c r="H13">
        <v>7100</v>
      </c>
      <c r="I13">
        <v>71006</v>
      </c>
      <c r="J13" t="s">
        <v>58</v>
      </c>
      <c r="M13" t="s">
        <v>185</v>
      </c>
      <c r="N13">
        <v>0</v>
      </c>
      <c r="R13">
        <v>0</v>
      </c>
      <c r="V13">
        <v>0</v>
      </c>
      <c r="Z13">
        <v>0</v>
      </c>
      <c r="AD13">
        <v>0</v>
      </c>
      <c r="AH13">
        <v>0</v>
      </c>
      <c r="AL13">
        <v>0</v>
      </c>
      <c r="AP13">
        <v>0</v>
      </c>
    </row>
    <row r="14" spans="1:46" x14ac:dyDescent="0.75">
      <c r="A14">
        <v>13</v>
      </c>
      <c r="B14">
        <v>1</v>
      </c>
      <c r="C14" t="s">
        <v>186</v>
      </c>
      <c r="D14">
        <v>19</v>
      </c>
      <c r="E14">
        <v>98</v>
      </c>
      <c r="F14">
        <v>493</v>
      </c>
      <c r="G14">
        <v>71</v>
      </c>
      <c r="H14">
        <v>7100</v>
      </c>
      <c r="I14">
        <v>71007</v>
      </c>
      <c r="J14" t="s">
        <v>59</v>
      </c>
      <c r="M14" t="s">
        <v>185</v>
      </c>
      <c r="N14">
        <v>0</v>
      </c>
      <c r="R14">
        <v>0</v>
      </c>
      <c r="V14">
        <v>0</v>
      </c>
      <c r="Z14">
        <v>0</v>
      </c>
      <c r="AD14">
        <v>0</v>
      </c>
      <c r="AH14">
        <v>0</v>
      </c>
      <c r="AL14">
        <v>0</v>
      </c>
      <c r="AP14">
        <v>0</v>
      </c>
    </row>
    <row r="15" spans="1:46" x14ac:dyDescent="0.75">
      <c r="A15">
        <v>14</v>
      </c>
      <c r="B15">
        <v>1</v>
      </c>
      <c r="C15" t="s">
        <v>186</v>
      </c>
      <c r="D15">
        <v>19</v>
      </c>
      <c r="E15">
        <v>99</v>
      </c>
      <c r="F15">
        <v>494</v>
      </c>
      <c r="G15">
        <v>71</v>
      </c>
      <c r="H15">
        <v>7101</v>
      </c>
      <c r="I15">
        <v>71011</v>
      </c>
      <c r="J15" t="s">
        <v>60</v>
      </c>
      <c r="M15" t="s">
        <v>185</v>
      </c>
      <c r="N15">
        <v>0</v>
      </c>
      <c r="R15">
        <v>0</v>
      </c>
      <c r="V15">
        <v>0</v>
      </c>
      <c r="Z15">
        <v>0</v>
      </c>
      <c r="AD15">
        <v>0</v>
      </c>
      <c r="AH15">
        <v>0</v>
      </c>
      <c r="AL15">
        <v>0</v>
      </c>
      <c r="AP15">
        <v>0</v>
      </c>
    </row>
    <row r="16" spans="1:46" x14ac:dyDescent="0.75">
      <c r="A16">
        <v>15</v>
      </c>
      <c r="B16">
        <v>1</v>
      </c>
      <c r="C16" t="s">
        <v>186</v>
      </c>
      <c r="D16">
        <v>19</v>
      </c>
      <c r="E16">
        <v>99</v>
      </c>
      <c r="F16">
        <v>495</v>
      </c>
      <c r="G16">
        <v>71</v>
      </c>
      <c r="H16">
        <v>7101</v>
      </c>
      <c r="I16">
        <v>71012</v>
      </c>
      <c r="J16" t="s">
        <v>61</v>
      </c>
      <c r="M16" t="s">
        <v>185</v>
      </c>
      <c r="N16">
        <v>0</v>
      </c>
      <c r="R16">
        <v>0</v>
      </c>
      <c r="V16">
        <v>0</v>
      </c>
      <c r="Z16">
        <v>0</v>
      </c>
      <c r="AD16">
        <v>0</v>
      </c>
      <c r="AH16">
        <v>0</v>
      </c>
      <c r="AL16">
        <v>0</v>
      </c>
      <c r="AP16">
        <v>0</v>
      </c>
    </row>
    <row r="17" spans="1:45" x14ac:dyDescent="0.75">
      <c r="A17">
        <v>16</v>
      </c>
      <c r="B17">
        <v>1</v>
      </c>
      <c r="C17" t="s">
        <v>186</v>
      </c>
      <c r="D17">
        <v>19</v>
      </c>
      <c r="E17">
        <v>99</v>
      </c>
      <c r="F17">
        <v>496</v>
      </c>
      <c r="G17">
        <v>71</v>
      </c>
      <c r="H17">
        <v>7101</v>
      </c>
      <c r="I17">
        <v>71014</v>
      </c>
      <c r="J17" t="s">
        <v>62</v>
      </c>
      <c r="M17" t="s">
        <v>185</v>
      </c>
      <c r="N17">
        <v>0</v>
      </c>
      <c r="R17">
        <v>0</v>
      </c>
      <c r="V17">
        <v>0</v>
      </c>
      <c r="Z17">
        <v>0</v>
      </c>
      <c r="AD17">
        <v>0</v>
      </c>
      <c r="AH17">
        <v>0</v>
      </c>
      <c r="AL17">
        <v>0</v>
      </c>
      <c r="AP17">
        <v>0</v>
      </c>
    </row>
    <row r="18" spans="1:45" x14ac:dyDescent="0.75">
      <c r="A18">
        <v>17</v>
      </c>
      <c r="B18">
        <v>1</v>
      </c>
      <c r="C18" t="s">
        <v>186</v>
      </c>
      <c r="D18">
        <v>19</v>
      </c>
      <c r="E18">
        <v>99</v>
      </c>
      <c r="F18">
        <v>497</v>
      </c>
      <c r="G18">
        <v>71</v>
      </c>
      <c r="H18">
        <v>7101</v>
      </c>
      <c r="I18">
        <v>71016</v>
      </c>
      <c r="J18" t="s">
        <v>63</v>
      </c>
      <c r="M18" t="s">
        <v>185</v>
      </c>
      <c r="N18">
        <v>0</v>
      </c>
      <c r="R18">
        <v>0</v>
      </c>
      <c r="V18">
        <v>0</v>
      </c>
      <c r="Z18">
        <v>0</v>
      </c>
      <c r="AD18">
        <v>0</v>
      </c>
      <c r="AH18">
        <v>0</v>
      </c>
      <c r="AL18">
        <v>0</v>
      </c>
      <c r="AP18">
        <v>0</v>
      </c>
    </row>
    <row r="19" spans="1:45" x14ac:dyDescent="0.75">
      <c r="A19">
        <v>18</v>
      </c>
      <c r="B19">
        <v>1</v>
      </c>
      <c r="C19" t="s">
        <v>186</v>
      </c>
      <c r="D19">
        <v>21</v>
      </c>
      <c r="E19">
        <v>103</v>
      </c>
      <c r="F19">
        <v>467</v>
      </c>
      <c r="G19">
        <v>73</v>
      </c>
      <c r="H19">
        <v>7301</v>
      </c>
      <c r="I19">
        <v>73012</v>
      </c>
      <c r="J19" t="s">
        <v>64</v>
      </c>
      <c r="M19" t="s">
        <v>185</v>
      </c>
      <c r="N19">
        <v>0</v>
      </c>
      <c r="R19">
        <v>0</v>
      </c>
      <c r="V19">
        <v>0</v>
      </c>
      <c r="Z19">
        <v>0</v>
      </c>
      <c r="AD19">
        <v>0</v>
      </c>
      <c r="AH19">
        <v>0</v>
      </c>
      <c r="AL19">
        <v>0</v>
      </c>
      <c r="AP19">
        <v>0</v>
      </c>
    </row>
    <row r="20" spans="1:45" x14ac:dyDescent="0.75">
      <c r="A20">
        <v>19</v>
      </c>
      <c r="B20">
        <v>1</v>
      </c>
      <c r="C20" t="s">
        <v>186</v>
      </c>
      <c r="D20">
        <v>21</v>
      </c>
      <c r="E20">
        <v>104</v>
      </c>
      <c r="F20">
        <v>498</v>
      </c>
      <c r="G20">
        <v>73</v>
      </c>
      <c r="H20">
        <v>7302</v>
      </c>
      <c r="I20">
        <v>73024</v>
      </c>
      <c r="J20" t="s">
        <v>66</v>
      </c>
      <c r="M20" t="s">
        <v>185</v>
      </c>
      <c r="N20">
        <v>0</v>
      </c>
      <c r="R20">
        <v>0</v>
      </c>
      <c r="V20">
        <v>0</v>
      </c>
      <c r="Z20">
        <v>0</v>
      </c>
      <c r="AD20">
        <v>0</v>
      </c>
      <c r="AH20">
        <v>0</v>
      </c>
      <c r="AL20">
        <v>0</v>
      </c>
      <c r="AP20">
        <v>0</v>
      </c>
    </row>
    <row r="21" spans="1:45" x14ac:dyDescent="0.75">
      <c r="A21">
        <v>20</v>
      </c>
      <c r="B21">
        <v>1</v>
      </c>
      <c r="C21" t="s">
        <v>186</v>
      </c>
      <c r="D21">
        <v>21</v>
      </c>
      <c r="E21">
        <v>104</v>
      </c>
      <c r="F21">
        <v>499</v>
      </c>
      <c r="G21">
        <v>73</v>
      </c>
      <c r="H21">
        <v>7302</v>
      </c>
      <c r="I21">
        <v>73028</v>
      </c>
      <c r="J21" t="s">
        <v>67</v>
      </c>
      <c r="M21" t="s">
        <v>185</v>
      </c>
      <c r="N21">
        <v>0</v>
      </c>
      <c r="R21">
        <v>0</v>
      </c>
      <c r="V21">
        <v>0</v>
      </c>
      <c r="Z21">
        <v>0</v>
      </c>
      <c r="AD21">
        <v>0</v>
      </c>
      <c r="AH21">
        <v>0</v>
      </c>
      <c r="AL21">
        <v>0</v>
      </c>
      <c r="AP21">
        <v>0</v>
      </c>
    </row>
    <row r="22" spans="1:45" x14ac:dyDescent="0.75">
      <c r="A22">
        <v>21</v>
      </c>
      <c r="B22">
        <v>1</v>
      </c>
      <c r="C22" t="s">
        <v>186</v>
      </c>
      <c r="D22">
        <v>21</v>
      </c>
      <c r="E22">
        <v>105</v>
      </c>
      <c r="F22">
        <v>472</v>
      </c>
      <c r="G22">
        <v>73</v>
      </c>
      <c r="H22">
        <v>7304</v>
      </c>
      <c r="I22">
        <v>73048</v>
      </c>
      <c r="J22" t="s">
        <v>68</v>
      </c>
      <c r="M22" t="s">
        <v>185</v>
      </c>
      <c r="N22">
        <v>0</v>
      </c>
      <c r="R22">
        <v>0</v>
      </c>
      <c r="V22">
        <v>0</v>
      </c>
      <c r="Z22">
        <v>0</v>
      </c>
      <c r="AD22">
        <v>0</v>
      </c>
      <c r="AH22">
        <v>0</v>
      </c>
      <c r="AL22">
        <v>0</v>
      </c>
      <c r="AP22">
        <v>0</v>
      </c>
    </row>
    <row r="23" spans="1:45" x14ac:dyDescent="0.75">
      <c r="A23">
        <v>22</v>
      </c>
      <c r="B23">
        <v>1</v>
      </c>
      <c r="C23" t="s">
        <v>186</v>
      </c>
      <c r="D23">
        <v>21</v>
      </c>
      <c r="E23">
        <v>107</v>
      </c>
      <c r="F23">
        <v>473</v>
      </c>
      <c r="G23">
        <v>73</v>
      </c>
      <c r="H23">
        <v>7306</v>
      </c>
      <c r="I23">
        <v>73066</v>
      </c>
      <c r="J23" t="s">
        <v>70</v>
      </c>
      <c r="M23" t="s">
        <v>185</v>
      </c>
      <c r="N23">
        <v>0</v>
      </c>
      <c r="R23">
        <v>0</v>
      </c>
      <c r="V23">
        <v>0</v>
      </c>
      <c r="Z23">
        <v>0</v>
      </c>
      <c r="AD23">
        <v>0</v>
      </c>
      <c r="AH23">
        <v>0</v>
      </c>
      <c r="AL23">
        <v>0</v>
      </c>
      <c r="AP23">
        <v>0</v>
      </c>
    </row>
    <row r="24" spans="1:45" x14ac:dyDescent="0.75">
      <c r="A24">
        <v>23</v>
      </c>
      <c r="B24">
        <v>1</v>
      </c>
      <c r="C24" t="s">
        <v>186</v>
      </c>
      <c r="D24">
        <v>21</v>
      </c>
      <c r="E24">
        <v>109</v>
      </c>
      <c r="F24">
        <v>500</v>
      </c>
      <c r="G24">
        <v>73</v>
      </c>
      <c r="H24">
        <v>7308</v>
      </c>
      <c r="I24">
        <v>73087</v>
      </c>
      <c r="J24" t="s">
        <v>71</v>
      </c>
      <c r="M24" t="s">
        <v>185</v>
      </c>
      <c r="N24">
        <v>0</v>
      </c>
      <c r="R24">
        <v>0</v>
      </c>
      <c r="V24">
        <v>0</v>
      </c>
      <c r="Z24">
        <v>0</v>
      </c>
      <c r="AD24">
        <v>0</v>
      </c>
      <c r="AH24">
        <v>0</v>
      </c>
      <c r="AL24">
        <v>0</v>
      </c>
      <c r="AP24">
        <v>0</v>
      </c>
    </row>
    <row r="25" spans="1:45" x14ac:dyDescent="0.75">
      <c r="A25">
        <v>24</v>
      </c>
      <c r="B25">
        <v>0</v>
      </c>
      <c r="C25">
        <v>7</v>
      </c>
      <c r="D25" t="s">
        <v>186</v>
      </c>
      <c r="E25" t="s">
        <v>186</v>
      </c>
      <c r="F25" t="e">
        <v>#N/A</v>
      </c>
      <c r="J25" t="s">
        <v>72</v>
      </c>
      <c r="K25">
        <v>0</v>
      </c>
      <c r="L25">
        <v>0</v>
      </c>
      <c r="M25" t="s">
        <v>185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75">
      <c r="A26">
        <v>25</v>
      </c>
      <c r="B26">
        <v>24</v>
      </c>
      <c r="D26">
        <v>18</v>
      </c>
      <c r="E26">
        <v>90</v>
      </c>
      <c r="F26">
        <v>457</v>
      </c>
      <c r="G26">
        <v>70</v>
      </c>
      <c r="H26">
        <v>7001</v>
      </c>
      <c r="I26">
        <v>70011</v>
      </c>
      <c r="J26" t="s">
        <v>73</v>
      </c>
      <c r="L26">
        <v>0</v>
      </c>
      <c r="M26" t="s">
        <v>185</v>
      </c>
      <c r="N26">
        <v>0</v>
      </c>
      <c r="R26">
        <v>0</v>
      </c>
      <c r="V26">
        <v>0</v>
      </c>
      <c r="Z26">
        <v>0</v>
      </c>
      <c r="AD26">
        <v>0</v>
      </c>
      <c r="AH26">
        <v>0</v>
      </c>
      <c r="AL26">
        <v>0</v>
      </c>
      <c r="AP26">
        <v>0</v>
      </c>
    </row>
    <row r="27" spans="1:45" x14ac:dyDescent="0.75">
      <c r="A27">
        <v>26</v>
      </c>
      <c r="B27">
        <v>24</v>
      </c>
      <c r="D27">
        <v>18</v>
      </c>
      <c r="E27">
        <v>90</v>
      </c>
      <c r="F27">
        <v>458</v>
      </c>
      <c r="G27">
        <v>70</v>
      </c>
      <c r="H27">
        <v>7001</v>
      </c>
      <c r="I27">
        <v>70012</v>
      </c>
      <c r="J27" t="s">
        <v>74</v>
      </c>
      <c r="L27">
        <v>0</v>
      </c>
      <c r="M27" t="s">
        <v>185</v>
      </c>
      <c r="N27">
        <v>0</v>
      </c>
      <c r="R27">
        <v>0</v>
      </c>
      <c r="V27">
        <v>0</v>
      </c>
      <c r="Z27">
        <v>0</v>
      </c>
      <c r="AD27">
        <v>0</v>
      </c>
      <c r="AH27">
        <v>0</v>
      </c>
      <c r="AL27">
        <v>0</v>
      </c>
      <c r="AP27">
        <v>0</v>
      </c>
    </row>
    <row r="28" spans="1:45" x14ac:dyDescent="0.75">
      <c r="A28">
        <v>27</v>
      </c>
      <c r="B28">
        <v>24</v>
      </c>
      <c r="D28">
        <v>18</v>
      </c>
      <c r="E28">
        <v>90</v>
      </c>
      <c r="F28">
        <v>459</v>
      </c>
      <c r="G28">
        <v>70</v>
      </c>
      <c r="H28">
        <v>7001</v>
      </c>
      <c r="I28">
        <v>70013</v>
      </c>
      <c r="J28" t="s">
        <v>75</v>
      </c>
      <c r="L28">
        <v>0</v>
      </c>
      <c r="M28" t="s">
        <v>185</v>
      </c>
      <c r="N28">
        <v>0</v>
      </c>
      <c r="R28">
        <v>0</v>
      </c>
      <c r="V28">
        <v>0</v>
      </c>
      <c r="Z28">
        <v>0</v>
      </c>
      <c r="AD28">
        <v>0</v>
      </c>
      <c r="AH28">
        <v>0</v>
      </c>
      <c r="AL28">
        <v>0</v>
      </c>
      <c r="AP28">
        <v>0</v>
      </c>
    </row>
    <row r="29" spans="1:45" x14ac:dyDescent="0.75">
      <c r="A29">
        <v>28</v>
      </c>
      <c r="B29">
        <v>24</v>
      </c>
      <c r="D29">
        <v>18</v>
      </c>
      <c r="E29">
        <v>90</v>
      </c>
      <c r="F29">
        <v>460</v>
      </c>
      <c r="G29">
        <v>70</v>
      </c>
      <c r="H29">
        <v>7001</v>
      </c>
      <c r="I29">
        <v>70014</v>
      </c>
      <c r="J29" t="s">
        <v>76</v>
      </c>
      <c r="L29">
        <v>0</v>
      </c>
      <c r="M29" t="s">
        <v>185</v>
      </c>
      <c r="N29">
        <v>0</v>
      </c>
      <c r="R29">
        <v>0</v>
      </c>
      <c r="V29">
        <v>0</v>
      </c>
      <c r="Z29">
        <v>0</v>
      </c>
      <c r="AD29">
        <v>0</v>
      </c>
      <c r="AH29">
        <v>0</v>
      </c>
      <c r="AL29">
        <v>0</v>
      </c>
      <c r="AP29">
        <v>0</v>
      </c>
    </row>
    <row r="30" spans="1:45" x14ac:dyDescent="0.75">
      <c r="A30">
        <v>29</v>
      </c>
      <c r="B30">
        <v>24</v>
      </c>
      <c r="D30">
        <v>18</v>
      </c>
      <c r="E30">
        <v>90</v>
      </c>
      <c r="F30">
        <v>461</v>
      </c>
      <c r="G30">
        <v>70</v>
      </c>
      <c r="H30">
        <v>7001</v>
      </c>
      <c r="I30">
        <v>70015</v>
      </c>
      <c r="J30" t="s">
        <v>77</v>
      </c>
      <c r="L30">
        <v>0</v>
      </c>
      <c r="M30" t="s">
        <v>185</v>
      </c>
      <c r="N30">
        <v>0</v>
      </c>
      <c r="R30">
        <v>0</v>
      </c>
      <c r="V30">
        <v>0</v>
      </c>
      <c r="Z30">
        <v>0</v>
      </c>
      <c r="AD30">
        <v>0</v>
      </c>
      <c r="AH30">
        <v>0</v>
      </c>
      <c r="AL30">
        <v>0</v>
      </c>
      <c r="AP30">
        <v>0</v>
      </c>
    </row>
    <row r="31" spans="1:45" x14ac:dyDescent="0.75">
      <c r="A31">
        <v>30</v>
      </c>
      <c r="B31">
        <v>24</v>
      </c>
      <c r="D31">
        <v>18</v>
      </c>
      <c r="E31">
        <v>91</v>
      </c>
      <c r="F31">
        <v>462</v>
      </c>
      <c r="G31">
        <v>70</v>
      </c>
      <c r="H31">
        <v>7002</v>
      </c>
      <c r="I31">
        <v>70022</v>
      </c>
      <c r="J31" t="s">
        <v>78</v>
      </c>
      <c r="L31">
        <v>0</v>
      </c>
      <c r="M31" t="s">
        <v>185</v>
      </c>
      <c r="N31">
        <v>0</v>
      </c>
      <c r="R31">
        <v>0</v>
      </c>
      <c r="V31">
        <v>0</v>
      </c>
      <c r="Z31">
        <v>0</v>
      </c>
      <c r="AD31">
        <v>0</v>
      </c>
      <c r="AH31">
        <v>0</v>
      </c>
      <c r="AL31">
        <v>0</v>
      </c>
      <c r="AP31">
        <v>0</v>
      </c>
    </row>
    <row r="32" spans="1:45" x14ac:dyDescent="0.75">
      <c r="A32">
        <v>31</v>
      </c>
      <c r="B32">
        <v>24</v>
      </c>
      <c r="D32">
        <v>18</v>
      </c>
      <c r="E32">
        <v>92</v>
      </c>
      <c r="F32">
        <v>463</v>
      </c>
      <c r="G32">
        <v>70</v>
      </c>
      <c r="H32">
        <v>7003</v>
      </c>
      <c r="I32">
        <v>70031</v>
      </c>
      <c r="J32" t="s">
        <v>79</v>
      </c>
      <c r="L32">
        <v>0</v>
      </c>
      <c r="M32" t="s">
        <v>185</v>
      </c>
      <c r="N32">
        <v>0</v>
      </c>
      <c r="R32">
        <v>0</v>
      </c>
      <c r="V32">
        <v>0</v>
      </c>
      <c r="Z32">
        <v>0</v>
      </c>
      <c r="AD32">
        <v>0</v>
      </c>
      <c r="AH32">
        <v>0</v>
      </c>
      <c r="AL32">
        <v>0</v>
      </c>
      <c r="AP32">
        <v>0</v>
      </c>
    </row>
    <row r="33" spans="1:45" x14ac:dyDescent="0.75">
      <c r="A33">
        <v>32</v>
      </c>
      <c r="B33">
        <v>24</v>
      </c>
      <c r="D33">
        <v>18</v>
      </c>
      <c r="E33">
        <v>92</v>
      </c>
      <c r="F33">
        <v>464</v>
      </c>
      <c r="G33">
        <v>70</v>
      </c>
      <c r="H33">
        <v>7003</v>
      </c>
      <c r="I33">
        <v>70034</v>
      </c>
      <c r="J33" t="s">
        <v>80</v>
      </c>
      <c r="L33">
        <v>0</v>
      </c>
      <c r="M33" t="s">
        <v>185</v>
      </c>
      <c r="N33">
        <v>0</v>
      </c>
      <c r="R33">
        <v>0</v>
      </c>
      <c r="V33">
        <v>0</v>
      </c>
      <c r="Z33">
        <v>0</v>
      </c>
      <c r="AD33">
        <v>0</v>
      </c>
      <c r="AH33">
        <v>0</v>
      </c>
      <c r="AL33">
        <v>0</v>
      </c>
      <c r="AP33">
        <v>0</v>
      </c>
    </row>
    <row r="34" spans="1:45" x14ac:dyDescent="0.75">
      <c r="A34">
        <v>33</v>
      </c>
      <c r="B34">
        <v>24</v>
      </c>
      <c r="D34">
        <v>18</v>
      </c>
      <c r="E34">
        <v>97</v>
      </c>
      <c r="F34">
        <v>465</v>
      </c>
      <c r="G34">
        <v>70</v>
      </c>
      <c r="H34">
        <v>7008</v>
      </c>
      <c r="I34">
        <v>70081</v>
      </c>
      <c r="J34" t="s">
        <v>81</v>
      </c>
      <c r="L34">
        <v>0</v>
      </c>
      <c r="M34" t="s">
        <v>185</v>
      </c>
      <c r="N34">
        <v>0</v>
      </c>
      <c r="R34">
        <v>0</v>
      </c>
      <c r="V34">
        <v>0</v>
      </c>
      <c r="Z34">
        <v>0</v>
      </c>
      <c r="AD34">
        <v>0</v>
      </c>
      <c r="AH34">
        <v>0</v>
      </c>
      <c r="AL34">
        <v>0</v>
      </c>
      <c r="AP34">
        <v>0</v>
      </c>
    </row>
    <row r="35" spans="1:45" x14ac:dyDescent="0.75">
      <c r="A35">
        <v>34</v>
      </c>
      <c r="B35">
        <v>24</v>
      </c>
      <c r="D35">
        <v>18</v>
      </c>
      <c r="E35">
        <v>97</v>
      </c>
      <c r="F35">
        <v>466</v>
      </c>
      <c r="G35">
        <v>70</v>
      </c>
      <c r="H35">
        <v>7008</v>
      </c>
      <c r="I35">
        <v>70082</v>
      </c>
      <c r="J35" t="s">
        <v>82</v>
      </c>
      <c r="L35">
        <v>0</v>
      </c>
      <c r="M35" t="s">
        <v>185</v>
      </c>
      <c r="N35">
        <v>0</v>
      </c>
      <c r="R35">
        <v>0</v>
      </c>
      <c r="V35">
        <v>0</v>
      </c>
      <c r="Z35">
        <v>0</v>
      </c>
      <c r="AD35">
        <v>0</v>
      </c>
      <c r="AH35">
        <v>0</v>
      </c>
      <c r="AL35">
        <v>0</v>
      </c>
      <c r="AP35">
        <v>0</v>
      </c>
    </row>
    <row r="36" spans="1:45" x14ac:dyDescent="0.75">
      <c r="A36">
        <v>35</v>
      </c>
      <c r="B36">
        <v>24</v>
      </c>
      <c r="D36">
        <v>21</v>
      </c>
      <c r="E36">
        <v>103</v>
      </c>
      <c r="F36">
        <v>467</v>
      </c>
      <c r="G36">
        <v>73</v>
      </c>
      <c r="H36">
        <v>7301</v>
      </c>
      <c r="I36">
        <v>73012</v>
      </c>
      <c r="J36" t="s">
        <v>64</v>
      </c>
      <c r="L36">
        <v>0</v>
      </c>
      <c r="M36" t="s">
        <v>185</v>
      </c>
      <c r="N36">
        <v>0</v>
      </c>
      <c r="R36">
        <v>0</v>
      </c>
      <c r="V36">
        <v>0</v>
      </c>
      <c r="Z36">
        <v>0</v>
      </c>
      <c r="AD36">
        <v>0</v>
      </c>
      <c r="AH36">
        <v>0</v>
      </c>
      <c r="AL36">
        <v>0</v>
      </c>
      <c r="AP36">
        <v>0</v>
      </c>
    </row>
    <row r="37" spans="1:45" x14ac:dyDescent="0.75">
      <c r="A37">
        <v>36</v>
      </c>
      <c r="B37">
        <v>24</v>
      </c>
      <c r="D37">
        <v>21</v>
      </c>
      <c r="E37">
        <v>104</v>
      </c>
      <c r="F37">
        <v>468</v>
      </c>
      <c r="G37">
        <v>73</v>
      </c>
      <c r="H37">
        <v>7302</v>
      </c>
      <c r="I37">
        <v>73023</v>
      </c>
      <c r="J37" t="s">
        <v>83</v>
      </c>
      <c r="L37">
        <v>0</v>
      </c>
      <c r="M37" t="s">
        <v>185</v>
      </c>
      <c r="N37">
        <v>0</v>
      </c>
      <c r="R37">
        <v>0</v>
      </c>
      <c r="V37">
        <v>0</v>
      </c>
      <c r="Z37">
        <v>0</v>
      </c>
      <c r="AD37">
        <v>0</v>
      </c>
      <c r="AH37">
        <v>0</v>
      </c>
      <c r="AL37">
        <v>0</v>
      </c>
      <c r="AP37">
        <v>0</v>
      </c>
    </row>
    <row r="38" spans="1:45" x14ac:dyDescent="0.75">
      <c r="A38">
        <v>37</v>
      </c>
      <c r="B38">
        <v>24</v>
      </c>
      <c r="D38">
        <v>21</v>
      </c>
      <c r="E38">
        <v>105</v>
      </c>
      <c r="F38">
        <v>469</v>
      </c>
      <c r="G38">
        <v>73</v>
      </c>
      <c r="H38">
        <v>7304</v>
      </c>
      <c r="I38">
        <v>73047</v>
      </c>
      <c r="J38" t="s">
        <v>84</v>
      </c>
      <c r="L38">
        <v>0</v>
      </c>
      <c r="M38" t="s">
        <v>185</v>
      </c>
      <c r="N38">
        <v>0</v>
      </c>
      <c r="R38">
        <v>0</v>
      </c>
      <c r="V38">
        <v>0</v>
      </c>
      <c r="Z38">
        <v>0</v>
      </c>
      <c r="AD38">
        <v>0</v>
      </c>
      <c r="AH38">
        <v>0</v>
      </c>
      <c r="AL38">
        <v>0</v>
      </c>
      <c r="AP38">
        <v>0</v>
      </c>
    </row>
    <row r="39" spans="1:45" x14ac:dyDescent="0.75">
      <c r="A39">
        <v>38</v>
      </c>
      <c r="B39">
        <v>24</v>
      </c>
      <c r="D39">
        <v>21</v>
      </c>
      <c r="E39">
        <v>109</v>
      </c>
      <c r="F39">
        <v>470</v>
      </c>
      <c r="G39">
        <v>73</v>
      </c>
      <c r="H39">
        <v>7308</v>
      </c>
      <c r="I39">
        <v>73084</v>
      </c>
      <c r="J39" t="s">
        <v>85</v>
      </c>
      <c r="L39">
        <v>0</v>
      </c>
      <c r="M39" t="s">
        <v>185</v>
      </c>
      <c r="N39">
        <v>0</v>
      </c>
      <c r="R39">
        <v>0</v>
      </c>
      <c r="V39">
        <v>0</v>
      </c>
      <c r="Z39">
        <v>0</v>
      </c>
      <c r="AD39">
        <v>0</v>
      </c>
      <c r="AH39">
        <v>0</v>
      </c>
      <c r="AL39">
        <v>0</v>
      </c>
      <c r="AP39">
        <v>0</v>
      </c>
    </row>
    <row r="40" spans="1:45" x14ac:dyDescent="0.75">
      <c r="A40">
        <v>39</v>
      </c>
      <c r="B40">
        <v>24</v>
      </c>
      <c r="D40">
        <v>21</v>
      </c>
      <c r="E40">
        <v>91</v>
      </c>
      <c r="F40">
        <v>471</v>
      </c>
      <c r="G40">
        <v>73</v>
      </c>
      <c r="H40">
        <v>7002</v>
      </c>
      <c r="I40">
        <v>70021</v>
      </c>
      <c r="J40" t="s">
        <v>86</v>
      </c>
      <c r="L40">
        <v>0</v>
      </c>
      <c r="M40" t="s">
        <v>185</v>
      </c>
      <c r="N40">
        <v>0</v>
      </c>
      <c r="R40">
        <v>0</v>
      </c>
      <c r="V40">
        <v>0</v>
      </c>
      <c r="Z40">
        <v>0</v>
      </c>
      <c r="AD40">
        <v>0</v>
      </c>
      <c r="AH40">
        <v>0</v>
      </c>
      <c r="AL40">
        <v>0</v>
      </c>
      <c r="AP40">
        <v>0</v>
      </c>
    </row>
    <row r="41" spans="1:45" x14ac:dyDescent="0.75">
      <c r="A41">
        <v>40</v>
      </c>
      <c r="B41">
        <v>0</v>
      </c>
      <c r="C41">
        <v>24</v>
      </c>
      <c r="D41" t="s">
        <v>186</v>
      </c>
      <c r="E41" t="s">
        <v>186</v>
      </c>
      <c r="F41" t="e">
        <v>#N/A</v>
      </c>
      <c r="J41" t="s">
        <v>144</v>
      </c>
      <c r="K41">
        <v>0</v>
      </c>
      <c r="L41">
        <v>0</v>
      </c>
      <c r="M41" t="s">
        <v>185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75">
      <c r="A42">
        <v>41</v>
      </c>
      <c r="B42">
        <v>40</v>
      </c>
      <c r="D42">
        <v>21</v>
      </c>
      <c r="E42">
        <v>104</v>
      </c>
      <c r="F42">
        <v>472</v>
      </c>
      <c r="G42">
        <v>73</v>
      </c>
      <c r="H42">
        <v>7302</v>
      </c>
      <c r="I42">
        <v>73048</v>
      </c>
      <c r="J42" t="s">
        <v>68</v>
      </c>
      <c r="M42" t="s">
        <v>185</v>
      </c>
      <c r="N42">
        <v>0</v>
      </c>
      <c r="R42">
        <v>0</v>
      </c>
      <c r="V42">
        <v>0</v>
      </c>
      <c r="Z42">
        <v>0</v>
      </c>
      <c r="AD42">
        <v>0</v>
      </c>
      <c r="AH42">
        <v>0</v>
      </c>
      <c r="AL42">
        <v>0</v>
      </c>
      <c r="AP42">
        <v>0</v>
      </c>
    </row>
    <row r="43" spans="1:45" x14ac:dyDescent="0.75">
      <c r="A43">
        <v>42</v>
      </c>
      <c r="B43">
        <v>40</v>
      </c>
      <c r="D43">
        <v>21</v>
      </c>
      <c r="E43">
        <v>105</v>
      </c>
      <c r="F43">
        <v>473</v>
      </c>
      <c r="G43">
        <v>73</v>
      </c>
      <c r="H43">
        <v>7304</v>
      </c>
      <c r="I43">
        <v>73066</v>
      </c>
      <c r="J43" t="s">
        <v>70</v>
      </c>
      <c r="M43" t="s">
        <v>185</v>
      </c>
      <c r="N43">
        <v>0</v>
      </c>
      <c r="R43">
        <v>0</v>
      </c>
      <c r="V43">
        <v>0</v>
      </c>
      <c r="Z43">
        <v>0</v>
      </c>
      <c r="AD43">
        <v>0</v>
      </c>
      <c r="AH43">
        <v>0</v>
      </c>
      <c r="AL43">
        <v>0</v>
      </c>
      <c r="AP43">
        <v>0</v>
      </c>
    </row>
    <row r="44" spans="1:45" x14ac:dyDescent="0.75">
      <c r="A44">
        <v>43</v>
      </c>
      <c r="B44">
        <v>0</v>
      </c>
      <c r="C44">
        <v>25</v>
      </c>
      <c r="D44" t="s">
        <v>186</v>
      </c>
      <c r="E44" t="s">
        <v>186</v>
      </c>
      <c r="F44" t="e">
        <v>#N/A</v>
      </c>
      <c r="J44" t="s">
        <v>88</v>
      </c>
      <c r="K44">
        <v>0</v>
      </c>
      <c r="L44">
        <v>0</v>
      </c>
      <c r="M44" t="s">
        <v>185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75">
      <c r="A45">
        <v>44</v>
      </c>
      <c r="B45">
        <v>43</v>
      </c>
      <c r="D45">
        <v>21</v>
      </c>
      <c r="E45">
        <v>104</v>
      </c>
      <c r="F45">
        <v>468</v>
      </c>
      <c r="G45">
        <v>73</v>
      </c>
      <c r="H45">
        <v>7302</v>
      </c>
      <c r="I45">
        <v>73023</v>
      </c>
      <c r="J45" t="s">
        <v>83</v>
      </c>
      <c r="M45" t="s">
        <v>185</v>
      </c>
      <c r="N45">
        <v>0</v>
      </c>
      <c r="R45">
        <v>0</v>
      </c>
      <c r="V45">
        <v>0</v>
      </c>
      <c r="Z45">
        <v>0</v>
      </c>
      <c r="AD45">
        <v>0</v>
      </c>
      <c r="AH45">
        <v>0</v>
      </c>
      <c r="AL45">
        <v>0</v>
      </c>
      <c r="AP45">
        <v>0</v>
      </c>
    </row>
    <row r="46" spans="1:45" x14ac:dyDescent="0.75">
      <c r="A46">
        <v>45</v>
      </c>
      <c r="B46">
        <v>0</v>
      </c>
      <c r="C46">
        <v>26</v>
      </c>
      <c r="D46" t="s">
        <v>186</v>
      </c>
      <c r="E46" t="s">
        <v>186</v>
      </c>
      <c r="F46" t="e">
        <v>#N/A</v>
      </c>
      <c r="J46" t="s">
        <v>145</v>
      </c>
      <c r="K46">
        <v>0</v>
      </c>
      <c r="L46">
        <v>0</v>
      </c>
      <c r="M46" t="s">
        <v>185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75">
      <c r="A47">
        <v>46</v>
      </c>
      <c r="B47">
        <v>45</v>
      </c>
      <c r="D47">
        <v>21</v>
      </c>
      <c r="E47">
        <v>104</v>
      </c>
      <c r="F47">
        <v>468</v>
      </c>
      <c r="G47">
        <v>73</v>
      </c>
      <c r="H47">
        <v>7302</v>
      </c>
      <c r="I47">
        <v>73023</v>
      </c>
      <c r="J47" t="s">
        <v>83</v>
      </c>
      <c r="L47">
        <v>0</v>
      </c>
      <c r="M47" t="s">
        <v>185</v>
      </c>
      <c r="N47">
        <v>0</v>
      </c>
      <c r="R47">
        <v>0</v>
      </c>
      <c r="V47">
        <v>0</v>
      </c>
      <c r="Z47">
        <v>0</v>
      </c>
      <c r="AD47">
        <v>0</v>
      </c>
      <c r="AH47">
        <v>0</v>
      </c>
      <c r="AL47">
        <v>0</v>
      </c>
      <c r="AP47">
        <v>0</v>
      </c>
    </row>
    <row r="48" spans="1:45" x14ac:dyDescent="0.75">
      <c r="A48">
        <v>47</v>
      </c>
      <c r="B48">
        <v>45</v>
      </c>
      <c r="D48">
        <v>21</v>
      </c>
      <c r="E48">
        <v>105</v>
      </c>
      <c r="F48">
        <v>472</v>
      </c>
      <c r="G48">
        <v>73</v>
      </c>
      <c r="H48">
        <v>7304</v>
      </c>
      <c r="I48">
        <v>73048</v>
      </c>
      <c r="J48" t="s">
        <v>68</v>
      </c>
      <c r="L48">
        <v>0</v>
      </c>
      <c r="M48" t="s">
        <v>185</v>
      </c>
      <c r="N48">
        <v>0</v>
      </c>
      <c r="R48">
        <v>0</v>
      </c>
      <c r="V48">
        <v>0</v>
      </c>
      <c r="Z48">
        <v>0</v>
      </c>
      <c r="AD48">
        <v>0</v>
      </c>
      <c r="AH48">
        <v>0</v>
      </c>
      <c r="AL48">
        <v>0</v>
      </c>
      <c r="AP48">
        <v>0</v>
      </c>
    </row>
    <row r="49" spans="1:45" x14ac:dyDescent="0.75">
      <c r="A49">
        <v>48</v>
      </c>
      <c r="B49">
        <v>45</v>
      </c>
      <c r="D49">
        <v>21</v>
      </c>
      <c r="E49">
        <v>107</v>
      </c>
      <c r="F49">
        <v>473</v>
      </c>
      <c r="G49">
        <v>73</v>
      </c>
      <c r="H49">
        <v>7306</v>
      </c>
      <c r="I49">
        <v>73066</v>
      </c>
      <c r="J49" t="s">
        <v>70</v>
      </c>
      <c r="L49">
        <v>0</v>
      </c>
      <c r="M49" t="s">
        <v>185</v>
      </c>
      <c r="N49">
        <v>0</v>
      </c>
      <c r="R49">
        <v>0</v>
      </c>
      <c r="V49">
        <v>0</v>
      </c>
      <c r="Z49">
        <v>0</v>
      </c>
      <c r="AD49">
        <v>0</v>
      </c>
      <c r="AH49">
        <v>0</v>
      </c>
      <c r="AL49">
        <v>0</v>
      </c>
      <c r="AP49">
        <v>0</v>
      </c>
    </row>
    <row r="50" spans="1:45" x14ac:dyDescent="0.75">
      <c r="A50">
        <v>49</v>
      </c>
      <c r="B50">
        <v>0</v>
      </c>
      <c r="C50">
        <v>27</v>
      </c>
      <c r="D50" t="s">
        <v>186</v>
      </c>
      <c r="E50" t="s">
        <v>186</v>
      </c>
      <c r="F50" t="e">
        <v>#N/A</v>
      </c>
      <c r="J50" t="s">
        <v>146</v>
      </c>
      <c r="K50">
        <v>0</v>
      </c>
      <c r="L50">
        <v>0</v>
      </c>
      <c r="M50" t="s">
        <v>185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75">
      <c r="A51">
        <v>50</v>
      </c>
      <c r="B51">
        <v>49</v>
      </c>
      <c r="D51">
        <v>21</v>
      </c>
      <c r="E51">
        <v>107</v>
      </c>
      <c r="F51">
        <v>474</v>
      </c>
      <c r="G51">
        <v>73</v>
      </c>
      <c r="H51">
        <v>7306</v>
      </c>
      <c r="I51">
        <v>73061</v>
      </c>
      <c r="J51" t="s">
        <v>89</v>
      </c>
      <c r="L51">
        <v>0</v>
      </c>
      <c r="M51" t="s">
        <v>185</v>
      </c>
      <c r="N51">
        <v>0</v>
      </c>
      <c r="R51">
        <v>0</v>
      </c>
      <c r="V51">
        <v>0</v>
      </c>
      <c r="Z51">
        <v>0</v>
      </c>
      <c r="AD51">
        <v>0</v>
      </c>
      <c r="AH51">
        <v>0</v>
      </c>
      <c r="AL51">
        <v>0</v>
      </c>
      <c r="AP51">
        <v>0</v>
      </c>
    </row>
    <row r="52" spans="1:45" x14ac:dyDescent="0.75">
      <c r="A52">
        <v>51</v>
      </c>
      <c r="B52">
        <v>49</v>
      </c>
      <c r="D52">
        <v>21</v>
      </c>
      <c r="E52">
        <v>107</v>
      </c>
      <c r="F52">
        <v>475</v>
      </c>
      <c r="G52">
        <v>73</v>
      </c>
      <c r="H52">
        <v>7306</v>
      </c>
      <c r="I52">
        <v>73062</v>
      </c>
      <c r="J52" t="s">
        <v>90</v>
      </c>
      <c r="L52">
        <v>0</v>
      </c>
      <c r="M52" t="s">
        <v>185</v>
      </c>
      <c r="N52">
        <v>0</v>
      </c>
      <c r="R52">
        <v>0</v>
      </c>
      <c r="V52">
        <v>0</v>
      </c>
      <c r="Z52">
        <v>0</v>
      </c>
      <c r="AD52">
        <v>0</v>
      </c>
      <c r="AH52">
        <v>0</v>
      </c>
      <c r="AL52">
        <v>0</v>
      </c>
      <c r="AP52">
        <v>0</v>
      </c>
    </row>
    <row r="53" spans="1:45" x14ac:dyDescent="0.75">
      <c r="A53">
        <v>52</v>
      </c>
      <c r="D53" t="s">
        <v>186</v>
      </c>
      <c r="E53" t="s">
        <v>186</v>
      </c>
      <c r="F53" t="e">
        <v>#N/A</v>
      </c>
      <c r="G53" t="s">
        <v>91</v>
      </c>
      <c r="K53">
        <v>0</v>
      </c>
      <c r="L53">
        <v>0</v>
      </c>
      <c r="M53" t="s">
        <v>185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75">
      <c r="A54">
        <v>53</v>
      </c>
      <c r="D54" t="s">
        <v>186</v>
      </c>
      <c r="E54" t="s">
        <v>186</v>
      </c>
      <c r="F54" t="e">
        <v>#N/A</v>
      </c>
      <c r="G54" t="s">
        <v>92</v>
      </c>
      <c r="K54">
        <v>0</v>
      </c>
      <c r="L54">
        <v>0</v>
      </c>
      <c r="M54" t="s">
        <v>185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75">
      <c r="A55">
        <v>54</v>
      </c>
      <c r="B55">
        <v>0</v>
      </c>
      <c r="C55">
        <v>16</v>
      </c>
      <c r="D55" t="s">
        <v>186</v>
      </c>
      <c r="E55" t="s">
        <v>186</v>
      </c>
      <c r="F55" t="e">
        <v>#N/A</v>
      </c>
      <c r="J55" t="s">
        <v>147</v>
      </c>
      <c r="K55">
        <v>0</v>
      </c>
      <c r="L55">
        <v>0</v>
      </c>
      <c r="M55" t="s">
        <v>185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75">
      <c r="A56">
        <v>55</v>
      </c>
      <c r="B56">
        <v>54</v>
      </c>
      <c r="D56">
        <v>21</v>
      </c>
      <c r="E56">
        <v>102</v>
      </c>
      <c r="F56">
        <v>476</v>
      </c>
      <c r="G56">
        <v>73</v>
      </c>
      <c r="H56">
        <v>7300</v>
      </c>
      <c r="I56">
        <v>73001</v>
      </c>
      <c r="J56" t="s">
        <v>93</v>
      </c>
      <c r="L56">
        <v>0</v>
      </c>
      <c r="M56" t="s">
        <v>185</v>
      </c>
      <c r="N56">
        <v>0</v>
      </c>
      <c r="R56">
        <v>0</v>
      </c>
      <c r="V56">
        <v>0</v>
      </c>
      <c r="Z56">
        <v>0</v>
      </c>
      <c r="AD56">
        <v>0</v>
      </c>
      <c r="AH56">
        <v>0</v>
      </c>
      <c r="AL56">
        <v>0</v>
      </c>
      <c r="AP56">
        <v>0</v>
      </c>
    </row>
    <row r="57" spans="1:45" x14ac:dyDescent="0.75">
      <c r="A57">
        <v>56</v>
      </c>
      <c r="B57">
        <v>54</v>
      </c>
      <c r="D57">
        <v>21</v>
      </c>
      <c r="E57">
        <v>104</v>
      </c>
      <c r="F57">
        <v>468</v>
      </c>
      <c r="G57">
        <v>73</v>
      </c>
      <c r="H57">
        <v>7302</v>
      </c>
      <c r="I57">
        <v>73023</v>
      </c>
      <c r="J57" t="s">
        <v>83</v>
      </c>
      <c r="L57">
        <v>0</v>
      </c>
      <c r="M57" t="s">
        <v>185</v>
      </c>
      <c r="N57">
        <v>0</v>
      </c>
      <c r="R57">
        <v>0</v>
      </c>
      <c r="V57">
        <v>0</v>
      </c>
      <c r="Z57">
        <v>0</v>
      </c>
      <c r="AD57">
        <v>0</v>
      </c>
      <c r="AH57">
        <v>0</v>
      </c>
      <c r="AL57">
        <v>0</v>
      </c>
      <c r="AP57">
        <v>0</v>
      </c>
    </row>
    <row r="58" spans="1:45" x14ac:dyDescent="0.75">
      <c r="A58">
        <v>57</v>
      </c>
      <c r="B58">
        <v>54</v>
      </c>
      <c r="D58">
        <v>21</v>
      </c>
      <c r="E58">
        <v>107</v>
      </c>
      <c r="F58">
        <v>473</v>
      </c>
      <c r="G58">
        <v>73</v>
      </c>
      <c r="H58">
        <v>7306</v>
      </c>
      <c r="I58">
        <v>73066</v>
      </c>
      <c r="J58" t="s">
        <v>70</v>
      </c>
      <c r="L58">
        <v>0</v>
      </c>
      <c r="M58" t="s">
        <v>185</v>
      </c>
      <c r="N58">
        <v>0</v>
      </c>
      <c r="R58">
        <v>0</v>
      </c>
      <c r="V58">
        <v>0</v>
      </c>
      <c r="Z58">
        <v>0</v>
      </c>
      <c r="AD58">
        <v>0</v>
      </c>
      <c r="AH58">
        <v>0</v>
      </c>
      <c r="AL58">
        <v>0</v>
      </c>
      <c r="AP58">
        <v>0</v>
      </c>
    </row>
    <row r="59" spans="1:45" x14ac:dyDescent="0.75">
      <c r="A59">
        <v>58</v>
      </c>
      <c r="B59">
        <v>0</v>
      </c>
      <c r="C59">
        <v>13</v>
      </c>
      <c r="D59" t="s">
        <v>186</v>
      </c>
      <c r="E59" t="s">
        <v>186</v>
      </c>
      <c r="F59" t="e">
        <v>#N/A</v>
      </c>
      <c r="J59" t="s">
        <v>148</v>
      </c>
      <c r="K59">
        <v>0</v>
      </c>
      <c r="L59">
        <v>0</v>
      </c>
      <c r="M59" t="s">
        <v>185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75">
      <c r="A60">
        <v>59</v>
      </c>
      <c r="B60">
        <v>58</v>
      </c>
      <c r="D60">
        <v>24</v>
      </c>
      <c r="E60">
        <v>127</v>
      </c>
      <c r="F60">
        <v>477</v>
      </c>
      <c r="G60">
        <v>76</v>
      </c>
      <c r="H60">
        <v>7601</v>
      </c>
      <c r="I60">
        <v>76011</v>
      </c>
      <c r="J60" t="s">
        <v>94</v>
      </c>
      <c r="L60">
        <v>0</v>
      </c>
      <c r="M60" t="s">
        <v>185</v>
      </c>
      <c r="N60">
        <v>0</v>
      </c>
      <c r="R60">
        <v>0</v>
      </c>
      <c r="V60">
        <v>0</v>
      </c>
      <c r="Z60">
        <v>0</v>
      </c>
      <c r="AD60">
        <v>0</v>
      </c>
      <c r="AH60">
        <v>0</v>
      </c>
      <c r="AL60">
        <v>0</v>
      </c>
      <c r="AP60">
        <v>0</v>
      </c>
    </row>
    <row r="61" spans="1:45" x14ac:dyDescent="0.75">
      <c r="A61">
        <v>60</v>
      </c>
      <c r="C61" t="s">
        <v>186</v>
      </c>
      <c r="D61" t="s">
        <v>186</v>
      </c>
      <c r="E61" t="s">
        <v>186</v>
      </c>
      <c r="F61" t="e">
        <v>#N/A</v>
      </c>
      <c r="J61" t="s">
        <v>95</v>
      </c>
      <c r="K61">
        <v>0</v>
      </c>
      <c r="L61">
        <v>0</v>
      </c>
      <c r="M61" t="s">
        <v>185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75">
      <c r="A62">
        <v>61</v>
      </c>
      <c r="B62">
        <v>58</v>
      </c>
      <c r="D62">
        <v>6</v>
      </c>
      <c r="E62">
        <v>19</v>
      </c>
      <c r="F62">
        <v>208</v>
      </c>
      <c r="G62">
        <v>27</v>
      </c>
      <c r="H62">
        <v>2701</v>
      </c>
      <c r="I62">
        <v>27011</v>
      </c>
      <c r="J62" t="s">
        <v>96</v>
      </c>
      <c r="L62">
        <v>0</v>
      </c>
      <c r="M62" t="s">
        <v>185</v>
      </c>
      <c r="N62">
        <v>0</v>
      </c>
      <c r="R62">
        <v>0</v>
      </c>
      <c r="V62">
        <v>0</v>
      </c>
      <c r="Z62">
        <v>0</v>
      </c>
      <c r="AD62">
        <v>0</v>
      </c>
      <c r="AH62">
        <v>0</v>
      </c>
      <c r="AL62">
        <v>0</v>
      </c>
      <c r="AP62">
        <v>0</v>
      </c>
    </row>
    <row r="63" spans="1:45" x14ac:dyDescent="0.75">
      <c r="A63">
        <v>62</v>
      </c>
      <c r="B63">
        <v>58</v>
      </c>
      <c r="D63">
        <v>23</v>
      </c>
      <c r="E63">
        <v>124</v>
      </c>
      <c r="F63">
        <v>478</v>
      </c>
      <c r="G63">
        <v>75</v>
      </c>
      <c r="H63">
        <v>7514</v>
      </c>
      <c r="I63">
        <v>75141</v>
      </c>
      <c r="J63" t="s">
        <v>97</v>
      </c>
      <c r="L63">
        <v>0</v>
      </c>
      <c r="M63" t="s">
        <v>185</v>
      </c>
      <c r="N63">
        <v>0</v>
      </c>
      <c r="R63">
        <v>0</v>
      </c>
      <c r="V63">
        <v>0</v>
      </c>
      <c r="Z63">
        <v>0</v>
      </c>
      <c r="AD63">
        <v>0</v>
      </c>
      <c r="AH63">
        <v>0</v>
      </c>
      <c r="AL63">
        <v>0</v>
      </c>
      <c r="AP63">
        <v>0</v>
      </c>
    </row>
    <row r="64" spans="1:45" x14ac:dyDescent="0.75">
      <c r="A64">
        <v>63</v>
      </c>
      <c r="B64">
        <v>58</v>
      </c>
      <c r="D64">
        <v>23</v>
      </c>
      <c r="E64">
        <v>124</v>
      </c>
      <c r="F64">
        <v>479</v>
      </c>
      <c r="G64">
        <v>75</v>
      </c>
      <c r="H64">
        <v>7514</v>
      </c>
      <c r="I64">
        <v>75142</v>
      </c>
      <c r="J64" t="s">
        <v>98</v>
      </c>
      <c r="L64">
        <v>0</v>
      </c>
      <c r="M64" t="s">
        <v>185</v>
      </c>
      <c r="N64">
        <v>0</v>
      </c>
      <c r="R64">
        <v>0</v>
      </c>
      <c r="V64">
        <v>0</v>
      </c>
      <c r="Z64">
        <v>0</v>
      </c>
      <c r="AD64">
        <v>0</v>
      </c>
      <c r="AH64">
        <v>0</v>
      </c>
      <c r="AL64">
        <v>0</v>
      </c>
      <c r="AP64">
        <v>0</v>
      </c>
    </row>
    <row r="65" spans="1:45" x14ac:dyDescent="0.75">
      <c r="A65">
        <v>64</v>
      </c>
      <c r="B65">
        <v>58</v>
      </c>
      <c r="D65">
        <v>7</v>
      </c>
      <c r="E65">
        <v>22</v>
      </c>
      <c r="F65">
        <v>217</v>
      </c>
      <c r="G65">
        <v>50</v>
      </c>
      <c r="H65">
        <v>5002</v>
      </c>
      <c r="I65">
        <v>50021</v>
      </c>
      <c r="J65" t="s">
        <v>99</v>
      </c>
      <c r="L65">
        <v>0</v>
      </c>
      <c r="M65" t="s">
        <v>185</v>
      </c>
      <c r="N65">
        <v>0</v>
      </c>
      <c r="R65">
        <v>0</v>
      </c>
      <c r="V65">
        <v>0</v>
      </c>
      <c r="Z65">
        <v>0</v>
      </c>
      <c r="AD65">
        <v>0</v>
      </c>
      <c r="AH65">
        <v>0</v>
      </c>
      <c r="AL65">
        <v>0</v>
      </c>
      <c r="AP65">
        <v>0</v>
      </c>
    </row>
    <row r="66" spans="1:45" x14ac:dyDescent="0.75">
      <c r="A66">
        <v>65</v>
      </c>
      <c r="B66">
        <v>58</v>
      </c>
      <c r="D66">
        <v>7</v>
      </c>
      <c r="E66">
        <v>22</v>
      </c>
      <c r="F66">
        <v>218</v>
      </c>
      <c r="G66">
        <v>50</v>
      </c>
      <c r="H66">
        <v>5002</v>
      </c>
      <c r="I66">
        <v>50022</v>
      </c>
      <c r="J66" t="s">
        <v>100</v>
      </c>
      <c r="L66">
        <v>0</v>
      </c>
      <c r="M66" t="s">
        <v>185</v>
      </c>
      <c r="N66">
        <v>0</v>
      </c>
      <c r="R66">
        <v>0</v>
      </c>
      <c r="V66">
        <v>0</v>
      </c>
      <c r="Z66">
        <v>0</v>
      </c>
      <c r="AD66">
        <v>0</v>
      </c>
      <c r="AH66">
        <v>0</v>
      </c>
      <c r="AL66">
        <v>0</v>
      </c>
      <c r="AP66">
        <v>0</v>
      </c>
    </row>
    <row r="67" spans="1:45" x14ac:dyDescent="0.75">
      <c r="A67">
        <v>66</v>
      </c>
      <c r="B67">
        <v>58</v>
      </c>
      <c r="D67">
        <v>7</v>
      </c>
      <c r="E67" t="s">
        <v>186</v>
      </c>
      <c r="F67">
        <v>219</v>
      </c>
      <c r="G67">
        <v>50</v>
      </c>
      <c r="H67" t="s">
        <v>101</v>
      </c>
      <c r="I67">
        <v>50041</v>
      </c>
      <c r="J67" t="s">
        <v>102</v>
      </c>
      <c r="L67">
        <v>0</v>
      </c>
      <c r="M67" t="s">
        <v>185</v>
      </c>
      <c r="N67">
        <v>0</v>
      </c>
      <c r="R67">
        <v>0</v>
      </c>
      <c r="V67">
        <v>0</v>
      </c>
      <c r="Z67">
        <v>0</v>
      </c>
      <c r="AD67">
        <v>0</v>
      </c>
      <c r="AH67">
        <v>0</v>
      </c>
      <c r="AL67">
        <v>0</v>
      </c>
      <c r="AP67">
        <v>0</v>
      </c>
    </row>
    <row r="68" spans="1:45" x14ac:dyDescent="0.75">
      <c r="A68">
        <v>67</v>
      </c>
      <c r="C68" t="s">
        <v>186</v>
      </c>
      <c r="D68" t="s">
        <v>186</v>
      </c>
      <c r="E68" t="s">
        <v>186</v>
      </c>
      <c r="F68" t="e">
        <v>#N/A</v>
      </c>
      <c r="J68" t="s">
        <v>103</v>
      </c>
      <c r="K68">
        <v>0</v>
      </c>
      <c r="L68">
        <v>0</v>
      </c>
      <c r="M68" t="s">
        <v>185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75">
      <c r="A69">
        <v>68</v>
      </c>
      <c r="B69">
        <v>58</v>
      </c>
      <c r="D69">
        <v>23</v>
      </c>
      <c r="E69">
        <v>124</v>
      </c>
      <c r="F69">
        <v>478</v>
      </c>
      <c r="G69">
        <v>75</v>
      </c>
      <c r="H69">
        <v>7514</v>
      </c>
      <c r="I69">
        <v>75141</v>
      </c>
      <c r="J69" t="s">
        <v>97</v>
      </c>
      <c r="L69">
        <v>0</v>
      </c>
      <c r="M69" t="s">
        <v>185</v>
      </c>
      <c r="N69">
        <v>0</v>
      </c>
      <c r="R69">
        <v>0</v>
      </c>
      <c r="V69">
        <v>0</v>
      </c>
      <c r="Z69">
        <v>0</v>
      </c>
      <c r="AD69">
        <v>0</v>
      </c>
      <c r="AH69">
        <v>0</v>
      </c>
      <c r="AL69">
        <v>0</v>
      </c>
      <c r="AP69">
        <v>0</v>
      </c>
    </row>
    <row r="70" spans="1:45" x14ac:dyDescent="0.75">
      <c r="A70">
        <v>69</v>
      </c>
      <c r="B70">
        <v>58</v>
      </c>
      <c r="D70">
        <v>23</v>
      </c>
      <c r="E70">
        <v>124</v>
      </c>
      <c r="F70">
        <v>479</v>
      </c>
      <c r="G70">
        <v>75</v>
      </c>
      <c r="H70">
        <v>7514</v>
      </c>
      <c r="I70">
        <v>75142</v>
      </c>
      <c r="J70" t="s">
        <v>104</v>
      </c>
      <c r="L70">
        <v>0</v>
      </c>
      <c r="M70" t="s">
        <v>185</v>
      </c>
      <c r="N70">
        <v>0</v>
      </c>
      <c r="R70">
        <v>0</v>
      </c>
      <c r="V70">
        <v>0</v>
      </c>
      <c r="Z70">
        <v>0</v>
      </c>
      <c r="AD70">
        <v>0</v>
      </c>
      <c r="AH70">
        <v>0</v>
      </c>
      <c r="AL70">
        <v>0</v>
      </c>
      <c r="AP70">
        <v>0</v>
      </c>
    </row>
    <row r="71" spans="1:45" x14ac:dyDescent="0.75">
      <c r="A71">
        <v>70</v>
      </c>
      <c r="B71">
        <v>58</v>
      </c>
      <c r="D71">
        <v>7</v>
      </c>
      <c r="E71">
        <v>22</v>
      </c>
      <c r="F71">
        <v>217</v>
      </c>
      <c r="G71">
        <v>50</v>
      </c>
      <c r="H71">
        <v>5002</v>
      </c>
      <c r="I71">
        <v>50021</v>
      </c>
      <c r="J71" t="s">
        <v>99</v>
      </c>
      <c r="L71">
        <v>0</v>
      </c>
      <c r="M71" t="s">
        <v>185</v>
      </c>
      <c r="N71">
        <v>0</v>
      </c>
      <c r="R71">
        <v>0</v>
      </c>
      <c r="V71">
        <v>0</v>
      </c>
      <c r="Z71">
        <v>0</v>
      </c>
      <c r="AD71">
        <v>0</v>
      </c>
      <c r="AH71">
        <v>0</v>
      </c>
      <c r="AL71">
        <v>0</v>
      </c>
      <c r="AP71">
        <v>0</v>
      </c>
    </row>
    <row r="72" spans="1:45" x14ac:dyDescent="0.75">
      <c r="A72">
        <v>71</v>
      </c>
      <c r="B72">
        <v>58</v>
      </c>
      <c r="D72">
        <v>7</v>
      </c>
      <c r="E72">
        <v>22</v>
      </c>
      <c r="F72">
        <v>218</v>
      </c>
      <c r="G72">
        <v>50</v>
      </c>
      <c r="H72">
        <v>5002</v>
      </c>
      <c r="I72">
        <v>50022</v>
      </c>
      <c r="J72" t="s">
        <v>100</v>
      </c>
      <c r="L72">
        <v>0</v>
      </c>
      <c r="M72" t="s">
        <v>185</v>
      </c>
      <c r="N72">
        <v>0</v>
      </c>
      <c r="R72">
        <v>0</v>
      </c>
      <c r="V72">
        <v>0</v>
      </c>
      <c r="Z72">
        <v>0</v>
      </c>
      <c r="AD72">
        <v>0</v>
      </c>
      <c r="AH72">
        <v>0</v>
      </c>
      <c r="AL72">
        <v>0</v>
      </c>
      <c r="AP72">
        <v>0</v>
      </c>
    </row>
    <row r="73" spans="1:45" x14ac:dyDescent="0.75">
      <c r="A73">
        <v>72</v>
      </c>
      <c r="B73">
        <v>0</v>
      </c>
      <c r="C73">
        <v>28</v>
      </c>
      <c r="D73" t="s">
        <v>186</v>
      </c>
      <c r="E73" t="s">
        <v>186</v>
      </c>
      <c r="F73" t="e">
        <v>#N/A</v>
      </c>
      <c r="J73" t="s">
        <v>105</v>
      </c>
      <c r="K73">
        <v>0</v>
      </c>
      <c r="L73">
        <v>0</v>
      </c>
      <c r="M73" t="s">
        <v>185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75">
      <c r="A74">
        <v>73</v>
      </c>
      <c r="B74">
        <v>72</v>
      </c>
      <c r="D74">
        <v>21</v>
      </c>
      <c r="E74">
        <v>104</v>
      </c>
      <c r="F74">
        <v>468</v>
      </c>
      <c r="G74">
        <v>73</v>
      </c>
      <c r="H74">
        <v>7302</v>
      </c>
      <c r="I74">
        <v>73023</v>
      </c>
      <c r="J74" t="s">
        <v>83</v>
      </c>
      <c r="L74">
        <v>0</v>
      </c>
      <c r="M74" t="s">
        <v>185</v>
      </c>
      <c r="N74">
        <v>0</v>
      </c>
      <c r="R74">
        <v>0</v>
      </c>
      <c r="S74">
        <v>0</v>
      </c>
      <c r="T74">
        <v>0</v>
      </c>
      <c r="U74">
        <v>0</v>
      </c>
      <c r="V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75">
      <c r="A75">
        <v>74</v>
      </c>
      <c r="B75">
        <v>72</v>
      </c>
      <c r="D75">
        <v>21</v>
      </c>
      <c r="E75">
        <v>107</v>
      </c>
      <c r="F75">
        <v>473</v>
      </c>
      <c r="G75">
        <v>73</v>
      </c>
      <c r="H75">
        <v>7306</v>
      </c>
      <c r="I75">
        <v>73066</v>
      </c>
      <c r="J75" t="s">
        <v>70</v>
      </c>
      <c r="L75">
        <v>0</v>
      </c>
      <c r="M75" t="s">
        <v>185</v>
      </c>
      <c r="N75">
        <v>0</v>
      </c>
      <c r="R75">
        <v>0</v>
      </c>
      <c r="S75">
        <v>0</v>
      </c>
      <c r="T75">
        <v>0</v>
      </c>
      <c r="U75">
        <v>0</v>
      </c>
      <c r="V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75">
      <c r="A76">
        <v>75</v>
      </c>
      <c r="B76">
        <v>72</v>
      </c>
      <c r="D76">
        <v>21</v>
      </c>
      <c r="E76">
        <v>108</v>
      </c>
      <c r="F76">
        <v>480</v>
      </c>
      <c r="G76">
        <v>73</v>
      </c>
      <c r="H76">
        <v>7307</v>
      </c>
      <c r="I76">
        <v>73071</v>
      </c>
      <c r="J76" t="s">
        <v>107</v>
      </c>
      <c r="L76">
        <v>0</v>
      </c>
      <c r="M76" t="s">
        <v>185</v>
      </c>
      <c r="N76">
        <v>0</v>
      </c>
      <c r="R76">
        <v>0</v>
      </c>
      <c r="S76">
        <v>0</v>
      </c>
      <c r="T76">
        <v>0</v>
      </c>
      <c r="U76">
        <v>0</v>
      </c>
      <c r="V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75">
      <c r="A77">
        <v>76</v>
      </c>
      <c r="B77">
        <v>72</v>
      </c>
      <c r="D77">
        <v>21</v>
      </c>
      <c r="E77">
        <v>108</v>
      </c>
      <c r="F77">
        <v>481</v>
      </c>
      <c r="G77">
        <v>73</v>
      </c>
      <c r="H77">
        <v>7307</v>
      </c>
      <c r="I77">
        <v>73072</v>
      </c>
      <c r="J77" t="s">
        <v>108</v>
      </c>
      <c r="L77">
        <v>0</v>
      </c>
      <c r="M77" t="s">
        <v>185</v>
      </c>
      <c r="N77">
        <v>0</v>
      </c>
      <c r="R77">
        <v>0</v>
      </c>
      <c r="S77">
        <v>0</v>
      </c>
      <c r="T77">
        <v>0</v>
      </c>
      <c r="U77">
        <v>0</v>
      </c>
      <c r="V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P77">
        <v>0</v>
      </c>
      <c r="AQ77">
        <v>0</v>
      </c>
      <c r="AR77">
        <v>0</v>
      </c>
      <c r="AS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603B-4F29-4847-B204-7D1CAF3EBE24}">
  <sheetPr>
    <tabColor rgb="FFFFC000"/>
  </sheetPr>
  <dimension ref="A1:AV562"/>
  <sheetViews>
    <sheetView topLeftCell="A4" zoomScale="85" zoomScaleNormal="85" workbookViewId="0">
      <pane ySplit="6" topLeftCell="A10" activePane="bottomLeft" state="frozen"/>
      <selection activeCell="A4" sqref="A4"/>
      <selection pane="bottomLeft" activeCell="A4" sqref="A1:XFD1048576"/>
    </sheetView>
  </sheetViews>
  <sheetFormatPr defaultColWidth="9.1328125" defaultRowHeight="24.75" customHeight="1" x14ac:dyDescent="0.75"/>
  <cols>
    <col min="1" max="1" width="9.1328125" style="4"/>
    <col min="2" max="2" width="10.04296875" style="4" customWidth="1"/>
    <col min="3" max="3" width="9.1328125" style="4"/>
    <col min="4" max="4" width="19.36328125" style="4" customWidth="1"/>
    <col min="5" max="5" width="11.453125" style="4" customWidth="1"/>
    <col min="6" max="6" width="19" style="4" customWidth="1"/>
    <col min="7" max="7" width="4.54296875" style="1" customWidth="1"/>
    <col min="8" max="8" width="4.54296875" style="2" customWidth="1"/>
    <col min="9" max="9" width="7.08984375" style="3" customWidth="1"/>
    <col min="10" max="10" width="51.7265625" style="4" customWidth="1"/>
    <col min="11" max="11" width="12.86328125" style="4" customWidth="1"/>
    <col min="12" max="12" width="20.04296875" style="4" customWidth="1"/>
    <col min="13" max="13" width="21.6796875" style="4" customWidth="1"/>
    <col min="14" max="15" width="12" style="4" customWidth="1"/>
    <col min="16" max="17" width="11.40625" style="4" customWidth="1"/>
    <col min="18" max="18" width="11.54296875" style="4" customWidth="1"/>
    <col min="19" max="20" width="11.86328125" style="4" customWidth="1"/>
    <col min="21" max="21" width="15.1796875" style="4" customWidth="1"/>
    <col min="22" max="22" width="14.7265625" style="4" customWidth="1"/>
    <col min="23" max="23" width="11" style="4" customWidth="1"/>
    <col min="24" max="24" width="11.1328125" style="4" customWidth="1"/>
    <col min="25" max="25" width="11.26953125" style="4" customWidth="1"/>
    <col min="26" max="29" width="11.86328125" style="4" customWidth="1"/>
    <col min="30" max="30" width="11.40625" style="4" customWidth="1"/>
    <col min="31" max="31" width="11.26953125" style="4" customWidth="1"/>
    <col min="32" max="32" width="11" style="4" customWidth="1"/>
    <col min="33" max="33" width="11.1328125" style="4" customWidth="1"/>
    <col min="34" max="37" width="11.86328125" style="4" customWidth="1"/>
    <col min="38" max="38" width="11.26953125" style="4" customWidth="1"/>
    <col min="39" max="39" width="11.1328125" style="4" customWidth="1"/>
    <col min="40" max="41" width="11.26953125" style="4" customWidth="1"/>
    <col min="42" max="43" width="12.1328125" style="4" customWidth="1"/>
    <col min="44" max="44" width="12.26953125" style="4" customWidth="1"/>
    <col min="45" max="45" width="11.54296875" style="4" customWidth="1"/>
    <col min="46" max="46" width="9.6328125" style="4" customWidth="1"/>
    <col min="47" max="47" width="9.1328125" style="3" customWidth="1"/>
    <col min="48" max="48" width="19.7265625" style="4" customWidth="1"/>
    <col min="49" max="16384" width="9.1328125" style="4"/>
  </cols>
  <sheetData>
    <row r="1" spans="1:48" ht="12.75" customHeight="1" x14ac:dyDescent="0.75">
      <c r="AS1" s="5"/>
    </row>
    <row r="2" spans="1:48" ht="29.25" customHeight="1" x14ac:dyDescent="0.75">
      <c r="T2" s="5"/>
      <c r="AA2" s="6"/>
      <c r="AB2" s="7" t="s">
        <v>0</v>
      </c>
      <c r="AC2" s="6"/>
      <c r="AJ2" s="5"/>
      <c r="AL2" s="8"/>
      <c r="AM2" s="8"/>
      <c r="AN2" s="7" t="s">
        <v>0</v>
      </c>
      <c r="AO2" s="8"/>
      <c r="AP2" s="8"/>
      <c r="AQ2" s="8"/>
      <c r="AR2" s="5"/>
      <c r="AS2" s="8"/>
      <c r="AT2" s="8"/>
    </row>
    <row r="3" spans="1:48" ht="27" customHeight="1" x14ac:dyDescent="0.75">
      <c r="G3" s="9" t="s">
        <v>1</v>
      </c>
      <c r="H3" s="10"/>
      <c r="I3" s="11"/>
      <c r="J3" s="12"/>
      <c r="T3" s="13"/>
      <c r="AA3" s="14"/>
      <c r="AB3" s="15" t="s">
        <v>2</v>
      </c>
      <c r="AC3" s="14"/>
      <c r="AJ3" s="13"/>
      <c r="AL3" s="16"/>
      <c r="AM3" s="16"/>
      <c r="AN3" s="15" t="s">
        <v>2</v>
      </c>
      <c r="AO3" s="16"/>
      <c r="AP3" s="8"/>
      <c r="AQ3" s="8"/>
      <c r="AR3" s="13"/>
      <c r="AS3" s="8"/>
      <c r="AT3" s="16"/>
    </row>
    <row r="4" spans="1:48" ht="26.25" hidden="1" customHeight="1" x14ac:dyDescent="0.75">
      <c r="G4" s="17" t="s">
        <v>3</v>
      </c>
      <c r="H4" s="10"/>
      <c r="I4" s="11"/>
      <c r="J4" s="12"/>
      <c r="Y4" s="4" t="s">
        <v>4</v>
      </c>
    </row>
    <row r="5" spans="1:48" ht="26.25" hidden="1" customHeight="1" x14ac:dyDescent="0.75">
      <c r="G5" s="17"/>
      <c r="H5" s="10"/>
      <c r="I5" s="11"/>
      <c r="J5" s="12"/>
    </row>
    <row r="6" spans="1:48" ht="26.25" hidden="1" customHeight="1" x14ac:dyDescent="0.75">
      <c r="G6" s="10"/>
      <c r="H6" s="10"/>
      <c r="I6" s="11"/>
      <c r="J6" s="12"/>
      <c r="AD6" s="18"/>
    </row>
    <row r="7" spans="1:48" ht="27" hidden="1" customHeight="1" x14ac:dyDescent="0.75">
      <c r="G7" s="369" t="s">
        <v>5</v>
      </c>
      <c r="H7" s="369"/>
      <c r="I7" s="369"/>
      <c r="J7" s="369"/>
      <c r="K7" s="370"/>
      <c r="L7" s="369"/>
      <c r="M7" s="369"/>
      <c r="N7" s="369"/>
      <c r="O7" s="369"/>
      <c r="P7" s="369"/>
      <c r="Q7" s="369"/>
      <c r="R7" s="371"/>
      <c r="S7" s="371"/>
      <c r="T7" s="371"/>
      <c r="U7" s="371"/>
      <c r="V7" s="369"/>
      <c r="W7" s="369"/>
      <c r="X7" s="369"/>
      <c r="Y7" s="369"/>
      <c r="Z7" s="371"/>
      <c r="AA7" s="371"/>
      <c r="AB7" s="371"/>
      <c r="AC7" s="371"/>
      <c r="AD7" s="369"/>
      <c r="AE7" s="369"/>
      <c r="AF7" s="369"/>
      <c r="AG7" s="369"/>
      <c r="AH7" s="371"/>
      <c r="AI7" s="371"/>
      <c r="AJ7" s="371"/>
      <c r="AK7" s="371"/>
      <c r="AL7" s="369"/>
      <c r="AM7" s="369"/>
      <c r="AN7" s="369"/>
      <c r="AO7" s="369"/>
      <c r="AP7" s="371"/>
      <c r="AQ7" s="371"/>
      <c r="AR7" s="371"/>
      <c r="AS7" s="371"/>
      <c r="AT7" s="369"/>
    </row>
    <row r="8" spans="1:48" ht="27" hidden="1" customHeight="1" x14ac:dyDescent="0.75">
      <c r="G8" s="372" t="s">
        <v>6</v>
      </c>
      <c r="H8" s="372"/>
      <c r="I8" s="372"/>
      <c r="J8" s="372"/>
      <c r="K8" s="373"/>
      <c r="L8" s="372"/>
      <c r="M8" s="372"/>
      <c r="N8" s="372"/>
      <c r="O8" s="372"/>
      <c r="P8" s="372"/>
      <c r="Q8" s="372"/>
      <c r="R8" s="374"/>
      <c r="S8" s="374"/>
      <c r="T8" s="374"/>
      <c r="U8" s="374"/>
      <c r="V8" s="372"/>
      <c r="W8" s="372"/>
      <c r="X8" s="372"/>
      <c r="Y8" s="372"/>
      <c r="Z8" s="374"/>
      <c r="AA8" s="374"/>
      <c r="AB8" s="374"/>
      <c r="AC8" s="374"/>
      <c r="AD8" s="372"/>
      <c r="AE8" s="372"/>
      <c r="AF8" s="372"/>
      <c r="AG8" s="372"/>
      <c r="AH8" s="374"/>
      <c r="AI8" s="374"/>
      <c r="AJ8" s="374"/>
      <c r="AK8" s="374"/>
      <c r="AL8" s="372"/>
      <c r="AM8" s="372"/>
      <c r="AN8" s="372"/>
      <c r="AO8" s="372"/>
      <c r="AP8" s="374"/>
      <c r="AQ8" s="374"/>
      <c r="AR8" s="374"/>
      <c r="AS8" s="374"/>
      <c r="AT8" s="372"/>
    </row>
    <row r="9" spans="1:48" ht="26.25" customHeight="1" thickBot="1" x14ac:dyDescent="0.9">
      <c r="A9" s="4" t="s">
        <v>138</v>
      </c>
      <c r="B9" s="4" t="s">
        <v>187</v>
      </c>
      <c r="C9" s="4" t="s">
        <v>139</v>
      </c>
      <c r="D9" s="4" t="s">
        <v>140</v>
      </c>
      <c r="E9" s="4" t="s">
        <v>141</v>
      </c>
      <c r="F9" s="4" t="s">
        <v>142</v>
      </c>
      <c r="K9" s="20" t="s">
        <v>149</v>
      </c>
      <c r="L9" t="s">
        <v>150</v>
      </c>
      <c r="M9" t="s">
        <v>151</v>
      </c>
      <c r="N9" t="s">
        <v>152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  <c r="V9" t="s">
        <v>160</v>
      </c>
      <c r="W9" t="s">
        <v>161</v>
      </c>
      <c r="X9" t="s">
        <v>162</v>
      </c>
      <c r="Y9" t="s">
        <v>163</v>
      </c>
      <c r="Z9" t="s">
        <v>164</v>
      </c>
      <c r="AA9" t="s">
        <v>165</v>
      </c>
      <c r="AB9" t="s">
        <v>166</v>
      </c>
      <c r="AC9" t="s">
        <v>167</v>
      </c>
      <c r="AD9" t="s">
        <v>168</v>
      </c>
      <c r="AE9" t="s">
        <v>170</v>
      </c>
      <c r="AF9" t="s">
        <v>169</v>
      </c>
      <c r="AG9" t="s">
        <v>171</v>
      </c>
      <c r="AH9" t="s">
        <v>172</v>
      </c>
      <c r="AI9" t="s">
        <v>173</v>
      </c>
      <c r="AJ9" t="s">
        <v>174</v>
      </c>
      <c r="AK9" t="s">
        <v>175</v>
      </c>
      <c r="AL9" t="s">
        <v>176</v>
      </c>
      <c r="AM9" t="s">
        <v>177</v>
      </c>
      <c r="AN9" t="s">
        <v>178</v>
      </c>
      <c r="AO9" t="s">
        <v>179</v>
      </c>
      <c r="AP9" t="s">
        <v>180</v>
      </c>
      <c r="AQ9" t="s">
        <v>181</v>
      </c>
      <c r="AR9" t="s">
        <v>182</v>
      </c>
      <c r="AS9" t="s">
        <v>183</v>
      </c>
      <c r="AT9" t="s">
        <v>184</v>
      </c>
      <c r="AU9" s="22" t="s">
        <v>7</v>
      </c>
    </row>
    <row r="10" spans="1:48" ht="42" customHeight="1" thickTop="1" x14ac:dyDescent="0.75">
      <c r="G10" s="375" t="s">
        <v>8</v>
      </c>
      <c r="H10" s="378" t="s">
        <v>9</v>
      </c>
      <c r="I10" s="381" t="s">
        <v>10</v>
      </c>
      <c r="J10" s="384" t="s">
        <v>11</v>
      </c>
      <c r="K10" s="387" t="s">
        <v>12</v>
      </c>
      <c r="L10" s="387" t="s">
        <v>13</v>
      </c>
      <c r="M10" s="387"/>
      <c r="N10" s="387" t="s">
        <v>14</v>
      </c>
      <c r="O10" s="387"/>
      <c r="P10" s="387"/>
      <c r="Q10" s="387"/>
      <c r="R10" s="390"/>
      <c r="S10" s="390"/>
      <c r="T10" s="390"/>
      <c r="U10" s="390"/>
      <c r="V10" s="387" t="s">
        <v>15</v>
      </c>
      <c r="W10" s="387"/>
      <c r="X10" s="387"/>
      <c r="Y10" s="387"/>
      <c r="Z10" s="390"/>
      <c r="AA10" s="390"/>
      <c r="AB10" s="390"/>
      <c r="AC10" s="390"/>
      <c r="AD10" s="387" t="s">
        <v>16</v>
      </c>
      <c r="AE10" s="387"/>
      <c r="AF10" s="387"/>
      <c r="AG10" s="387"/>
      <c r="AH10" s="390"/>
      <c r="AI10" s="390"/>
      <c r="AJ10" s="390"/>
      <c r="AK10" s="390"/>
      <c r="AL10" s="387" t="s">
        <v>17</v>
      </c>
      <c r="AM10" s="387"/>
      <c r="AN10" s="387"/>
      <c r="AO10" s="387"/>
      <c r="AP10" s="390"/>
      <c r="AQ10" s="390"/>
      <c r="AR10" s="390"/>
      <c r="AS10" s="390"/>
      <c r="AT10" s="364" t="s">
        <v>18</v>
      </c>
    </row>
    <row r="11" spans="1:48" ht="42" customHeight="1" x14ac:dyDescent="0.75">
      <c r="G11" s="376"/>
      <c r="H11" s="379"/>
      <c r="I11" s="382"/>
      <c r="J11" s="385"/>
      <c r="K11" s="388"/>
      <c r="L11" s="388"/>
      <c r="M11" s="388"/>
      <c r="N11" s="367" t="s">
        <v>19</v>
      </c>
      <c r="O11" s="367"/>
      <c r="P11" s="367"/>
      <c r="Q11" s="367"/>
      <c r="R11" s="368" t="s">
        <v>20</v>
      </c>
      <c r="S11" s="368"/>
      <c r="T11" s="368"/>
      <c r="U11" s="368"/>
      <c r="V11" s="367" t="s">
        <v>19</v>
      </c>
      <c r="W11" s="367"/>
      <c r="X11" s="367"/>
      <c r="Y11" s="367"/>
      <c r="Z11" s="368" t="s">
        <v>21</v>
      </c>
      <c r="AA11" s="368"/>
      <c r="AB11" s="368"/>
      <c r="AC11" s="368"/>
      <c r="AD11" s="367" t="s">
        <v>19</v>
      </c>
      <c r="AE11" s="367"/>
      <c r="AF11" s="367"/>
      <c r="AG11" s="367"/>
      <c r="AH11" s="368" t="s">
        <v>20</v>
      </c>
      <c r="AI11" s="368"/>
      <c r="AJ11" s="368"/>
      <c r="AK11" s="368"/>
      <c r="AL11" s="367" t="s">
        <v>22</v>
      </c>
      <c r="AM11" s="367"/>
      <c r="AN11" s="367"/>
      <c r="AO11" s="367"/>
      <c r="AP11" s="368" t="s">
        <v>23</v>
      </c>
      <c r="AQ11" s="368"/>
      <c r="AR11" s="368"/>
      <c r="AS11" s="368"/>
      <c r="AT11" s="365"/>
    </row>
    <row r="12" spans="1:48" ht="42" customHeight="1" thickBot="1" x14ac:dyDescent="0.9">
      <c r="G12" s="377"/>
      <c r="H12" s="380"/>
      <c r="I12" s="383"/>
      <c r="J12" s="386"/>
      <c r="K12" s="389"/>
      <c r="L12" s="23" t="s">
        <v>24</v>
      </c>
      <c r="M12" s="24" t="s">
        <v>25</v>
      </c>
      <c r="N12" s="25" t="s">
        <v>26</v>
      </c>
      <c r="O12" s="26" t="s">
        <v>27</v>
      </c>
      <c r="P12" s="26" t="s">
        <v>28</v>
      </c>
      <c r="Q12" s="24" t="s">
        <v>29</v>
      </c>
      <c r="R12" s="27" t="s">
        <v>26</v>
      </c>
      <c r="S12" s="28" t="s">
        <v>30</v>
      </c>
      <c r="T12" s="28" t="s">
        <v>31</v>
      </c>
      <c r="U12" s="29" t="s">
        <v>32</v>
      </c>
      <c r="V12" s="25" t="s">
        <v>26</v>
      </c>
      <c r="W12" s="26" t="s">
        <v>33</v>
      </c>
      <c r="X12" s="26" t="s">
        <v>34</v>
      </c>
      <c r="Y12" s="24" t="s">
        <v>35</v>
      </c>
      <c r="Z12" s="27" t="s">
        <v>26</v>
      </c>
      <c r="AA12" s="28" t="s">
        <v>33</v>
      </c>
      <c r="AB12" s="28" t="s">
        <v>34</v>
      </c>
      <c r="AC12" s="29" t="s">
        <v>35</v>
      </c>
      <c r="AD12" s="25" t="s">
        <v>26</v>
      </c>
      <c r="AE12" s="26" t="s">
        <v>36</v>
      </c>
      <c r="AF12" s="26" t="s">
        <v>37</v>
      </c>
      <c r="AG12" s="24" t="s">
        <v>38</v>
      </c>
      <c r="AH12" s="27" t="s">
        <v>26</v>
      </c>
      <c r="AI12" s="28" t="s">
        <v>39</v>
      </c>
      <c r="AJ12" s="28" t="s">
        <v>40</v>
      </c>
      <c r="AK12" s="29" t="s">
        <v>41</v>
      </c>
      <c r="AL12" s="25" t="s">
        <v>26</v>
      </c>
      <c r="AM12" s="26" t="s">
        <v>42</v>
      </c>
      <c r="AN12" s="26" t="s">
        <v>43</v>
      </c>
      <c r="AO12" s="24" t="s">
        <v>44</v>
      </c>
      <c r="AP12" s="27" t="s">
        <v>26</v>
      </c>
      <c r="AQ12" s="28" t="s">
        <v>42</v>
      </c>
      <c r="AR12" s="28" t="s">
        <v>43</v>
      </c>
      <c r="AS12" s="29" t="s">
        <v>44</v>
      </c>
      <c r="AT12" s="366"/>
    </row>
    <row r="13" spans="1:48" s="44" customFormat="1" ht="45.75" customHeight="1" thickTop="1" x14ac:dyDescent="0.75">
      <c r="G13" s="30"/>
      <c r="H13" s="31"/>
      <c r="I13" s="32"/>
      <c r="J13" s="33" t="s">
        <v>45</v>
      </c>
      <c r="K13" s="34">
        <f>K14+K87</f>
        <v>0</v>
      </c>
      <c r="L13" s="35">
        <f>L14+L87</f>
        <v>0</v>
      </c>
      <c r="M13" s="36" t="str">
        <f t="shared" ref="M13:M28" si="0">IFERROR(L13/K13, "-")</f>
        <v>-</v>
      </c>
      <c r="N13" s="35">
        <f t="shared" ref="N13:AS13" si="1">N14+N87</f>
        <v>0</v>
      </c>
      <c r="O13" s="37">
        <f t="shared" si="1"/>
        <v>0</v>
      </c>
      <c r="P13" s="37">
        <f t="shared" si="1"/>
        <v>0</v>
      </c>
      <c r="Q13" s="38">
        <f t="shared" si="1"/>
        <v>0</v>
      </c>
      <c r="R13" s="39">
        <f t="shared" si="1"/>
        <v>0</v>
      </c>
      <c r="S13" s="40">
        <f t="shared" si="1"/>
        <v>0</v>
      </c>
      <c r="T13" s="40">
        <f t="shared" si="1"/>
        <v>0</v>
      </c>
      <c r="U13" s="41">
        <f t="shared" si="1"/>
        <v>0</v>
      </c>
      <c r="V13" s="35">
        <f t="shared" si="1"/>
        <v>0</v>
      </c>
      <c r="W13" s="37">
        <f t="shared" si="1"/>
        <v>0</v>
      </c>
      <c r="X13" s="37">
        <f t="shared" si="1"/>
        <v>0</v>
      </c>
      <c r="Y13" s="38">
        <f t="shared" si="1"/>
        <v>0</v>
      </c>
      <c r="Z13" s="39">
        <f t="shared" si="1"/>
        <v>0</v>
      </c>
      <c r="AA13" s="40">
        <f t="shared" si="1"/>
        <v>0</v>
      </c>
      <c r="AB13" s="40">
        <f t="shared" si="1"/>
        <v>0</v>
      </c>
      <c r="AC13" s="41">
        <f t="shared" si="1"/>
        <v>0</v>
      </c>
      <c r="AD13" s="35">
        <f t="shared" si="1"/>
        <v>0</v>
      </c>
      <c r="AE13" s="37">
        <f t="shared" si="1"/>
        <v>0</v>
      </c>
      <c r="AF13" s="37">
        <f t="shared" si="1"/>
        <v>0</v>
      </c>
      <c r="AG13" s="38">
        <f t="shared" si="1"/>
        <v>0</v>
      </c>
      <c r="AH13" s="39">
        <f t="shared" si="1"/>
        <v>0</v>
      </c>
      <c r="AI13" s="40">
        <f t="shared" si="1"/>
        <v>0</v>
      </c>
      <c r="AJ13" s="40">
        <f t="shared" si="1"/>
        <v>0</v>
      </c>
      <c r="AK13" s="41">
        <f t="shared" si="1"/>
        <v>0</v>
      </c>
      <c r="AL13" s="35">
        <f t="shared" si="1"/>
        <v>0</v>
      </c>
      <c r="AM13" s="37">
        <f t="shared" si="1"/>
        <v>0</v>
      </c>
      <c r="AN13" s="37">
        <f t="shared" si="1"/>
        <v>0</v>
      </c>
      <c r="AO13" s="38">
        <f t="shared" si="1"/>
        <v>0</v>
      </c>
      <c r="AP13" s="39">
        <f t="shared" si="1"/>
        <v>0</v>
      </c>
      <c r="AQ13" s="40">
        <f t="shared" si="1"/>
        <v>0</v>
      </c>
      <c r="AR13" s="40">
        <f t="shared" si="1"/>
        <v>0</v>
      </c>
      <c r="AS13" s="41">
        <f t="shared" si="1"/>
        <v>0</v>
      </c>
      <c r="AT13" s="42"/>
      <c r="AU13" s="43" t="str">
        <f t="shared" ref="AU13:AU89" si="2">IF(SUM(K13:L13)&lt;&gt;0, "OK", "-")</f>
        <v>-</v>
      </c>
    </row>
    <row r="14" spans="1:48" s="55" customFormat="1" ht="26.25" customHeight="1" x14ac:dyDescent="0.75">
      <c r="G14" s="45" t="s">
        <v>46</v>
      </c>
      <c r="H14" s="46"/>
      <c r="I14" s="46"/>
      <c r="J14" s="47"/>
      <c r="K14" s="48">
        <f>K16+K39+K55+K58+K60+K64+K67</f>
        <v>0</v>
      </c>
      <c r="L14" s="49">
        <f>L16+L39+L55+L58+L60+L64+L67</f>
        <v>0</v>
      </c>
      <c r="M14" s="50" t="str">
        <f t="shared" si="0"/>
        <v>-</v>
      </c>
      <c r="N14" s="49">
        <f t="shared" ref="N14:AS14" si="3">N16+N39+N55+N58+N60+N64+N67</f>
        <v>0</v>
      </c>
      <c r="O14" s="51">
        <f t="shared" si="3"/>
        <v>0</v>
      </c>
      <c r="P14" s="51">
        <f t="shared" si="3"/>
        <v>0</v>
      </c>
      <c r="Q14" s="52">
        <f t="shared" si="3"/>
        <v>0</v>
      </c>
      <c r="R14" s="49">
        <f t="shared" si="3"/>
        <v>0</v>
      </c>
      <c r="S14" s="51">
        <f t="shared" si="3"/>
        <v>0</v>
      </c>
      <c r="T14" s="51">
        <f t="shared" si="3"/>
        <v>0</v>
      </c>
      <c r="U14" s="52">
        <f t="shared" si="3"/>
        <v>0</v>
      </c>
      <c r="V14" s="49">
        <f t="shared" si="3"/>
        <v>0</v>
      </c>
      <c r="W14" s="51">
        <f t="shared" si="3"/>
        <v>0</v>
      </c>
      <c r="X14" s="51">
        <f t="shared" si="3"/>
        <v>0</v>
      </c>
      <c r="Y14" s="52">
        <f t="shared" si="3"/>
        <v>0</v>
      </c>
      <c r="Z14" s="49">
        <f t="shared" si="3"/>
        <v>0</v>
      </c>
      <c r="AA14" s="51">
        <f t="shared" si="3"/>
        <v>0</v>
      </c>
      <c r="AB14" s="51">
        <f t="shared" si="3"/>
        <v>0</v>
      </c>
      <c r="AC14" s="52">
        <f t="shared" si="3"/>
        <v>0</v>
      </c>
      <c r="AD14" s="49">
        <f t="shared" si="3"/>
        <v>0</v>
      </c>
      <c r="AE14" s="51">
        <f t="shared" si="3"/>
        <v>0</v>
      </c>
      <c r="AF14" s="51">
        <f t="shared" si="3"/>
        <v>0</v>
      </c>
      <c r="AG14" s="52">
        <f t="shared" si="3"/>
        <v>0</v>
      </c>
      <c r="AH14" s="49">
        <f t="shared" si="3"/>
        <v>0</v>
      </c>
      <c r="AI14" s="51">
        <f t="shared" si="3"/>
        <v>0</v>
      </c>
      <c r="AJ14" s="51">
        <f t="shared" si="3"/>
        <v>0</v>
      </c>
      <c r="AK14" s="52">
        <f t="shared" si="3"/>
        <v>0</v>
      </c>
      <c r="AL14" s="49">
        <f t="shared" si="3"/>
        <v>0</v>
      </c>
      <c r="AM14" s="51">
        <f t="shared" si="3"/>
        <v>0</v>
      </c>
      <c r="AN14" s="51">
        <f t="shared" si="3"/>
        <v>0</v>
      </c>
      <c r="AO14" s="52">
        <f t="shared" si="3"/>
        <v>0</v>
      </c>
      <c r="AP14" s="49">
        <f t="shared" si="3"/>
        <v>0</v>
      </c>
      <c r="AQ14" s="51">
        <f t="shared" si="3"/>
        <v>0</v>
      </c>
      <c r="AR14" s="51">
        <f t="shared" si="3"/>
        <v>0</v>
      </c>
      <c r="AS14" s="52">
        <f t="shared" si="3"/>
        <v>0</v>
      </c>
      <c r="AT14" s="53"/>
      <c r="AU14" s="54" t="str">
        <f t="shared" si="2"/>
        <v>-</v>
      </c>
      <c r="AV14" s="44"/>
    </row>
    <row r="15" spans="1:48" s="55" customFormat="1" ht="36" customHeight="1" x14ac:dyDescent="0.75">
      <c r="G15" s="391" t="s">
        <v>47</v>
      </c>
      <c r="H15" s="392"/>
      <c r="I15" s="392"/>
      <c r="J15" s="393"/>
      <c r="K15" s="56">
        <f>K16+K39+K55+K58+K60+K64+K68</f>
        <v>0</v>
      </c>
      <c r="L15" s="57">
        <f>L16+L39+L55+L58+L60+L64+L68</f>
        <v>0</v>
      </c>
      <c r="M15" s="58" t="str">
        <f t="shared" si="0"/>
        <v>-</v>
      </c>
      <c r="N15" s="57">
        <f t="shared" ref="N15:AS15" si="4">N16+N39+N55+N58+N60+N64+N68</f>
        <v>0</v>
      </c>
      <c r="O15" s="59">
        <f t="shared" si="4"/>
        <v>0</v>
      </c>
      <c r="P15" s="59">
        <f t="shared" si="4"/>
        <v>0</v>
      </c>
      <c r="Q15" s="60">
        <f t="shared" si="4"/>
        <v>0</v>
      </c>
      <c r="R15" s="57">
        <f t="shared" si="4"/>
        <v>0</v>
      </c>
      <c r="S15" s="59">
        <f t="shared" si="4"/>
        <v>0</v>
      </c>
      <c r="T15" s="59">
        <f t="shared" si="4"/>
        <v>0</v>
      </c>
      <c r="U15" s="60">
        <f t="shared" si="4"/>
        <v>0</v>
      </c>
      <c r="V15" s="57">
        <f t="shared" si="4"/>
        <v>0</v>
      </c>
      <c r="W15" s="59">
        <f t="shared" si="4"/>
        <v>0</v>
      </c>
      <c r="X15" s="59">
        <f t="shared" si="4"/>
        <v>0</v>
      </c>
      <c r="Y15" s="60">
        <f t="shared" si="4"/>
        <v>0</v>
      </c>
      <c r="Z15" s="57">
        <f t="shared" si="4"/>
        <v>0</v>
      </c>
      <c r="AA15" s="59">
        <f t="shared" si="4"/>
        <v>0</v>
      </c>
      <c r="AB15" s="59">
        <f t="shared" si="4"/>
        <v>0</v>
      </c>
      <c r="AC15" s="60">
        <f t="shared" si="4"/>
        <v>0</v>
      </c>
      <c r="AD15" s="57">
        <f t="shared" si="4"/>
        <v>0</v>
      </c>
      <c r="AE15" s="59">
        <f t="shared" si="4"/>
        <v>0</v>
      </c>
      <c r="AF15" s="59">
        <f t="shared" si="4"/>
        <v>0</v>
      </c>
      <c r="AG15" s="60">
        <f t="shared" si="4"/>
        <v>0</v>
      </c>
      <c r="AH15" s="57">
        <f t="shared" si="4"/>
        <v>0</v>
      </c>
      <c r="AI15" s="59">
        <f t="shared" si="4"/>
        <v>0</v>
      </c>
      <c r="AJ15" s="59">
        <f t="shared" si="4"/>
        <v>0</v>
      </c>
      <c r="AK15" s="60">
        <f t="shared" si="4"/>
        <v>0</v>
      </c>
      <c r="AL15" s="57">
        <f t="shared" si="4"/>
        <v>0</v>
      </c>
      <c r="AM15" s="59">
        <f t="shared" si="4"/>
        <v>0</v>
      </c>
      <c r="AN15" s="59">
        <f t="shared" si="4"/>
        <v>0</v>
      </c>
      <c r="AO15" s="60">
        <f t="shared" si="4"/>
        <v>0</v>
      </c>
      <c r="AP15" s="57">
        <f t="shared" si="4"/>
        <v>0</v>
      </c>
      <c r="AQ15" s="59">
        <f t="shared" si="4"/>
        <v>0</v>
      </c>
      <c r="AR15" s="59">
        <f t="shared" si="4"/>
        <v>0</v>
      </c>
      <c r="AS15" s="60">
        <f t="shared" si="4"/>
        <v>0</v>
      </c>
      <c r="AT15" s="61"/>
      <c r="AU15" s="54" t="str">
        <f t="shared" si="2"/>
        <v>-</v>
      </c>
      <c r="AV15" s="44"/>
    </row>
    <row r="16" spans="1:48" s="76" customFormat="1" ht="30" customHeight="1" x14ac:dyDescent="0.75">
      <c r="A16" s="76">
        <v>1</v>
      </c>
      <c r="C16" s="76">
        <f>IFERROR(INDEX([1]Entity!$A$2:$A$503,MATCH($J16,[1]Entity!$E$2:$E$503,0)),"")</f>
        <v>6</v>
      </c>
      <c r="G16" s="62"/>
      <c r="H16" s="63"/>
      <c r="I16" s="64"/>
      <c r="J16" s="65" t="s">
        <v>143</v>
      </c>
      <c r="K16" s="66">
        <f>SUM(K17:K38)</f>
        <v>0</v>
      </c>
      <c r="L16" s="67">
        <f>SUM(L17:L38)</f>
        <v>0</v>
      </c>
      <c r="M16" s="68" t="str">
        <f>IFERROR(L16/K16, "-")</f>
        <v>-</v>
      </c>
      <c r="N16" s="67">
        <f t="shared" ref="N16:AS16" si="5">SUM(N17:N38)</f>
        <v>0</v>
      </c>
      <c r="O16" s="69">
        <f t="shared" si="5"/>
        <v>0</v>
      </c>
      <c r="P16" s="69">
        <f t="shared" si="5"/>
        <v>0</v>
      </c>
      <c r="Q16" s="70">
        <f t="shared" si="5"/>
        <v>0</v>
      </c>
      <c r="R16" s="67">
        <f t="shared" si="5"/>
        <v>0</v>
      </c>
      <c r="S16" s="69">
        <f t="shared" si="5"/>
        <v>0</v>
      </c>
      <c r="T16" s="69">
        <f t="shared" si="5"/>
        <v>0</v>
      </c>
      <c r="U16" s="70">
        <f t="shared" si="5"/>
        <v>0</v>
      </c>
      <c r="V16" s="67">
        <f t="shared" si="5"/>
        <v>0</v>
      </c>
      <c r="W16" s="69">
        <f t="shared" si="5"/>
        <v>0</v>
      </c>
      <c r="X16" s="69">
        <f t="shared" si="5"/>
        <v>0</v>
      </c>
      <c r="Y16" s="70">
        <f t="shared" si="5"/>
        <v>0</v>
      </c>
      <c r="Z16" s="67">
        <f t="shared" si="5"/>
        <v>0</v>
      </c>
      <c r="AA16" s="69">
        <f t="shared" si="5"/>
        <v>0</v>
      </c>
      <c r="AB16" s="69">
        <f t="shared" si="5"/>
        <v>0</v>
      </c>
      <c r="AC16" s="70">
        <f t="shared" si="5"/>
        <v>0</v>
      </c>
      <c r="AD16" s="67">
        <f t="shared" si="5"/>
        <v>0</v>
      </c>
      <c r="AE16" s="69">
        <f t="shared" si="5"/>
        <v>0</v>
      </c>
      <c r="AF16" s="69">
        <f t="shared" si="5"/>
        <v>0</v>
      </c>
      <c r="AG16" s="70">
        <f t="shared" si="5"/>
        <v>0</v>
      </c>
      <c r="AH16" s="67">
        <f t="shared" si="5"/>
        <v>0</v>
      </c>
      <c r="AI16" s="69">
        <f t="shared" si="5"/>
        <v>0</v>
      </c>
      <c r="AJ16" s="69">
        <f t="shared" si="5"/>
        <v>0</v>
      </c>
      <c r="AK16" s="70">
        <f t="shared" si="5"/>
        <v>0</v>
      </c>
      <c r="AL16" s="67">
        <f t="shared" si="5"/>
        <v>0</v>
      </c>
      <c r="AM16" s="69">
        <f t="shared" si="5"/>
        <v>0</v>
      </c>
      <c r="AN16" s="69">
        <f t="shared" si="5"/>
        <v>0</v>
      </c>
      <c r="AO16" s="70">
        <f t="shared" si="5"/>
        <v>0</v>
      </c>
      <c r="AP16" s="67">
        <f t="shared" si="5"/>
        <v>0</v>
      </c>
      <c r="AQ16" s="69">
        <f t="shared" si="5"/>
        <v>0</v>
      </c>
      <c r="AR16" s="69">
        <f t="shared" si="5"/>
        <v>0</v>
      </c>
      <c r="AS16" s="70">
        <f t="shared" si="5"/>
        <v>0</v>
      </c>
      <c r="AT16" s="74"/>
      <c r="AU16" s="75" t="str">
        <f t="shared" si="2"/>
        <v>-</v>
      </c>
      <c r="AV16" s="44"/>
    </row>
    <row r="17" spans="1:48" s="88" customFormat="1" ht="28.9" customHeight="1" x14ac:dyDescent="0.75">
      <c r="A17" s="76">
        <v>2</v>
      </c>
      <c r="B17" s="76">
        <v>1</v>
      </c>
      <c r="C17" s="76" t="str">
        <f>IFERROR(INDEX([1]Entity!$A$2:$A$503,MATCH($J17,[1]Entity!$E$2:$E$503,0)),"")</f>
        <v/>
      </c>
      <c r="D17" s="88">
        <f>IFERROR(INDEX('[2]Account Group'!$A:$A,MATCH(G17,'[2]Account Group'!$B:$B,0)),"")</f>
        <v>18</v>
      </c>
      <c r="E17" s="88">
        <f>IFERROR(INDEX([3]Account!$A:$A,MATCH(H17,[3]Account!$D:$D,0)),"")</f>
        <v>91</v>
      </c>
      <c r="F17" s="88">
        <f>INDEX('[4]Sub Account'!$A:$A,MATCH(I17,'[4]Sub Account'!$D:$D,0))</f>
        <v>482</v>
      </c>
      <c r="G17" s="77">
        <v>70</v>
      </c>
      <c r="H17" s="78">
        <v>7002</v>
      </c>
      <c r="I17" s="79">
        <v>70025</v>
      </c>
      <c r="J17" s="80" t="s">
        <v>48</v>
      </c>
      <c r="K17" s="81"/>
      <c r="L17" s="82"/>
      <c r="M17" s="83" t="str">
        <f>IFERROR(L17/K17, "-")</f>
        <v>-</v>
      </c>
      <c r="N17" s="82">
        <f>SUM(O17:Q17)</f>
        <v>0</v>
      </c>
      <c r="O17" s="84"/>
      <c r="P17" s="84"/>
      <c r="Q17" s="85"/>
      <c r="R17" s="82">
        <f>SUM(S17:U17)</f>
        <v>0</v>
      </c>
      <c r="S17" s="84"/>
      <c r="T17" s="84"/>
      <c r="U17" s="85"/>
      <c r="V17" s="82">
        <f t="shared" ref="V17:V52" si="6">SUM(W17:Y17)</f>
        <v>0</v>
      </c>
      <c r="W17" s="84"/>
      <c r="X17" s="84"/>
      <c r="Y17" s="85"/>
      <c r="Z17" s="82">
        <f>SUM(AA17:AC17)</f>
        <v>0</v>
      </c>
      <c r="AA17" s="84"/>
      <c r="AB17" s="84"/>
      <c r="AC17" s="85"/>
      <c r="AD17" s="82">
        <f>SUM(AE17:AG17)</f>
        <v>0</v>
      </c>
      <c r="AE17" s="84"/>
      <c r="AF17" s="84"/>
      <c r="AG17" s="85"/>
      <c r="AH17" s="82">
        <f>SUM(AI17:AK17)</f>
        <v>0</v>
      </c>
      <c r="AI17" s="84"/>
      <c r="AJ17" s="84"/>
      <c r="AK17" s="85"/>
      <c r="AL17" s="82">
        <f t="shared" ref="AL17:AL52" si="7">SUM(AM17:AO17)</f>
        <v>0</v>
      </c>
      <c r="AM17" s="84"/>
      <c r="AN17" s="84"/>
      <c r="AO17" s="85"/>
      <c r="AP17" s="82">
        <f>SUM(AQ17:AS17)</f>
        <v>0</v>
      </c>
      <c r="AQ17" s="84"/>
      <c r="AR17" s="84"/>
      <c r="AS17" s="85"/>
      <c r="AT17" s="86"/>
      <c r="AU17" s="87" t="str">
        <f t="shared" si="2"/>
        <v>-</v>
      </c>
      <c r="AV17" s="44"/>
    </row>
    <row r="18" spans="1:48" s="88" customFormat="1" ht="28.9" customHeight="1" x14ac:dyDescent="0.75">
      <c r="A18" s="76">
        <v>3</v>
      </c>
      <c r="B18" s="76">
        <v>1</v>
      </c>
      <c r="C18" s="76" t="str">
        <f>IFERROR(INDEX([1]Entity!$A$2:$A$503,MATCH($J18,[1]Entity!$E$2:$E$503,0)),"")</f>
        <v/>
      </c>
      <c r="D18" s="88">
        <f>IFERROR(INDEX('[2]Account Group'!$A:$A,MATCH(G18,'[2]Account Group'!$B:$B,0)),"")</f>
        <v>18</v>
      </c>
      <c r="E18" s="88">
        <f>IFERROR(INDEX([3]Account!$A:$A,MATCH(H18,[3]Account!$D:$D,0)),"")</f>
        <v>91</v>
      </c>
      <c r="F18" s="88">
        <f>INDEX('[4]Sub Account'!$A:$A,MATCH(I18,'[4]Sub Account'!$D:$D,0))</f>
        <v>483</v>
      </c>
      <c r="G18" s="77">
        <v>70</v>
      </c>
      <c r="H18" s="78">
        <v>7002</v>
      </c>
      <c r="I18" s="79">
        <v>70026</v>
      </c>
      <c r="J18" s="89" t="s">
        <v>49</v>
      </c>
      <c r="K18" s="81"/>
      <c r="L18" s="82"/>
      <c r="M18" s="83" t="str">
        <f>IFERROR(L18/K18, "-")</f>
        <v>-</v>
      </c>
      <c r="N18" s="82">
        <f>SUM(O18:Q18)</f>
        <v>0</v>
      </c>
      <c r="O18" s="84"/>
      <c r="P18" s="84"/>
      <c r="Q18" s="85"/>
      <c r="R18" s="82">
        <f>SUM(S18:U18)</f>
        <v>0</v>
      </c>
      <c r="S18" s="84"/>
      <c r="T18" s="84"/>
      <c r="U18" s="85"/>
      <c r="V18" s="82">
        <f t="shared" si="6"/>
        <v>0</v>
      </c>
      <c r="W18" s="84"/>
      <c r="X18" s="84"/>
      <c r="Y18" s="85"/>
      <c r="Z18" s="82">
        <f>SUM(AA18:AC18)</f>
        <v>0</v>
      </c>
      <c r="AA18" s="84"/>
      <c r="AB18" s="84"/>
      <c r="AC18" s="85"/>
      <c r="AD18" s="82">
        <f t="shared" ref="AD18:AD52" si="8">SUM(AE18:AG18)</f>
        <v>0</v>
      </c>
      <c r="AE18" s="84"/>
      <c r="AF18" s="84"/>
      <c r="AG18" s="85"/>
      <c r="AH18" s="82">
        <f>SUM(AI18:AK18)</f>
        <v>0</v>
      </c>
      <c r="AI18" s="84"/>
      <c r="AJ18" s="84"/>
      <c r="AK18" s="85"/>
      <c r="AL18" s="82">
        <f t="shared" si="7"/>
        <v>0</v>
      </c>
      <c r="AM18" s="84"/>
      <c r="AN18" s="84"/>
      <c r="AO18" s="85"/>
      <c r="AP18" s="82">
        <f>SUM(AQ18:AS18)</f>
        <v>0</v>
      </c>
      <c r="AQ18" s="84"/>
      <c r="AR18" s="84"/>
      <c r="AS18" s="85"/>
      <c r="AT18" s="86"/>
      <c r="AU18" s="87" t="str">
        <f t="shared" si="2"/>
        <v>-</v>
      </c>
      <c r="AV18" s="44"/>
    </row>
    <row r="19" spans="1:48" s="88" customFormat="1" ht="24.75" customHeight="1" x14ac:dyDescent="0.75">
      <c r="A19" s="76">
        <v>4</v>
      </c>
      <c r="B19" s="76">
        <v>1</v>
      </c>
      <c r="C19" s="76" t="str">
        <f>IFERROR(INDEX([1]Entity!$A$2:$A$503,MATCH($J19,[1]Entity!$E$2:$E$503,0)),"")</f>
        <v/>
      </c>
      <c r="D19" s="88">
        <f>IFERROR(INDEX('[2]Account Group'!$A:$A,MATCH(G19,'[2]Account Group'!$B:$B,0)),"")</f>
        <v>18</v>
      </c>
      <c r="E19" s="88">
        <f>IFERROR(INDEX([3]Account!$A:$A,MATCH(H19,[3]Account!$D:$D,0)),"")</f>
        <v>91</v>
      </c>
      <c r="F19" s="88">
        <f>INDEX('[4]Sub Account'!$A:$A,MATCH(I19,'[4]Sub Account'!$D:$D,0))</f>
        <v>484</v>
      </c>
      <c r="G19" s="77">
        <v>70</v>
      </c>
      <c r="H19" s="78">
        <v>7002</v>
      </c>
      <c r="I19" s="79">
        <v>70027</v>
      </c>
      <c r="J19" s="89" t="s">
        <v>50</v>
      </c>
      <c r="K19" s="81"/>
      <c r="L19" s="82"/>
      <c r="M19" s="83" t="str">
        <f t="shared" si="0"/>
        <v>-</v>
      </c>
      <c r="N19" s="82">
        <f t="shared" ref="N19:N28" si="9">SUM(O19:Q19)</f>
        <v>0</v>
      </c>
      <c r="O19" s="84"/>
      <c r="P19" s="84"/>
      <c r="Q19" s="85"/>
      <c r="R19" s="82">
        <f t="shared" ref="R19:R28" si="10">SUM(S19:U19)</f>
        <v>0</v>
      </c>
      <c r="S19" s="84"/>
      <c r="T19" s="84"/>
      <c r="U19" s="85"/>
      <c r="V19" s="82">
        <f t="shared" si="6"/>
        <v>0</v>
      </c>
      <c r="W19" s="84"/>
      <c r="X19" s="84"/>
      <c r="Y19" s="85"/>
      <c r="Z19" s="82">
        <f t="shared" ref="Z19:Z28" si="11">SUM(AA19:AC19)</f>
        <v>0</v>
      </c>
      <c r="AA19" s="84"/>
      <c r="AB19" s="84"/>
      <c r="AC19" s="85"/>
      <c r="AD19" s="82">
        <f t="shared" si="8"/>
        <v>0</v>
      </c>
      <c r="AE19" s="84"/>
      <c r="AF19" s="84"/>
      <c r="AG19" s="85"/>
      <c r="AH19" s="82">
        <f t="shared" ref="AH19:AH28" si="12">SUM(AI19:AK19)</f>
        <v>0</v>
      </c>
      <c r="AI19" s="84"/>
      <c r="AJ19" s="84"/>
      <c r="AK19" s="85"/>
      <c r="AL19" s="82">
        <f t="shared" si="7"/>
        <v>0</v>
      </c>
      <c r="AM19" s="84"/>
      <c r="AN19" s="84"/>
      <c r="AO19" s="85"/>
      <c r="AP19" s="82">
        <f t="shared" ref="AP19:AP28" si="13">SUM(AQ19:AS19)</f>
        <v>0</v>
      </c>
      <c r="AQ19" s="84"/>
      <c r="AR19" s="84"/>
      <c r="AS19" s="85"/>
      <c r="AT19" s="86"/>
      <c r="AU19" s="87" t="str">
        <f t="shared" si="2"/>
        <v>-</v>
      </c>
      <c r="AV19" s="44"/>
    </row>
    <row r="20" spans="1:48" s="88" customFormat="1" ht="24.75" customHeight="1" x14ac:dyDescent="0.75">
      <c r="A20" s="76">
        <v>5</v>
      </c>
      <c r="B20" s="76">
        <v>1</v>
      </c>
      <c r="C20" s="76" t="str">
        <f>IFERROR(INDEX([1]Entity!$A$2:$A$503,MATCH($J20,[1]Entity!$E$2:$E$503,0)),"")</f>
        <v/>
      </c>
      <c r="D20" s="88">
        <f>IFERROR(INDEX('[2]Account Group'!$A:$A,MATCH(G20,'[2]Account Group'!$B:$B,0)),"")</f>
        <v>18</v>
      </c>
      <c r="E20" s="88">
        <f>IFERROR(INDEX([3]Account!$A:$A,MATCH(H20,[3]Account!$D:$D,0)),"")</f>
        <v>92</v>
      </c>
      <c r="F20" s="88">
        <f>INDEX('[4]Sub Account'!$A:$A,MATCH(I20,'[4]Sub Account'!$D:$D,0))</f>
        <v>485</v>
      </c>
      <c r="G20" s="77">
        <v>70</v>
      </c>
      <c r="H20" s="78">
        <v>7003</v>
      </c>
      <c r="I20" s="79">
        <v>70032</v>
      </c>
      <c r="J20" s="90" t="s">
        <v>51</v>
      </c>
      <c r="K20" s="81"/>
      <c r="L20" s="82"/>
      <c r="M20" s="83" t="str">
        <f t="shared" si="0"/>
        <v>-</v>
      </c>
      <c r="N20" s="82">
        <f t="shared" si="9"/>
        <v>0</v>
      </c>
      <c r="O20" s="84"/>
      <c r="P20" s="84"/>
      <c r="Q20" s="85"/>
      <c r="R20" s="82">
        <f t="shared" si="10"/>
        <v>0</v>
      </c>
      <c r="S20" s="84"/>
      <c r="T20" s="84"/>
      <c r="U20" s="85"/>
      <c r="V20" s="82">
        <f t="shared" si="6"/>
        <v>0</v>
      </c>
      <c r="W20" s="84"/>
      <c r="X20" s="84"/>
      <c r="Y20" s="85"/>
      <c r="Z20" s="82">
        <f t="shared" si="11"/>
        <v>0</v>
      </c>
      <c r="AA20" s="84"/>
      <c r="AB20" s="84"/>
      <c r="AC20" s="85"/>
      <c r="AD20" s="82">
        <f t="shared" si="8"/>
        <v>0</v>
      </c>
      <c r="AE20" s="84"/>
      <c r="AF20" s="84"/>
      <c r="AG20" s="85"/>
      <c r="AH20" s="82">
        <f t="shared" si="12"/>
        <v>0</v>
      </c>
      <c r="AI20" s="84"/>
      <c r="AJ20" s="84"/>
      <c r="AK20" s="85"/>
      <c r="AL20" s="82">
        <f t="shared" si="7"/>
        <v>0</v>
      </c>
      <c r="AM20" s="84"/>
      <c r="AN20" s="84"/>
      <c r="AO20" s="85"/>
      <c r="AP20" s="82">
        <f t="shared" si="13"/>
        <v>0</v>
      </c>
      <c r="AQ20" s="84"/>
      <c r="AR20" s="84"/>
      <c r="AS20" s="85"/>
      <c r="AT20" s="86"/>
      <c r="AU20" s="87" t="str">
        <f t="shared" si="2"/>
        <v>-</v>
      </c>
      <c r="AV20" s="44"/>
    </row>
    <row r="21" spans="1:48" s="88" customFormat="1" ht="24.65" customHeight="1" x14ac:dyDescent="0.75">
      <c r="A21" s="76">
        <v>6</v>
      </c>
      <c r="B21" s="76">
        <v>1</v>
      </c>
      <c r="C21" s="76" t="str">
        <f>IFERROR(INDEX([1]Entity!$A$2:$A$503,MATCH($J21,[1]Entity!$E$2:$E$503,0)),"")</f>
        <v/>
      </c>
      <c r="D21" s="88">
        <f>IFERROR(INDEX('[2]Account Group'!$A:$A,MATCH(G21,'[2]Account Group'!$B:$B,0)),"")</f>
        <v>18</v>
      </c>
      <c r="E21" s="88">
        <f>IFERROR(INDEX([3]Account!$A:$A,MATCH(H21,[3]Account!$D:$D,0)),"")</f>
        <v>92</v>
      </c>
      <c r="F21" s="88">
        <f>INDEX('[4]Sub Account'!$A:$A,MATCH(I21,'[4]Sub Account'!$D:$D,0))</f>
        <v>486</v>
      </c>
      <c r="G21" s="77">
        <v>70</v>
      </c>
      <c r="H21" s="78">
        <v>7003</v>
      </c>
      <c r="I21" s="79">
        <v>70033</v>
      </c>
      <c r="J21" s="90" t="s">
        <v>52</v>
      </c>
      <c r="K21" s="81"/>
      <c r="L21" s="82"/>
      <c r="M21" s="83" t="str">
        <f t="shared" si="0"/>
        <v>-</v>
      </c>
      <c r="N21" s="82">
        <f t="shared" si="9"/>
        <v>0</v>
      </c>
      <c r="O21" s="84"/>
      <c r="P21" s="84"/>
      <c r="Q21" s="85"/>
      <c r="R21" s="82">
        <f t="shared" si="10"/>
        <v>0</v>
      </c>
      <c r="S21" s="84"/>
      <c r="T21" s="84"/>
      <c r="U21" s="85"/>
      <c r="V21" s="82">
        <f t="shared" si="6"/>
        <v>0</v>
      </c>
      <c r="W21" s="84"/>
      <c r="X21" s="84"/>
      <c r="Y21" s="85"/>
      <c r="Z21" s="82">
        <f t="shared" si="11"/>
        <v>0</v>
      </c>
      <c r="AA21" s="84"/>
      <c r="AB21" s="84"/>
      <c r="AC21" s="85"/>
      <c r="AD21" s="82">
        <f t="shared" si="8"/>
        <v>0</v>
      </c>
      <c r="AE21" s="84"/>
      <c r="AF21" s="84"/>
      <c r="AG21" s="85"/>
      <c r="AH21" s="82">
        <f t="shared" si="12"/>
        <v>0</v>
      </c>
      <c r="AI21" s="84"/>
      <c r="AJ21" s="84"/>
      <c r="AK21" s="85"/>
      <c r="AL21" s="82">
        <f t="shared" si="7"/>
        <v>0</v>
      </c>
      <c r="AM21" s="84"/>
      <c r="AN21" s="84"/>
      <c r="AO21" s="85"/>
      <c r="AP21" s="82">
        <f t="shared" si="13"/>
        <v>0</v>
      </c>
      <c r="AQ21" s="84"/>
      <c r="AR21" s="84"/>
      <c r="AS21" s="85"/>
      <c r="AT21" s="86"/>
      <c r="AU21" s="87" t="str">
        <f t="shared" si="2"/>
        <v>-</v>
      </c>
      <c r="AV21" s="44"/>
    </row>
    <row r="22" spans="1:48" s="88" customFormat="1" ht="25.9" customHeight="1" x14ac:dyDescent="0.75">
      <c r="A22" s="76">
        <v>7</v>
      </c>
      <c r="B22" s="76">
        <v>1</v>
      </c>
      <c r="C22" s="76" t="str">
        <f>IFERROR(INDEX([1]Entity!$A$2:$A$503,MATCH($J22,[1]Entity!$E$2:$E$503,0)),"")</f>
        <v/>
      </c>
      <c r="D22" s="88">
        <f>IFERROR(INDEX('[2]Account Group'!$A:$A,MATCH(G22,'[2]Account Group'!$B:$B,0)),"")</f>
        <v>19</v>
      </c>
      <c r="E22" s="88">
        <f>IFERROR(INDEX([3]Account!$A:$A,MATCH(H22,[3]Account!$D:$D,0)),"")</f>
        <v>98</v>
      </c>
      <c r="F22" s="88">
        <f>INDEX('[4]Sub Account'!$A:$A,MATCH(I22,'[4]Sub Account'!$D:$D,0))</f>
        <v>487</v>
      </c>
      <c r="G22" s="77">
        <v>71</v>
      </c>
      <c r="H22" s="78">
        <v>7100</v>
      </c>
      <c r="I22" s="79">
        <v>71001</v>
      </c>
      <c r="J22" s="80" t="s">
        <v>53</v>
      </c>
      <c r="K22" s="81"/>
      <c r="L22" s="82"/>
      <c r="M22" s="83" t="str">
        <f t="shared" si="0"/>
        <v>-</v>
      </c>
      <c r="N22" s="82">
        <f t="shared" si="9"/>
        <v>0</v>
      </c>
      <c r="O22" s="84"/>
      <c r="P22" s="84"/>
      <c r="Q22" s="85"/>
      <c r="R22" s="82">
        <f t="shared" si="10"/>
        <v>0</v>
      </c>
      <c r="S22" s="84"/>
      <c r="T22" s="84"/>
      <c r="U22" s="85"/>
      <c r="V22" s="82">
        <f t="shared" si="6"/>
        <v>0</v>
      </c>
      <c r="W22" s="84"/>
      <c r="X22" s="84"/>
      <c r="Y22" s="85"/>
      <c r="Z22" s="82">
        <f t="shared" si="11"/>
        <v>0</v>
      </c>
      <c r="AA22" s="84"/>
      <c r="AB22" s="84"/>
      <c r="AC22" s="85"/>
      <c r="AD22" s="82">
        <f t="shared" si="8"/>
        <v>0</v>
      </c>
      <c r="AE22" s="84"/>
      <c r="AF22" s="84"/>
      <c r="AG22" s="85"/>
      <c r="AH22" s="82">
        <f t="shared" si="12"/>
        <v>0</v>
      </c>
      <c r="AI22" s="84"/>
      <c r="AJ22" s="84"/>
      <c r="AK22" s="85"/>
      <c r="AL22" s="82">
        <f t="shared" si="7"/>
        <v>0</v>
      </c>
      <c r="AM22" s="84"/>
      <c r="AN22" s="84"/>
      <c r="AO22" s="85"/>
      <c r="AP22" s="82">
        <f t="shared" si="13"/>
        <v>0</v>
      </c>
      <c r="AQ22" s="84"/>
      <c r="AR22" s="84"/>
      <c r="AS22" s="85"/>
      <c r="AT22" s="86"/>
      <c r="AU22" s="87" t="str">
        <f t="shared" si="2"/>
        <v>-</v>
      </c>
      <c r="AV22" s="44"/>
    </row>
    <row r="23" spans="1:48" s="88" customFormat="1" ht="25.9" customHeight="1" x14ac:dyDescent="0.75">
      <c r="A23" s="76">
        <v>8</v>
      </c>
      <c r="B23" s="76">
        <v>1</v>
      </c>
      <c r="C23" s="76" t="str">
        <f>IFERROR(INDEX([1]Entity!$A$2:$A$503,MATCH($J23,[1]Entity!$E$2:$E$503,0)),"")</f>
        <v/>
      </c>
      <c r="D23" s="88">
        <f>IFERROR(INDEX('[2]Account Group'!$A:$A,MATCH(G23,'[2]Account Group'!$B:$B,0)),"")</f>
        <v>19</v>
      </c>
      <c r="E23" s="88">
        <f>IFERROR(INDEX([3]Account!$A:$A,MATCH(H23,[3]Account!$D:$D,0)),"")</f>
        <v>98</v>
      </c>
      <c r="F23" s="88">
        <f>INDEX('[4]Sub Account'!$A:$A,MATCH(I23,'[4]Sub Account'!$D:$D,0))</f>
        <v>488</v>
      </c>
      <c r="G23" s="77">
        <v>71</v>
      </c>
      <c r="H23" s="78">
        <v>7100</v>
      </c>
      <c r="I23" s="79">
        <v>71002</v>
      </c>
      <c r="J23" s="80" t="s">
        <v>54</v>
      </c>
      <c r="K23" s="81"/>
      <c r="L23" s="82"/>
      <c r="M23" s="83" t="str">
        <f t="shared" si="0"/>
        <v>-</v>
      </c>
      <c r="N23" s="82">
        <f t="shared" si="9"/>
        <v>0</v>
      </c>
      <c r="O23" s="84"/>
      <c r="P23" s="84"/>
      <c r="Q23" s="85"/>
      <c r="R23" s="82">
        <f t="shared" si="10"/>
        <v>0</v>
      </c>
      <c r="S23" s="84"/>
      <c r="T23" s="84"/>
      <c r="U23" s="85"/>
      <c r="V23" s="82">
        <f t="shared" si="6"/>
        <v>0</v>
      </c>
      <c r="W23" s="84"/>
      <c r="X23" s="84"/>
      <c r="Y23" s="85"/>
      <c r="Z23" s="82">
        <f t="shared" si="11"/>
        <v>0</v>
      </c>
      <c r="AA23" s="84"/>
      <c r="AB23" s="84"/>
      <c r="AC23" s="85"/>
      <c r="AD23" s="82">
        <f t="shared" si="8"/>
        <v>0</v>
      </c>
      <c r="AE23" s="84"/>
      <c r="AF23" s="84"/>
      <c r="AG23" s="85"/>
      <c r="AH23" s="82">
        <f t="shared" si="12"/>
        <v>0</v>
      </c>
      <c r="AI23" s="84"/>
      <c r="AJ23" s="84"/>
      <c r="AK23" s="85"/>
      <c r="AL23" s="82">
        <f t="shared" si="7"/>
        <v>0</v>
      </c>
      <c r="AM23" s="84"/>
      <c r="AN23" s="84"/>
      <c r="AO23" s="85"/>
      <c r="AP23" s="82">
        <f t="shared" si="13"/>
        <v>0</v>
      </c>
      <c r="AQ23" s="84"/>
      <c r="AR23" s="84"/>
      <c r="AS23" s="85"/>
      <c r="AT23" s="86"/>
      <c r="AU23" s="87" t="str">
        <f t="shared" si="2"/>
        <v>-</v>
      </c>
      <c r="AV23" s="44"/>
    </row>
    <row r="24" spans="1:48" s="88" customFormat="1" ht="25.9" customHeight="1" x14ac:dyDescent="0.75">
      <c r="A24" s="76">
        <v>9</v>
      </c>
      <c r="B24" s="76">
        <v>1</v>
      </c>
      <c r="C24" s="76" t="str">
        <f>IFERROR(INDEX([1]Entity!$A$2:$A$503,MATCH($J24,[1]Entity!$E$2:$E$503,0)),"")</f>
        <v/>
      </c>
      <c r="D24" s="88">
        <f>IFERROR(INDEX('[2]Account Group'!$A:$A,MATCH(G24,'[2]Account Group'!$B:$B,0)),"")</f>
        <v>19</v>
      </c>
      <c r="E24" s="88">
        <f>IFERROR(INDEX([3]Account!$A:$A,MATCH(H24,[3]Account!$D:$D,0)),"")</f>
        <v>98</v>
      </c>
      <c r="F24" s="88">
        <f>INDEX('[4]Sub Account'!$A:$A,MATCH(I24,'[4]Sub Account'!$D:$D,0))</f>
        <v>489</v>
      </c>
      <c r="G24" s="77">
        <v>71</v>
      </c>
      <c r="H24" s="78">
        <v>7100</v>
      </c>
      <c r="I24" s="79">
        <v>71003</v>
      </c>
      <c r="J24" s="80" t="s">
        <v>55</v>
      </c>
      <c r="K24" s="81"/>
      <c r="L24" s="82"/>
      <c r="M24" s="83" t="str">
        <f t="shared" si="0"/>
        <v>-</v>
      </c>
      <c r="N24" s="82">
        <f t="shared" si="9"/>
        <v>0</v>
      </c>
      <c r="O24" s="84"/>
      <c r="P24" s="84"/>
      <c r="Q24" s="85"/>
      <c r="R24" s="82">
        <f t="shared" si="10"/>
        <v>0</v>
      </c>
      <c r="S24" s="84"/>
      <c r="T24" s="84"/>
      <c r="U24" s="85"/>
      <c r="V24" s="82">
        <f t="shared" si="6"/>
        <v>0</v>
      </c>
      <c r="W24" s="84"/>
      <c r="X24" s="84"/>
      <c r="Y24" s="85"/>
      <c r="Z24" s="82">
        <f t="shared" si="11"/>
        <v>0</v>
      </c>
      <c r="AA24" s="84"/>
      <c r="AB24" s="84"/>
      <c r="AC24" s="85"/>
      <c r="AD24" s="82">
        <f t="shared" si="8"/>
        <v>0</v>
      </c>
      <c r="AE24" s="84"/>
      <c r="AF24" s="84"/>
      <c r="AG24" s="85"/>
      <c r="AH24" s="82">
        <f t="shared" si="12"/>
        <v>0</v>
      </c>
      <c r="AI24" s="84"/>
      <c r="AJ24" s="84"/>
      <c r="AK24" s="85"/>
      <c r="AL24" s="82">
        <f t="shared" si="7"/>
        <v>0</v>
      </c>
      <c r="AM24" s="84"/>
      <c r="AN24" s="84"/>
      <c r="AO24" s="85"/>
      <c r="AP24" s="82">
        <f t="shared" si="13"/>
        <v>0</v>
      </c>
      <c r="AQ24" s="84"/>
      <c r="AR24" s="84"/>
      <c r="AS24" s="85"/>
      <c r="AT24" s="86"/>
      <c r="AU24" s="87" t="str">
        <f t="shared" si="2"/>
        <v>-</v>
      </c>
      <c r="AV24" s="44"/>
    </row>
    <row r="25" spans="1:48" s="88" customFormat="1" ht="25.9" customHeight="1" x14ac:dyDescent="0.75">
      <c r="A25" s="76">
        <v>10</v>
      </c>
      <c r="B25" s="76">
        <v>1</v>
      </c>
      <c r="C25" s="76" t="str">
        <f>IFERROR(INDEX([1]Entity!$A$2:$A$503,MATCH($J25,[1]Entity!$E$2:$E$503,0)),"")</f>
        <v/>
      </c>
      <c r="D25" s="88">
        <f>IFERROR(INDEX('[2]Account Group'!$A:$A,MATCH(G25,'[2]Account Group'!$B:$B,0)),"")</f>
        <v>19</v>
      </c>
      <c r="E25" s="88">
        <f>IFERROR(INDEX([3]Account!$A:$A,MATCH(H25,[3]Account!$D:$D,0)),"")</f>
        <v>98</v>
      </c>
      <c r="F25" s="88">
        <f>INDEX('[4]Sub Account'!$A:$A,MATCH(I25,'[4]Sub Account'!$D:$D,0))</f>
        <v>490</v>
      </c>
      <c r="G25" s="77">
        <v>71</v>
      </c>
      <c r="H25" s="78">
        <v>7100</v>
      </c>
      <c r="I25" s="79">
        <v>71004</v>
      </c>
      <c r="J25" s="80" t="s">
        <v>56</v>
      </c>
      <c r="K25" s="81"/>
      <c r="L25" s="82"/>
      <c r="M25" s="83" t="str">
        <f t="shared" si="0"/>
        <v>-</v>
      </c>
      <c r="N25" s="82">
        <f t="shared" si="9"/>
        <v>0</v>
      </c>
      <c r="O25" s="84"/>
      <c r="P25" s="84"/>
      <c r="Q25" s="85"/>
      <c r="R25" s="82">
        <f t="shared" si="10"/>
        <v>0</v>
      </c>
      <c r="S25" s="84"/>
      <c r="T25" s="84"/>
      <c r="U25" s="85"/>
      <c r="V25" s="82">
        <f t="shared" si="6"/>
        <v>0</v>
      </c>
      <c r="W25" s="84"/>
      <c r="X25" s="84"/>
      <c r="Y25" s="85"/>
      <c r="Z25" s="82">
        <f t="shared" si="11"/>
        <v>0</v>
      </c>
      <c r="AA25" s="84"/>
      <c r="AB25" s="84"/>
      <c r="AC25" s="85"/>
      <c r="AD25" s="82">
        <f t="shared" si="8"/>
        <v>0</v>
      </c>
      <c r="AE25" s="84"/>
      <c r="AF25" s="84"/>
      <c r="AG25" s="85"/>
      <c r="AH25" s="82">
        <f t="shared" si="12"/>
        <v>0</v>
      </c>
      <c r="AI25" s="84"/>
      <c r="AJ25" s="84"/>
      <c r="AK25" s="85"/>
      <c r="AL25" s="82">
        <f t="shared" si="7"/>
        <v>0</v>
      </c>
      <c r="AM25" s="84"/>
      <c r="AN25" s="84"/>
      <c r="AO25" s="85"/>
      <c r="AP25" s="82">
        <f t="shared" si="13"/>
        <v>0</v>
      </c>
      <c r="AQ25" s="84"/>
      <c r="AR25" s="84"/>
      <c r="AS25" s="85"/>
      <c r="AT25" s="86"/>
      <c r="AU25" s="87" t="str">
        <f t="shared" si="2"/>
        <v>-</v>
      </c>
      <c r="AV25" s="44"/>
    </row>
    <row r="26" spans="1:48" s="88" customFormat="1" ht="25.9" customHeight="1" x14ac:dyDescent="0.75">
      <c r="A26" s="76">
        <v>11</v>
      </c>
      <c r="B26" s="76">
        <v>1</v>
      </c>
      <c r="C26" s="76" t="str">
        <f>IFERROR(INDEX([1]Entity!$A$2:$A$503,MATCH($J26,[1]Entity!$E$2:$E$503,0)),"")</f>
        <v/>
      </c>
      <c r="D26" s="88">
        <f>IFERROR(INDEX('[2]Account Group'!$A:$A,MATCH(G26,'[2]Account Group'!$B:$B,0)),"")</f>
        <v>19</v>
      </c>
      <c r="E26" s="88">
        <f>IFERROR(INDEX([3]Account!$A:$A,MATCH(H26,[3]Account!$D:$D,0)),"")</f>
        <v>98</v>
      </c>
      <c r="F26" s="88">
        <f>INDEX('[4]Sub Account'!$A:$A,MATCH(I26,'[4]Sub Account'!$D:$D,0))</f>
        <v>491</v>
      </c>
      <c r="G26" s="77">
        <v>71</v>
      </c>
      <c r="H26" s="78">
        <v>7100</v>
      </c>
      <c r="I26" s="79">
        <v>71005</v>
      </c>
      <c r="J26" s="80" t="s">
        <v>57</v>
      </c>
      <c r="K26" s="81"/>
      <c r="L26" s="82"/>
      <c r="M26" s="83" t="str">
        <f t="shared" si="0"/>
        <v>-</v>
      </c>
      <c r="N26" s="82">
        <f t="shared" si="9"/>
        <v>0</v>
      </c>
      <c r="O26" s="84"/>
      <c r="P26" s="84"/>
      <c r="Q26" s="85"/>
      <c r="R26" s="82">
        <f t="shared" si="10"/>
        <v>0</v>
      </c>
      <c r="S26" s="84"/>
      <c r="T26" s="84"/>
      <c r="U26" s="85"/>
      <c r="V26" s="82">
        <f t="shared" si="6"/>
        <v>0</v>
      </c>
      <c r="W26" s="84"/>
      <c r="X26" s="84"/>
      <c r="Y26" s="85"/>
      <c r="Z26" s="82">
        <f t="shared" si="11"/>
        <v>0</v>
      </c>
      <c r="AA26" s="84"/>
      <c r="AB26" s="84"/>
      <c r="AC26" s="85"/>
      <c r="AD26" s="82">
        <f t="shared" si="8"/>
        <v>0</v>
      </c>
      <c r="AE26" s="84"/>
      <c r="AF26" s="84"/>
      <c r="AG26" s="85"/>
      <c r="AH26" s="82">
        <f t="shared" si="12"/>
        <v>0</v>
      </c>
      <c r="AI26" s="84"/>
      <c r="AJ26" s="84"/>
      <c r="AK26" s="85"/>
      <c r="AL26" s="82">
        <f t="shared" si="7"/>
        <v>0</v>
      </c>
      <c r="AM26" s="84"/>
      <c r="AN26" s="84"/>
      <c r="AO26" s="85"/>
      <c r="AP26" s="82">
        <f t="shared" si="13"/>
        <v>0</v>
      </c>
      <c r="AQ26" s="84"/>
      <c r="AR26" s="84"/>
      <c r="AS26" s="85"/>
      <c r="AT26" s="86"/>
      <c r="AU26" s="87" t="str">
        <f t="shared" si="2"/>
        <v>-</v>
      </c>
      <c r="AV26" s="44"/>
    </row>
    <row r="27" spans="1:48" s="88" customFormat="1" ht="25.9" customHeight="1" x14ac:dyDescent="0.75">
      <c r="A27" s="76">
        <v>12</v>
      </c>
      <c r="B27" s="76">
        <v>1</v>
      </c>
      <c r="C27" s="76" t="str">
        <f>IFERROR(INDEX([1]Entity!$A$2:$A$503,MATCH($J27,[1]Entity!$E$2:$E$503,0)),"")</f>
        <v/>
      </c>
      <c r="D27" s="88">
        <f>IFERROR(INDEX('[2]Account Group'!$A:$A,MATCH(G27,'[2]Account Group'!$B:$B,0)),"")</f>
        <v>19</v>
      </c>
      <c r="E27" s="88">
        <f>IFERROR(INDEX([3]Account!$A:$A,MATCH(H27,[3]Account!$D:$D,0)),"")</f>
        <v>98</v>
      </c>
      <c r="F27" s="88">
        <f>INDEX('[4]Sub Account'!$A:$A,MATCH(I27,'[4]Sub Account'!$D:$D,0))</f>
        <v>492</v>
      </c>
      <c r="G27" s="77">
        <v>71</v>
      </c>
      <c r="H27" s="78">
        <v>7100</v>
      </c>
      <c r="I27" s="79">
        <v>71006</v>
      </c>
      <c r="J27" s="80" t="s">
        <v>58</v>
      </c>
      <c r="K27" s="81"/>
      <c r="L27" s="82"/>
      <c r="M27" s="83" t="str">
        <f t="shared" si="0"/>
        <v>-</v>
      </c>
      <c r="N27" s="82">
        <f t="shared" si="9"/>
        <v>0</v>
      </c>
      <c r="O27" s="84"/>
      <c r="P27" s="84"/>
      <c r="Q27" s="85"/>
      <c r="R27" s="82">
        <f t="shared" si="10"/>
        <v>0</v>
      </c>
      <c r="S27" s="84"/>
      <c r="T27" s="84"/>
      <c r="U27" s="85"/>
      <c r="V27" s="82">
        <f t="shared" si="6"/>
        <v>0</v>
      </c>
      <c r="W27" s="84"/>
      <c r="X27" s="84"/>
      <c r="Y27" s="85"/>
      <c r="Z27" s="82">
        <f t="shared" si="11"/>
        <v>0</v>
      </c>
      <c r="AA27" s="84"/>
      <c r="AB27" s="84"/>
      <c r="AC27" s="85"/>
      <c r="AD27" s="82">
        <f t="shared" si="8"/>
        <v>0</v>
      </c>
      <c r="AE27" s="84"/>
      <c r="AF27" s="84"/>
      <c r="AG27" s="85"/>
      <c r="AH27" s="82">
        <f t="shared" si="12"/>
        <v>0</v>
      </c>
      <c r="AI27" s="84"/>
      <c r="AJ27" s="84"/>
      <c r="AK27" s="85"/>
      <c r="AL27" s="82">
        <f t="shared" si="7"/>
        <v>0</v>
      </c>
      <c r="AM27" s="84"/>
      <c r="AN27" s="84"/>
      <c r="AO27" s="85"/>
      <c r="AP27" s="82">
        <f t="shared" si="13"/>
        <v>0</v>
      </c>
      <c r="AQ27" s="84"/>
      <c r="AR27" s="84"/>
      <c r="AS27" s="85"/>
      <c r="AT27" s="86"/>
      <c r="AU27" s="87" t="str">
        <f t="shared" si="2"/>
        <v>-</v>
      </c>
      <c r="AV27" s="44"/>
    </row>
    <row r="28" spans="1:48" s="88" customFormat="1" ht="24.75" customHeight="1" x14ac:dyDescent="0.75">
      <c r="A28" s="76">
        <v>13</v>
      </c>
      <c r="B28" s="76">
        <v>1</v>
      </c>
      <c r="C28" s="76" t="str">
        <f>IFERROR(INDEX([1]Entity!$A$2:$A$503,MATCH($J28,[1]Entity!$E$2:$E$503,0)),"")</f>
        <v/>
      </c>
      <c r="D28" s="88">
        <f>IFERROR(INDEX('[2]Account Group'!$A:$A,MATCH(G28,'[2]Account Group'!$B:$B,0)),"")</f>
        <v>19</v>
      </c>
      <c r="E28" s="88">
        <f>IFERROR(INDEX([3]Account!$A:$A,MATCH(H28,[3]Account!$D:$D,0)),"")</f>
        <v>98</v>
      </c>
      <c r="F28" s="88">
        <f>INDEX('[4]Sub Account'!$A:$A,MATCH(I28,'[4]Sub Account'!$D:$D,0))</f>
        <v>493</v>
      </c>
      <c r="G28" s="77">
        <v>71</v>
      </c>
      <c r="H28" s="78">
        <v>7100</v>
      </c>
      <c r="I28" s="79">
        <v>71007</v>
      </c>
      <c r="J28" s="89" t="s">
        <v>59</v>
      </c>
      <c r="K28" s="81"/>
      <c r="L28" s="82"/>
      <c r="M28" s="83" t="str">
        <f t="shared" si="0"/>
        <v>-</v>
      </c>
      <c r="N28" s="82">
        <f t="shared" si="9"/>
        <v>0</v>
      </c>
      <c r="O28" s="84"/>
      <c r="P28" s="84"/>
      <c r="Q28" s="85"/>
      <c r="R28" s="82">
        <f t="shared" si="10"/>
        <v>0</v>
      </c>
      <c r="S28" s="84"/>
      <c r="T28" s="84"/>
      <c r="U28" s="85"/>
      <c r="V28" s="82">
        <f t="shared" si="6"/>
        <v>0</v>
      </c>
      <c r="W28" s="84"/>
      <c r="X28" s="84"/>
      <c r="Y28" s="85"/>
      <c r="Z28" s="82">
        <f t="shared" si="11"/>
        <v>0</v>
      </c>
      <c r="AA28" s="84"/>
      <c r="AB28" s="84"/>
      <c r="AC28" s="85"/>
      <c r="AD28" s="82">
        <f t="shared" si="8"/>
        <v>0</v>
      </c>
      <c r="AE28" s="84"/>
      <c r="AF28" s="84"/>
      <c r="AG28" s="85"/>
      <c r="AH28" s="82">
        <f t="shared" si="12"/>
        <v>0</v>
      </c>
      <c r="AI28" s="84"/>
      <c r="AJ28" s="84"/>
      <c r="AK28" s="85"/>
      <c r="AL28" s="82">
        <f t="shared" si="7"/>
        <v>0</v>
      </c>
      <c r="AM28" s="84"/>
      <c r="AN28" s="84"/>
      <c r="AO28" s="85"/>
      <c r="AP28" s="82">
        <f t="shared" si="13"/>
        <v>0</v>
      </c>
      <c r="AQ28" s="84"/>
      <c r="AR28" s="84"/>
      <c r="AS28" s="85"/>
      <c r="AT28" s="86"/>
      <c r="AU28" s="87" t="str">
        <f t="shared" si="2"/>
        <v>-</v>
      </c>
      <c r="AV28" s="44"/>
    </row>
    <row r="29" spans="1:48" s="88" customFormat="1" ht="25.9" customHeight="1" x14ac:dyDescent="0.75">
      <c r="A29" s="76">
        <v>14</v>
      </c>
      <c r="B29" s="76">
        <v>1</v>
      </c>
      <c r="C29" s="76" t="str">
        <f>IFERROR(INDEX([1]Entity!$A$2:$A$503,MATCH($J29,[1]Entity!$E$2:$E$503,0)),"")</f>
        <v/>
      </c>
      <c r="D29" s="88">
        <f>IFERROR(INDEX('[2]Account Group'!$A:$A,MATCH(G29,'[2]Account Group'!$B:$B,0)),"")</f>
        <v>19</v>
      </c>
      <c r="E29" s="88">
        <f>IFERROR(INDEX([3]Account!$A:$A,MATCH(H29,[3]Account!$D:$D,0)),"")</f>
        <v>99</v>
      </c>
      <c r="F29" s="88">
        <f>INDEX('[4]Sub Account'!$A:$A,MATCH(I29,'[4]Sub Account'!$D:$D,0))</f>
        <v>494</v>
      </c>
      <c r="G29" s="77">
        <v>71</v>
      </c>
      <c r="H29" s="78">
        <v>7101</v>
      </c>
      <c r="I29" s="79">
        <v>71011</v>
      </c>
      <c r="J29" s="80" t="s">
        <v>60</v>
      </c>
      <c r="K29" s="81"/>
      <c r="L29" s="82"/>
      <c r="M29" s="83" t="str">
        <f>IFERROR(L29/K29, "-")</f>
        <v>-</v>
      </c>
      <c r="N29" s="82">
        <f t="shared" ref="N29:N50" si="14">SUM(O29:Q29)</f>
        <v>0</v>
      </c>
      <c r="O29" s="84"/>
      <c r="P29" s="84"/>
      <c r="Q29" s="85"/>
      <c r="R29" s="82">
        <f t="shared" ref="R29:R48" si="15">SUM(S29:U29)</f>
        <v>0</v>
      </c>
      <c r="S29" s="84"/>
      <c r="T29" s="84"/>
      <c r="U29" s="85"/>
      <c r="V29" s="82">
        <f t="shared" si="6"/>
        <v>0</v>
      </c>
      <c r="W29" s="84"/>
      <c r="X29" s="84"/>
      <c r="Y29" s="85"/>
      <c r="Z29" s="82">
        <f t="shared" ref="Z29:Z50" si="16">SUM(AA29:AC29)</f>
        <v>0</v>
      </c>
      <c r="AA29" s="84"/>
      <c r="AB29" s="84"/>
      <c r="AC29" s="85"/>
      <c r="AD29" s="82">
        <f t="shared" si="8"/>
        <v>0</v>
      </c>
      <c r="AE29" s="84"/>
      <c r="AF29" s="84"/>
      <c r="AG29" s="85"/>
      <c r="AH29" s="82">
        <f t="shared" ref="AH29:AH50" si="17">SUM(AI29:AK29)</f>
        <v>0</v>
      </c>
      <c r="AI29" s="84"/>
      <c r="AJ29" s="84"/>
      <c r="AK29" s="85"/>
      <c r="AL29" s="82">
        <f t="shared" si="7"/>
        <v>0</v>
      </c>
      <c r="AM29" s="84"/>
      <c r="AN29" s="84"/>
      <c r="AO29" s="85"/>
      <c r="AP29" s="82">
        <f t="shared" ref="AP29:AP38" si="18">SUM(AQ29:AS29)</f>
        <v>0</v>
      </c>
      <c r="AQ29" s="84"/>
      <c r="AR29" s="84"/>
      <c r="AS29" s="85"/>
      <c r="AT29" s="86"/>
      <c r="AU29" s="87" t="str">
        <f t="shared" si="2"/>
        <v>-</v>
      </c>
      <c r="AV29" s="44"/>
    </row>
    <row r="30" spans="1:48" s="88" customFormat="1" ht="25.9" customHeight="1" x14ac:dyDescent="0.75">
      <c r="A30" s="76">
        <v>15</v>
      </c>
      <c r="B30" s="76">
        <v>1</v>
      </c>
      <c r="C30" s="76" t="str">
        <f>IFERROR(INDEX([1]Entity!$A$2:$A$503,MATCH($J30,[1]Entity!$E$2:$E$503,0)),"")</f>
        <v/>
      </c>
      <c r="D30" s="88">
        <f>IFERROR(INDEX('[2]Account Group'!$A:$A,MATCH(G30,'[2]Account Group'!$B:$B,0)),"")</f>
        <v>19</v>
      </c>
      <c r="E30" s="88">
        <f>IFERROR(INDEX([3]Account!$A:$A,MATCH(H30,[3]Account!$D:$D,0)),"")</f>
        <v>99</v>
      </c>
      <c r="F30" s="88">
        <f>INDEX('[4]Sub Account'!$A:$A,MATCH(I30,'[4]Sub Account'!$D:$D,0))</f>
        <v>495</v>
      </c>
      <c r="G30" s="91">
        <v>71</v>
      </c>
      <c r="H30" s="92">
        <v>7101</v>
      </c>
      <c r="I30" s="93">
        <v>71012</v>
      </c>
      <c r="J30" s="94" t="s">
        <v>61</v>
      </c>
      <c r="K30" s="81"/>
      <c r="L30" s="82"/>
      <c r="M30" s="83" t="str">
        <f>IFERROR(L30/K30, "-")</f>
        <v>-</v>
      </c>
      <c r="N30" s="82">
        <f t="shared" si="14"/>
        <v>0</v>
      </c>
      <c r="O30" s="84"/>
      <c r="P30" s="84"/>
      <c r="Q30" s="85"/>
      <c r="R30" s="82">
        <f t="shared" si="15"/>
        <v>0</v>
      </c>
      <c r="S30" s="84"/>
      <c r="T30" s="84"/>
      <c r="U30" s="85"/>
      <c r="V30" s="82">
        <f t="shared" si="6"/>
        <v>0</v>
      </c>
      <c r="W30" s="84"/>
      <c r="X30" s="84"/>
      <c r="Y30" s="85"/>
      <c r="Z30" s="82">
        <f t="shared" si="16"/>
        <v>0</v>
      </c>
      <c r="AA30" s="84"/>
      <c r="AB30" s="84"/>
      <c r="AC30" s="85"/>
      <c r="AD30" s="82">
        <f t="shared" si="8"/>
        <v>0</v>
      </c>
      <c r="AE30" s="84"/>
      <c r="AF30" s="84"/>
      <c r="AG30" s="85"/>
      <c r="AH30" s="82">
        <f t="shared" si="17"/>
        <v>0</v>
      </c>
      <c r="AI30" s="84"/>
      <c r="AJ30" s="84"/>
      <c r="AK30" s="85"/>
      <c r="AL30" s="82">
        <f t="shared" si="7"/>
        <v>0</v>
      </c>
      <c r="AM30" s="84"/>
      <c r="AN30" s="84"/>
      <c r="AO30" s="85"/>
      <c r="AP30" s="82">
        <f t="shared" si="18"/>
        <v>0</v>
      </c>
      <c r="AQ30" s="84"/>
      <c r="AR30" s="84"/>
      <c r="AS30" s="85"/>
      <c r="AT30" s="86"/>
      <c r="AU30" s="87" t="str">
        <f t="shared" si="2"/>
        <v>-</v>
      </c>
      <c r="AV30" s="44"/>
    </row>
    <row r="31" spans="1:48" s="88" customFormat="1" ht="25.9" customHeight="1" x14ac:dyDescent="0.75">
      <c r="A31" s="76">
        <v>16</v>
      </c>
      <c r="B31" s="76">
        <v>1</v>
      </c>
      <c r="C31" s="76" t="str">
        <f>IFERROR(INDEX([1]Entity!$A$2:$A$503,MATCH($J31,[1]Entity!$E$2:$E$503,0)),"")</f>
        <v/>
      </c>
      <c r="D31" s="88">
        <f>IFERROR(INDEX('[2]Account Group'!$A:$A,MATCH(G31,'[2]Account Group'!$B:$B,0)),"")</f>
        <v>19</v>
      </c>
      <c r="E31" s="88">
        <f>IFERROR(INDEX([3]Account!$A:$A,MATCH(H31,[3]Account!$D:$D,0)),"")</f>
        <v>99</v>
      </c>
      <c r="F31" s="88">
        <f>INDEX('[4]Sub Account'!$A:$A,MATCH(I31,'[4]Sub Account'!$D:$D,0))</f>
        <v>496</v>
      </c>
      <c r="G31" s="77">
        <v>71</v>
      </c>
      <c r="H31" s="78">
        <v>7101</v>
      </c>
      <c r="I31" s="79">
        <v>71014</v>
      </c>
      <c r="J31" s="80" t="s">
        <v>62</v>
      </c>
      <c r="K31" s="81"/>
      <c r="L31" s="82"/>
      <c r="M31" s="83" t="str">
        <f>IFERROR(L31/K31, "-")</f>
        <v>-</v>
      </c>
      <c r="N31" s="82">
        <f t="shared" si="14"/>
        <v>0</v>
      </c>
      <c r="O31" s="84"/>
      <c r="P31" s="84"/>
      <c r="Q31" s="85"/>
      <c r="R31" s="82">
        <f t="shared" si="15"/>
        <v>0</v>
      </c>
      <c r="S31" s="84"/>
      <c r="T31" s="84"/>
      <c r="U31" s="85"/>
      <c r="V31" s="82">
        <f t="shared" si="6"/>
        <v>0</v>
      </c>
      <c r="W31" s="84"/>
      <c r="X31" s="84"/>
      <c r="Y31" s="85"/>
      <c r="Z31" s="82">
        <f t="shared" si="16"/>
        <v>0</v>
      </c>
      <c r="AA31" s="84"/>
      <c r="AB31" s="84"/>
      <c r="AC31" s="85"/>
      <c r="AD31" s="82">
        <f>SUM(AE31:AG31)</f>
        <v>0</v>
      </c>
      <c r="AE31" s="84"/>
      <c r="AF31" s="84"/>
      <c r="AG31" s="85"/>
      <c r="AH31" s="82">
        <f t="shared" si="17"/>
        <v>0</v>
      </c>
      <c r="AI31" s="84"/>
      <c r="AJ31" s="84"/>
      <c r="AK31" s="85"/>
      <c r="AL31" s="82">
        <f t="shared" si="7"/>
        <v>0</v>
      </c>
      <c r="AM31" s="84"/>
      <c r="AN31" s="84"/>
      <c r="AO31" s="85"/>
      <c r="AP31" s="82">
        <f t="shared" si="18"/>
        <v>0</v>
      </c>
      <c r="AQ31" s="84"/>
      <c r="AR31" s="84"/>
      <c r="AS31" s="85"/>
      <c r="AT31" s="86"/>
      <c r="AU31" s="87" t="str">
        <f t="shared" si="2"/>
        <v>-</v>
      </c>
      <c r="AV31" s="44"/>
    </row>
    <row r="32" spans="1:48" s="88" customFormat="1" ht="25.9" customHeight="1" x14ac:dyDescent="0.75">
      <c r="A32" s="76">
        <v>17</v>
      </c>
      <c r="B32" s="76">
        <v>1</v>
      </c>
      <c r="C32" s="76" t="str">
        <f>IFERROR(INDEX([1]Entity!$A$2:$A$503,MATCH($J32,[1]Entity!$E$2:$E$503,0)),"")</f>
        <v/>
      </c>
      <c r="D32" s="88">
        <f>IFERROR(INDEX('[2]Account Group'!$A:$A,MATCH(G32,'[2]Account Group'!$B:$B,0)),"")</f>
        <v>19</v>
      </c>
      <c r="E32" s="88">
        <f>IFERROR(INDEX([3]Account!$A:$A,MATCH(H32,[3]Account!$D:$D,0)),"")</f>
        <v>99</v>
      </c>
      <c r="F32" s="88">
        <f>INDEX('[4]Sub Account'!$A:$A,MATCH(I32,'[4]Sub Account'!$D:$D,0))</f>
        <v>497</v>
      </c>
      <c r="G32" s="77">
        <v>71</v>
      </c>
      <c r="H32" s="78">
        <v>7101</v>
      </c>
      <c r="I32" s="79">
        <v>71016</v>
      </c>
      <c r="J32" s="94" t="s">
        <v>63</v>
      </c>
      <c r="K32" s="81"/>
      <c r="L32" s="82"/>
      <c r="M32" s="83" t="str">
        <f>IFERROR(L32/K32, "-")</f>
        <v>-</v>
      </c>
      <c r="N32" s="82">
        <f>SUM(O32:Q32)</f>
        <v>0</v>
      </c>
      <c r="O32" s="84"/>
      <c r="P32" s="84"/>
      <c r="Q32" s="85"/>
      <c r="R32" s="82">
        <f>SUM(S32:U32)</f>
        <v>0</v>
      </c>
      <c r="S32" s="84"/>
      <c r="T32" s="84"/>
      <c r="U32" s="85"/>
      <c r="V32" s="82">
        <f t="shared" si="6"/>
        <v>0</v>
      </c>
      <c r="W32" s="84"/>
      <c r="X32" s="84"/>
      <c r="Y32" s="85"/>
      <c r="Z32" s="82">
        <f>SUM(AA32:AC32)</f>
        <v>0</v>
      </c>
      <c r="AA32" s="84"/>
      <c r="AB32" s="84"/>
      <c r="AC32" s="85"/>
      <c r="AD32" s="82">
        <f>SUM(AE32:AG32)</f>
        <v>0</v>
      </c>
      <c r="AE32" s="84"/>
      <c r="AF32" s="84"/>
      <c r="AG32" s="85"/>
      <c r="AH32" s="82">
        <f>SUM(AI32:AK32)</f>
        <v>0</v>
      </c>
      <c r="AI32" s="84"/>
      <c r="AJ32" s="84"/>
      <c r="AK32" s="85"/>
      <c r="AL32" s="82">
        <f t="shared" si="7"/>
        <v>0</v>
      </c>
      <c r="AM32" s="84"/>
      <c r="AN32" s="84"/>
      <c r="AO32" s="85"/>
      <c r="AP32" s="82">
        <f t="shared" si="18"/>
        <v>0</v>
      </c>
      <c r="AQ32" s="84"/>
      <c r="AR32" s="84"/>
      <c r="AS32" s="85"/>
      <c r="AT32" s="86"/>
      <c r="AU32" s="87" t="str">
        <f t="shared" si="2"/>
        <v>-</v>
      </c>
      <c r="AV32" s="44"/>
    </row>
    <row r="33" spans="1:48" s="88" customFormat="1" ht="25.9" customHeight="1" x14ac:dyDescent="0.75">
      <c r="A33" s="76">
        <v>18</v>
      </c>
      <c r="B33" s="76">
        <v>1</v>
      </c>
      <c r="C33" s="76" t="str">
        <f>IFERROR(INDEX([1]Entity!$A$2:$A$503,MATCH($J33,[1]Entity!$E$2:$E$503,0)),"")</f>
        <v/>
      </c>
      <c r="D33" s="88">
        <f>IFERROR(INDEX('[2]Account Group'!$A:$A,MATCH(G33,'[2]Account Group'!$B:$B,0)),"")</f>
        <v>21</v>
      </c>
      <c r="E33" s="88">
        <f>IFERROR(INDEX([3]Account!$A:$A,MATCH(H33,[3]Account!$D:$D,0)),"")</f>
        <v>103</v>
      </c>
      <c r="F33" s="88">
        <f>INDEX('[4]Sub Account'!$A:$A,MATCH(I33,'[4]Sub Account'!$D:$D,0))</f>
        <v>467</v>
      </c>
      <c r="G33" s="77">
        <v>73</v>
      </c>
      <c r="H33" s="78">
        <v>7301</v>
      </c>
      <c r="I33" s="95">
        <v>73012</v>
      </c>
      <c r="J33" s="94" t="s">
        <v>64</v>
      </c>
      <c r="K33" s="81"/>
      <c r="L33" s="82"/>
      <c r="M33" s="83" t="str">
        <f>IFERROR(L33/K33, "-")</f>
        <v>-</v>
      </c>
      <c r="N33" s="82">
        <f>SUM(O33:Q33)</f>
        <v>0</v>
      </c>
      <c r="O33" s="84"/>
      <c r="P33" s="84"/>
      <c r="Q33" s="85"/>
      <c r="R33" s="82">
        <f>SUM(S33:U33)</f>
        <v>0</v>
      </c>
      <c r="S33" s="84"/>
      <c r="T33" s="84"/>
      <c r="U33" s="85"/>
      <c r="V33" s="82">
        <f t="shared" si="6"/>
        <v>0</v>
      </c>
      <c r="W33" s="84"/>
      <c r="X33" s="84"/>
      <c r="Y33" s="85"/>
      <c r="Z33" s="82">
        <f>SUM(AA33:AC33)</f>
        <v>0</v>
      </c>
      <c r="AA33" s="84"/>
      <c r="AB33" s="84"/>
      <c r="AC33" s="85"/>
      <c r="AD33" s="82">
        <f>SUM(AE33:AG33)</f>
        <v>0</v>
      </c>
      <c r="AE33" s="84"/>
      <c r="AF33" s="84"/>
      <c r="AG33" s="85"/>
      <c r="AH33" s="82">
        <f>SUM(AI33:AK33)</f>
        <v>0</v>
      </c>
      <c r="AI33" s="84"/>
      <c r="AJ33" s="84"/>
      <c r="AK33" s="85"/>
      <c r="AL33" s="82">
        <f t="shared" si="7"/>
        <v>0</v>
      </c>
      <c r="AM33" s="84"/>
      <c r="AN33" s="84"/>
      <c r="AO33" s="85"/>
      <c r="AP33" s="82">
        <f t="shared" si="18"/>
        <v>0</v>
      </c>
      <c r="AQ33" s="84"/>
      <c r="AR33" s="84"/>
      <c r="AS33" s="85"/>
      <c r="AT33" s="86"/>
      <c r="AU33" s="87" t="str">
        <f t="shared" si="2"/>
        <v>-</v>
      </c>
      <c r="AV33" s="44"/>
    </row>
    <row r="34" spans="1:48" s="88" customFormat="1" ht="24.75" customHeight="1" x14ac:dyDescent="0.75">
      <c r="A34" s="76">
        <v>19</v>
      </c>
      <c r="B34" s="76">
        <v>1</v>
      </c>
      <c r="C34" s="76" t="str">
        <f>IFERROR(INDEX([1]Entity!$A$2:$A$503,MATCH($J34,[1]Entity!$E$2:$E$503,0)),"")</f>
        <v/>
      </c>
      <c r="D34" s="88">
        <f>IFERROR(INDEX('[2]Account Group'!$A:$A,MATCH(G34,'[2]Account Group'!$B:$B,0)),"")</f>
        <v>21</v>
      </c>
      <c r="E34" s="88">
        <f>IFERROR(INDEX([3]Account!$A:$A,MATCH(H34,[3]Account!$D:$D,0)),"")</f>
        <v>104</v>
      </c>
      <c r="F34" s="88">
        <f>INDEX('[4]Sub Account'!$A:$A,MATCH(I34,'[4]Sub Account'!$D:$D,0))</f>
        <v>498</v>
      </c>
      <c r="G34" s="77">
        <v>73</v>
      </c>
      <c r="H34" s="354">
        <v>7302</v>
      </c>
      <c r="I34" s="95">
        <v>73024</v>
      </c>
      <c r="J34" s="80" t="s">
        <v>66</v>
      </c>
      <c r="K34" s="81"/>
      <c r="L34" s="82"/>
      <c r="M34" s="83" t="str">
        <f t="shared" ref="M34:M86" si="19">IFERROR(L34/K34, "-")</f>
        <v>-</v>
      </c>
      <c r="N34" s="82">
        <f t="shared" ref="N34:N38" si="20">SUM(O34:Q34)</f>
        <v>0</v>
      </c>
      <c r="O34" s="84"/>
      <c r="P34" s="84"/>
      <c r="Q34" s="85"/>
      <c r="R34" s="82">
        <f t="shared" ref="R34:R38" si="21">SUM(S34:U34)</f>
        <v>0</v>
      </c>
      <c r="S34" s="84"/>
      <c r="T34" s="84"/>
      <c r="U34" s="85"/>
      <c r="V34" s="82">
        <f t="shared" si="6"/>
        <v>0</v>
      </c>
      <c r="W34" s="84"/>
      <c r="X34" s="84"/>
      <c r="Y34" s="85"/>
      <c r="Z34" s="82">
        <f t="shared" ref="Z34:Z38" si="22">SUM(AA34:AC34)</f>
        <v>0</v>
      </c>
      <c r="AA34" s="84"/>
      <c r="AB34" s="84"/>
      <c r="AC34" s="85"/>
      <c r="AD34" s="82">
        <f t="shared" ref="AD34:AD38" si="23">SUM(AE34:AG34)</f>
        <v>0</v>
      </c>
      <c r="AE34" s="84"/>
      <c r="AF34" s="84"/>
      <c r="AG34" s="85"/>
      <c r="AH34" s="82">
        <f t="shared" ref="AH34:AH38" si="24">SUM(AI34:AK34)</f>
        <v>0</v>
      </c>
      <c r="AI34" s="84"/>
      <c r="AJ34" s="84"/>
      <c r="AK34" s="85"/>
      <c r="AL34" s="96">
        <f t="shared" si="7"/>
        <v>0</v>
      </c>
      <c r="AM34" s="84"/>
      <c r="AN34" s="97"/>
      <c r="AO34" s="85"/>
      <c r="AP34" s="82">
        <f t="shared" si="18"/>
        <v>0</v>
      </c>
      <c r="AQ34" s="84"/>
      <c r="AR34" s="84"/>
      <c r="AS34" s="85"/>
      <c r="AT34" s="86"/>
      <c r="AU34" s="87" t="str">
        <f t="shared" si="2"/>
        <v>-</v>
      </c>
      <c r="AV34" s="44"/>
    </row>
    <row r="35" spans="1:48" s="88" customFormat="1" ht="23.45" customHeight="1" x14ac:dyDescent="0.75">
      <c r="A35" s="76">
        <v>20</v>
      </c>
      <c r="B35" s="76">
        <v>1</v>
      </c>
      <c r="C35" s="76" t="str">
        <f>IFERROR(INDEX([1]Entity!$A$2:$A$503,MATCH($J35,[1]Entity!$E$2:$E$503,0)),"")</f>
        <v/>
      </c>
      <c r="D35" s="88">
        <f>IFERROR(INDEX('[2]Account Group'!$A:$A,MATCH(G35,'[2]Account Group'!$B:$B,0)),"")</f>
        <v>21</v>
      </c>
      <c r="E35" s="88">
        <f>IFERROR(INDEX([3]Account!$A:$A,MATCH(H35,[3]Account!$D:$D,0)),"")</f>
        <v>104</v>
      </c>
      <c r="F35" s="88">
        <f>INDEX('[4]Sub Account'!$A:$A,MATCH(I35,'[4]Sub Account'!$D:$D,0))</f>
        <v>499</v>
      </c>
      <c r="G35" s="77">
        <v>73</v>
      </c>
      <c r="H35" s="354">
        <v>7302</v>
      </c>
      <c r="I35" s="95">
        <v>73028</v>
      </c>
      <c r="J35" s="89" t="s">
        <v>67</v>
      </c>
      <c r="K35" s="81"/>
      <c r="L35" s="82"/>
      <c r="M35" s="83" t="str">
        <f t="shared" si="19"/>
        <v>-</v>
      </c>
      <c r="N35" s="82">
        <f t="shared" si="20"/>
        <v>0</v>
      </c>
      <c r="O35" s="84"/>
      <c r="P35" s="84"/>
      <c r="Q35" s="85"/>
      <c r="R35" s="82">
        <f t="shared" si="21"/>
        <v>0</v>
      </c>
      <c r="S35" s="84"/>
      <c r="T35" s="84"/>
      <c r="U35" s="85"/>
      <c r="V35" s="82">
        <f t="shared" si="6"/>
        <v>0</v>
      </c>
      <c r="W35" s="84"/>
      <c r="X35" s="84"/>
      <c r="Y35" s="85"/>
      <c r="Z35" s="82">
        <f t="shared" si="22"/>
        <v>0</v>
      </c>
      <c r="AA35" s="84"/>
      <c r="AB35" s="84"/>
      <c r="AC35" s="85"/>
      <c r="AD35" s="82">
        <f t="shared" si="23"/>
        <v>0</v>
      </c>
      <c r="AE35" s="84"/>
      <c r="AF35" s="84"/>
      <c r="AG35" s="85"/>
      <c r="AH35" s="82">
        <f t="shared" si="24"/>
        <v>0</v>
      </c>
      <c r="AI35" s="84"/>
      <c r="AJ35" s="84"/>
      <c r="AK35" s="85"/>
      <c r="AL35" s="96">
        <f t="shared" si="7"/>
        <v>0</v>
      </c>
      <c r="AM35" s="84"/>
      <c r="AN35" s="97"/>
      <c r="AO35" s="85"/>
      <c r="AP35" s="82">
        <f t="shared" si="18"/>
        <v>0</v>
      </c>
      <c r="AQ35" s="84"/>
      <c r="AR35" s="84"/>
      <c r="AS35" s="85"/>
      <c r="AT35" s="86"/>
      <c r="AU35" s="87" t="str">
        <f t="shared" si="2"/>
        <v>-</v>
      </c>
      <c r="AV35" s="44"/>
    </row>
    <row r="36" spans="1:48" s="88" customFormat="1" ht="23.45" customHeight="1" x14ac:dyDescent="0.75">
      <c r="A36" s="76">
        <v>21</v>
      </c>
      <c r="B36" s="76">
        <v>1</v>
      </c>
      <c r="C36" s="76" t="str">
        <f>IFERROR(INDEX([1]Entity!$A$2:$A$503,MATCH($J36,[1]Entity!$E$2:$E$503,0)),"")</f>
        <v/>
      </c>
      <c r="D36" s="88">
        <f>IFERROR(INDEX('[2]Account Group'!$A:$A,MATCH(G36,'[2]Account Group'!$B:$B,0)),"")</f>
        <v>21</v>
      </c>
      <c r="E36" s="88">
        <f>IFERROR(INDEX([3]Account!$A:$A,MATCH(H36,[3]Account!$D:$D,0)),"")</f>
        <v>105</v>
      </c>
      <c r="F36" s="88">
        <f>INDEX('[4]Sub Account'!$A:$A,MATCH(I36,'[4]Sub Account'!$D:$D,0))</f>
        <v>472</v>
      </c>
      <c r="G36" s="77">
        <v>73</v>
      </c>
      <c r="H36" s="354">
        <v>7304</v>
      </c>
      <c r="I36" s="95">
        <v>73048</v>
      </c>
      <c r="J36" s="80" t="s">
        <v>68</v>
      </c>
      <c r="K36" s="81"/>
      <c r="L36" s="82"/>
      <c r="M36" s="83" t="str">
        <f t="shared" si="19"/>
        <v>-</v>
      </c>
      <c r="N36" s="82">
        <f t="shared" si="20"/>
        <v>0</v>
      </c>
      <c r="O36" s="84"/>
      <c r="P36" s="84"/>
      <c r="Q36" s="85"/>
      <c r="R36" s="82">
        <f t="shared" si="21"/>
        <v>0</v>
      </c>
      <c r="S36" s="84"/>
      <c r="T36" s="84"/>
      <c r="U36" s="85"/>
      <c r="V36" s="82">
        <f t="shared" si="6"/>
        <v>0</v>
      </c>
      <c r="W36" s="84"/>
      <c r="X36" s="84"/>
      <c r="Y36" s="85"/>
      <c r="Z36" s="82">
        <f t="shared" si="22"/>
        <v>0</v>
      </c>
      <c r="AA36" s="84"/>
      <c r="AB36" s="84"/>
      <c r="AC36" s="85"/>
      <c r="AD36" s="82">
        <f t="shared" si="23"/>
        <v>0</v>
      </c>
      <c r="AE36" s="84"/>
      <c r="AF36" s="84"/>
      <c r="AG36" s="85"/>
      <c r="AH36" s="82">
        <f t="shared" si="24"/>
        <v>0</v>
      </c>
      <c r="AI36" s="84"/>
      <c r="AJ36" s="84"/>
      <c r="AK36" s="85"/>
      <c r="AL36" s="96">
        <f t="shared" si="7"/>
        <v>0</v>
      </c>
      <c r="AM36" s="84"/>
      <c r="AN36" s="97"/>
      <c r="AO36" s="85"/>
      <c r="AP36" s="82">
        <f t="shared" si="18"/>
        <v>0</v>
      </c>
      <c r="AQ36" s="84"/>
      <c r="AR36" s="84"/>
      <c r="AS36" s="85"/>
      <c r="AT36" s="86"/>
      <c r="AU36" s="87" t="str">
        <f t="shared" si="2"/>
        <v>-</v>
      </c>
      <c r="AV36" s="44"/>
    </row>
    <row r="37" spans="1:48" s="88" customFormat="1" ht="23.45" customHeight="1" x14ac:dyDescent="0.75">
      <c r="A37" s="76">
        <v>22</v>
      </c>
      <c r="B37" s="76">
        <v>1</v>
      </c>
      <c r="C37" s="76" t="str">
        <f>IFERROR(INDEX([1]Entity!$A$2:$A$503,MATCH($J37,[1]Entity!$E$2:$E$503,0)),"")</f>
        <v/>
      </c>
      <c r="D37" s="88">
        <f>IFERROR(INDEX('[2]Account Group'!$A:$A,MATCH(G37,'[2]Account Group'!$B:$B,0)),"")</f>
        <v>21</v>
      </c>
      <c r="E37" s="88">
        <f>IFERROR(INDEX([3]Account!$A:$A,MATCH(H37,[3]Account!$D:$D,0)),"")</f>
        <v>107</v>
      </c>
      <c r="F37" s="88">
        <f>INDEX('[4]Sub Account'!$A:$A,MATCH(I37,'[4]Sub Account'!$D:$D,0))</f>
        <v>473</v>
      </c>
      <c r="G37" s="77">
        <v>73</v>
      </c>
      <c r="H37" s="354">
        <v>7306</v>
      </c>
      <c r="I37" s="95">
        <v>73066</v>
      </c>
      <c r="J37" s="80" t="s">
        <v>70</v>
      </c>
      <c r="K37" s="81"/>
      <c r="L37" s="82"/>
      <c r="M37" s="83" t="str">
        <f t="shared" si="19"/>
        <v>-</v>
      </c>
      <c r="N37" s="82">
        <f t="shared" si="20"/>
        <v>0</v>
      </c>
      <c r="O37" s="84"/>
      <c r="P37" s="84"/>
      <c r="Q37" s="85"/>
      <c r="R37" s="82">
        <f t="shared" si="21"/>
        <v>0</v>
      </c>
      <c r="S37" s="84"/>
      <c r="T37" s="84"/>
      <c r="U37" s="85"/>
      <c r="V37" s="82">
        <f t="shared" si="6"/>
        <v>0</v>
      </c>
      <c r="W37" s="84"/>
      <c r="X37" s="84"/>
      <c r="Y37" s="85"/>
      <c r="Z37" s="82">
        <f t="shared" si="22"/>
        <v>0</v>
      </c>
      <c r="AA37" s="84"/>
      <c r="AB37" s="84"/>
      <c r="AC37" s="85"/>
      <c r="AD37" s="82">
        <f t="shared" si="23"/>
        <v>0</v>
      </c>
      <c r="AE37" s="84"/>
      <c r="AF37" s="84"/>
      <c r="AG37" s="85"/>
      <c r="AH37" s="82">
        <f t="shared" si="24"/>
        <v>0</v>
      </c>
      <c r="AI37" s="84"/>
      <c r="AJ37" s="84"/>
      <c r="AK37" s="85"/>
      <c r="AL37" s="96">
        <f t="shared" si="7"/>
        <v>0</v>
      </c>
      <c r="AM37" s="84"/>
      <c r="AN37" s="97"/>
      <c r="AO37" s="85"/>
      <c r="AP37" s="82">
        <f t="shared" si="18"/>
        <v>0</v>
      </c>
      <c r="AQ37" s="84"/>
      <c r="AR37" s="84"/>
      <c r="AS37" s="85"/>
      <c r="AT37" s="86"/>
      <c r="AU37" s="87" t="str">
        <f t="shared" si="2"/>
        <v>-</v>
      </c>
      <c r="AV37" s="44"/>
    </row>
    <row r="38" spans="1:48" s="88" customFormat="1" ht="23.45" customHeight="1" x14ac:dyDescent="0.75">
      <c r="A38" s="76">
        <v>23</v>
      </c>
      <c r="B38" s="76">
        <v>1</v>
      </c>
      <c r="C38" s="76" t="str">
        <f>IFERROR(INDEX([1]Entity!$A$2:$A$503,MATCH($J38,[1]Entity!$E$2:$E$503,0)),"")</f>
        <v/>
      </c>
      <c r="D38" s="88">
        <f>IFERROR(INDEX('[2]Account Group'!$A:$A,MATCH(G38,'[2]Account Group'!$B:$B,0)),"")</f>
        <v>21</v>
      </c>
      <c r="E38" s="88">
        <f>IFERROR(INDEX([3]Account!$A:$A,MATCH(H38,[3]Account!$D:$D,0)),"")</f>
        <v>109</v>
      </c>
      <c r="F38" s="88">
        <f>INDEX('[4]Sub Account'!$A:$A,MATCH(I38,'[4]Sub Account'!$D:$D,0))</f>
        <v>500</v>
      </c>
      <c r="G38" s="77">
        <v>73</v>
      </c>
      <c r="H38" s="354">
        <v>7308</v>
      </c>
      <c r="I38" s="95">
        <v>73087</v>
      </c>
      <c r="J38" s="80" t="s">
        <v>71</v>
      </c>
      <c r="K38" s="81"/>
      <c r="L38" s="82"/>
      <c r="M38" s="83" t="str">
        <f t="shared" si="19"/>
        <v>-</v>
      </c>
      <c r="N38" s="82">
        <f t="shared" si="20"/>
        <v>0</v>
      </c>
      <c r="O38" s="84"/>
      <c r="P38" s="84"/>
      <c r="Q38" s="85"/>
      <c r="R38" s="82">
        <f t="shared" si="21"/>
        <v>0</v>
      </c>
      <c r="S38" s="84"/>
      <c r="T38" s="84"/>
      <c r="U38" s="85"/>
      <c r="V38" s="82">
        <f t="shared" si="6"/>
        <v>0</v>
      </c>
      <c r="W38" s="84"/>
      <c r="X38" s="84"/>
      <c r="Y38" s="85"/>
      <c r="Z38" s="82">
        <f t="shared" si="22"/>
        <v>0</v>
      </c>
      <c r="AA38" s="84"/>
      <c r="AB38" s="84"/>
      <c r="AC38" s="85"/>
      <c r="AD38" s="82">
        <f t="shared" si="23"/>
        <v>0</v>
      </c>
      <c r="AE38" s="84"/>
      <c r="AF38" s="84"/>
      <c r="AG38" s="85"/>
      <c r="AH38" s="82">
        <f t="shared" si="24"/>
        <v>0</v>
      </c>
      <c r="AI38" s="84"/>
      <c r="AJ38" s="84"/>
      <c r="AK38" s="85"/>
      <c r="AL38" s="96">
        <f t="shared" si="7"/>
        <v>0</v>
      </c>
      <c r="AM38" s="84"/>
      <c r="AN38" s="97"/>
      <c r="AO38" s="85"/>
      <c r="AP38" s="82">
        <f t="shared" si="18"/>
        <v>0</v>
      </c>
      <c r="AQ38" s="84"/>
      <c r="AR38" s="84"/>
      <c r="AS38" s="85"/>
      <c r="AT38" s="86"/>
      <c r="AU38" s="87" t="str">
        <f t="shared" si="2"/>
        <v>-</v>
      </c>
      <c r="AV38" s="44"/>
    </row>
    <row r="39" spans="1:48" s="76" customFormat="1" ht="42.65" customHeight="1" x14ac:dyDescent="0.75">
      <c r="A39" s="76">
        <v>24</v>
      </c>
      <c r="C39" s="76">
        <f>IFERROR(INDEX([1]Entity!$A$2:$A$503,MATCH(TRIM($J39),[1]Entity!$E$2:$E$503,0)),"")</f>
        <v>7</v>
      </c>
      <c r="D39" s="88" t="str">
        <f>IFERROR(INDEX('[2]Account Group'!$A:$A,MATCH(G39,'[2]Account Group'!$B:$B,0)),"")</f>
        <v/>
      </c>
      <c r="E39" s="88" t="str">
        <f>IFERROR(INDEX([3]Account!$A:$A,MATCH(H39,[3]Account!$D:$D,0)),"")</f>
        <v/>
      </c>
      <c r="F39" s="88" t="e">
        <f>INDEX('[4]Sub Account'!$A:$A,MATCH(I39,'[4]Sub Account'!$D:$D,0))</f>
        <v>#N/A</v>
      </c>
      <c r="G39" s="98"/>
      <c r="H39" s="99"/>
      <c r="I39" s="100"/>
      <c r="J39" s="101" t="s">
        <v>72</v>
      </c>
      <c r="K39" s="66">
        <f>SUM(K40:K54)</f>
        <v>0</v>
      </c>
      <c r="L39" s="67">
        <f>SUM(L40:L54)</f>
        <v>0</v>
      </c>
      <c r="M39" s="68" t="str">
        <f t="shared" si="19"/>
        <v>-</v>
      </c>
      <c r="N39" s="67">
        <f>SUM(N40:N54)</f>
        <v>0</v>
      </c>
      <c r="O39" s="69">
        <f t="shared" ref="O39:AS39" si="25">SUM(O40:O54)</f>
        <v>0</v>
      </c>
      <c r="P39" s="69">
        <f t="shared" si="25"/>
        <v>0</v>
      </c>
      <c r="Q39" s="70">
        <f t="shared" si="25"/>
        <v>0</v>
      </c>
      <c r="R39" s="71">
        <f>SUM(R40:R54)</f>
        <v>0</v>
      </c>
      <c r="S39" s="72">
        <f>SUM(S40:S54)</f>
        <v>0</v>
      </c>
      <c r="T39" s="72">
        <f>SUM(T40:T54)</f>
        <v>0</v>
      </c>
      <c r="U39" s="73">
        <f>SUM(U40:U54)</f>
        <v>0</v>
      </c>
      <c r="V39" s="67">
        <f t="shared" si="25"/>
        <v>0</v>
      </c>
      <c r="W39" s="69">
        <f t="shared" si="25"/>
        <v>0</v>
      </c>
      <c r="X39" s="69">
        <f t="shared" si="25"/>
        <v>0</v>
      </c>
      <c r="Y39" s="70">
        <f t="shared" si="25"/>
        <v>0</v>
      </c>
      <c r="Z39" s="71">
        <f t="shared" si="25"/>
        <v>0</v>
      </c>
      <c r="AA39" s="72">
        <f t="shared" si="25"/>
        <v>0</v>
      </c>
      <c r="AB39" s="72">
        <f t="shared" si="25"/>
        <v>0</v>
      </c>
      <c r="AC39" s="73">
        <f t="shared" si="25"/>
        <v>0</v>
      </c>
      <c r="AD39" s="67">
        <f t="shared" si="25"/>
        <v>0</v>
      </c>
      <c r="AE39" s="69">
        <f t="shared" si="25"/>
        <v>0</v>
      </c>
      <c r="AF39" s="69">
        <f t="shared" si="25"/>
        <v>0</v>
      </c>
      <c r="AG39" s="70">
        <f t="shared" si="25"/>
        <v>0</v>
      </c>
      <c r="AH39" s="71">
        <f t="shared" si="25"/>
        <v>0</v>
      </c>
      <c r="AI39" s="72">
        <f t="shared" si="25"/>
        <v>0</v>
      </c>
      <c r="AJ39" s="72">
        <f t="shared" si="25"/>
        <v>0</v>
      </c>
      <c r="AK39" s="73">
        <f t="shared" si="25"/>
        <v>0</v>
      </c>
      <c r="AL39" s="69">
        <f t="shared" si="25"/>
        <v>0</v>
      </c>
      <c r="AM39" s="69">
        <f t="shared" si="25"/>
        <v>0</v>
      </c>
      <c r="AN39" s="102">
        <f t="shared" si="25"/>
        <v>0</v>
      </c>
      <c r="AO39" s="70">
        <f t="shared" si="25"/>
        <v>0</v>
      </c>
      <c r="AP39" s="71">
        <f t="shared" si="25"/>
        <v>0</v>
      </c>
      <c r="AQ39" s="72">
        <f t="shared" si="25"/>
        <v>0</v>
      </c>
      <c r="AR39" s="72">
        <f t="shared" si="25"/>
        <v>0</v>
      </c>
      <c r="AS39" s="73">
        <f t="shared" si="25"/>
        <v>0</v>
      </c>
      <c r="AT39" s="74"/>
      <c r="AU39" s="75" t="str">
        <f t="shared" si="2"/>
        <v>-</v>
      </c>
      <c r="AV39" s="44"/>
    </row>
    <row r="40" spans="1:48" s="110" customFormat="1" ht="32.450000000000003" customHeight="1" x14ac:dyDescent="0.75">
      <c r="A40" s="76">
        <v>25</v>
      </c>
      <c r="B40" s="76">
        <v>24</v>
      </c>
      <c r="D40" s="88">
        <f>IFERROR(INDEX('[2]Account Group'!$A:$A,MATCH(G40,'[2]Account Group'!$B:$B,0)),"")</f>
        <v>18</v>
      </c>
      <c r="E40" s="88">
        <f>IFERROR(INDEX([3]Account!$A:$A,MATCH(H40,[3]Account!$D:$D,0)),"")</f>
        <v>90</v>
      </c>
      <c r="F40" s="88">
        <f>INDEX('[4]Sub Account'!$A:$A,MATCH(I40,'[4]Sub Account'!$D:$D,0))</f>
        <v>457</v>
      </c>
      <c r="G40" s="360">
        <v>70</v>
      </c>
      <c r="H40" s="355">
        <v>7001</v>
      </c>
      <c r="I40" s="105">
        <v>70011</v>
      </c>
      <c r="J40" s="106" t="s">
        <v>73</v>
      </c>
      <c r="K40" s="107"/>
      <c r="L40" s="82">
        <f t="shared" ref="L40:L54" si="26">N40+V40+AD40+AL40</f>
        <v>0</v>
      </c>
      <c r="M40" s="83" t="str">
        <f t="shared" si="19"/>
        <v>-</v>
      </c>
      <c r="N40" s="82">
        <f t="shared" ref="N40:N45" si="27">SUM(O40:Q40)</f>
        <v>0</v>
      </c>
      <c r="O40" s="84"/>
      <c r="P40" s="84"/>
      <c r="Q40" s="85"/>
      <c r="R40" s="82">
        <f>SUM(S40:U40)</f>
        <v>0</v>
      </c>
      <c r="S40" s="84"/>
      <c r="T40" s="84"/>
      <c r="U40" s="85"/>
      <c r="V40" s="82">
        <f>SUM(W40:Y40)</f>
        <v>0</v>
      </c>
      <c r="W40" s="84"/>
      <c r="X40" s="84"/>
      <c r="Y40" s="85"/>
      <c r="Z40" s="82">
        <f t="shared" ref="Z40:Z45" si="28">SUM(AA40:AC40)</f>
        <v>0</v>
      </c>
      <c r="AA40" s="84"/>
      <c r="AB40" s="84"/>
      <c r="AC40" s="85"/>
      <c r="AD40" s="82">
        <f>SUM(AE40:AG40)</f>
        <v>0</v>
      </c>
      <c r="AE40" s="84"/>
      <c r="AF40" s="84"/>
      <c r="AG40" s="85"/>
      <c r="AH40" s="82">
        <f t="shared" ref="AH40:AH45" si="29">SUM(AI40:AK40)</f>
        <v>0</v>
      </c>
      <c r="AI40" s="84"/>
      <c r="AJ40" s="84"/>
      <c r="AK40" s="85"/>
      <c r="AL40" s="82">
        <f>SUM(AM40:AO40)</f>
        <v>0</v>
      </c>
      <c r="AM40" s="84"/>
      <c r="AN40" s="84"/>
      <c r="AO40" s="85"/>
      <c r="AP40" s="82">
        <f t="shared" ref="AP40:AP54" si="30">SUM(AQ40:AS40)</f>
        <v>0</v>
      </c>
      <c r="AQ40" s="84"/>
      <c r="AR40" s="84"/>
      <c r="AS40" s="85"/>
      <c r="AT40" s="108"/>
      <c r="AU40" s="109" t="str">
        <f t="shared" si="2"/>
        <v>-</v>
      </c>
      <c r="AV40" s="44"/>
    </row>
    <row r="41" spans="1:48" s="88" customFormat="1" ht="32.450000000000003" customHeight="1" x14ac:dyDescent="0.75">
      <c r="A41" s="76">
        <v>26</v>
      </c>
      <c r="B41" s="76">
        <v>24</v>
      </c>
      <c r="D41" s="88">
        <f>IFERROR(INDEX('[2]Account Group'!$A:$A,MATCH(G41,'[2]Account Group'!$B:$B,0)),"")</f>
        <v>18</v>
      </c>
      <c r="E41" s="88">
        <f>IFERROR(INDEX([3]Account!$A:$A,MATCH(H41,[3]Account!$D:$D,0)),"")</f>
        <v>90</v>
      </c>
      <c r="F41" s="88">
        <f>INDEX('[4]Sub Account'!$A:$A,MATCH(I41,'[4]Sub Account'!$D:$D,0))</f>
        <v>458</v>
      </c>
      <c r="G41" s="77">
        <v>70</v>
      </c>
      <c r="H41" s="78">
        <v>7001</v>
      </c>
      <c r="I41" s="79">
        <v>70012</v>
      </c>
      <c r="J41" s="80" t="s">
        <v>74</v>
      </c>
      <c r="K41" s="107"/>
      <c r="L41" s="82">
        <f t="shared" si="26"/>
        <v>0</v>
      </c>
      <c r="M41" s="83" t="str">
        <f t="shared" si="19"/>
        <v>-</v>
      </c>
      <c r="N41" s="82">
        <f t="shared" si="27"/>
        <v>0</v>
      </c>
      <c r="O41" s="84"/>
      <c r="P41" s="84"/>
      <c r="Q41" s="85"/>
      <c r="R41" s="82">
        <f>SUM(S41:U41)</f>
        <v>0</v>
      </c>
      <c r="S41" s="84"/>
      <c r="T41" s="84"/>
      <c r="U41" s="85"/>
      <c r="V41" s="82">
        <f t="shared" si="6"/>
        <v>0</v>
      </c>
      <c r="W41" s="84"/>
      <c r="X41" s="84"/>
      <c r="Y41" s="85"/>
      <c r="Z41" s="82">
        <f t="shared" si="28"/>
        <v>0</v>
      </c>
      <c r="AA41" s="84"/>
      <c r="AB41" s="84"/>
      <c r="AC41" s="85"/>
      <c r="AD41" s="82">
        <f t="shared" si="8"/>
        <v>0</v>
      </c>
      <c r="AE41" s="84"/>
      <c r="AF41" s="84"/>
      <c r="AG41" s="85"/>
      <c r="AH41" s="82">
        <f t="shared" si="29"/>
        <v>0</v>
      </c>
      <c r="AI41" s="84"/>
      <c r="AJ41" s="84"/>
      <c r="AK41" s="85"/>
      <c r="AL41" s="82">
        <f t="shared" si="7"/>
        <v>0</v>
      </c>
      <c r="AM41" s="84"/>
      <c r="AN41" s="84"/>
      <c r="AO41" s="85"/>
      <c r="AP41" s="82">
        <f t="shared" si="30"/>
        <v>0</v>
      </c>
      <c r="AQ41" s="84"/>
      <c r="AR41" s="84"/>
      <c r="AS41" s="85"/>
      <c r="AT41" s="86"/>
      <c r="AU41" s="87" t="str">
        <f t="shared" si="2"/>
        <v>-</v>
      </c>
      <c r="AV41" s="44"/>
    </row>
    <row r="42" spans="1:48" s="88" customFormat="1" ht="32.450000000000003" customHeight="1" x14ac:dyDescent="0.75">
      <c r="A42" s="76">
        <v>27</v>
      </c>
      <c r="B42" s="76">
        <v>24</v>
      </c>
      <c r="D42" s="88">
        <f>IFERROR(INDEX('[2]Account Group'!$A:$A,MATCH(G42,'[2]Account Group'!$B:$B,0)),"")</f>
        <v>18</v>
      </c>
      <c r="E42" s="88">
        <f>IFERROR(INDEX([3]Account!$A:$A,MATCH(H42,[3]Account!$D:$D,0)),"")</f>
        <v>90</v>
      </c>
      <c r="F42" s="88">
        <f>INDEX('[4]Sub Account'!$A:$A,MATCH(I42,'[4]Sub Account'!$D:$D,0))</f>
        <v>459</v>
      </c>
      <c r="G42" s="77">
        <v>70</v>
      </c>
      <c r="H42" s="78">
        <v>7001</v>
      </c>
      <c r="I42" s="79">
        <v>70013</v>
      </c>
      <c r="J42" s="80" t="s">
        <v>75</v>
      </c>
      <c r="K42" s="107"/>
      <c r="L42" s="82">
        <f t="shared" si="26"/>
        <v>0</v>
      </c>
      <c r="M42" s="83" t="str">
        <f t="shared" si="19"/>
        <v>-</v>
      </c>
      <c r="N42" s="82">
        <f t="shared" si="27"/>
        <v>0</v>
      </c>
      <c r="O42" s="84"/>
      <c r="P42" s="84"/>
      <c r="Q42" s="85"/>
      <c r="R42" s="82">
        <f t="shared" ref="R42:R44" si="31">SUM(S42:U42)</f>
        <v>0</v>
      </c>
      <c r="S42" s="84"/>
      <c r="T42" s="84"/>
      <c r="U42" s="85"/>
      <c r="V42" s="82">
        <f>SUM(W42:Y42)</f>
        <v>0</v>
      </c>
      <c r="W42" s="84"/>
      <c r="X42" s="84"/>
      <c r="Y42" s="85"/>
      <c r="Z42" s="82">
        <f t="shared" si="28"/>
        <v>0</v>
      </c>
      <c r="AA42" s="84"/>
      <c r="AB42" s="84"/>
      <c r="AC42" s="85"/>
      <c r="AD42" s="82">
        <f t="shared" si="8"/>
        <v>0</v>
      </c>
      <c r="AE42" s="84"/>
      <c r="AF42" s="84"/>
      <c r="AG42" s="85"/>
      <c r="AH42" s="82">
        <f t="shared" si="29"/>
        <v>0</v>
      </c>
      <c r="AI42" s="84"/>
      <c r="AJ42" s="84"/>
      <c r="AK42" s="85"/>
      <c r="AL42" s="82">
        <f t="shared" si="7"/>
        <v>0</v>
      </c>
      <c r="AM42" s="84"/>
      <c r="AN42" s="84"/>
      <c r="AO42" s="85"/>
      <c r="AP42" s="82">
        <f t="shared" si="30"/>
        <v>0</v>
      </c>
      <c r="AQ42" s="84"/>
      <c r="AR42" s="84"/>
      <c r="AS42" s="85"/>
      <c r="AT42" s="86"/>
      <c r="AU42" s="87" t="str">
        <f t="shared" si="2"/>
        <v>-</v>
      </c>
      <c r="AV42" s="44"/>
    </row>
    <row r="43" spans="1:48" s="88" customFormat="1" ht="31.5" customHeight="1" x14ac:dyDescent="0.75">
      <c r="A43" s="76">
        <v>28</v>
      </c>
      <c r="B43" s="76">
        <v>24</v>
      </c>
      <c r="D43" s="88">
        <f>IFERROR(INDEX('[2]Account Group'!$A:$A,MATCH(G43,'[2]Account Group'!$B:$B,0)),"")</f>
        <v>18</v>
      </c>
      <c r="E43" s="88">
        <f>IFERROR(INDEX([3]Account!$A:$A,MATCH(H43,[3]Account!$D:$D,0)),"")</f>
        <v>90</v>
      </c>
      <c r="F43" s="88">
        <f>INDEX('[4]Sub Account'!$A:$A,MATCH(I43,'[4]Sub Account'!$D:$D,0))</f>
        <v>460</v>
      </c>
      <c r="G43" s="77">
        <v>70</v>
      </c>
      <c r="H43" s="78">
        <v>7001</v>
      </c>
      <c r="I43" s="79">
        <v>70014</v>
      </c>
      <c r="J43" s="80" t="s">
        <v>76</v>
      </c>
      <c r="K43" s="111"/>
      <c r="L43" s="82">
        <f t="shared" si="26"/>
        <v>0</v>
      </c>
      <c r="M43" s="112" t="str">
        <f t="shared" si="19"/>
        <v>-</v>
      </c>
      <c r="N43" s="82">
        <f t="shared" si="27"/>
        <v>0</v>
      </c>
      <c r="O43" s="113"/>
      <c r="P43" s="113"/>
      <c r="Q43" s="114"/>
      <c r="R43" s="115">
        <f t="shared" si="31"/>
        <v>0</v>
      </c>
      <c r="S43" s="113"/>
      <c r="T43" s="113"/>
      <c r="U43" s="113"/>
      <c r="V43" s="82">
        <f>SUM(W43:Y43)</f>
        <v>0</v>
      </c>
      <c r="W43" s="113"/>
      <c r="X43" s="113"/>
      <c r="Y43" s="114"/>
      <c r="Z43" s="115">
        <f t="shared" si="28"/>
        <v>0</v>
      </c>
      <c r="AA43" s="113"/>
      <c r="AB43" s="113"/>
      <c r="AC43" s="114"/>
      <c r="AD43" s="82">
        <f t="shared" si="8"/>
        <v>0</v>
      </c>
      <c r="AE43" s="113"/>
      <c r="AF43" s="113"/>
      <c r="AG43" s="114"/>
      <c r="AH43" s="115">
        <f t="shared" si="29"/>
        <v>0</v>
      </c>
      <c r="AI43" s="113"/>
      <c r="AJ43" s="113"/>
      <c r="AK43" s="114"/>
      <c r="AL43" s="82">
        <f t="shared" si="7"/>
        <v>0</v>
      </c>
      <c r="AM43" s="113"/>
      <c r="AN43" s="113"/>
      <c r="AO43" s="114"/>
      <c r="AP43" s="115">
        <f t="shared" si="30"/>
        <v>0</v>
      </c>
      <c r="AQ43" s="113"/>
      <c r="AR43" s="113"/>
      <c r="AS43" s="114"/>
      <c r="AT43" s="86"/>
      <c r="AU43" s="87" t="str">
        <f t="shared" si="2"/>
        <v>-</v>
      </c>
      <c r="AV43" s="44"/>
    </row>
    <row r="44" spans="1:48" s="88" customFormat="1" ht="31.5" customHeight="1" x14ac:dyDescent="0.75">
      <c r="A44" s="76">
        <v>29</v>
      </c>
      <c r="B44" s="76">
        <v>24</v>
      </c>
      <c r="D44" s="88">
        <f>IFERROR(INDEX('[2]Account Group'!$A:$A,MATCH(G44,'[2]Account Group'!$B:$B,0)),"")</f>
        <v>18</v>
      </c>
      <c r="E44" s="88">
        <f>IFERROR(INDEX([3]Account!$A:$A,MATCH(H44,[3]Account!$D:$D,0)),"")</f>
        <v>90</v>
      </c>
      <c r="F44" s="88">
        <f>INDEX('[4]Sub Account'!$A:$A,MATCH(I44,'[4]Sub Account'!$D:$D,0))</f>
        <v>461</v>
      </c>
      <c r="G44" s="77">
        <v>70</v>
      </c>
      <c r="H44" s="78">
        <v>7001</v>
      </c>
      <c r="I44" s="79">
        <v>70015</v>
      </c>
      <c r="J44" s="80" t="s">
        <v>77</v>
      </c>
      <c r="K44" s="111"/>
      <c r="L44" s="82">
        <f t="shared" si="26"/>
        <v>0</v>
      </c>
      <c r="M44" s="112" t="str">
        <f t="shared" si="19"/>
        <v>-</v>
      </c>
      <c r="N44" s="82">
        <f t="shared" si="27"/>
        <v>0</v>
      </c>
      <c r="O44" s="113"/>
      <c r="P44" s="113"/>
      <c r="Q44" s="114"/>
      <c r="R44" s="115">
        <f t="shared" si="31"/>
        <v>0</v>
      </c>
      <c r="S44" s="113"/>
      <c r="T44" s="113"/>
      <c r="U44" s="114"/>
      <c r="V44" s="82">
        <f>SUM(W44:Y44)</f>
        <v>0</v>
      </c>
      <c r="W44" s="113"/>
      <c r="X44" s="113"/>
      <c r="Y44" s="114"/>
      <c r="Z44" s="115">
        <f t="shared" si="28"/>
        <v>0</v>
      </c>
      <c r="AA44" s="113"/>
      <c r="AB44" s="113"/>
      <c r="AC44" s="114"/>
      <c r="AD44" s="82">
        <f t="shared" si="8"/>
        <v>0</v>
      </c>
      <c r="AE44" s="113"/>
      <c r="AF44" s="113"/>
      <c r="AG44" s="114"/>
      <c r="AH44" s="115">
        <f t="shared" si="29"/>
        <v>0</v>
      </c>
      <c r="AI44" s="113"/>
      <c r="AJ44" s="113"/>
      <c r="AK44" s="114"/>
      <c r="AL44" s="82">
        <f t="shared" si="7"/>
        <v>0</v>
      </c>
      <c r="AM44" s="113"/>
      <c r="AN44" s="113"/>
      <c r="AO44" s="114"/>
      <c r="AP44" s="115">
        <f t="shared" si="30"/>
        <v>0</v>
      </c>
      <c r="AQ44" s="113"/>
      <c r="AR44" s="113"/>
      <c r="AS44" s="114"/>
      <c r="AT44" s="86"/>
      <c r="AU44" s="87" t="str">
        <f t="shared" si="2"/>
        <v>-</v>
      </c>
      <c r="AV44" s="44"/>
    </row>
    <row r="45" spans="1:48" s="88" customFormat="1" ht="32.450000000000003" customHeight="1" x14ac:dyDescent="0.75">
      <c r="A45" s="76">
        <v>30</v>
      </c>
      <c r="B45" s="76">
        <v>24</v>
      </c>
      <c r="D45" s="88">
        <f>IFERROR(INDEX('[2]Account Group'!$A:$A,MATCH(G45,'[2]Account Group'!$B:$B,0)),"")</f>
        <v>18</v>
      </c>
      <c r="E45" s="88">
        <f>IFERROR(INDEX([3]Account!$A:$A,MATCH(H45,[3]Account!$D:$D,0)),"")</f>
        <v>91</v>
      </c>
      <c r="F45" s="88">
        <f>INDEX('[4]Sub Account'!$A:$A,MATCH(I45,'[4]Sub Account'!$D:$D,0))</f>
        <v>462</v>
      </c>
      <c r="G45" s="77">
        <v>70</v>
      </c>
      <c r="H45" s="78">
        <v>7002</v>
      </c>
      <c r="I45" s="79">
        <v>70022</v>
      </c>
      <c r="J45" s="80" t="s">
        <v>78</v>
      </c>
      <c r="K45" s="107"/>
      <c r="L45" s="82">
        <f t="shared" si="26"/>
        <v>0</v>
      </c>
      <c r="M45" s="83" t="str">
        <f t="shared" si="19"/>
        <v>-</v>
      </c>
      <c r="N45" s="82">
        <f t="shared" si="27"/>
        <v>0</v>
      </c>
      <c r="O45" s="84"/>
      <c r="P45" s="84"/>
      <c r="Q45" s="85"/>
      <c r="R45" s="82">
        <f>SUM(S45:U45)</f>
        <v>0</v>
      </c>
      <c r="S45" s="84"/>
      <c r="T45" s="84"/>
      <c r="U45" s="85"/>
      <c r="V45" s="82">
        <f>SUM(W45:Y45)</f>
        <v>0</v>
      </c>
      <c r="W45" s="84"/>
      <c r="X45" s="84"/>
      <c r="Y45" s="85"/>
      <c r="Z45" s="82">
        <f t="shared" si="28"/>
        <v>0</v>
      </c>
      <c r="AA45" s="84"/>
      <c r="AB45" s="84"/>
      <c r="AC45" s="85"/>
      <c r="AD45" s="82">
        <f t="shared" si="8"/>
        <v>0</v>
      </c>
      <c r="AE45" s="84"/>
      <c r="AF45" s="84"/>
      <c r="AG45" s="85"/>
      <c r="AH45" s="82">
        <f t="shared" si="29"/>
        <v>0</v>
      </c>
      <c r="AI45" s="84"/>
      <c r="AJ45" s="84"/>
      <c r="AK45" s="85"/>
      <c r="AL45" s="82">
        <f t="shared" si="7"/>
        <v>0</v>
      </c>
      <c r="AM45" s="84"/>
      <c r="AN45" s="84"/>
      <c r="AO45" s="85"/>
      <c r="AP45" s="82">
        <f t="shared" si="30"/>
        <v>0</v>
      </c>
      <c r="AQ45" s="84"/>
      <c r="AR45" s="84"/>
      <c r="AS45" s="85"/>
      <c r="AT45" s="86"/>
      <c r="AU45" s="87" t="str">
        <f t="shared" si="2"/>
        <v>-</v>
      </c>
      <c r="AV45" s="44"/>
    </row>
    <row r="46" spans="1:48" s="88" customFormat="1" ht="32.450000000000003" customHeight="1" x14ac:dyDescent="0.75">
      <c r="A46" s="76">
        <v>31</v>
      </c>
      <c r="B46" s="76">
        <v>24</v>
      </c>
      <c r="D46" s="88">
        <f>IFERROR(INDEX('[2]Account Group'!$A:$A,MATCH(G46,'[2]Account Group'!$B:$B,0)),"")</f>
        <v>18</v>
      </c>
      <c r="E46" s="88">
        <f>IFERROR(INDEX([3]Account!$A:$A,MATCH(H46,[3]Account!$D:$D,0)),"")</f>
        <v>92</v>
      </c>
      <c r="F46" s="88">
        <f>INDEX('[4]Sub Account'!$A:$A,MATCH(I46,'[4]Sub Account'!$D:$D,0))</f>
        <v>463</v>
      </c>
      <c r="G46" s="77">
        <v>70</v>
      </c>
      <c r="H46" s="78">
        <v>7003</v>
      </c>
      <c r="I46" s="79">
        <v>70031</v>
      </c>
      <c r="J46" s="80" t="s">
        <v>79</v>
      </c>
      <c r="K46" s="107"/>
      <c r="L46" s="82">
        <f t="shared" si="26"/>
        <v>0</v>
      </c>
      <c r="M46" s="83" t="str">
        <f t="shared" si="19"/>
        <v>-</v>
      </c>
      <c r="N46" s="82">
        <f t="shared" si="14"/>
        <v>0</v>
      </c>
      <c r="O46" s="84"/>
      <c r="P46" s="84"/>
      <c r="Q46" s="85"/>
      <c r="R46" s="82">
        <f t="shared" si="15"/>
        <v>0</v>
      </c>
      <c r="S46" s="84"/>
      <c r="T46" s="84"/>
      <c r="U46" s="85"/>
      <c r="V46" s="82">
        <f t="shared" si="6"/>
        <v>0</v>
      </c>
      <c r="W46" s="84"/>
      <c r="X46" s="84"/>
      <c r="Y46" s="85"/>
      <c r="Z46" s="82">
        <f t="shared" si="16"/>
        <v>0</v>
      </c>
      <c r="AA46" s="84"/>
      <c r="AB46" s="84"/>
      <c r="AC46" s="85"/>
      <c r="AD46" s="82">
        <f t="shared" si="8"/>
        <v>0</v>
      </c>
      <c r="AE46" s="84"/>
      <c r="AF46" s="84"/>
      <c r="AG46" s="85"/>
      <c r="AH46" s="82">
        <f t="shared" si="17"/>
        <v>0</v>
      </c>
      <c r="AI46" s="84"/>
      <c r="AJ46" s="84"/>
      <c r="AK46" s="85"/>
      <c r="AL46" s="82">
        <f t="shared" si="7"/>
        <v>0</v>
      </c>
      <c r="AM46" s="84"/>
      <c r="AN46" s="84"/>
      <c r="AO46" s="85"/>
      <c r="AP46" s="82">
        <f t="shared" si="30"/>
        <v>0</v>
      </c>
      <c r="AQ46" s="84"/>
      <c r="AR46" s="84"/>
      <c r="AS46" s="85"/>
      <c r="AT46" s="86"/>
      <c r="AU46" s="87" t="str">
        <f t="shared" si="2"/>
        <v>-</v>
      </c>
      <c r="AV46" s="44"/>
    </row>
    <row r="47" spans="1:48" s="88" customFormat="1" ht="32.450000000000003" customHeight="1" x14ac:dyDescent="0.75">
      <c r="A47" s="76">
        <v>32</v>
      </c>
      <c r="B47" s="76">
        <v>24</v>
      </c>
      <c r="D47" s="88">
        <f>IFERROR(INDEX('[2]Account Group'!$A:$A,MATCH(G47,'[2]Account Group'!$B:$B,0)),"")</f>
        <v>18</v>
      </c>
      <c r="E47" s="88">
        <f>IFERROR(INDEX([3]Account!$A:$A,MATCH(H47,[3]Account!$D:$D,0)),"")</f>
        <v>92</v>
      </c>
      <c r="F47" s="88">
        <f>INDEX('[4]Sub Account'!$A:$A,MATCH(I47,'[4]Sub Account'!$D:$D,0))</f>
        <v>464</v>
      </c>
      <c r="G47" s="77">
        <v>70</v>
      </c>
      <c r="H47" s="78">
        <v>7003</v>
      </c>
      <c r="I47" s="79">
        <v>70034</v>
      </c>
      <c r="J47" s="80" t="s">
        <v>80</v>
      </c>
      <c r="K47" s="107"/>
      <c r="L47" s="82">
        <f t="shared" si="26"/>
        <v>0</v>
      </c>
      <c r="M47" s="83" t="str">
        <f t="shared" si="19"/>
        <v>-</v>
      </c>
      <c r="N47" s="82">
        <f t="shared" si="14"/>
        <v>0</v>
      </c>
      <c r="O47" s="84"/>
      <c r="P47" s="84"/>
      <c r="Q47" s="85"/>
      <c r="R47" s="82">
        <f>SUM(S47:U47)</f>
        <v>0</v>
      </c>
      <c r="S47" s="84"/>
      <c r="T47" s="84"/>
      <c r="U47" s="85"/>
      <c r="V47" s="82">
        <f t="shared" si="6"/>
        <v>0</v>
      </c>
      <c r="W47" s="84"/>
      <c r="X47" s="84"/>
      <c r="Y47" s="85"/>
      <c r="Z47" s="82">
        <f t="shared" si="16"/>
        <v>0</v>
      </c>
      <c r="AA47" s="84"/>
      <c r="AB47" s="84"/>
      <c r="AC47" s="85"/>
      <c r="AD47" s="82">
        <f t="shared" si="8"/>
        <v>0</v>
      </c>
      <c r="AE47" s="84"/>
      <c r="AF47" s="84"/>
      <c r="AG47" s="85"/>
      <c r="AH47" s="82">
        <f t="shared" si="17"/>
        <v>0</v>
      </c>
      <c r="AI47" s="84"/>
      <c r="AJ47" s="84"/>
      <c r="AK47" s="85"/>
      <c r="AL47" s="82">
        <f t="shared" si="7"/>
        <v>0</v>
      </c>
      <c r="AM47" s="84"/>
      <c r="AN47" s="84"/>
      <c r="AO47" s="85"/>
      <c r="AP47" s="82">
        <f t="shared" si="30"/>
        <v>0</v>
      </c>
      <c r="AQ47" s="84"/>
      <c r="AR47" s="84"/>
      <c r="AS47" s="85"/>
      <c r="AT47" s="86"/>
      <c r="AU47" s="87" t="str">
        <f t="shared" si="2"/>
        <v>-</v>
      </c>
      <c r="AV47" s="44"/>
    </row>
    <row r="48" spans="1:48" s="88" customFormat="1" ht="27.75" customHeight="1" x14ac:dyDescent="0.75">
      <c r="A48" s="76">
        <v>33</v>
      </c>
      <c r="B48" s="76">
        <v>24</v>
      </c>
      <c r="D48" s="88">
        <f>IFERROR(INDEX('[2]Account Group'!$A:$A,MATCH(G48,'[2]Account Group'!$B:$B,0)),"")</f>
        <v>18</v>
      </c>
      <c r="E48" s="88">
        <f>IFERROR(INDEX([3]Account!$A:$A,MATCH(H48,[3]Account!$D:$D,0)),"")</f>
        <v>97</v>
      </c>
      <c r="F48" s="88">
        <f>INDEX('[4]Sub Account'!$A:$A,MATCH(I48,'[4]Sub Account'!$D:$D,0))</f>
        <v>465</v>
      </c>
      <c r="G48" s="77">
        <v>70</v>
      </c>
      <c r="H48" s="78">
        <v>7008</v>
      </c>
      <c r="I48" s="79">
        <v>70081</v>
      </c>
      <c r="J48" s="80" t="s">
        <v>81</v>
      </c>
      <c r="K48" s="111"/>
      <c r="L48" s="82">
        <f t="shared" si="26"/>
        <v>0</v>
      </c>
      <c r="M48" s="112" t="str">
        <f t="shared" si="19"/>
        <v>-</v>
      </c>
      <c r="N48" s="82">
        <f t="shared" si="14"/>
        <v>0</v>
      </c>
      <c r="O48" s="113"/>
      <c r="P48" s="113"/>
      <c r="Q48" s="114"/>
      <c r="R48" s="115">
        <f t="shared" si="15"/>
        <v>0</v>
      </c>
      <c r="S48" s="113"/>
      <c r="T48" s="113"/>
      <c r="U48" s="114"/>
      <c r="V48" s="82">
        <f t="shared" si="6"/>
        <v>0</v>
      </c>
      <c r="W48" s="113"/>
      <c r="X48" s="113"/>
      <c r="Y48" s="114"/>
      <c r="Z48" s="115">
        <f t="shared" si="16"/>
        <v>0</v>
      </c>
      <c r="AA48" s="113"/>
      <c r="AB48" s="113"/>
      <c r="AC48" s="114"/>
      <c r="AD48" s="82">
        <f t="shared" si="8"/>
        <v>0</v>
      </c>
      <c r="AE48" s="113"/>
      <c r="AF48" s="113"/>
      <c r="AG48" s="114"/>
      <c r="AH48" s="115">
        <f t="shared" si="17"/>
        <v>0</v>
      </c>
      <c r="AI48" s="113"/>
      <c r="AJ48" s="113"/>
      <c r="AK48" s="114"/>
      <c r="AL48" s="82">
        <f t="shared" si="7"/>
        <v>0</v>
      </c>
      <c r="AM48" s="113"/>
      <c r="AN48" s="113"/>
      <c r="AO48" s="114"/>
      <c r="AP48" s="115">
        <f t="shared" si="30"/>
        <v>0</v>
      </c>
      <c r="AQ48" s="113"/>
      <c r="AR48" s="113"/>
      <c r="AS48" s="114"/>
      <c r="AT48" s="86"/>
      <c r="AU48" s="87" t="str">
        <f t="shared" si="2"/>
        <v>-</v>
      </c>
      <c r="AV48" s="44"/>
    </row>
    <row r="49" spans="1:48" s="88" customFormat="1" ht="33.65" customHeight="1" x14ac:dyDescent="0.75">
      <c r="A49" s="76">
        <v>34</v>
      </c>
      <c r="B49" s="76">
        <v>24</v>
      </c>
      <c r="D49" s="88">
        <f>IFERROR(INDEX('[2]Account Group'!$A:$A,MATCH(G49,'[2]Account Group'!$B:$B,0)),"")</f>
        <v>18</v>
      </c>
      <c r="E49" s="88">
        <f>IFERROR(INDEX([3]Account!$A:$A,MATCH(H49,[3]Account!$D:$D,0)),"")</f>
        <v>97</v>
      </c>
      <c r="F49" s="88">
        <f>INDEX('[4]Sub Account'!$A:$A,MATCH(I49,'[4]Sub Account'!$D:$D,0))</f>
        <v>466</v>
      </c>
      <c r="G49" s="77">
        <v>70</v>
      </c>
      <c r="H49" s="78">
        <v>7008</v>
      </c>
      <c r="I49" s="79">
        <v>70082</v>
      </c>
      <c r="J49" s="80" t="s">
        <v>82</v>
      </c>
      <c r="K49" s="107"/>
      <c r="L49" s="82">
        <f t="shared" si="26"/>
        <v>0</v>
      </c>
      <c r="M49" s="83" t="str">
        <f t="shared" si="19"/>
        <v>-</v>
      </c>
      <c r="N49" s="82">
        <f t="shared" si="14"/>
        <v>0</v>
      </c>
      <c r="O49" s="84"/>
      <c r="P49" s="84"/>
      <c r="Q49" s="85"/>
      <c r="R49" s="82">
        <f t="shared" ref="R49:R54" si="32">SUM(S49:U49)</f>
        <v>0</v>
      </c>
      <c r="S49" s="84"/>
      <c r="T49" s="84"/>
      <c r="U49" s="85"/>
      <c r="V49" s="82">
        <f t="shared" si="6"/>
        <v>0</v>
      </c>
      <c r="W49" s="84"/>
      <c r="X49" s="84"/>
      <c r="Y49" s="85"/>
      <c r="Z49" s="82">
        <f t="shared" si="16"/>
        <v>0</v>
      </c>
      <c r="AA49" s="84"/>
      <c r="AB49" s="84"/>
      <c r="AC49" s="85"/>
      <c r="AD49" s="82">
        <f>SUM(AE49:AG49)</f>
        <v>0</v>
      </c>
      <c r="AE49" s="84"/>
      <c r="AF49" s="84"/>
      <c r="AG49" s="85"/>
      <c r="AH49" s="82">
        <f t="shared" si="17"/>
        <v>0</v>
      </c>
      <c r="AI49" s="84"/>
      <c r="AJ49" s="84"/>
      <c r="AK49" s="85"/>
      <c r="AL49" s="82">
        <f t="shared" si="7"/>
        <v>0</v>
      </c>
      <c r="AM49" s="84"/>
      <c r="AN49" s="84"/>
      <c r="AO49" s="85"/>
      <c r="AP49" s="82">
        <f t="shared" si="30"/>
        <v>0</v>
      </c>
      <c r="AQ49" s="84"/>
      <c r="AR49" s="84"/>
      <c r="AS49" s="85"/>
      <c r="AT49" s="86"/>
      <c r="AU49" s="87" t="str">
        <f t="shared" si="2"/>
        <v>-</v>
      </c>
      <c r="AV49" s="44"/>
    </row>
    <row r="50" spans="1:48" s="88" customFormat="1" ht="33.65" customHeight="1" x14ac:dyDescent="0.75">
      <c r="A50" s="76">
        <v>35</v>
      </c>
      <c r="B50" s="76">
        <v>24</v>
      </c>
      <c r="D50" s="88">
        <f>IFERROR(INDEX('[2]Account Group'!$A:$A,MATCH(G50,'[2]Account Group'!$B:$B,0)),"")</f>
        <v>21</v>
      </c>
      <c r="E50" s="88">
        <f>IFERROR(INDEX([3]Account!$A:$A,MATCH(H50,[3]Account!$D:$D,0)),"")</f>
        <v>103</v>
      </c>
      <c r="F50" s="88">
        <f>INDEX('[4]Sub Account'!$A:$A,MATCH(I50,'[4]Sub Account'!$D:$D,0))</f>
        <v>467</v>
      </c>
      <c r="G50" s="77">
        <v>73</v>
      </c>
      <c r="H50" s="78">
        <v>7301</v>
      </c>
      <c r="I50" s="116">
        <v>73012</v>
      </c>
      <c r="J50" s="117" t="s">
        <v>64</v>
      </c>
      <c r="K50" s="107"/>
      <c r="L50" s="82">
        <f t="shared" si="26"/>
        <v>0</v>
      </c>
      <c r="M50" s="83" t="str">
        <f t="shared" si="19"/>
        <v>-</v>
      </c>
      <c r="N50" s="82">
        <f t="shared" si="14"/>
        <v>0</v>
      </c>
      <c r="O50" s="84"/>
      <c r="P50" s="84"/>
      <c r="Q50" s="85"/>
      <c r="R50" s="82">
        <f t="shared" si="32"/>
        <v>0</v>
      </c>
      <c r="S50" s="118"/>
      <c r="T50" s="84"/>
      <c r="U50" s="85"/>
      <c r="V50" s="82">
        <f t="shared" si="6"/>
        <v>0</v>
      </c>
      <c r="W50" s="84"/>
      <c r="X50" s="84"/>
      <c r="Y50" s="85"/>
      <c r="Z50" s="82">
        <f t="shared" si="16"/>
        <v>0</v>
      </c>
      <c r="AA50" s="84"/>
      <c r="AB50" s="84"/>
      <c r="AC50" s="85"/>
      <c r="AD50" s="82">
        <f t="shared" si="8"/>
        <v>0</v>
      </c>
      <c r="AE50" s="84"/>
      <c r="AF50" s="84"/>
      <c r="AG50" s="85"/>
      <c r="AH50" s="82">
        <f t="shared" si="17"/>
        <v>0</v>
      </c>
      <c r="AI50" s="84"/>
      <c r="AJ50" s="84"/>
      <c r="AK50" s="85"/>
      <c r="AL50" s="82">
        <f t="shared" si="7"/>
        <v>0</v>
      </c>
      <c r="AM50" s="84"/>
      <c r="AN50" s="84"/>
      <c r="AO50" s="85"/>
      <c r="AP50" s="82">
        <f t="shared" si="30"/>
        <v>0</v>
      </c>
      <c r="AQ50" s="84"/>
      <c r="AR50" s="84"/>
      <c r="AS50" s="85"/>
      <c r="AT50" s="86"/>
      <c r="AU50" s="87" t="str">
        <f t="shared" si="2"/>
        <v>-</v>
      </c>
      <c r="AV50" s="44"/>
    </row>
    <row r="51" spans="1:48" s="88" customFormat="1" ht="33.65" customHeight="1" x14ac:dyDescent="0.75">
      <c r="A51" s="76">
        <v>36</v>
      </c>
      <c r="B51" s="76">
        <v>24</v>
      </c>
      <c r="D51" s="88">
        <f>IFERROR(INDEX('[2]Account Group'!$A:$A,MATCH(G51,'[2]Account Group'!$B:$B,0)),"")</f>
        <v>21</v>
      </c>
      <c r="E51" s="88">
        <f>IFERROR(INDEX([3]Account!$A:$A,MATCH(H51,[3]Account!$D:$D,0)),"")</f>
        <v>104</v>
      </c>
      <c r="F51" s="88">
        <f>INDEX('[4]Sub Account'!$A:$A,MATCH(I51,'[4]Sub Account'!$D:$D,0))</f>
        <v>468</v>
      </c>
      <c r="G51" s="77">
        <v>73</v>
      </c>
      <c r="H51" s="78">
        <v>7302</v>
      </c>
      <c r="I51" s="116">
        <v>73023</v>
      </c>
      <c r="J51" s="117" t="s">
        <v>83</v>
      </c>
      <c r="K51" s="119"/>
      <c r="L51" s="82">
        <f t="shared" si="26"/>
        <v>0</v>
      </c>
      <c r="M51" s="83" t="str">
        <f t="shared" si="19"/>
        <v>-</v>
      </c>
      <c r="N51" s="82">
        <f>SUM(O51:Q51)</f>
        <v>0</v>
      </c>
      <c r="O51" s="84"/>
      <c r="P51" s="84"/>
      <c r="Q51" s="85"/>
      <c r="R51" s="82">
        <f t="shared" si="32"/>
        <v>0</v>
      </c>
      <c r="S51" s="118"/>
      <c r="T51" s="84"/>
      <c r="U51" s="85"/>
      <c r="V51" s="82">
        <f t="shared" si="6"/>
        <v>0</v>
      </c>
      <c r="W51" s="84"/>
      <c r="X51" s="84"/>
      <c r="Y51" s="85"/>
      <c r="Z51" s="82">
        <f>SUM(AA51:AC51)</f>
        <v>0</v>
      </c>
      <c r="AA51" s="84"/>
      <c r="AB51" s="84"/>
      <c r="AC51" s="85"/>
      <c r="AD51" s="82">
        <f t="shared" si="8"/>
        <v>0</v>
      </c>
      <c r="AE51" s="84"/>
      <c r="AF51" s="84"/>
      <c r="AG51" s="85"/>
      <c r="AH51" s="82">
        <f>SUM(AI51:AK51)</f>
        <v>0</v>
      </c>
      <c r="AI51" s="84"/>
      <c r="AJ51" s="84"/>
      <c r="AK51" s="85"/>
      <c r="AL51" s="82">
        <f t="shared" si="7"/>
        <v>0</v>
      </c>
      <c r="AM51" s="84"/>
      <c r="AN51" s="84"/>
      <c r="AO51" s="85"/>
      <c r="AP51" s="82">
        <f t="shared" si="30"/>
        <v>0</v>
      </c>
      <c r="AQ51" s="84"/>
      <c r="AR51" s="84"/>
      <c r="AS51" s="85"/>
      <c r="AT51" s="86"/>
      <c r="AU51" s="87" t="str">
        <f t="shared" si="2"/>
        <v>-</v>
      </c>
      <c r="AV51" s="44"/>
    </row>
    <row r="52" spans="1:48" s="88" customFormat="1" ht="33.65" customHeight="1" x14ac:dyDescent="0.75">
      <c r="A52" s="76">
        <v>37</v>
      </c>
      <c r="B52" s="76">
        <v>24</v>
      </c>
      <c r="D52" s="88">
        <f>IFERROR(INDEX('[2]Account Group'!$A:$A,MATCH(G52,'[2]Account Group'!$B:$B,0)),"")</f>
        <v>21</v>
      </c>
      <c r="E52" s="88">
        <f>IFERROR(INDEX([3]Account!$A:$A,MATCH(H52,[3]Account!$D:$D,0)),"")</f>
        <v>105</v>
      </c>
      <c r="F52" s="88">
        <f>INDEX('[4]Sub Account'!$A:$A,MATCH(I52,'[4]Sub Account'!$D:$D,0))</f>
        <v>469</v>
      </c>
      <c r="G52" s="77">
        <v>73</v>
      </c>
      <c r="H52" s="78">
        <v>7304</v>
      </c>
      <c r="I52" s="116">
        <v>73047</v>
      </c>
      <c r="J52" s="117" t="s">
        <v>84</v>
      </c>
      <c r="K52" s="119"/>
      <c r="L52" s="82">
        <f t="shared" si="26"/>
        <v>0</v>
      </c>
      <c r="M52" s="83" t="str">
        <f t="shared" si="19"/>
        <v>-</v>
      </c>
      <c r="N52" s="82">
        <f>SUM(O52:Q52)</f>
        <v>0</v>
      </c>
      <c r="O52" s="84"/>
      <c r="P52" s="84"/>
      <c r="Q52" s="85"/>
      <c r="R52" s="82">
        <f t="shared" si="32"/>
        <v>0</v>
      </c>
      <c r="S52" s="118"/>
      <c r="T52" s="84"/>
      <c r="U52" s="85"/>
      <c r="V52" s="82">
        <f t="shared" si="6"/>
        <v>0</v>
      </c>
      <c r="W52" s="84"/>
      <c r="X52" s="84"/>
      <c r="Y52" s="85"/>
      <c r="Z52" s="82">
        <f>SUM(AA52:AC52)</f>
        <v>0</v>
      </c>
      <c r="AA52" s="84"/>
      <c r="AB52" s="84"/>
      <c r="AC52" s="85"/>
      <c r="AD52" s="82">
        <f t="shared" si="8"/>
        <v>0</v>
      </c>
      <c r="AE52" s="84"/>
      <c r="AF52" s="84"/>
      <c r="AG52" s="85"/>
      <c r="AH52" s="82">
        <f>SUM(AI52:AK52)</f>
        <v>0</v>
      </c>
      <c r="AI52" s="84"/>
      <c r="AJ52" s="84"/>
      <c r="AK52" s="85"/>
      <c r="AL52" s="82">
        <f t="shared" si="7"/>
        <v>0</v>
      </c>
      <c r="AM52" s="84"/>
      <c r="AN52" s="84"/>
      <c r="AO52" s="85"/>
      <c r="AP52" s="82">
        <f t="shared" si="30"/>
        <v>0</v>
      </c>
      <c r="AQ52" s="84"/>
      <c r="AR52" s="84"/>
      <c r="AS52" s="85"/>
      <c r="AT52" s="86"/>
      <c r="AU52" s="87" t="str">
        <f t="shared" si="2"/>
        <v>-</v>
      </c>
      <c r="AV52" s="44"/>
    </row>
    <row r="53" spans="1:48" s="88" customFormat="1" ht="33.65" customHeight="1" x14ac:dyDescent="0.75">
      <c r="A53" s="76">
        <v>38</v>
      </c>
      <c r="B53" s="76">
        <v>24</v>
      </c>
      <c r="D53" s="88">
        <f>IFERROR(INDEX('[2]Account Group'!$A:$A,MATCH(G53,'[2]Account Group'!$B:$B,0)),"")</f>
        <v>21</v>
      </c>
      <c r="E53" s="88">
        <f>IFERROR(INDEX([3]Account!$A:$A,MATCH(H53,[3]Account!$D:$D,0)),"")</f>
        <v>109</v>
      </c>
      <c r="F53" s="88">
        <f>INDEX('[4]Sub Account'!$A:$A,MATCH(I53,'[4]Sub Account'!$D:$D,0))</f>
        <v>470</v>
      </c>
      <c r="G53" s="91">
        <v>73</v>
      </c>
      <c r="H53" s="356">
        <v>7308</v>
      </c>
      <c r="I53" s="120">
        <v>73084</v>
      </c>
      <c r="J53" s="121" t="s">
        <v>85</v>
      </c>
      <c r="K53" s="122"/>
      <c r="L53" s="82">
        <f t="shared" si="26"/>
        <v>0</v>
      </c>
      <c r="M53" s="123" t="str">
        <f t="shared" si="19"/>
        <v>-</v>
      </c>
      <c r="N53" s="124">
        <f>SUM(O53:Q53)</f>
        <v>0</v>
      </c>
      <c r="O53" s="125"/>
      <c r="P53" s="125"/>
      <c r="Q53" s="126"/>
      <c r="R53" s="124">
        <f t="shared" si="32"/>
        <v>0</v>
      </c>
      <c r="S53" s="127"/>
      <c r="T53" s="125"/>
      <c r="U53" s="126"/>
      <c r="V53" s="124">
        <f>SUM(W53:Y53)</f>
        <v>0</v>
      </c>
      <c r="W53" s="125"/>
      <c r="X53" s="125"/>
      <c r="Y53" s="126"/>
      <c r="Z53" s="124">
        <f>SUM(AA53:AC53)</f>
        <v>0</v>
      </c>
      <c r="AA53" s="125"/>
      <c r="AB53" s="125"/>
      <c r="AC53" s="126"/>
      <c r="AD53" s="124">
        <f>SUM(AE53:AG53)</f>
        <v>0</v>
      </c>
      <c r="AE53" s="125"/>
      <c r="AF53" s="125"/>
      <c r="AG53" s="126"/>
      <c r="AH53" s="124">
        <f>SUM(AI53:AK53)</f>
        <v>0</v>
      </c>
      <c r="AI53" s="125"/>
      <c r="AJ53" s="125"/>
      <c r="AK53" s="126"/>
      <c r="AL53" s="124">
        <f>SUM(AM53:AO53)</f>
        <v>0</v>
      </c>
      <c r="AM53" s="125"/>
      <c r="AN53" s="125"/>
      <c r="AO53" s="126"/>
      <c r="AP53" s="124">
        <f t="shared" si="30"/>
        <v>0</v>
      </c>
      <c r="AQ53" s="125"/>
      <c r="AR53" s="125"/>
      <c r="AS53" s="126"/>
      <c r="AT53" s="128"/>
      <c r="AU53" s="87" t="str">
        <f t="shared" si="2"/>
        <v>-</v>
      </c>
      <c r="AV53" s="44"/>
    </row>
    <row r="54" spans="1:48" s="88" customFormat="1" ht="25.5" customHeight="1" x14ac:dyDescent="0.75">
      <c r="A54" s="76">
        <v>39</v>
      </c>
      <c r="B54" s="76">
        <v>24</v>
      </c>
      <c r="D54" s="88">
        <f>IFERROR(INDEX('[2]Account Group'!$A:$A,MATCH(G54,'[2]Account Group'!$B:$B,0)),"")</f>
        <v>21</v>
      </c>
      <c r="E54" s="88">
        <f>IFERROR(INDEX([3]Account!$A:$A,MATCH(H54,[3]Account!$D:$D,0)),"")</f>
        <v>91</v>
      </c>
      <c r="F54" s="88">
        <f>INDEX('[4]Sub Account'!$A:$A,MATCH(I54,'[4]Sub Account'!$D:$D,0))</f>
        <v>471</v>
      </c>
      <c r="G54" s="129">
        <v>73</v>
      </c>
      <c r="H54" s="130">
        <v>7002</v>
      </c>
      <c r="I54" s="131">
        <v>70021</v>
      </c>
      <c r="J54" s="132" t="s">
        <v>86</v>
      </c>
      <c r="K54" s="133"/>
      <c r="L54" s="82">
        <f t="shared" si="26"/>
        <v>0</v>
      </c>
      <c r="M54" s="134" t="str">
        <f t="shared" si="19"/>
        <v>-</v>
      </c>
      <c r="N54" s="124">
        <f>SUM(O54:Q54)</f>
        <v>0</v>
      </c>
      <c r="O54" s="135"/>
      <c r="P54" s="135"/>
      <c r="Q54" s="136"/>
      <c r="R54" s="137">
        <f t="shared" si="32"/>
        <v>0</v>
      </c>
      <c r="S54" s="138"/>
      <c r="T54" s="135"/>
      <c r="U54" s="136"/>
      <c r="V54" s="124">
        <f>SUM(W54:Y54)</f>
        <v>0</v>
      </c>
      <c r="W54" s="135"/>
      <c r="X54" s="135"/>
      <c r="Y54" s="136"/>
      <c r="Z54" s="137">
        <f>SUM(AA54:AC54)</f>
        <v>0</v>
      </c>
      <c r="AA54" s="135"/>
      <c r="AB54" s="135"/>
      <c r="AC54" s="136"/>
      <c r="AD54" s="124">
        <f>SUM(AE54:AG54)</f>
        <v>0</v>
      </c>
      <c r="AE54" s="135"/>
      <c r="AF54" s="135"/>
      <c r="AG54" s="136"/>
      <c r="AH54" s="137">
        <f>SUM(AI54:AK54)</f>
        <v>0</v>
      </c>
      <c r="AI54" s="135"/>
      <c r="AJ54" s="135"/>
      <c r="AK54" s="136"/>
      <c r="AL54" s="124">
        <f>SUM(AM54:AO54)</f>
        <v>0</v>
      </c>
      <c r="AM54" s="135"/>
      <c r="AN54" s="135"/>
      <c r="AO54" s="136"/>
      <c r="AP54" s="137">
        <f t="shared" si="30"/>
        <v>0</v>
      </c>
      <c r="AQ54" s="138"/>
      <c r="AR54" s="138"/>
      <c r="AS54" s="139"/>
      <c r="AT54" s="140"/>
      <c r="AU54" s="87" t="str">
        <f t="shared" si="2"/>
        <v>-</v>
      </c>
      <c r="AV54" s="44"/>
    </row>
    <row r="55" spans="1:48" s="76" customFormat="1" ht="30" customHeight="1" x14ac:dyDescent="0.75">
      <c r="A55" s="76">
        <v>40</v>
      </c>
      <c r="C55" s="76">
        <f>IFERROR(INDEX([1]Entity!$A$2:$A$503,MATCH(TRIM($J55),[1]Entity!$E$2:$E$503,0)),"")</f>
        <v>24</v>
      </c>
      <c r="D55" s="88" t="str">
        <f>IFERROR(INDEX('[2]Account Group'!$A:$A,MATCH(G55,'[2]Account Group'!$B:$B,0)),"")</f>
        <v/>
      </c>
      <c r="E55" s="88" t="str">
        <f>IFERROR(INDEX([3]Account!$A:$A,MATCH(H55,[3]Account!$D:$D,0)),"")</f>
        <v/>
      </c>
      <c r="F55" s="88" t="e">
        <f>INDEX('[4]Sub Account'!$A:$A,MATCH(I55,'[4]Sub Account'!$D:$D,0))</f>
        <v>#N/A</v>
      </c>
      <c r="G55" s="98"/>
      <c r="H55" s="99"/>
      <c r="I55" s="100"/>
      <c r="J55" s="141" t="s">
        <v>144</v>
      </c>
      <c r="K55" s="66">
        <f>SUM(K56:K57)</f>
        <v>0</v>
      </c>
      <c r="L55" s="67">
        <f>SUM(L56:L57)</f>
        <v>0</v>
      </c>
      <c r="M55" s="68" t="str">
        <f t="shared" si="19"/>
        <v>-</v>
      </c>
      <c r="N55" s="67">
        <f t="shared" ref="N55:AS55" si="33">SUM(N56:N57)</f>
        <v>0</v>
      </c>
      <c r="O55" s="69">
        <f t="shared" si="33"/>
        <v>0</v>
      </c>
      <c r="P55" s="69">
        <f t="shared" si="33"/>
        <v>0</v>
      </c>
      <c r="Q55" s="70">
        <f t="shared" si="33"/>
        <v>0</v>
      </c>
      <c r="R55" s="71">
        <f t="shared" si="33"/>
        <v>0</v>
      </c>
      <c r="S55" s="72">
        <f t="shared" si="33"/>
        <v>0</v>
      </c>
      <c r="T55" s="72">
        <f t="shared" si="33"/>
        <v>0</v>
      </c>
      <c r="U55" s="73">
        <f t="shared" si="33"/>
        <v>0</v>
      </c>
      <c r="V55" s="67">
        <f t="shared" si="33"/>
        <v>0</v>
      </c>
      <c r="W55" s="69">
        <f t="shared" si="33"/>
        <v>0</v>
      </c>
      <c r="X55" s="69">
        <f t="shared" si="33"/>
        <v>0</v>
      </c>
      <c r="Y55" s="70">
        <f t="shared" si="33"/>
        <v>0</v>
      </c>
      <c r="Z55" s="71">
        <f t="shared" si="33"/>
        <v>0</v>
      </c>
      <c r="AA55" s="72">
        <f t="shared" si="33"/>
        <v>0</v>
      </c>
      <c r="AB55" s="72">
        <f t="shared" si="33"/>
        <v>0</v>
      </c>
      <c r="AC55" s="73">
        <f t="shared" si="33"/>
        <v>0</v>
      </c>
      <c r="AD55" s="67">
        <f t="shared" si="33"/>
        <v>0</v>
      </c>
      <c r="AE55" s="69">
        <f t="shared" si="33"/>
        <v>0</v>
      </c>
      <c r="AF55" s="69">
        <f t="shared" si="33"/>
        <v>0</v>
      </c>
      <c r="AG55" s="70">
        <f t="shared" si="33"/>
        <v>0</v>
      </c>
      <c r="AH55" s="71">
        <f t="shared" si="33"/>
        <v>0</v>
      </c>
      <c r="AI55" s="72">
        <f t="shared" si="33"/>
        <v>0</v>
      </c>
      <c r="AJ55" s="72">
        <f t="shared" si="33"/>
        <v>0</v>
      </c>
      <c r="AK55" s="73">
        <f t="shared" si="33"/>
        <v>0</v>
      </c>
      <c r="AL55" s="67">
        <f t="shared" si="33"/>
        <v>0</v>
      </c>
      <c r="AM55" s="69">
        <f t="shared" si="33"/>
        <v>0</v>
      </c>
      <c r="AN55" s="69">
        <f t="shared" si="33"/>
        <v>0</v>
      </c>
      <c r="AO55" s="70">
        <f t="shared" si="33"/>
        <v>0</v>
      </c>
      <c r="AP55" s="71">
        <f t="shared" si="33"/>
        <v>0</v>
      </c>
      <c r="AQ55" s="72">
        <f t="shared" si="33"/>
        <v>0</v>
      </c>
      <c r="AR55" s="72">
        <f t="shared" si="33"/>
        <v>0</v>
      </c>
      <c r="AS55" s="73">
        <f t="shared" si="33"/>
        <v>0</v>
      </c>
      <c r="AT55" s="74"/>
      <c r="AU55" s="75" t="str">
        <f t="shared" si="2"/>
        <v>-</v>
      </c>
      <c r="AV55" s="44"/>
    </row>
    <row r="56" spans="1:48" s="76" customFormat="1" ht="30" customHeight="1" x14ac:dyDescent="0.75">
      <c r="A56" s="76">
        <v>41</v>
      </c>
      <c r="B56" s="76">
        <v>40</v>
      </c>
      <c r="D56" s="88">
        <f>IFERROR(INDEX('[2]Account Group'!$A:$A,MATCH(G56,'[2]Account Group'!$B:$B,0)),"")</f>
        <v>21</v>
      </c>
      <c r="E56" s="88">
        <f>IFERROR(INDEX([3]Account!$A:$A,MATCH(H56,[3]Account!$D:$D,0)),"")</f>
        <v>104</v>
      </c>
      <c r="F56" s="88">
        <f>INDEX('[4]Sub Account'!$A:$A,MATCH(I56,'[4]Sub Account'!$D:$D,0))</f>
        <v>472</v>
      </c>
      <c r="G56" s="361">
        <v>73</v>
      </c>
      <c r="H56" s="356">
        <v>7302</v>
      </c>
      <c r="I56" s="120">
        <v>73048</v>
      </c>
      <c r="J56" s="121" t="s">
        <v>68</v>
      </c>
      <c r="K56" s="107"/>
      <c r="L56" s="82"/>
      <c r="M56" s="83" t="str">
        <f t="shared" si="19"/>
        <v>-</v>
      </c>
      <c r="N56" s="82">
        <f t="shared" ref="N56:N57" si="34">SUM(O56:Q56)</f>
        <v>0</v>
      </c>
      <c r="O56" s="84"/>
      <c r="P56" s="84"/>
      <c r="Q56" s="85"/>
      <c r="R56" s="82">
        <f t="shared" ref="R56:R57" si="35">SUM(S56:U56)</f>
        <v>0</v>
      </c>
      <c r="S56" s="84"/>
      <c r="T56" s="84"/>
      <c r="U56" s="85"/>
      <c r="V56" s="82">
        <f t="shared" ref="V56:V57" si="36">SUM(W56:Y56)</f>
        <v>0</v>
      </c>
      <c r="W56" s="84"/>
      <c r="X56" s="84"/>
      <c r="Y56" s="85"/>
      <c r="Z56" s="82">
        <f t="shared" ref="Z56" si="37">SUM(AA56:AC56)</f>
        <v>0</v>
      </c>
      <c r="AA56" s="84"/>
      <c r="AB56" s="84"/>
      <c r="AC56" s="85"/>
      <c r="AD56" s="82">
        <f t="shared" ref="AD56" si="38">SUM(AE56:AG56)</f>
        <v>0</v>
      </c>
      <c r="AE56" s="84"/>
      <c r="AF56" s="84"/>
      <c r="AG56" s="85"/>
      <c r="AH56" s="82">
        <f t="shared" ref="AH56" si="39">SUM(AI56:AK56)</f>
        <v>0</v>
      </c>
      <c r="AI56" s="84"/>
      <c r="AJ56" s="84"/>
      <c r="AK56" s="85"/>
      <c r="AL56" s="82">
        <f t="shared" ref="AL56" si="40">SUM(AM56:AO56)</f>
        <v>0</v>
      </c>
      <c r="AM56" s="84"/>
      <c r="AN56" s="84"/>
      <c r="AO56" s="85"/>
      <c r="AP56" s="82">
        <f t="shared" ref="AP56" si="41">SUM(AQ56:AS56)</f>
        <v>0</v>
      </c>
      <c r="AQ56" s="84"/>
      <c r="AR56" s="84"/>
      <c r="AS56" s="142"/>
      <c r="AT56" s="86"/>
      <c r="AU56" s="75" t="str">
        <f t="shared" si="2"/>
        <v>-</v>
      </c>
      <c r="AV56" s="44"/>
    </row>
    <row r="57" spans="1:48" s="88" customFormat="1" ht="30" customHeight="1" x14ac:dyDescent="0.75">
      <c r="A57" s="76">
        <v>42</v>
      </c>
      <c r="B57" s="76">
        <v>40</v>
      </c>
      <c r="D57" s="88">
        <f>IFERROR(INDEX('[2]Account Group'!$A:$A,MATCH(G57,'[2]Account Group'!$B:$B,0)),"")</f>
        <v>21</v>
      </c>
      <c r="E57" s="88">
        <f>IFERROR(INDEX([3]Account!$A:$A,MATCH(H57,[3]Account!$D:$D,0)),"")</f>
        <v>105</v>
      </c>
      <c r="F57" s="88">
        <f>INDEX('[4]Sub Account'!$A:$A,MATCH(I57,'[4]Sub Account'!$D:$D,0))</f>
        <v>473</v>
      </c>
      <c r="G57" s="361">
        <v>73</v>
      </c>
      <c r="H57" s="356">
        <v>7304</v>
      </c>
      <c r="I57" s="120">
        <v>73066</v>
      </c>
      <c r="J57" s="121" t="s">
        <v>70</v>
      </c>
      <c r="K57" s="107"/>
      <c r="L57" s="82"/>
      <c r="M57" s="83" t="str">
        <f t="shared" si="19"/>
        <v>-</v>
      </c>
      <c r="N57" s="124">
        <f t="shared" si="34"/>
        <v>0</v>
      </c>
      <c r="O57" s="125"/>
      <c r="P57" s="125"/>
      <c r="Q57" s="126"/>
      <c r="R57" s="124">
        <f t="shared" si="35"/>
        <v>0</v>
      </c>
      <c r="S57" s="125"/>
      <c r="T57" s="125"/>
      <c r="U57" s="126"/>
      <c r="V57" s="124">
        <f t="shared" si="36"/>
        <v>0</v>
      </c>
      <c r="W57" s="125"/>
      <c r="X57" s="125"/>
      <c r="Y57" s="126"/>
      <c r="Z57" s="124">
        <f>SUM(AA57:AC57)</f>
        <v>0</v>
      </c>
      <c r="AA57" s="125"/>
      <c r="AB57" s="125"/>
      <c r="AC57" s="126"/>
      <c r="AD57" s="124">
        <f>SUM(AE57:AG57)</f>
        <v>0</v>
      </c>
      <c r="AE57" s="125"/>
      <c r="AF57" s="125"/>
      <c r="AG57" s="126"/>
      <c r="AH57" s="124">
        <f>SUM(AI57:AK57)</f>
        <v>0</v>
      </c>
      <c r="AI57" s="125"/>
      <c r="AJ57" s="125"/>
      <c r="AK57" s="126"/>
      <c r="AL57" s="124">
        <f>SUM(AM57:AO57)</f>
        <v>0</v>
      </c>
      <c r="AM57" s="125"/>
      <c r="AN57" s="125"/>
      <c r="AO57" s="126"/>
      <c r="AP57" s="124">
        <f>SUM(AQ57:AS57)</f>
        <v>0</v>
      </c>
      <c r="AQ57" s="125"/>
      <c r="AR57" s="125"/>
      <c r="AS57" s="143"/>
      <c r="AT57" s="86"/>
      <c r="AU57" s="87" t="str">
        <f t="shared" si="2"/>
        <v>-</v>
      </c>
      <c r="AV57" s="44"/>
    </row>
    <row r="58" spans="1:48" s="76" customFormat="1" ht="30" customHeight="1" x14ac:dyDescent="0.75">
      <c r="A58" s="76">
        <v>43</v>
      </c>
      <c r="C58" s="76">
        <f>IFERROR(INDEX([1]Entity!$A$2:$A$503,MATCH(TRIM($J58),[1]Entity!$E$2:$E$503,0)),"")</f>
        <v>25</v>
      </c>
      <c r="D58" s="88" t="str">
        <f>IFERROR(INDEX('[2]Account Group'!$A:$A,MATCH(G58,'[2]Account Group'!$B:$B,0)),"")</f>
        <v/>
      </c>
      <c r="E58" s="88" t="str">
        <f>IFERROR(INDEX([3]Account!$A:$A,MATCH(H58,[3]Account!$D:$D,0)),"")</f>
        <v/>
      </c>
      <c r="F58" s="88" t="e">
        <f>INDEX('[4]Sub Account'!$A:$A,MATCH(I58,'[4]Sub Account'!$D:$D,0))</f>
        <v>#N/A</v>
      </c>
      <c r="G58" s="144"/>
      <c r="H58" s="145"/>
      <c r="I58" s="146"/>
      <c r="J58" s="141" t="s">
        <v>88</v>
      </c>
      <c r="K58" s="66">
        <f>K59</f>
        <v>0</v>
      </c>
      <c r="L58" s="67">
        <f>L59</f>
        <v>0</v>
      </c>
      <c r="M58" s="68" t="str">
        <f t="shared" si="19"/>
        <v>-</v>
      </c>
      <c r="N58" s="67">
        <f t="shared" ref="N58:AS58" si="42">N59</f>
        <v>0</v>
      </c>
      <c r="O58" s="69">
        <f t="shared" si="42"/>
        <v>0</v>
      </c>
      <c r="P58" s="69">
        <f t="shared" si="42"/>
        <v>0</v>
      </c>
      <c r="Q58" s="70">
        <f t="shared" si="42"/>
        <v>0</v>
      </c>
      <c r="R58" s="71">
        <f t="shared" si="42"/>
        <v>0</v>
      </c>
      <c r="S58" s="72">
        <f t="shared" si="42"/>
        <v>0</v>
      </c>
      <c r="T58" s="72">
        <f t="shared" si="42"/>
        <v>0</v>
      </c>
      <c r="U58" s="73">
        <f t="shared" si="42"/>
        <v>0</v>
      </c>
      <c r="V58" s="67">
        <f t="shared" si="42"/>
        <v>0</v>
      </c>
      <c r="W58" s="69">
        <f t="shared" si="42"/>
        <v>0</v>
      </c>
      <c r="X58" s="69">
        <f t="shared" si="42"/>
        <v>0</v>
      </c>
      <c r="Y58" s="70">
        <f t="shared" si="42"/>
        <v>0</v>
      </c>
      <c r="Z58" s="71">
        <f t="shared" si="42"/>
        <v>0</v>
      </c>
      <c r="AA58" s="72">
        <f t="shared" si="42"/>
        <v>0</v>
      </c>
      <c r="AB58" s="72">
        <f t="shared" si="42"/>
        <v>0</v>
      </c>
      <c r="AC58" s="73">
        <f t="shared" si="42"/>
        <v>0</v>
      </c>
      <c r="AD58" s="67">
        <f t="shared" si="42"/>
        <v>0</v>
      </c>
      <c r="AE58" s="69">
        <f t="shared" si="42"/>
        <v>0</v>
      </c>
      <c r="AF58" s="69">
        <f t="shared" si="42"/>
        <v>0</v>
      </c>
      <c r="AG58" s="70">
        <f t="shared" si="42"/>
        <v>0</v>
      </c>
      <c r="AH58" s="71">
        <f t="shared" si="42"/>
        <v>0</v>
      </c>
      <c r="AI58" s="72">
        <f t="shared" si="42"/>
        <v>0</v>
      </c>
      <c r="AJ58" s="72">
        <f t="shared" si="42"/>
        <v>0</v>
      </c>
      <c r="AK58" s="73">
        <f t="shared" si="42"/>
        <v>0</v>
      </c>
      <c r="AL58" s="67">
        <f t="shared" si="42"/>
        <v>0</v>
      </c>
      <c r="AM58" s="69">
        <f t="shared" si="42"/>
        <v>0</v>
      </c>
      <c r="AN58" s="69">
        <f t="shared" si="42"/>
        <v>0</v>
      </c>
      <c r="AO58" s="70">
        <f t="shared" si="42"/>
        <v>0</v>
      </c>
      <c r="AP58" s="71">
        <f t="shared" si="42"/>
        <v>0</v>
      </c>
      <c r="AQ58" s="72">
        <f t="shared" si="42"/>
        <v>0</v>
      </c>
      <c r="AR58" s="72">
        <f t="shared" si="42"/>
        <v>0</v>
      </c>
      <c r="AS58" s="73">
        <f t="shared" si="42"/>
        <v>0</v>
      </c>
      <c r="AT58" s="74"/>
      <c r="AU58" s="75" t="str">
        <f t="shared" si="2"/>
        <v>-</v>
      </c>
      <c r="AV58" s="44"/>
    </row>
    <row r="59" spans="1:48" s="76" customFormat="1" ht="30" customHeight="1" x14ac:dyDescent="0.75">
      <c r="A59" s="76">
        <v>44</v>
      </c>
      <c r="B59" s="76">
        <v>43</v>
      </c>
      <c r="D59" s="88">
        <f>IFERROR(INDEX('[2]Account Group'!$A:$A,MATCH(G59,'[2]Account Group'!$B:$B,0)),"")</f>
        <v>21</v>
      </c>
      <c r="E59" s="88">
        <f>IFERROR(INDEX([3]Account!$A:$A,MATCH(H59,[3]Account!$D:$D,0)),"")</f>
        <v>104</v>
      </c>
      <c r="F59" s="88">
        <f>INDEX('[4]Sub Account'!$A:$A,MATCH(I59,'[4]Sub Account'!$D:$D,0))</f>
        <v>468</v>
      </c>
      <c r="G59" s="361">
        <v>73</v>
      </c>
      <c r="H59" s="356">
        <v>7302</v>
      </c>
      <c r="I59" s="120">
        <v>73023</v>
      </c>
      <c r="J59" s="121" t="s">
        <v>83</v>
      </c>
      <c r="K59" s="107"/>
      <c r="L59" s="82"/>
      <c r="M59" s="83" t="str">
        <f t="shared" si="19"/>
        <v>-</v>
      </c>
      <c r="N59" s="82">
        <f t="shared" ref="N59" si="43">SUM(O59:Q59)</f>
        <v>0</v>
      </c>
      <c r="O59" s="84"/>
      <c r="P59" s="84"/>
      <c r="Q59" s="85"/>
      <c r="R59" s="124">
        <f t="shared" ref="R59" si="44">SUM(S59:U59)</f>
        <v>0</v>
      </c>
      <c r="S59" s="125"/>
      <c r="T59" s="125"/>
      <c r="U59" s="126"/>
      <c r="V59" s="124">
        <f t="shared" ref="V59" si="45">SUM(W59:Y59)</f>
        <v>0</v>
      </c>
      <c r="W59" s="125"/>
      <c r="X59" s="125"/>
      <c r="Y59" s="126"/>
      <c r="Z59" s="124">
        <f t="shared" ref="Z59" si="46">SUM(AA59:AC59)</f>
        <v>0</v>
      </c>
      <c r="AA59" s="125"/>
      <c r="AB59" s="125"/>
      <c r="AC59" s="126"/>
      <c r="AD59" s="124">
        <f t="shared" ref="AD59" si="47">SUM(AE59:AG59)</f>
        <v>0</v>
      </c>
      <c r="AE59" s="125"/>
      <c r="AF59" s="125"/>
      <c r="AG59" s="126"/>
      <c r="AH59" s="124">
        <f t="shared" ref="AH59" si="48">SUM(AI59:AK59)</f>
        <v>0</v>
      </c>
      <c r="AI59" s="125"/>
      <c r="AJ59" s="125"/>
      <c r="AK59" s="126"/>
      <c r="AL59" s="124">
        <f t="shared" ref="AL59" si="49">SUM(AM59:AO59)</f>
        <v>0</v>
      </c>
      <c r="AM59" s="125"/>
      <c r="AN59" s="125"/>
      <c r="AO59" s="126"/>
      <c r="AP59" s="124">
        <f t="shared" ref="AP59" si="50">SUM(AQ59:AS59)</f>
        <v>0</v>
      </c>
      <c r="AQ59" s="125"/>
      <c r="AR59" s="125"/>
      <c r="AS59" s="143"/>
      <c r="AT59" s="86"/>
      <c r="AU59" s="75" t="str">
        <f t="shared" si="2"/>
        <v>-</v>
      </c>
      <c r="AV59" s="44"/>
    </row>
    <row r="60" spans="1:48" s="76" customFormat="1" ht="30" customHeight="1" x14ac:dyDescent="0.75">
      <c r="A60" s="76">
        <v>45</v>
      </c>
      <c r="C60" s="76">
        <f>IFERROR(INDEX([1]Entity!$A$2:$A$503,MATCH(TRIM($J60),[1]Entity!$E$2:$E$503,0)),"")</f>
        <v>26</v>
      </c>
      <c r="D60" s="88" t="str">
        <f>IFERROR(INDEX('[2]Account Group'!$A:$A,MATCH(G60,'[2]Account Group'!$B:$B,0)),"")</f>
        <v/>
      </c>
      <c r="E60" s="88" t="str">
        <f>IFERROR(INDEX([3]Account!$A:$A,MATCH(H60,[3]Account!$D:$D,0)),"")</f>
        <v/>
      </c>
      <c r="F60" s="88" t="e">
        <f>INDEX('[4]Sub Account'!$A:$A,MATCH(I60,'[4]Sub Account'!$D:$D,0))</f>
        <v>#N/A</v>
      </c>
      <c r="G60" s="144"/>
      <c r="H60" s="145"/>
      <c r="I60" s="146"/>
      <c r="J60" s="141" t="s">
        <v>145</v>
      </c>
      <c r="K60" s="66">
        <f>SUM(K61:K63)</f>
        <v>0</v>
      </c>
      <c r="L60" s="67">
        <f>SUM(L61:L63)</f>
        <v>0</v>
      </c>
      <c r="M60" s="68" t="str">
        <f t="shared" si="19"/>
        <v>-</v>
      </c>
      <c r="N60" s="67">
        <f t="shared" ref="N60:AS60" si="51">SUM(N61:N63)</f>
        <v>0</v>
      </c>
      <c r="O60" s="69">
        <f t="shared" si="51"/>
        <v>0</v>
      </c>
      <c r="P60" s="69">
        <f t="shared" si="51"/>
        <v>0</v>
      </c>
      <c r="Q60" s="70">
        <f t="shared" si="51"/>
        <v>0</v>
      </c>
      <c r="R60" s="71">
        <f t="shared" si="51"/>
        <v>0</v>
      </c>
      <c r="S60" s="72">
        <f t="shared" si="51"/>
        <v>0</v>
      </c>
      <c r="T60" s="72">
        <f t="shared" si="51"/>
        <v>0</v>
      </c>
      <c r="U60" s="73">
        <f t="shared" si="51"/>
        <v>0</v>
      </c>
      <c r="V60" s="67">
        <f t="shared" si="51"/>
        <v>0</v>
      </c>
      <c r="W60" s="69">
        <f t="shared" si="51"/>
        <v>0</v>
      </c>
      <c r="X60" s="69">
        <f t="shared" si="51"/>
        <v>0</v>
      </c>
      <c r="Y60" s="70">
        <f t="shared" si="51"/>
        <v>0</v>
      </c>
      <c r="Z60" s="71">
        <f t="shared" si="51"/>
        <v>0</v>
      </c>
      <c r="AA60" s="72">
        <f t="shared" si="51"/>
        <v>0</v>
      </c>
      <c r="AB60" s="72">
        <f t="shared" si="51"/>
        <v>0</v>
      </c>
      <c r="AC60" s="73">
        <f t="shared" si="51"/>
        <v>0</v>
      </c>
      <c r="AD60" s="67">
        <f t="shared" si="51"/>
        <v>0</v>
      </c>
      <c r="AE60" s="69">
        <f t="shared" si="51"/>
        <v>0</v>
      </c>
      <c r="AF60" s="69">
        <f t="shared" si="51"/>
        <v>0</v>
      </c>
      <c r="AG60" s="70">
        <f t="shared" si="51"/>
        <v>0</v>
      </c>
      <c r="AH60" s="71">
        <f t="shared" si="51"/>
        <v>0</v>
      </c>
      <c r="AI60" s="72">
        <f t="shared" si="51"/>
        <v>0</v>
      </c>
      <c r="AJ60" s="72">
        <f t="shared" si="51"/>
        <v>0</v>
      </c>
      <c r="AK60" s="73">
        <f t="shared" si="51"/>
        <v>0</v>
      </c>
      <c r="AL60" s="67">
        <f t="shared" si="51"/>
        <v>0</v>
      </c>
      <c r="AM60" s="69">
        <f t="shared" si="51"/>
        <v>0</v>
      </c>
      <c r="AN60" s="69">
        <f t="shared" si="51"/>
        <v>0</v>
      </c>
      <c r="AO60" s="70">
        <f t="shared" si="51"/>
        <v>0</v>
      </c>
      <c r="AP60" s="71">
        <f t="shared" si="51"/>
        <v>0</v>
      </c>
      <c r="AQ60" s="72">
        <f t="shared" si="51"/>
        <v>0</v>
      </c>
      <c r="AR60" s="72">
        <f t="shared" si="51"/>
        <v>0</v>
      </c>
      <c r="AS60" s="73">
        <f t="shared" si="51"/>
        <v>0</v>
      </c>
      <c r="AT60" s="74"/>
      <c r="AU60" s="75" t="str">
        <f t="shared" si="2"/>
        <v>-</v>
      </c>
      <c r="AV60" s="44"/>
    </row>
    <row r="61" spans="1:48" s="76" customFormat="1" ht="30" customHeight="1" x14ac:dyDescent="0.75">
      <c r="A61" s="76">
        <v>46</v>
      </c>
      <c r="B61" s="76">
        <v>45</v>
      </c>
      <c r="D61" s="88">
        <f>IFERROR(INDEX('[2]Account Group'!$A:$A,MATCH(G61,'[2]Account Group'!$B:$B,0)),"")</f>
        <v>21</v>
      </c>
      <c r="E61" s="88">
        <f>IFERROR(INDEX([3]Account!$A:$A,MATCH(H61,[3]Account!$D:$D,0)),"")</f>
        <v>104</v>
      </c>
      <c r="F61" s="88">
        <f>INDEX('[4]Sub Account'!$A:$A,MATCH(I61,'[4]Sub Account'!$D:$D,0))</f>
        <v>468</v>
      </c>
      <c r="G61" s="361">
        <v>73</v>
      </c>
      <c r="H61" s="356">
        <v>7302</v>
      </c>
      <c r="I61" s="120">
        <v>73023</v>
      </c>
      <c r="J61" s="121" t="s">
        <v>83</v>
      </c>
      <c r="K61" s="107"/>
      <c r="L61" s="82">
        <f t="shared" ref="L61:L63" si="52">N61+V61+AD61+AL61</f>
        <v>0</v>
      </c>
      <c r="M61" s="83" t="str">
        <f t="shared" si="19"/>
        <v>-</v>
      </c>
      <c r="N61" s="82">
        <f t="shared" ref="N61:N63" si="53">SUM(O61:Q61)</f>
        <v>0</v>
      </c>
      <c r="O61" s="84"/>
      <c r="P61" s="84"/>
      <c r="Q61" s="85"/>
      <c r="R61" s="82">
        <f t="shared" ref="R61:R63" si="54">SUM(S61:U61)</f>
        <v>0</v>
      </c>
      <c r="S61" s="84"/>
      <c r="T61" s="84"/>
      <c r="U61" s="85"/>
      <c r="V61" s="82">
        <f t="shared" ref="V61:V63" si="55">SUM(W61:Y61)</f>
        <v>0</v>
      </c>
      <c r="W61" s="84"/>
      <c r="X61" s="84"/>
      <c r="Y61" s="85"/>
      <c r="Z61" s="82">
        <f t="shared" ref="Z61" si="56">SUM(AA61:AC61)</f>
        <v>0</v>
      </c>
      <c r="AA61" s="84"/>
      <c r="AB61" s="84"/>
      <c r="AC61" s="85"/>
      <c r="AD61" s="82">
        <f t="shared" ref="AD61" si="57">SUM(AE61:AG61)</f>
        <v>0</v>
      </c>
      <c r="AE61" s="84"/>
      <c r="AF61" s="84"/>
      <c r="AG61" s="85"/>
      <c r="AH61" s="82">
        <f t="shared" ref="AH61" si="58">SUM(AI61:AK61)</f>
        <v>0</v>
      </c>
      <c r="AI61" s="84"/>
      <c r="AJ61" s="84"/>
      <c r="AK61" s="85"/>
      <c r="AL61" s="82">
        <f t="shared" ref="AL61" si="59">SUM(AM61:AO61)</f>
        <v>0</v>
      </c>
      <c r="AM61" s="84"/>
      <c r="AN61" s="84"/>
      <c r="AO61" s="85"/>
      <c r="AP61" s="82">
        <f t="shared" ref="AP61" si="60">SUM(AQ61:AS61)</f>
        <v>0</v>
      </c>
      <c r="AQ61" s="84"/>
      <c r="AR61" s="84"/>
      <c r="AS61" s="142"/>
      <c r="AT61" s="86"/>
      <c r="AU61" s="75" t="str">
        <f t="shared" si="2"/>
        <v>-</v>
      </c>
      <c r="AV61" s="44"/>
    </row>
    <row r="62" spans="1:48" s="88" customFormat="1" ht="30" customHeight="1" x14ac:dyDescent="0.75">
      <c r="A62" s="76">
        <v>47</v>
      </c>
      <c r="B62" s="76">
        <v>45</v>
      </c>
      <c r="D62" s="88">
        <f>IFERROR(INDEX('[2]Account Group'!$A:$A,MATCH(G62,'[2]Account Group'!$B:$B,0)),"")</f>
        <v>21</v>
      </c>
      <c r="E62" s="88">
        <f>IFERROR(INDEX([3]Account!$A:$A,MATCH(H62,[3]Account!$D:$D,0)),"")</f>
        <v>105</v>
      </c>
      <c r="F62" s="88">
        <f>INDEX('[4]Sub Account'!$A:$A,MATCH(I62,'[4]Sub Account'!$D:$D,0))</f>
        <v>472</v>
      </c>
      <c r="G62" s="361">
        <v>73</v>
      </c>
      <c r="H62" s="356">
        <v>7304</v>
      </c>
      <c r="I62" s="120">
        <v>73048</v>
      </c>
      <c r="J62" s="121" t="s">
        <v>68</v>
      </c>
      <c r="K62" s="107"/>
      <c r="L62" s="82">
        <f t="shared" si="52"/>
        <v>0</v>
      </c>
      <c r="M62" s="83" t="str">
        <f t="shared" si="19"/>
        <v>-</v>
      </c>
      <c r="N62" s="82">
        <f t="shared" si="53"/>
        <v>0</v>
      </c>
      <c r="O62" s="84"/>
      <c r="P62" s="84"/>
      <c r="Q62" s="85"/>
      <c r="R62" s="82">
        <f t="shared" si="54"/>
        <v>0</v>
      </c>
      <c r="S62" s="84"/>
      <c r="T62" s="84"/>
      <c r="U62" s="85"/>
      <c r="V62" s="82">
        <f t="shared" si="55"/>
        <v>0</v>
      </c>
      <c r="W62" s="84"/>
      <c r="X62" s="84"/>
      <c r="Y62" s="85"/>
      <c r="Z62" s="82">
        <f>SUM(AA62:AC62)</f>
        <v>0</v>
      </c>
      <c r="AA62" s="84"/>
      <c r="AB62" s="84"/>
      <c r="AC62" s="85"/>
      <c r="AD62" s="82">
        <f>SUM(AE62:AG62)</f>
        <v>0</v>
      </c>
      <c r="AE62" s="84"/>
      <c r="AF62" s="84"/>
      <c r="AG62" s="85"/>
      <c r="AH62" s="82">
        <f>SUM(AI62:AK62)</f>
        <v>0</v>
      </c>
      <c r="AI62" s="84"/>
      <c r="AJ62" s="84"/>
      <c r="AK62" s="85"/>
      <c r="AL62" s="82">
        <f>SUM(AM62:AO62)</f>
        <v>0</v>
      </c>
      <c r="AM62" s="84"/>
      <c r="AN62" s="84"/>
      <c r="AO62" s="85"/>
      <c r="AP62" s="82">
        <f>SUM(AQ62:AS62)</f>
        <v>0</v>
      </c>
      <c r="AQ62" s="84"/>
      <c r="AR62" s="84"/>
      <c r="AS62" s="142"/>
      <c r="AT62" s="86"/>
      <c r="AU62" s="87" t="str">
        <f t="shared" si="2"/>
        <v>-</v>
      </c>
      <c r="AV62" s="44"/>
    </row>
    <row r="63" spans="1:48" s="110" customFormat="1" ht="30" customHeight="1" x14ac:dyDescent="0.75">
      <c r="A63" s="76">
        <v>48</v>
      </c>
      <c r="B63" s="76">
        <v>45</v>
      </c>
      <c r="D63" s="88">
        <f>IFERROR(INDEX('[2]Account Group'!$A:$A,MATCH(G63,'[2]Account Group'!$B:$B,0)),"")</f>
        <v>21</v>
      </c>
      <c r="E63" s="88">
        <f>IFERROR(INDEX([3]Account!$A:$A,MATCH(H63,[3]Account!$D:$D,0)),"")</f>
        <v>107</v>
      </c>
      <c r="F63" s="88">
        <f>INDEX('[4]Sub Account'!$A:$A,MATCH(I63,'[4]Sub Account'!$D:$D,0))</f>
        <v>473</v>
      </c>
      <c r="G63" s="359">
        <v>73</v>
      </c>
      <c r="H63" s="354">
        <v>7306</v>
      </c>
      <c r="I63" s="116">
        <v>73066</v>
      </c>
      <c r="J63" s="117" t="s">
        <v>70</v>
      </c>
      <c r="K63" s="107"/>
      <c r="L63" s="82">
        <f t="shared" si="52"/>
        <v>0</v>
      </c>
      <c r="M63" s="83" t="str">
        <f t="shared" si="19"/>
        <v>-</v>
      </c>
      <c r="N63" s="82">
        <f t="shared" si="53"/>
        <v>0</v>
      </c>
      <c r="O63" s="84"/>
      <c r="P63" s="84"/>
      <c r="Q63" s="85"/>
      <c r="R63" s="82">
        <f t="shared" si="54"/>
        <v>0</v>
      </c>
      <c r="S63" s="84"/>
      <c r="T63" s="84"/>
      <c r="U63" s="85"/>
      <c r="V63" s="82">
        <f t="shared" si="55"/>
        <v>0</v>
      </c>
      <c r="W63" s="84"/>
      <c r="X63" s="84"/>
      <c r="Y63" s="85"/>
      <c r="Z63" s="82">
        <f>SUM(AA63:AC63)</f>
        <v>0</v>
      </c>
      <c r="AA63" s="84"/>
      <c r="AB63" s="84"/>
      <c r="AC63" s="85"/>
      <c r="AD63" s="82">
        <f>SUM(AE63:AG63)</f>
        <v>0</v>
      </c>
      <c r="AE63" s="84"/>
      <c r="AF63" s="84"/>
      <c r="AG63" s="85"/>
      <c r="AH63" s="82">
        <f>SUM(AI63:AK63)</f>
        <v>0</v>
      </c>
      <c r="AI63" s="84"/>
      <c r="AJ63" s="84"/>
      <c r="AK63" s="85"/>
      <c r="AL63" s="82">
        <f>SUM(AM63:AO63)</f>
        <v>0</v>
      </c>
      <c r="AM63" s="84"/>
      <c r="AN63" s="84"/>
      <c r="AO63" s="85"/>
      <c r="AP63" s="82">
        <f>SUM(AQ63:AS63)</f>
        <v>0</v>
      </c>
      <c r="AQ63" s="84"/>
      <c r="AR63" s="84"/>
      <c r="AS63" s="85"/>
      <c r="AT63" s="86"/>
      <c r="AU63" s="87" t="str">
        <f t="shared" si="2"/>
        <v>-</v>
      </c>
      <c r="AV63" s="44"/>
    </row>
    <row r="64" spans="1:48" s="76" customFormat="1" ht="30" customHeight="1" x14ac:dyDescent="0.75">
      <c r="A64" s="76">
        <v>49</v>
      </c>
      <c r="C64" s="76">
        <f>IFERROR(INDEX([1]Entity!$A$2:$A$503,MATCH(TRIM($J64),[1]Entity!$E$2:$E$503,0)),"")</f>
        <v>27</v>
      </c>
      <c r="D64" s="88" t="str">
        <f>IFERROR(INDEX('[2]Account Group'!$A:$A,MATCH(G64,'[2]Account Group'!$B:$B,0)),"")</f>
        <v/>
      </c>
      <c r="E64" s="88" t="str">
        <f>IFERROR(INDEX([3]Account!$A:$A,MATCH(H64,[3]Account!$D:$D,0)),"")</f>
        <v/>
      </c>
      <c r="F64" s="88" t="e">
        <f>INDEX('[4]Sub Account'!$A:$A,MATCH(I64,'[4]Sub Account'!$D:$D,0))</f>
        <v>#N/A</v>
      </c>
      <c r="G64" s="144"/>
      <c r="H64" s="145"/>
      <c r="I64" s="146"/>
      <c r="J64" s="141" t="s">
        <v>146</v>
      </c>
      <c r="K64" s="66">
        <f>SUM(K65:K66)</f>
        <v>0</v>
      </c>
      <c r="L64" s="67">
        <f>SUM(L65:L66)</f>
        <v>0</v>
      </c>
      <c r="M64" s="68" t="str">
        <f t="shared" si="19"/>
        <v>-</v>
      </c>
      <c r="N64" s="67">
        <f t="shared" ref="N64:AS64" si="61">SUM(N65:N66)</f>
        <v>0</v>
      </c>
      <c r="O64" s="69">
        <f t="shared" si="61"/>
        <v>0</v>
      </c>
      <c r="P64" s="69">
        <f t="shared" si="61"/>
        <v>0</v>
      </c>
      <c r="Q64" s="70">
        <f t="shared" si="61"/>
        <v>0</v>
      </c>
      <c r="R64" s="71">
        <f t="shared" si="61"/>
        <v>0</v>
      </c>
      <c r="S64" s="72">
        <f t="shared" si="61"/>
        <v>0</v>
      </c>
      <c r="T64" s="72">
        <f t="shared" si="61"/>
        <v>0</v>
      </c>
      <c r="U64" s="73">
        <f t="shared" si="61"/>
        <v>0</v>
      </c>
      <c r="V64" s="67">
        <f t="shared" si="61"/>
        <v>0</v>
      </c>
      <c r="W64" s="69">
        <f t="shared" si="61"/>
        <v>0</v>
      </c>
      <c r="X64" s="69">
        <f t="shared" si="61"/>
        <v>0</v>
      </c>
      <c r="Y64" s="70">
        <f t="shared" si="61"/>
        <v>0</v>
      </c>
      <c r="Z64" s="71">
        <f t="shared" si="61"/>
        <v>0</v>
      </c>
      <c r="AA64" s="72">
        <f t="shared" si="61"/>
        <v>0</v>
      </c>
      <c r="AB64" s="72">
        <f t="shared" si="61"/>
        <v>0</v>
      </c>
      <c r="AC64" s="73">
        <f t="shared" si="61"/>
        <v>0</v>
      </c>
      <c r="AD64" s="67">
        <f t="shared" si="61"/>
        <v>0</v>
      </c>
      <c r="AE64" s="69">
        <f t="shared" si="61"/>
        <v>0</v>
      </c>
      <c r="AF64" s="69">
        <f t="shared" si="61"/>
        <v>0</v>
      </c>
      <c r="AG64" s="70">
        <f t="shared" si="61"/>
        <v>0</v>
      </c>
      <c r="AH64" s="71">
        <f t="shared" si="61"/>
        <v>0</v>
      </c>
      <c r="AI64" s="72">
        <f t="shared" si="61"/>
        <v>0</v>
      </c>
      <c r="AJ64" s="72">
        <f t="shared" si="61"/>
        <v>0</v>
      </c>
      <c r="AK64" s="73">
        <f t="shared" si="61"/>
        <v>0</v>
      </c>
      <c r="AL64" s="67">
        <f t="shared" si="61"/>
        <v>0</v>
      </c>
      <c r="AM64" s="69">
        <f t="shared" si="61"/>
        <v>0</v>
      </c>
      <c r="AN64" s="69">
        <f t="shared" si="61"/>
        <v>0</v>
      </c>
      <c r="AO64" s="70">
        <f t="shared" si="61"/>
        <v>0</v>
      </c>
      <c r="AP64" s="71">
        <f t="shared" si="61"/>
        <v>0</v>
      </c>
      <c r="AQ64" s="72">
        <f t="shared" si="61"/>
        <v>0</v>
      </c>
      <c r="AR64" s="72">
        <f t="shared" si="61"/>
        <v>0</v>
      </c>
      <c r="AS64" s="73">
        <f t="shared" si="61"/>
        <v>0</v>
      </c>
      <c r="AT64" s="74"/>
      <c r="AU64" s="75" t="str">
        <f t="shared" si="2"/>
        <v>-</v>
      </c>
      <c r="AV64" s="44"/>
    </row>
    <row r="65" spans="1:48" s="76" customFormat="1" ht="30" customHeight="1" x14ac:dyDescent="0.75">
      <c r="A65" s="76">
        <v>50</v>
      </c>
      <c r="B65" s="76">
        <v>49</v>
      </c>
      <c r="D65" s="88">
        <f>IFERROR(INDEX('[2]Account Group'!$A:$A,MATCH(G65,'[2]Account Group'!$B:$B,0)),"")</f>
        <v>21</v>
      </c>
      <c r="E65" s="88">
        <f>IFERROR(INDEX([3]Account!$A:$A,MATCH(H65,[3]Account!$D:$D,0)),"")</f>
        <v>107</v>
      </c>
      <c r="F65" s="88">
        <f>INDEX('[4]Sub Account'!$A:$A,MATCH(I65,'[4]Sub Account'!$D:$D,0))</f>
        <v>474</v>
      </c>
      <c r="G65" s="361">
        <v>73</v>
      </c>
      <c r="H65" s="356">
        <v>7306</v>
      </c>
      <c r="I65" s="120">
        <v>73061</v>
      </c>
      <c r="J65" s="121" t="s">
        <v>89</v>
      </c>
      <c r="K65" s="107"/>
      <c r="L65" s="82">
        <f t="shared" ref="L65:L66" si="62">N65+V65+AD65+AL65</f>
        <v>0</v>
      </c>
      <c r="M65" s="83" t="str">
        <f t="shared" si="19"/>
        <v>-</v>
      </c>
      <c r="N65" s="82">
        <f t="shared" ref="N65:N66" si="63">SUM(O65:Q65)</f>
        <v>0</v>
      </c>
      <c r="O65" s="84"/>
      <c r="P65" s="84"/>
      <c r="Q65" s="85"/>
      <c r="R65" s="82">
        <f t="shared" ref="R65:R66" si="64">SUM(S65:U65)</f>
        <v>0</v>
      </c>
      <c r="S65" s="84"/>
      <c r="T65" s="84"/>
      <c r="U65" s="85"/>
      <c r="V65" s="82">
        <f t="shared" ref="V65:V66" si="65">SUM(W65:Y65)</f>
        <v>0</v>
      </c>
      <c r="W65" s="84"/>
      <c r="X65" s="84"/>
      <c r="Y65" s="85"/>
      <c r="Z65" s="82">
        <f t="shared" ref="Z65" si="66">SUM(AA65:AC65)</f>
        <v>0</v>
      </c>
      <c r="AA65" s="84"/>
      <c r="AB65" s="84"/>
      <c r="AC65" s="85"/>
      <c r="AD65" s="82">
        <f t="shared" ref="AD65" si="67">SUM(AE65:AG65)</f>
        <v>0</v>
      </c>
      <c r="AE65" s="84"/>
      <c r="AF65" s="84"/>
      <c r="AG65" s="85"/>
      <c r="AH65" s="82">
        <f t="shared" ref="AH65" si="68">SUM(AI65:AK65)</f>
        <v>0</v>
      </c>
      <c r="AI65" s="84"/>
      <c r="AJ65" s="84"/>
      <c r="AK65" s="85"/>
      <c r="AL65" s="82">
        <f t="shared" ref="AL65" si="69">SUM(AM65:AO65)</f>
        <v>0</v>
      </c>
      <c r="AM65" s="84"/>
      <c r="AN65" s="84"/>
      <c r="AO65" s="85"/>
      <c r="AP65" s="82">
        <f t="shared" ref="AP65" si="70">SUM(AQ65:AS65)</f>
        <v>0</v>
      </c>
      <c r="AQ65" s="84"/>
      <c r="AR65" s="84"/>
      <c r="AS65" s="142"/>
      <c r="AT65" s="86"/>
      <c r="AU65" s="75" t="str">
        <f t="shared" si="2"/>
        <v>-</v>
      </c>
      <c r="AV65" s="44"/>
    </row>
    <row r="66" spans="1:48" s="88" customFormat="1" ht="30" customHeight="1" x14ac:dyDescent="0.75">
      <c r="A66" s="76">
        <v>51</v>
      </c>
      <c r="B66" s="76">
        <v>49</v>
      </c>
      <c r="D66" s="88">
        <f>IFERROR(INDEX('[2]Account Group'!$A:$A,MATCH(G66,'[2]Account Group'!$B:$B,0)),"")</f>
        <v>21</v>
      </c>
      <c r="E66" s="88">
        <f>IFERROR(INDEX([3]Account!$A:$A,MATCH(H66,[3]Account!$D:$D,0)),"")</f>
        <v>107</v>
      </c>
      <c r="F66" s="88">
        <f>INDEX('[4]Sub Account'!$A:$A,MATCH(I66,'[4]Sub Account'!$D:$D,0))</f>
        <v>475</v>
      </c>
      <c r="G66" s="361">
        <v>73</v>
      </c>
      <c r="H66" s="356">
        <v>7306</v>
      </c>
      <c r="I66" s="120">
        <v>73062</v>
      </c>
      <c r="J66" s="121" t="s">
        <v>90</v>
      </c>
      <c r="K66" s="107"/>
      <c r="L66" s="82">
        <f t="shared" si="62"/>
        <v>0</v>
      </c>
      <c r="M66" s="83" t="str">
        <f t="shared" si="19"/>
        <v>-</v>
      </c>
      <c r="N66" s="82">
        <f t="shared" si="63"/>
        <v>0</v>
      </c>
      <c r="O66" s="84"/>
      <c r="P66" s="84"/>
      <c r="Q66" s="85"/>
      <c r="R66" s="82">
        <f t="shared" si="64"/>
        <v>0</v>
      </c>
      <c r="S66" s="84"/>
      <c r="T66" s="84"/>
      <c r="U66" s="85"/>
      <c r="V66" s="82">
        <f t="shared" si="65"/>
        <v>0</v>
      </c>
      <c r="W66" s="84"/>
      <c r="X66" s="84"/>
      <c r="Y66" s="85"/>
      <c r="Z66" s="82">
        <f>SUM(AA66:AC66)</f>
        <v>0</v>
      </c>
      <c r="AA66" s="84"/>
      <c r="AB66" s="84"/>
      <c r="AC66" s="85"/>
      <c r="AD66" s="82">
        <f>SUM(AE66:AG66)</f>
        <v>0</v>
      </c>
      <c r="AE66" s="84"/>
      <c r="AF66" s="84"/>
      <c r="AG66" s="85"/>
      <c r="AH66" s="82">
        <f>SUM(AI66:AK66)</f>
        <v>0</v>
      </c>
      <c r="AI66" s="84"/>
      <c r="AJ66" s="84"/>
      <c r="AK66" s="85"/>
      <c r="AL66" s="82">
        <f>SUM(AM66:AO66)</f>
        <v>0</v>
      </c>
      <c r="AM66" s="84"/>
      <c r="AN66" s="84"/>
      <c r="AO66" s="85"/>
      <c r="AP66" s="82">
        <f>SUM(AQ66:AS66)</f>
        <v>0</v>
      </c>
      <c r="AQ66" s="84"/>
      <c r="AR66" s="84"/>
      <c r="AS66" s="142"/>
      <c r="AT66" s="86"/>
      <c r="AU66" s="87" t="str">
        <f t="shared" si="2"/>
        <v>-</v>
      </c>
      <c r="AV66" s="44"/>
    </row>
    <row r="67" spans="1:48" s="156" customFormat="1" ht="31.9" customHeight="1" x14ac:dyDescent="0.75">
      <c r="A67" s="76">
        <v>52</v>
      </c>
      <c r="B67" s="76"/>
      <c r="D67" s="88" t="str">
        <f>IFERROR(INDEX('[2]Account Group'!$A:$A,MATCH(G67,'[2]Account Group'!$B:$B,0)),"")</f>
        <v/>
      </c>
      <c r="E67" s="88" t="str">
        <f>IFERROR(INDEX([3]Account!$A:$A,MATCH(H67,[3]Account!$D:$D,0)),"")</f>
        <v/>
      </c>
      <c r="F67" s="88" t="e">
        <f>INDEX('[4]Sub Account'!$A:$A,MATCH(I67,'[4]Sub Account'!$D:$D,0))</f>
        <v>#N/A</v>
      </c>
      <c r="G67" s="394" t="s">
        <v>91</v>
      </c>
      <c r="H67" s="395"/>
      <c r="I67" s="395"/>
      <c r="J67" s="396"/>
      <c r="K67" s="147">
        <f>K69+K73</f>
        <v>0</v>
      </c>
      <c r="L67" s="148">
        <f>L69+L73</f>
        <v>0</v>
      </c>
      <c r="M67" s="149" t="str">
        <f t="shared" si="19"/>
        <v>-</v>
      </c>
      <c r="N67" s="148">
        <f t="shared" ref="N67:AS67" si="71">N69+N73</f>
        <v>0</v>
      </c>
      <c r="O67" s="150">
        <f t="shared" si="71"/>
        <v>0</v>
      </c>
      <c r="P67" s="150">
        <f t="shared" si="71"/>
        <v>0</v>
      </c>
      <c r="Q67" s="151">
        <f t="shared" si="71"/>
        <v>0</v>
      </c>
      <c r="R67" s="152">
        <f t="shared" si="71"/>
        <v>0</v>
      </c>
      <c r="S67" s="153">
        <f t="shared" si="71"/>
        <v>0</v>
      </c>
      <c r="T67" s="153">
        <f t="shared" si="71"/>
        <v>0</v>
      </c>
      <c r="U67" s="154">
        <f t="shared" si="71"/>
        <v>0</v>
      </c>
      <c r="V67" s="148">
        <f t="shared" si="71"/>
        <v>0</v>
      </c>
      <c r="W67" s="150">
        <f t="shared" si="71"/>
        <v>0</v>
      </c>
      <c r="X67" s="150">
        <f t="shared" si="71"/>
        <v>0</v>
      </c>
      <c r="Y67" s="151">
        <f t="shared" si="71"/>
        <v>0</v>
      </c>
      <c r="Z67" s="152">
        <f t="shared" si="71"/>
        <v>0</v>
      </c>
      <c r="AA67" s="153">
        <f t="shared" si="71"/>
        <v>0</v>
      </c>
      <c r="AB67" s="153">
        <f t="shared" si="71"/>
        <v>0</v>
      </c>
      <c r="AC67" s="154">
        <f t="shared" si="71"/>
        <v>0</v>
      </c>
      <c r="AD67" s="148">
        <f t="shared" si="71"/>
        <v>0</v>
      </c>
      <c r="AE67" s="150">
        <f t="shared" si="71"/>
        <v>0</v>
      </c>
      <c r="AF67" s="150">
        <f t="shared" si="71"/>
        <v>0</v>
      </c>
      <c r="AG67" s="151">
        <f t="shared" si="71"/>
        <v>0</v>
      </c>
      <c r="AH67" s="152">
        <f t="shared" si="71"/>
        <v>0</v>
      </c>
      <c r="AI67" s="153">
        <f t="shared" si="71"/>
        <v>0</v>
      </c>
      <c r="AJ67" s="153">
        <f t="shared" si="71"/>
        <v>0</v>
      </c>
      <c r="AK67" s="154">
        <f t="shared" si="71"/>
        <v>0</v>
      </c>
      <c r="AL67" s="148">
        <f>AL69+AL73</f>
        <v>0</v>
      </c>
      <c r="AM67" s="150">
        <f t="shared" si="71"/>
        <v>0</v>
      </c>
      <c r="AN67" s="150">
        <f t="shared" si="71"/>
        <v>0</v>
      </c>
      <c r="AO67" s="151">
        <f t="shared" si="71"/>
        <v>0</v>
      </c>
      <c r="AP67" s="152">
        <f>AP69+AP73</f>
        <v>0</v>
      </c>
      <c r="AQ67" s="153">
        <f t="shared" si="71"/>
        <v>0</v>
      </c>
      <c r="AR67" s="153">
        <f t="shared" si="71"/>
        <v>0</v>
      </c>
      <c r="AS67" s="154">
        <f t="shared" si="71"/>
        <v>0</v>
      </c>
      <c r="AT67" s="155"/>
      <c r="AU67" s="54" t="str">
        <f t="shared" si="2"/>
        <v>-</v>
      </c>
      <c r="AV67" s="44"/>
    </row>
    <row r="68" spans="1:48" s="156" customFormat="1" ht="31.9" customHeight="1" x14ac:dyDescent="0.75">
      <c r="A68" s="76">
        <v>53</v>
      </c>
      <c r="B68" s="76"/>
      <c r="D68" s="88" t="str">
        <f>IFERROR(INDEX('[2]Account Group'!$A:$A,MATCH(G68,'[2]Account Group'!$B:$B,0)),"")</f>
        <v/>
      </c>
      <c r="E68" s="88" t="str">
        <f>IFERROR(INDEX([3]Account!$A:$A,MATCH(H68,[3]Account!$D:$D,0)),"")</f>
        <v/>
      </c>
      <c r="F68" s="88" t="e">
        <f>INDEX('[4]Sub Account'!$A:$A,MATCH(I68,'[4]Sub Account'!$D:$D,0))</f>
        <v>#N/A</v>
      </c>
      <c r="G68" s="394" t="s">
        <v>92</v>
      </c>
      <c r="H68" s="395"/>
      <c r="I68" s="395"/>
      <c r="J68" s="396"/>
      <c r="K68" s="147">
        <f>K69+K74+K75</f>
        <v>0</v>
      </c>
      <c r="L68" s="148">
        <f>L69+L74+L75</f>
        <v>0</v>
      </c>
      <c r="M68" s="149" t="str">
        <f t="shared" si="19"/>
        <v>-</v>
      </c>
      <c r="N68" s="148">
        <f t="shared" ref="N68:AS68" si="72">N69+N74+N75</f>
        <v>0</v>
      </c>
      <c r="O68" s="150">
        <f t="shared" si="72"/>
        <v>0</v>
      </c>
      <c r="P68" s="150">
        <f t="shared" si="72"/>
        <v>0</v>
      </c>
      <c r="Q68" s="151">
        <f t="shared" si="72"/>
        <v>0</v>
      </c>
      <c r="R68" s="152">
        <f t="shared" si="72"/>
        <v>0</v>
      </c>
      <c r="S68" s="153">
        <f t="shared" si="72"/>
        <v>0</v>
      </c>
      <c r="T68" s="153">
        <f t="shared" si="72"/>
        <v>0</v>
      </c>
      <c r="U68" s="154">
        <f t="shared" si="72"/>
        <v>0</v>
      </c>
      <c r="V68" s="148">
        <f t="shared" si="72"/>
        <v>0</v>
      </c>
      <c r="W68" s="150">
        <f t="shared" si="72"/>
        <v>0</v>
      </c>
      <c r="X68" s="150">
        <f t="shared" si="72"/>
        <v>0</v>
      </c>
      <c r="Y68" s="151">
        <f t="shared" si="72"/>
        <v>0</v>
      </c>
      <c r="Z68" s="152">
        <f t="shared" si="72"/>
        <v>0</v>
      </c>
      <c r="AA68" s="153">
        <f t="shared" si="72"/>
        <v>0</v>
      </c>
      <c r="AB68" s="153">
        <f t="shared" si="72"/>
        <v>0</v>
      </c>
      <c r="AC68" s="154">
        <f t="shared" si="72"/>
        <v>0</v>
      </c>
      <c r="AD68" s="148">
        <f t="shared" si="72"/>
        <v>0</v>
      </c>
      <c r="AE68" s="150">
        <f t="shared" si="72"/>
        <v>0</v>
      </c>
      <c r="AF68" s="150">
        <f t="shared" si="72"/>
        <v>0</v>
      </c>
      <c r="AG68" s="151">
        <f t="shared" si="72"/>
        <v>0</v>
      </c>
      <c r="AH68" s="152">
        <f t="shared" si="72"/>
        <v>0</v>
      </c>
      <c r="AI68" s="153">
        <f t="shared" si="72"/>
        <v>0</v>
      </c>
      <c r="AJ68" s="153">
        <f t="shared" si="72"/>
        <v>0</v>
      </c>
      <c r="AK68" s="154">
        <f t="shared" si="72"/>
        <v>0</v>
      </c>
      <c r="AL68" s="148">
        <f t="shared" si="72"/>
        <v>0</v>
      </c>
      <c r="AM68" s="150">
        <f t="shared" si="72"/>
        <v>0</v>
      </c>
      <c r="AN68" s="150">
        <f t="shared" si="72"/>
        <v>0</v>
      </c>
      <c r="AO68" s="151">
        <f t="shared" si="72"/>
        <v>0</v>
      </c>
      <c r="AP68" s="152">
        <f t="shared" si="72"/>
        <v>0</v>
      </c>
      <c r="AQ68" s="153">
        <f t="shared" si="72"/>
        <v>0</v>
      </c>
      <c r="AR68" s="153">
        <f t="shared" si="72"/>
        <v>0</v>
      </c>
      <c r="AS68" s="154">
        <f t="shared" si="72"/>
        <v>0</v>
      </c>
      <c r="AT68" s="155"/>
      <c r="AU68" s="54" t="str">
        <f t="shared" si="2"/>
        <v>-</v>
      </c>
      <c r="AV68" s="44"/>
    </row>
    <row r="69" spans="1:48" s="157" customFormat="1" ht="31.9" customHeight="1" x14ac:dyDescent="0.75">
      <c r="A69" s="76">
        <v>54</v>
      </c>
      <c r="B69" s="76"/>
      <c r="C69" s="76">
        <f>IFERROR(INDEX([1]Entity!$A$2:$A$503,MATCH(TRIM($J69),[1]Entity!$E$2:$E$503,0)),"")</f>
        <v>16</v>
      </c>
      <c r="D69" s="88" t="str">
        <f>IFERROR(INDEX('[2]Account Group'!$A:$A,MATCH(G69,'[2]Account Group'!$B:$B,0)),"")</f>
        <v/>
      </c>
      <c r="E69" s="88" t="str">
        <f>IFERROR(INDEX([3]Account!$A:$A,MATCH(H69,[3]Account!$D:$D,0)),"")</f>
        <v/>
      </c>
      <c r="F69" s="88" t="e">
        <f>INDEX('[4]Sub Account'!$A:$A,MATCH(I69,'[4]Sub Account'!$D:$D,0))</f>
        <v>#N/A</v>
      </c>
      <c r="G69" s="98"/>
      <c r="H69" s="99"/>
      <c r="I69" s="100"/>
      <c r="J69" s="141" t="s">
        <v>147</v>
      </c>
      <c r="K69" s="66">
        <f>SUM(K70:K72)</f>
        <v>0</v>
      </c>
      <c r="L69" s="67">
        <f>SUM(L70:L72)</f>
        <v>0</v>
      </c>
      <c r="M69" s="68" t="str">
        <f t="shared" si="19"/>
        <v>-</v>
      </c>
      <c r="N69" s="67">
        <f t="shared" ref="N69:AS69" si="73">SUM(N70:N72)</f>
        <v>0</v>
      </c>
      <c r="O69" s="69">
        <f t="shared" si="73"/>
        <v>0</v>
      </c>
      <c r="P69" s="69">
        <f t="shared" si="73"/>
        <v>0</v>
      </c>
      <c r="Q69" s="70">
        <f t="shared" si="73"/>
        <v>0</v>
      </c>
      <c r="R69" s="71">
        <f t="shared" si="73"/>
        <v>0</v>
      </c>
      <c r="S69" s="72">
        <f t="shared" si="73"/>
        <v>0</v>
      </c>
      <c r="T69" s="72">
        <f t="shared" si="73"/>
        <v>0</v>
      </c>
      <c r="U69" s="73">
        <f t="shared" si="73"/>
        <v>0</v>
      </c>
      <c r="V69" s="67">
        <f t="shared" si="73"/>
        <v>0</v>
      </c>
      <c r="W69" s="69">
        <f t="shared" si="73"/>
        <v>0</v>
      </c>
      <c r="X69" s="69">
        <f t="shared" si="73"/>
        <v>0</v>
      </c>
      <c r="Y69" s="70">
        <f t="shared" si="73"/>
        <v>0</v>
      </c>
      <c r="Z69" s="71">
        <f t="shared" si="73"/>
        <v>0</v>
      </c>
      <c r="AA69" s="72">
        <f t="shared" si="73"/>
        <v>0</v>
      </c>
      <c r="AB69" s="72">
        <f t="shared" si="73"/>
        <v>0</v>
      </c>
      <c r="AC69" s="73">
        <f t="shared" si="73"/>
        <v>0</v>
      </c>
      <c r="AD69" s="67">
        <f t="shared" si="73"/>
        <v>0</v>
      </c>
      <c r="AE69" s="69">
        <f t="shared" si="73"/>
        <v>0</v>
      </c>
      <c r="AF69" s="69">
        <f t="shared" si="73"/>
        <v>0</v>
      </c>
      <c r="AG69" s="70">
        <f t="shared" si="73"/>
        <v>0</v>
      </c>
      <c r="AH69" s="71">
        <f t="shared" si="73"/>
        <v>0</v>
      </c>
      <c r="AI69" s="72">
        <f t="shared" si="73"/>
        <v>0</v>
      </c>
      <c r="AJ69" s="72">
        <f t="shared" si="73"/>
        <v>0</v>
      </c>
      <c r="AK69" s="73">
        <f t="shared" si="73"/>
        <v>0</v>
      </c>
      <c r="AL69" s="67">
        <f t="shared" si="73"/>
        <v>0</v>
      </c>
      <c r="AM69" s="69">
        <f t="shared" si="73"/>
        <v>0</v>
      </c>
      <c r="AN69" s="69">
        <f t="shared" si="73"/>
        <v>0</v>
      </c>
      <c r="AO69" s="70">
        <f t="shared" si="73"/>
        <v>0</v>
      </c>
      <c r="AP69" s="71">
        <f t="shared" si="73"/>
        <v>0</v>
      </c>
      <c r="AQ69" s="72">
        <f t="shared" si="73"/>
        <v>0</v>
      </c>
      <c r="AR69" s="72">
        <f t="shared" si="73"/>
        <v>0</v>
      </c>
      <c r="AS69" s="73">
        <f t="shared" si="73"/>
        <v>0</v>
      </c>
      <c r="AT69" s="74"/>
      <c r="AU69" s="75" t="str">
        <f t="shared" si="2"/>
        <v>-</v>
      </c>
      <c r="AV69" s="44"/>
    </row>
    <row r="70" spans="1:48" s="76" customFormat="1" ht="31.9" customHeight="1" x14ac:dyDescent="0.75">
      <c r="A70" s="76">
        <v>55</v>
      </c>
      <c r="B70" s="76">
        <v>54</v>
      </c>
      <c r="D70" s="88">
        <f>IFERROR(INDEX('[2]Account Group'!$A:$A,MATCH(G70,'[2]Account Group'!$B:$B,0)),"")</f>
        <v>21</v>
      </c>
      <c r="E70" s="88">
        <f>IFERROR(INDEX([3]Account!$A:$A,MATCH(H70,[3]Account!$D:$D,0)),"")</f>
        <v>102</v>
      </c>
      <c r="F70" s="88">
        <f>INDEX('[4]Sub Account'!$A:$A,MATCH(I70,'[4]Sub Account'!$D:$D,0))</f>
        <v>476</v>
      </c>
      <c r="G70" s="359">
        <v>73</v>
      </c>
      <c r="H70" s="354">
        <v>7300</v>
      </c>
      <c r="I70" s="116">
        <v>73001</v>
      </c>
      <c r="J70" s="80" t="s">
        <v>93</v>
      </c>
      <c r="K70" s="107"/>
      <c r="L70" s="158">
        <f t="shared" ref="L70:L72" si="74">N70+V70+AD70+AL70</f>
        <v>0</v>
      </c>
      <c r="M70" s="159" t="str">
        <f>IFERROR(L70/K70, "-")</f>
        <v>-</v>
      </c>
      <c r="N70" s="158">
        <f>SUM(O70:Q70)</f>
        <v>0</v>
      </c>
      <c r="O70" s="160"/>
      <c r="P70" s="160"/>
      <c r="Q70" s="161"/>
      <c r="R70" s="158">
        <f>SUM(S70:U70)</f>
        <v>0</v>
      </c>
      <c r="S70" s="160"/>
      <c r="T70" s="160"/>
      <c r="U70" s="161"/>
      <c r="V70" s="158">
        <f>SUM(W70:Y70)</f>
        <v>0</v>
      </c>
      <c r="W70" s="160"/>
      <c r="X70" s="160"/>
      <c r="Y70" s="161"/>
      <c r="Z70" s="158">
        <f>SUM(AA70:AC70)</f>
        <v>0</v>
      </c>
      <c r="AA70" s="160"/>
      <c r="AB70" s="160"/>
      <c r="AC70" s="161"/>
      <c r="AD70" s="158">
        <f>SUM(AE70:AG70)</f>
        <v>0</v>
      </c>
      <c r="AE70" s="160"/>
      <c r="AF70" s="160"/>
      <c r="AG70" s="161"/>
      <c r="AH70" s="158">
        <f>SUM(AI70:AK70)</f>
        <v>0</v>
      </c>
      <c r="AI70" s="160"/>
      <c r="AJ70" s="160"/>
      <c r="AK70" s="161"/>
      <c r="AL70" s="158">
        <f>SUM(AM70:AO70)</f>
        <v>0</v>
      </c>
      <c r="AM70" s="160"/>
      <c r="AN70" s="160"/>
      <c r="AO70" s="161"/>
      <c r="AP70" s="158">
        <f>SUM(AQ70:AS70)</f>
        <v>0</v>
      </c>
      <c r="AQ70" s="160"/>
      <c r="AR70" s="160"/>
      <c r="AS70" s="161"/>
      <c r="AT70" s="162"/>
      <c r="AU70" s="75" t="str">
        <f t="shared" si="2"/>
        <v>-</v>
      </c>
      <c r="AV70" s="44"/>
    </row>
    <row r="71" spans="1:48" s="157" customFormat="1" ht="31.9" customHeight="1" x14ac:dyDescent="0.75">
      <c r="A71" s="76">
        <v>56</v>
      </c>
      <c r="B71" s="76">
        <v>54</v>
      </c>
      <c r="D71" s="88">
        <f>IFERROR(INDEX('[2]Account Group'!$A:$A,MATCH(G71,'[2]Account Group'!$B:$B,0)),"")</f>
        <v>21</v>
      </c>
      <c r="E71" s="88">
        <f>IFERROR(INDEX([3]Account!$A:$A,MATCH(H71,[3]Account!$D:$D,0)),"")</f>
        <v>104</v>
      </c>
      <c r="F71" s="88">
        <f>INDEX('[4]Sub Account'!$A:$A,MATCH(I71,'[4]Sub Account'!$D:$D,0))</f>
        <v>468</v>
      </c>
      <c r="G71" s="359">
        <v>73</v>
      </c>
      <c r="H71" s="354">
        <v>7302</v>
      </c>
      <c r="I71" s="116">
        <v>73023</v>
      </c>
      <c r="J71" s="117" t="s">
        <v>83</v>
      </c>
      <c r="K71" s="107"/>
      <c r="L71" s="82">
        <f t="shared" si="74"/>
        <v>0</v>
      </c>
      <c r="M71" s="83" t="str">
        <f>IFERROR(L71/K71, "-")</f>
        <v>-</v>
      </c>
      <c r="N71" s="82">
        <f>SUM(O71:Q71)</f>
        <v>0</v>
      </c>
      <c r="O71" s="84"/>
      <c r="P71" s="84"/>
      <c r="Q71" s="85"/>
      <c r="R71" s="82">
        <f>SUM(S71:U71)</f>
        <v>0</v>
      </c>
      <c r="S71" s="84"/>
      <c r="T71" s="84"/>
      <c r="U71" s="85"/>
      <c r="V71" s="82">
        <f>SUM(W71:Y71)</f>
        <v>0</v>
      </c>
      <c r="W71" s="84"/>
      <c r="X71" s="84"/>
      <c r="Y71" s="85"/>
      <c r="Z71" s="82">
        <f>SUM(AA71:AC71)</f>
        <v>0</v>
      </c>
      <c r="AA71" s="84"/>
      <c r="AB71" s="84"/>
      <c r="AC71" s="85"/>
      <c r="AD71" s="82">
        <f>SUM(AE71:AG71)</f>
        <v>0</v>
      </c>
      <c r="AE71" s="84"/>
      <c r="AF71" s="84"/>
      <c r="AG71" s="85"/>
      <c r="AH71" s="82">
        <f>SUM(AI71:AK71)</f>
        <v>0</v>
      </c>
      <c r="AI71" s="84"/>
      <c r="AJ71" s="84"/>
      <c r="AK71" s="85"/>
      <c r="AL71" s="82">
        <f>SUM(AM71:AO71)</f>
        <v>0</v>
      </c>
      <c r="AM71" s="84"/>
      <c r="AN71" s="84"/>
      <c r="AO71" s="85"/>
      <c r="AP71" s="82">
        <f>SUM(AQ71:AS71)</f>
        <v>0</v>
      </c>
      <c r="AQ71" s="84"/>
      <c r="AR71" s="84"/>
      <c r="AS71" s="85"/>
      <c r="AT71" s="163"/>
      <c r="AU71" s="54" t="str">
        <f t="shared" si="2"/>
        <v>-</v>
      </c>
      <c r="AV71" s="44"/>
    </row>
    <row r="72" spans="1:48" s="156" customFormat="1" ht="31.9" customHeight="1" x14ac:dyDescent="0.75">
      <c r="A72" s="76">
        <v>57</v>
      </c>
      <c r="B72" s="76">
        <v>54</v>
      </c>
      <c r="D72" s="88">
        <f>IFERROR(INDEX('[2]Account Group'!$A:$A,MATCH(G72,'[2]Account Group'!$B:$B,0)),"")</f>
        <v>21</v>
      </c>
      <c r="E72" s="88">
        <f>IFERROR(INDEX([3]Account!$A:$A,MATCH(H72,[3]Account!$D:$D,0)),"")</f>
        <v>107</v>
      </c>
      <c r="F72" s="88">
        <f>INDEX('[4]Sub Account'!$A:$A,MATCH(I72,'[4]Sub Account'!$D:$D,0))</f>
        <v>473</v>
      </c>
      <c r="G72" s="362">
        <v>73</v>
      </c>
      <c r="H72" s="357">
        <v>7306</v>
      </c>
      <c r="I72" s="131">
        <v>73066</v>
      </c>
      <c r="J72" s="132" t="s">
        <v>70</v>
      </c>
      <c r="K72" s="164"/>
      <c r="L72" s="165">
        <f t="shared" si="74"/>
        <v>0</v>
      </c>
      <c r="M72" s="166" t="str">
        <f t="shared" si="19"/>
        <v>-</v>
      </c>
      <c r="N72" s="165">
        <f>SUM(O72:Q72)</f>
        <v>0</v>
      </c>
      <c r="O72" s="167"/>
      <c r="P72" s="167"/>
      <c r="Q72" s="168"/>
      <c r="R72" s="165">
        <f>SUM(S72:U72)</f>
        <v>0</v>
      </c>
      <c r="S72" s="167"/>
      <c r="T72" s="167"/>
      <c r="U72" s="168"/>
      <c r="V72" s="165">
        <f>SUM(W72:Y72)</f>
        <v>0</v>
      </c>
      <c r="W72" s="167"/>
      <c r="X72" s="167"/>
      <c r="Y72" s="168"/>
      <c r="Z72" s="165">
        <f>SUM(AA72:AC72)</f>
        <v>0</v>
      </c>
      <c r="AA72" s="167"/>
      <c r="AB72" s="167"/>
      <c r="AC72" s="168"/>
      <c r="AD72" s="165">
        <f>SUM(AE72:AG72)</f>
        <v>0</v>
      </c>
      <c r="AE72" s="167"/>
      <c r="AF72" s="167"/>
      <c r="AG72" s="168"/>
      <c r="AH72" s="165">
        <f>SUM(AI72:AK72)</f>
        <v>0</v>
      </c>
      <c r="AI72" s="167"/>
      <c r="AJ72" s="167"/>
      <c r="AK72" s="168"/>
      <c r="AL72" s="165">
        <f>SUM(AM72:AO72)</f>
        <v>0</v>
      </c>
      <c r="AM72" s="167"/>
      <c r="AN72" s="167"/>
      <c r="AO72" s="168"/>
      <c r="AP72" s="165">
        <f>SUM(AQ72:AS72)</f>
        <v>0</v>
      </c>
      <c r="AQ72" s="167"/>
      <c r="AR72" s="167"/>
      <c r="AS72" s="168"/>
      <c r="AT72" s="169"/>
      <c r="AU72" s="54" t="str">
        <f t="shared" si="2"/>
        <v>-</v>
      </c>
      <c r="AV72" s="44"/>
    </row>
    <row r="73" spans="1:48" s="76" customFormat="1" ht="32.450000000000003" customHeight="1" x14ac:dyDescent="0.75">
      <c r="A73" s="76">
        <v>58</v>
      </c>
      <c r="C73" s="76">
        <f>IFERROR(INDEX([1]Entity!$A$2:$A$503,MATCH($J73,[1]Entity!$E$2:$E$503,0)),"")</f>
        <v>13</v>
      </c>
      <c r="D73" s="88" t="str">
        <f>IFERROR(INDEX('[2]Account Group'!$A:$A,MATCH(G73,'[2]Account Group'!$B:$B,0)),"")</f>
        <v/>
      </c>
      <c r="E73" s="88" t="str">
        <f>IFERROR(INDEX([3]Account!$A:$A,MATCH(H73,[3]Account!$D:$D,0)),"")</f>
        <v/>
      </c>
      <c r="F73" s="88" t="e">
        <f>INDEX('[4]Sub Account'!$A:$A,MATCH(I73,'[4]Sub Account'!$D:$D,0))</f>
        <v>#N/A</v>
      </c>
      <c r="G73" s="98"/>
      <c r="H73" s="351"/>
      <c r="I73" s="352"/>
      <c r="J73" s="353" t="s">
        <v>148</v>
      </c>
      <c r="K73" s="66">
        <f>K74+K75+K82</f>
        <v>0</v>
      </c>
      <c r="L73" s="67">
        <f>L74+L75+L82</f>
        <v>0</v>
      </c>
      <c r="M73" s="68" t="str">
        <f t="shared" si="19"/>
        <v>-</v>
      </c>
      <c r="N73" s="67">
        <f t="shared" ref="N73:AS73" si="75">N74+N75+N82</f>
        <v>0</v>
      </c>
      <c r="O73" s="69">
        <f t="shared" si="75"/>
        <v>0</v>
      </c>
      <c r="P73" s="69">
        <f t="shared" si="75"/>
        <v>0</v>
      </c>
      <c r="Q73" s="70">
        <f t="shared" si="75"/>
        <v>0</v>
      </c>
      <c r="R73" s="71">
        <f t="shared" si="75"/>
        <v>0</v>
      </c>
      <c r="S73" s="72">
        <f t="shared" si="75"/>
        <v>0</v>
      </c>
      <c r="T73" s="72">
        <f t="shared" si="75"/>
        <v>0</v>
      </c>
      <c r="U73" s="73">
        <f t="shared" si="75"/>
        <v>0</v>
      </c>
      <c r="V73" s="67">
        <f t="shared" si="75"/>
        <v>0</v>
      </c>
      <c r="W73" s="69">
        <f t="shared" si="75"/>
        <v>0</v>
      </c>
      <c r="X73" s="69">
        <f t="shared" si="75"/>
        <v>0</v>
      </c>
      <c r="Y73" s="70">
        <f t="shared" si="75"/>
        <v>0</v>
      </c>
      <c r="Z73" s="71">
        <f>Z74+Z75+Z82</f>
        <v>0</v>
      </c>
      <c r="AA73" s="72">
        <f t="shared" si="75"/>
        <v>0</v>
      </c>
      <c r="AB73" s="72">
        <f t="shared" si="75"/>
        <v>0</v>
      </c>
      <c r="AC73" s="73">
        <f t="shared" si="75"/>
        <v>0</v>
      </c>
      <c r="AD73" s="67">
        <f t="shared" si="75"/>
        <v>0</v>
      </c>
      <c r="AE73" s="69">
        <f t="shared" si="75"/>
        <v>0</v>
      </c>
      <c r="AF73" s="69">
        <f t="shared" si="75"/>
        <v>0</v>
      </c>
      <c r="AG73" s="70">
        <f t="shared" si="75"/>
        <v>0</v>
      </c>
      <c r="AH73" s="71">
        <f t="shared" si="75"/>
        <v>0</v>
      </c>
      <c r="AI73" s="72">
        <f t="shared" si="75"/>
        <v>0</v>
      </c>
      <c r="AJ73" s="72">
        <f t="shared" si="75"/>
        <v>0</v>
      </c>
      <c r="AK73" s="73">
        <f t="shared" si="75"/>
        <v>0</v>
      </c>
      <c r="AL73" s="67">
        <f t="shared" si="75"/>
        <v>0</v>
      </c>
      <c r="AM73" s="69">
        <f t="shared" si="75"/>
        <v>0</v>
      </c>
      <c r="AN73" s="69">
        <f t="shared" si="75"/>
        <v>0</v>
      </c>
      <c r="AO73" s="70">
        <f t="shared" si="75"/>
        <v>0</v>
      </c>
      <c r="AP73" s="71">
        <f t="shared" si="75"/>
        <v>0</v>
      </c>
      <c r="AQ73" s="72">
        <f t="shared" si="75"/>
        <v>0</v>
      </c>
      <c r="AR73" s="72">
        <f t="shared" si="75"/>
        <v>0</v>
      </c>
      <c r="AS73" s="73">
        <f t="shared" si="75"/>
        <v>0</v>
      </c>
      <c r="AT73" s="74"/>
      <c r="AU73" s="75" t="str">
        <f t="shared" si="2"/>
        <v>-</v>
      </c>
      <c r="AV73" s="44"/>
    </row>
    <row r="74" spans="1:48" s="88" customFormat="1" ht="32.450000000000003" customHeight="1" x14ac:dyDescent="0.75">
      <c r="A74" s="76">
        <v>59</v>
      </c>
      <c r="B74" s="76">
        <v>58</v>
      </c>
      <c r="D74" s="88">
        <f>IFERROR(INDEX('[2]Account Group'!$A:$A,MATCH(G74,'[2]Account Group'!$B:$B,0)),"")</f>
        <v>24</v>
      </c>
      <c r="E74" s="88">
        <f>IFERROR(INDEX([3]Account!$A:$A,MATCH(H74,[3]Account!$D:$D,0)),"")</f>
        <v>127</v>
      </c>
      <c r="F74" s="88">
        <f>INDEX('[4]Sub Account'!$A:$A,MATCH(I74,'[4]Sub Account'!$D:$D,0))</f>
        <v>477</v>
      </c>
      <c r="G74" s="103">
        <v>76</v>
      </c>
      <c r="H74" s="104">
        <v>7601</v>
      </c>
      <c r="I74" s="170">
        <v>76011</v>
      </c>
      <c r="J74" s="171" t="s">
        <v>94</v>
      </c>
      <c r="K74" s="172"/>
      <c r="L74" s="173">
        <f t="shared" ref="L74" si="76">N74+V74+AD74+AL74</f>
        <v>0</v>
      </c>
      <c r="M74" s="174" t="str">
        <f t="shared" si="19"/>
        <v>-</v>
      </c>
      <c r="N74" s="173">
        <f>SUM(O74:Q74)</f>
        <v>0</v>
      </c>
      <c r="O74" s="175"/>
      <c r="P74" s="175"/>
      <c r="Q74" s="176"/>
      <c r="R74" s="173">
        <f>SUM(S74:U74)</f>
        <v>0</v>
      </c>
      <c r="S74" s="175"/>
      <c r="T74" s="175"/>
      <c r="U74" s="176"/>
      <c r="V74" s="173">
        <f>SUM(W74:Y74)</f>
        <v>0</v>
      </c>
      <c r="W74" s="177"/>
      <c r="X74" s="177"/>
      <c r="Y74" s="178"/>
      <c r="Z74" s="173">
        <f>SUM(AA74:AC74)</f>
        <v>0</v>
      </c>
      <c r="AA74" s="177"/>
      <c r="AB74" s="177"/>
      <c r="AC74" s="178"/>
      <c r="AD74" s="173">
        <f>SUM(AE74:AG74)</f>
        <v>0</v>
      </c>
      <c r="AE74" s="175"/>
      <c r="AF74" s="175"/>
      <c r="AG74" s="176"/>
      <c r="AH74" s="173">
        <f>SUM(AI74:AK74)</f>
        <v>0</v>
      </c>
      <c r="AI74" s="175"/>
      <c r="AJ74" s="175"/>
      <c r="AK74" s="176"/>
      <c r="AL74" s="173">
        <f>SUM(AM74:AO74)</f>
        <v>0</v>
      </c>
      <c r="AM74" s="175"/>
      <c r="AN74" s="175"/>
      <c r="AO74" s="176"/>
      <c r="AP74" s="173">
        <f>SUM(AQ74:AS74)</f>
        <v>0</v>
      </c>
      <c r="AQ74" s="179"/>
      <c r="AR74" s="179"/>
      <c r="AS74" s="180"/>
      <c r="AT74" s="181"/>
      <c r="AU74" s="87" t="str">
        <f t="shared" si="2"/>
        <v>-</v>
      </c>
      <c r="AV74" s="44"/>
    </row>
    <row r="75" spans="1:48" s="193" customFormat="1" ht="32.450000000000003" customHeight="1" x14ac:dyDescent="0.75">
      <c r="A75" s="76">
        <v>60</v>
      </c>
      <c r="B75" s="76"/>
      <c r="C75" s="76" t="str">
        <f>IFERROR(INDEX([1]Entity!$A$2:$A$503,MATCH($J75,[1]Entity!$E$2:$E$503,0)),"")</f>
        <v/>
      </c>
      <c r="D75" s="88" t="str">
        <f>IFERROR(INDEX('[2]Account Group'!$A:$A,MATCH(G75,'[2]Account Group'!$B:$B,0)),"")</f>
        <v/>
      </c>
      <c r="E75" s="88" t="str">
        <f>IFERROR(INDEX([3]Account!$A:$A,MATCH(H75,[3]Account!$D:$D,0)),"")</f>
        <v/>
      </c>
      <c r="F75" s="88" t="e">
        <f>INDEX('[4]Sub Account'!$A:$A,MATCH(I75,'[4]Sub Account'!$D:$D,0))</f>
        <v>#N/A</v>
      </c>
      <c r="G75" s="182"/>
      <c r="H75" s="183"/>
      <c r="I75" s="184"/>
      <c r="J75" s="185" t="s">
        <v>95</v>
      </c>
      <c r="K75" s="107">
        <f>SUM(K76:K81)</f>
        <v>0</v>
      </c>
      <c r="L75" s="82">
        <f>SUM(L76:L81)</f>
        <v>0</v>
      </c>
      <c r="M75" s="186" t="str">
        <f t="shared" si="19"/>
        <v>-</v>
      </c>
      <c r="N75" s="82">
        <f t="shared" ref="N75:AS75" si="77">SUM(N76:N81)</f>
        <v>0</v>
      </c>
      <c r="O75" s="118">
        <f t="shared" si="77"/>
        <v>0</v>
      </c>
      <c r="P75" s="118">
        <f t="shared" si="77"/>
        <v>0</v>
      </c>
      <c r="Q75" s="187">
        <f t="shared" si="77"/>
        <v>0</v>
      </c>
      <c r="R75" s="188">
        <f t="shared" si="77"/>
        <v>0</v>
      </c>
      <c r="S75" s="189">
        <f t="shared" si="77"/>
        <v>0</v>
      </c>
      <c r="T75" s="189">
        <f t="shared" si="77"/>
        <v>0</v>
      </c>
      <c r="U75" s="190">
        <f t="shared" si="77"/>
        <v>0</v>
      </c>
      <c r="V75" s="82">
        <f t="shared" si="77"/>
        <v>0</v>
      </c>
      <c r="W75" s="118">
        <f t="shared" si="77"/>
        <v>0</v>
      </c>
      <c r="X75" s="118">
        <f t="shared" si="77"/>
        <v>0</v>
      </c>
      <c r="Y75" s="187">
        <f t="shared" si="77"/>
        <v>0</v>
      </c>
      <c r="Z75" s="188">
        <f t="shared" si="77"/>
        <v>0</v>
      </c>
      <c r="AA75" s="189">
        <f t="shared" si="77"/>
        <v>0</v>
      </c>
      <c r="AB75" s="189">
        <f t="shared" si="77"/>
        <v>0</v>
      </c>
      <c r="AC75" s="190">
        <f t="shared" si="77"/>
        <v>0</v>
      </c>
      <c r="AD75" s="82">
        <f t="shared" si="77"/>
        <v>0</v>
      </c>
      <c r="AE75" s="118">
        <f t="shared" si="77"/>
        <v>0</v>
      </c>
      <c r="AF75" s="118">
        <f t="shared" si="77"/>
        <v>0</v>
      </c>
      <c r="AG75" s="187">
        <f t="shared" si="77"/>
        <v>0</v>
      </c>
      <c r="AH75" s="188">
        <f t="shared" si="77"/>
        <v>0</v>
      </c>
      <c r="AI75" s="189">
        <f t="shared" si="77"/>
        <v>0</v>
      </c>
      <c r="AJ75" s="189">
        <f t="shared" si="77"/>
        <v>0</v>
      </c>
      <c r="AK75" s="190">
        <f t="shared" si="77"/>
        <v>0</v>
      </c>
      <c r="AL75" s="82">
        <f t="shared" si="77"/>
        <v>0</v>
      </c>
      <c r="AM75" s="118">
        <f t="shared" si="77"/>
        <v>0</v>
      </c>
      <c r="AN75" s="118">
        <f t="shared" si="77"/>
        <v>0</v>
      </c>
      <c r="AO75" s="187">
        <f t="shared" si="77"/>
        <v>0</v>
      </c>
      <c r="AP75" s="188">
        <f t="shared" si="77"/>
        <v>0</v>
      </c>
      <c r="AQ75" s="189">
        <f t="shared" si="77"/>
        <v>0</v>
      </c>
      <c r="AR75" s="189">
        <f t="shared" si="77"/>
        <v>0</v>
      </c>
      <c r="AS75" s="190">
        <f t="shared" si="77"/>
        <v>0</v>
      </c>
      <c r="AT75" s="191"/>
      <c r="AU75" s="192" t="str">
        <f t="shared" si="2"/>
        <v>-</v>
      </c>
      <c r="AV75" s="44"/>
    </row>
    <row r="76" spans="1:48" s="197" customFormat="1" ht="32.450000000000003" customHeight="1" x14ac:dyDescent="0.75">
      <c r="A76" s="76">
        <v>61</v>
      </c>
      <c r="B76" s="76">
        <v>58</v>
      </c>
      <c r="D76" s="88">
        <f>IFERROR(INDEX('[2]Account Group'!$A:$A,MATCH(G76,'[2]Account Group'!$B:$B,0)),"")</f>
        <v>6</v>
      </c>
      <c r="E76" s="88">
        <f>IFERROR(INDEX([3]Account!$A:$A,MATCH(H76,[3]Account!$D:$D,0)),"")</f>
        <v>19</v>
      </c>
      <c r="F76" s="88">
        <f>INDEX('[4]Sub Account'!$A:$A,MATCH(I76,'[4]Sub Account'!$D:$D,0))</f>
        <v>208</v>
      </c>
      <c r="G76" s="359">
        <v>27</v>
      </c>
      <c r="H76" s="354">
        <v>2701</v>
      </c>
      <c r="I76" s="116">
        <v>27011</v>
      </c>
      <c r="J76" s="117" t="s">
        <v>96</v>
      </c>
      <c r="K76" s="81"/>
      <c r="L76" s="82">
        <f t="shared" ref="L76:L81" si="78">N76+V76+AD76+AL76</f>
        <v>0</v>
      </c>
      <c r="M76" s="83" t="str">
        <f t="shared" si="19"/>
        <v>-</v>
      </c>
      <c r="N76" s="82">
        <f t="shared" ref="N76:N81" si="79">SUM(O76:Q76)</f>
        <v>0</v>
      </c>
      <c r="O76" s="84"/>
      <c r="P76" s="84"/>
      <c r="Q76" s="85"/>
      <c r="R76" s="82">
        <f t="shared" ref="R76:R81" si="80">SUM(S76:U76)</f>
        <v>0</v>
      </c>
      <c r="S76" s="84"/>
      <c r="T76" s="84"/>
      <c r="U76" s="85"/>
      <c r="V76" s="82">
        <f t="shared" ref="V76:V81" si="81">SUM(W76:Y76)</f>
        <v>0</v>
      </c>
      <c r="W76" s="194"/>
      <c r="X76" s="194"/>
      <c r="Y76" s="195"/>
      <c r="Z76" s="82">
        <f t="shared" ref="Z76:Z81" si="82">SUM(AA76:AC76)</f>
        <v>0</v>
      </c>
      <c r="AA76" s="194"/>
      <c r="AB76" s="194"/>
      <c r="AC76" s="195"/>
      <c r="AD76" s="82">
        <f t="shared" ref="AD76:AD81" si="83">SUM(AE76:AG76)</f>
        <v>0</v>
      </c>
      <c r="AE76" s="84"/>
      <c r="AF76" s="84"/>
      <c r="AG76" s="85"/>
      <c r="AH76" s="82">
        <f t="shared" ref="AH76:AH81" si="84">SUM(AI76:AK76)</f>
        <v>0</v>
      </c>
      <c r="AI76" s="84"/>
      <c r="AJ76" s="84"/>
      <c r="AK76" s="85"/>
      <c r="AL76" s="82">
        <f t="shared" ref="AL76:AL81" si="85">SUM(AM76:AO76)</f>
        <v>0</v>
      </c>
      <c r="AM76" s="84"/>
      <c r="AN76" s="84"/>
      <c r="AO76" s="195"/>
      <c r="AP76" s="82">
        <f t="shared" ref="AP76:AP81" si="86">SUM(AQ76:AS76)</f>
        <v>0</v>
      </c>
      <c r="AQ76" s="84"/>
      <c r="AR76" s="84"/>
      <c r="AS76" s="85"/>
      <c r="AT76" s="191"/>
      <c r="AU76" s="196" t="str">
        <f t="shared" si="2"/>
        <v>-</v>
      </c>
      <c r="AV76" s="44"/>
    </row>
    <row r="77" spans="1:48" s="197" customFormat="1" ht="32.450000000000003" customHeight="1" x14ac:dyDescent="0.75">
      <c r="A77" s="76">
        <v>62</v>
      </c>
      <c r="B77" s="76">
        <v>58</v>
      </c>
      <c r="D77" s="88">
        <f>IFERROR(INDEX('[2]Account Group'!$A:$A,MATCH(G77,'[2]Account Group'!$B:$B,0)),"")</f>
        <v>23</v>
      </c>
      <c r="E77" s="88">
        <f>IFERROR(INDEX([3]Account!$A:$A,MATCH(H77,[3]Account!$D:$D,0)),"")</f>
        <v>124</v>
      </c>
      <c r="F77" s="88">
        <f>INDEX('[4]Sub Account'!$A:$A,MATCH(I77,'[4]Sub Account'!$D:$D,0))</f>
        <v>478</v>
      </c>
      <c r="G77" s="77">
        <v>75</v>
      </c>
      <c r="H77" s="354">
        <v>7514</v>
      </c>
      <c r="I77" s="116">
        <v>75141</v>
      </c>
      <c r="J77" s="121" t="s">
        <v>97</v>
      </c>
      <c r="K77" s="81"/>
      <c r="L77" s="82">
        <f t="shared" si="78"/>
        <v>0</v>
      </c>
      <c r="M77" s="83" t="str">
        <f>IFERROR(L77/K77, "-")</f>
        <v>-</v>
      </c>
      <c r="N77" s="82">
        <f t="shared" si="79"/>
        <v>0</v>
      </c>
      <c r="O77" s="118"/>
      <c r="P77" s="84"/>
      <c r="Q77" s="85"/>
      <c r="R77" s="82">
        <f t="shared" si="80"/>
        <v>0</v>
      </c>
      <c r="S77" s="84"/>
      <c r="T77" s="84"/>
      <c r="U77" s="85"/>
      <c r="V77" s="82">
        <f t="shared" si="81"/>
        <v>0</v>
      </c>
      <c r="W77" s="194"/>
      <c r="X77" s="194"/>
      <c r="Y77" s="142"/>
      <c r="Z77" s="82">
        <f t="shared" si="82"/>
        <v>0</v>
      </c>
      <c r="AA77" s="194"/>
      <c r="AB77" s="194"/>
      <c r="AC77" s="142"/>
      <c r="AD77" s="82">
        <f t="shared" si="83"/>
        <v>0</v>
      </c>
      <c r="AE77" s="84"/>
      <c r="AF77" s="84"/>
      <c r="AG77" s="85"/>
      <c r="AH77" s="82">
        <f t="shared" si="84"/>
        <v>0</v>
      </c>
      <c r="AI77" s="84"/>
      <c r="AJ77" s="84"/>
      <c r="AK77" s="85"/>
      <c r="AL77" s="82">
        <f t="shared" si="85"/>
        <v>0</v>
      </c>
      <c r="AM77" s="84"/>
      <c r="AN77" s="84"/>
      <c r="AO77" s="85"/>
      <c r="AP77" s="82">
        <f t="shared" si="86"/>
        <v>0</v>
      </c>
      <c r="AQ77" s="118"/>
      <c r="AR77" s="118"/>
      <c r="AS77" s="187"/>
      <c r="AT77" s="191"/>
      <c r="AU77" s="196" t="str">
        <f t="shared" si="2"/>
        <v>-</v>
      </c>
      <c r="AV77" s="44"/>
    </row>
    <row r="78" spans="1:48" s="88" customFormat="1" ht="32.450000000000003" customHeight="1" x14ac:dyDescent="0.75">
      <c r="A78" s="76">
        <v>63</v>
      </c>
      <c r="B78" s="76">
        <v>58</v>
      </c>
      <c r="D78" s="88">
        <f>IFERROR(INDEX('[2]Account Group'!$A:$A,MATCH(G78,'[2]Account Group'!$B:$B,0)),"")</f>
        <v>23</v>
      </c>
      <c r="E78" s="88">
        <f>IFERROR(INDEX([3]Account!$A:$A,MATCH(H78,[3]Account!$D:$D,0)),"")</f>
        <v>124</v>
      </c>
      <c r="F78" s="88">
        <f>INDEX('[4]Sub Account'!$A:$A,MATCH(I78,'[4]Sub Account'!$D:$D,0))</f>
        <v>479</v>
      </c>
      <c r="G78" s="77">
        <v>75</v>
      </c>
      <c r="H78" s="354">
        <v>7514</v>
      </c>
      <c r="I78" s="79">
        <v>75142</v>
      </c>
      <c r="J78" s="94" t="s">
        <v>98</v>
      </c>
      <c r="K78" s="81"/>
      <c r="L78" s="82">
        <f t="shared" si="78"/>
        <v>0</v>
      </c>
      <c r="M78" s="83" t="str">
        <f t="shared" si="19"/>
        <v>-</v>
      </c>
      <c r="N78" s="82">
        <f t="shared" si="79"/>
        <v>0</v>
      </c>
      <c r="O78" s="84"/>
      <c r="P78" s="84"/>
      <c r="Q78" s="85"/>
      <c r="R78" s="82">
        <f t="shared" si="80"/>
        <v>0</v>
      </c>
      <c r="S78" s="84"/>
      <c r="T78" s="84"/>
      <c r="U78" s="85"/>
      <c r="V78" s="82">
        <f t="shared" si="81"/>
        <v>0</v>
      </c>
      <c r="W78" s="194"/>
      <c r="X78" s="194"/>
      <c r="Y78" s="195"/>
      <c r="Z78" s="82">
        <f t="shared" si="82"/>
        <v>0</v>
      </c>
      <c r="AA78" s="194"/>
      <c r="AB78" s="194"/>
      <c r="AC78" s="195"/>
      <c r="AD78" s="82">
        <f t="shared" si="83"/>
        <v>0</v>
      </c>
      <c r="AE78" s="84"/>
      <c r="AF78" s="84"/>
      <c r="AG78" s="85"/>
      <c r="AH78" s="82">
        <f t="shared" si="84"/>
        <v>0</v>
      </c>
      <c r="AI78" s="84"/>
      <c r="AJ78" s="84"/>
      <c r="AK78" s="85"/>
      <c r="AL78" s="82">
        <f t="shared" si="85"/>
        <v>0</v>
      </c>
      <c r="AM78" s="84"/>
      <c r="AN78" s="84"/>
      <c r="AO78" s="85"/>
      <c r="AP78" s="82">
        <f t="shared" si="86"/>
        <v>0</v>
      </c>
      <c r="AQ78" s="84"/>
      <c r="AR78" s="84"/>
      <c r="AS78" s="85"/>
      <c r="AT78" s="181"/>
      <c r="AU78" s="87" t="str">
        <f t="shared" si="2"/>
        <v>-</v>
      </c>
      <c r="AV78" s="44"/>
    </row>
    <row r="79" spans="1:48" s="88" customFormat="1" ht="32.450000000000003" customHeight="1" x14ac:dyDescent="0.75">
      <c r="A79" s="76">
        <v>64</v>
      </c>
      <c r="B79" s="76">
        <v>58</v>
      </c>
      <c r="D79" s="88">
        <f>IFERROR(INDEX('[2]Account Group'!$A:$A,MATCH(G79,'[2]Account Group'!$B:$B,0)),"")</f>
        <v>7</v>
      </c>
      <c r="E79" s="88">
        <f>IFERROR(INDEX([3]Account!$A:$A,MATCH(H79,[3]Account!$D:$D,0)),"")</f>
        <v>22</v>
      </c>
      <c r="F79" s="88">
        <f>INDEX('[4]Sub Account'!$A:$A,MATCH(I79,'[4]Sub Account'!$D:$D,0))</f>
        <v>217</v>
      </c>
      <c r="G79" s="77">
        <v>50</v>
      </c>
      <c r="H79" s="92">
        <v>5002</v>
      </c>
      <c r="I79" s="93">
        <v>50021</v>
      </c>
      <c r="J79" s="198" t="s">
        <v>99</v>
      </c>
      <c r="K79" s="199"/>
      <c r="L79" s="124">
        <f t="shared" si="78"/>
        <v>0</v>
      </c>
      <c r="M79" s="123" t="str">
        <f t="shared" si="19"/>
        <v>-</v>
      </c>
      <c r="N79" s="124">
        <f t="shared" si="79"/>
        <v>0</v>
      </c>
      <c r="O79" s="125"/>
      <c r="P79" s="125"/>
      <c r="Q79" s="126"/>
      <c r="R79" s="124">
        <f t="shared" si="80"/>
        <v>0</v>
      </c>
      <c r="S79" s="125"/>
      <c r="T79" s="125"/>
      <c r="U79" s="126"/>
      <c r="V79" s="124">
        <f t="shared" si="81"/>
        <v>0</v>
      </c>
      <c r="W79" s="200"/>
      <c r="X79" s="200"/>
      <c r="Y79" s="201"/>
      <c r="Z79" s="124">
        <f t="shared" si="82"/>
        <v>0</v>
      </c>
      <c r="AA79" s="200"/>
      <c r="AB79" s="200"/>
      <c r="AC79" s="201"/>
      <c r="AD79" s="124">
        <f t="shared" si="83"/>
        <v>0</v>
      </c>
      <c r="AE79" s="125"/>
      <c r="AF79" s="125"/>
      <c r="AG79" s="126"/>
      <c r="AH79" s="124">
        <f t="shared" si="84"/>
        <v>0</v>
      </c>
      <c r="AI79" s="125"/>
      <c r="AJ79" s="125"/>
      <c r="AK79" s="126"/>
      <c r="AL79" s="124">
        <f t="shared" si="85"/>
        <v>0</v>
      </c>
      <c r="AM79" s="125"/>
      <c r="AN79" s="125"/>
      <c r="AO79" s="126"/>
      <c r="AP79" s="124">
        <f t="shared" si="86"/>
        <v>0</v>
      </c>
      <c r="AQ79" s="125"/>
      <c r="AR79" s="125"/>
      <c r="AS79" s="126"/>
      <c r="AT79" s="181"/>
      <c r="AU79" s="87" t="str">
        <f t="shared" si="2"/>
        <v>-</v>
      </c>
      <c r="AV79" s="44"/>
    </row>
    <row r="80" spans="1:48" s="88" customFormat="1" ht="32.450000000000003" customHeight="1" x14ac:dyDescent="0.75">
      <c r="A80" s="76">
        <v>65</v>
      </c>
      <c r="B80" s="76">
        <v>58</v>
      </c>
      <c r="D80" s="88">
        <f>IFERROR(INDEX('[2]Account Group'!$A:$A,MATCH(G80,'[2]Account Group'!$B:$B,0)),"")</f>
        <v>7</v>
      </c>
      <c r="E80" s="88">
        <f>IFERROR(INDEX([3]Account!$A:$A,MATCH(H80,[3]Account!$D:$D,0)),"")</f>
        <v>22</v>
      </c>
      <c r="F80" s="88">
        <f>INDEX('[4]Sub Account'!$A:$A,MATCH(I80,'[4]Sub Account'!$D:$D,0))</f>
        <v>218</v>
      </c>
      <c r="G80" s="77">
        <v>50</v>
      </c>
      <c r="H80" s="78">
        <v>5002</v>
      </c>
      <c r="I80" s="79">
        <v>50022</v>
      </c>
      <c r="J80" s="94" t="s">
        <v>100</v>
      </c>
      <c r="K80" s="81"/>
      <c r="L80" s="82">
        <f t="shared" si="78"/>
        <v>0</v>
      </c>
      <c r="M80" s="83" t="str">
        <f t="shared" si="19"/>
        <v>-</v>
      </c>
      <c r="N80" s="82">
        <f t="shared" si="79"/>
        <v>0</v>
      </c>
      <c r="O80" s="84"/>
      <c r="P80" s="84"/>
      <c r="Q80" s="85"/>
      <c r="R80" s="82">
        <f t="shared" si="80"/>
        <v>0</v>
      </c>
      <c r="S80" s="84"/>
      <c r="T80" s="84"/>
      <c r="U80" s="85"/>
      <c r="V80" s="82">
        <f t="shared" si="81"/>
        <v>0</v>
      </c>
      <c r="W80" s="194"/>
      <c r="X80" s="194"/>
      <c r="Y80" s="195"/>
      <c r="Z80" s="82">
        <f t="shared" si="82"/>
        <v>0</v>
      </c>
      <c r="AA80" s="194"/>
      <c r="AB80" s="194"/>
      <c r="AC80" s="195"/>
      <c r="AD80" s="82">
        <f t="shared" si="83"/>
        <v>0</v>
      </c>
      <c r="AE80" s="84"/>
      <c r="AF80" s="84"/>
      <c r="AG80" s="85"/>
      <c r="AH80" s="82">
        <f t="shared" si="84"/>
        <v>0</v>
      </c>
      <c r="AI80" s="84"/>
      <c r="AJ80" s="84"/>
      <c r="AK80" s="85"/>
      <c r="AL80" s="82">
        <f t="shared" si="85"/>
        <v>0</v>
      </c>
      <c r="AM80" s="84"/>
      <c r="AN80" s="84"/>
      <c r="AO80" s="85"/>
      <c r="AP80" s="82">
        <f t="shared" si="86"/>
        <v>0</v>
      </c>
      <c r="AQ80" s="84"/>
      <c r="AR80" s="84"/>
      <c r="AS80" s="85"/>
      <c r="AT80" s="181"/>
      <c r="AU80" s="87" t="str">
        <f t="shared" si="2"/>
        <v>-</v>
      </c>
      <c r="AV80" s="44"/>
    </row>
    <row r="81" spans="1:48" s="88" customFormat="1" ht="32.450000000000003" customHeight="1" x14ac:dyDescent="0.75">
      <c r="A81" s="76">
        <v>66</v>
      </c>
      <c r="B81" s="76">
        <v>58</v>
      </c>
      <c r="D81" s="88">
        <f>IFERROR(INDEX('[2]Account Group'!$A:$A,MATCH(G81,'[2]Account Group'!$B:$B,0)),"")</f>
        <v>7</v>
      </c>
      <c r="E81" s="88" t="str">
        <f>IFERROR(INDEX([3]Account!$A:$A,MATCH(H81,[3]Account!$D:$D,0)),"")</f>
        <v/>
      </c>
      <c r="F81" s="88">
        <f>INDEX('[4]Sub Account'!$A:$A,MATCH(I81,'[4]Sub Account'!$D:$D,0))</f>
        <v>219</v>
      </c>
      <c r="G81" s="77">
        <v>50</v>
      </c>
      <c r="H81" s="92" t="s">
        <v>101</v>
      </c>
      <c r="I81" s="93">
        <v>50041</v>
      </c>
      <c r="J81" s="198" t="s">
        <v>102</v>
      </c>
      <c r="K81" s="199"/>
      <c r="L81" s="124">
        <f t="shared" si="78"/>
        <v>0</v>
      </c>
      <c r="M81" s="123" t="str">
        <f t="shared" si="19"/>
        <v>-</v>
      </c>
      <c r="N81" s="124">
        <f t="shared" si="79"/>
        <v>0</v>
      </c>
      <c r="O81" s="125"/>
      <c r="P81" s="125"/>
      <c r="Q81" s="126"/>
      <c r="R81" s="124">
        <f t="shared" si="80"/>
        <v>0</v>
      </c>
      <c r="S81" s="125"/>
      <c r="T81" s="125"/>
      <c r="U81" s="126"/>
      <c r="V81" s="124">
        <f t="shared" si="81"/>
        <v>0</v>
      </c>
      <c r="W81" s="200"/>
      <c r="X81" s="200"/>
      <c r="Y81" s="201"/>
      <c r="Z81" s="124">
        <f t="shared" si="82"/>
        <v>0</v>
      </c>
      <c r="AA81" s="200"/>
      <c r="AB81" s="200"/>
      <c r="AC81" s="201"/>
      <c r="AD81" s="124">
        <f t="shared" si="83"/>
        <v>0</v>
      </c>
      <c r="AE81" s="125"/>
      <c r="AF81" s="125"/>
      <c r="AG81" s="126"/>
      <c r="AH81" s="124">
        <f t="shared" si="84"/>
        <v>0</v>
      </c>
      <c r="AI81" s="125"/>
      <c r="AJ81" s="125"/>
      <c r="AK81" s="126"/>
      <c r="AL81" s="124">
        <f t="shared" si="85"/>
        <v>0</v>
      </c>
      <c r="AM81" s="125"/>
      <c r="AN81" s="125"/>
      <c r="AO81" s="126"/>
      <c r="AP81" s="124">
        <f t="shared" si="86"/>
        <v>0</v>
      </c>
      <c r="AQ81" s="125"/>
      <c r="AR81" s="125"/>
      <c r="AS81" s="126"/>
      <c r="AT81" s="181"/>
      <c r="AU81" s="87" t="str">
        <f t="shared" si="2"/>
        <v>-</v>
      </c>
      <c r="AV81" s="44"/>
    </row>
    <row r="82" spans="1:48" s="193" customFormat="1" ht="32.450000000000003" customHeight="1" x14ac:dyDescent="0.75">
      <c r="A82" s="76">
        <v>67</v>
      </c>
      <c r="B82" s="76"/>
      <c r="C82" s="76" t="str">
        <f>IFERROR(INDEX([1]Entity!$A$2:$A$503,MATCH($J82,[1]Entity!$E$2:$E$503,0)),"")</f>
        <v/>
      </c>
      <c r="D82" s="88" t="str">
        <f>IFERROR(INDEX('[2]Account Group'!$A:$A,MATCH(G82,'[2]Account Group'!$B:$B,0)),"")</f>
        <v/>
      </c>
      <c r="E82" s="88" t="str">
        <f>IFERROR(INDEX([3]Account!$A:$A,MATCH(H82,[3]Account!$D:$D,0)),"")</f>
        <v/>
      </c>
      <c r="F82" s="88" t="e">
        <f>INDEX('[4]Sub Account'!$A:$A,MATCH(I82,'[4]Sub Account'!$D:$D,0))</f>
        <v>#N/A</v>
      </c>
      <c r="G82" s="182"/>
      <c r="H82" s="183"/>
      <c r="I82" s="184"/>
      <c r="J82" s="185" t="s">
        <v>103</v>
      </c>
      <c r="K82" s="107">
        <f>SUM(K83:K86)</f>
        <v>0</v>
      </c>
      <c r="L82" s="82">
        <f>SUM(L83:L86)</f>
        <v>0</v>
      </c>
      <c r="M82" s="186" t="str">
        <f t="shared" si="19"/>
        <v>-</v>
      </c>
      <c r="N82" s="82">
        <f>SUM(N83:N86)</f>
        <v>0</v>
      </c>
      <c r="O82" s="118">
        <f t="shared" ref="O82:AS82" si="87">SUM(O83:O86)</f>
        <v>0</v>
      </c>
      <c r="P82" s="118">
        <f t="shared" si="87"/>
        <v>0</v>
      </c>
      <c r="Q82" s="187">
        <f t="shared" si="87"/>
        <v>0</v>
      </c>
      <c r="R82" s="188">
        <f>SUM(R83:R86)</f>
        <v>0</v>
      </c>
      <c r="S82" s="189">
        <f>SUM(S83:S86)</f>
        <v>0</v>
      </c>
      <c r="T82" s="189">
        <f>SUM(T83:T86)</f>
        <v>0</v>
      </c>
      <c r="U82" s="190">
        <f>SUM(U83:U86)</f>
        <v>0</v>
      </c>
      <c r="V82" s="82">
        <f t="shared" si="87"/>
        <v>0</v>
      </c>
      <c r="W82" s="118">
        <f t="shared" si="87"/>
        <v>0</v>
      </c>
      <c r="X82" s="118">
        <f t="shared" si="87"/>
        <v>0</v>
      </c>
      <c r="Y82" s="187">
        <f t="shared" si="87"/>
        <v>0</v>
      </c>
      <c r="Z82" s="188">
        <f>SUM(Z83:Z86)</f>
        <v>0</v>
      </c>
      <c r="AA82" s="189">
        <f t="shared" si="87"/>
        <v>0</v>
      </c>
      <c r="AB82" s="189">
        <f t="shared" si="87"/>
        <v>0</v>
      </c>
      <c r="AC82" s="190">
        <f t="shared" si="87"/>
        <v>0</v>
      </c>
      <c r="AD82" s="82">
        <f t="shared" si="87"/>
        <v>0</v>
      </c>
      <c r="AE82" s="118">
        <f t="shared" si="87"/>
        <v>0</v>
      </c>
      <c r="AF82" s="118">
        <f t="shared" si="87"/>
        <v>0</v>
      </c>
      <c r="AG82" s="187">
        <f t="shared" si="87"/>
        <v>0</v>
      </c>
      <c r="AH82" s="188">
        <f t="shared" si="87"/>
        <v>0</v>
      </c>
      <c r="AI82" s="189">
        <f t="shared" si="87"/>
        <v>0</v>
      </c>
      <c r="AJ82" s="189">
        <f t="shared" si="87"/>
        <v>0</v>
      </c>
      <c r="AK82" s="190">
        <f t="shared" si="87"/>
        <v>0</v>
      </c>
      <c r="AL82" s="82">
        <f t="shared" si="87"/>
        <v>0</v>
      </c>
      <c r="AM82" s="118">
        <f t="shared" si="87"/>
        <v>0</v>
      </c>
      <c r="AN82" s="118">
        <f t="shared" si="87"/>
        <v>0</v>
      </c>
      <c r="AO82" s="187">
        <f t="shared" si="87"/>
        <v>0</v>
      </c>
      <c r="AP82" s="188">
        <f t="shared" si="87"/>
        <v>0</v>
      </c>
      <c r="AQ82" s="189">
        <f t="shared" si="87"/>
        <v>0</v>
      </c>
      <c r="AR82" s="189">
        <f t="shared" si="87"/>
        <v>0</v>
      </c>
      <c r="AS82" s="190">
        <f t="shared" si="87"/>
        <v>0</v>
      </c>
      <c r="AT82" s="191"/>
      <c r="AU82" s="192" t="str">
        <f t="shared" si="2"/>
        <v>-</v>
      </c>
      <c r="AV82" s="44"/>
    </row>
    <row r="83" spans="1:48" s="88" customFormat="1" ht="32.450000000000003" customHeight="1" x14ac:dyDescent="0.75">
      <c r="A83" s="76">
        <v>68</v>
      </c>
      <c r="B83" s="76">
        <v>58</v>
      </c>
      <c r="D83" s="88">
        <f>IFERROR(INDEX('[2]Account Group'!$A:$A,MATCH(G83,'[2]Account Group'!$B:$B,0)),"")</f>
        <v>23</v>
      </c>
      <c r="E83" s="88">
        <f>IFERROR(INDEX([3]Account!$A:$A,MATCH(H83,[3]Account!$D:$D,0)),"")</f>
        <v>124</v>
      </c>
      <c r="F83" s="88">
        <f>INDEX('[4]Sub Account'!$A:$A,MATCH(I83,'[4]Sub Account'!$D:$D,0))</f>
        <v>478</v>
      </c>
      <c r="G83" s="77">
        <v>75</v>
      </c>
      <c r="H83" s="78">
        <v>7514</v>
      </c>
      <c r="I83" s="79">
        <v>75141</v>
      </c>
      <c r="J83" s="80" t="s">
        <v>97</v>
      </c>
      <c r="K83" s="81"/>
      <c r="L83" s="82">
        <f t="shared" ref="L83:L86" si="88">N83+V83+AD83+AL83</f>
        <v>0</v>
      </c>
      <c r="M83" s="83" t="str">
        <f t="shared" si="19"/>
        <v>-</v>
      </c>
      <c r="N83" s="82">
        <f>SUM(O83:Q83)</f>
        <v>0</v>
      </c>
      <c r="O83" s="84"/>
      <c r="P83" s="84"/>
      <c r="Q83" s="85"/>
      <c r="R83" s="82">
        <f>SUM(S83:U83)</f>
        <v>0</v>
      </c>
      <c r="S83" s="84"/>
      <c r="T83" s="84"/>
      <c r="U83" s="85"/>
      <c r="V83" s="82">
        <f t="shared" ref="V83:V89" si="89">SUM(W83:Y83)</f>
        <v>0</v>
      </c>
      <c r="W83" s="84"/>
      <c r="X83" s="84"/>
      <c r="Y83" s="85"/>
      <c r="Z83" s="82">
        <f>SUM(AA83:AC83)</f>
        <v>0</v>
      </c>
      <c r="AA83" s="84"/>
      <c r="AB83" s="84"/>
      <c r="AC83" s="85"/>
      <c r="AD83" s="82">
        <f t="shared" ref="AD83:AD89" si="90">SUM(AE83:AG83)</f>
        <v>0</v>
      </c>
      <c r="AE83" s="84"/>
      <c r="AF83" s="84"/>
      <c r="AG83" s="85"/>
      <c r="AH83" s="82">
        <f>SUM(AI83:AK83)</f>
        <v>0</v>
      </c>
      <c r="AI83" s="84"/>
      <c r="AJ83" s="84"/>
      <c r="AK83" s="85"/>
      <c r="AL83" s="82">
        <f>SUM(AM83:AO83)</f>
        <v>0</v>
      </c>
      <c r="AM83" s="194"/>
      <c r="AN83" s="194"/>
      <c r="AO83" s="195"/>
      <c r="AP83" s="82">
        <f>SUM(AQ83:AS83)</f>
        <v>0</v>
      </c>
      <c r="AQ83" s="84"/>
      <c r="AR83" s="84"/>
      <c r="AS83" s="85"/>
      <c r="AT83" s="181"/>
      <c r="AU83" s="87" t="str">
        <f t="shared" si="2"/>
        <v>-</v>
      </c>
      <c r="AV83" s="44"/>
    </row>
    <row r="84" spans="1:48" s="88" customFormat="1" ht="32.450000000000003" customHeight="1" x14ac:dyDescent="0.75">
      <c r="A84" s="76">
        <v>69</v>
      </c>
      <c r="B84" s="76">
        <v>58</v>
      </c>
      <c r="D84" s="88">
        <f>IFERROR(INDEX('[2]Account Group'!$A:$A,MATCH(G84,'[2]Account Group'!$B:$B,0)),"")</f>
        <v>23</v>
      </c>
      <c r="E84" s="88">
        <f>IFERROR(INDEX([3]Account!$A:$A,MATCH(H84,[3]Account!$D:$D,0)),"")</f>
        <v>124</v>
      </c>
      <c r="F84" s="88">
        <f>INDEX('[4]Sub Account'!$A:$A,MATCH(I84,'[4]Sub Account'!$D:$D,0))</f>
        <v>479</v>
      </c>
      <c r="G84" s="359">
        <v>75</v>
      </c>
      <c r="H84" s="354">
        <v>7514</v>
      </c>
      <c r="I84" s="79">
        <v>75142</v>
      </c>
      <c r="J84" s="80" t="s">
        <v>104</v>
      </c>
      <c r="K84" s="81"/>
      <c r="L84" s="82">
        <f t="shared" si="88"/>
        <v>0</v>
      </c>
      <c r="M84" s="83" t="str">
        <f t="shared" si="19"/>
        <v>-</v>
      </c>
      <c r="N84" s="82">
        <f>SUM(O84:Q84)</f>
        <v>0</v>
      </c>
      <c r="O84" s="194"/>
      <c r="P84" s="194"/>
      <c r="Q84" s="195"/>
      <c r="R84" s="82">
        <f>SUM(S84:U84)</f>
        <v>0</v>
      </c>
      <c r="S84" s="84"/>
      <c r="T84" s="84"/>
      <c r="U84" s="85"/>
      <c r="V84" s="82">
        <f t="shared" si="89"/>
        <v>0</v>
      </c>
      <c r="W84" s="194"/>
      <c r="X84" s="194"/>
      <c r="Y84" s="195"/>
      <c r="Z84" s="82">
        <f>SUM(AA84:AC84)</f>
        <v>0</v>
      </c>
      <c r="AA84" s="84"/>
      <c r="AB84" s="84"/>
      <c r="AC84" s="85"/>
      <c r="AD84" s="82">
        <f t="shared" si="90"/>
        <v>0</v>
      </c>
      <c r="AE84" s="194"/>
      <c r="AF84" s="194"/>
      <c r="AG84" s="195"/>
      <c r="AH84" s="82">
        <f>SUM(AI84:AK84)</f>
        <v>0</v>
      </c>
      <c r="AI84" s="84"/>
      <c r="AJ84" s="84"/>
      <c r="AK84" s="85"/>
      <c r="AL84" s="82">
        <f>SUM(AM84:AO84)</f>
        <v>0</v>
      </c>
      <c r="AM84" s="194"/>
      <c r="AN84" s="194"/>
      <c r="AO84" s="195"/>
      <c r="AP84" s="82">
        <f>SUM(AQ84:AS84)</f>
        <v>0</v>
      </c>
      <c r="AQ84" s="84"/>
      <c r="AR84" s="84"/>
      <c r="AS84" s="85"/>
      <c r="AT84" s="181"/>
      <c r="AU84" s="87" t="str">
        <f t="shared" si="2"/>
        <v>-</v>
      </c>
      <c r="AV84" s="44"/>
    </row>
    <row r="85" spans="1:48" s="88" customFormat="1" ht="32.450000000000003" customHeight="1" x14ac:dyDescent="0.75">
      <c r="A85" s="76">
        <v>70</v>
      </c>
      <c r="B85" s="76">
        <v>58</v>
      </c>
      <c r="D85" s="88">
        <f>IFERROR(INDEX('[2]Account Group'!$A:$A,MATCH(G85,'[2]Account Group'!$B:$B,0)),"")</f>
        <v>7</v>
      </c>
      <c r="E85" s="88">
        <f>IFERROR(INDEX([3]Account!$A:$A,MATCH(H85,[3]Account!$D:$D,0)),"")</f>
        <v>22</v>
      </c>
      <c r="F85" s="88">
        <f>INDEX('[4]Sub Account'!$A:$A,MATCH(I85,'[4]Sub Account'!$D:$D,0))</f>
        <v>217</v>
      </c>
      <c r="G85" s="359">
        <v>50</v>
      </c>
      <c r="H85" s="355">
        <v>5002</v>
      </c>
      <c r="I85" s="105">
        <v>50021</v>
      </c>
      <c r="J85" s="106" t="s">
        <v>99</v>
      </c>
      <c r="K85" s="202"/>
      <c r="L85" s="82">
        <f t="shared" si="88"/>
        <v>0</v>
      </c>
      <c r="M85" s="83" t="str">
        <f>IFERROR(L85/K85, "-")</f>
        <v>-</v>
      </c>
      <c r="N85" s="82">
        <f>SUM(O85:Q85)</f>
        <v>0</v>
      </c>
      <c r="O85" s="194"/>
      <c r="P85" s="84"/>
      <c r="Q85" s="85"/>
      <c r="R85" s="82">
        <f>SUM(S85:U85)</f>
        <v>0</v>
      </c>
      <c r="S85" s="84"/>
      <c r="T85" s="84"/>
      <c r="U85" s="85"/>
      <c r="V85" s="82">
        <f t="shared" si="89"/>
        <v>0</v>
      </c>
      <c r="W85" s="194"/>
      <c r="X85" s="194"/>
      <c r="Y85" s="195"/>
      <c r="Z85" s="82">
        <f>SUM(AA85:AC85)</f>
        <v>0</v>
      </c>
      <c r="AA85" s="84"/>
      <c r="AB85" s="84"/>
      <c r="AC85" s="85"/>
      <c r="AD85" s="82">
        <f t="shared" si="90"/>
        <v>0</v>
      </c>
      <c r="AE85" s="194"/>
      <c r="AF85" s="194"/>
      <c r="AG85" s="195"/>
      <c r="AH85" s="82">
        <f>SUM(AI85:AK85)</f>
        <v>0</v>
      </c>
      <c r="AI85" s="84"/>
      <c r="AJ85" s="84"/>
      <c r="AK85" s="85"/>
      <c r="AL85" s="82">
        <f>SUM(AM85:AO85)</f>
        <v>0</v>
      </c>
      <c r="AM85" s="194"/>
      <c r="AN85" s="194"/>
      <c r="AO85" s="195"/>
      <c r="AP85" s="82">
        <f>SUM(AQ85:AS85)</f>
        <v>0</v>
      </c>
      <c r="AQ85" s="84"/>
      <c r="AR85" s="84"/>
      <c r="AS85" s="85"/>
      <c r="AT85" s="181"/>
      <c r="AU85" s="87" t="str">
        <f t="shared" si="2"/>
        <v>-</v>
      </c>
      <c r="AV85" s="44"/>
    </row>
    <row r="86" spans="1:48" s="88" customFormat="1" ht="32.450000000000003" customHeight="1" thickBot="1" x14ac:dyDescent="0.9">
      <c r="A86" s="76">
        <v>71</v>
      </c>
      <c r="B86" s="76">
        <v>58</v>
      </c>
      <c r="D86" s="88">
        <f>IFERROR(INDEX('[2]Account Group'!$A:$A,MATCH(G86,'[2]Account Group'!$B:$B,0)),"")</f>
        <v>7</v>
      </c>
      <c r="E86" s="88">
        <f>IFERROR(INDEX([3]Account!$A:$A,MATCH(H86,[3]Account!$D:$D,0)),"")</f>
        <v>22</v>
      </c>
      <c r="F86" s="88">
        <f>INDEX('[4]Sub Account'!$A:$A,MATCH(I86,'[4]Sub Account'!$D:$D,0))</f>
        <v>218</v>
      </c>
      <c r="G86" s="203">
        <v>50</v>
      </c>
      <c r="H86" s="204">
        <v>5002</v>
      </c>
      <c r="I86" s="205">
        <v>50022</v>
      </c>
      <c r="J86" s="206" t="s">
        <v>100</v>
      </c>
      <c r="K86" s="207"/>
      <c r="L86" s="208">
        <f t="shared" si="88"/>
        <v>0</v>
      </c>
      <c r="M86" s="209" t="str">
        <f t="shared" si="19"/>
        <v>-</v>
      </c>
      <c r="N86" s="208">
        <f>SUM(O86:Q86)</f>
        <v>0</v>
      </c>
      <c r="O86" s="210"/>
      <c r="P86" s="210"/>
      <c r="Q86" s="211"/>
      <c r="R86" s="208">
        <f>SUM(S86:U86)</f>
        <v>0</v>
      </c>
      <c r="S86" s="210"/>
      <c r="T86" s="210"/>
      <c r="U86" s="211"/>
      <c r="V86" s="208">
        <f t="shared" si="89"/>
        <v>0</v>
      </c>
      <c r="W86" s="210"/>
      <c r="X86" s="210"/>
      <c r="Y86" s="211"/>
      <c r="Z86" s="208">
        <f>SUM(AA86:AC86)</f>
        <v>0</v>
      </c>
      <c r="AA86" s="210"/>
      <c r="AB86" s="210"/>
      <c r="AC86" s="211"/>
      <c r="AD86" s="208">
        <f t="shared" si="90"/>
        <v>0</v>
      </c>
      <c r="AE86" s="210"/>
      <c r="AF86" s="210"/>
      <c r="AG86" s="211"/>
      <c r="AH86" s="208">
        <f>SUM(AI86:AK86)</f>
        <v>0</v>
      </c>
      <c r="AI86" s="210"/>
      <c r="AJ86" s="210"/>
      <c r="AK86" s="211"/>
      <c r="AL86" s="208">
        <f>SUM(AM86:AO86)</f>
        <v>0</v>
      </c>
      <c r="AM86" s="212"/>
      <c r="AN86" s="212"/>
      <c r="AO86" s="213"/>
      <c r="AP86" s="208">
        <f>SUM(AQ86:AS86)</f>
        <v>0</v>
      </c>
      <c r="AQ86" s="210"/>
      <c r="AR86" s="210"/>
      <c r="AS86" s="211"/>
      <c r="AT86" s="214"/>
      <c r="AU86" s="87" t="str">
        <f t="shared" si="2"/>
        <v>-</v>
      </c>
      <c r="AV86" s="44"/>
    </row>
    <row r="87" spans="1:48" s="76" customFormat="1" ht="28.5" customHeight="1" x14ac:dyDescent="0.75">
      <c r="A87" s="76">
        <v>72</v>
      </c>
      <c r="C87" s="76">
        <v>28</v>
      </c>
      <c r="D87" s="88" t="str">
        <f>IFERROR(INDEX('[2]Account Group'!$A:$A,MATCH(G87,'[2]Account Group'!$B:$B,0)),"")</f>
        <v/>
      </c>
      <c r="E87" s="88" t="str">
        <f>IFERROR(INDEX([3]Account!$A:$A,MATCH(H87,[3]Account!$D:$D,0)),"")</f>
        <v/>
      </c>
      <c r="F87" s="88" t="e">
        <f>INDEX('[4]Sub Account'!$A:$A,MATCH(I87,'[4]Sub Account'!$D:$D,0))</f>
        <v>#N/A</v>
      </c>
      <c r="G87" s="215"/>
      <c r="H87" s="216"/>
      <c r="I87" s="217"/>
      <c r="J87" s="218" t="s">
        <v>105</v>
      </c>
      <c r="K87" s="219">
        <f>SUM(K88:K91)</f>
        <v>0</v>
      </c>
      <c r="L87" s="220">
        <f>SUM(L88:L91)</f>
        <v>0</v>
      </c>
      <c r="M87" s="221" t="str">
        <f>IFERROR(L87/K87, "-")</f>
        <v>-</v>
      </c>
      <c r="N87" s="220">
        <f t="shared" ref="N87:AS87" si="91">SUM(N88:N91)</f>
        <v>0</v>
      </c>
      <c r="O87" s="222">
        <f t="shared" si="91"/>
        <v>0</v>
      </c>
      <c r="P87" s="222">
        <f t="shared" si="91"/>
        <v>0</v>
      </c>
      <c r="Q87" s="223">
        <f t="shared" si="91"/>
        <v>0</v>
      </c>
      <c r="R87" s="220">
        <f t="shared" si="91"/>
        <v>0</v>
      </c>
      <c r="S87" s="222">
        <f t="shared" si="91"/>
        <v>0</v>
      </c>
      <c r="T87" s="222">
        <f t="shared" si="91"/>
        <v>0</v>
      </c>
      <c r="U87" s="223">
        <f t="shared" si="91"/>
        <v>0</v>
      </c>
      <c r="V87" s="220">
        <f t="shared" si="91"/>
        <v>0</v>
      </c>
      <c r="W87" s="222">
        <f t="shared" si="91"/>
        <v>0</v>
      </c>
      <c r="X87" s="222">
        <f t="shared" si="91"/>
        <v>0</v>
      </c>
      <c r="Y87" s="223">
        <f t="shared" si="91"/>
        <v>0</v>
      </c>
      <c r="Z87" s="220">
        <f t="shared" si="91"/>
        <v>0</v>
      </c>
      <c r="AA87" s="222">
        <f t="shared" si="91"/>
        <v>0</v>
      </c>
      <c r="AB87" s="222">
        <f t="shared" si="91"/>
        <v>0</v>
      </c>
      <c r="AC87" s="223">
        <f t="shared" si="91"/>
        <v>0</v>
      </c>
      <c r="AD87" s="220">
        <f t="shared" si="91"/>
        <v>0</v>
      </c>
      <c r="AE87" s="222">
        <f t="shared" si="91"/>
        <v>0</v>
      </c>
      <c r="AF87" s="222">
        <f t="shared" si="91"/>
        <v>0</v>
      </c>
      <c r="AG87" s="223">
        <f t="shared" si="91"/>
        <v>0</v>
      </c>
      <c r="AH87" s="220">
        <f t="shared" si="91"/>
        <v>0</v>
      </c>
      <c r="AI87" s="222">
        <f t="shared" si="91"/>
        <v>0</v>
      </c>
      <c r="AJ87" s="222">
        <f t="shared" si="91"/>
        <v>0</v>
      </c>
      <c r="AK87" s="223">
        <f t="shared" si="91"/>
        <v>0</v>
      </c>
      <c r="AL87" s="220">
        <f t="shared" si="91"/>
        <v>0</v>
      </c>
      <c r="AM87" s="222">
        <f t="shared" si="91"/>
        <v>0</v>
      </c>
      <c r="AN87" s="222">
        <f t="shared" si="91"/>
        <v>0</v>
      </c>
      <c r="AO87" s="223">
        <f t="shared" si="91"/>
        <v>0</v>
      </c>
      <c r="AP87" s="220">
        <f t="shared" si="91"/>
        <v>0</v>
      </c>
      <c r="AQ87" s="222">
        <f t="shared" si="91"/>
        <v>0</v>
      </c>
      <c r="AR87" s="222">
        <f t="shared" si="91"/>
        <v>0</v>
      </c>
      <c r="AS87" s="223">
        <f t="shared" si="91"/>
        <v>0</v>
      </c>
      <c r="AT87" s="224"/>
      <c r="AU87" s="75" t="str">
        <f t="shared" si="2"/>
        <v>-</v>
      </c>
      <c r="AV87" s="44"/>
    </row>
    <row r="88" spans="1:48" s="88" customFormat="1" ht="29.25" customHeight="1" x14ac:dyDescent="0.75">
      <c r="A88" s="76">
        <v>73</v>
      </c>
      <c r="B88" s="76">
        <v>72</v>
      </c>
      <c r="D88" s="88">
        <f>IFERROR(INDEX('[2]Account Group'!$A:$A,MATCH(G88,'[2]Account Group'!$B:$B,0)),"")</f>
        <v>21</v>
      </c>
      <c r="E88" s="88">
        <f>IFERROR(INDEX([3]Account!$A:$A,MATCH(H88,[3]Account!$D:$D,0)),"")</f>
        <v>104</v>
      </c>
      <c r="F88" s="88">
        <f>INDEX('[4]Sub Account'!$A:$A,MATCH(I88,'[4]Sub Account'!$D:$D,0))</f>
        <v>468</v>
      </c>
      <c r="G88" s="359">
        <v>73</v>
      </c>
      <c r="H88" s="354">
        <v>7302</v>
      </c>
      <c r="I88" s="79">
        <v>73023</v>
      </c>
      <c r="J88" s="80" t="s">
        <v>83</v>
      </c>
      <c r="K88" s="81"/>
      <c r="L88" s="225">
        <f t="shared" ref="L88:L91" si="92">N88+V88+AD88+AL88</f>
        <v>0</v>
      </c>
      <c r="M88" s="83" t="str">
        <f>IFERROR(L88/K88, "-")</f>
        <v>-</v>
      </c>
      <c r="N88" s="225">
        <f>SUM(O88:Q88)</f>
        <v>0</v>
      </c>
      <c r="O88" s="194"/>
      <c r="P88" s="194"/>
      <c r="Q88" s="195"/>
      <c r="R88" s="225">
        <f>SUM(S88:U88)</f>
        <v>0</v>
      </c>
      <c r="S88" s="194">
        <f>'By Pro.'!M13</f>
        <v>0</v>
      </c>
      <c r="T88" s="194">
        <f>'By Pro.'!N13</f>
        <v>0</v>
      </c>
      <c r="U88" s="195">
        <f>'By Pro.'!O13</f>
        <v>0</v>
      </c>
      <c r="V88" s="225">
        <f>SUM(W88:Y88)</f>
        <v>0</v>
      </c>
      <c r="W88" s="194"/>
      <c r="X88" s="194"/>
      <c r="Y88" s="195"/>
      <c r="Z88" s="225">
        <f>SUM(AA88:AC88)</f>
        <v>0</v>
      </c>
      <c r="AA88" s="194">
        <f>'By Pro.'!U13</f>
        <v>0</v>
      </c>
      <c r="AB88" s="194">
        <f>'By Pro.'!V13</f>
        <v>0</v>
      </c>
      <c r="AC88" s="195">
        <f>'By Pro.'!W13</f>
        <v>0</v>
      </c>
      <c r="AD88" s="225">
        <f>SUM(AE88:AG88)</f>
        <v>0</v>
      </c>
      <c r="AE88" s="194"/>
      <c r="AF88" s="194"/>
      <c r="AG88" s="195"/>
      <c r="AH88" s="225">
        <f>SUM(AI88:AK88)</f>
        <v>0</v>
      </c>
      <c r="AI88" s="194">
        <f>'By Pro.'!AC13</f>
        <v>0</v>
      </c>
      <c r="AJ88" s="194">
        <f>'By Pro.'!AD13</f>
        <v>0</v>
      </c>
      <c r="AK88" s="195">
        <f>'By Pro.'!AE13</f>
        <v>0</v>
      </c>
      <c r="AL88" s="225">
        <f>SUM(AM88:AO88)</f>
        <v>0</v>
      </c>
      <c r="AM88" s="194"/>
      <c r="AN88" s="194"/>
      <c r="AO88" s="195"/>
      <c r="AP88" s="225">
        <f>SUM(AQ88:AS88)</f>
        <v>0</v>
      </c>
      <c r="AQ88" s="194">
        <f>'By Pro.'!AK13</f>
        <v>0</v>
      </c>
      <c r="AR88" s="194">
        <f>'By Pro.'!AL13</f>
        <v>0</v>
      </c>
      <c r="AS88" s="195">
        <f>'By Pro.'!AM13</f>
        <v>0</v>
      </c>
      <c r="AT88" s="226"/>
      <c r="AU88" s="87" t="str">
        <f t="shared" si="2"/>
        <v>-</v>
      </c>
      <c r="AV88" s="44"/>
    </row>
    <row r="89" spans="1:48" s="88" customFormat="1" ht="29.25" customHeight="1" x14ac:dyDescent="0.75">
      <c r="A89" s="76">
        <v>74</v>
      </c>
      <c r="B89" s="76">
        <v>72</v>
      </c>
      <c r="D89" s="88">
        <f>IFERROR(INDEX('[2]Account Group'!$A:$A,MATCH(G89,'[2]Account Group'!$B:$B,0)),"")</f>
        <v>21</v>
      </c>
      <c r="E89" s="88">
        <f>IFERROR(INDEX([3]Account!$A:$A,MATCH(H89,[3]Account!$D:$D,0)),"")</f>
        <v>107</v>
      </c>
      <c r="F89" s="88">
        <f>INDEX('[4]Sub Account'!$A:$A,MATCH(I89,'[4]Sub Account'!$D:$D,0))</f>
        <v>473</v>
      </c>
      <c r="G89" s="360">
        <v>73</v>
      </c>
      <c r="H89" s="355">
        <v>7306</v>
      </c>
      <c r="I89" s="105">
        <v>73066</v>
      </c>
      <c r="J89" s="106" t="s">
        <v>70</v>
      </c>
      <c r="K89" s="202"/>
      <c r="L89" s="227">
        <f t="shared" si="92"/>
        <v>0</v>
      </c>
      <c r="M89" s="228" t="str">
        <f>IFERROR(L89/K89, "-")</f>
        <v>-</v>
      </c>
      <c r="N89" s="227">
        <f>SUM(O89:Q89)</f>
        <v>0</v>
      </c>
      <c r="O89" s="177"/>
      <c r="P89" s="177"/>
      <c r="Q89" s="178"/>
      <c r="R89" s="227">
        <f>SUM(S89:U89)</f>
        <v>0</v>
      </c>
      <c r="S89" s="177">
        <f>'By Pro.'!M14</f>
        <v>0</v>
      </c>
      <c r="T89" s="177">
        <f>'By Pro.'!N14</f>
        <v>0</v>
      </c>
      <c r="U89" s="178">
        <f>'By Pro.'!O14</f>
        <v>0</v>
      </c>
      <c r="V89" s="227">
        <f t="shared" si="89"/>
        <v>0</v>
      </c>
      <c r="W89" s="177"/>
      <c r="X89" s="177"/>
      <c r="Y89" s="178"/>
      <c r="Z89" s="227">
        <f>SUM(AA89:AC89)</f>
        <v>0</v>
      </c>
      <c r="AA89" s="177">
        <f>'By Pro.'!U14</f>
        <v>0</v>
      </c>
      <c r="AB89" s="177">
        <f>'By Pro.'!V14</f>
        <v>0</v>
      </c>
      <c r="AC89" s="178">
        <f>'By Pro.'!W14</f>
        <v>0</v>
      </c>
      <c r="AD89" s="227">
        <f t="shared" si="90"/>
        <v>0</v>
      </c>
      <c r="AE89" s="177"/>
      <c r="AF89" s="177"/>
      <c r="AG89" s="178"/>
      <c r="AH89" s="227">
        <f>SUM(AI89:AK89)</f>
        <v>0</v>
      </c>
      <c r="AI89" s="177">
        <f>'By Pro.'!AC14</f>
        <v>0</v>
      </c>
      <c r="AJ89" s="177">
        <f>'By Pro.'!AD14</f>
        <v>0</v>
      </c>
      <c r="AK89" s="178">
        <f>'By Pro.'!AE14</f>
        <v>0</v>
      </c>
      <c r="AL89" s="227">
        <f>SUM(AM89:AO89)</f>
        <v>0</v>
      </c>
      <c r="AM89" s="177"/>
      <c r="AN89" s="177"/>
      <c r="AO89" s="178"/>
      <c r="AP89" s="227">
        <f>SUM(AQ89:AS89)</f>
        <v>0</v>
      </c>
      <c r="AQ89" s="177">
        <f>'By Pro.'!AK14</f>
        <v>0</v>
      </c>
      <c r="AR89" s="177">
        <f>'By Pro.'!AL14</f>
        <v>0</v>
      </c>
      <c r="AS89" s="178">
        <f>'By Pro.'!AM14</f>
        <v>0</v>
      </c>
      <c r="AT89" s="229"/>
      <c r="AU89" s="87" t="str">
        <f t="shared" si="2"/>
        <v>-</v>
      </c>
      <c r="AV89" s="44"/>
    </row>
    <row r="90" spans="1:48" s="233" customFormat="1" ht="29.25" customHeight="1" x14ac:dyDescent="0.75">
      <c r="A90" s="76">
        <v>75</v>
      </c>
      <c r="B90" s="76">
        <v>72</v>
      </c>
      <c r="D90" s="88">
        <f>IFERROR(INDEX('[2]Account Group'!$A:$A,MATCH(G90,'[2]Account Group'!$B:$B,0)),"")</f>
        <v>21</v>
      </c>
      <c r="E90" s="88">
        <f>IFERROR(INDEX([3]Account!$A:$A,MATCH(H90,[3]Account!$D:$D,0)),"")</f>
        <v>108</v>
      </c>
      <c r="F90" s="88">
        <f>INDEX('[4]Sub Account'!$A:$A,MATCH(I90,'[4]Sub Account'!$D:$D,0))</f>
        <v>480</v>
      </c>
      <c r="G90" s="359">
        <v>73</v>
      </c>
      <c r="H90" s="354">
        <v>7307</v>
      </c>
      <c r="I90" s="79">
        <v>73071</v>
      </c>
      <c r="J90" s="80" t="s">
        <v>107</v>
      </c>
      <c r="K90" s="81"/>
      <c r="L90" s="225">
        <f t="shared" si="92"/>
        <v>0</v>
      </c>
      <c r="M90" s="83" t="str">
        <f>IFERROR(L90/K90, "-")</f>
        <v>-</v>
      </c>
      <c r="N90" s="225">
        <f>SUM(O90:Q90)</f>
        <v>0</v>
      </c>
      <c r="O90" s="194"/>
      <c r="P90" s="194"/>
      <c r="Q90" s="195"/>
      <c r="R90" s="225">
        <f>SUM(S90:U90)</f>
        <v>0</v>
      </c>
      <c r="S90" s="194">
        <f>'By Pro.'!M15</f>
        <v>0</v>
      </c>
      <c r="T90" s="194">
        <f>'By Pro.'!N15</f>
        <v>0</v>
      </c>
      <c r="U90" s="195">
        <f>'By Pro.'!O15</f>
        <v>0</v>
      </c>
      <c r="V90" s="225">
        <f>SUM(W90:Y90)</f>
        <v>0</v>
      </c>
      <c r="W90" s="194"/>
      <c r="X90" s="194"/>
      <c r="Y90" s="195"/>
      <c r="Z90" s="225">
        <f>SUM(AA90:AC90)</f>
        <v>0</v>
      </c>
      <c r="AA90" s="194">
        <f>'By Pro.'!U15</f>
        <v>0</v>
      </c>
      <c r="AB90" s="194">
        <f>'By Pro.'!V15</f>
        <v>0</v>
      </c>
      <c r="AC90" s="195">
        <f>'By Pro.'!W15</f>
        <v>0</v>
      </c>
      <c r="AD90" s="225">
        <f>SUM(AE90:AG90)</f>
        <v>0</v>
      </c>
      <c r="AE90" s="194"/>
      <c r="AF90" s="194"/>
      <c r="AG90" s="195"/>
      <c r="AH90" s="225">
        <f>SUM(AI90:AK90)</f>
        <v>0</v>
      </c>
      <c r="AI90" s="194">
        <f>'By Pro.'!AC15</f>
        <v>0</v>
      </c>
      <c r="AJ90" s="194">
        <f>'By Pro.'!AD15</f>
        <v>0</v>
      </c>
      <c r="AK90" s="195">
        <f>'By Pro.'!AE15</f>
        <v>0</v>
      </c>
      <c r="AL90" s="225">
        <f>SUM(AM90:AO90)</f>
        <v>0</v>
      </c>
      <c r="AM90" s="194"/>
      <c r="AN90" s="194"/>
      <c r="AO90" s="195"/>
      <c r="AP90" s="225">
        <f>SUM(AQ90:AS90)</f>
        <v>0</v>
      </c>
      <c r="AQ90" s="194">
        <f>'By Pro.'!AK15</f>
        <v>0</v>
      </c>
      <c r="AR90" s="194">
        <f>'By Pro.'!AL15</f>
        <v>0</v>
      </c>
      <c r="AS90" s="195">
        <f>'By Pro.'!AM15</f>
        <v>0</v>
      </c>
      <c r="AT90" s="230"/>
      <c r="AU90" s="231" t="str">
        <f t="shared" ref="AU90:AU91" si="93">IF(SUM(K90:L90)&lt;&gt;0, "OK", "-")</f>
        <v>-</v>
      </c>
      <c r="AV90" s="232"/>
    </row>
    <row r="91" spans="1:48" s="88" customFormat="1" ht="29.25" customHeight="1" thickBot="1" x14ac:dyDescent="0.9">
      <c r="A91" s="76">
        <v>76</v>
      </c>
      <c r="B91" s="76">
        <v>72</v>
      </c>
      <c r="D91" s="88">
        <f>IFERROR(INDEX('[2]Account Group'!$A:$A,MATCH(G91,'[2]Account Group'!$B:$B,0)),"")</f>
        <v>21</v>
      </c>
      <c r="E91" s="88">
        <f>IFERROR(INDEX([3]Account!$A:$A,MATCH(H91,[3]Account!$D:$D,0)),"")</f>
        <v>108</v>
      </c>
      <c r="F91" s="88">
        <f>INDEX('[4]Sub Account'!$A:$A,MATCH(I91,'[4]Sub Account'!$D:$D,0))</f>
        <v>481</v>
      </c>
      <c r="G91" s="363">
        <v>73</v>
      </c>
      <c r="H91" s="358">
        <v>7307</v>
      </c>
      <c r="I91" s="234">
        <v>73072</v>
      </c>
      <c r="J91" s="235" t="s">
        <v>108</v>
      </c>
      <c r="K91" s="236"/>
      <c r="L91" s="237">
        <f t="shared" si="92"/>
        <v>0</v>
      </c>
      <c r="M91" s="238" t="str">
        <f>IFERROR(L91/K91, "-")</f>
        <v>-</v>
      </c>
      <c r="N91" s="237">
        <f>SUM(O91:Q91)</f>
        <v>0</v>
      </c>
      <c r="O91" s="239"/>
      <c r="P91" s="239"/>
      <c r="Q91" s="240"/>
      <c r="R91" s="237">
        <f>SUM(S91:U91)</f>
        <v>0</v>
      </c>
      <c r="S91" s="239">
        <f>'By Pro.'!M16</f>
        <v>0</v>
      </c>
      <c r="T91" s="239">
        <f>'By Pro.'!N16</f>
        <v>0</v>
      </c>
      <c r="U91" s="240">
        <f>'By Pro.'!O16</f>
        <v>0</v>
      </c>
      <c r="V91" s="237">
        <f t="shared" ref="V91" si="94">SUM(W91:Y91)</f>
        <v>0</v>
      </c>
      <c r="W91" s="239"/>
      <c r="X91" s="239"/>
      <c r="Y91" s="240"/>
      <c r="Z91" s="237">
        <f>SUM(AA91:AC91)</f>
        <v>0</v>
      </c>
      <c r="AA91" s="239">
        <f>'By Pro.'!U16</f>
        <v>0</v>
      </c>
      <c r="AB91" s="239">
        <f>'By Pro.'!V16</f>
        <v>0</v>
      </c>
      <c r="AC91" s="240">
        <f>'By Pro.'!W16</f>
        <v>0</v>
      </c>
      <c r="AD91" s="237">
        <f t="shared" ref="AD91" si="95">SUM(AE91:AG91)</f>
        <v>0</v>
      </c>
      <c r="AE91" s="239"/>
      <c r="AF91" s="239"/>
      <c r="AG91" s="240"/>
      <c r="AH91" s="237">
        <f>SUM(AI91:AK91)</f>
        <v>0</v>
      </c>
      <c r="AI91" s="239">
        <f>'By Pro.'!AC16</f>
        <v>0</v>
      </c>
      <c r="AJ91" s="239">
        <f>'By Pro.'!AD16</f>
        <v>0</v>
      </c>
      <c r="AK91" s="240">
        <f>'By Pro.'!AE16</f>
        <v>0</v>
      </c>
      <c r="AL91" s="237">
        <f>SUM(AM91:AO91)</f>
        <v>0</v>
      </c>
      <c r="AM91" s="239"/>
      <c r="AN91" s="239"/>
      <c r="AO91" s="240"/>
      <c r="AP91" s="237">
        <f>SUM(AQ91:AS91)</f>
        <v>0</v>
      </c>
      <c r="AQ91" s="239">
        <f>'By Pro.'!AK16</f>
        <v>0</v>
      </c>
      <c r="AR91" s="239">
        <f>'By Pro.'!AL16</f>
        <v>0</v>
      </c>
      <c r="AS91" s="240">
        <f>'By Pro.'!AM16</f>
        <v>0</v>
      </c>
      <c r="AT91" s="241"/>
      <c r="AU91" s="87" t="str">
        <f t="shared" si="93"/>
        <v>-</v>
      </c>
      <c r="AV91" s="44"/>
    </row>
    <row r="92" spans="1:48" ht="24.75" customHeight="1" x14ac:dyDescent="0.75"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  <c r="AP92" s="242"/>
      <c r="AQ92" s="242"/>
      <c r="AR92" s="242"/>
      <c r="AS92" s="242"/>
    </row>
    <row r="93" spans="1:48" ht="24.75" customHeight="1" x14ac:dyDescent="0.75"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/>
      <c r="AP93" s="242"/>
      <c r="AQ93" s="242"/>
      <c r="AR93" s="242"/>
      <c r="AS93" s="242"/>
    </row>
    <row r="94" spans="1:48" ht="24.75" customHeight="1" x14ac:dyDescent="0.75"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</row>
    <row r="95" spans="1:48" ht="24.75" customHeight="1" x14ac:dyDescent="0.75"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</row>
    <row r="96" spans="1:48" ht="24.75" customHeight="1" x14ac:dyDescent="0.75"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</row>
    <row r="97" spans="7:47" ht="24.75" customHeight="1" x14ac:dyDescent="0.75"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</row>
    <row r="98" spans="7:47" ht="24.75" customHeight="1" x14ac:dyDescent="0.75"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</row>
    <row r="99" spans="7:47" ht="24.75" customHeight="1" x14ac:dyDescent="0.75"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</row>
    <row r="100" spans="7:47" ht="24.75" customHeight="1" x14ac:dyDescent="0.75"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  <c r="AM100" s="242"/>
      <c r="AN100" s="242"/>
      <c r="AO100" s="242"/>
      <c r="AP100" s="242"/>
      <c r="AQ100" s="242"/>
      <c r="AR100" s="242"/>
      <c r="AS100" s="242"/>
    </row>
    <row r="101" spans="7:47" ht="24.75" customHeight="1" x14ac:dyDescent="0.75">
      <c r="G101" s="243"/>
      <c r="H101" s="244"/>
      <c r="I101" s="4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  <c r="AM101" s="242"/>
      <c r="AN101" s="242"/>
      <c r="AO101" s="242"/>
      <c r="AP101" s="242"/>
      <c r="AQ101" s="242"/>
      <c r="AR101" s="242"/>
      <c r="AS101" s="242"/>
      <c r="AU101" s="4"/>
    </row>
    <row r="102" spans="7:47" ht="24.75" customHeight="1" x14ac:dyDescent="0.75">
      <c r="G102" s="243"/>
      <c r="H102" s="244"/>
      <c r="I102" s="4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  <c r="AM102" s="242"/>
      <c r="AN102" s="242"/>
      <c r="AO102" s="242"/>
      <c r="AP102" s="242"/>
      <c r="AQ102" s="242"/>
      <c r="AR102" s="242"/>
      <c r="AS102" s="242"/>
      <c r="AU102" s="4"/>
    </row>
    <row r="103" spans="7:47" ht="24.75" customHeight="1" x14ac:dyDescent="0.75">
      <c r="G103" s="243"/>
      <c r="H103" s="244"/>
      <c r="I103" s="4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U103" s="4"/>
    </row>
    <row r="104" spans="7:47" ht="24.75" customHeight="1" x14ac:dyDescent="0.75">
      <c r="G104" s="243"/>
      <c r="H104" s="244"/>
      <c r="I104" s="4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U104" s="4"/>
    </row>
    <row r="105" spans="7:47" ht="24.75" customHeight="1" x14ac:dyDescent="0.75">
      <c r="G105" s="243"/>
      <c r="H105" s="244"/>
      <c r="I105" s="4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242"/>
      <c r="AO105" s="242"/>
      <c r="AP105" s="242"/>
      <c r="AQ105" s="242"/>
      <c r="AR105" s="242"/>
      <c r="AS105" s="242"/>
      <c r="AU105" s="4"/>
    </row>
    <row r="106" spans="7:47" ht="24.75" customHeight="1" x14ac:dyDescent="0.75">
      <c r="G106" s="243"/>
      <c r="H106" s="244"/>
      <c r="I106" s="4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  <c r="AM106" s="242"/>
      <c r="AN106" s="242"/>
      <c r="AO106" s="242"/>
      <c r="AP106" s="242"/>
      <c r="AQ106" s="242"/>
      <c r="AR106" s="242"/>
      <c r="AS106" s="242"/>
      <c r="AU106" s="4"/>
    </row>
    <row r="107" spans="7:47" ht="24.75" customHeight="1" x14ac:dyDescent="0.75">
      <c r="G107" s="243"/>
      <c r="H107" s="244"/>
      <c r="I107" s="4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  <c r="AM107" s="242"/>
      <c r="AN107" s="242"/>
      <c r="AO107" s="242"/>
      <c r="AP107" s="242"/>
      <c r="AQ107" s="242"/>
      <c r="AR107" s="242"/>
      <c r="AS107" s="242"/>
      <c r="AU107" s="4"/>
    </row>
    <row r="108" spans="7:47" ht="24.75" customHeight="1" x14ac:dyDescent="0.75">
      <c r="G108" s="243"/>
      <c r="H108" s="244"/>
      <c r="I108" s="4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  <c r="AM108" s="242"/>
      <c r="AN108" s="242"/>
      <c r="AO108" s="242"/>
      <c r="AP108" s="242"/>
      <c r="AQ108" s="242"/>
      <c r="AR108" s="242"/>
      <c r="AS108" s="242"/>
      <c r="AU108" s="4"/>
    </row>
    <row r="109" spans="7:47" ht="24.75" customHeight="1" x14ac:dyDescent="0.75">
      <c r="G109" s="243"/>
      <c r="H109" s="244"/>
      <c r="I109" s="4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  <c r="AM109" s="242"/>
      <c r="AN109" s="242"/>
      <c r="AO109" s="242"/>
      <c r="AP109" s="242"/>
      <c r="AQ109" s="242"/>
      <c r="AR109" s="242"/>
      <c r="AS109" s="242"/>
      <c r="AU109" s="4"/>
    </row>
    <row r="110" spans="7:47" ht="24.75" customHeight="1" x14ac:dyDescent="0.75">
      <c r="G110" s="243"/>
      <c r="H110" s="244"/>
      <c r="I110" s="4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  <c r="AP110" s="242"/>
      <c r="AQ110" s="242"/>
      <c r="AR110" s="242"/>
      <c r="AS110" s="242"/>
      <c r="AU110" s="4"/>
    </row>
    <row r="111" spans="7:47" ht="24.75" customHeight="1" x14ac:dyDescent="0.75">
      <c r="G111" s="243"/>
      <c r="H111" s="244"/>
      <c r="I111" s="4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  <c r="AP111" s="242"/>
      <c r="AQ111" s="242"/>
      <c r="AR111" s="242"/>
      <c r="AS111" s="242"/>
      <c r="AU111" s="4"/>
    </row>
    <row r="112" spans="7:47" ht="24.75" customHeight="1" x14ac:dyDescent="0.75">
      <c r="G112" s="243"/>
      <c r="H112" s="244"/>
      <c r="I112" s="4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  <c r="AP112" s="242"/>
      <c r="AQ112" s="242"/>
      <c r="AR112" s="242"/>
      <c r="AS112" s="242"/>
      <c r="AU112" s="4"/>
    </row>
    <row r="113" spans="7:47" ht="24.75" customHeight="1" x14ac:dyDescent="0.75">
      <c r="G113" s="243"/>
      <c r="H113" s="244"/>
      <c r="I113" s="4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U113" s="4"/>
    </row>
    <row r="114" spans="7:47" ht="24.75" customHeight="1" x14ac:dyDescent="0.75">
      <c r="G114" s="243"/>
      <c r="H114" s="244"/>
      <c r="I114" s="4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  <c r="AM114" s="242"/>
      <c r="AN114" s="242"/>
      <c r="AO114" s="242"/>
      <c r="AP114" s="242"/>
      <c r="AQ114" s="242"/>
      <c r="AR114" s="242"/>
      <c r="AS114" s="242"/>
      <c r="AU114" s="4"/>
    </row>
    <row r="115" spans="7:47" ht="24.75" customHeight="1" x14ac:dyDescent="0.75">
      <c r="G115" s="243"/>
      <c r="H115" s="244"/>
      <c r="I115" s="4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  <c r="AM115" s="242"/>
      <c r="AN115" s="242"/>
      <c r="AO115" s="242"/>
      <c r="AP115" s="242"/>
      <c r="AQ115" s="242"/>
      <c r="AR115" s="242"/>
      <c r="AS115" s="242"/>
      <c r="AU115" s="4"/>
    </row>
    <row r="116" spans="7:47" ht="24.75" customHeight="1" x14ac:dyDescent="0.75">
      <c r="G116" s="243"/>
      <c r="H116" s="244"/>
      <c r="I116" s="4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  <c r="AP116" s="242"/>
      <c r="AQ116" s="242"/>
      <c r="AR116" s="242"/>
      <c r="AS116" s="242"/>
      <c r="AU116" s="4"/>
    </row>
    <row r="117" spans="7:47" ht="24.75" customHeight="1" x14ac:dyDescent="0.75">
      <c r="G117" s="243"/>
      <c r="H117" s="244"/>
      <c r="I117" s="4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  <c r="AM117" s="242"/>
      <c r="AN117" s="242"/>
      <c r="AO117" s="242"/>
      <c r="AP117" s="242"/>
      <c r="AQ117" s="242"/>
      <c r="AR117" s="242"/>
      <c r="AS117" s="242"/>
      <c r="AU117" s="4"/>
    </row>
    <row r="118" spans="7:47" ht="24.75" customHeight="1" x14ac:dyDescent="0.75">
      <c r="G118" s="243"/>
      <c r="H118" s="244"/>
      <c r="I118" s="4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  <c r="AP118" s="242"/>
      <c r="AQ118" s="242"/>
      <c r="AR118" s="242"/>
      <c r="AS118" s="242"/>
      <c r="AU118" s="4"/>
    </row>
    <row r="119" spans="7:47" ht="24.75" customHeight="1" x14ac:dyDescent="0.75">
      <c r="G119" s="243"/>
      <c r="H119" s="244"/>
      <c r="I119" s="4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/>
      <c r="AP119" s="242"/>
      <c r="AQ119" s="242"/>
      <c r="AR119" s="242"/>
      <c r="AS119" s="242"/>
      <c r="AU119" s="4"/>
    </row>
    <row r="120" spans="7:47" ht="24.75" customHeight="1" x14ac:dyDescent="0.75">
      <c r="G120" s="243"/>
      <c r="H120" s="244"/>
      <c r="I120" s="4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42"/>
      <c r="AO120" s="242"/>
      <c r="AP120" s="242"/>
      <c r="AQ120" s="242"/>
      <c r="AR120" s="242"/>
      <c r="AS120" s="242"/>
      <c r="AU120" s="4"/>
    </row>
    <row r="121" spans="7:47" ht="24.75" customHeight="1" x14ac:dyDescent="0.75">
      <c r="G121" s="243"/>
      <c r="H121" s="244"/>
      <c r="I121" s="4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  <c r="AP121" s="242"/>
      <c r="AQ121" s="242"/>
      <c r="AR121" s="242"/>
      <c r="AS121" s="242"/>
      <c r="AU121" s="4"/>
    </row>
    <row r="122" spans="7:47" ht="24.75" customHeight="1" x14ac:dyDescent="0.75">
      <c r="G122" s="243"/>
      <c r="H122" s="244"/>
      <c r="I122" s="4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U122" s="4"/>
    </row>
    <row r="123" spans="7:47" ht="24.75" customHeight="1" x14ac:dyDescent="0.75">
      <c r="G123" s="243"/>
      <c r="H123" s="244"/>
      <c r="I123" s="4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U123" s="4"/>
    </row>
    <row r="124" spans="7:47" ht="24.75" customHeight="1" x14ac:dyDescent="0.75">
      <c r="G124" s="243"/>
      <c r="H124" s="244"/>
      <c r="I124" s="4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U124" s="4"/>
    </row>
    <row r="125" spans="7:47" ht="24.75" customHeight="1" x14ac:dyDescent="0.75">
      <c r="G125" s="243"/>
      <c r="H125" s="244"/>
      <c r="I125" s="4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U125" s="4"/>
    </row>
    <row r="126" spans="7:47" ht="24.75" customHeight="1" x14ac:dyDescent="0.75">
      <c r="G126" s="243"/>
      <c r="H126" s="244"/>
      <c r="I126" s="4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U126" s="4"/>
    </row>
    <row r="127" spans="7:47" ht="24.75" customHeight="1" x14ac:dyDescent="0.75">
      <c r="G127" s="243"/>
      <c r="H127" s="244"/>
      <c r="I127" s="4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2"/>
      <c r="AU127" s="4"/>
    </row>
    <row r="128" spans="7:47" ht="24.75" customHeight="1" x14ac:dyDescent="0.75">
      <c r="G128" s="243"/>
      <c r="H128" s="244"/>
      <c r="I128" s="4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  <c r="AM128" s="242"/>
      <c r="AN128" s="242"/>
      <c r="AO128" s="242"/>
      <c r="AP128" s="242"/>
      <c r="AQ128" s="242"/>
      <c r="AR128" s="242"/>
      <c r="AS128" s="242"/>
      <c r="AU128" s="4"/>
    </row>
    <row r="129" spans="7:47" ht="24.75" customHeight="1" x14ac:dyDescent="0.75">
      <c r="G129" s="243"/>
      <c r="H129" s="244"/>
      <c r="I129" s="4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  <c r="AM129" s="242"/>
      <c r="AN129" s="242"/>
      <c r="AO129" s="242"/>
      <c r="AP129" s="242"/>
      <c r="AQ129" s="242"/>
      <c r="AR129" s="242"/>
      <c r="AS129" s="242"/>
      <c r="AU129" s="4"/>
    </row>
    <row r="130" spans="7:47" ht="24.75" customHeight="1" x14ac:dyDescent="0.75">
      <c r="G130" s="243"/>
      <c r="H130" s="244"/>
      <c r="I130" s="4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  <c r="AM130" s="242"/>
      <c r="AN130" s="242"/>
      <c r="AO130" s="242"/>
      <c r="AP130" s="242"/>
      <c r="AQ130" s="242"/>
      <c r="AR130" s="242"/>
      <c r="AS130" s="242"/>
      <c r="AU130" s="4"/>
    </row>
    <row r="131" spans="7:47" ht="24.75" customHeight="1" x14ac:dyDescent="0.75">
      <c r="G131" s="243"/>
      <c r="H131" s="244"/>
      <c r="I131" s="4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  <c r="AM131" s="242"/>
      <c r="AN131" s="242"/>
      <c r="AO131" s="242"/>
      <c r="AP131" s="242"/>
      <c r="AQ131" s="242"/>
      <c r="AR131" s="242"/>
      <c r="AS131" s="242"/>
      <c r="AU131" s="4"/>
    </row>
    <row r="132" spans="7:47" ht="24.75" customHeight="1" x14ac:dyDescent="0.75">
      <c r="G132" s="243"/>
      <c r="H132" s="244"/>
      <c r="I132" s="4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  <c r="AM132" s="242"/>
      <c r="AN132" s="242"/>
      <c r="AO132" s="242"/>
      <c r="AP132" s="242"/>
      <c r="AQ132" s="242"/>
      <c r="AR132" s="242"/>
      <c r="AS132" s="242"/>
      <c r="AU132" s="4"/>
    </row>
    <row r="133" spans="7:47" ht="24.75" customHeight="1" x14ac:dyDescent="0.75">
      <c r="G133" s="243"/>
      <c r="H133" s="244"/>
      <c r="I133" s="4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  <c r="AM133" s="242"/>
      <c r="AN133" s="242"/>
      <c r="AO133" s="242"/>
      <c r="AP133" s="242"/>
      <c r="AQ133" s="242"/>
      <c r="AR133" s="242"/>
      <c r="AS133" s="242"/>
      <c r="AU133" s="4"/>
    </row>
    <row r="134" spans="7:47" ht="24.75" customHeight="1" x14ac:dyDescent="0.75">
      <c r="G134" s="243"/>
      <c r="H134" s="244"/>
      <c r="I134" s="4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  <c r="AM134" s="242"/>
      <c r="AN134" s="242"/>
      <c r="AO134" s="242"/>
      <c r="AP134" s="242"/>
      <c r="AQ134" s="242"/>
      <c r="AR134" s="242"/>
      <c r="AS134" s="242"/>
      <c r="AU134" s="4"/>
    </row>
    <row r="135" spans="7:47" ht="24.75" customHeight="1" x14ac:dyDescent="0.75">
      <c r="G135" s="243"/>
      <c r="H135" s="244"/>
      <c r="I135" s="4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  <c r="AP135" s="242"/>
      <c r="AQ135" s="242"/>
      <c r="AR135" s="242"/>
      <c r="AS135" s="242"/>
      <c r="AU135" s="4"/>
    </row>
    <row r="136" spans="7:47" ht="24.75" customHeight="1" x14ac:dyDescent="0.75">
      <c r="G136" s="243"/>
      <c r="H136" s="244"/>
      <c r="I136" s="4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  <c r="AP136" s="242"/>
      <c r="AQ136" s="242"/>
      <c r="AR136" s="242"/>
      <c r="AS136" s="242"/>
      <c r="AU136" s="4"/>
    </row>
    <row r="137" spans="7:47" ht="24.75" customHeight="1" x14ac:dyDescent="0.75">
      <c r="G137" s="243"/>
      <c r="H137" s="244"/>
      <c r="I137" s="4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  <c r="AM137" s="242"/>
      <c r="AN137" s="242"/>
      <c r="AO137" s="242"/>
      <c r="AP137" s="242"/>
      <c r="AQ137" s="242"/>
      <c r="AR137" s="242"/>
      <c r="AS137" s="242"/>
      <c r="AU137" s="4"/>
    </row>
    <row r="138" spans="7:47" ht="24.75" customHeight="1" x14ac:dyDescent="0.75">
      <c r="G138" s="243"/>
      <c r="H138" s="244"/>
      <c r="I138" s="4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  <c r="AM138" s="242"/>
      <c r="AN138" s="242"/>
      <c r="AO138" s="242"/>
      <c r="AP138" s="242"/>
      <c r="AQ138" s="242"/>
      <c r="AR138" s="242"/>
      <c r="AS138" s="242"/>
      <c r="AU138" s="4"/>
    </row>
    <row r="139" spans="7:47" ht="24.75" customHeight="1" x14ac:dyDescent="0.75">
      <c r="G139" s="243"/>
      <c r="H139" s="244"/>
      <c r="I139" s="4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  <c r="AM139" s="242"/>
      <c r="AN139" s="242"/>
      <c r="AO139" s="242"/>
      <c r="AP139" s="242"/>
      <c r="AQ139" s="242"/>
      <c r="AR139" s="242"/>
      <c r="AS139" s="242"/>
      <c r="AU139" s="4"/>
    </row>
    <row r="140" spans="7:47" ht="24.75" customHeight="1" x14ac:dyDescent="0.75">
      <c r="G140" s="243"/>
      <c r="H140" s="244"/>
      <c r="I140" s="4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  <c r="AM140" s="242"/>
      <c r="AN140" s="242"/>
      <c r="AO140" s="242"/>
      <c r="AP140" s="242"/>
      <c r="AQ140" s="242"/>
      <c r="AR140" s="242"/>
      <c r="AS140" s="242"/>
      <c r="AU140" s="4"/>
    </row>
    <row r="141" spans="7:47" ht="24.75" customHeight="1" x14ac:dyDescent="0.75">
      <c r="G141" s="243"/>
      <c r="H141" s="244"/>
      <c r="I141" s="4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  <c r="AM141" s="242"/>
      <c r="AN141" s="242"/>
      <c r="AO141" s="242"/>
      <c r="AP141" s="242"/>
      <c r="AQ141" s="242"/>
      <c r="AR141" s="242"/>
      <c r="AS141" s="242"/>
      <c r="AU141" s="4"/>
    </row>
    <row r="142" spans="7:47" ht="24.75" customHeight="1" x14ac:dyDescent="0.75">
      <c r="G142" s="243"/>
      <c r="H142" s="244"/>
      <c r="I142" s="4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  <c r="AM142" s="242"/>
      <c r="AN142" s="242"/>
      <c r="AO142" s="242"/>
      <c r="AP142" s="242"/>
      <c r="AQ142" s="242"/>
      <c r="AR142" s="242"/>
      <c r="AS142" s="242"/>
      <c r="AU142" s="4"/>
    </row>
    <row r="143" spans="7:47" ht="24.75" customHeight="1" x14ac:dyDescent="0.75">
      <c r="G143" s="243"/>
      <c r="H143" s="244"/>
      <c r="I143" s="4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  <c r="AM143" s="242"/>
      <c r="AN143" s="242"/>
      <c r="AO143" s="242"/>
      <c r="AP143" s="242"/>
      <c r="AQ143" s="242"/>
      <c r="AR143" s="242"/>
      <c r="AS143" s="242"/>
      <c r="AU143" s="4"/>
    </row>
    <row r="144" spans="7:47" ht="24.75" customHeight="1" x14ac:dyDescent="0.75">
      <c r="G144" s="243"/>
      <c r="H144" s="244"/>
      <c r="I144" s="4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  <c r="AM144" s="242"/>
      <c r="AN144" s="242"/>
      <c r="AO144" s="242"/>
      <c r="AP144" s="242"/>
      <c r="AQ144" s="242"/>
      <c r="AR144" s="242"/>
      <c r="AS144" s="242"/>
      <c r="AU144" s="4"/>
    </row>
    <row r="145" spans="7:47" ht="24.75" customHeight="1" x14ac:dyDescent="0.75">
      <c r="G145" s="243"/>
      <c r="H145" s="244"/>
      <c r="I145" s="4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  <c r="AM145" s="242"/>
      <c r="AN145" s="242"/>
      <c r="AO145" s="242"/>
      <c r="AP145" s="242"/>
      <c r="AQ145" s="242"/>
      <c r="AR145" s="242"/>
      <c r="AS145" s="242"/>
      <c r="AU145" s="4"/>
    </row>
    <row r="146" spans="7:47" ht="24.75" customHeight="1" x14ac:dyDescent="0.75">
      <c r="G146" s="243"/>
      <c r="H146" s="244"/>
      <c r="I146" s="4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  <c r="AM146" s="242"/>
      <c r="AN146" s="242"/>
      <c r="AO146" s="242"/>
      <c r="AP146" s="242"/>
      <c r="AQ146" s="242"/>
      <c r="AR146" s="242"/>
      <c r="AS146" s="242"/>
      <c r="AU146" s="4"/>
    </row>
    <row r="147" spans="7:47" ht="24.75" customHeight="1" x14ac:dyDescent="0.75">
      <c r="G147" s="243"/>
      <c r="H147" s="244"/>
      <c r="I147" s="4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42"/>
      <c r="AN147" s="242"/>
      <c r="AO147" s="242"/>
      <c r="AP147" s="242"/>
      <c r="AQ147" s="242"/>
      <c r="AR147" s="242"/>
      <c r="AS147" s="242"/>
      <c r="AU147" s="4"/>
    </row>
    <row r="148" spans="7:47" ht="24.75" customHeight="1" x14ac:dyDescent="0.75">
      <c r="G148" s="243"/>
      <c r="H148" s="244"/>
      <c r="I148" s="4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  <c r="AM148" s="242"/>
      <c r="AN148" s="242"/>
      <c r="AO148" s="242"/>
      <c r="AP148" s="242"/>
      <c r="AQ148" s="242"/>
      <c r="AR148" s="242"/>
      <c r="AS148" s="242"/>
      <c r="AU148" s="4"/>
    </row>
    <row r="149" spans="7:47" ht="24.75" customHeight="1" x14ac:dyDescent="0.75">
      <c r="G149" s="243"/>
      <c r="H149" s="244"/>
      <c r="I149" s="4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  <c r="AM149" s="242"/>
      <c r="AN149" s="242"/>
      <c r="AO149" s="242"/>
      <c r="AP149" s="242"/>
      <c r="AQ149" s="242"/>
      <c r="AR149" s="242"/>
      <c r="AS149" s="242"/>
      <c r="AU149" s="4"/>
    </row>
    <row r="150" spans="7:47" ht="24.75" customHeight="1" x14ac:dyDescent="0.75">
      <c r="G150" s="243"/>
      <c r="H150" s="244"/>
      <c r="I150" s="4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U150" s="4"/>
    </row>
    <row r="151" spans="7:47" ht="24.75" customHeight="1" x14ac:dyDescent="0.75">
      <c r="G151" s="243"/>
      <c r="H151" s="244"/>
      <c r="I151" s="4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N151" s="242"/>
      <c r="AO151" s="242"/>
      <c r="AP151" s="242"/>
      <c r="AQ151" s="242"/>
      <c r="AR151" s="242"/>
      <c r="AS151" s="242"/>
      <c r="AU151" s="4"/>
    </row>
    <row r="152" spans="7:47" ht="24.75" customHeight="1" x14ac:dyDescent="0.75">
      <c r="G152" s="243"/>
      <c r="H152" s="244"/>
      <c r="I152" s="4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/>
      <c r="AP152" s="242"/>
      <c r="AQ152" s="242"/>
      <c r="AR152" s="242"/>
      <c r="AS152" s="242"/>
      <c r="AU152" s="4"/>
    </row>
    <row r="153" spans="7:47" ht="24.75" customHeight="1" x14ac:dyDescent="0.75">
      <c r="G153" s="243"/>
      <c r="H153" s="244"/>
      <c r="I153" s="4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  <c r="AM153" s="242"/>
      <c r="AN153" s="242"/>
      <c r="AO153" s="242"/>
      <c r="AP153" s="242"/>
      <c r="AQ153" s="242"/>
      <c r="AR153" s="242"/>
      <c r="AS153" s="242"/>
      <c r="AU153" s="4"/>
    </row>
    <row r="154" spans="7:47" ht="24.75" customHeight="1" x14ac:dyDescent="0.75">
      <c r="G154" s="243"/>
      <c r="H154" s="244"/>
      <c r="I154" s="4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N154" s="242"/>
      <c r="AO154" s="242"/>
      <c r="AP154" s="242"/>
      <c r="AQ154" s="242"/>
      <c r="AR154" s="242"/>
      <c r="AS154" s="242"/>
      <c r="AU154" s="4"/>
    </row>
    <row r="155" spans="7:47" ht="24.75" customHeight="1" x14ac:dyDescent="0.75">
      <c r="G155" s="243"/>
      <c r="H155" s="244"/>
      <c r="I155" s="4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242"/>
      <c r="AP155" s="242"/>
      <c r="AQ155" s="242"/>
      <c r="AR155" s="242"/>
      <c r="AS155" s="242"/>
      <c r="AU155" s="4"/>
    </row>
    <row r="156" spans="7:47" ht="24.75" customHeight="1" x14ac:dyDescent="0.75">
      <c r="G156" s="243"/>
      <c r="H156" s="244"/>
      <c r="I156" s="4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  <c r="AM156" s="242"/>
      <c r="AN156" s="242"/>
      <c r="AO156" s="242"/>
      <c r="AP156" s="242"/>
      <c r="AQ156" s="242"/>
      <c r="AR156" s="242"/>
      <c r="AS156" s="242"/>
      <c r="AU156" s="4"/>
    </row>
    <row r="157" spans="7:47" ht="24.75" customHeight="1" x14ac:dyDescent="0.75">
      <c r="G157" s="243"/>
      <c r="H157" s="244"/>
      <c r="I157" s="4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  <c r="AM157" s="242"/>
      <c r="AN157" s="242"/>
      <c r="AO157" s="242"/>
      <c r="AP157" s="242"/>
      <c r="AQ157" s="242"/>
      <c r="AR157" s="242"/>
      <c r="AS157" s="242"/>
      <c r="AU157" s="4"/>
    </row>
    <row r="158" spans="7:47" ht="24.75" customHeight="1" x14ac:dyDescent="0.75">
      <c r="G158" s="243"/>
      <c r="H158" s="244"/>
      <c r="I158" s="4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  <c r="AM158" s="242"/>
      <c r="AN158" s="242"/>
      <c r="AO158" s="242"/>
      <c r="AP158" s="242"/>
      <c r="AQ158" s="242"/>
      <c r="AR158" s="242"/>
      <c r="AS158" s="242"/>
      <c r="AU158" s="4"/>
    </row>
    <row r="159" spans="7:47" ht="24.75" customHeight="1" x14ac:dyDescent="0.75">
      <c r="G159" s="243"/>
      <c r="H159" s="244"/>
      <c r="I159" s="4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  <c r="AM159" s="242"/>
      <c r="AN159" s="242"/>
      <c r="AO159" s="242"/>
      <c r="AP159" s="242"/>
      <c r="AQ159" s="242"/>
      <c r="AR159" s="242"/>
      <c r="AS159" s="242"/>
      <c r="AU159" s="4"/>
    </row>
    <row r="160" spans="7:47" ht="24.75" customHeight="1" x14ac:dyDescent="0.75">
      <c r="G160" s="243"/>
      <c r="H160" s="244"/>
      <c r="I160" s="4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  <c r="AM160" s="242"/>
      <c r="AN160" s="242"/>
      <c r="AO160" s="242"/>
      <c r="AP160" s="242"/>
      <c r="AQ160" s="242"/>
      <c r="AR160" s="242"/>
      <c r="AS160" s="242"/>
      <c r="AU160" s="4"/>
    </row>
    <row r="161" spans="7:47" ht="24.75" customHeight="1" x14ac:dyDescent="0.75">
      <c r="G161" s="243"/>
      <c r="H161" s="244"/>
      <c r="I161" s="4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  <c r="AM161" s="242"/>
      <c r="AN161" s="242"/>
      <c r="AO161" s="242"/>
      <c r="AP161" s="242"/>
      <c r="AQ161" s="242"/>
      <c r="AR161" s="242"/>
      <c r="AS161" s="242"/>
      <c r="AU161" s="4"/>
    </row>
    <row r="162" spans="7:47" ht="24.75" customHeight="1" x14ac:dyDescent="0.75">
      <c r="G162" s="243"/>
      <c r="H162" s="244"/>
      <c r="I162" s="4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  <c r="AM162" s="242"/>
      <c r="AN162" s="242"/>
      <c r="AO162" s="242"/>
      <c r="AP162" s="242"/>
      <c r="AQ162" s="242"/>
      <c r="AR162" s="242"/>
      <c r="AS162" s="242"/>
      <c r="AU162" s="4"/>
    </row>
    <row r="163" spans="7:47" ht="24.75" customHeight="1" x14ac:dyDescent="0.75">
      <c r="G163" s="243"/>
      <c r="H163" s="244"/>
      <c r="I163" s="4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  <c r="AM163" s="242"/>
      <c r="AN163" s="242"/>
      <c r="AO163" s="242"/>
      <c r="AP163" s="242"/>
      <c r="AQ163" s="242"/>
      <c r="AR163" s="242"/>
      <c r="AS163" s="242"/>
      <c r="AU163" s="4"/>
    </row>
    <row r="164" spans="7:47" ht="24.75" customHeight="1" x14ac:dyDescent="0.75">
      <c r="G164" s="243"/>
      <c r="H164" s="244"/>
      <c r="I164" s="4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  <c r="AM164" s="242"/>
      <c r="AN164" s="242"/>
      <c r="AO164" s="242"/>
      <c r="AP164" s="242"/>
      <c r="AQ164" s="242"/>
      <c r="AR164" s="242"/>
      <c r="AS164" s="242"/>
      <c r="AU164" s="4"/>
    </row>
    <row r="165" spans="7:47" ht="24.75" customHeight="1" x14ac:dyDescent="0.75">
      <c r="G165" s="243"/>
      <c r="H165" s="244"/>
      <c r="I165" s="4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  <c r="AM165" s="242"/>
      <c r="AN165" s="242"/>
      <c r="AO165" s="242"/>
      <c r="AP165" s="242"/>
      <c r="AQ165" s="242"/>
      <c r="AR165" s="242"/>
      <c r="AS165" s="242"/>
      <c r="AU165" s="4"/>
    </row>
    <row r="166" spans="7:47" ht="24.75" customHeight="1" x14ac:dyDescent="0.75">
      <c r="G166" s="243"/>
      <c r="H166" s="244"/>
      <c r="I166" s="4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  <c r="AM166" s="242"/>
      <c r="AN166" s="242"/>
      <c r="AO166" s="242"/>
      <c r="AP166" s="242"/>
      <c r="AQ166" s="242"/>
      <c r="AR166" s="242"/>
      <c r="AS166" s="242"/>
      <c r="AU166" s="4"/>
    </row>
    <row r="167" spans="7:47" ht="24.75" customHeight="1" x14ac:dyDescent="0.75">
      <c r="G167" s="243"/>
      <c r="H167" s="244"/>
      <c r="I167" s="4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  <c r="AM167" s="242"/>
      <c r="AN167" s="242"/>
      <c r="AO167" s="242"/>
      <c r="AP167" s="242"/>
      <c r="AQ167" s="242"/>
      <c r="AR167" s="242"/>
      <c r="AS167" s="242"/>
      <c r="AU167" s="4"/>
    </row>
    <row r="168" spans="7:47" ht="24.75" customHeight="1" x14ac:dyDescent="0.75">
      <c r="G168" s="243"/>
      <c r="H168" s="244"/>
      <c r="I168" s="4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  <c r="AM168" s="242"/>
      <c r="AN168" s="242"/>
      <c r="AO168" s="242"/>
      <c r="AP168" s="242"/>
      <c r="AQ168" s="242"/>
      <c r="AR168" s="242"/>
      <c r="AS168" s="242"/>
      <c r="AU168" s="4"/>
    </row>
    <row r="169" spans="7:47" ht="24.75" customHeight="1" x14ac:dyDescent="0.75">
      <c r="G169" s="243"/>
      <c r="H169" s="244"/>
      <c r="I169" s="4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  <c r="AM169" s="242"/>
      <c r="AN169" s="242"/>
      <c r="AO169" s="242"/>
      <c r="AP169" s="242"/>
      <c r="AQ169" s="242"/>
      <c r="AR169" s="242"/>
      <c r="AS169" s="242"/>
      <c r="AU169" s="4"/>
    </row>
    <row r="170" spans="7:47" ht="24.75" customHeight="1" x14ac:dyDescent="0.75">
      <c r="G170" s="243"/>
      <c r="H170" s="244"/>
      <c r="I170" s="4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  <c r="AM170" s="242"/>
      <c r="AN170" s="242"/>
      <c r="AO170" s="242"/>
      <c r="AP170" s="242"/>
      <c r="AQ170" s="242"/>
      <c r="AR170" s="242"/>
      <c r="AS170" s="242"/>
      <c r="AU170" s="4"/>
    </row>
    <row r="171" spans="7:47" ht="24.75" customHeight="1" x14ac:dyDescent="0.75">
      <c r="G171" s="243"/>
      <c r="H171" s="244"/>
      <c r="I171" s="4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  <c r="AM171" s="242"/>
      <c r="AN171" s="242"/>
      <c r="AO171" s="242"/>
      <c r="AP171" s="242"/>
      <c r="AQ171" s="242"/>
      <c r="AR171" s="242"/>
      <c r="AS171" s="242"/>
      <c r="AU171" s="4"/>
    </row>
    <row r="172" spans="7:47" ht="24.75" customHeight="1" x14ac:dyDescent="0.75">
      <c r="G172" s="243"/>
      <c r="H172" s="244"/>
      <c r="I172" s="4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  <c r="AM172" s="242"/>
      <c r="AN172" s="242"/>
      <c r="AO172" s="242"/>
      <c r="AP172" s="242"/>
      <c r="AQ172" s="242"/>
      <c r="AR172" s="242"/>
      <c r="AS172" s="242"/>
      <c r="AU172" s="4"/>
    </row>
    <row r="173" spans="7:47" ht="24.75" customHeight="1" x14ac:dyDescent="0.75">
      <c r="G173" s="243"/>
      <c r="H173" s="244"/>
      <c r="I173" s="4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  <c r="AM173" s="242"/>
      <c r="AN173" s="242"/>
      <c r="AO173" s="242"/>
      <c r="AP173" s="242"/>
      <c r="AQ173" s="242"/>
      <c r="AR173" s="242"/>
      <c r="AS173" s="242"/>
      <c r="AU173" s="4"/>
    </row>
    <row r="174" spans="7:47" ht="24.75" customHeight="1" x14ac:dyDescent="0.75">
      <c r="G174" s="243"/>
      <c r="H174" s="244"/>
      <c r="I174" s="4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  <c r="AM174" s="242"/>
      <c r="AN174" s="242"/>
      <c r="AO174" s="242"/>
      <c r="AP174" s="242"/>
      <c r="AQ174" s="242"/>
      <c r="AR174" s="242"/>
      <c r="AS174" s="242"/>
      <c r="AU174" s="4"/>
    </row>
    <row r="175" spans="7:47" ht="24.75" customHeight="1" x14ac:dyDescent="0.75">
      <c r="G175" s="243"/>
      <c r="H175" s="244"/>
      <c r="I175" s="4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  <c r="AM175" s="242"/>
      <c r="AN175" s="242"/>
      <c r="AO175" s="242"/>
      <c r="AP175" s="242"/>
      <c r="AQ175" s="242"/>
      <c r="AR175" s="242"/>
      <c r="AS175" s="242"/>
      <c r="AU175" s="4"/>
    </row>
    <row r="176" spans="7:47" ht="24.75" customHeight="1" x14ac:dyDescent="0.75">
      <c r="G176" s="243"/>
      <c r="H176" s="244"/>
      <c r="I176" s="4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  <c r="AM176" s="242"/>
      <c r="AN176" s="242"/>
      <c r="AO176" s="242"/>
      <c r="AP176" s="242"/>
      <c r="AQ176" s="242"/>
      <c r="AR176" s="242"/>
      <c r="AS176" s="242"/>
      <c r="AU176" s="4"/>
    </row>
    <row r="177" spans="7:47" ht="24.75" customHeight="1" x14ac:dyDescent="0.75">
      <c r="G177" s="243"/>
      <c r="H177" s="244"/>
      <c r="I177" s="4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  <c r="AM177" s="242"/>
      <c r="AN177" s="242"/>
      <c r="AO177" s="242"/>
      <c r="AP177" s="242"/>
      <c r="AQ177" s="242"/>
      <c r="AR177" s="242"/>
      <c r="AS177" s="242"/>
      <c r="AU177" s="4"/>
    </row>
    <row r="178" spans="7:47" ht="24.75" customHeight="1" x14ac:dyDescent="0.75">
      <c r="G178" s="243"/>
      <c r="H178" s="244"/>
      <c r="I178" s="4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2"/>
      <c r="AU178" s="4"/>
    </row>
    <row r="179" spans="7:47" ht="24.75" customHeight="1" x14ac:dyDescent="0.75">
      <c r="G179" s="243"/>
      <c r="H179" s="244"/>
      <c r="I179" s="4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N179" s="242"/>
      <c r="AO179" s="242"/>
      <c r="AP179" s="242"/>
      <c r="AQ179" s="242"/>
      <c r="AR179" s="242"/>
      <c r="AS179" s="242"/>
      <c r="AU179" s="4"/>
    </row>
    <row r="180" spans="7:47" ht="24.75" customHeight="1" x14ac:dyDescent="0.75">
      <c r="G180" s="243"/>
      <c r="H180" s="244"/>
      <c r="I180" s="4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42"/>
      <c r="AO180" s="242"/>
      <c r="AP180" s="242"/>
      <c r="AQ180" s="242"/>
      <c r="AR180" s="242"/>
      <c r="AS180" s="242"/>
      <c r="AU180" s="4"/>
    </row>
    <row r="181" spans="7:47" ht="24.75" customHeight="1" x14ac:dyDescent="0.75">
      <c r="G181" s="243"/>
      <c r="H181" s="244"/>
      <c r="I181" s="4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  <c r="AM181" s="242"/>
      <c r="AN181" s="242"/>
      <c r="AO181" s="242"/>
      <c r="AP181" s="242"/>
      <c r="AQ181" s="242"/>
      <c r="AR181" s="242"/>
      <c r="AS181" s="242"/>
      <c r="AU181" s="4"/>
    </row>
    <row r="182" spans="7:47" ht="24.75" customHeight="1" x14ac:dyDescent="0.75">
      <c r="G182" s="243"/>
      <c r="H182" s="244"/>
      <c r="I182" s="4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  <c r="AM182" s="242"/>
      <c r="AN182" s="242"/>
      <c r="AO182" s="242"/>
      <c r="AP182" s="242"/>
      <c r="AQ182" s="242"/>
      <c r="AR182" s="242"/>
      <c r="AS182" s="242"/>
      <c r="AU182" s="4"/>
    </row>
    <row r="183" spans="7:47" ht="24.75" customHeight="1" x14ac:dyDescent="0.75">
      <c r="G183" s="243"/>
      <c r="H183" s="244"/>
      <c r="I183" s="4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  <c r="AM183" s="242"/>
      <c r="AN183" s="242"/>
      <c r="AO183" s="242"/>
      <c r="AP183" s="242"/>
      <c r="AQ183" s="242"/>
      <c r="AR183" s="242"/>
      <c r="AS183" s="242"/>
      <c r="AU183" s="4"/>
    </row>
    <row r="184" spans="7:47" ht="24.75" customHeight="1" x14ac:dyDescent="0.75">
      <c r="G184" s="243"/>
      <c r="H184" s="244"/>
      <c r="I184" s="4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  <c r="AM184" s="242"/>
      <c r="AN184" s="242"/>
      <c r="AO184" s="242"/>
      <c r="AP184" s="242"/>
      <c r="AQ184" s="242"/>
      <c r="AR184" s="242"/>
      <c r="AS184" s="242"/>
      <c r="AU184" s="4"/>
    </row>
    <row r="185" spans="7:47" ht="24.75" customHeight="1" x14ac:dyDescent="0.75">
      <c r="G185" s="243"/>
      <c r="H185" s="244"/>
      <c r="I185" s="4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  <c r="AM185" s="242"/>
      <c r="AN185" s="242"/>
      <c r="AO185" s="242"/>
      <c r="AP185" s="242"/>
      <c r="AQ185" s="242"/>
      <c r="AR185" s="242"/>
      <c r="AS185" s="242"/>
      <c r="AU185" s="4"/>
    </row>
    <row r="186" spans="7:47" ht="24.75" customHeight="1" x14ac:dyDescent="0.75">
      <c r="G186" s="243"/>
      <c r="H186" s="244"/>
      <c r="I186" s="4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  <c r="AM186" s="242"/>
      <c r="AN186" s="242"/>
      <c r="AO186" s="242"/>
      <c r="AP186" s="242"/>
      <c r="AQ186" s="242"/>
      <c r="AR186" s="242"/>
      <c r="AS186" s="242"/>
      <c r="AU186" s="4"/>
    </row>
    <row r="187" spans="7:47" ht="24.75" customHeight="1" x14ac:dyDescent="0.75">
      <c r="G187" s="243"/>
      <c r="H187" s="244"/>
      <c r="I187" s="4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  <c r="AM187" s="242"/>
      <c r="AN187" s="242"/>
      <c r="AO187" s="242"/>
      <c r="AP187" s="242"/>
      <c r="AQ187" s="242"/>
      <c r="AR187" s="242"/>
      <c r="AS187" s="242"/>
      <c r="AU187" s="4"/>
    </row>
    <row r="188" spans="7:47" ht="24.75" customHeight="1" x14ac:dyDescent="0.75">
      <c r="G188" s="243"/>
      <c r="H188" s="244"/>
      <c r="I188" s="4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  <c r="AM188" s="242"/>
      <c r="AN188" s="242"/>
      <c r="AO188" s="242"/>
      <c r="AP188" s="242"/>
      <c r="AQ188" s="242"/>
      <c r="AR188" s="242"/>
      <c r="AS188" s="242"/>
      <c r="AU188" s="4"/>
    </row>
    <row r="189" spans="7:47" ht="24.75" customHeight="1" x14ac:dyDescent="0.75">
      <c r="G189" s="243"/>
      <c r="H189" s="244"/>
      <c r="I189" s="4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  <c r="AM189" s="242"/>
      <c r="AN189" s="242"/>
      <c r="AO189" s="242"/>
      <c r="AP189" s="242"/>
      <c r="AQ189" s="242"/>
      <c r="AR189" s="242"/>
      <c r="AS189" s="242"/>
      <c r="AU189" s="4"/>
    </row>
    <row r="190" spans="7:47" ht="24.75" customHeight="1" x14ac:dyDescent="0.75">
      <c r="G190" s="243"/>
      <c r="H190" s="244"/>
      <c r="I190" s="4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  <c r="AM190" s="242"/>
      <c r="AN190" s="242"/>
      <c r="AO190" s="242"/>
      <c r="AP190" s="242"/>
      <c r="AQ190" s="242"/>
      <c r="AR190" s="242"/>
      <c r="AS190" s="242"/>
      <c r="AU190" s="4"/>
    </row>
    <row r="191" spans="7:47" ht="24.75" customHeight="1" x14ac:dyDescent="0.75">
      <c r="G191" s="243"/>
      <c r="H191" s="244"/>
      <c r="I191" s="4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  <c r="AM191" s="242"/>
      <c r="AN191" s="242"/>
      <c r="AO191" s="242"/>
      <c r="AP191" s="242"/>
      <c r="AQ191" s="242"/>
      <c r="AR191" s="242"/>
      <c r="AS191" s="242"/>
      <c r="AU191" s="4"/>
    </row>
    <row r="192" spans="7:47" ht="24.75" customHeight="1" x14ac:dyDescent="0.75">
      <c r="G192" s="243"/>
      <c r="H192" s="244"/>
      <c r="I192" s="4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  <c r="AM192" s="242"/>
      <c r="AN192" s="242"/>
      <c r="AO192" s="242"/>
      <c r="AP192" s="242"/>
      <c r="AQ192" s="242"/>
      <c r="AR192" s="242"/>
      <c r="AS192" s="242"/>
      <c r="AU192" s="4"/>
    </row>
    <row r="193" spans="7:47" ht="24.75" customHeight="1" x14ac:dyDescent="0.75">
      <c r="G193" s="243"/>
      <c r="H193" s="244"/>
      <c r="I193" s="4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  <c r="AM193" s="242"/>
      <c r="AN193" s="242"/>
      <c r="AO193" s="242"/>
      <c r="AP193" s="242"/>
      <c r="AQ193" s="242"/>
      <c r="AR193" s="242"/>
      <c r="AS193" s="242"/>
      <c r="AU193" s="4"/>
    </row>
    <row r="194" spans="7:47" ht="24.75" customHeight="1" x14ac:dyDescent="0.75">
      <c r="G194" s="243"/>
      <c r="H194" s="244"/>
      <c r="I194" s="4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  <c r="AM194" s="242"/>
      <c r="AN194" s="242"/>
      <c r="AO194" s="242"/>
      <c r="AP194" s="242"/>
      <c r="AQ194" s="242"/>
      <c r="AR194" s="242"/>
      <c r="AS194" s="242"/>
      <c r="AU194" s="4"/>
    </row>
    <row r="195" spans="7:47" ht="24.75" customHeight="1" x14ac:dyDescent="0.75">
      <c r="G195" s="243"/>
      <c r="H195" s="244"/>
      <c r="I195" s="4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  <c r="AM195" s="242"/>
      <c r="AN195" s="242"/>
      <c r="AO195" s="242"/>
      <c r="AP195" s="242"/>
      <c r="AQ195" s="242"/>
      <c r="AR195" s="242"/>
      <c r="AS195" s="242"/>
      <c r="AU195" s="4"/>
    </row>
    <row r="196" spans="7:47" ht="24.75" customHeight="1" x14ac:dyDescent="0.75">
      <c r="G196" s="243"/>
      <c r="H196" s="244"/>
      <c r="I196" s="4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  <c r="AM196" s="242"/>
      <c r="AN196" s="242"/>
      <c r="AO196" s="242"/>
      <c r="AP196" s="242"/>
      <c r="AQ196" s="242"/>
      <c r="AR196" s="242"/>
      <c r="AS196" s="242"/>
      <c r="AU196" s="4"/>
    </row>
    <row r="197" spans="7:47" ht="24.75" customHeight="1" x14ac:dyDescent="0.75">
      <c r="G197" s="243"/>
      <c r="H197" s="244"/>
      <c r="I197" s="4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  <c r="AM197" s="242"/>
      <c r="AN197" s="242"/>
      <c r="AO197" s="242"/>
      <c r="AP197" s="242"/>
      <c r="AQ197" s="242"/>
      <c r="AR197" s="242"/>
      <c r="AS197" s="242"/>
      <c r="AU197" s="4"/>
    </row>
    <row r="198" spans="7:47" ht="24.75" customHeight="1" x14ac:dyDescent="0.75">
      <c r="G198" s="243"/>
      <c r="H198" s="244"/>
      <c r="I198" s="4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  <c r="AM198" s="242"/>
      <c r="AN198" s="242"/>
      <c r="AO198" s="242"/>
      <c r="AP198" s="242"/>
      <c r="AQ198" s="242"/>
      <c r="AR198" s="242"/>
      <c r="AS198" s="242"/>
      <c r="AU198" s="4"/>
    </row>
    <row r="199" spans="7:47" ht="24.75" customHeight="1" x14ac:dyDescent="0.75">
      <c r="G199" s="243"/>
      <c r="H199" s="244"/>
      <c r="I199" s="4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  <c r="AM199" s="242"/>
      <c r="AN199" s="242"/>
      <c r="AO199" s="242"/>
      <c r="AP199" s="242"/>
      <c r="AQ199" s="242"/>
      <c r="AR199" s="242"/>
      <c r="AS199" s="242"/>
      <c r="AU199" s="4"/>
    </row>
    <row r="200" spans="7:47" ht="24.75" customHeight="1" x14ac:dyDescent="0.75">
      <c r="G200" s="243"/>
      <c r="H200" s="244"/>
      <c r="I200" s="4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  <c r="AM200" s="242"/>
      <c r="AN200" s="242"/>
      <c r="AO200" s="242"/>
      <c r="AP200" s="242"/>
      <c r="AQ200" s="242"/>
      <c r="AR200" s="242"/>
      <c r="AS200" s="242"/>
      <c r="AU200" s="4"/>
    </row>
    <row r="201" spans="7:47" ht="24.75" customHeight="1" x14ac:dyDescent="0.75">
      <c r="G201" s="243"/>
      <c r="H201" s="244"/>
      <c r="I201" s="4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  <c r="AM201" s="242"/>
      <c r="AN201" s="242"/>
      <c r="AO201" s="242"/>
      <c r="AP201" s="242"/>
      <c r="AQ201" s="242"/>
      <c r="AR201" s="242"/>
      <c r="AS201" s="242"/>
      <c r="AU201" s="4"/>
    </row>
    <row r="202" spans="7:47" ht="24.75" customHeight="1" x14ac:dyDescent="0.75">
      <c r="G202" s="243"/>
      <c r="H202" s="244"/>
      <c r="I202" s="4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  <c r="AM202" s="242"/>
      <c r="AN202" s="242"/>
      <c r="AO202" s="242"/>
      <c r="AP202" s="242"/>
      <c r="AQ202" s="242"/>
      <c r="AR202" s="242"/>
      <c r="AS202" s="242"/>
      <c r="AU202" s="4"/>
    </row>
    <row r="203" spans="7:47" ht="24.75" customHeight="1" x14ac:dyDescent="0.75">
      <c r="G203" s="243"/>
      <c r="H203" s="244"/>
      <c r="I203" s="4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  <c r="AM203" s="242"/>
      <c r="AN203" s="242"/>
      <c r="AO203" s="242"/>
      <c r="AP203" s="242"/>
      <c r="AQ203" s="242"/>
      <c r="AR203" s="242"/>
      <c r="AS203" s="242"/>
      <c r="AU203" s="4"/>
    </row>
    <row r="204" spans="7:47" ht="24.75" customHeight="1" x14ac:dyDescent="0.75">
      <c r="G204" s="243"/>
      <c r="H204" s="244"/>
      <c r="I204" s="4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  <c r="AM204" s="242"/>
      <c r="AN204" s="242"/>
      <c r="AO204" s="242"/>
      <c r="AP204" s="242"/>
      <c r="AQ204" s="242"/>
      <c r="AR204" s="242"/>
      <c r="AS204" s="242"/>
      <c r="AU204" s="4"/>
    </row>
    <row r="205" spans="7:47" ht="24.75" customHeight="1" x14ac:dyDescent="0.75">
      <c r="G205" s="243"/>
      <c r="H205" s="244"/>
      <c r="I205" s="4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  <c r="AM205" s="242"/>
      <c r="AN205" s="242"/>
      <c r="AO205" s="242"/>
      <c r="AP205" s="242"/>
      <c r="AQ205" s="242"/>
      <c r="AR205" s="242"/>
      <c r="AS205" s="242"/>
      <c r="AU205" s="4"/>
    </row>
    <row r="206" spans="7:47" ht="24.75" customHeight="1" x14ac:dyDescent="0.75">
      <c r="G206" s="243"/>
      <c r="H206" s="244"/>
      <c r="I206" s="4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  <c r="AM206" s="242"/>
      <c r="AN206" s="242"/>
      <c r="AO206" s="242"/>
      <c r="AP206" s="242"/>
      <c r="AQ206" s="242"/>
      <c r="AR206" s="242"/>
      <c r="AS206" s="242"/>
      <c r="AU206" s="4"/>
    </row>
    <row r="207" spans="7:47" ht="24.75" customHeight="1" x14ac:dyDescent="0.75">
      <c r="G207" s="243"/>
      <c r="H207" s="244"/>
      <c r="I207" s="4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  <c r="AM207" s="242"/>
      <c r="AN207" s="242"/>
      <c r="AO207" s="242"/>
      <c r="AP207" s="242"/>
      <c r="AQ207" s="242"/>
      <c r="AR207" s="242"/>
      <c r="AS207" s="242"/>
      <c r="AU207" s="4"/>
    </row>
    <row r="208" spans="7:47" ht="24.75" customHeight="1" x14ac:dyDescent="0.75">
      <c r="G208" s="243"/>
      <c r="H208" s="244"/>
      <c r="I208" s="4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  <c r="AM208" s="242"/>
      <c r="AN208" s="242"/>
      <c r="AO208" s="242"/>
      <c r="AP208" s="242"/>
      <c r="AQ208" s="242"/>
      <c r="AR208" s="242"/>
      <c r="AS208" s="242"/>
      <c r="AU208" s="4"/>
    </row>
    <row r="209" spans="7:47" ht="24.75" customHeight="1" x14ac:dyDescent="0.75">
      <c r="G209" s="243"/>
      <c r="H209" s="244"/>
      <c r="I209" s="4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/>
      <c r="AP209" s="242"/>
      <c r="AQ209" s="242"/>
      <c r="AR209" s="242"/>
      <c r="AS209" s="242"/>
      <c r="AU209" s="4"/>
    </row>
    <row r="210" spans="7:47" ht="24.75" customHeight="1" x14ac:dyDescent="0.75">
      <c r="G210" s="243"/>
      <c r="H210" s="244"/>
      <c r="I210" s="4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  <c r="AM210" s="242"/>
      <c r="AN210" s="242"/>
      <c r="AO210" s="242"/>
      <c r="AP210" s="242"/>
      <c r="AQ210" s="242"/>
      <c r="AR210" s="242"/>
      <c r="AS210" s="242"/>
      <c r="AU210" s="4"/>
    </row>
    <row r="211" spans="7:47" ht="24.75" customHeight="1" x14ac:dyDescent="0.75">
      <c r="G211" s="243"/>
      <c r="H211" s="244"/>
      <c r="I211" s="4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  <c r="AM211" s="242"/>
      <c r="AN211" s="242"/>
      <c r="AO211" s="242"/>
      <c r="AP211" s="242"/>
      <c r="AQ211" s="242"/>
      <c r="AR211" s="242"/>
      <c r="AS211" s="242"/>
      <c r="AU211" s="4"/>
    </row>
    <row r="212" spans="7:47" ht="24.75" customHeight="1" x14ac:dyDescent="0.75">
      <c r="G212" s="243"/>
      <c r="H212" s="244"/>
      <c r="I212" s="4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  <c r="AM212" s="242"/>
      <c r="AN212" s="242"/>
      <c r="AO212" s="242"/>
      <c r="AP212" s="242"/>
      <c r="AQ212" s="242"/>
      <c r="AR212" s="242"/>
      <c r="AS212" s="242"/>
      <c r="AU212" s="4"/>
    </row>
    <row r="213" spans="7:47" ht="24.75" customHeight="1" x14ac:dyDescent="0.75">
      <c r="G213" s="243"/>
      <c r="H213" s="244"/>
      <c r="I213" s="4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  <c r="AM213" s="242"/>
      <c r="AN213" s="242"/>
      <c r="AO213" s="242"/>
      <c r="AP213" s="242"/>
      <c r="AQ213" s="242"/>
      <c r="AR213" s="242"/>
      <c r="AS213" s="242"/>
      <c r="AU213" s="4"/>
    </row>
    <row r="214" spans="7:47" ht="24.75" customHeight="1" x14ac:dyDescent="0.75">
      <c r="G214" s="243"/>
      <c r="H214" s="244"/>
      <c r="I214" s="4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  <c r="AM214" s="242"/>
      <c r="AN214" s="242"/>
      <c r="AO214" s="242"/>
      <c r="AP214" s="242"/>
      <c r="AQ214" s="242"/>
      <c r="AR214" s="242"/>
      <c r="AS214" s="242"/>
      <c r="AU214" s="4"/>
    </row>
    <row r="215" spans="7:47" ht="24.75" customHeight="1" x14ac:dyDescent="0.75">
      <c r="G215" s="243"/>
      <c r="H215" s="244"/>
      <c r="I215" s="4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  <c r="AM215" s="242"/>
      <c r="AN215" s="242"/>
      <c r="AO215" s="242"/>
      <c r="AP215" s="242"/>
      <c r="AQ215" s="242"/>
      <c r="AR215" s="242"/>
      <c r="AS215" s="242"/>
      <c r="AU215" s="4"/>
    </row>
    <row r="216" spans="7:47" ht="24.75" customHeight="1" x14ac:dyDescent="0.75">
      <c r="G216" s="243"/>
      <c r="H216" s="244"/>
      <c r="I216" s="4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  <c r="AM216" s="242"/>
      <c r="AN216" s="242"/>
      <c r="AO216" s="242"/>
      <c r="AP216" s="242"/>
      <c r="AQ216" s="242"/>
      <c r="AR216" s="242"/>
      <c r="AS216" s="242"/>
      <c r="AU216" s="4"/>
    </row>
    <row r="217" spans="7:47" ht="24.75" customHeight="1" x14ac:dyDescent="0.75">
      <c r="G217" s="243"/>
      <c r="H217" s="244"/>
      <c r="I217" s="4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  <c r="AM217" s="242"/>
      <c r="AN217" s="242"/>
      <c r="AO217" s="242"/>
      <c r="AP217" s="242"/>
      <c r="AQ217" s="242"/>
      <c r="AR217" s="242"/>
      <c r="AS217" s="242"/>
      <c r="AU217" s="4"/>
    </row>
    <row r="218" spans="7:47" ht="24.75" customHeight="1" x14ac:dyDescent="0.75">
      <c r="G218" s="243"/>
      <c r="H218" s="244"/>
      <c r="I218" s="4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  <c r="AM218" s="242"/>
      <c r="AN218" s="242"/>
      <c r="AO218" s="242"/>
      <c r="AP218" s="242"/>
      <c r="AQ218" s="242"/>
      <c r="AR218" s="242"/>
      <c r="AS218" s="242"/>
      <c r="AU218" s="4"/>
    </row>
    <row r="219" spans="7:47" ht="24.75" customHeight="1" x14ac:dyDescent="0.75">
      <c r="G219" s="243"/>
      <c r="H219" s="244"/>
      <c r="I219" s="4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  <c r="AM219" s="242"/>
      <c r="AN219" s="242"/>
      <c r="AO219" s="242"/>
      <c r="AP219" s="242"/>
      <c r="AQ219" s="242"/>
      <c r="AR219" s="242"/>
      <c r="AS219" s="242"/>
      <c r="AU219" s="4"/>
    </row>
    <row r="220" spans="7:47" ht="24.75" customHeight="1" x14ac:dyDescent="0.75">
      <c r="G220" s="243"/>
      <c r="H220" s="244"/>
      <c r="I220" s="4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  <c r="AM220" s="242"/>
      <c r="AN220" s="242"/>
      <c r="AO220" s="242"/>
      <c r="AP220" s="242"/>
      <c r="AQ220" s="242"/>
      <c r="AR220" s="242"/>
      <c r="AS220" s="242"/>
      <c r="AU220" s="4"/>
    </row>
    <row r="221" spans="7:47" ht="24.75" customHeight="1" x14ac:dyDescent="0.75">
      <c r="G221" s="243"/>
      <c r="H221" s="244"/>
      <c r="I221" s="4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  <c r="AM221" s="242"/>
      <c r="AN221" s="242"/>
      <c r="AO221" s="242"/>
      <c r="AP221" s="242"/>
      <c r="AQ221" s="242"/>
      <c r="AR221" s="242"/>
      <c r="AS221" s="242"/>
      <c r="AU221" s="4"/>
    </row>
    <row r="222" spans="7:47" ht="24.75" customHeight="1" x14ac:dyDescent="0.75">
      <c r="G222" s="243"/>
      <c r="H222" s="244"/>
      <c r="I222" s="4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  <c r="AM222" s="242"/>
      <c r="AN222" s="242"/>
      <c r="AO222" s="242"/>
      <c r="AP222" s="242"/>
      <c r="AQ222" s="242"/>
      <c r="AR222" s="242"/>
      <c r="AS222" s="242"/>
      <c r="AU222" s="4"/>
    </row>
    <row r="223" spans="7:47" ht="24.75" customHeight="1" x14ac:dyDescent="0.75">
      <c r="G223" s="243"/>
      <c r="H223" s="244"/>
      <c r="I223" s="4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  <c r="AM223" s="242"/>
      <c r="AN223" s="242"/>
      <c r="AO223" s="242"/>
      <c r="AP223" s="242"/>
      <c r="AQ223" s="242"/>
      <c r="AR223" s="242"/>
      <c r="AS223" s="242"/>
      <c r="AU223" s="4"/>
    </row>
    <row r="224" spans="7:47" ht="24.75" customHeight="1" x14ac:dyDescent="0.75">
      <c r="G224" s="243"/>
      <c r="H224" s="244"/>
      <c r="I224" s="4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  <c r="AM224" s="242"/>
      <c r="AN224" s="242"/>
      <c r="AO224" s="242"/>
      <c r="AP224" s="242"/>
      <c r="AQ224" s="242"/>
      <c r="AR224" s="242"/>
      <c r="AS224" s="242"/>
      <c r="AU224" s="4"/>
    </row>
    <row r="225" spans="7:47" ht="24.75" customHeight="1" x14ac:dyDescent="0.75">
      <c r="G225" s="243"/>
      <c r="H225" s="244"/>
      <c r="I225" s="4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  <c r="AM225" s="242"/>
      <c r="AN225" s="242"/>
      <c r="AO225" s="242"/>
      <c r="AP225" s="242"/>
      <c r="AQ225" s="242"/>
      <c r="AR225" s="242"/>
      <c r="AS225" s="242"/>
      <c r="AU225" s="4"/>
    </row>
    <row r="226" spans="7:47" ht="24.75" customHeight="1" x14ac:dyDescent="0.75">
      <c r="G226" s="243"/>
      <c r="H226" s="244"/>
      <c r="I226" s="4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  <c r="AM226" s="242"/>
      <c r="AN226" s="242"/>
      <c r="AO226" s="242"/>
      <c r="AP226" s="242"/>
      <c r="AQ226" s="242"/>
      <c r="AR226" s="242"/>
      <c r="AS226" s="242"/>
      <c r="AU226" s="4"/>
    </row>
    <row r="227" spans="7:47" ht="24.75" customHeight="1" x14ac:dyDescent="0.75">
      <c r="G227" s="243"/>
      <c r="H227" s="244"/>
      <c r="I227" s="4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  <c r="AM227" s="242"/>
      <c r="AN227" s="242"/>
      <c r="AO227" s="242"/>
      <c r="AP227" s="242"/>
      <c r="AQ227" s="242"/>
      <c r="AR227" s="242"/>
      <c r="AS227" s="242"/>
      <c r="AU227" s="4"/>
    </row>
    <row r="228" spans="7:47" ht="24.75" customHeight="1" x14ac:dyDescent="0.75">
      <c r="G228" s="243"/>
      <c r="H228" s="244"/>
      <c r="I228" s="4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  <c r="AM228" s="242"/>
      <c r="AN228" s="242"/>
      <c r="AO228" s="242"/>
      <c r="AP228" s="242"/>
      <c r="AQ228" s="242"/>
      <c r="AR228" s="242"/>
      <c r="AS228" s="242"/>
      <c r="AU228" s="4"/>
    </row>
    <row r="229" spans="7:47" ht="24.75" customHeight="1" x14ac:dyDescent="0.75">
      <c r="G229" s="243"/>
      <c r="H229" s="244"/>
      <c r="I229" s="4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  <c r="AM229" s="242"/>
      <c r="AN229" s="242"/>
      <c r="AO229" s="242"/>
      <c r="AP229" s="242"/>
      <c r="AQ229" s="242"/>
      <c r="AR229" s="242"/>
      <c r="AS229" s="242"/>
      <c r="AU229" s="4"/>
    </row>
    <row r="230" spans="7:47" ht="24.75" customHeight="1" x14ac:dyDescent="0.75">
      <c r="G230" s="243"/>
      <c r="H230" s="244"/>
      <c r="I230" s="4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  <c r="AM230" s="242"/>
      <c r="AN230" s="242"/>
      <c r="AO230" s="242"/>
      <c r="AP230" s="242"/>
      <c r="AQ230" s="242"/>
      <c r="AR230" s="242"/>
      <c r="AS230" s="242"/>
      <c r="AU230" s="4"/>
    </row>
    <row r="231" spans="7:47" ht="24.75" customHeight="1" x14ac:dyDescent="0.75">
      <c r="G231" s="243"/>
      <c r="H231" s="244"/>
      <c r="I231" s="4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  <c r="AM231" s="242"/>
      <c r="AN231" s="242"/>
      <c r="AO231" s="242"/>
      <c r="AP231" s="242"/>
      <c r="AQ231" s="242"/>
      <c r="AR231" s="242"/>
      <c r="AS231" s="242"/>
      <c r="AU231" s="4"/>
    </row>
    <row r="232" spans="7:47" ht="24.75" customHeight="1" x14ac:dyDescent="0.75">
      <c r="G232" s="243"/>
      <c r="H232" s="244"/>
      <c r="I232" s="4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  <c r="AM232" s="242"/>
      <c r="AN232" s="242"/>
      <c r="AO232" s="242"/>
      <c r="AP232" s="242"/>
      <c r="AQ232" s="242"/>
      <c r="AR232" s="242"/>
      <c r="AS232" s="242"/>
      <c r="AU232" s="4"/>
    </row>
    <row r="233" spans="7:47" ht="24.75" customHeight="1" x14ac:dyDescent="0.75">
      <c r="G233" s="243"/>
      <c r="H233" s="244"/>
      <c r="I233" s="4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  <c r="AM233" s="242"/>
      <c r="AN233" s="242"/>
      <c r="AO233" s="242"/>
      <c r="AP233" s="242"/>
      <c r="AQ233" s="242"/>
      <c r="AR233" s="242"/>
      <c r="AS233" s="242"/>
      <c r="AU233" s="4"/>
    </row>
    <row r="234" spans="7:47" ht="24.75" customHeight="1" x14ac:dyDescent="0.75">
      <c r="G234" s="243"/>
      <c r="H234" s="244"/>
      <c r="I234" s="4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  <c r="AM234" s="242"/>
      <c r="AN234" s="242"/>
      <c r="AO234" s="242"/>
      <c r="AP234" s="242"/>
      <c r="AQ234" s="242"/>
      <c r="AR234" s="242"/>
      <c r="AS234" s="242"/>
      <c r="AU234" s="4"/>
    </row>
    <row r="235" spans="7:47" ht="24.75" customHeight="1" x14ac:dyDescent="0.75">
      <c r="G235" s="243"/>
      <c r="H235" s="244"/>
      <c r="I235" s="4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  <c r="AM235" s="242"/>
      <c r="AN235" s="242"/>
      <c r="AO235" s="242"/>
      <c r="AP235" s="242"/>
      <c r="AQ235" s="242"/>
      <c r="AR235" s="242"/>
      <c r="AS235" s="242"/>
      <c r="AU235" s="4"/>
    </row>
    <row r="236" spans="7:47" ht="24.75" customHeight="1" x14ac:dyDescent="0.75">
      <c r="G236" s="243"/>
      <c r="H236" s="244"/>
      <c r="I236" s="4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  <c r="AM236" s="242"/>
      <c r="AN236" s="242"/>
      <c r="AO236" s="242"/>
      <c r="AP236" s="242"/>
      <c r="AQ236" s="242"/>
      <c r="AR236" s="242"/>
      <c r="AS236" s="242"/>
      <c r="AU236" s="4"/>
    </row>
    <row r="237" spans="7:47" ht="24.75" customHeight="1" x14ac:dyDescent="0.75">
      <c r="G237" s="243"/>
      <c r="H237" s="244"/>
      <c r="I237" s="4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  <c r="AM237" s="242"/>
      <c r="AN237" s="242"/>
      <c r="AO237" s="242"/>
      <c r="AP237" s="242"/>
      <c r="AQ237" s="242"/>
      <c r="AR237" s="242"/>
      <c r="AS237" s="242"/>
      <c r="AU237" s="4"/>
    </row>
    <row r="238" spans="7:47" ht="24.75" customHeight="1" x14ac:dyDescent="0.75">
      <c r="G238" s="243"/>
      <c r="H238" s="244"/>
      <c r="I238" s="4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  <c r="AM238" s="242"/>
      <c r="AN238" s="242"/>
      <c r="AO238" s="242"/>
      <c r="AP238" s="242"/>
      <c r="AQ238" s="242"/>
      <c r="AR238" s="242"/>
      <c r="AS238" s="242"/>
      <c r="AU238" s="4"/>
    </row>
    <row r="239" spans="7:47" ht="24.75" customHeight="1" x14ac:dyDescent="0.75">
      <c r="G239" s="243"/>
      <c r="H239" s="244"/>
      <c r="I239" s="4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  <c r="AM239" s="242"/>
      <c r="AN239" s="242"/>
      <c r="AO239" s="242"/>
      <c r="AP239" s="242"/>
      <c r="AQ239" s="242"/>
      <c r="AR239" s="242"/>
      <c r="AS239" s="242"/>
      <c r="AU239" s="4"/>
    </row>
    <row r="240" spans="7:47" ht="24.75" customHeight="1" x14ac:dyDescent="0.75">
      <c r="G240" s="243"/>
      <c r="H240" s="244"/>
      <c r="I240" s="4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  <c r="AM240" s="242"/>
      <c r="AN240" s="242"/>
      <c r="AO240" s="242"/>
      <c r="AP240" s="242"/>
      <c r="AQ240" s="242"/>
      <c r="AR240" s="242"/>
      <c r="AS240" s="242"/>
      <c r="AU240" s="4"/>
    </row>
    <row r="241" spans="7:47" ht="24.75" customHeight="1" x14ac:dyDescent="0.75">
      <c r="G241" s="243"/>
      <c r="H241" s="244"/>
      <c r="I241" s="4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  <c r="AM241" s="242"/>
      <c r="AN241" s="242"/>
      <c r="AO241" s="242"/>
      <c r="AP241" s="242"/>
      <c r="AQ241" s="242"/>
      <c r="AR241" s="242"/>
      <c r="AS241" s="242"/>
      <c r="AU241" s="4"/>
    </row>
    <row r="242" spans="7:47" ht="24.75" customHeight="1" x14ac:dyDescent="0.75">
      <c r="G242" s="243"/>
      <c r="H242" s="244"/>
      <c r="I242" s="4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  <c r="AM242" s="242"/>
      <c r="AN242" s="242"/>
      <c r="AO242" s="242"/>
      <c r="AP242" s="242"/>
      <c r="AQ242" s="242"/>
      <c r="AR242" s="242"/>
      <c r="AS242" s="242"/>
      <c r="AU242" s="4"/>
    </row>
    <row r="243" spans="7:47" ht="24.75" customHeight="1" x14ac:dyDescent="0.75">
      <c r="G243" s="243"/>
      <c r="H243" s="244"/>
      <c r="I243" s="4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  <c r="AM243" s="242"/>
      <c r="AN243" s="242"/>
      <c r="AO243" s="242"/>
      <c r="AP243" s="242"/>
      <c r="AQ243" s="242"/>
      <c r="AR243" s="242"/>
      <c r="AS243" s="242"/>
      <c r="AU243" s="4"/>
    </row>
    <row r="244" spans="7:47" ht="24.75" customHeight="1" x14ac:dyDescent="0.75">
      <c r="G244" s="243"/>
      <c r="H244" s="244"/>
      <c r="I244" s="4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  <c r="AM244" s="242"/>
      <c r="AN244" s="242"/>
      <c r="AO244" s="242"/>
      <c r="AP244" s="242"/>
      <c r="AQ244" s="242"/>
      <c r="AR244" s="242"/>
      <c r="AS244" s="242"/>
      <c r="AU244" s="4"/>
    </row>
    <row r="245" spans="7:47" ht="24.75" customHeight="1" x14ac:dyDescent="0.75">
      <c r="G245" s="243"/>
      <c r="H245" s="244"/>
      <c r="I245" s="4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  <c r="AM245" s="242"/>
      <c r="AN245" s="242"/>
      <c r="AO245" s="242"/>
      <c r="AP245" s="242"/>
      <c r="AQ245" s="242"/>
      <c r="AR245" s="242"/>
      <c r="AS245" s="242"/>
      <c r="AU245" s="4"/>
    </row>
    <row r="246" spans="7:47" ht="24.75" customHeight="1" x14ac:dyDescent="0.75">
      <c r="G246" s="243"/>
      <c r="H246" s="244"/>
      <c r="I246" s="4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  <c r="AM246" s="242"/>
      <c r="AN246" s="242"/>
      <c r="AO246" s="242"/>
      <c r="AP246" s="242"/>
      <c r="AQ246" s="242"/>
      <c r="AR246" s="242"/>
      <c r="AS246" s="242"/>
      <c r="AU246" s="4"/>
    </row>
    <row r="247" spans="7:47" ht="24.75" customHeight="1" x14ac:dyDescent="0.75">
      <c r="G247" s="243"/>
      <c r="H247" s="244"/>
      <c r="I247" s="4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  <c r="AM247" s="242"/>
      <c r="AN247" s="242"/>
      <c r="AO247" s="242"/>
      <c r="AP247" s="242"/>
      <c r="AQ247" s="242"/>
      <c r="AR247" s="242"/>
      <c r="AS247" s="242"/>
      <c r="AU247" s="4"/>
    </row>
    <row r="248" spans="7:47" ht="24.75" customHeight="1" x14ac:dyDescent="0.75">
      <c r="G248" s="243"/>
      <c r="H248" s="244"/>
      <c r="I248" s="4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  <c r="AM248" s="242"/>
      <c r="AN248" s="242"/>
      <c r="AO248" s="242"/>
      <c r="AP248" s="242"/>
      <c r="AQ248" s="242"/>
      <c r="AR248" s="242"/>
      <c r="AS248" s="242"/>
      <c r="AU248" s="4"/>
    </row>
    <row r="249" spans="7:47" ht="24.75" customHeight="1" x14ac:dyDescent="0.75">
      <c r="G249" s="243"/>
      <c r="H249" s="244"/>
      <c r="I249" s="4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2"/>
      <c r="AQ249" s="242"/>
      <c r="AR249" s="242"/>
      <c r="AS249" s="242"/>
      <c r="AU249" s="4"/>
    </row>
    <row r="250" spans="7:47" ht="24.75" customHeight="1" x14ac:dyDescent="0.75">
      <c r="G250" s="243"/>
      <c r="H250" s="244"/>
      <c r="I250" s="4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  <c r="AM250" s="242"/>
      <c r="AN250" s="242"/>
      <c r="AO250" s="242"/>
      <c r="AP250" s="242"/>
      <c r="AQ250" s="242"/>
      <c r="AR250" s="242"/>
      <c r="AS250" s="242"/>
      <c r="AU250" s="4"/>
    </row>
    <row r="251" spans="7:47" ht="24.75" customHeight="1" x14ac:dyDescent="0.75">
      <c r="G251" s="243"/>
      <c r="H251" s="244"/>
      <c r="I251" s="4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  <c r="AM251" s="242"/>
      <c r="AN251" s="242"/>
      <c r="AO251" s="242"/>
      <c r="AP251" s="242"/>
      <c r="AQ251" s="242"/>
      <c r="AR251" s="242"/>
      <c r="AS251" s="242"/>
      <c r="AU251" s="4"/>
    </row>
    <row r="252" spans="7:47" ht="24.75" customHeight="1" x14ac:dyDescent="0.75">
      <c r="G252" s="243"/>
      <c r="H252" s="244"/>
      <c r="I252" s="4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  <c r="AA252" s="242"/>
      <c r="AB252" s="242"/>
      <c r="AC252" s="242"/>
      <c r="AD252" s="242"/>
      <c r="AE252" s="242"/>
      <c r="AF252" s="242"/>
      <c r="AG252" s="242"/>
      <c r="AH252" s="242"/>
      <c r="AI252" s="242"/>
      <c r="AJ252" s="242"/>
      <c r="AK252" s="242"/>
      <c r="AL252" s="242"/>
      <c r="AM252" s="242"/>
      <c r="AN252" s="242"/>
      <c r="AO252" s="242"/>
      <c r="AP252" s="242"/>
      <c r="AQ252" s="242"/>
      <c r="AR252" s="242"/>
      <c r="AS252" s="242"/>
      <c r="AU252" s="4"/>
    </row>
    <row r="253" spans="7:47" ht="24.75" customHeight="1" x14ac:dyDescent="0.75">
      <c r="G253" s="243"/>
      <c r="H253" s="244"/>
      <c r="I253" s="4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  <c r="AA253" s="242"/>
      <c r="AB253" s="242"/>
      <c r="AC253" s="242"/>
      <c r="AD253" s="242"/>
      <c r="AE253" s="242"/>
      <c r="AF253" s="242"/>
      <c r="AG253" s="242"/>
      <c r="AH253" s="242"/>
      <c r="AI253" s="242"/>
      <c r="AJ253" s="242"/>
      <c r="AK253" s="242"/>
      <c r="AL253" s="242"/>
      <c r="AM253" s="242"/>
      <c r="AN253" s="242"/>
      <c r="AO253" s="242"/>
      <c r="AP253" s="242"/>
      <c r="AQ253" s="242"/>
      <c r="AR253" s="242"/>
      <c r="AS253" s="242"/>
      <c r="AU253" s="4"/>
    </row>
    <row r="254" spans="7:47" ht="24.75" customHeight="1" x14ac:dyDescent="0.75">
      <c r="G254" s="243"/>
      <c r="H254" s="244"/>
      <c r="I254" s="4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  <c r="AA254" s="242"/>
      <c r="AB254" s="242"/>
      <c r="AC254" s="242"/>
      <c r="AD254" s="242"/>
      <c r="AE254" s="242"/>
      <c r="AF254" s="242"/>
      <c r="AG254" s="242"/>
      <c r="AH254" s="242"/>
      <c r="AI254" s="242"/>
      <c r="AJ254" s="242"/>
      <c r="AK254" s="242"/>
      <c r="AL254" s="242"/>
      <c r="AM254" s="242"/>
      <c r="AN254" s="242"/>
      <c r="AO254" s="242"/>
      <c r="AP254" s="242"/>
      <c r="AQ254" s="242"/>
      <c r="AR254" s="242"/>
      <c r="AS254" s="242"/>
      <c r="AU254" s="4"/>
    </row>
    <row r="255" spans="7:47" ht="24.75" customHeight="1" x14ac:dyDescent="0.75">
      <c r="G255" s="243"/>
      <c r="H255" s="244"/>
      <c r="I255" s="4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  <c r="AA255" s="242"/>
      <c r="AB255" s="242"/>
      <c r="AC255" s="242"/>
      <c r="AD255" s="242"/>
      <c r="AE255" s="242"/>
      <c r="AF255" s="242"/>
      <c r="AG255" s="242"/>
      <c r="AH255" s="242"/>
      <c r="AI255" s="242"/>
      <c r="AJ255" s="242"/>
      <c r="AK255" s="242"/>
      <c r="AL255" s="242"/>
      <c r="AM255" s="242"/>
      <c r="AN255" s="242"/>
      <c r="AO255" s="242"/>
      <c r="AP255" s="242"/>
      <c r="AQ255" s="242"/>
      <c r="AR255" s="242"/>
      <c r="AS255" s="242"/>
      <c r="AU255" s="4"/>
    </row>
    <row r="256" spans="7:47" ht="24.75" customHeight="1" x14ac:dyDescent="0.75">
      <c r="G256" s="243"/>
      <c r="H256" s="244"/>
      <c r="I256" s="4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  <c r="AA256" s="242"/>
      <c r="AB256" s="242"/>
      <c r="AC256" s="242"/>
      <c r="AD256" s="242"/>
      <c r="AE256" s="242"/>
      <c r="AF256" s="242"/>
      <c r="AG256" s="242"/>
      <c r="AH256" s="242"/>
      <c r="AI256" s="242"/>
      <c r="AJ256" s="242"/>
      <c r="AK256" s="242"/>
      <c r="AL256" s="242"/>
      <c r="AM256" s="242"/>
      <c r="AN256" s="242"/>
      <c r="AO256" s="242"/>
      <c r="AP256" s="242"/>
      <c r="AQ256" s="242"/>
      <c r="AR256" s="242"/>
      <c r="AS256" s="242"/>
      <c r="AU256" s="4"/>
    </row>
    <row r="257" spans="7:47" ht="24.75" customHeight="1" x14ac:dyDescent="0.75">
      <c r="G257" s="243"/>
      <c r="H257" s="244"/>
      <c r="I257" s="4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  <c r="AA257" s="242"/>
      <c r="AB257" s="242"/>
      <c r="AC257" s="242"/>
      <c r="AD257" s="242"/>
      <c r="AE257" s="242"/>
      <c r="AF257" s="242"/>
      <c r="AG257" s="242"/>
      <c r="AH257" s="242"/>
      <c r="AI257" s="242"/>
      <c r="AJ257" s="242"/>
      <c r="AK257" s="242"/>
      <c r="AL257" s="242"/>
      <c r="AM257" s="242"/>
      <c r="AN257" s="242"/>
      <c r="AO257" s="242"/>
      <c r="AP257" s="242"/>
      <c r="AQ257" s="242"/>
      <c r="AR257" s="242"/>
      <c r="AS257" s="242"/>
      <c r="AU257" s="4"/>
    </row>
    <row r="258" spans="7:47" ht="24.75" customHeight="1" x14ac:dyDescent="0.75">
      <c r="G258" s="243"/>
      <c r="H258" s="244"/>
      <c r="I258" s="4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  <c r="AA258" s="242"/>
      <c r="AB258" s="242"/>
      <c r="AC258" s="242"/>
      <c r="AD258" s="242"/>
      <c r="AE258" s="242"/>
      <c r="AF258" s="242"/>
      <c r="AG258" s="242"/>
      <c r="AH258" s="242"/>
      <c r="AI258" s="242"/>
      <c r="AJ258" s="242"/>
      <c r="AK258" s="242"/>
      <c r="AL258" s="242"/>
      <c r="AM258" s="242"/>
      <c r="AN258" s="242"/>
      <c r="AO258" s="242"/>
      <c r="AP258" s="242"/>
      <c r="AQ258" s="242"/>
      <c r="AR258" s="242"/>
      <c r="AS258" s="242"/>
      <c r="AU258" s="4"/>
    </row>
    <row r="259" spans="7:47" ht="24.75" customHeight="1" x14ac:dyDescent="0.75">
      <c r="G259" s="243"/>
      <c r="H259" s="244"/>
      <c r="I259" s="4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2"/>
      <c r="AQ259" s="242"/>
      <c r="AR259" s="242"/>
      <c r="AS259" s="242"/>
      <c r="AU259" s="4"/>
    </row>
    <row r="260" spans="7:47" ht="24.75" customHeight="1" x14ac:dyDescent="0.75">
      <c r="G260" s="243"/>
      <c r="H260" s="244"/>
      <c r="I260" s="4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42"/>
      <c r="AC260" s="242"/>
      <c r="AD260" s="242"/>
      <c r="AE260" s="242"/>
      <c r="AF260" s="242"/>
      <c r="AG260" s="242"/>
      <c r="AH260" s="242"/>
      <c r="AI260" s="242"/>
      <c r="AJ260" s="242"/>
      <c r="AK260" s="242"/>
      <c r="AL260" s="242"/>
      <c r="AM260" s="242"/>
      <c r="AN260" s="242"/>
      <c r="AO260" s="242"/>
      <c r="AP260" s="242"/>
      <c r="AQ260" s="242"/>
      <c r="AR260" s="242"/>
      <c r="AS260" s="242"/>
      <c r="AU260" s="4"/>
    </row>
    <row r="261" spans="7:47" ht="24.75" customHeight="1" x14ac:dyDescent="0.75">
      <c r="G261" s="243"/>
      <c r="H261" s="244"/>
      <c r="I261" s="4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B261" s="242"/>
      <c r="AC261" s="242"/>
      <c r="AD261" s="242"/>
      <c r="AE261" s="242"/>
      <c r="AF261" s="242"/>
      <c r="AG261" s="242"/>
      <c r="AH261" s="242"/>
      <c r="AI261" s="242"/>
      <c r="AJ261" s="242"/>
      <c r="AK261" s="242"/>
      <c r="AL261" s="242"/>
      <c r="AM261" s="242"/>
      <c r="AN261" s="242"/>
      <c r="AO261" s="242"/>
      <c r="AP261" s="242"/>
      <c r="AQ261" s="242"/>
      <c r="AR261" s="242"/>
      <c r="AS261" s="242"/>
      <c r="AU261" s="4"/>
    </row>
    <row r="262" spans="7:47" ht="24.75" customHeight="1" x14ac:dyDescent="0.75">
      <c r="G262" s="243"/>
      <c r="H262" s="244"/>
      <c r="I262" s="4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  <c r="AC262" s="242"/>
      <c r="AD262" s="242"/>
      <c r="AE262" s="242"/>
      <c r="AF262" s="242"/>
      <c r="AG262" s="242"/>
      <c r="AH262" s="242"/>
      <c r="AI262" s="242"/>
      <c r="AJ262" s="242"/>
      <c r="AK262" s="242"/>
      <c r="AL262" s="242"/>
      <c r="AM262" s="242"/>
      <c r="AN262" s="242"/>
      <c r="AO262" s="242"/>
      <c r="AP262" s="242"/>
      <c r="AQ262" s="242"/>
      <c r="AR262" s="242"/>
      <c r="AS262" s="242"/>
      <c r="AU262" s="4"/>
    </row>
    <row r="263" spans="7:47" ht="24.75" customHeight="1" x14ac:dyDescent="0.75">
      <c r="G263" s="243"/>
      <c r="H263" s="244"/>
      <c r="I263" s="4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  <c r="AD263" s="242"/>
      <c r="AE263" s="242"/>
      <c r="AF263" s="242"/>
      <c r="AG263" s="242"/>
      <c r="AH263" s="242"/>
      <c r="AI263" s="242"/>
      <c r="AJ263" s="242"/>
      <c r="AK263" s="242"/>
      <c r="AL263" s="242"/>
      <c r="AM263" s="242"/>
      <c r="AN263" s="242"/>
      <c r="AO263" s="242"/>
      <c r="AP263" s="242"/>
      <c r="AQ263" s="242"/>
      <c r="AR263" s="242"/>
      <c r="AS263" s="242"/>
      <c r="AU263" s="4"/>
    </row>
    <row r="264" spans="7:47" ht="24.75" customHeight="1" x14ac:dyDescent="0.75">
      <c r="G264" s="243"/>
      <c r="H264" s="244"/>
      <c r="I264" s="4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  <c r="AA264" s="242"/>
      <c r="AB264" s="242"/>
      <c r="AC264" s="242"/>
      <c r="AD264" s="242"/>
      <c r="AE264" s="242"/>
      <c r="AF264" s="242"/>
      <c r="AG264" s="242"/>
      <c r="AH264" s="242"/>
      <c r="AI264" s="242"/>
      <c r="AJ264" s="242"/>
      <c r="AK264" s="242"/>
      <c r="AL264" s="242"/>
      <c r="AM264" s="242"/>
      <c r="AN264" s="242"/>
      <c r="AO264" s="242"/>
      <c r="AP264" s="242"/>
      <c r="AQ264" s="242"/>
      <c r="AR264" s="242"/>
      <c r="AS264" s="242"/>
      <c r="AU264" s="4"/>
    </row>
    <row r="265" spans="7:47" ht="24.75" customHeight="1" x14ac:dyDescent="0.75">
      <c r="G265" s="243"/>
      <c r="H265" s="244"/>
      <c r="I265" s="4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  <c r="AA265" s="242"/>
      <c r="AB265" s="242"/>
      <c r="AC265" s="242"/>
      <c r="AD265" s="242"/>
      <c r="AE265" s="242"/>
      <c r="AF265" s="242"/>
      <c r="AG265" s="242"/>
      <c r="AH265" s="242"/>
      <c r="AI265" s="242"/>
      <c r="AJ265" s="242"/>
      <c r="AK265" s="242"/>
      <c r="AL265" s="242"/>
      <c r="AM265" s="242"/>
      <c r="AN265" s="242"/>
      <c r="AO265" s="242"/>
      <c r="AP265" s="242"/>
      <c r="AQ265" s="242"/>
      <c r="AR265" s="242"/>
      <c r="AS265" s="242"/>
      <c r="AU265" s="4"/>
    </row>
    <row r="266" spans="7:47" ht="24.75" customHeight="1" x14ac:dyDescent="0.75">
      <c r="G266" s="243"/>
      <c r="H266" s="244"/>
      <c r="I266" s="4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  <c r="AA266" s="242"/>
      <c r="AB266" s="242"/>
      <c r="AC266" s="242"/>
      <c r="AD266" s="242"/>
      <c r="AE266" s="242"/>
      <c r="AF266" s="242"/>
      <c r="AG266" s="242"/>
      <c r="AH266" s="242"/>
      <c r="AI266" s="242"/>
      <c r="AJ266" s="242"/>
      <c r="AK266" s="242"/>
      <c r="AL266" s="242"/>
      <c r="AM266" s="242"/>
      <c r="AN266" s="242"/>
      <c r="AO266" s="242"/>
      <c r="AP266" s="242"/>
      <c r="AQ266" s="242"/>
      <c r="AR266" s="242"/>
      <c r="AS266" s="242"/>
      <c r="AU266" s="4"/>
    </row>
    <row r="267" spans="7:47" ht="24.75" customHeight="1" x14ac:dyDescent="0.75">
      <c r="G267" s="243"/>
      <c r="H267" s="244"/>
      <c r="I267" s="4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  <c r="AA267" s="242"/>
      <c r="AB267" s="242"/>
      <c r="AC267" s="242"/>
      <c r="AD267" s="242"/>
      <c r="AE267" s="242"/>
      <c r="AF267" s="242"/>
      <c r="AG267" s="242"/>
      <c r="AH267" s="242"/>
      <c r="AI267" s="242"/>
      <c r="AJ267" s="242"/>
      <c r="AK267" s="242"/>
      <c r="AL267" s="242"/>
      <c r="AM267" s="242"/>
      <c r="AN267" s="242"/>
      <c r="AO267" s="242"/>
      <c r="AP267" s="242"/>
      <c r="AQ267" s="242"/>
      <c r="AR267" s="242"/>
      <c r="AS267" s="242"/>
      <c r="AU267" s="4"/>
    </row>
    <row r="268" spans="7:47" ht="24.75" customHeight="1" x14ac:dyDescent="0.75">
      <c r="G268" s="243"/>
      <c r="H268" s="244"/>
      <c r="I268" s="4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  <c r="AA268" s="242"/>
      <c r="AB268" s="242"/>
      <c r="AC268" s="242"/>
      <c r="AD268" s="242"/>
      <c r="AE268" s="242"/>
      <c r="AF268" s="242"/>
      <c r="AG268" s="242"/>
      <c r="AH268" s="242"/>
      <c r="AI268" s="242"/>
      <c r="AJ268" s="242"/>
      <c r="AK268" s="242"/>
      <c r="AL268" s="242"/>
      <c r="AM268" s="242"/>
      <c r="AN268" s="242"/>
      <c r="AO268" s="242"/>
      <c r="AP268" s="242"/>
      <c r="AQ268" s="242"/>
      <c r="AR268" s="242"/>
      <c r="AS268" s="242"/>
      <c r="AU268" s="4"/>
    </row>
    <row r="269" spans="7:47" ht="24.75" customHeight="1" x14ac:dyDescent="0.75">
      <c r="G269" s="243"/>
      <c r="H269" s="244"/>
      <c r="I269" s="4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  <c r="AC269" s="242"/>
      <c r="AD269" s="242"/>
      <c r="AE269" s="242"/>
      <c r="AF269" s="242"/>
      <c r="AG269" s="242"/>
      <c r="AH269" s="242"/>
      <c r="AI269" s="242"/>
      <c r="AJ269" s="242"/>
      <c r="AK269" s="242"/>
      <c r="AL269" s="242"/>
      <c r="AM269" s="242"/>
      <c r="AN269" s="242"/>
      <c r="AO269" s="242"/>
      <c r="AP269" s="242"/>
      <c r="AQ269" s="242"/>
      <c r="AR269" s="242"/>
      <c r="AS269" s="242"/>
      <c r="AU269" s="4"/>
    </row>
    <row r="270" spans="7:47" ht="24.75" customHeight="1" x14ac:dyDescent="0.75">
      <c r="G270" s="243"/>
      <c r="H270" s="244"/>
      <c r="I270" s="4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2"/>
      <c r="AQ270" s="242"/>
      <c r="AR270" s="242"/>
      <c r="AS270" s="242"/>
      <c r="AU270" s="4"/>
    </row>
    <row r="271" spans="7:47" ht="24.75" customHeight="1" x14ac:dyDescent="0.75">
      <c r="G271" s="243"/>
      <c r="H271" s="244"/>
      <c r="I271" s="4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  <c r="AA271" s="242"/>
      <c r="AB271" s="242"/>
      <c r="AC271" s="242"/>
      <c r="AD271" s="242"/>
      <c r="AE271" s="242"/>
      <c r="AF271" s="242"/>
      <c r="AG271" s="242"/>
      <c r="AH271" s="242"/>
      <c r="AI271" s="242"/>
      <c r="AJ271" s="242"/>
      <c r="AK271" s="242"/>
      <c r="AL271" s="242"/>
      <c r="AM271" s="242"/>
      <c r="AN271" s="242"/>
      <c r="AO271" s="242"/>
      <c r="AP271" s="242"/>
      <c r="AQ271" s="242"/>
      <c r="AR271" s="242"/>
      <c r="AS271" s="242"/>
      <c r="AU271" s="4"/>
    </row>
    <row r="272" spans="7:47" ht="24.75" customHeight="1" x14ac:dyDescent="0.75">
      <c r="G272" s="243"/>
      <c r="H272" s="244"/>
      <c r="I272" s="4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  <c r="AA272" s="242"/>
      <c r="AB272" s="242"/>
      <c r="AC272" s="242"/>
      <c r="AD272" s="242"/>
      <c r="AE272" s="242"/>
      <c r="AF272" s="242"/>
      <c r="AG272" s="242"/>
      <c r="AH272" s="242"/>
      <c r="AI272" s="242"/>
      <c r="AJ272" s="242"/>
      <c r="AK272" s="242"/>
      <c r="AL272" s="242"/>
      <c r="AM272" s="242"/>
      <c r="AN272" s="242"/>
      <c r="AO272" s="242"/>
      <c r="AP272" s="242"/>
      <c r="AQ272" s="242"/>
      <c r="AR272" s="242"/>
      <c r="AS272" s="242"/>
      <c r="AU272" s="4"/>
    </row>
    <row r="273" spans="7:47" ht="24.75" customHeight="1" x14ac:dyDescent="0.75">
      <c r="G273" s="243"/>
      <c r="H273" s="244"/>
      <c r="I273" s="4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  <c r="AA273" s="242"/>
      <c r="AB273" s="242"/>
      <c r="AC273" s="242"/>
      <c r="AD273" s="242"/>
      <c r="AE273" s="242"/>
      <c r="AF273" s="242"/>
      <c r="AG273" s="242"/>
      <c r="AH273" s="242"/>
      <c r="AI273" s="242"/>
      <c r="AJ273" s="242"/>
      <c r="AK273" s="242"/>
      <c r="AL273" s="242"/>
      <c r="AM273" s="242"/>
      <c r="AN273" s="242"/>
      <c r="AO273" s="242"/>
      <c r="AP273" s="242"/>
      <c r="AQ273" s="242"/>
      <c r="AR273" s="242"/>
      <c r="AS273" s="242"/>
      <c r="AU273" s="4"/>
    </row>
    <row r="274" spans="7:47" ht="24.75" customHeight="1" x14ac:dyDescent="0.75">
      <c r="G274" s="243"/>
      <c r="H274" s="244"/>
      <c r="I274" s="4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  <c r="AA274" s="242"/>
      <c r="AB274" s="242"/>
      <c r="AC274" s="242"/>
      <c r="AD274" s="242"/>
      <c r="AE274" s="242"/>
      <c r="AF274" s="242"/>
      <c r="AG274" s="242"/>
      <c r="AH274" s="242"/>
      <c r="AI274" s="242"/>
      <c r="AJ274" s="242"/>
      <c r="AK274" s="242"/>
      <c r="AL274" s="242"/>
      <c r="AM274" s="242"/>
      <c r="AN274" s="242"/>
      <c r="AO274" s="242"/>
      <c r="AP274" s="242"/>
      <c r="AQ274" s="242"/>
      <c r="AR274" s="242"/>
      <c r="AS274" s="242"/>
      <c r="AU274" s="4"/>
    </row>
    <row r="275" spans="7:47" ht="24.75" customHeight="1" x14ac:dyDescent="0.75">
      <c r="G275" s="243"/>
      <c r="H275" s="244"/>
      <c r="I275" s="4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  <c r="AA275" s="242"/>
      <c r="AB275" s="242"/>
      <c r="AC275" s="242"/>
      <c r="AD275" s="242"/>
      <c r="AE275" s="242"/>
      <c r="AF275" s="242"/>
      <c r="AG275" s="242"/>
      <c r="AH275" s="242"/>
      <c r="AI275" s="242"/>
      <c r="AJ275" s="242"/>
      <c r="AK275" s="242"/>
      <c r="AL275" s="242"/>
      <c r="AM275" s="242"/>
      <c r="AN275" s="242"/>
      <c r="AO275" s="242"/>
      <c r="AP275" s="242"/>
      <c r="AQ275" s="242"/>
      <c r="AR275" s="242"/>
      <c r="AS275" s="242"/>
      <c r="AU275" s="4"/>
    </row>
    <row r="276" spans="7:47" ht="24.75" customHeight="1" x14ac:dyDescent="0.75">
      <c r="G276" s="243"/>
      <c r="H276" s="244"/>
      <c r="I276" s="4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  <c r="AA276" s="242"/>
      <c r="AB276" s="242"/>
      <c r="AC276" s="242"/>
      <c r="AD276" s="242"/>
      <c r="AE276" s="242"/>
      <c r="AF276" s="242"/>
      <c r="AG276" s="242"/>
      <c r="AH276" s="242"/>
      <c r="AI276" s="242"/>
      <c r="AJ276" s="242"/>
      <c r="AK276" s="242"/>
      <c r="AL276" s="242"/>
      <c r="AM276" s="242"/>
      <c r="AN276" s="242"/>
      <c r="AO276" s="242"/>
      <c r="AP276" s="242"/>
      <c r="AQ276" s="242"/>
      <c r="AR276" s="242"/>
      <c r="AS276" s="242"/>
      <c r="AU276" s="4"/>
    </row>
    <row r="277" spans="7:47" ht="24.75" customHeight="1" x14ac:dyDescent="0.75">
      <c r="G277" s="243"/>
      <c r="H277" s="244"/>
      <c r="I277" s="4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  <c r="AA277" s="242"/>
      <c r="AB277" s="242"/>
      <c r="AC277" s="242"/>
      <c r="AD277" s="242"/>
      <c r="AE277" s="242"/>
      <c r="AF277" s="242"/>
      <c r="AG277" s="242"/>
      <c r="AH277" s="242"/>
      <c r="AI277" s="242"/>
      <c r="AJ277" s="242"/>
      <c r="AK277" s="242"/>
      <c r="AL277" s="242"/>
      <c r="AM277" s="242"/>
      <c r="AN277" s="242"/>
      <c r="AO277" s="242"/>
      <c r="AP277" s="242"/>
      <c r="AQ277" s="242"/>
      <c r="AR277" s="242"/>
      <c r="AS277" s="242"/>
      <c r="AU277" s="4"/>
    </row>
    <row r="278" spans="7:47" ht="24.75" customHeight="1" x14ac:dyDescent="0.75">
      <c r="G278" s="243"/>
      <c r="H278" s="244"/>
      <c r="I278" s="4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  <c r="AA278" s="242"/>
      <c r="AB278" s="242"/>
      <c r="AC278" s="242"/>
      <c r="AD278" s="242"/>
      <c r="AE278" s="242"/>
      <c r="AF278" s="242"/>
      <c r="AG278" s="242"/>
      <c r="AH278" s="242"/>
      <c r="AI278" s="242"/>
      <c r="AJ278" s="242"/>
      <c r="AK278" s="242"/>
      <c r="AL278" s="242"/>
      <c r="AM278" s="242"/>
      <c r="AN278" s="242"/>
      <c r="AO278" s="242"/>
      <c r="AP278" s="242"/>
      <c r="AQ278" s="242"/>
      <c r="AR278" s="242"/>
      <c r="AS278" s="242"/>
      <c r="AU278" s="4"/>
    </row>
    <row r="279" spans="7:47" ht="24.75" customHeight="1" x14ac:dyDescent="0.75">
      <c r="G279" s="243"/>
      <c r="H279" s="244"/>
      <c r="I279" s="4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  <c r="AA279" s="242"/>
      <c r="AB279" s="242"/>
      <c r="AC279" s="242"/>
      <c r="AD279" s="242"/>
      <c r="AE279" s="242"/>
      <c r="AF279" s="242"/>
      <c r="AG279" s="242"/>
      <c r="AH279" s="242"/>
      <c r="AI279" s="242"/>
      <c r="AJ279" s="242"/>
      <c r="AK279" s="242"/>
      <c r="AL279" s="242"/>
      <c r="AM279" s="242"/>
      <c r="AN279" s="242"/>
      <c r="AO279" s="242"/>
      <c r="AP279" s="242"/>
      <c r="AQ279" s="242"/>
      <c r="AR279" s="242"/>
      <c r="AS279" s="242"/>
      <c r="AU279" s="4"/>
    </row>
    <row r="280" spans="7:47" ht="24.75" customHeight="1" x14ac:dyDescent="0.75">
      <c r="G280" s="243"/>
      <c r="H280" s="244"/>
      <c r="I280" s="4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  <c r="AA280" s="242"/>
      <c r="AB280" s="242"/>
      <c r="AC280" s="242"/>
      <c r="AD280" s="242"/>
      <c r="AE280" s="242"/>
      <c r="AF280" s="242"/>
      <c r="AG280" s="242"/>
      <c r="AH280" s="242"/>
      <c r="AI280" s="242"/>
      <c r="AJ280" s="242"/>
      <c r="AK280" s="242"/>
      <c r="AL280" s="242"/>
      <c r="AM280" s="242"/>
      <c r="AN280" s="242"/>
      <c r="AO280" s="242"/>
      <c r="AP280" s="242"/>
      <c r="AQ280" s="242"/>
      <c r="AR280" s="242"/>
      <c r="AS280" s="242"/>
      <c r="AU280" s="4"/>
    </row>
    <row r="281" spans="7:47" ht="24.75" customHeight="1" x14ac:dyDescent="0.75">
      <c r="G281" s="243"/>
      <c r="H281" s="244"/>
      <c r="I281" s="4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  <c r="AC281" s="242"/>
      <c r="AD281" s="242"/>
      <c r="AE281" s="242"/>
      <c r="AF281" s="242"/>
      <c r="AG281" s="242"/>
      <c r="AH281" s="242"/>
      <c r="AI281" s="242"/>
      <c r="AJ281" s="242"/>
      <c r="AK281" s="242"/>
      <c r="AL281" s="242"/>
      <c r="AM281" s="242"/>
      <c r="AN281" s="242"/>
      <c r="AO281" s="242"/>
      <c r="AP281" s="242"/>
      <c r="AQ281" s="242"/>
      <c r="AR281" s="242"/>
      <c r="AS281" s="242"/>
      <c r="AU281" s="4"/>
    </row>
    <row r="282" spans="7:47" ht="24.75" customHeight="1" x14ac:dyDescent="0.75">
      <c r="G282" s="243"/>
      <c r="H282" s="244"/>
      <c r="I282" s="4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  <c r="AA282" s="242"/>
      <c r="AB282" s="242"/>
      <c r="AC282" s="242"/>
      <c r="AD282" s="242"/>
      <c r="AE282" s="242"/>
      <c r="AF282" s="242"/>
      <c r="AG282" s="242"/>
      <c r="AH282" s="242"/>
      <c r="AI282" s="242"/>
      <c r="AJ282" s="242"/>
      <c r="AK282" s="242"/>
      <c r="AL282" s="242"/>
      <c r="AM282" s="242"/>
      <c r="AN282" s="242"/>
      <c r="AO282" s="242"/>
      <c r="AP282" s="242"/>
      <c r="AQ282" s="242"/>
      <c r="AR282" s="242"/>
      <c r="AS282" s="242"/>
      <c r="AU282" s="4"/>
    </row>
    <row r="283" spans="7:47" ht="24.75" customHeight="1" x14ac:dyDescent="0.75">
      <c r="G283" s="243"/>
      <c r="H283" s="244"/>
      <c r="I283" s="4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  <c r="AA283" s="242"/>
      <c r="AB283" s="242"/>
      <c r="AC283" s="242"/>
      <c r="AD283" s="242"/>
      <c r="AE283" s="242"/>
      <c r="AF283" s="242"/>
      <c r="AG283" s="242"/>
      <c r="AH283" s="242"/>
      <c r="AI283" s="242"/>
      <c r="AJ283" s="242"/>
      <c r="AK283" s="242"/>
      <c r="AL283" s="242"/>
      <c r="AM283" s="242"/>
      <c r="AN283" s="242"/>
      <c r="AO283" s="242"/>
      <c r="AP283" s="242"/>
      <c r="AQ283" s="242"/>
      <c r="AR283" s="242"/>
      <c r="AS283" s="242"/>
      <c r="AU283" s="4"/>
    </row>
    <row r="284" spans="7:47" ht="24.75" customHeight="1" x14ac:dyDescent="0.75">
      <c r="G284" s="243"/>
      <c r="H284" s="244"/>
      <c r="I284" s="4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42"/>
      <c r="AL284" s="242"/>
      <c r="AM284" s="242"/>
      <c r="AN284" s="242"/>
      <c r="AO284" s="242"/>
      <c r="AP284" s="242"/>
      <c r="AQ284" s="242"/>
      <c r="AR284" s="242"/>
      <c r="AS284" s="242"/>
      <c r="AU284" s="4"/>
    </row>
    <row r="285" spans="7:47" ht="24.75" customHeight="1" x14ac:dyDescent="0.75">
      <c r="G285" s="243"/>
      <c r="H285" s="244"/>
      <c r="I285" s="4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242"/>
      <c r="AL285" s="242"/>
      <c r="AM285" s="242"/>
      <c r="AN285" s="242"/>
      <c r="AO285" s="242"/>
      <c r="AP285" s="242"/>
      <c r="AQ285" s="242"/>
      <c r="AR285" s="242"/>
      <c r="AS285" s="242"/>
      <c r="AU285" s="4"/>
    </row>
    <row r="286" spans="7:47" ht="24.75" customHeight="1" x14ac:dyDescent="0.75">
      <c r="G286" s="243"/>
      <c r="H286" s="244"/>
      <c r="I286" s="4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  <c r="AA286" s="242"/>
      <c r="AB286" s="242"/>
      <c r="AC286" s="242"/>
      <c r="AD286" s="242"/>
      <c r="AE286" s="242"/>
      <c r="AF286" s="242"/>
      <c r="AG286" s="242"/>
      <c r="AH286" s="242"/>
      <c r="AI286" s="242"/>
      <c r="AJ286" s="242"/>
      <c r="AK286" s="242"/>
      <c r="AL286" s="242"/>
      <c r="AM286" s="242"/>
      <c r="AN286" s="242"/>
      <c r="AO286" s="242"/>
      <c r="AP286" s="242"/>
      <c r="AQ286" s="242"/>
      <c r="AR286" s="242"/>
      <c r="AS286" s="242"/>
      <c r="AU286" s="4"/>
    </row>
    <row r="287" spans="7:47" ht="24.75" customHeight="1" x14ac:dyDescent="0.75">
      <c r="G287" s="243"/>
      <c r="H287" s="244"/>
      <c r="I287" s="4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42"/>
      <c r="AL287" s="242"/>
      <c r="AM287" s="242"/>
      <c r="AN287" s="242"/>
      <c r="AO287" s="242"/>
      <c r="AP287" s="242"/>
      <c r="AQ287" s="242"/>
      <c r="AR287" s="242"/>
      <c r="AS287" s="242"/>
      <c r="AU287" s="4"/>
    </row>
    <row r="288" spans="7:47" ht="24.75" customHeight="1" x14ac:dyDescent="0.75">
      <c r="G288" s="243"/>
      <c r="H288" s="244"/>
      <c r="I288" s="4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42"/>
      <c r="AL288" s="242"/>
      <c r="AM288" s="242"/>
      <c r="AN288" s="242"/>
      <c r="AO288" s="242"/>
      <c r="AP288" s="242"/>
      <c r="AQ288" s="242"/>
      <c r="AR288" s="242"/>
      <c r="AS288" s="242"/>
      <c r="AU288" s="4"/>
    </row>
    <row r="289" spans="7:47" ht="24.75" customHeight="1" x14ac:dyDescent="0.75">
      <c r="G289" s="243"/>
      <c r="H289" s="244"/>
      <c r="I289" s="4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  <c r="AA289" s="242"/>
      <c r="AB289" s="242"/>
      <c r="AC289" s="242"/>
      <c r="AD289" s="242"/>
      <c r="AE289" s="242"/>
      <c r="AF289" s="242"/>
      <c r="AG289" s="242"/>
      <c r="AH289" s="242"/>
      <c r="AI289" s="242"/>
      <c r="AJ289" s="242"/>
      <c r="AK289" s="242"/>
      <c r="AL289" s="242"/>
      <c r="AM289" s="242"/>
      <c r="AN289" s="242"/>
      <c r="AO289" s="242"/>
      <c r="AP289" s="242"/>
      <c r="AQ289" s="242"/>
      <c r="AR289" s="242"/>
      <c r="AS289" s="242"/>
      <c r="AU289" s="4"/>
    </row>
    <row r="290" spans="7:47" ht="24.75" customHeight="1" x14ac:dyDescent="0.75">
      <c r="G290" s="243"/>
      <c r="H290" s="244"/>
      <c r="I290" s="4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  <c r="AA290" s="242"/>
      <c r="AB290" s="242"/>
      <c r="AC290" s="242"/>
      <c r="AD290" s="242"/>
      <c r="AE290" s="242"/>
      <c r="AF290" s="242"/>
      <c r="AG290" s="242"/>
      <c r="AH290" s="242"/>
      <c r="AI290" s="242"/>
      <c r="AJ290" s="242"/>
      <c r="AK290" s="242"/>
      <c r="AL290" s="242"/>
      <c r="AM290" s="242"/>
      <c r="AN290" s="242"/>
      <c r="AO290" s="242"/>
      <c r="AP290" s="242"/>
      <c r="AQ290" s="242"/>
      <c r="AR290" s="242"/>
      <c r="AS290" s="242"/>
      <c r="AU290" s="4"/>
    </row>
    <row r="291" spans="7:47" ht="24.75" customHeight="1" x14ac:dyDescent="0.75">
      <c r="G291" s="243"/>
      <c r="H291" s="244"/>
      <c r="I291" s="4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  <c r="AA291" s="242"/>
      <c r="AB291" s="242"/>
      <c r="AC291" s="242"/>
      <c r="AD291" s="242"/>
      <c r="AE291" s="242"/>
      <c r="AF291" s="242"/>
      <c r="AG291" s="242"/>
      <c r="AH291" s="242"/>
      <c r="AI291" s="242"/>
      <c r="AJ291" s="242"/>
      <c r="AK291" s="242"/>
      <c r="AL291" s="242"/>
      <c r="AM291" s="242"/>
      <c r="AN291" s="242"/>
      <c r="AO291" s="242"/>
      <c r="AP291" s="242"/>
      <c r="AQ291" s="242"/>
      <c r="AR291" s="242"/>
      <c r="AS291" s="242"/>
      <c r="AU291" s="4"/>
    </row>
    <row r="292" spans="7:47" ht="24.75" customHeight="1" x14ac:dyDescent="0.75">
      <c r="G292" s="243"/>
      <c r="H292" s="244"/>
      <c r="I292" s="4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  <c r="AA292" s="242"/>
      <c r="AB292" s="242"/>
      <c r="AC292" s="242"/>
      <c r="AD292" s="242"/>
      <c r="AE292" s="242"/>
      <c r="AF292" s="242"/>
      <c r="AG292" s="242"/>
      <c r="AH292" s="242"/>
      <c r="AI292" s="242"/>
      <c r="AJ292" s="242"/>
      <c r="AK292" s="242"/>
      <c r="AL292" s="242"/>
      <c r="AM292" s="242"/>
      <c r="AN292" s="242"/>
      <c r="AO292" s="242"/>
      <c r="AP292" s="242"/>
      <c r="AQ292" s="242"/>
      <c r="AR292" s="242"/>
      <c r="AS292" s="242"/>
      <c r="AU292" s="4"/>
    </row>
    <row r="293" spans="7:47" ht="24.75" customHeight="1" x14ac:dyDescent="0.75">
      <c r="G293" s="243"/>
      <c r="H293" s="244"/>
      <c r="I293" s="4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  <c r="AA293" s="242"/>
      <c r="AB293" s="242"/>
      <c r="AC293" s="242"/>
      <c r="AD293" s="242"/>
      <c r="AE293" s="242"/>
      <c r="AF293" s="242"/>
      <c r="AG293" s="242"/>
      <c r="AH293" s="242"/>
      <c r="AI293" s="242"/>
      <c r="AJ293" s="242"/>
      <c r="AK293" s="242"/>
      <c r="AL293" s="242"/>
      <c r="AM293" s="242"/>
      <c r="AN293" s="242"/>
      <c r="AO293" s="242"/>
      <c r="AP293" s="242"/>
      <c r="AQ293" s="242"/>
      <c r="AR293" s="242"/>
      <c r="AS293" s="242"/>
      <c r="AU293" s="4"/>
    </row>
    <row r="294" spans="7:47" ht="24.75" customHeight="1" x14ac:dyDescent="0.75">
      <c r="G294" s="243"/>
      <c r="H294" s="244"/>
      <c r="I294" s="4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  <c r="AA294" s="242"/>
      <c r="AB294" s="242"/>
      <c r="AC294" s="242"/>
      <c r="AD294" s="242"/>
      <c r="AE294" s="242"/>
      <c r="AF294" s="242"/>
      <c r="AG294" s="242"/>
      <c r="AH294" s="242"/>
      <c r="AI294" s="242"/>
      <c r="AJ294" s="242"/>
      <c r="AK294" s="242"/>
      <c r="AL294" s="242"/>
      <c r="AM294" s="242"/>
      <c r="AN294" s="242"/>
      <c r="AO294" s="242"/>
      <c r="AP294" s="242"/>
      <c r="AQ294" s="242"/>
      <c r="AR294" s="242"/>
      <c r="AS294" s="242"/>
      <c r="AU294" s="4"/>
    </row>
    <row r="295" spans="7:47" ht="24.75" customHeight="1" x14ac:dyDescent="0.75">
      <c r="G295" s="243"/>
      <c r="H295" s="244"/>
      <c r="I295" s="4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  <c r="AA295" s="242"/>
      <c r="AB295" s="242"/>
      <c r="AC295" s="242"/>
      <c r="AD295" s="242"/>
      <c r="AE295" s="242"/>
      <c r="AF295" s="242"/>
      <c r="AG295" s="242"/>
      <c r="AH295" s="242"/>
      <c r="AI295" s="242"/>
      <c r="AJ295" s="242"/>
      <c r="AK295" s="242"/>
      <c r="AL295" s="242"/>
      <c r="AM295" s="242"/>
      <c r="AN295" s="242"/>
      <c r="AO295" s="242"/>
      <c r="AP295" s="242"/>
      <c r="AQ295" s="242"/>
      <c r="AR295" s="242"/>
      <c r="AS295" s="242"/>
      <c r="AU295" s="4"/>
    </row>
    <row r="296" spans="7:47" ht="24.75" customHeight="1" x14ac:dyDescent="0.75">
      <c r="G296" s="243"/>
      <c r="H296" s="244"/>
      <c r="I296" s="4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  <c r="AA296" s="242"/>
      <c r="AB296" s="242"/>
      <c r="AC296" s="242"/>
      <c r="AD296" s="242"/>
      <c r="AE296" s="242"/>
      <c r="AF296" s="242"/>
      <c r="AG296" s="242"/>
      <c r="AH296" s="242"/>
      <c r="AI296" s="242"/>
      <c r="AJ296" s="242"/>
      <c r="AK296" s="242"/>
      <c r="AL296" s="242"/>
      <c r="AM296" s="242"/>
      <c r="AN296" s="242"/>
      <c r="AO296" s="242"/>
      <c r="AP296" s="242"/>
      <c r="AQ296" s="242"/>
      <c r="AR296" s="242"/>
      <c r="AS296" s="242"/>
      <c r="AU296" s="4"/>
    </row>
    <row r="297" spans="7:47" ht="24.75" customHeight="1" x14ac:dyDescent="0.75">
      <c r="G297" s="243"/>
      <c r="H297" s="244"/>
      <c r="I297" s="4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  <c r="AA297" s="242"/>
      <c r="AB297" s="242"/>
      <c r="AC297" s="242"/>
      <c r="AD297" s="242"/>
      <c r="AE297" s="242"/>
      <c r="AF297" s="242"/>
      <c r="AG297" s="242"/>
      <c r="AH297" s="242"/>
      <c r="AI297" s="242"/>
      <c r="AJ297" s="242"/>
      <c r="AK297" s="242"/>
      <c r="AL297" s="242"/>
      <c r="AM297" s="242"/>
      <c r="AN297" s="242"/>
      <c r="AO297" s="242"/>
      <c r="AP297" s="242"/>
      <c r="AQ297" s="242"/>
      <c r="AR297" s="242"/>
      <c r="AS297" s="242"/>
      <c r="AU297" s="4"/>
    </row>
    <row r="298" spans="7:47" ht="24.75" customHeight="1" x14ac:dyDescent="0.75">
      <c r="G298" s="243"/>
      <c r="H298" s="244"/>
      <c r="I298" s="4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  <c r="AA298" s="242"/>
      <c r="AB298" s="242"/>
      <c r="AC298" s="242"/>
      <c r="AD298" s="242"/>
      <c r="AE298" s="242"/>
      <c r="AF298" s="242"/>
      <c r="AG298" s="242"/>
      <c r="AH298" s="242"/>
      <c r="AI298" s="242"/>
      <c r="AJ298" s="242"/>
      <c r="AK298" s="242"/>
      <c r="AL298" s="242"/>
      <c r="AM298" s="242"/>
      <c r="AN298" s="242"/>
      <c r="AO298" s="242"/>
      <c r="AP298" s="242"/>
      <c r="AQ298" s="242"/>
      <c r="AR298" s="242"/>
      <c r="AS298" s="242"/>
      <c r="AU298" s="4"/>
    </row>
    <row r="299" spans="7:47" ht="24.75" customHeight="1" x14ac:dyDescent="0.75">
      <c r="G299" s="243"/>
      <c r="H299" s="244"/>
      <c r="I299" s="4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  <c r="AA299" s="242"/>
      <c r="AB299" s="242"/>
      <c r="AC299" s="242"/>
      <c r="AD299" s="242"/>
      <c r="AE299" s="242"/>
      <c r="AF299" s="242"/>
      <c r="AG299" s="242"/>
      <c r="AH299" s="242"/>
      <c r="AI299" s="242"/>
      <c r="AJ299" s="242"/>
      <c r="AK299" s="242"/>
      <c r="AL299" s="242"/>
      <c r="AM299" s="242"/>
      <c r="AN299" s="242"/>
      <c r="AO299" s="242"/>
      <c r="AP299" s="242"/>
      <c r="AQ299" s="242"/>
      <c r="AR299" s="242"/>
      <c r="AS299" s="242"/>
      <c r="AU299" s="4"/>
    </row>
    <row r="300" spans="7:47" ht="24.75" customHeight="1" x14ac:dyDescent="0.75">
      <c r="G300" s="243"/>
      <c r="H300" s="244"/>
      <c r="I300" s="4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  <c r="AA300" s="242"/>
      <c r="AB300" s="242"/>
      <c r="AC300" s="242"/>
      <c r="AD300" s="242"/>
      <c r="AE300" s="242"/>
      <c r="AF300" s="242"/>
      <c r="AG300" s="242"/>
      <c r="AH300" s="242"/>
      <c r="AI300" s="242"/>
      <c r="AJ300" s="242"/>
      <c r="AK300" s="242"/>
      <c r="AL300" s="242"/>
      <c r="AM300" s="242"/>
      <c r="AN300" s="242"/>
      <c r="AO300" s="242"/>
      <c r="AP300" s="242"/>
      <c r="AQ300" s="242"/>
      <c r="AR300" s="242"/>
      <c r="AS300" s="242"/>
      <c r="AU300" s="4"/>
    </row>
    <row r="301" spans="7:47" ht="24.75" customHeight="1" x14ac:dyDescent="0.75">
      <c r="G301" s="243"/>
      <c r="H301" s="244"/>
      <c r="I301" s="4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  <c r="AA301" s="242"/>
      <c r="AB301" s="242"/>
      <c r="AC301" s="242"/>
      <c r="AD301" s="242"/>
      <c r="AE301" s="242"/>
      <c r="AF301" s="242"/>
      <c r="AG301" s="242"/>
      <c r="AH301" s="242"/>
      <c r="AI301" s="242"/>
      <c r="AJ301" s="242"/>
      <c r="AK301" s="242"/>
      <c r="AL301" s="242"/>
      <c r="AM301" s="242"/>
      <c r="AN301" s="242"/>
      <c r="AO301" s="242"/>
      <c r="AP301" s="242"/>
      <c r="AQ301" s="242"/>
      <c r="AR301" s="242"/>
      <c r="AS301" s="242"/>
      <c r="AU301" s="4"/>
    </row>
    <row r="302" spans="7:47" ht="24.75" customHeight="1" x14ac:dyDescent="0.75">
      <c r="G302" s="243"/>
      <c r="H302" s="244"/>
      <c r="I302" s="4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  <c r="AA302" s="242"/>
      <c r="AB302" s="242"/>
      <c r="AC302" s="242"/>
      <c r="AD302" s="242"/>
      <c r="AE302" s="242"/>
      <c r="AF302" s="242"/>
      <c r="AG302" s="242"/>
      <c r="AH302" s="242"/>
      <c r="AI302" s="242"/>
      <c r="AJ302" s="242"/>
      <c r="AK302" s="242"/>
      <c r="AL302" s="242"/>
      <c r="AM302" s="242"/>
      <c r="AN302" s="242"/>
      <c r="AO302" s="242"/>
      <c r="AP302" s="242"/>
      <c r="AQ302" s="242"/>
      <c r="AR302" s="242"/>
      <c r="AS302" s="242"/>
      <c r="AU302" s="4"/>
    </row>
    <row r="303" spans="7:47" ht="24.75" customHeight="1" x14ac:dyDescent="0.75">
      <c r="G303" s="243"/>
      <c r="H303" s="244"/>
      <c r="I303" s="4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  <c r="AA303" s="242"/>
      <c r="AB303" s="242"/>
      <c r="AC303" s="242"/>
      <c r="AD303" s="242"/>
      <c r="AE303" s="242"/>
      <c r="AF303" s="242"/>
      <c r="AG303" s="242"/>
      <c r="AH303" s="242"/>
      <c r="AI303" s="242"/>
      <c r="AJ303" s="242"/>
      <c r="AK303" s="242"/>
      <c r="AL303" s="242"/>
      <c r="AM303" s="242"/>
      <c r="AN303" s="242"/>
      <c r="AO303" s="242"/>
      <c r="AP303" s="242"/>
      <c r="AQ303" s="242"/>
      <c r="AR303" s="242"/>
      <c r="AS303" s="242"/>
      <c r="AU303" s="4"/>
    </row>
    <row r="304" spans="7:47" ht="24.75" customHeight="1" x14ac:dyDescent="0.75">
      <c r="G304" s="243"/>
      <c r="H304" s="244"/>
      <c r="I304" s="4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  <c r="AA304" s="242"/>
      <c r="AB304" s="242"/>
      <c r="AC304" s="242"/>
      <c r="AD304" s="242"/>
      <c r="AE304" s="242"/>
      <c r="AF304" s="242"/>
      <c r="AG304" s="242"/>
      <c r="AH304" s="242"/>
      <c r="AI304" s="242"/>
      <c r="AJ304" s="242"/>
      <c r="AK304" s="242"/>
      <c r="AL304" s="242"/>
      <c r="AM304" s="242"/>
      <c r="AN304" s="242"/>
      <c r="AO304" s="242"/>
      <c r="AP304" s="242"/>
      <c r="AQ304" s="242"/>
      <c r="AR304" s="242"/>
      <c r="AS304" s="242"/>
      <c r="AU304" s="4"/>
    </row>
    <row r="305" spans="7:47" ht="24.75" customHeight="1" x14ac:dyDescent="0.75">
      <c r="G305" s="243"/>
      <c r="H305" s="244"/>
      <c r="I305" s="4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  <c r="AA305" s="242"/>
      <c r="AB305" s="242"/>
      <c r="AC305" s="242"/>
      <c r="AD305" s="242"/>
      <c r="AE305" s="242"/>
      <c r="AF305" s="242"/>
      <c r="AG305" s="242"/>
      <c r="AH305" s="242"/>
      <c r="AI305" s="242"/>
      <c r="AJ305" s="242"/>
      <c r="AK305" s="242"/>
      <c r="AL305" s="242"/>
      <c r="AM305" s="242"/>
      <c r="AN305" s="242"/>
      <c r="AO305" s="242"/>
      <c r="AP305" s="242"/>
      <c r="AQ305" s="242"/>
      <c r="AR305" s="242"/>
      <c r="AS305" s="242"/>
      <c r="AU305" s="4"/>
    </row>
    <row r="306" spans="7:47" ht="24.75" customHeight="1" x14ac:dyDescent="0.75">
      <c r="G306" s="243"/>
      <c r="H306" s="244"/>
      <c r="I306" s="4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  <c r="AA306" s="242"/>
      <c r="AB306" s="242"/>
      <c r="AC306" s="242"/>
      <c r="AD306" s="242"/>
      <c r="AE306" s="242"/>
      <c r="AF306" s="242"/>
      <c r="AG306" s="242"/>
      <c r="AH306" s="242"/>
      <c r="AI306" s="242"/>
      <c r="AJ306" s="242"/>
      <c r="AK306" s="242"/>
      <c r="AL306" s="242"/>
      <c r="AM306" s="242"/>
      <c r="AN306" s="242"/>
      <c r="AO306" s="242"/>
      <c r="AP306" s="242"/>
      <c r="AQ306" s="242"/>
      <c r="AR306" s="242"/>
      <c r="AS306" s="242"/>
      <c r="AU306" s="4"/>
    </row>
    <row r="307" spans="7:47" ht="24.75" customHeight="1" x14ac:dyDescent="0.75">
      <c r="G307" s="243"/>
      <c r="H307" s="244"/>
      <c r="I307" s="4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  <c r="AA307" s="242"/>
      <c r="AB307" s="242"/>
      <c r="AC307" s="242"/>
      <c r="AD307" s="242"/>
      <c r="AE307" s="242"/>
      <c r="AF307" s="242"/>
      <c r="AG307" s="242"/>
      <c r="AH307" s="242"/>
      <c r="AI307" s="242"/>
      <c r="AJ307" s="242"/>
      <c r="AK307" s="242"/>
      <c r="AL307" s="242"/>
      <c r="AM307" s="242"/>
      <c r="AN307" s="242"/>
      <c r="AO307" s="242"/>
      <c r="AP307" s="242"/>
      <c r="AQ307" s="242"/>
      <c r="AR307" s="242"/>
      <c r="AS307" s="242"/>
      <c r="AU307" s="4"/>
    </row>
    <row r="308" spans="7:47" ht="24.75" customHeight="1" x14ac:dyDescent="0.75">
      <c r="G308" s="243"/>
      <c r="H308" s="244"/>
      <c r="I308" s="4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  <c r="AA308" s="242"/>
      <c r="AB308" s="242"/>
      <c r="AC308" s="242"/>
      <c r="AD308" s="242"/>
      <c r="AE308" s="242"/>
      <c r="AF308" s="242"/>
      <c r="AG308" s="242"/>
      <c r="AH308" s="242"/>
      <c r="AI308" s="242"/>
      <c r="AJ308" s="242"/>
      <c r="AK308" s="242"/>
      <c r="AL308" s="242"/>
      <c r="AM308" s="242"/>
      <c r="AN308" s="242"/>
      <c r="AO308" s="242"/>
      <c r="AP308" s="242"/>
      <c r="AQ308" s="242"/>
      <c r="AR308" s="242"/>
      <c r="AS308" s="242"/>
      <c r="AU308" s="4"/>
    </row>
    <row r="309" spans="7:47" ht="24.75" customHeight="1" x14ac:dyDescent="0.75">
      <c r="G309" s="243"/>
      <c r="H309" s="244"/>
      <c r="I309" s="4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  <c r="AA309" s="242"/>
      <c r="AB309" s="242"/>
      <c r="AC309" s="242"/>
      <c r="AD309" s="242"/>
      <c r="AE309" s="242"/>
      <c r="AF309" s="242"/>
      <c r="AG309" s="242"/>
      <c r="AH309" s="242"/>
      <c r="AI309" s="242"/>
      <c r="AJ309" s="242"/>
      <c r="AK309" s="242"/>
      <c r="AL309" s="242"/>
      <c r="AM309" s="242"/>
      <c r="AN309" s="242"/>
      <c r="AO309" s="242"/>
      <c r="AP309" s="242"/>
      <c r="AQ309" s="242"/>
      <c r="AR309" s="242"/>
      <c r="AS309" s="242"/>
      <c r="AU309" s="4"/>
    </row>
    <row r="310" spans="7:47" ht="24.75" customHeight="1" x14ac:dyDescent="0.75">
      <c r="G310" s="243"/>
      <c r="H310" s="244"/>
      <c r="I310" s="4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  <c r="AA310" s="242"/>
      <c r="AB310" s="242"/>
      <c r="AC310" s="242"/>
      <c r="AD310" s="242"/>
      <c r="AE310" s="242"/>
      <c r="AF310" s="242"/>
      <c r="AG310" s="242"/>
      <c r="AH310" s="242"/>
      <c r="AI310" s="242"/>
      <c r="AJ310" s="242"/>
      <c r="AK310" s="242"/>
      <c r="AL310" s="242"/>
      <c r="AM310" s="242"/>
      <c r="AN310" s="242"/>
      <c r="AO310" s="242"/>
      <c r="AP310" s="242"/>
      <c r="AQ310" s="242"/>
      <c r="AR310" s="242"/>
      <c r="AS310" s="242"/>
      <c r="AU310" s="4"/>
    </row>
    <row r="311" spans="7:47" ht="24.75" customHeight="1" x14ac:dyDescent="0.75">
      <c r="G311" s="243"/>
      <c r="H311" s="244"/>
      <c r="I311" s="4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  <c r="AA311" s="242"/>
      <c r="AB311" s="242"/>
      <c r="AC311" s="242"/>
      <c r="AD311" s="242"/>
      <c r="AE311" s="242"/>
      <c r="AF311" s="242"/>
      <c r="AG311" s="242"/>
      <c r="AH311" s="242"/>
      <c r="AI311" s="242"/>
      <c r="AJ311" s="242"/>
      <c r="AK311" s="242"/>
      <c r="AL311" s="242"/>
      <c r="AM311" s="242"/>
      <c r="AN311" s="242"/>
      <c r="AO311" s="242"/>
      <c r="AP311" s="242"/>
      <c r="AQ311" s="242"/>
      <c r="AR311" s="242"/>
      <c r="AS311" s="242"/>
      <c r="AU311" s="4"/>
    </row>
    <row r="312" spans="7:47" ht="24.75" customHeight="1" x14ac:dyDescent="0.75">
      <c r="G312" s="243"/>
      <c r="H312" s="244"/>
      <c r="I312" s="4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  <c r="AA312" s="242"/>
      <c r="AB312" s="242"/>
      <c r="AC312" s="242"/>
      <c r="AD312" s="242"/>
      <c r="AE312" s="242"/>
      <c r="AF312" s="242"/>
      <c r="AG312" s="242"/>
      <c r="AH312" s="242"/>
      <c r="AI312" s="242"/>
      <c r="AJ312" s="242"/>
      <c r="AK312" s="242"/>
      <c r="AL312" s="242"/>
      <c r="AM312" s="242"/>
      <c r="AN312" s="242"/>
      <c r="AO312" s="242"/>
      <c r="AP312" s="242"/>
      <c r="AQ312" s="242"/>
      <c r="AR312" s="242"/>
      <c r="AS312" s="242"/>
      <c r="AU312" s="4"/>
    </row>
    <row r="313" spans="7:47" ht="24.75" customHeight="1" x14ac:dyDescent="0.75">
      <c r="G313" s="243"/>
      <c r="H313" s="244"/>
      <c r="I313" s="4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  <c r="AA313" s="242"/>
      <c r="AB313" s="242"/>
      <c r="AC313" s="242"/>
      <c r="AD313" s="242"/>
      <c r="AE313" s="242"/>
      <c r="AF313" s="242"/>
      <c r="AG313" s="242"/>
      <c r="AH313" s="242"/>
      <c r="AI313" s="242"/>
      <c r="AJ313" s="242"/>
      <c r="AK313" s="242"/>
      <c r="AL313" s="242"/>
      <c r="AM313" s="242"/>
      <c r="AN313" s="242"/>
      <c r="AO313" s="242"/>
      <c r="AP313" s="242"/>
      <c r="AQ313" s="242"/>
      <c r="AR313" s="242"/>
      <c r="AS313" s="242"/>
      <c r="AU313" s="4"/>
    </row>
    <row r="314" spans="7:47" ht="24.75" customHeight="1" x14ac:dyDescent="0.75">
      <c r="G314" s="243"/>
      <c r="H314" s="244"/>
      <c r="I314" s="4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  <c r="AA314" s="242"/>
      <c r="AB314" s="242"/>
      <c r="AC314" s="242"/>
      <c r="AD314" s="242"/>
      <c r="AE314" s="242"/>
      <c r="AF314" s="242"/>
      <c r="AG314" s="242"/>
      <c r="AH314" s="242"/>
      <c r="AI314" s="242"/>
      <c r="AJ314" s="242"/>
      <c r="AK314" s="242"/>
      <c r="AL314" s="242"/>
      <c r="AM314" s="242"/>
      <c r="AN314" s="242"/>
      <c r="AO314" s="242"/>
      <c r="AP314" s="242"/>
      <c r="AQ314" s="242"/>
      <c r="AR314" s="242"/>
      <c r="AS314" s="242"/>
      <c r="AU314" s="4"/>
    </row>
    <row r="315" spans="7:47" ht="24.75" customHeight="1" x14ac:dyDescent="0.75">
      <c r="G315" s="243"/>
      <c r="H315" s="244"/>
      <c r="I315" s="4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  <c r="AA315" s="242"/>
      <c r="AB315" s="242"/>
      <c r="AC315" s="242"/>
      <c r="AD315" s="242"/>
      <c r="AE315" s="242"/>
      <c r="AF315" s="242"/>
      <c r="AG315" s="242"/>
      <c r="AH315" s="242"/>
      <c r="AI315" s="242"/>
      <c r="AJ315" s="242"/>
      <c r="AK315" s="242"/>
      <c r="AL315" s="242"/>
      <c r="AM315" s="242"/>
      <c r="AN315" s="242"/>
      <c r="AO315" s="242"/>
      <c r="AP315" s="242"/>
      <c r="AQ315" s="242"/>
      <c r="AR315" s="242"/>
      <c r="AS315" s="242"/>
      <c r="AU315" s="4"/>
    </row>
    <row r="316" spans="7:47" ht="24.75" customHeight="1" x14ac:dyDescent="0.75">
      <c r="G316" s="243"/>
      <c r="H316" s="244"/>
      <c r="I316" s="4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  <c r="AA316" s="242"/>
      <c r="AB316" s="242"/>
      <c r="AC316" s="242"/>
      <c r="AD316" s="242"/>
      <c r="AE316" s="242"/>
      <c r="AF316" s="242"/>
      <c r="AG316" s="242"/>
      <c r="AH316" s="242"/>
      <c r="AI316" s="242"/>
      <c r="AJ316" s="242"/>
      <c r="AK316" s="242"/>
      <c r="AL316" s="242"/>
      <c r="AM316" s="242"/>
      <c r="AN316" s="242"/>
      <c r="AO316" s="242"/>
      <c r="AP316" s="242"/>
      <c r="AQ316" s="242"/>
      <c r="AR316" s="242"/>
      <c r="AS316" s="242"/>
      <c r="AU316" s="4"/>
    </row>
    <row r="317" spans="7:47" ht="24.75" customHeight="1" x14ac:dyDescent="0.75">
      <c r="G317" s="243"/>
      <c r="H317" s="244"/>
      <c r="I317" s="4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  <c r="AA317" s="242"/>
      <c r="AB317" s="242"/>
      <c r="AC317" s="242"/>
      <c r="AD317" s="242"/>
      <c r="AE317" s="242"/>
      <c r="AF317" s="242"/>
      <c r="AG317" s="242"/>
      <c r="AH317" s="242"/>
      <c r="AI317" s="242"/>
      <c r="AJ317" s="242"/>
      <c r="AK317" s="242"/>
      <c r="AL317" s="242"/>
      <c r="AM317" s="242"/>
      <c r="AN317" s="242"/>
      <c r="AO317" s="242"/>
      <c r="AP317" s="242"/>
      <c r="AQ317" s="242"/>
      <c r="AR317" s="242"/>
      <c r="AS317" s="242"/>
      <c r="AU317" s="4"/>
    </row>
    <row r="318" spans="7:47" ht="24.75" customHeight="1" x14ac:dyDescent="0.75">
      <c r="G318" s="243"/>
      <c r="H318" s="244"/>
      <c r="I318" s="4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  <c r="AA318" s="242"/>
      <c r="AB318" s="242"/>
      <c r="AC318" s="242"/>
      <c r="AD318" s="242"/>
      <c r="AE318" s="242"/>
      <c r="AF318" s="242"/>
      <c r="AG318" s="242"/>
      <c r="AH318" s="242"/>
      <c r="AI318" s="242"/>
      <c r="AJ318" s="242"/>
      <c r="AK318" s="242"/>
      <c r="AL318" s="242"/>
      <c r="AM318" s="242"/>
      <c r="AN318" s="242"/>
      <c r="AO318" s="242"/>
      <c r="AP318" s="242"/>
      <c r="AQ318" s="242"/>
      <c r="AR318" s="242"/>
      <c r="AS318" s="242"/>
      <c r="AU318" s="4"/>
    </row>
    <row r="319" spans="7:47" ht="24.75" customHeight="1" x14ac:dyDescent="0.75">
      <c r="G319" s="243"/>
      <c r="H319" s="244"/>
      <c r="I319" s="4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  <c r="AA319" s="242"/>
      <c r="AB319" s="242"/>
      <c r="AC319" s="242"/>
      <c r="AD319" s="242"/>
      <c r="AE319" s="242"/>
      <c r="AF319" s="242"/>
      <c r="AG319" s="242"/>
      <c r="AH319" s="242"/>
      <c r="AI319" s="242"/>
      <c r="AJ319" s="242"/>
      <c r="AK319" s="242"/>
      <c r="AL319" s="242"/>
      <c r="AM319" s="242"/>
      <c r="AN319" s="242"/>
      <c r="AO319" s="242"/>
      <c r="AP319" s="242"/>
      <c r="AQ319" s="242"/>
      <c r="AR319" s="242"/>
      <c r="AS319" s="242"/>
      <c r="AU319" s="4"/>
    </row>
    <row r="320" spans="7:47" ht="24.75" customHeight="1" x14ac:dyDescent="0.75">
      <c r="G320" s="243"/>
      <c r="H320" s="244"/>
      <c r="I320" s="4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  <c r="AC320" s="242"/>
      <c r="AD320" s="242"/>
      <c r="AE320" s="242"/>
      <c r="AF320" s="242"/>
      <c r="AG320" s="242"/>
      <c r="AH320" s="242"/>
      <c r="AI320" s="242"/>
      <c r="AJ320" s="242"/>
      <c r="AK320" s="242"/>
      <c r="AL320" s="242"/>
      <c r="AM320" s="242"/>
      <c r="AN320" s="242"/>
      <c r="AO320" s="242"/>
      <c r="AP320" s="242"/>
      <c r="AQ320" s="242"/>
      <c r="AR320" s="242"/>
      <c r="AS320" s="242"/>
      <c r="AU320" s="4"/>
    </row>
    <row r="321" spans="7:47" ht="24.75" customHeight="1" x14ac:dyDescent="0.75">
      <c r="G321" s="243"/>
      <c r="H321" s="244"/>
      <c r="I321" s="4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  <c r="AA321" s="242"/>
      <c r="AB321" s="242"/>
      <c r="AC321" s="242"/>
      <c r="AD321" s="242"/>
      <c r="AE321" s="242"/>
      <c r="AF321" s="242"/>
      <c r="AG321" s="242"/>
      <c r="AH321" s="242"/>
      <c r="AI321" s="242"/>
      <c r="AJ321" s="242"/>
      <c r="AK321" s="242"/>
      <c r="AL321" s="242"/>
      <c r="AM321" s="242"/>
      <c r="AN321" s="242"/>
      <c r="AO321" s="242"/>
      <c r="AP321" s="242"/>
      <c r="AQ321" s="242"/>
      <c r="AR321" s="242"/>
      <c r="AS321" s="242"/>
      <c r="AU321" s="4"/>
    </row>
    <row r="322" spans="7:47" ht="24.75" customHeight="1" x14ac:dyDescent="0.75">
      <c r="G322" s="243"/>
      <c r="H322" s="244"/>
      <c r="I322" s="4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  <c r="AA322" s="242"/>
      <c r="AB322" s="242"/>
      <c r="AC322" s="242"/>
      <c r="AD322" s="242"/>
      <c r="AE322" s="242"/>
      <c r="AF322" s="242"/>
      <c r="AG322" s="242"/>
      <c r="AH322" s="242"/>
      <c r="AI322" s="242"/>
      <c r="AJ322" s="242"/>
      <c r="AK322" s="242"/>
      <c r="AL322" s="242"/>
      <c r="AM322" s="242"/>
      <c r="AN322" s="242"/>
      <c r="AO322" s="242"/>
      <c r="AP322" s="242"/>
      <c r="AQ322" s="242"/>
      <c r="AR322" s="242"/>
      <c r="AS322" s="242"/>
      <c r="AU322" s="4"/>
    </row>
    <row r="323" spans="7:47" ht="24.75" customHeight="1" x14ac:dyDescent="0.75">
      <c r="G323" s="243"/>
      <c r="H323" s="244"/>
      <c r="I323" s="4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  <c r="AA323" s="242"/>
      <c r="AB323" s="242"/>
      <c r="AC323" s="242"/>
      <c r="AD323" s="242"/>
      <c r="AE323" s="242"/>
      <c r="AF323" s="242"/>
      <c r="AG323" s="242"/>
      <c r="AH323" s="242"/>
      <c r="AI323" s="242"/>
      <c r="AJ323" s="242"/>
      <c r="AK323" s="242"/>
      <c r="AL323" s="242"/>
      <c r="AM323" s="242"/>
      <c r="AN323" s="242"/>
      <c r="AO323" s="242"/>
      <c r="AP323" s="242"/>
      <c r="AQ323" s="242"/>
      <c r="AR323" s="242"/>
      <c r="AS323" s="242"/>
      <c r="AU323" s="4"/>
    </row>
    <row r="324" spans="7:47" ht="24.75" customHeight="1" x14ac:dyDescent="0.75">
      <c r="G324" s="243"/>
      <c r="H324" s="244"/>
      <c r="I324" s="4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  <c r="AA324" s="242"/>
      <c r="AB324" s="242"/>
      <c r="AC324" s="242"/>
      <c r="AD324" s="242"/>
      <c r="AE324" s="242"/>
      <c r="AF324" s="242"/>
      <c r="AG324" s="242"/>
      <c r="AH324" s="242"/>
      <c r="AI324" s="242"/>
      <c r="AJ324" s="242"/>
      <c r="AK324" s="242"/>
      <c r="AL324" s="242"/>
      <c r="AM324" s="242"/>
      <c r="AN324" s="242"/>
      <c r="AO324" s="242"/>
      <c r="AP324" s="242"/>
      <c r="AQ324" s="242"/>
      <c r="AR324" s="242"/>
      <c r="AS324" s="242"/>
      <c r="AU324" s="4"/>
    </row>
    <row r="325" spans="7:47" ht="24.75" customHeight="1" x14ac:dyDescent="0.75">
      <c r="G325" s="243"/>
      <c r="H325" s="244"/>
      <c r="I325" s="4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  <c r="AA325" s="242"/>
      <c r="AB325" s="242"/>
      <c r="AC325" s="242"/>
      <c r="AD325" s="242"/>
      <c r="AE325" s="242"/>
      <c r="AF325" s="242"/>
      <c r="AG325" s="242"/>
      <c r="AH325" s="242"/>
      <c r="AI325" s="242"/>
      <c r="AJ325" s="242"/>
      <c r="AK325" s="242"/>
      <c r="AL325" s="242"/>
      <c r="AM325" s="242"/>
      <c r="AN325" s="242"/>
      <c r="AO325" s="242"/>
      <c r="AP325" s="242"/>
      <c r="AQ325" s="242"/>
      <c r="AR325" s="242"/>
      <c r="AS325" s="242"/>
      <c r="AU325" s="4"/>
    </row>
    <row r="326" spans="7:47" ht="24.75" customHeight="1" x14ac:dyDescent="0.75">
      <c r="G326" s="243"/>
      <c r="H326" s="244"/>
      <c r="I326" s="4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  <c r="AA326" s="242"/>
      <c r="AB326" s="242"/>
      <c r="AC326" s="242"/>
      <c r="AD326" s="242"/>
      <c r="AE326" s="242"/>
      <c r="AF326" s="242"/>
      <c r="AG326" s="242"/>
      <c r="AH326" s="242"/>
      <c r="AI326" s="242"/>
      <c r="AJ326" s="242"/>
      <c r="AK326" s="242"/>
      <c r="AL326" s="242"/>
      <c r="AM326" s="242"/>
      <c r="AN326" s="242"/>
      <c r="AO326" s="242"/>
      <c r="AP326" s="242"/>
      <c r="AQ326" s="242"/>
      <c r="AR326" s="242"/>
      <c r="AS326" s="242"/>
      <c r="AU326" s="4"/>
    </row>
    <row r="327" spans="7:47" ht="24.75" customHeight="1" x14ac:dyDescent="0.75">
      <c r="G327" s="243"/>
      <c r="H327" s="244"/>
      <c r="I327" s="4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  <c r="AA327" s="242"/>
      <c r="AB327" s="242"/>
      <c r="AC327" s="242"/>
      <c r="AD327" s="242"/>
      <c r="AE327" s="242"/>
      <c r="AF327" s="242"/>
      <c r="AG327" s="242"/>
      <c r="AH327" s="242"/>
      <c r="AI327" s="242"/>
      <c r="AJ327" s="242"/>
      <c r="AK327" s="242"/>
      <c r="AL327" s="242"/>
      <c r="AM327" s="242"/>
      <c r="AN327" s="242"/>
      <c r="AO327" s="242"/>
      <c r="AP327" s="242"/>
      <c r="AQ327" s="242"/>
      <c r="AR327" s="242"/>
      <c r="AS327" s="242"/>
      <c r="AU327" s="4"/>
    </row>
    <row r="328" spans="7:47" ht="24.75" customHeight="1" x14ac:dyDescent="0.75">
      <c r="G328" s="243"/>
      <c r="H328" s="244"/>
      <c r="I328" s="4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  <c r="AA328" s="242"/>
      <c r="AB328" s="242"/>
      <c r="AC328" s="242"/>
      <c r="AD328" s="242"/>
      <c r="AE328" s="242"/>
      <c r="AF328" s="242"/>
      <c r="AG328" s="242"/>
      <c r="AH328" s="242"/>
      <c r="AI328" s="242"/>
      <c r="AJ328" s="242"/>
      <c r="AK328" s="242"/>
      <c r="AL328" s="242"/>
      <c r="AM328" s="242"/>
      <c r="AN328" s="242"/>
      <c r="AO328" s="242"/>
      <c r="AP328" s="242"/>
      <c r="AQ328" s="242"/>
      <c r="AR328" s="242"/>
      <c r="AS328" s="242"/>
      <c r="AU328" s="4"/>
    </row>
    <row r="329" spans="7:47" ht="24.75" customHeight="1" x14ac:dyDescent="0.75">
      <c r="G329" s="243"/>
      <c r="H329" s="244"/>
      <c r="I329" s="4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  <c r="AA329" s="242"/>
      <c r="AB329" s="242"/>
      <c r="AC329" s="242"/>
      <c r="AD329" s="242"/>
      <c r="AE329" s="242"/>
      <c r="AF329" s="242"/>
      <c r="AG329" s="242"/>
      <c r="AH329" s="242"/>
      <c r="AI329" s="242"/>
      <c r="AJ329" s="242"/>
      <c r="AK329" s="242"/>
      <c r="AL329" s="242"/>
      <c r="AM329" s="242"/>
      <c r="AN329" s="242"/>
      <c r="AO329" s="242"/>
      <c r="AP329" s="242"/>
      <c r="AQ329" s="242"/>
      <c r="AR329" s="242"/>
      <c r="AS329" s="242"/>
      <c r="AU329" s="4"/>
    </row>
    <row r="330" spans="7:47" ht="24.75" customHeight="1" x14ac:dyDescent="0.75">
      <c r="G330" s="243"/>
      <c r="H330" s="244"/>
      <c r="I330" s="4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  <c r="AA330" s="242"/>
      <c r="AB330" s="242"/>
      <c r="AC330" s="242"/>
      <c r="AD330" s="242"/>
      <c r="AE330" s="242"/>
      <c r="AF330" s="242"/>
      <c r="AG330" s="242"/>
      <c r="AH330" s="242"/>
      <c r="AI330" s="242"/>
      <c r="AJ330" s="242"/>
      <c r="AK330" s="242"/>
      <c r="AL330" s="242"/>
      <c r="AM330" s="242"/>
      <c r="AN330" s="242"/>
      <c r="AO330" s="242"/>
      <c r="AP330" s="242"/>
      <c r="AQ330" s="242"/>
      <c r="AR330" s="242"/>
      <c r="AS330" s="242"/>
      <c r="AU330" s="4"/>
    </row>
    <row r="331" spans="7:47" ht="24.75" customHeight="1" x14ac:dyDescent="0.75">
      <c r="G331" s="243"/>
      <c r="H331" s="244"/>
      <c r="I331" s="4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  <c r="AA331" s="242"/>
      <c r="AB331" s="242"/>
      <c r="AC331" s="242"/>
      <c r="AD331" s="242"/>
      <c r="AE331" s="242"/>
      <c r="AF331" s="242"/>
      <c r="AG331" s="242"/>
      <c r="AH331" s="242"/>
      <c r="AI331" s="242"/>
      <c r="AJ331" s="242"/>
      <c r="AK331" s="242"/>
      <c r="AL331" s="242"/>
      <c r="AM331" s="242"/>
      <c r="AN331" s="242"/>
      <c r="AO331" s="242"/>
      <c r="AP331" s="242"/>
      <c r="AQ331" s="242"/>
      <c r="AR331" s="242"/>
      <c r="AS331" s="242"/>
      <c r="AU331" s="4"/>
    </row>
    <row r="332" spans="7:47" ht="24.75" customHeight="1" x14ac:dyDescent="0.75">
      <c r="G332" s="243"/>
      <c r="H332" s="244"/>
      <c r="I332" s="4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  <c r="AA332" s="242"/>
      <c r="AB332" s="242"/>
      <c r="AC332" s="242"/>
      <c r="AD332" s="242"/>
      <c r="AE332" s="242"/>
      <c r="AF332" s="242"/>
      <c r="AG332" s="242"/>
      <c r="AH332" s="242"/>
      <c r="AI332" s="242"/>
      <c r="AJ332" s="242"/>
      <c r="AK332" s="242"/>
      <c r="AL332" s="242"/>
      <c r="AM332" s="242"/>
      <c r="AN332" s="242"/>
      <c r="AO332" s="242"/>
      <c r="AP332" s="242"/>
      <c r="AQ332" s="242"/>
      <c r="AR332" s="242"/>
      <c r="AS332" s="242"/>
      <c r="AU332" s="4"/>
    </row>
    <row r="333" spans="7:47" ht="24.75" customHeight="1" x14ac:dyDescent="0.75">
      <c r="G333" s="243"/>
      <c r="H333" s="244"/>
      <c r="I333" s="4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  <c r="AA333" s="242"/>
      <c r="AB333" s="242"/>
      <c r="AC333" s="242"/>
      <c r="AD333" s="242"/>
      <c r="AE333" s="242"/>
      <c r="AF333" s="242"/>
      <c r="AG333" s="242"/>
      <c r="AH333" s="242"/>
      <c r="AI333" s="242"/>
      <c r="AJ333" s="242"/>
      <c r="AK333" s="242"/>
      <c r="AL333" s="242"/>
      <c r="AM333" s="242"/>
      <c r="AN333" s="242"/>
      <c r="AO333" s="242"/>
      <c r="AP333" s="242"/>
      <c r="AQ333" s="242"/>
      <c r="AR333" s="242"/>
      <c r="AS333" s="242"/>
      <c r="AU333" s="4"/>
    </row>
    <row r="334" spans="7:47" ht="24.75" customHeight="1" x14ac:dyDescent="0.75">
      <c r="G334" s="243"/>
      <c r="H334" s="244"/>
      <c r="I334" s="4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  <c r="AA334" s="242"/>
      <c r="AB334" s="242"/>
      <c r="AC334" s="242"/>
      <c r="AD334" s="242"/>
      <c r="AE334" s="242"/>
      <c r="AF334" s="242"/>
      <c r="AG334" s="242"/>
      <c r="AH334" s="242"/>
      <c r="AI334" s="242"/>
      <c r="AJ334" s="242"/>
      <c r="AK334" s="242"/>
      <c r="AL334" s="242"/>
      <c r="AM334" s="242"/>
      <c r="AN334" s="242"/>
      <c r="AO334" s="242"/>
      <c r="AP334" s="242"/>
      <c r="AQ334" s="242"/>
      <c r="AR334" s="242"/>
      <c r="AS334" s="242"/>
      <c r="AU334" s="4"/>
    </row>
    <row r="335" spans="7:47" ht="24.75" customHeight="1" x14ac:dyDescent="0.75">
      <c r="G335" s="243"/>
      <c r="H335" s="244"/>
      <c r="I335" s="4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  <c r="AA335" s="242"/>
      <c r="AB335" s="242"/>
      <c r="AC335" s="242"/>
      <c r="AD335" s="242"/>
      <c r="AE335" s="242"/>
      <c r="AF335" s="242"/>
      <c r="AG335" s="242"/>
      <c r="AH335" s="242"/>
      <c r="AI335" s="242"/>
      <c r="AJ335" s="242"/>
      <c r="AK335" s="242"/>
      <c r="AL335" s="242"/>
      <c r="AM335" s="242"/>
      <c r="AN335" s="242"/>
      <c r="AO335" s="242"/>
      <c r="AP335" s="242"/>
      <c r="AQ335" s="242"/>
      <c r="AR335" s="242"/>
      <c r="AS335" s="242"/>
      <c r="AU335" s="4"/>
    </row>
    <row r="336" spans="7:47" ht="24.75" customHeight="1" x14ac:dyDescent="0.75">
      <c r="G336" s="243"/>
      <c r="H336" s="244"/>
      <c r="I336" s="4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  <c r="AA336" s="242"/>
      <c r="AB336" s="242"/>
      <c r="AC336" s="242"/>
      <c r="AD336" s="242"/>
      <c r="AE336" s="242"/>
      <c r="AF336" s="242"/>
      <c r="AG336" s="242"/>
      <c r="AH336" s="242"/>
      <c r="AI336" s="242"/>
      <c r="AJ336" s="242"/>
      <c r="AK336" s="242"/>
      <c r="AL336" s="242"/>
      <c r="AM336" s="242"/>
      <c r="AN336" s="242"/>
      <c r="AO336" s="242"/>
      <c r="AP336" s="242"/>
      <c r="AQ336" s="242"/>
      <c r="AR336" s="242"/>
      <c r="AS336" s="242"/>
      <c r="AU336" s="4"/>
    </row>
    <row r="337" spans="7:47" ht="24.75" customHeight="1" x14ac:dyDescent="0.75">
      <c r="G337" s="243"/>
      <c r="H337" s="244"/>
      <c r="I337" s="4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  <c r="AA337" s="242"/>
      <c r="AB337" s="242"/>
      <c r="AC337" s="242"/>
      <c r="AD337" s="242"/>
      <c r="AE337" s="242"/>
      <c r="AF337" s="242"/>
      <c r="AG337" s="242"/>
      <c r="AH337" s="242"/>
      <c r="AI337" s="242"/>
      <c r="AJ337" s="242"/>
      <c r="AK337" s="242"/>
      <c r="AL337" s="242"/>
      <c r="AM337" s="242"/>
      <c r="AN337" s="242"/>
      <c r="AO337" s="242"/>
      <c r="AP337" s="242"/>
      <c r="AQ337" s="242"/>
      <c r="AR337" s="242"/>
      <c r="AS337" s="242"/>
      <c r="AU337" s="4"/>
    </row>
    <row r="338" spans="7:47" ht="24.75" customHeight="1" x14ac:dyDescent="0.75">
      <c r="G338" s="243"/>
      <c r="H338" s="244"/>
      <c r="I338" s="4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  <c r="AA338" s="242"/>
      <c r="AB338" s="242"/>
      <c r="AC338" s="242"/>
      <c r="AD338" s="242"/>
      <c r="AE338" s="242"/>
      <c r="AF338" s="242"/>
      <c r="AG338" s="242"/>
      <c r="AH338" s="242"/>
      <c r="AI338" s="242"/>
      <c r="AJ338" s="242"/>
      <c r="AK338" s="242"/>
      <c r="AL338" s="242"/>
      <c r="AM338" s="242"/>
      <c r="AN338" s="242"/>
      <c r="AO338" s="242"/>
      <c r="AP338" s="242"/>
      <c r="AQ338" s="242"/>
      <c r="AR338" s="242"/>
      <c r="AS338" s="242"/>
      <c r="AU338" s="4"/>
    </row>
    <row r="339" spans="7:47" ht="24.75" customHeight="1" x14ac:dyDescent="0.75">
      <c r="G339" s="243"/>
      <c r="H339" s="244"/>
      <c r="I339" s="4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  <c r="AA339" s="242"/>
      <c r="AB339" s="242"/>
      <c r="AC339" s="242"/>
      <c r="AD339" s="242"/>
      <c r="AE339" s="242"/>
      <c r="AF339" s="242"/>
      <c r="AG339" s="242"/>
      <c r="AH339" s="242"/>
      <c r="AI339" s="242"/>
      <c r="AJ339" s="242"/>
      <c r="AK339" s="242"/>
      <c r="AL339" s="242"/>
      <c r="AM339" s="242"/>
      <c r="AN339" s="242"/>
      <c r="AO339" s="242"/>
      <c r="AP339" s="242"/>
      <c r="AQ339" s="242"/>
      <c r="AR339" s="242"/>
      <c r="AS339" s="242"/>
      <c r="AU339" s="4"/>
    </row>
    <row r="340" spans="7:47" ht="24.75" customHeight="1" x14ac:dyDescent="0.75">
      <c r="G340" s="243"/>
      <c r="H340" s="244"/>
      <c r="I340" s="4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  <c r="AA340" s="242"/>
      <c r="AB340" s="242"/>
      <c r="AC340" s="242"/>
      <c r="AD340" s="242"/>
      <c r="AE340" s="242"/>
      <c r="AF340" s="242"/>
      <c r="AG340" s="242"/>
      <c r="AH340" s="242"/>
      <c r="AI340" s="242"/>
      <c r="AJ340" s="242"/>
      <c r="AK340" s="242"/>
      <c r="AL340" s="242"/>
      <c r="AM340" s="242"/>
      <c r="AN340" s="242"/>
      <c r="AO340" s="242"/>
      <c r="AP340" s="242"/>
      <c r="AQ340" s="242"/>
      <c r="AR340" s="242"/>
      <c r="AS340" s="242"/>
      <c r="AU340" s="4"/>
    </row>
    <row r="341" spans="7:47" ht="24.75" customHeight="1" x14ac:dyDescent="0.75">
      <c r="G341" s="243"/>
      <c r="H341" s="244"/>
      <c r="I341" s="4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  <c r="AA341" s="242"/>
      <c r="AB341" s="242"/>
      <c r="AC341" s="242"/>
      <c r="AD341" s="242"/>
      <c r="AE341" s="242"/>
      <c r="AF341" s="242"/>
      <c r="AG341" s="242"/>
      <c r="AH341" s="242"/>
      <c r="AI341" s="242"/>
      <c r="AJ341" s="242"/>
      <c r="AK341" s="242"/>
      <c r="AL341" s="242"/>
      <c r="AM341" s="242"/>
      <c r="AN341" s="242"/>
      <c r="AO341" s="242"/>
      <c r="AP341" s="242"/>
      <c r="AQ341" s="242"/>
      <c r="AR341" s="242"/>
      <c r="AS341" s="242"/>
      <c r="AU341" s="4"/>
    </row>
    <row r="342" spans="7:47" ht="24.75" customHeight="1" x14ac:dyDescent="0.75">
      <c r="G342" s="243"/>
      <c r="H342" s="244"/>
      <c r="I342" s="4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  <c r="AA342" s="242"/>
      <c r="AB342" s="242"/>
      <c r="AC342" s="242"/>
      <c r="AD342" s="242"/>
      <c r="AE342" s="242"/>
      <c r="AF342" s="242"/>
      <c r="AG342" s="242"/>
      <c r="AH342" s="242"/>
      <c r="AI342" s="242"/>
      <c r="AJ342" s="242"/>
      <c r="AK342" s="242"/>
      <c r="AL342" s="242"/>
      <c r="AM342" s="242"/>
      <c r="AN342" s="242"/>
      <c r="AO342" s="242"/>
      <c r="AP342" s="242"/>
      <c r="AQ342" s="242"/>
      <c r="AR342" s="242"/>
      <c r="AS342" s="242"/>
      <c r="AU342" s="4"/>
    </row>
    <row r="343" spans="7:47" ht="24.75" customHeight="1" x14ac:dyDescent="0.75">
      <c r="G343" s="243"/>
      <c r="H343" s="244"/>
      <c r="I343" s="4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  <c r="AA343" s="242"/>
      <c r="AB343" s="242"/>
      <c r="AC343" s="242"/>
      <c r="AD343" s="242"/>
      <c r="AE343" s="242"/>
      <c r="AF343" s="242"/>
      <c r="AG343" s="242"/>
      <c r="AH343" s="242"/>
      <c r="AI343" s="242"/>
      <c r="AJ343" s="242"/>
      <c r="AK343" s="242"/>
      <c r="AL343" s="242"/>
      <c r="AM343" s="242"/>
      <c r="AN343" s="242"/>
      <c r="AO343" s="242"/>
      <c r="AP343" s="242"/>
      <c r="AQ343" s="242"/>
      <c r="AR343" s="242"/>
      <c r="AS343" s="242"/>
      <c r="AU343" s="4"/>
    </row>
    <row r="344" spans="7:47" ht="24.75" customHeight="1" x14ac:dyDescent="0.75">
      <c r="G344" s="243"/>
      <c r="H344" s="244"/>
      <c r="I344" s="4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  <c r="AA344" s="242"/>
      <c r="AB344" s="242"/>
      <c r="AC344" s="242"/>
      <c r="AD344" s="242"/>
      <c r="AE344" s="242"/>
      <c r="AF344" s="242"/>
      <c r="AG344" s="242"/>
      <c r="AH344" s="242"/>
      <c r="AI344" s="242"/>
      <c r="AJ344" s="242"/>
      <c r="AK344" s="242"/>
      <c r="AL344" s="242"/>
      <c r="AM344" s="242"/>
      <c r="AN344" s="242"/>
      <c r="AO344" s="242"/>
      <c r="AP344" s="242"/>
      <c r="AQ344" s="242"/>
      <c r="AR344" s="242"/>
      <c r="AS344" s="242"/>
      <c r="AU344" s="4"/>
    </row>
    <row r="345" spans="7:47" ht="24.75" customHeight="1" x14ac:dyDescent="0.75">
      <c r="G345" s="243"/>
      <c r="H345" s="244"/>
      <c r="I345" s="4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  <c r="AA345" s="242"/>
      <c r="AB345" s="242"/>
      <c r="AC345" s="242"/>
      <c r="AD345" s="242"/>
      <c r="AE345" s="242"/>
      <c r="AF345" s="242"/>
      <c r="AG345" s="242"/>
      <c r="AH345" s="242"/>
      <c r="AI345" s="242"/>
      <c r="AJ345" s="242"/>
      <c r="AK345" s="242"/>
      <c r="AL345" s="242"/>
      <c r="AM345" s="242"/>
      <c r="AN345" s="242"/>
      <c r="AO345" s="242"/>
      <c r="AP345" s="242"/>
      <c r="AQ345" s="242"/>
      <c r="AR345" s="242"/>
      <c r="AS345" s="242"/>
      <c r="AU345" s="4"/>
    </row>
    <row r="346" spans="7:47" ht="24.75" customHeight="1" x14ac:dyDescent="0.75">
      <c r="G346" s="243"/>
      <c r="H346" s="244"/>
      <c r="I346" s="4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  <c r="AA346" s="242"/>
      <c r="AB346" s="242"/>
      <c r="AC346" s="242"/>
      <c r="AD346" s="242"/>
      <c r="AE346" s="242"/>
      <c r="AF346" s="242"/>
      <c r="AG346" s="242"/>
      <c r="AH346" s="242"/>
      <c r="AI346" s="242"/>
      <c r="AJ346" s="242"/>
      <c r="AK346" s="242"/>
      <c r="AL346" s="242"/>
      <c r="AM346" s="242"/>
      <c r="AN346" s="242"/>
      <c r="AO346" s="242"/>
      <c r="AP346" s="242"/>
      <c r="AQ346" s="242"/>
      <c r="AR346" s="242"/>
      <c r="AS346" s="242"/>
      <c r="AU346" s="4"/>
    </row>
    <row r="347" spans="7:47" ht="24.75" customHeight="1" x14ac:dyDescent="0.75">
      <c r="G347" s="243"/>
      <c r="H347" s="244"/>
      <c r="I347" s="4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  <c r="AA347" s="242"/>
      <c r="AB347" s="242"/>
      <c r="AC347" s="242"/>
      <c r="AD347" s="242"/>
      <c r="AE347" s="242"/>
      <c r="AF347" s="242"/>
      <c r="AG347" s="242"/>
      <c r="AH347" s="242"/>
      <c r="AI347" s="242"/>
      <c r="AJ347" s="242"/>
      <c r="AK347" s="242"/>
      <c r="AL347" s="242"/>
      <c r="AM347" s="242"/>
      <c r="AN347" s="242"/>
      <c r="AO347" s="242"/>
      <c r="AP347" s="242"/>
      <c r="AQ347" s="242"/>
      <c r="AR347" s="242"/>
      <c r="AS347" s="242"/>
      <c r="AU347" s="4"/>
    </row>
    <row r="348" spans="7:47" ht="24.75" customHeight="1" x14ac:dyDescent="0.75">
      <c r="G348" s="243"/>
      <c r="H348" s="244"/>
      <c r="I348" s="4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  <c r="AA348" s="242"/>
      <c r="AB348" s="242"/>
      <c r="AC348" s="242"/>
      <c r="AD348" s="242"/>
      <c r="AE348" s="242"/>
      <c r="AF348" s="242"/>
      <c r="AG348" s="242"/>
      <c r="AH348" s="242"/>
      <c r="AI348" s="242"/>
      <c r="AJ348" s="242"/>
      <c r="AK348" s="242"/>
      <c r="AL348" s="242"/>
      <c r="AM348" s="242"/>
      <c r="AN348" s="242"/>
      <c r="AO348" s="242"/>
      <c r="AP348" s="242"/>
      <c r="AQ348" s="242"/>
      <c r="AR348" s="242"/>
      <c r="AS348" s="242"/>
      <c r="AU348" s="4"/>
    </row>
    <row r="349" spans="7:47" ht="24.75" customHeight="1" x14ac:dyDescent="0.75">
      <c r="G349" s="243"/>
      <c r="H349" s="244"/>
      <c r="I349" s="4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  <c r="AA349" s="242"/>
      <c r="AB349" s="242"/>
      <c r="AC349" s="242"/>
      <c r="AD349" s="242"/>
      <c r="AE349" s="242"/>
      <c r="AF349" s="242"/>
      <c r="AG349" s="242"/>
      <c r="AH349" s="242"/>
      <c r="AI349" s="242"/>
      <c r="AJ349" s="242"/>
      <c r="AK349" s="242"/>
      <c r="AL349" s="242"/>
      <c r="AM349" s="242"/>
      <c r="AN349" s="242"/>
      <c r="AO349" s="242"/>
      <c r="AP349" s="242"/>
      <c r="AQ349" s="242"/>
      <c r="AR349" s="242"/>
      <c r="AS349" s="242"/>
      <c r="AU349" s="4"/>
    </row>
    <row r="350" spans="7:47" ht="24.75" customHeight="1" x14ac:dyDescent="0.75">
      <c r="G350" s="243"/>
      <c r="H350" s="244"/>
      <c r="I350" s="4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  <c r="AA350" s="242"/>
      <c r="AB350" s="242"/>
      <c r="AC350" s="242"/>
      <c r="AD350" s="242"/>
      <c r="AE350" s="242"/>
      <c r="AF350" s="242"/>
      <c r="AG350" s="242"/>
      <c r="AH350" s="242"/>
      <c r="AI350" s="242"/>
      <c r="AJ350" s="242"/>
      <c r="AK350" s="242"/>
      <c r="AL350" s="242"/>
      <c r="AM350" s="242"/>
      <c r="AN350" s="242"/>
      <c r="AO350" s="242"/>
      <c r="AP350" s="242"/>
      <c r="AQ350" s="242"/>
      <c r="AR350" s="242"/>
      <c r="AS350" s="242"/>
      <c r="AU350" s="4"/>
    </row>
    <row r="351" spans="7:47" ht="24.75" customHeight="1" x14ac:dyDescent="0.75">
      <c r="G351" s="243"/>
      <c r="H351" s="244"/>
      <c r="I351" s="4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  <c r="AA351" s="242"/>
      <c r="AB351" s="242"/>
      <c r="AC351" s="242"/>
      <c r="AD351" s="242"/>
      <c r="AE351" s="242"/>
      <c r="AF351" s="242"/>
      <c r="AG351" s="242"/>
      <c r="AH351" s="242"/>
      <c r="AI351" s="242"/>
      <c r="AJ351" s="242"/>
      <c r="AK351" s="242"/>
      <c r="AL351" s="242"/>
      <c r="AM351" s="242"/>
      <c r="AN351" s="242"/>
      <c r="AO351" s="242"/>
      <c r="AP351" s="242"/>
      <c r="AQ351" s="242"/>
      <c r="AR351" s="242"/>
      <c r="AS351" s="242"/>
      <c r="AU351" s="4"/>
    </row>
    <row r="352" spans="7:47" ht="24.75" customHeight="1" x14ac:dyDescent="0.75">
      <c r="G352" s="243"/>
      <c r="H352" s="244"/>
      <c r="I352" s="4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  <c r="AA352" s="242"/>
      <c r="AB352" s="242"/>
      <c r="AC352" s="242"/>
      <c r="AD352" s="242"/>
      <c r="AE352" s="242"/>
      <c r="AF352" s="242"/>
      <c r="AG352" s="242"/>
      <c r="AH352" s="242"/>
      <c r="AI352" s="242"/>
      <c r="AJ352" s="242"/>
      <c r="AK352" s="242"/>
      <c r="AL352" s="242"/>
      <c r="AM352" s="242"/>
      <c r="AN352" s="242"/>
      <c r="AO352" s="242"/>
      <c r="AP352" s="242"/>
      <c r="AQ352" s="242"/>
      <c r="AR352" s="242"/>
      <c r="AS352" s="242"/>
      <c r="AU352" s="4"/>
    </row>
    <row r="353" spans="7:47" ht="24.75" customHeight="1" x14ac:dyDescent="0.75">
      <c r="G353" s="243"/>
      <c r="H353" s="244"/>
      <c r="I353" s="4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  <c r="AA353" s="242"/>
      <c r="AB353" s="242"/>
      <c r="AC353" s="242"/>
      <c r="AD353" s="242"/>
      <c r="AE353" s="242"/>
      <c r="AF353" s="242"/>
      <c r="AG353" s="242"/>
      <c r="AH353" s="242"/>
      <c r="AI353" s="242"/>
      <c r="AJ353" s="242"/>
      <c r="AK353" s="242"/>
      <c r="AL353" s="242"/>
      <c r="AM353" s="242"/>
      <c r="AN353" s="242"/>
      <c r="AO353" s="242"/>
      <c r="AP353" s="242"/>
      <c r="AQ353" s="242"/>
      <c r="AR353" s="242"/>
      <c r="AS353" s="242"/>
      <c r="AU353" s="4"/>
    </row>
    <row r="354" spans="7:47" ht="24.75" customHeight="1" x14ac:dyDescent="0.75">
      <c r="G354" s="243"/>
      <c r="H354" s="244"/>
      <c r="I354" s="4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  <c r="AA354" s="242"/>
      <c r="AB354" s="242"/>
      <c r="AC354" s="242"/>
      <c r="AD354" s="242"/>
      <c r="AE354" s="242"/>
      <c r="AF354" s="242"/>
      <c r="AG354" s="242"/>
      <c r="AH354" s="242"/>
      <c r="AI354" s="242"/>
      <c r="AJ354" s="242"/>
      <c r="AK354" s="242"/>
      <c r="AL354" s="242"/>
      <c r="AM354" s="242"/>
      <c r="AN354" s="242"/>
      <c r="AO354" s="242"/>
      <c r="AP354" s="242"/>
      <c r="AQ354" s="242"/>
      <c r="AR354" s="242"/>
      <c r="AS354" s="242"/>
      <c r="AU354" s="4"/>
    </row>
    <row r="355" spans="7:47" ht="24.75" customHeight="1" x14ac:dyDescent="0.75">
      <c r="G355" s="243"/>
      <c r="H355" s="244"/>
      <c r="I355" s="4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  <c r="AA355" s="242"/>
      <c r="AB355" s="242"/>
      <c r="AC355" s="242"/>
      <c r="AD355" s="242"/>
      <c r="AE355" s="242"/>
      <c r="AF355" s="242"/>
      <c r="AG355" s="242"/>
      <c r="AH355" s="242"/>
      <c r="AI355" s="242"/>
      <c r="AJ355" s="242"/>
      <c r="AK355" s="242"/>
      <c r="AL355" s="242"/>
      <c r="AM355" s="242"/>
      <c r="AN355" s="242"/>
      <c r="AO355" s="242"/>
      <c r="AP355" s="242"/>
      <c r="AQ355" s="242"/>
      <c r="AR355" s="242"/>
      <c r="AS355" s="242"/>
      <c r="AU355" s="4"/>
    </row>
    <row r="356" spans="7:47" ht="24.75" customHeight="1" x14ac:dyDescent="0.75">
      <c r="G356" s="243"/>
      <c r="H356" s="244"/>
      <c r="I356" s="4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  <c r="AA356" s="242"/>
      <c r="AB356" s="242"/>
      <c r="AC356" s="242"/>
      <c r="AD356" s="242"/>
      <c r="AE356" s="242"/>
      <c r="AF356" s="242"/>
      <c r="AG356" s="242"/>
      <c r="AH356" s="242"/>
      <c r="AI356" s="242"/>
      <c r="AJ356" s="242"/>
      <c r="AK356" s="242"/>
      <c r="AL356" s="242"/>
      <c r="AM356" s="242"/>
      <c r="AN356" s="242"/>
      <c r="AO356" s="242"/>
      <c r="AP356" s="242"/>
      <c r="AQ356" s="242"/>
      <c r="AR356" s="242"/>
      <c r="AS356" s="242"/>
      <c r="AU356" s="4"/>
    </row>
    <row r="357" spans="7:47" ht="24.75" customHeight="1" x14ac:dyDescent="0.75">
      <c r="G357" s="243"/>
      <c r="H357" s="244"/>
      <c r="I357" s="4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  <c r="AA357" s="242"/>
      <c r="AB357" s="242"/>
      <c r="AC357" s="242"/>
      <c r="AD357" s="242"/>
      <c r="AE357" s="242"/>
      <c r="AF357" s="242"/>
      <c r="AG357" s="242"/>
      <c r="AH357" s="242"/>
      <c r="AI357" s="242"/>
      <c r="AJ357" s="242"/>
      <c r="AK357" s="242"/>
      <c r="AL357" s="242"/>
      <c r="AM357" s="242"/>
      <c r="AN357" s="242"/>
      <c r="AO357" s="242"/>
      <c r="AP357" s="242"/>
      <c r="AQ357" s="242"/>
      <c r="AR357" s="242"/>
      <c r="AS357" s="242"/>
      <c r="AU357" s="4"/>
    </row>
    <row r="358" spans="7:47" ht="24.75" customHeight="1" x14ac:dyDescent="0.75">
      <c r="G358" s="243"/>
      <c r="H358" s="244"/>
      <c r="I358" s="4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  <c r="AA358" s="242"/>
      <c r="AB358" s="242"/>
      <c r="AC358" s="242"/>
      <c r="AD358" s="242"/>
      <c r="AE358" s="242"/>
      <c r="AF358" s="242"/>
      <c r="AG358" s="242"/>
      <c r="AH358" s="242"/>
      <c r="AI358" s="242"/>
      <c r="AJ358" s="242"/>
      <c r="AK358" s="242"/>
      <c r="AL358" s="242"/>
      <c r="AM358" s="242"/>
      <c r="AN358" s="242"/>
      <c r="AO358" s="242"/>
      <c r="AP358" s="242"/>
      <c r="AQ358" s="242"/>
      <c r="AR358" s="242"/>
      <c r="AS358" s="242"/>
      <c r="AU358" s="4"/>
    </row>
    <row r="359" spans="7:47" ht="24.75" customHeight="1" x14ac:dyDescent="0.75">
      <c r="G359" s="243"/>
      <c r="H359" s="244"/>
      <c r="I359" s="4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  <c r="AA359" s="242"/>
      <c r="AB359" s="242"/>
      <c r="AC359" s="242"/>
      <c r="AD359" s="242"/>
      <c r="AE359" s="242"/>
      <c r="AF359" s="242"/>
      <c r="AG359" s="242"/>
      <c r="AH359" s="242"/>
      <c r="AI359" s="242"/>
      <c r="AJ359" s="242"/>
      <c r="AK359" s="242"/>
      <c r="AL359" s="242"/>
      <c r="AM359" s="242"/>
      <c r="AN359" s="242"/>
      <c r="AO359" s="242"/>
      <c r="AP359" s="242"/>
      <c r="AQ359" s="242"/>
      <c r="AR359" s="242"/>
      <c r="AS359" s="242"/>
      <c r="AU359" s="4"/>
    </row>
    <row r="360" spans="7:47" ht="24.75" customHeight="1" x14ac:dyDescent="0.75">
      <c r="G360" s="243"/>
      <c r="H360" s="244"/>
      <c r="I360" s="4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  <c r="AA360" s="242"/>
      <c r="AB360" s="242"/>
      <c r="AC360" s="242"/>
      <c r="AD360" s="242"/>
      <c r="AE360" s="242"/>
      <c r="AF360" s="242"/>
      <c r="AG360" s="242"/>
      <c r="AH360" s="242"/>
      <c r="AI360" s="242"/>
      <c r="AJ360" s="242"/>
      <c r="AK360" s="242"/>
      <c r="AL360" s="242"/>
      <c r="AM360" s="242"/>
      <c r="AN360" s="242"/>
      <c r="AO360" s="242"/>
      <c r="AP360" s="242"/>
      <c r="AQ360" s="242"/>
      <c r="AR360" s="242"/>
      <c r="AS360" s="242"/>
      <c r="AU360" s="4"/>
    </row>
    <row r="361" spans="7:47" ht="24.75" customHeight="1" x14ac:dyDescent="0.75">
      <c r="G361" s="243"/>
      <c r="H361" s="244"/>
      <c r="I361" s="4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  <c r="AA361" s="242"/>
      <c r="AB361" s="242"/>
      <c r="AC361" s="242"/>
      <c r="AD361" s="242"/>
      <c r="AE361" s="242"/>
      <c r="AF361" s="242"/>
      <c r="AG361" s="242"/>
      <c r="AH361" s="242"/>
      <c r="AI361" s="242"/>
      <c r="AJ361" s="242"/>
      <c r="AK361" s="242"/>
      <c r="AL361" s="242"/>
      <c r="AM361" s="242"/>
      <c r="AN361" s="242"/>
      <c r="AO361" s="242"/>
      <c r="AP361" s="242"/>
      <c r="AQ361" s="242"/>
      <c r="AR361" s="242"/>
      <c r="AS361" s="242"/>
      <c r="AU361" s="4"/>
    </row>
    <row r="362" spans="7:47" ht="24.75" customHeight="1" x14ac:dyDescent="0.75">
      <c r="G362" s="243"/>
      <c r="H362" s="244"/>
      <c r="I362" s="4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  <c r="AA362" s="242"/>
      <c r="AB362" s="242"/>
      <c r="AC362" s="242"/>
      <c r="AD362" s="242"/>
      <c r="AE362" s="242"/>
      <c r="AF362" s="242"/>
      <c r="AG362" s="242"/>
      <c r="AH362" s="242"/>
      <c r="AI362" s="242"/>
      <c r="AJ362" s="242"/>
      <c r="AK362" s="242"/>
      <c r="AL362" s="242"/>
      <c r="AM362" s="242"/>
      <c r="AN362" s="242"/>
      <c r="AO362" s="242"/>
      <c r="AP362" s="242"/>
      <c r="AQ362" s="242"/>
      <c r="AR362" s="242"/>
      <c r="AS362" s="242"/>
      <c r="AU362" s="4"/>
    </row>
    <row r="363" spans="7:47" ht="24.75" customHeight="1" x14ac:dyDescent="0.75">
      <c r="G363" s="243"/>
      <c r="H363" s="244"/>
      <c r="I363" s="4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  <c r="AA363" s="242"/>
      <c r="AB363" s="242"/>
      <c r="AC363" s="242"/>
      <c r="AD363" s="242"/>
      <c r="AE363" s="242"/>
      <c r="AF363" s="242"/>
      <c r="AG363" s="242"/>
      <c r="AH363" s="242"/>
      <c r="AI363" s="242"/>
      <c r="AJ363" s="242"/>
      <c r="AK363" s="242"/>
      <c r="AL363" s="242"/>
      <c r="AM363" s="242"/>
      <c r="AN363" s="242"/>
      <c r="AO363" s="242"/>
      <c r="AP363" s="242"/>
      <c r="AQ363" s="242"/>
      <c r="AR363" s="242"/>
      <c r="AS363" s="242"/>
      <c r="AU363" s="4"/>
    </row>
    <row r="364" spans="7:47" ht="24.75" customHeight="1" x14ac:dyDescent="0.75">
      <c r="G364" s="243"/>
      <c r="H364" s="244"/>
      <c r="I364" s="4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  <c r="AA364" s="242"/>
      <c r="AB364" s="242"/>
      <c r="AC364" s="242"/>
      <c r="AD364" s="242"/>
      <c r="AE364" s="242"/>
      <c r="AF364" s="242"/>
      <c r="AG364" s="242"/>
      <c r="AH364" s="242"/>
      <c r="AI364" s="242"/>
      <c r="AJ364" s="242"/>
      <c r="AK364" s="242"/>
      <c r="AL364" s="242"/>
      <c r="AM364" s="242"/>
      <c r="AN364" s="242"/>
      <c r="AO364" s="242"/>
      <c r="AP364" s="242"/>
      <c r="AQ364" s="242"/>
      <c r="AR364" s="242"/>
      <c r="AS364" s="242"/>
      <c r="AU364" s="4"/>
    </row>
    <row r="365" spans="7:47" ht="24.75" customHeight="1" x14ac:dyDescent="0.75">
      <c r="G365" s="243"/>
      <c r="H365" s="244"/>
      <c r="I365" s="4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  <c r="AA365" s="242"/>
      <c r="AB365" s="242"/>
      <c r="AC365" s="242"/>
      <c r="AD365" s="242"/>
      <c r="AE365" s="242"/>
      <c r="AF365" s="242"/>
      <c r="AG365" s="242"/>
      <c r="AH365" s="242"/>
      <c r="AI365" s="242"/>
      <c r="AJ365" s="242"/>
      <c r="AK365" s="242"/>
      <c r="AL365" s="242"/>
      <c r="AM365" s="242"/>
      <c r="AN365" s="242"/>
      <c r="AO365" s="242"/>
      <c r="AP365" s="242"/>
      <c r="AQ365" s="242"/>
      <c r="AR365" s="242"/>
      <c r="AS365" s="242"/>
      <c r="AU365" s="4"/>
    </row>
    <row r="366" spans="7:47" ht="24.75" customHeight="1" x14ac:dyDescent="0.75">
      <c r="G366" s="243"/>
      <c r="H366" s="244"/>
      <c r="I366" s="4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  <c r="AA366" s="242"/>
      <c r="AB366" s="242"/>
      <c r="AC366" s="242"/>
      <c r="AD366" s="242"/>
      <c r="AE366" s="242"/>
      <c r="AF366" s="242"/>
      <c r="AG366" s="242"/>
      <c r="AH366" s="242"/>
      <c r="AI366" s="242"/>
      <c r="AJ366" s="242"/>
      <c r="AK366" s="242"/>
      <c r="AL366" s="242"/>
      <c r="AM366" s="242"/>
      <c r="AN366" s="242"/>
      <c r="AO366" s="242"/>
      <c r="AP366" s="242"/>
      <c r="AQ366" s="242"/>
      <c r="AR366" s="242"/>
      <c r="AS366" s="242"/>
      <c r="AU366" s="4"/>
    </row>
    <row r="367" spans="7:47" ht="24.75" customHeight="1" x14ac:dyDescent="0.75">
      <c r="G367" s="243"/>
      <c r="H367" s="244"/>
      <c r="I367" s="4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  <c r="AA367" s="242"/>
      <c r="AB367" s="242"/>
      <c r="AC367" s="242"/>
      <c r="AD367" s="242"/>
      <c r="AE367" s="242"/>
      <c r="AF367" s="242"/>
      <c r="AG367" s="242"/>
      <c r="AH367" s="242"/>
      <c r="AI367" s="242"/>
      <c r="AJ367" s="242"/>
      <c r="AK367" s="242"/>
      <c r="AL367" s="242"/>
      <c r="AM367" s="242"/>
      <c r="AN367" s="242"/>
      <c r="AO367" s="242"/>
      <c r="AP367" s="242"/>
      <c r="AQ367" s="242"/>
      <c r="AR367" s="242"/>
      <c r="AS367" s="242"/>
      <c r="AU367" s="4"/>
    </row>
    <row r="368" spans="7:47" ht="24.75" customHeight="1" x14ac:dyDescent="0.75">
      <c r="G368" s="243"/>
      <c r="H368" s="244"/>
      <c r="I368" s="4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  <c r="AA368" s="242"/>
      <c r="AB368" s="242"/>
      <c r="AC368" s="242"/>
      <c r="AD368" s="242"/>
      <c r="AE368" s="242"/>
      <c r="AF368" s="242"/>
      <c r="AG368" s="242"/>
      <c r="AH368" s="242"/>
      <c r="AI368" s="242"/>
      <c r="AJ368" s="242"/>
      <c r="AK368" s="242"/>
      <c r="AL368" s="242"/>
      <c r="AM368" s="242"/>
      <c r="AN368" s="242"/>
      <c r="AO368" s="242"/>
      <c r="AP368" s="242"/>
      <c r="AQ368" s="242"/>
      <c r="AR368" s="242"/>
      <c r="AS368" s="242"/>
      <c r="AU368" s="4"/>
    </row>
    <row r="369" spans="7:47" ht="24.75" customHeight="1" x14ac:dyDescent="0.75">
      <c r="G369" s="243"/>
      <c r="H369" s="244"/>
      <c r="I369" s="4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  <c r="AA369" s="242"/>
      <c r="AB369" s="242"/>
      <c r="AC369" s="242"/>
      <c r="AD369" s="242"/>
      <c r="AE369" s="242"/>
      <c r="AF369" s="242"/>
      <c r="AG369" s="242"/>
      <c r="AH369" s="242"/>
      <c r="AI369" s="242"/>
      <c r="AJ369" s="242"/>
      <c r="AK369" s="242"/>
      <c r="AL369" s="242"/>
      <c r="AM369" s="242"/>
      <c r="AN369" s="242"/>
      <c r="AO369" s="242"/>
      <c r="AP369" s="242"/>
      <c r="AQ369" s="242"/>
      <c r="AR369" s="242"/>
      <c r="AS369" s="242"/>
      <c r="AU369" s="4"/>
    </row>
    <row r="370" spans="7:47" ht="24.75" customHeight="1" x14ac:dyDescent="0.75">
      <c r="G370" s="243"/>
      <c r="H370" s="244"/>
      <c r="I370" s="4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  <c r="AA370" s="242"/>
      <c r="AB370" s="242"/>
      <c r="AC370" s="242"/>
      <c r="AD370" s="242"/>
      <c r="AE370" s="242"/>
      <c r="AF370" s="242"/>
      <c r="AG370" s="242"/>
      <c r="AH370" s="242"/>
      <c r="AI370" s="242"/>
      <c r="AJ370" s="242"/>
      <c r="AK370" s="242"/>
      <c r="AL370" s="242"/>
      <c r="AM370" s="242"/>
      <c r="AN370" s="242"/>
      <c r="AO370" s="242"/>
      <c r="AP370" s="242"/>
      <c r="AQ370" s="242"/>
      <c r="AR370" s="242"/>
      <c r="AS370" s="242"/>
      <c r="AU370" s="4"/>
    </row>
    <row r="371" spans="7:47" ht="24.75" customHeight="1" x14ac:dyDescent="0.75">
      <c r="G371" s="243"/>
      <c r="H371" s="244"/>
      <c r="I371" s="4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  <c r="AA371" s="242"/>
      <c r="AB371" s="242"/>
      <c r="AC371" s="242"/>
      <c r="AD371" s="242"/>
      <c r="AE371" s="242"/>
      <c r="AF371" s="242"/>
      <c r="AG371" s="242"/>
      <c r="AH371" s="242"/>
      <c r="AI371" s="242"/>
      <c r="AJ371" s="242"/>
      <c r="AK371" s="242"/>
      <c r="AL371" s="242"/>
      <c r="AM371" s="242"/>
      <c r="AN371" s="242"/>
      <c r="AO371" s="242"/>
      <c r="AP371" s="242"/>
      <c r="AQ371" s="242"/>
      <c r="AR371" s="242"/>
      <c r="AS371" s="242"/>
      <c r="AU371" s="4"/>
    </row>
    <row r="372" spans="7:47" ht="24.75" customHeight="1" x14ac:dyDescent="0.75">
      <c r="G372" s="243"/>
      <c r="H372" s="244"/>
      <c r="I372" s="4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  <c r="AA372" s="242"/>
      <c r="AB372" s="242"/>
      <c r="AC372" s="242"/>
      <c r="AD372" s="242"/>
      <c r="AE372" s="242"/>
      <c r="AF372" s="242"/>
      <c r="AG372" s="242"/>
      <c r="AH372" s="242"/>
      <c r="AI372" s="242"/>
      <c r="AJ372" s="242"/>
      <c r="AK372" s="242"/>
      <c r="AL372" s="242"/>
      <c r="AM372" s="242"/>
      <c r="AN372" s="242"/>
      <c r="AO372" s="242"/>
      <c r="AP372" s="242"/>
      <c r="AQ372" s="242"/>
      <c r="AR372" s="242"/>
      <c r="AS372" s="242"/>
      <c r="AU372" s="4"/>
    </row>
    <row r="373" spans="7:47" ht="24.75" customHeight="1" x14ac:dyDescent="0.75">
      <c r="G373" s="243"/>
      <c r="H373" s="244"/>
      <c r="I373" s="4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  <c r="AA373" s="242"/>
      <c r="AB373" s="242"/>
      <c r="AC373" s="242"/>
      <c r="AD373" s="242"/>
      <c r="AE373" s="242"/>
      <c r="AF373" s="242"/>
      <c r="AG373" s="242"/>
      <c r="AH373" s="242"/>
      <c r="AI373" s="242"/>
      <c r="AJ373" s="242"/>
      <c r="AK373" s="242"/>
      <c r="AL373" s="242"/>
      <c r="AM373" s="242"/>
      <c r="AN373" s="242"/>
      <c r="AO373" s="242"/>
      <c r="AP373" s="242"/>
      <c r="AQ373" s="242"/>
      <c r="AR373" s="242"/>
      <c r="AS373" s="242"/>
      <c r="AU373" s="4"/>
    </row>
    <row r="374" spans="7:47" ht="24.75" customHeight="1" x14ac:dyDescent="0.75">
      <c r="G374" s="243"/>
      <c r="H374" s="244"/>
      <c r="I374" s="4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  <c r="AA374" s="242"/>
      <c r="AB374" s="242"/>
      <c r="AC374" s="242"/>
      <c r="AD374" s="242"/>
      <c r="AE374" s="242"/>
      <c r="AF374" s="242"/>
      <c r="AG374" s="242"/>
      <c r="AH374" s="242"/>
      <c r="AI374" s="242"/>
      <c r="AJ374" s="242"/>
      <c r="AK374" s="242"/>
      <c r="AL374" s="242"/>
      <c r="AM374" s="242"/>
      <c r="AN374" s="242"/>
      <c r="AO374" s="242"/>
      <c r="AP374" s="242"/>
      <c r="AQ374" s="242"/>
      <c r="AR374" s="242"/>
      <c r="AS374" s="242"/>
      <c r="AU374" s="4"/>
    </row>
    <row r="375" spans="7:47" ht="24.75" customHeight="1" x14ac:dyDescent="0.75">
      <c r="G375" s="243"/>
      <c r="H375" s="244"/>
      <c r="I375" s="4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  <c r="AA375" s="242"/>
      <c r="AB375" s="242"/>
      <c r="AC375" s="242"/>
      <c r="AD375" s="242"/>
      <c r="AE375" s="242"/>
      <c r="AF375" s="242"/>
      <c r="AG375" s="242"/>
      <c r="AH375" s="242"/>
      <c r="AI375" s="242"/>
      <c r="AJ375" s="242"/>
      <c r="AK375" s="242"/>
      <c r="AL375" s="242"/>
      <c r="AM375" s="242"/>
      <c r="AN375" s="242"/>
      <c r="AO375" s="242"/>
      <c r="AP375" s="242"/>
      <c r="AQ375" s="242"/>
      <c r="AR375" s="242"/>
      <c r="AS375" s="242"/>
      <c r="AU375" s="4"/>
    </row>
    <row r="376" spans="7:47" ht="24.75" customHeight="1" x14ac:dyDescent="0.75">
      <c r="G376" s="243"/>
      <c r="H376" s="244"/>
      <c r="I376" s="4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  <c r="AA376" s="242"/>
      <c r="AB376" s="242"/>
      <c r="AC376" s="242"/>
      <c r="AD376" s="242"/>
      <c r="AE376" s="242"/>
      <c r="AF376" s="242"/>
      <c r="AG376" s="242"/>
      <c r="AH376" s="242"/>
      <c r="AI376" s="242"/>
      <c r="AJ376" s="242"/>
      <c r="AK376" s="242"/>
      <c r="AL376" s="242"/>
      <c r="AM376" s="242"/>
      <c r="AN376" s="242"/>
      <c r="AO376" s="242"/>
      <c r="AP376" s="242"/>
      <c r="AQ376" s="242"/>
      <c r="AR376" s="242"/>
      <c r="AS376" s="242"/>
      <c r="AU376" s="4"/>
    </row>
    <row r="377" spans="7:47" ht="24.75" customHeight="1" x14ac:dyDescent="0.75">
      <c r="G377" s="243"/>
      <c r="H377" s="244"/>
      <c r="I377" s="4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  <c r="AA377" s="242"/>
      <c r="AB377" s="242"/>
      <c r="AC377" s="242"/>
      <c r="AD377" s="242"/>
      <c r="AE377" s="242"/>
      <c r="AF377" s="242"/>
      <c r="AG377" s="242"/>
      <c r="AH377" s="242"/>
      <c r="AI377" s="242"/>
      <c r="AJ377" s="242"/>
      <c r="AK377" s="242"/>
      <c r="AL377" s="242"/>
      <c r="AM377" s="242"/>
      <c r="AN377" s="242"/>
      <c r="AO377" s="242"/>
      <c r="AP377" s="242"/>
      <c r="AQ377" s="242"/>
      <c r="AR377" s="242"/>
      <c r="AS377" s="242"/>
      <c r="AU377" s="4"/>
    </row>
    <row r="378" spans="7:47" ht="24.75" customHeight="1" x14ac:dyDescent="0.75">
      <c r="G378" s="243"/>
      <c r="H378" s="244"/>
      <c r="I378" s="4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  <c r="AA378" s="242"/>
      <c r="AB378" s="242"/>
      <c r="AC378" s="242"/>
      <c r="AD378" s="242"/>
      <c r="AE378" s="242"/>
      <c r="AF378" s="242"/>
      <c r="AG378" s="242"/>
      <c r="AH378" s="242"/>
      <c r="AI378" s="242"/>
      <c r="AJ378" s="242"/>
      <c r="AK378" s="242"/>
      <c r="AL378" s="242"/>
      <c r="AM378" s="242"/>
      <c r="AN378" s="242"/>
      <c r="AO378" s="242"/>
      <c r="AP378" s="242"/>
      <c r="AQ378" s="242"/>
      <c r="AR378" s="242"/>
      <c r="AS378" s="242"/>
      <c r="AU378" s="4"/>
    </row>
    <row r="379" spans="7:47" ht="24.75" customHeight="1" x14ac:dyDescent="0.75">
      <c r="G379" s="243"/>
      <c r="H379" s="244"/>
      <c r="I379" s="4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  <c r="AA379" s="242"/>
      <c r="AB379" s="242"/>
      <c r="AC379" s="242"/>
      <c r="AD379" s="242"/>
      <c r="AE379" s="242"/>
      <c r="AF379" s="242"/>
      <c r="AG379" s="242"/>
      <c r="AH379" s="242"/>
      <c r="AI379" s="242"/>
      <c r="AJ379" s="242"/>
      <c r="AK379" s="242"/>
      <c r="AL379" s="242"/>
      <c r="AM379" s="242"/>
      <c r="AN379" s="242"/>
      <c r="AO379" s="242"/>
      <c r="AP379" s="242"/>
      <c r="AQ379" s="242"/>
      <c r="AR379" s="242"/>
      <c r="AS379" s="242"/>
      <c r="AU379" s="4"/>
    </row>
    <row r="380" spans="7:47" ht="24.75" customHeight="1" x14ac:dyDescent="0.75">
      <c r="G380" s="243"/>
      <c r="H380" s="244"/>
      <c r="I380" s="4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  <c r="AA380" s="242"/>
      <c r="AB380" s="242"/>
      <c r="AC380" s="242"/>
      <c r="AD380" s="242"/>
      <c r="AE380" s="242"/>
      <c r="AF380" s="242"/>
      <c r="AG380" s="242"/>
      <c r="AH380" s="242"/>
      <c r="AI380" s="242"/>
      <c r="AJ380" s="242"/>
      <c r="AK380" s="242"/>
      <c r="AL380" s="242"/>
      <c r="AM380" s="242"/>
      <c r="AN380" s="242"/>
      <c r="AO380" s="242"/>
      <c r="AP380" s="242"/>
      <c r="AQ380" s="242"/>
      <c r="AR380" s="242"/>
      <c r="AS380" s="242"/>
      <c r="AU380" s="4"/>
    </row>
    <row r="381" spans="7:47" ht="24.75" customHeight="1" x14ac:dyDescent="0.75">
      <c r="G381" s="243"/>
      <c r="H381" s="244"/>
      <c r="I381" s="4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  <c r="AA381" s="242"/>
      <c r="AB381" s="242"/>
      <c r="AC381" s="242"/>
      <c r="AD381" s="242"/>
      <c r="AE381" s="242"/>
      <c r="AF381" s="242"/>
      <c r="AG381" s="242"/>
      <c r="AH381" s="242"/>
      <c r="AI381" s="242"/>
      <c r="AJ381" s="242"/>
      <c r="AK381" s="242"/>
      <c r="AL381" s="242"/>
      <c r="AM381" s="242"/>
      <c r="AN381" s="242"/>
      <c r="AO381" s="242"/>
      <c r="AP381" s="242"/>
      <c r="AQ381" s="242"/>
      <c r="AR381" s="242"/>
      <c r="AS381" s="242"/>
      <c r="AU381" s="4"/>
    </row>
    <row r="382" spans="7:47" ht="24.75" customHeight="1" x14ac:dyDescent="0.75">
      <c r="G382" s="243"/>
      <c r="H382" s="244"/>
      <c r="I382" s="4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  <c r="AA382" s="242"/>
      <c r="AB382" s="242"/>
      <c r="AC382" s="242"/>
      <c r="AD382" s="242"/>
      <c r="AE382" s="242"/>
      <c r="AF382" s="242"/>
      <c r="AG382" s="242"/>
      <c r="AH382" s="242"/>
      <c r="AI382" s="242"/>
      <c r="AJ382" s="242"/>
      <c r="AK382" s="242"/>
      <c r="AL382" s="242"/>
      <c r="AM382" s="242"/>
      <c r="AN382" s="242"/>
      <c r="AO382" s="242"/>
      <c r="AP382" s="242"/>
      <c r="AQ382" s="242"/>
      <c r="AR382" s="242"/>
      <c r="AS382" s="242"/>
      <c r="AU382" s="4"/>
    </row>
    <row r="383" spans="7:47" ht="24.75" customHeight="1" x14ac:dyDescent="0.75">
      <c r="G383" s="243"/>
      <c r="H383" s="244"/>
      <c r="I383" s="4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  <c r="AA383" s="242"/>
      <c r="AB383" s="242"/>
      <c r="AC383" s="242"/>
      <c r="AD383" s="242"/>
      <c r="AE383" s="242"/>
      <c r="AF383" s="242"/>
      <c r="AG383" s="242"/>
      <c r="AH383" s="242"/>
      <c r="AI383" s="242"/>
      <c r="AJ383" s="242"/>
      <c r="AK383" s="242"/>
      <c r="AL383" s="242"/>
      <c r="AM383" s="242"/>
      <c r="AN383" s="242"/>
      <c r="AO383" s="242"/>
      <c r="AP383" s="242"/>
      <c r="AQ383" s="242"/>
      <c r="AR383" s="242"/>
      <c r="AS383" s="242"/>
      <c r="AU383" s="4"/>
    </row>
    <row r="384" spans="7:47" ht="24.75" customHeight="1" x14ac:dyDescent="0.75">
      <c r="G384" s="243"/>
      <c r="H384" s="244"/>
      <c r="I384" s="4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  <c r="AA384" s="242"/>
      <c r="AB384" s="242"/>
      <c r="AC384" s="242"/>
      <c r="AD384" s="242"/>
      <c r="AE384" s="242"/>
      <c r="AF384" s="242"/>
      <c r="AG384" s="242"/>
      <c r="AH384" s="242"/>
      <c r="AI384" s="242"/>
      <c r="AJ384" s="242"/>
      <c r="AK384" s="242"/>
      <c r="AL384" s="242"/>
      <c r="AM384" s="242"/>
      <c r="AN384" s="242"/>
      <c r="AO384" s="242"/>
      <c r="AP384" s="242"/>
      <c r="AQ384" s="242"/>
      <c r="AR384" s="242"/>
      <c r="AS384" s="242"/>
      <c r="AU384" s="4"/>
    </row>
    <row r="385" spans="7:47" ht="24.75" customHeight="1" x14ac:dyDescent="0.75">
      <c r="G385" s="243"/>
      <c r="H385" s="244"/>
      <c r="I385" s="4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  <c r="AA385" s="242"/>
      <c r="AB385" s="242"/>
      <c r="AC385" s="242"/>
      <c r="AD385" s="242"/>
      <c r="AE385" s="242"/>
      <c r="AF385" s="242"/>
      <c r="AG385" s="242"/>
      <c r="AH385" s="242"/>
      <c r="AI385" s="242"/>
      <c r="AJ385" s="242"/>
      <c r="AK385" s="242"/>
      <c r="AL385" s="242"/>
      <c r="AM385" s="242"/>
      <c r="AN385" s="242"/>
      <c r="AO385" s="242"/>
      <c r="AP385" s="242"/>
      <c r="AQ385" s="242"/>
      <c r="AR385" s="242"/>
      <c r="AS385" s="242"/>
      <c r="AU385" s="4"/>
    </row>
    <row r="386" spans="7:47" ht="24.75" customHeight="1" x14ac:dyDescent="0.75">
      <c r="G386" s="243"/>
      <c r="H386" s="244"/>
      <c r="I386" s="4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  <c r="AA386" s="242"/>
      <c r="AB386" s="242"/>
      <c r="AC386" s="242"/>
      <c r="AD386" s="242"/>
      <c r="AE386" s="242"/>
      <c r="AF386" s="242"/>
      <c r="AG386" s="242"/>
      <c r="AH386" s="242"/>
      <c r="AI386" s="242"/>
      <c r="AJ386" s="242"/>
      <c r="AK386" s="242"/>
      <c r="AL386" s="242"/>
      <c r="AM386" s="242"/>
      <c r="AN386" s="242"/>
      <c r="AO386" s="242"/>
      <c r="AP386" s="242"/>
      <c r="AQ386" s="242"/>
      <c r="AR386" s="242"/>
      <c r="AS386" s="242"/>
      <c r="AU386" s="4"/>
    </row>
    <row r="387" spans="7:47" ht="24.75" customHeight="1" x14ac:dyDescent="0.75">
      <c r="G387" s="243"/>
      <c r="H387" s="244"/>
      <c r="I387" s="4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  <c r="AA387" s="242"/>
      <c r="AB387" s="242"/>
      <c r="AC387" s="242"/>
      <c r="AD387" s="242"/>
      <c r="AE387" s="242"/>
      <c r="AF387" s="242"/>
      <c r="AG387" s="242"/>
      <c r="AH387" s="242"/>
      <c r="AI387" s="242"/>
      <c r="AJ387" s="242"/>
      <c r="AK387" s="242"/>
      <c r="AL387" s="242"/>
      <c r="AM387" s="242"/>
      <c r="AN387" s="242"/>
      <c r="AO387" s="242"/>
      <c r="AP387" s="242"/>
      <c r="AQ387" s="242"/>
      <c r="AR387" s="242"/>
      <c r="AS387" s="242"/>
      <c r="AU387" s="4"/>
    </row>
    <row r="388" spans="7:47" ht="24.75" customHeight="1" x14ac:dyDescent="0.75">
      <c r="G388" s="243"/>
      <c r="H388" s="244"/>
      <c r="I388" s="4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  <c r="AA388" s="242"/>
      <c r="AB388" s="242"/>
      <c r="AC388" s="242"/>
      <c r="AD388" s="242"/>
      <c r="AE388" s="242"/>
      <c r="AF388" s="242"/>
      <c r="AG388" s="242"/>
      <c r="AH388" s="242"/>
      <c r="AI388" s="242"/>
      <c r="AJ388" s="242"/>
      <c r="AK388" s="242"/>
      <c r="AL388" s="242"/>
      <c r="AM388" s="242"/>
      <c r="AN388" s="242"/>
      <c r="AO388" s="242"/>
      <c r="AP388" s="242"/>
      <c r="AQ388" s="242"/>
      <c r="AR388" s="242"/>
      <c r="AS388" s="242"/>
      <c r="AU388" s="4"/>
    </row>
    <row r="389" spans="7:47" ht="24.75" customHeight="1" x14ac:dyDescent="0.75">
      <c r="G389" s="243"/>
      <c r="H389" s="244"/>
      <c r="I389" s="4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  <c r="AA389" s="242"/>
      <c r="AB389" s="242"/>
      <c r="AC389" s="242"/>
      <c r="AD389" s="242"/>
      <c r="AE389" s="242"/>
      <c r="AF389" s="242"/>
      <c r="AG389" s="242"/>
      <c r="AH389" s="242"/>
      <c r="AI389" s="242"/>
      <c r="AJ389" s="242"/>
      <c r="AK389" s="242"/>
      <c r="AL389" s="242"/>
      <c r="AM389" s="242"/>
      <c r="AN389" s="242"/>
      <c r="AO389" s="242"/>
      <c r="AP389" s="242"/>
      <c r="AQ389" s="242"/>
      <c r="AR389" s="242"/>
      <c r="AS389" s="242"/>
      <c r="AU389" s="4"/>
    </row>
    <row r="390" spans="7:47" ht="24.75" customHeight="1" x14ac:dyDescent="0.75">
      <c r="G390" s="243"/>
      <c r="H390" s="244"/>
      <c r="I390" s="4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  <c r="AA390" s="242"/>
      <c r="AB390" s="242"/>
      <c r="AC390" s="242"/>
      <c r="AD390" s="242"/>
      <c r="AE390" s="242"/>
      <c r="AF390" s="242"/>
      <c r="AG390" s="242"/>
      <c r="AH390" s="242"/>
      <c r="AI390" s="242"/>
      <c r="AJ390" s="242"/>
      <c r="AK390" s="242"/>
      <c r="AL390" s="242"/>
      <c r="AM390" s="242"/>
      <c r="AN390" s="242"/>
      <c r="AO390" s="242"/>
      <c r="AP390" s="242"/>
      <c r="AQ390" s="242"/>
      <c r="AR390" s="242"/>
      <c r="AS390" s="242"/>
      <c r="AU390" s="4"/>
    </row>
    <row r="391" spans="7:47" ht="24.75" customHeight="1" x14ac:dyDescent="0.75">
      <c r="G391" s="243"/>
      <c r="H391" s="244"/>
      <c r="I391" s="4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  <c r="AA391" s="242"/>
      <c r="AB391" s="242"/>
      <c r="AC391" s="242"/>
      <c r="AD391" s="242"/>
      <c r="AE391" s="242"/>
      <c r="AF391" s="242"/>
      <c r="AG391" s="242"/>
      <c r="AH391" s="242"/>
      <c r="AI391" s="242"/>
      <c r="AJ391" s="242"/>
      <c r="AK391" s="242"/>
      <c r="AL391" s="242"/>
      <c r="AM391" s="242"/>
      <c r="AN391" s="242"/>
      <c r="AO391" s="242"/>
      <c r="AP391" s="242"/>
      <c r="AQ391" s="242"/>
      <c r="AR391" s="242"/>
      <c r="AS391" s="242"/>
      <c r="AU391" s="4"/>
    </row>
    <row r="392" spans="7:47" ht="24.75" customHeight="1" x14ac:dyDescent="0.75">
      <c r="G392" s="243"/>
      <c r="H392" s="244"/>
      <c r="I392" s="4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  <c r="AA392" s="242"/>
      <c r="AB392" s="242"/>
      <c r="AC392" s="242"/>
      <c r="AD392" s="242"/>
      <c r="AE392" s="242"/>
      <c r="AF392" s="242"/>
      <c r="AG392" s="242"/>
      <c r="AH392" s="242"/>
      <c r="AI392" s="242"/>
      <c r="AJ392" s="242"/>
      <c r="AK392" s="242"/>
      <c r="AL392" s="242"/>
      <c r="AM392" s="242"/>
      <c r="AN392" s="242"/>
      <c r="AO392" s="242"/>
      <c r="AP392" s="242"/>
      <c r="AQ392" s="242"/>
      <c r="AR392" s="242"/>
      <c r="AS392" s="242"/>
      <c r="AU392" s="4"/>
    </row>
    <row r="393" spans="7:47" ht="24.75" customHeight="1" x14ac:dyDescent="0.75">
      <c r="G393" s="243"/>
      <c r="H393" s="244"/>
      <c r="I393" s="4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  <c r="AA393" s="242"/>
      <c r="AB393" s="242"/>
      <c r="AC393" s="242"/>
      <c r="AD393" s="242"/>
      <c r="AE393" s="242"/>
      <c r="AF393" s="242"/>
      <c r="AG393" s="242"/>
      <c r="AH393" s="242"/>
      <c r="AI393" s="242"/>
      <c r="AJ393" s="242"/>
      <c r="AK393" s="242"/>
      <c r="AL393" s="242"/>
      <c r="AM393" s="242"/>
      <c r="AN393" s="242"/>
      <c r="AO393" s="242"/>
      <c r="AP393" s="242"/>
      <c r="AQ393" s="242"/>
      <c r="AR393" s="242"/>
      <c r="AS393" s="242"/>
      <c r="AU393" s="4"/>
    </row>
    <row r="394" spans="7:47" ht="24.75" customHeight="1" x14ac:dyDescent="0.75">
      <c r="G394" s="243"/>
      <c r="H394" s="244"/>
      <c r="I394" s="4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  <c r="AA394" s="242"/>
      <c r="AB394" s="242"/>
      <c r="AC394" s="242"/>
      <c r="AD394" s="242"/>
      <c r="AE394" s="242"/>
      <c r="AF394" s="242"/>
      <c r="AG394" s="242"/>
      <c r="AH394" s="242"/>
      <c r="AI394" s="242"/>
      <c r="AJ394" s="242"/>
      <c r="AK394" s="242"/>
      <c r="AL394" s="242"/>
      <c r="AM394" s="242"/>
      <c r="AN394" s="242"/>
      <c r="AO394" s="242"/>
      <c r="AP394" s="242"/>
      <c r="AQ394" s="242"/>
      <c r="AR394" s="242"/>
      <c r="AS394" s="242"/>
      <c r="AU394" s="4"/>
    </row>
    <row r="395" spans="7:47" ht="24.75" customHeight="1" x14ac:dyDescent="0.75">
      <c r="G395" s="243"/>
      <c r="H395" s="244"/>
      <c r="I395" s="4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  <c r="AA395" s="242"/>
      <c r="AB395" s="242"/>
      <c r="AC395" s="242"/>
      <c r="AD395" s="242"/>
      <c r="AE395" s="242"/>
      <c r="AF395" s="242"/>
      <c r="AG395" s="242"/>
      <c r="AH395" s="242"/>
      <c r="AI395" s="242"/>
      <c r="AJ395" s="242"/>
      <c r="AK395" s="242"/>
      <c r="AL395" s="242"/>
      <c r="AM395" s="242"/>
      <c r="AN395" s="242"/>
      <c r="AO395" s="242"/>
      <c r="AP395" s="242"/>
      <c r="AQ395" s="242"/>
      <c r="AR395" s="242"/>
      <c r="AS395" s="242"/>
      <c r="AU395" s="4"/>
    </row>
    <row r="396" spans="7:47" ht="24.75" customHeight="1" x14ac:dyDescent="0.75">
      <c r="G396" s="243"/>
      <c r="H396" s="244"/>
      <c r="I396" s="4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  <c r="AA396" s="242"/>
      <c r="AB396" s="242"/>
      <c r="AC396" s="242"/>
      <c r="AD396" s="242"/>
      <c r="AE396" s="242"/>
      <c r="AF396" s="242"/>
      <c r="AG396" s="242"/>
      <c r="AH396" s="242"/>
      <c r="AI396" s="242"/>
      <c r="AJ396" s="242"/>
      <c r="AK396" s="242"/>
      <c r="AL396" s="242"/>
      <c r="AM396" s="242"/>
      <c r="AN396" s="242"/>
      <c r="AO396" s="242"/>
      <c r="AP396" s="242"/>
      <c r="AQ396" s="242"/>
      <c r="AR396" s="242"/>
      <c r="AS396" s="242"/>
      <c r="AU396" s="4"/>
    </row>
    <row r="397" spans="7:47" ht="24.75" customHeight="1" x14ac:dyDescent="0.75">
      <c r="G397" s="243"/>
      <c r="H397" s="244"/>
      <c r="I397" s="4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  <c r="AA397" s="242"/>
      <c r="AB397" s="242"/>
      <c r="AC397" s="242"/>
      <c r="AD397" s="242"/>
      <c r="AE397" s="242"/>
      <c r="AF397" s="242"/>
      <c r="AG397" s="242"/>
      <c r="AH397" s="242"/>
      <c r="AI397" s="242"/>
      <c r="AJ397" s="242"/>
      <c r="AK397" s="242"/>
      <c r="AL397" s="242"/>
      <c r="AM397" s="242"/>
      <c r="AN397" s="242"/>
      <c r="AO397" s="242"/>
      <c r="AP397" s="242"/>
      <c r="AQ397" s="242"/>
      <c r="AR397" s="242"/>
      <c r="AS397" s="242"/>
      <c r="AU397" s="4"/>
    </row>
    <row r="398" spans="7:47" ht="24.75" customHeight="1" x14ac:dyDescent="0.75">
      <c r="G398" s="243"/>
      <c r="H398" s="244"/>
      <c r="I398" s="4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  <c r="AA398" s="242"/>
      <c r="AB398" s="242"/>
      <c r="AC398" s="242"/>
      <c r="AD398" s="242"/>
      <c r="AE398" s="242"/>
      <c r="AF398" s="242"/>
      <c r="AG398" s="242"/>
      <c r="AH398" s="242"/>
      <c r="AI398" s="242"/>
      <c r="AJ398" s="242"/>
      <c r="AK398" s="242"/>
      <c r="AL398" s="242"/>
      <c r="AM398" s="242"/>
      <c r="AN398" s="242"/>
      <c r="AO398" s="242"/>
      <c r="AP398" s="242"/>
      <c r="AQ398" s="242"/>
      <c r="AR398" s="242"/>
      <c r="AS398" s="242"/>
      <c r="AU398" s="4"/>
    </row>
    <row r="399" spans="7:47" ht="24.75" customHeight="1" x14ac:dyDescent="0.75">
      <c r="G399" s="243"/>
      <c r="H399" s="244"/>
      <c r="I399" s="4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  <c r="AA399" s="242"/>
      <c r="AB399" s="242"/>
      <c r="AC399" s="242"/>
      <c r="AD399" s="242"/>
      <c r="AE399" s="242"/>
      <c r="AF399" s="242"/>
      <c r="AG399" s="242"/>
      <c r="AH399" s="242"/>
      <c r="AI399" s="242"/>
      <c r="AJ399" s="242"/>
      <c r="AK399" s="242"/>
      <c r="AL399" s="242"/>
      <c r="AM399" s="242"/>
      <c r="AN399" s="242"/>
      <c r="AO399" s="242"/>
      <c r="AP399" s="242"/>
      <c r="AQ399" s="242"/>
      <c r="AR399" s="242"/>
      <c r="AS399" s="242"/>
      <c r="AU399" s="4"/>
    </row>
    <row r="400" spans="7:47" ht="24.75" customHeight="1" x14ac:dyDescent="0.75">
      <c r="G400" s="243"/>
      <c r="H400" s="244"/>
      <c r="I400" s="4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  <c r="AA400" s="242"/>
      <c r="AB400" s="242"/>
      <c r="AC400" s="242"/>
      <c r="AD400" s="242"/>
      <c r="AE400" s="242"/>
      <c r="AF400" s="242"/>
      <c r="AG400" s="242"/>
      <c r="AH400" s="242"/>
      <c r="AI400" s="242"/>
      <c r="AJ400" s="242"/>
      <c r="AK400" s="242"/>
      <c r="AL400" s="242"/>
      <c r="AM400" s="242"/>
      <c r="AN400" s="242"/>
      <c r="AO400" s="242"/>
      <c r="AP400" s="242"/>
      <c r="AQ400" s="242"/>
      <c r="AR400" s="242"/>
      <c r="AS400" s="242"/>
      <c r="AU400" s="4"/>
    </row>
    <row r="401" spans="7:47" ht="24.75" customHeight="1" x14ac:dyDescent="0.75">
      <c r="G401" s="243"/>
      <c r="H401" s="244"/>
      <c r="I401" s="4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  <c r="AA401" s="242"/>
      <c r="AB401" s="242"/>
      <c r="AC401" s="242"/>
      <c r="AD401" s="242"/>
      <c r="AE401" s="242"/>
      <c r="AF401" s="242"/>
      <c r="AG401" s="242"/>
      <c r="AH401" s="242"/>
      <c r="AI401" s="242"/>
      <c r="AJ401" s="242"/>
      <c r="AK401" s="242"/>
      <c r="AL401" s="242"/>
      <c r="AM401" s="242"/>
      <c r="AN401" s="242"/>
      <c r="AO401" s="242"/>
      <c r="AP401" s="242"/>
      <c r="AQ401" s="242"/>
      <c r="AR401" s="242"/>
      <c r="AS401" s="242"/>
      <c r="AU401" s="4"/>
    </row>
    <row r="402" spans="7:47" ht="24.75" customHeight="1" x14ac:dyDescent="0.75">
      <c r="G402" s="243"/>
      <c r="H402" s="244"/>
      <c r="I402" s="4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  <c r="AA402" s="242"/>
      <c r="AB402" s="242"/>
      <c r="AC402" s="242"/>
      <c r="AD402" s="242"/>
      <c r="AE402" s="242"/>
      <c r="AF402" s="242"/>
      <c r="AG402" s="242"/>
      <c r="AH402" s="242"/>
      <c r="AI402" s="242"/>
      <c r="AJ402" s="242"/>
      <c r="AK402" s="242"/>
      <c r="AL402" s="242"/>
      <c r="AM402" s="242"/>
      <c r="AN402" s="242"/>
      <c r="AO402" s="242"/>
      <c r="AP402" s="242"/>
      <c r="AQ402" s="242"/>
      <c r="AR402" s="242"/>
      <c r="AS402" s="242"/>
      <c r="AU402" s="4"/>
    </row>
    <row r="403" spans="7:47" ht="24.75" customHeight="1" x14ac:dyDescent="0.75">
      <c r="G403" s="243"/>
      <c r="H403" s="244"/>
      <c r="I403" s="4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  <c r="AA403" s="242"/>
      <c r="AB403" s="242"/>
      <c r="AC403" s="242"/>
      <c r="AD403" s="242"/>
      <c r="AE403" s="242"/>
      <c r="AF403" s="242"/>
      <c r="AG403" s="242"/>
      <c r="AH403" s="242"/>
      <c r="AI403" s="242"/>
      <c r="AJ403" s="242"/>
      <c r="AK403" s="242"/>
      <c r="AL403" s="242"/>
      <c r="AM403" s="242"/>
      <c r="AN403" s="242"/>
      <c r="AO403" s="242"/>
      <c r="AP403" s="242"/>
      <c r="AQ403" s="242"/>
      <c r="AR403" s="242"/>
      <c r="AS403" s="242"/>
      <c r="AU403" s="4"/>
    </row>
    <row r="404" spans="7:47" ht="24.75" customHeight="1" x14ac:dyDescent="0.75">
      <c r="G404" s="243"/>
      <c r="H404" s="244"/>
      <c r="I404" s="4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  <c r="AA404" s="242"/>
      <c r="AB404" s="242"/>
      <c r="AC404" s="242"/>
      <c r="AD404" s="242"/>
      <c r="AE404" s="242"/>
      <c r="AF404" s="242"/>
      <c r="AG404" s="242"/>
      <c r="AH404" s="242"/>
      <c r="AI404" s="242"/>
      <c r="AJ404" s="242"/>
      <c r="AK404" s="242"/>
      <c r="AL404" s="242"/>
      <c r="AM404" s="242"/>
      <c r="AN404" s="242"/>
      <c r="AO404" s="242"/>
      <c r="AP404" s="242"/>
      <c r="AQ404" s="242"/>
      <c r="AR404" s="242"/>
      <c r="AS404" s="242"/>
      <c r="AU404" s="4"/>
    </row>
    <row r="405" spans="7:47" ht="24.75" customHeight="1" x14ac:dyDescent="0.75">
      <c r="G405" s="243"/>
      <c r="H405" s="244"/>
      <c r="I405" s="4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  <c r="AA405" s="242"/>
      <c r="AB405" s="242"/>
      <c r="AC405" s="242"/>
      <c r="AD405" s="242"/>
      <c r="AE405" s="242"/>
      <c r="AF405" s="242"/>
      <c r="AG405" s="242"/>
      <c r="AH405" s="242"/>
      <c r="AI405" s="242"/>
      <c r="AJ405" s="242"/>
      <c r="AK405" s="242"/>
      <c r="AL405" s="242"/>
      <c r="AM405" s="242"/>
      <c r="AN405" s="242"/>
      <c r="AO405" s="242"/>
      <c r="AP405" s="242"/>
      <c r="AQ405" s="242"/>
      <c r="AR405" s="242"/>
      <c r="AS405" s="242"/>
      <c r="AU405" s="4"/>
    </row>
    <row r="406" spans="7:47" ht="24.75" customHeight="1" x14ac:dyDescent="0.75">
      <c r="G406" s="243"/>
      <c r="H406" s="244"/>
      <c r="I406" s="4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  <c r="AA406" s="242"/>
      <c r="AB406" s="242"/>
      <c r="AC406" s="242"/>
      <c r="AD406" s="242"/>
      <c r="AE406" s="242"/>
      <c r="AF406" s="242"/>
      <c r="AG406" s="242"/>
      <c r="AH406" s="242"/>
      <c r="AI406" s="242"/>
      <c r="AJ406" s="242"/>
      <c r="AK406" s="242"/>
      <c r="AL406" s="242"/>
      <c r="AM406" s="242"/>
      <c r="AN406" s="242"/>
      <c r="AO406" s="242"/>
      <c r="AP406" s="242"/>
      <c r="AQ406" s="242"/>
      <c r="AR406" s="242"/>
      <c r="AS406" s="242"/>
      <c r="AU406" s="4"/>
    </row>
    <row r="407" spans="7:47" ht="24.75" customHeight="1" x14ac:dyDescent="0.75">
      <c r="G407" s="243"/>
      <c r="H407" s="244"/>
      <c r="I407" s="4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  <c r="AA407" s="242"/>
      <c r="AB407" s="242"/>
      <c r="AC407" s="242"/>
      <c r="AD407" s="242"/>
      <c r="AE407" s="242"/>
      <c r="AF407" s="242"/>
      <c r="AG407" s="242"/>
      <c r="AH407" s="242"/>
      <c r="AI407" s="242"/>
      <c r="AJ407" s="242"/>
      <c r="AK407" s="242"/>
      <c r="AL407" s="242"/>
      <c r="AM407" s="242"/>
      <c r="AN407" s="242"/>
      <c r="AO407" s="242"/>
      <c r="AP407" s="242"/>
      <c r="AQ407" s="242"/>
      <c r="AR407" s="242"/>
      <c r="AS407" s="242"/>
      <c r="AU407" s="4"/>
    </row>
    <row r="408" spans="7:47" ht="24.75" customHeight="1" x14ac:dyDescent="0.75">
      <c r="G408" s="243"/>
      <c r="H408" s="244"/>
      <c r="I408" s="4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  <c r="AA408" s="242"/>
      <c r="AB408" s="242"/>
      <c r="AC408" s="242"/>
      <c r="AD408" s="242"/>
      <c r="AE408" s="242"/>
      <c r="AF408" s="242"/>
      <c r="AG408" s="242"/>
      <c r="AH408" s="242"/>
      <c r="AI408" s="242"/>
      <c r="AJ408" s="242"/>
      <c r="AK408" s="242"/>
      <c r="AL408" s="242"/>
      <c r="AM408" s="242"/>
      <c r="AN408" s="242"/>
      <c r="AO408" s="242"/>
      <c r="AP408" s="242"/>
      <c r="AQ408" s="242"/>
      <c r="AR408" s="242"/>
      <c r="AS408" s="242"/>
      <c r="AU408" s="4"/>
    </row>
    <row r="409" spans="7:47" ht="24.75" customHeight="1" x14ac:dyDescent="0.75">
      <c r="G409" s="243"/>
      <c r="H409" s="244"/>
      <c r="I409" s="4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  <c r="AA409" s="242"/>
      <c r="AB409" s="242"/>
      <c r="AC409" s="242"/>
      <c r="AD409" s="242"/>
      <c r="AE409" s="242"/>
      <c r="AF409" s="242"/>
      <c r="AG409" s="242"/>
      <c r="AH409" s="242"/>
      <c r="AI409" s="242"/>
      <c r="AJ409" s="242"/>
      <c r="AK409" s="242"/>
      <c r="AL409" s="242"/>
      <c r="AM409" s="242"/>
      <c r="AN409" s="242"/>
      <c r="AO409" s="242"/>
      <c r="AP409" s="242"/>
      <c r="AQ409" s="242"/>
      <c r="AR409" s="242"/>
      <c r="AS409" s="242"/>
      <c r="AU409" s="4"/>
    </row>
    <row r="410" spans="7:47" ht="24.75" customHeight="1" x14ac:dyDescent="0.75">
      <c r="G410" s="243"/>
      <c r="H410" s="244"/>
      <c r="I410" s="4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  <c r="AA410" s="242"/>
      <c r="AB410" s="242"/>
      <c r="AC410" s="242"/>
      <c r="AD410" s="242"/>
      <c r="AE410" s="242"/>
      <c r="AF410" s="242"/>
      <c r="AG410" s="242"/>
      <c r="AH410" s="242"/>
      <c r="AI410" s="242"/>
      <c r="AJ410" s="242"/>
      <c r="AK410" s="242"/>
      <c r="AL410" s="242"/>
      <c r="AM410" s="242"/>
      <c r="AN410" s="242"/>
      <c r="AO410" s="242"/>
      <c r="AP410" s="242"/>
      <c r="AQ410" s="242"/>
      <c r="AR410" s="242"/>
      <c r="AS410" s="242"/>
      <c r="AU410" s="4"/>
    </row>
    <row r="411" spans="7:47" ht="24.75" customHeight="1" x14ac:dyDescent="0.75">
      <c r="G411" s="243"/>
      <c r="H411" s="244"/>
      <c r="I411" s="4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  <c r="AA411" s="242"/>
      <c r="AB411" s="242"/>
      <c r="AC411" s="242"/>
      <c r="AD411" s="242"/>
      <c r="AE411" s="242"/>
      <c r="AF411" s="242"/>
      <c r="AG411" s="242"/>
      <c r="AH411" s="242"/>
      <c r="AI411" s="242"/>
      <c r="AJ411" s="242"/>
      <c r="AK411" s="242"/>
      <c r="AL411" s="242"/>
      <c r="AM411" s="242"/>
      <c r="AN411" s="242"/>
      <c r="AO411" s="242"/>
      <c r="AP411" s="242"/>
      <c r="AQ411" s="242"/>
      <c r="AR411" s="242"/>
      <c r="AS411" s="242"/>
      <c r="AU411" s="4"/>
    </row>
    <row r="412" spans="7:47" ht="24.75" customHeight="1" x14ac:dyDescent="0.75">
      <c r="G412" s="243"/>
      <c r="H412" s="244"/>
      <c r="I412" s="4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  <c r="AA412" s="242"/>
      <c r="AB412" s="242"/>
      <c r="AC412" s="242"/>
      <c r="AD412" s="242"/>
      <c r="AE412" s="242"/>
      <c r="AF412" s="242"/>
      <c r="AG412" s="242"/>
      <c r="AH412" s="242"/>
      <c r="AI412" s="242"/>
      <c r="AJ412" s="242"/>
      <c r="AK412" s="242"/>
      <c r="AL412" s="242"/>
      <c r="AM412" s="242"/>
      <c r="AN412" s="242"/>
      <c r="AO412" s="242"/>
      <c r="AP412" s="242"/>
      <c r="AQ412" s="242"/>
      <c r="AR412" s="242"/>
      <c r="AS412" s="242"/>
      <c r="AU412" s="4"/>
    </row>
    <row r="413" spans="7:47" ht="24.75" customHeight="1" x14ac:dyDescent="0.75">
      <c r="G413" s="243"/>
      <c r="H413" s="244"/>
      <c r="I413" s="4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  <c r="AA413" s="242"/>
      <c r="AB413" s="242"/>
      <c r="AC413" s="242"/>
      <c r="AD413" s="242"/>
      <c r="AE413" s="242"/>
      <c r="AF413" s="242"/>
      <c r="AG413" s="242"/>
      <c r="AH413" s="242"/>
      <c r="AI413" s="242"/>
      <c r="AJ413" s="242"/>
      <c r="AK413" s="242"/>
      <c r="AL413" s="242"/>
      <c r="AM413" s="242"/>
      <c r="AN413" s="242"/>
      <c r="AO413" s="242"/>
      <c r="AP413" s="242"/>
      <c r="AQ413" s="242"/>
      <c r="AR413" s="242"/>
      <c r="AS413" s="242"/>
      <c r="AU413" s="4"/>
    </row>
    <row r="414" spans="7:47" ht="24.75" customHeight="1" x14ac:dyDescent="0.75">
      <c r="G414" s="243"/>
      <c r="H414" s="244"/>
      <c r="I414" s="4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  <c r="AA414" s="242"/>
      <c r="AB414" s="242"/>
      <c r="AC414" s="242"/>
      <c r="AD414" s="242"/>
      <c r="AE414" s="242"/>
      <c r="AF414" s="242"/>
      <c r="AG414" s="242"/>
      <c r="AH414" s="242"/>
      <c r="AI414" s="242"/>
      <c r="AJ414" s="242"/>
      <c r="AK414" s="242"/>
      <c r="AL414" s="242"/>
      <c r="AM414" s="242"/>
      <c r="AN414" s="242"/>
      <c r="AO414" s="242"/>
      <c r="AP414" s="242"/>
      <c r="AQ414" s="242"/>
      <c r="AR414" s="242"/>
      <c r="AS414" s="242"/>
      <c r="AU414" s="4"/>
    </row>
    <row r="415" spans="7:47" ht="24.75" customHeight="1" x14ac:dyDescent="0.75">
      <c r="G415" s="243"/>
      <c r="H415" s="244"/>
      <c r="I415" s="4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  <c r="AA415" s="242"/>
      <c r="AB415" s="242"/>
      <c r="AC415" s="242"/>
      <c r="AD415" s="242"/>
      <c r="AE415" s="242"/>
      <c r="AF415" s="242"/>
      <c r="AG415" s="242"/>
      <c r="AH415" s="242"/>
      <c r="AI415" s="242"/>
      <c r="AJ415" s="242"/>
      <c r="AK415" s="242"/>
      <c r="AL415" s="242"/>
      <c r="AM415" s="242"/>
      <c r="AN415" s="242"/>
      <c r="AO415" s="242"/>
      <c r="AP415" s="242"/>
      <c r="AQ415" s="242"/>
      <c r="AR415" s="242"/>
      <c r="AS415" s="242"/>
      <c r="AU415" s="4"/>
    </row>
    <row r="416" spans="7:47" ht="24.75" customHeight="1" x14ac:dyDescent="0.75">
      <c r="G416" s="243"/>
      <c r="H416" s="244"/>
      <c r="I416" s="4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  <c r="AA416" s="242"/>
      <c r="AB416" s="242"/>
      <c r="AC416" s="242"/>
      <c r="AD416" s="242"/>
      <c r="AE416" s="242"/>
      <c r="AF416" s="242"/>
      <c r="AG416" s="242"/>
      <c r="AH416" s="242"/>
      <c r="AI416" s="242"/>
      <c r="AJ416" s="242"/>
      <c r="AK416" s="242"/>
      <c r="AL416" s="242"/>
      <c r="AM416" s="242"/>
      <c r="AN416" s="242"/>
      <c r="AO416" s="242"/>
      <c r="AP416" s="242"/>
      <c r="AQ416" s="242"/>
      <c r="AR416" s="242"/>
      <c r="AS416" s="242"/>
      <c r="AU416" s="4"/>
    </row>
    <row r="417" spans="7:47" ht="24.75" customHeight="1" x14ac:dyDescent="0.75">
      <c r="G417" s="243"/>
      <c r="H417" s="244"/>
      <c r="I417" s="4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  <c r="AA417" s="242"/>
      <c r="AB417" s="242"/>
      <c r="AC417" s="242"/>
      <c r="AD417" s="242"/>
      <c r="AE417" s="242"/>
      <c r="AF417" s="242"/>
      <c r="AG417" s="242"/>
      <c r="AH417" s="242"/>
      <c r="AI417" s="242"/>
      <c r="AJ417" s="242"/>
      <c r="AK417" s="242"/>
      <c r="AL417" s="242"/>
      <c r="AM417" s="242"/>
      <c r="AN417" s="242"/>
      <c r="AO417" s="242"/>
      <c r="AP417" s="242"/>
      <c r="AQ417" s="242"/>
      <c r="AR417" s="242"/>
      <c r="AS417" s="242"/>
      <c r="AU417" s="4"/>
    </row>
    <row r="418" spans="7:47" ht="24.75" customHeight="1" x14ac:dyDescent="0.75">
      <c r="G418" s="243"/>
      <c r="H418" s="244"/>
      <c r="I418" s="4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  <c r="AA418" s="242"/>
      <c r="AB418" s="242"/>
      <c r="AC418" s="242"/>
      <c r="AD418" s="242"/>
      <c r="AE418" s="242"/>
      <c r="AF418" s="242"/>
      <c r="AG418" s="242"/>
      <c r="AH418" s="242"/>
      <c r="AI418" s="242"/>
      <c r="AJ418" s="242"/>
      <c r="AK418" s="242"/>
      <c r="AL418" s="242"/>
      <c r="AM418" s="242"/>
      <c r="AN418" s="242"/>
      <c r="AO418" s="242"/>
      <c r="AP418" s="242"/>
      <c r="AQ418" s="242"/>
      <c r="AR418" s="242"/>
      <c r="AS418" s="242"/>
      <c r="AU418" s="4"/>
    </row>
    <row r="419" spans="7:47" ht="24.75" customHeight="1" x14ac:dyDescent="0.75">
      <c r="G419" s="243"/>
      <c r="H419" s="244"/>
      <c r="I419" s="4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  <c r="AA419" s="242"/>
      <c r="AB419" s="242"/>
      <c r="AC419" s="242"/>
      <c r="AD419" s="242"/>
      <c r="AE419" s="242"/>
      <c r="AF419" s="242"/>
      <c r="AG419" s="242"/>
      <c r="AH419" s="242"/>
      <c r="AI419" s="242"/>
      <c r="AJ419" s="242"/>
      <c r="AK419" s="242"/>
      <c r="AL419" s="242"/>
      <c r="AM419" s="242"/>
      <c r="AN419" s="242"/>
      <c r="AO419" s="242"/>
      <c r="AP419" s="242"/>
      <c r="AQ419" s="242"/>
      <c r="AR419" s="242"/>
      <c r="AS419" s="242"/>
      <c r="AU419" s="4"/>
    </row>
    <row r="420" spans="7:47" ht="24.75" customHeight="1" x14ac:dyDescent="0.75">
      <c r="G420" s="243"/>
      <c r="H420" s="244"/>
      <c r="I420" s="4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  <c r="AA420" s="242"/>
      <c r="AB420" s="242"/>
      <c r="AC420" s="242"/>
      <c r="AD420" s="242"/>
      <c r="AE420" s="242"/>
      <c r="AF420" s="242"/>
      <c r="AG420" s="242"/>
      <c r="AH420" s="242"/>
      <c r="AI420" s="242"/>
      <c r="AJ420" s="242"/>
      <c r="AK420" s="242"/>
      <c r="AL420" s="242"/>
      <c r="AM420" s="242"/>
      <c r="AN420" s="242"/>
      <c r="AO420" s="242"/>
      <c r="AP420" s="242"/>
      <c r="AQ420" s="242"/>
      <c r="AR420" s="242"/>
      <c r="AS420" s="242"/>
      <c r="AU420" s="4"/>
    </row>
    <row r="421" spans="7:47" ht="24.75" customHeight="1" x14ac:dyDescent="0.75">
      <c r="G421" s="243"/>
      <c r="H421" s="244"/>
      <c r="I421" s="4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  <c r="AA421" s="242"/>
      <c r="AB421" s="242"/>
      <c r="AC421" s="242"/>
      <c r="AD421" s="242"/>
      <c r="AE421" s="242"/>
      <c r="AF421" s="242"/>
      <c r="AG421" s="242"/>
      <c r="AH421" s="242"/>
      <c r="AI421" s="242"/>
      <c r="AJ421" s="242"/>
      <c r="AK421" s="242"/>
      <c r="AL421" s="242"/>
      <c r="AM421" s="242"/>
      <c r="AN421" s="242"/>
      <c r="AO421" s="242"/>
      <c r="AP421" s="242"/>
      <c r="AQ421" s="242"/>
      <c r="AR421" s="242"/>
      <c r="AS421" s="242"/>
      <c r="AU421" s="4"/>
    </row>
    <row r="422" spans="7:47" ht="24.75" customHeight="1" x14ac:dyDescent="0.75">
      <c r="G422" s="243"/>
      <c r="H422" s="244"/>
      <c r="I422" s="4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  <c r="AA422" s="242"/>
      <c r="AB422" s="242"/>
      <c r="AC422" s="242"/>
      <c r="AD422" s="242"/>
      <c r="AE422" s="242"/>
      <c r="AF422" s="242"/>
      <c r="AG422" s="242"/>
      <c r="AH422" s="242"/>
      <c r="AI422" s="242"/>
      <c r="AJ422" s="242"/>
      <c r="AK422" s="242"/>
      <c r="AL422" s="242"/>
      <c r="AM422" s="242"/>
      <c r="AN422" s="242"/>
      <c r="AO422" s="242"/>
      <c r="AP422" s="242"/>
      <c r="AQ422" s="242"/>
      <c r="AR422" s="242"/>
      <c r="AS422" s="242"/>
      <c r="AU422" s="4"/>
    </row>
    <row r="423" spans="7:47" ht="24.75" customHeight="1" x14ac:dyDescent="0.75">
      <c r="G423" s="243"/>
      <c r="H423" s="244"/>
      <c r="I423" s="4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  <c r="AA423" s="242"/>
      <c r="AB423" s="242"/>
      <c r="AC423" s="242"/>
      <c r="AD423" s="242"/>
      <c r="AE423" s="242"/>
      <c r="AF423" s="242"/>
      <c r="AG423" s="242"/>
      <c r="AH423" s="242"/>
      <c r="AI423" s="242"/>
      <c r="AJ423" s="242"/>
      <c r="AK423" s="242"/>
      <c r="AL423" s="242"/>
      <c r="AM423" s="242"/>
      <c r="AN423" s="242"/>
      <c r="AO423" s="242"/>
      <c r="AP423" s="242"/>
      <c r="AQ423" s="242"/>
      <c r="AR423" s="242"/>
      <c r="AS423" s="242"/>
      <c r="AU423" s="4"/>
    </row>
    <row r="424" spans="7:47" ht="24.75" customHeight="1" x14ac:dyDescent="0.75">
      <c r="G424" s="243"/>
      <c r="H424" s="244"/>
      <c r="I424" s="4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  <c r="AA424" s="242"/>
      <c r="AB424" s="242"/>
      <c r="AC424" s="242"/>
      <c r="AD424" s="242"/>
      <c r="AE424" s="242"/>
      <c r="AF424" s="242"/>
      <c r="AG424" s="242"/>
      <c r="AH424" s="242"/>
      <c r="AI424" s="242"/>
      <c r="AJ424" s="242"/>
      <c r="AK424" s="242"/>
      <c r="AL424" s="242"/>
      <c r="AM424" s="242"/>
      <c r="AN424" s="242"/>
      <c r="AO424" s="242"/>
      <c r="AP424" s="242"/>
      <c r="AQ424" s="242"/>
      <c r="AR424" s="242"/>
      <c r="AS424" s="242"/>
      <c r="AU424" s="4"/>
    </row>
    <row r="425" spans="7:47" ht="24.75" customHeight="1" x14ac:dyDescent="0.75">
      <c r="G425" s="243"/>
      <c r="H425" s="244"/>
      <c r="I425" s="4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  <c r="AA425" s="242"/>
      <c r="AB425" s="242"/>
      <c r="AC425" s="242"/>
      <c r="AD425" s="242"/>
      <c r="AE425" s="242"/>
      <c r="AF425" s="242"/>
      <c r="AG425" s="242"/>
      <c r="AH425" s="242"/>
      <c r="AI425" s="242"/>
      <c r="AJ425" s="242"/>
      <c r="AK425" s="242"/>
      <c r="AL425" s="242"/>
      <c r="AM425" s="242"/>
      <c r="AN425" s="242"/>
      <c r="AO425" s="242"/>
      <c r="AP425" s="242"/>
      <c r="AQ425" s="242"/>
      <c r="AR425" s="242"/>
      <c r="AS425" s="242"/>
      <c r="AU425" s="4"/>
    </row>
    <row r="426" spans="7:47" ht="24.75" customHeight="1" x14ac:dyDescent="0.75">
      <c r="G426" s="243"/>
      <c r="H426" s="244"/>
      <c r="I426" s="4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  <c r="AA426" s="242"/>
      <c r="AB426" s="242"/>
      <c r="AC426" s="242"/>
      <c r="AD426" s="242"/>
      <c r="AE426" s="242"/>
      <c r="AF426" s="242"/>
      <c r="AG426" s="242"/>
      <c r="AH426" s="242"/>
      <c r="AI426" s="242"/>
      <c r="AJ426" s="242"/>
      <c r="AK426" s="242"/>
      <c r="AL426" s="242"/>
      <c r="AM426" s="242"/>
      <c r="AN426" s="242"/>
      <c r="AO426" s="242"/>
      <c r="AP426" s="242"/>
      <c r="AQ426" s="242"/>
      <c r="AR426" s="242"/>
      <c r="AS426" s="242"/>
      <c r="AU426" s="4"/>
    </row>
    <row r="427" spans="7:47" ht="24.75" customHeight="1" x14ac:dyDescent="0.75">
      <c r="G427" s="243"/>
      <c r="H427" s="244"/>
      <c r="I427" s="4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  <c r="AA427" s="242"/>
      <c r="AB427" s="242"/>
      <c r="AC427" s="242"/>
      <c r="AD427" s="242"/>
      <c r="AE427" s="242"/>
      <c r="AF427" s="242"/>
      <c r="AG427" s="242"/>
      <c r="AH427" s="242"/>
      <c r="AI427" s="242"/>
      <c r="AJ427" s="242"/>
      <c r="AK427" s="242"/>
      <c r="AL427" s="242"/>
      <c r="AM427" s="242"/>
      <c r="AN427" s="242"/>
      <c r="AO427" s="242"/>
      <c r="AP427" s="242"/>
      <c r="AQ427" s="242"/>
      <c r="AR427" s="242"/>
      <c r="AS427" s="242"/>
      <c r="AU427" s="4"/>
    </row>
    <row r="428" spans="7:47" ht="24.75" customHeight="1" x14ac:dyDescent="0.75">
      <c r="G428" s="243"/>
      <c r="H428" s="244"/>
      <c r="I428" s="4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  <c r="AA428" s="242"/>
      <c r="AB428" s="242"/>
      <c r="AC428" s="242"/>
      <c r="AD428" s="242"/>
      <c r="AE428" s="242"/>
      <c r="AF428" s="242"/>
      <c r="AG428" s="242"/>
      <c r="AH428" s="242"/>
      <c r="AI428" s="242"/>
      <c r="AJ428" s="242"/>
      <c r="AK428" s="242"/>
      <c r="AL428" s="242"/>
      <c r="AM428" s="242"/>
      <c r="AN428" s="242"/>
      <c r="AO428" s="242"/>
      <c r="AP428" s="242"/>
      <c r="AQ428" s="242"/>
      <c r="AR428" s="242"/>
      <c r="AS428" s="242"/>
      <c r="AU428" s="4"/>
    </row>
    <row r="429" spans="7:47" ht="24.75" customHeight="1" x14ac:dyDescent="0.75">
      <c r="G429" s="243"/>
      <c r="H429" s="244"/>
      <c r="I429" s="4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  <c r="AA429" s="242"/>
      <c r="AB429" s="242"/>
      <c r="AC429" s="242"/>
      <c r="AD429" s="242"/>
      <c r="AE429" s="242"/>
      <c r="AF429" s="242"/>
      <c r="AG429" s="242"/>
      <c r="AH429" s="242"/>
      <c r="AI429" s="242"/>
      <c r="AJ429" s="242"/>
      <c r="AK429" s="242"/>
      <c r="AL429" s="242"/>
      <c r="AM429" s="242"/>
      <c r="AN429" s="242"/>
      <c r="AO429" s="242"/>
      <c r="AP429" s="242"/>
      <c r="AQ429" s="242"/>
      <c r="AR429" s="242"/>
      <c r="AS429" s="242"/>
      <c r="AU429" s="4"/>
    </row>
    <row r="430" spans="7:47" ht="24.75" customHeight="1" x14ac:dyDescent="0.75">
      <c r="G430" s="243"/>
      <c r="H430" s="244"/>
      <c r="I430" s="4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  <c r="AA430" s="242"/>
      <c r="AB430" s="242"/>
      <c r="AC430" s="242"/>
      <c r="AD430" s="242"/>
      <c r="AE430" s="242"/>
      <c r="AF430" s="242"/>
      <c r="AG430" s="242"/>
      <c r="AH430" s="242"/>
      <c r="AI430" s="242"/>
      <c r="AJ430" s="242"/>
      <c r="AK430" s="242"/>
      <c r="AL430" s="242"/>
      <c r="AM430" s="242"/>
      <c r="AN430" s="242"/>
      <c r="AO430" s="242"/>
      <c r="AP430" s="242"/>
      <c r="AQ430" s="242"/>
      <c r="AR430" s="242"/>
      <c r="AS430" s="242"/>
      <c r="AU430" s="4"/>
    </row>
    <row r="431" spans="7:47" ht="24.75" customHeight="1" x14ac:dyDescent="0.75">
      <c r="G431" s="243"/>
      <c r="H431" s="244"/>
      <c r="I431" s="4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  <c r="AA431" s="242"/>
      <c r="AB431" s="242"/>
      <c r="AC431" s="242"/>
      <c r="AD431" s="242"/>
      <c r="AE431" s="242"/>
      <c r="AF431" s="242"/>
      <c r="AG431" s="242"/>
      <c r="AH431" s="242"/>
      <c r="AI431" s="242"/>
      <c r="AJ431" s="242"/>
      <c r="AK431" s="242"/>
      <c r="AL431" s="242"/>
      <c r="AM431" s="242"/>
      <c r="AN431" s="242"/>
      <c r="AO431" s="242"/>
      <c r="AP431" s="242"/>
      <c r="AQ431" s="242"/>
      <c r="AR431" s="242"/>
      <c r="AS431" s="242"/>
      <c r="AU431" s="4"/>
    </row>
    <row r="432" spans="7:47" ht="24.75" customHeight="1" x14ac:dyDescent="0.75">
      <c r="G432" s="243"/>
      <c r="H432" s="244"/>
      <c r="I432" s="4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  <c r="AA432" s="242"/>
      <c r="AB432" s="242"/>
      <c r="AC432" s="242"/>
      <c r="AD432" s="242"/>
      <c r="AE432" s="242"/>
      <c r="AF432" s="242"/>
      <c r="AG432" s="242"/>
      <c r="AH432" s="242"/>
      <c r="AI432" s="242"/>
      <c r="AJ432" s="242"/>
      <c r="AK432" s="242"/>
      <c r="AL432" s="242"/>
      <c r="AM432" s="242"/>
      <c r="AN432" s="242"/>
      <c r="AO432" s="242"/>
      <c r="AP432" s="242"/>
      <c r="AQ432" s="242"/>
      <c r="AR432" s="242"/>
      <c r="AS432" s="242"/>
      <c r="AU432" s="4"/>
    </row>
    <row r="433" spans="7:47" ht="24.75" customHeight="1" x14ac:dyDescent="0.75">
      <c r="G433" s="243"/>
      <c r="H433" s="244"/>
      <c r="I433" s="4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  <c r="AA433" s="242"/>
      <c r="AB433" s="242"/>
      <c r="AC433" s="242"/>
      <c r="AD433" s="242"/>
      <c r="AE433" s="242"/>
      <c r="AF433" s="242"/>
      <c r="AG433" s="242"/>
      <c r="AH433" s="242"/>
      <c r="AI433" s="242"/>
      <c r="AJ433" s="242"/>
      <c r="AK433" s="242"/>
      <c r="AL433" s="242"/>
      <c r="AM433" s="242"/>
      <c r="AN433" s="242"/>
      <c r="AO433" s="242"/>
      <c r="AP433" s="242"/>
      <c r="AQ433" s="242"/>
      <c r="AR433" s="242"/>
      <c r="AS433" s="242"/>
      <c r="AU433" s="4"/>
    </row>
    <row r="434" spans="7:47" ht="24.75" customHeight="1" x14ac:dyDescent="0.75">
      <c r="G434" s="243"/>
      <c r="H434" s="244"/>
      <c r="I434" s="4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  <c r="AA434" s="242"/>
      <c r="AB434" s="242"/>
      <c r="AC434" s="242"/>
      <c r="AD434" s="242"/>
      <c r="AE434" s="242"/>
      <c r="AF434" s="242"/>
      <c r="AG434" s="242"/>
      <c r="AH434" s="242"/>
      <c r="AI434" s="242"/>
      <c r="AJ434" s="242"/>
      <c r="AK434" s="242"/>
      <c r="AL434" s="242"/>
      <c r="AM434" s="242"/>
      <c r="AN434" s="242"/>
      <c r="AO434" s="242"/>
      <c r="AP434" s="242"/>
      <c r="AQ434" s="242"/>
      <c r="AR434" s="242"/>
      <c r="AS434" s="242"/>
      <c r="AU434" s="4"/>
    </row>
    <row r="435" spans="7:47" ht="24.75" customHeight="1" x14ac:dyDescent="0.75">
      <c r="G435" s="243"/>
      <c r="H435" s="244"/>
      <c r="I435" s="4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  <c r="AA435" s="242"/>
      <c r="AB435" s="242"/>
      <c r="AC435" s="242"/>
      <c r="AD435" s="242"/>
      <c r="AE435" s="242"/>
      <c r="AF435" s="242"/>
      <c r="AG435" s="242"/>
      <c r="AH435" s="242"/>
      <c r="AI435" s="242"/>
      <c r="AJ435" s="242"/>
      <c r="AK435" s="242"/>
      <c r="AL435" s="242"/>
      <c r="AM435" s="242"/>
      <c r="AN435" s="242"/>
      <c r="AO435" s="242"/>
      <c r="AP435" s="242"/>
      <c r="AQ435" s="242"/>
      <c r="AR435" s="242"/>
      <c r="AS435" s="242"/>
      <c r="AU435" s="4"/>
    </row>
    <row r="436" spans="7:47" ht="24.75" customHeight="1" x14ac:dyDescent="0.75">
      <c r="G436" s="243"/>
      <c r="H436" s="244"/>
      <c r="I436" s="4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  <c r="AA436" s="242"/>
      <c r="AB436" s="242"/>
      <c r="AC436" s="242"/>
      <c r="AD436" s="242"/>
      <c r="AE436" s="242"/>
      <c r="AF436" s="242"/>
      <c r="AG436" s="242"/>
      <c r="AH436" s="242"/>
      <c r="AI436" s="242"/>
      <c r="AJ436" s="242"/>
      <c r="AK436" s="242"/>
      <c r="AL436" s="242"/>
      <c r="AM436" s="242"/>
      <c r="AN436" s="242"/>
      <c r="AO436" s="242"/>
      <c r="AP436" s="242"/>
      <c r="AQ436" s="242"/>
      <c r="AR436" s="242"/>
      <c r="AS436" s="242"/>
      <c r="AU436" s="4"/>
    </row>
    <row r="437" spans="7:47" ht="24.75" customHeight="1" x14ac:dyDescent="0.75">
      <c r="G437" s="243"/>
      <c r="H437" s="244"/>
      <c r="I437" s="4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  <c r="AA437" s="242"/>
      <c r="AB437" s="242"/>
      <c r="AC437" s="242"/>
      <c r="AD437" s="242"/>
      <c r="AE437" s="242"/>
      <c r="AF437" s="242"/>
      <c r="AG437" s="242"/>
      <c r="AH437" s="242"/>
      <c r="AI437" s="242"/>
      <c r="AJ437" s="242"/>
      <c r="AK437" s="242"/>
      <c r="AL437" s="242"/>
      <c r="AM437" s="242"/>
      <c r="AN437" s="242"/>
      <c r="AO437" s="242"/>
      <c r="AP437" s="242"/>
      <c r="AQ437" s="242"/>
      <c r="AR437" s="242"/>
      <c r="AS437" s="242"/>
      <c r="AU437" s="4"/>
    </row>
    <row r="438" spans="7:47" ht="24.75" customHeight="1" x14ac:dyDescent="0.75">
      <c r="G438" s="243"/>
      <c r="H438" s="244"/>
      <c r="I438" s="4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  <c r="AA438" s="242"/>
      <c r="AB438" s="242"/>
      <c r="AC438" s="242"/>
      <c r="AD438" s="242"/>
      <c r="AE438" s="242"/>
      <c r="AF438" s="242"/>
      <c r="AG438" s="242"/>
      <c r="AH438" s="242"/>
      <c r="AI438" s="242"/>
      <c r="AJ438" s="242"/>
      <c r="AK438" s="242"/>
      <c r="AL438" s="242"/>
      <c r="AM438" s="242"/>
      <c r="AN438" s="242"/>
      <c r="AO438" s="242"/>
      <c r="AP438" s="242"/>
      <c r="AQ438" s="242"/>
      <c r="AR438" s="242"/>
      <c r="AS438" s="242"/>
      <c r="AU438" s="4"/>
    </row>
    <row r="439" spans="7:47" ht="24.75" customHeight="1" x14ac:dyDescent="0.75">
      <c r="G439" s="243"/>
      <c r="H439" s="244"/>
      <c r="I439" s="4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  <c r="AA439" s="242"/>
      <c r="AB439" s="242"/>
      <c r="AC439" s="242"/>
      <c r="AD439" s="242"/>
      <c r="AE439" s="242"/>
      <c r="AF439" s="242"/>
      <c r="AG439" s="242"/>
      <c r="AH439" s="242"/>
      <c r="AI439" s="242"/>
      <c r="AJ439" s="242"/>
      <c r="AK439" s="242"/>
      <c r="AL439" s="242"/>
      <c r="AM439" s="242"/>
      <c r="AN439" s="242"/>
      <c r="AO439" s="242"/>
      <c r="AP439" s="242"/>
      <c r="AQ439" s="242"/>
      <c r="AR439" s="242"/>
      <c r="AS439" s="242"/>
      <c r="AU439" s="4"/>
    </row>
    <row r="440" spans="7:47" ht="24.75" customHeight="1" x14ac:dyDescent="0.75">
      <c r="G440" s="243"/>
      <c r="H440" s="244"/>
      <c r="I440" s="4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  <c r="AA440" s="242"/>
      <c r="AB440" s="242"/>
      <c r="AC440" s="242"/>
      <c r="AD440" s="242"/>
      <c r="AE440" s="242"/>
      <c r="AF440" s="242"/>
      <c r="AG440" s="242"/>
      <c r="AH440" s="242"/>
      <c r="AI440" s="242"/>
      <c r="AJ440" s="242"/>
      <c r="AK440" s="242"/>
      <c r="AL440" s="242"/>
      <c r="AM440" s="242"/>
      <c r="AN440" s="242"/>
      <c r="AO440" s="242"/>
      <c r="AP440" s="242"/>
      <c r="AQ440" s="242"/>
      <c r="AR440" s="242"/>
      <c r="AS440" s="242"/>
      <c r="AU440" s="4"/>
    </row>
    <row r="441" spans="7:47" ht="24.75" customHeight="1" x14ac:dyDescent="0.75">
      <c r="G441" s="243"/>
      <c r="H441" s="244"/>
      <c r="I441" s="4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  <c r="AA441" s="242"/>
      <c r="AB441" s="242"/>
      <c r="AC441" s="242"/>
      <c r="AD441" s="242"/>
      <c r="AE441" s="242"/>
      <c r="AF441" s="242"/>
      <c r="AG441" s="242"/>
      <c r="AH441" s="242"/>
      <c r="AI441" s="242"/>
      <c r="AJ441" s="242"/>
      <c r="AK441" s="242"/>
      <c r="AL441" s="242"/>
      <c r="AM441" s="242"/>
      <c r="AN441" s="242"/>
      <c r="AO441" s="242"/>
      <c r="AP441" s="242"/>
      <c r="AQ441" s="242"/>
      <c r="AR441" s="242"/>
      <c r="AS441" s="242"/>
      <c r="AU441" s="4"/>
    </row>
    <row r="442" spans="7:47" ht="24.75" customHeight="1" x14ac:dyDescent="0.75">
      <c r="G442" s="243"/>
      <c r="H442" s="244"/>
      <c r="I442" s="4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  <c r="AA442" s="242"/>
      <c r="AB442" s="242"/>
      <c r="AC442" s="242"/>
      <c r="AD442" s="242"/>
      <c r="AE442" s="242"/>
      <c r="AF442" s="242"/>
      <c r="AG442" s="242"/>
      <c r="AH442" s="242"/>
      <c r="AI442" s="242"/>
      <c r="AJ442" s="242"/>
      <c r="AK442" s="242"/>
      <c r="AL442" s="242"/>
      <c r="AM442" s="242"/>
      <c r="AN442" s="242"/>
      <c r="AO442" s="242"/>
      <c r="AP442" s="242"/>
      <c r="AQ442" s="242"/>
      <c r="AR442" s="242"/>
      <c r="AS442" s="242"/>
      <c r="AU442" s="4"/>
    </row>
    <row r="443" spans="7:47" ht="24.75" customHeight="1" x14ac:dyDescent="0.75">
      <c r="G443" s="243"/>
      <c r="H443" s="244"/>
      <c r="I443" s="4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  <c r="AA443" s="242"/>
      <c r="AB443" s="242"/>
      <c r="AC443" s="242"/>
      <c r="AD443" s="242"/>
      <c r="AE443" s="242"/>
      <c r="AF443" s="242"/>
      <c r="AG443" s="242"/>
      <c r="AH443" s="242"/>
      <c r="AI443" s="242"/>
      <c r="AJ443" s="242"/>
      <c r="AK443" s="242"/>
      <c r="AL443" s="242"/>
      <c r="AM443" s="242"/>
      <c r="AN443" s="242"/>
      <c r="AO443" s="242"/>
      <c r="AP443" s="242"/>
      <c r="AQ443" s="242"/>
      <c r="AR443" s="242"/>
      <c r="AS443" s="242"/>
      <c r="AU443" s="4"/>
    </row>
    <row r="444" spans="7:47" ht="24.75" customHeight="1" x14ac:dyDescent="0.75">
      <c r="G444" s="243"/>
      <c r="H444" s="244"/>
      <c r="I444" s="4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  <c r="AA444" s="242"/>
      <c r="AB444" s="242"/>
      <c r="AC444" s="242"/>
      <c r="AD444" s="242"/>
      <c r="AE444" s="242"/>
      <c r="AF444" s="242"/>
      <c r="AG444" s="242"/>
      <c r="AH444" s="242"/>
      <c r="AI444" s="242"/>
      <c r="AJ444" s="242"/>
      <c r="AK444" s="242"/>
      <c r="AL444" s="242"/>
      <c r="AM444" s="242"/>
      <c r="AN444" s="242"/>
      <c r="AO444" s="242"/>
      <c r="AP444" s="242"/>
      <c r="AQ444" s="242"/>
      <c r="AR444" s="242"/>
      <c r="AS444" s="242"/>
      <c r="AU444" s="4"/>
    </row>
    <row r="445" spans="7:47" ht="24.75" customHeight="1" x14ac:dyDescent="0.75">
      <c r="G445" s="243"/>
      <c r="H445" s="244"/>
      <c r="I445" s="4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  <c r="AA445" s="242"/>
      <c r="AB445" s="242"/>
      <c r="AC445" s="242"/>
      <c r="AD445" s="242"/>
      <c r="AE445" s="242"/>
      <c r="AF445" s="242"/>
      <c r="AG445" s="242"/>
      <c r="AH445" s="242"/>
      <c r="AI445" s="242"/>
      <c r="AJ445" s="242"/>
      <c r="AK445" s="242"/>
      <c r="AL445" s="242"/>
      <c r="AM445" s="242"/>
      <c r="AN445" s="242"/>
      <c r="AO445" s="242"/>
      <c r="AP445" s="242"/>
      <c r="AQ445" s="242"/>
      <c r="AR445" s="242"/>
      <c r="AS445" s="242"/>
      <c r="AU445" s="4"/>
    </row>
    <row r="446" spans="7:47" ht="24.75" customHeight="1" x14ac:dyDescent="0.75">
      <c r="G446" s="243"/>
      <c r="H446" s="244"/>
      <c r="I446" s="4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  <c r="AA446" s="242"/>
      <c r="AB446" s="242"/>
      <c r="AC446" s="242"/>
      <c r="AD446" s="242"/>
      <c r="AE446" s="242"/>
      <c r="AF446" s="242"/>
      <c r="AG446" s="242"/>
      <c r="AH446" s="242"/>
      <c r="AI446" s="242"/>
      <c r="AJ446" s="242"/>
      <c r="AK446" s="242"/>
      <c r="AL446" s="242"/>
      <c r="AM446" s="242"/>
      <c r="AN446" s="242"/>
      <c r="AO446" s="242"/>
      <c r="AP446" s="242"/>
      <c r="AQ446" s="242"/>
      <c r="AR446" s="242"/>
      <c r="AS446" s="242"/>
      <c r="AU446" s="4"/>
    </row>
    <row r="447" spans="7:47" ht="24.75" customHeight="1" x14ac:dyDescent="0.75">
      <c r="G447" s="243"/>
      <c r="H447" s="244"/>
      <c r="I447" s="4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  <c r="AA447" s="242"/>
      <c r="AB447" s="242"/>
      <c r="AC447" s="242"/>
      <c r="AD447" s="242"/>
      <c r="AE447" s="242"/>
      <c r="AF447" s="242"/>
      <c r="AG447" s="242"/>
      <c r="AH447" s="242"/>
      <c r="AI447" s="242"/>
      <c r="AJ447" s="242"/>
      <c r="AK447" s="242"/>
      <c r="AL447" s="242"/>
      <c r="AM447" s="242"/>
      <c r="AN447" s="242"/>
      <c r="AO447" s="242"/>
      <c r="AP447" s="242"/>
      <c r="AQ447" s="242"/>
      <c r="AR447" s="242"/>
      <c r="AS447" s="242"/>
      <c r="AU447" s="4"/>
    </row>
    <row r="448" spans="7:47" ht="24.75" customHeight="1" x14ac:dyDescent="0.75">
      <c r="G448" s="243"/>
      <c r="H448" s="244"/>
      <c r="I448" s="4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  <c r="AA448" s="242"/>
      <c r="AB448" s="242"/>
      <c r="AC448" s="242"/>
      <c r="AD448" s="242"/>
      <c r="AE448" s="242"/>
      <c r="AF448" s="242"/>
      <c r="AG448" s="242"/>
      <c r="AH448" s="242"/>
      <c r="AI448" s="242"/>
      <c r="AJ448" s="242"/>
      <c r="AK448" s="242"/>
      <c r="AL448" s="242"/>
      <c r="AM448" s="242"/>
      <c r="AN448" s="242"/>
      <c r="AO448" s="242"/>
      <c r="AP448" s="242"/>
      <c r="AQ448" s="242"/>
      <c r="AR448" s="242"/>
      <c r="AS448" s="242"/>
      <c r="AU448" s="4"/>
    </row>
    <row r="449" spans="7:47" ht="24.75" customHeight="1" x14ac:dyDescent="0.75">
      <c r="G449" s="243"/>
      <c r="H449" s="244"/>
      <c r="I449" s="4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  <c r="AA449" s="242"/>
      <c r="AB449" s="242"/>
      <c r="AC449" s="242"/>
      <c r="AD449" s="242"/>
      <c r="AE449" s="242"/>
      <c r="AF449" s="242"/>
      <c r="AG449" s="242"/>
      <c r="AH449" s="242"/>
      <c r="AI449" s="242"/>
      <c r="AJ449" s="242"/>
      <c r="AK449" s="242"/>
      <c r="AL449" s="242"/>
      <c r="AM449" s="242"/>
      <c r="AN449" s="242"/>
      <c r="AO449" s="242"/>
      <c r="AP449" s="242"/>
      <c r="AQ449" s="242"/>
      <c r="AR449" s="242"/>
      <c r="AS449" s="242"/>
      <c r="AU449" s="4"/>
    </row>
    <row r="450" spans="7:47" ht="24.75" customHeight="1" x14ac:dyDescent="0.75">
      <c r="G450" s="243"/>
      <c r="H450" s="244"/>
      <c r="I450" s="4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  <c r="AA450" s="242"/>
      <c r="AB450" s="242"/>
      <c r="AC450" s="242"/>
      <c r="AD450" s="242"/>
      <c r="AE450" s="242"/>
      <c r="AF450" s="242"/>
      <c r="AG450" s="242"/>
      <c r="AH450" s="242"/>
      <c r="AI450" s="242"/>
      <c r="AJ450" s="242"/>
      <c r="AK450" s="242"/>
      <c r="AL450" s="242"/>
      <c r="AM450" s="242"/>
      <c r="AN450" s="242"/>
      <c r="AO450" s="242"/>
      <c r="AP450" s="242"/>
      <c r="AQ450" s="242"/>
      <c r="AR450" s="242"/>
      <c r="AS450" s="242"/>
      <c r="AU450" s="4"/>
    </row>
    <row r="451" spans="7:47" ht="24.75" customHeight="1" x14ac:dyDescent="0.75">
      <c r="G451" s="243"/>
      <c r="H451" s="244"/>
      <c r="I451" s="4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  <c r="AA451" s="242"/>
      <c r="AB451" s="242"/>
      <c r="AC451" s="242"/>
      <c r="AD451" s="242"/>
      <c r="AE451" s="242"/>
      <c r="AF451" s="242"/>
      <c r="AG451" s="242"/>
      <c r="AH451" s="242"/>
      <c r="AI451" s="242"/>
      <c r="AJ451" s="242"/>
      <c r="AK451" s="242"/>
      <c r="AL451" s="242"/>
      <c r="AM451" s="242"/>
      <c r="AN451" s="242"/>
      <c r="AO451" s="242"/>
      <c r="AP451" s="242"/>
      <c r="AQ451" s="242"/>
      <c r="AR451" s="242"/>
      <c r="AS451" s="242"/>
      <c r="AU451" s="4"/>
    </row>
    <row r="452" spans="7:47" ht="24.75" customHeight="1" x14ac:dyDescent="0.75">
      <c r="G452" s="243"/>
      <c r="H452" s="244"/>
      <c r="I452" s="4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  <c r="AA452" s="242"/>
      <c r="AB452" s="242"/>
      <c r="AC452" s="242"/>
      <c r="AD452" s="242"/>
      <c r="AE452" s="242"/>
      <c r="AF452" s="242"/>
      <c r="AG452" s="242"/>
      <c r="AH452" s="242"/>
      <c r="AI452" s="242"/>
      <c r="AJ452" s="242"/>
      <c r="AK452" s="242"/>
      <c r="AL452" s="242"/>
      <c r="AM452" s="242"/>
      <c r="AN452" s="242"/>
      <c r="AO452" s="242"/>
      <c r="AP452" s="242"/>
      <c r="AQ452" s="242"/>
      <c r="AR452" s="242"/>
      <c r="AS452" s="242"/>
      <c r="AU452" s="4"/>
    </row>
    <row r="453" spans="7:47" ht="24.75" customHeight="1" x14ac:dyDescent="0.75">
      <c r="G453" s="243"/>
      <c r="H453" s="244"/>
      <c r="I453" s="4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  <c r="AA453" s="242"/>
      <c r="AB453" s="242"/>
      <c r="AC453" s="242"/>
      <c r="AD453" s="242"/>
      <c r="AE453" s="242"/>
      <c r="AF453" s="242"/>
      <c r="AG453" s="242"/>
      <c r="AH453" s="242"/>
      <c r="AI453" s="242"/>
      <c r="AJ453" s="242"/>
      <c r="AK453" s="242"/>
      <c r="AL453" s="242"/>
      <c r="AM453" s="242"/>
      <c r="AN453" s="242"/>
      <c r="AO453" s="242"/>
      <c r="AP453" s="242"/>
      <c r="AQ453" s="242"/>
      <c r="AR453" s="242"/>
      <c r="AS453" s="242"/>
      <c r="AU453" s="4"/>
    </row>
    <row r="454" spans="7:47" ht="24.75" customHeight="1" x14ac:dyDescent="0.75">
      <c r="G454" s="243"/>
      <c r="H454" s="244"/>
      <c r="I454" s="4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  <c r="AA454" s="242"/>
      <c r="AB454" s="242"/>
      <c r="AC454" s="242"/>
      <c r="AD454" s="242"/>
      <c r="AE454" s="242"/>
      <c r="AF454" s="242"/>
      <c r="AG454" s="242"/>
      <c r="AH454" s="242"/>
      <c r="AI454" s="242"/>
      <c r="AJ454" s="242"/>
      <c r="AK454" s="242"/>
      <c r="AL454" s="242"/>
      <c r="AM454" s="242"/>
      <c r="AN454" s="242"/>
      <c r="AO454" s="242"/>
      <c r="AP454" s="242"/>
      <c r="AQ454" s="242"/>
      <c r="AR454" s="242"/>
      <c r="AS454" s="242"/>
      <c r="AU454" s="4"/>
    </row>
    <row r="455" spans="7:47" ht="24.75" customHeight="1" x14ac:dyDescent="0.75">
      <c r="G455" s="243"/>
      <c r="H455" s="244"/>
      <c r="I455" s="4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  <c r="AA455" s="242"/>
      <c r="AB455" s="242"/>
      <c r="AC455" s="242"/>
      <c r="AD455" s="242"/>
      <c r="AE455" s="242"/>
      <c r="AF455" s="242"/>
      <c r="AG455" s="242"/>
      <c r="AH455" s="242"/>
      <c r="AI455" s="242"/>
      <c r="AJ455" s="242"/>
      <c r="AK455" s="242"/>
      <c r="AL455" s="242"/>
      <c r="AM455" s="242"/>
      <c r="AN455" s="242"/>
      <c r="AO455" s="242"/>
      <c r="AP455" s="242"/>
      <c r="AQ455" s="242"/>
      <c r="AR455" s="242"/>
      <c r="AS455" s="242"/>
      <c r="AU455" s="4"/>
    </row>
    <row r="456" spans="7:47" ht="24.75" customHeight="1" x14ac:dyDescent="0.75">
      <c r="G456" s="243"/>
      <c r="H456" s="244"/>
      <c r="I456" s="4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  <c r="AA456" s="242"/>
      <c r="AB456" s="242"/>
      <c r="AC456" s="242"/>
      <c r="AD456" s="242"/>
      <c r="AE456" s="242"/>
      <c r="AF456" s="242"/>
      <c r="AG456" s="242"/>
      <c r="AH456" s="242"/>
      <c r="AI456" s="242"/>
      <c r="AJ456" s="242"/>
      <c r="AK456" s="242"/>
      <c r="AL456" s="242"/>
      <c r="AM456" s="242"/>
      <c r="AN456" s="242"/>
      <c r="AO456" s="242"/>
      <c r="AP456" s="242"/>
      <c r="AQ456" s="242"/>
      <c r="AR456" s="242"/>
      <c r="AS456" s="242"/>
      <c r="AU456" s="4"/>
    </row>
    <row r="457" spans="7:47" ht="24.75" customHeight="1" x14ac:dyDescent="0.75">
      <c r="G457" s="243"/>
      <c r="H457" s="244"/>
      <c r="I457" s="4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  <c r="AA457" s="242"/>
      <c r="AB457" s="242"/>
      <c r="AC457" s="242"/>
      <c r="AD457" s="242"/>
      <c r="AE457" s="242"/>
      <c r="AF457" s="242"/>
      <c r="AG457" s="242"/>
      <c r="AH457" s="242"/>
      <c r="AI457" s="242"/>
      <c r="AJ457" s="242"/>
      <c r="AK457" s="242"/>
      <c r="AL457" s="242"/>
      <c r="AM457" s="242"/>
      <c r="AN457" s="242"/>
      <c r="AO457" s="242"/>
      <c r="AP457" s="242"/>
      <c r="AQ457" s="242"/>
      <c r="AR457" s="242"/>
      <c r="AS457" s="242"/>
      <c r="AU457" s="4"/>
    </row>
    <row r="458" spans="7:47" ht="24.75" customHeight="1" x14ac:dyDescent="0.75">
      <c r="G458" s="243"/>
      <c r="H458" s="244"/>
      <c r="I458" s="4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  <c r="AA458" s="242"/>
      <c r="AB458" s="242"/>
      <c r="AC458" s="242"/>
      <c r="AD458" s="242"/>
      <c r="AE458" s="242"/>
      <c r="AF458" s="242"/>
      <c r="AG458" s="242"/>
      <c r="AH458" s="242"/>
      <c r="AI458" s="242"/>
      <c r="AJ458" s="242"/>
      <c r="AK458" s="242"/>
      <c r="AL458" s="242"/>
      <c r="AM458" s="242"/>
      <c r="AN458" s="242"/>
      <c r="AO458" s="242"/>
      <c r="AP458" s="242"/>
      <c r="AQ458" s="242"/>
      <c r="AR458" s="242"/>
      <c r="AS458" s="242"/>
      <c r="AU458" s="4"/>
    </row>
    <row r="459" spans="7:47" ht="24.75" customHeight="1" x14ac:dyDescent="0.75">
      <c r="G459" s="243"/>
      <c r="H459" s="244"/>
      <c r="I459" s="4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  <c r="AA459" s="242"/>
      <c r="AB459" s="242"/>
      <c r="AC459" s="242"/>
      <c r="AD459" s="242"/>
      <c r="AE459" s="242"/>
      <c r="AF459" s="242"/>
      <c r="AG459" s="242"/>
      <c r="AH459" s="242"/>
      <c r="AI459" s="242"/>
      <c r="AJ459" s="242"/>
      <c r="AK459" s="242"/>
      <c r="AL459" s="242"/>
      <c r="AM459" s="242"/>
      <c r="AN459" s="242"/>
      <c r="AO459" s="242"/>
      <c r="AP459" s="242"/>
      <c r="AQ459" s="242"/>
      <c r="AR459" s="242"/>
      <c r="AS459" s="242"/>
      <c r="AU459" s="4"/>
    </row>
    <row r="460" spans="7:47" ht="24.75" customHeight="1" x14ac:dyDescent="0.75">
      <c r="G460" s="243"/>
      <c r="H460" s="244"/>
      <c r="I460" s="4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  <c r="AA460" s="242"/>
      <c r="AB460" s="242"/>
      <c r="AC460" s="242"/>
      <c r="AD460" s="242"/>
      <c r="AE460" s="242"/>
      <c r="AF460" s="242"/>
      <c r="AG460" s="242"/>
      <c r="AH460" s="242"/>
      <c r="AI460" s="242"/>
      <c r="AJ460" s="242"/>
      <c r="AK460" s="242"/>
      <c r="AL460" s="242"/>
      <c r="AM460" s="242"/>
      <c r="AN460" s="242"/>
      <c r="AO460" s="242"/>
      <c r="AP460" s="242"/>
      <c r="AQ460" s="242"/>
      <c r="AR460" s="242"/>
      <c r="AS460" s="242"/>
      <c r="AU460" s="4"/>
    </row>
    <row r="461" spans="7:47" ht="24.75" customHeight="1" x14ac:dyDescent="0.75">
      <c r="G461" s="243"/>
      <c r="H461" s="244"/>
      <c r="I461" s="4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  <c r="AA461" s="242"/>
      <c r="AB461" s="242"/>
      <c r="AC461" s="242"/>
      <c r="AD461" s="242"/>
      <c r="AE461" s="242"/>
      <c r="AF461" s="242"/>
      <c r="AG461" s="242"/>
      <c r="AH461" s="242"/>
      <c r="AI461" s="242"/>
      <c r="AJ461" s="242"/>
      <c r="AK461" s="242"/>
      <c r="AL461" s="242"/>
      <c r="AM461" s="242"/>
      <c r="AN461" s="242"/>
      <c r="AO461" s="242"/>
      <c r="AP461" s="242"/>
      <c r="AQ461" s="242"/>
      <c r="AR461" s="242"/>
      <c r="AS461" s="242"/>
      <c r="AU461" s="4"/>
    </row>
    <row r="462" spans="7:47" ht="24.75" customHeight="1" x14ac:dyDescent="0.75">
      <c r="G462" s="243"/>
      <c r="H462" s="244"/>
      <c r="I462" s="4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  <c r="AA462" s="242"/>
      <c r="AB462" s="242"/>
      <c r="AC462" s="242"/>
      <c r="AD462" s="242"/>
      <c r="AE462" s="242"/>
      <c r="AF462" s="242"/>
      <c r="AG462" s="242"/>
      <c r="AH462" s="242"/>
      <c r="AI462" s="242"/>
      <c r="AJ462" s="242"/>
      <c r="AK462" s="242"/>
      <c r="AL462" s="242"/>
      <c r="AM462" s="242"/>
      <c r="AN462" s="242"/>
      <c r="AO462" s="242"/>
      <c r="AP462" s="242"/>
      <c r="AQ462" s="242"/>
      <c r="AR462" s="242"/>
      <c r="AS462" s="242"/>
      <c r="AU462" s="4"/>
    </row>
    <row r="463" spans="7:47" ht="24.75" customHeight="1" x14ac:dyDescent="0.75">
      <c r="G463" s="243"/>
      <c r="H463" s="244"/>
      <c r="I463" s="4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  <c r="AA463" s="242"/>
      <c r="AB463" s="242"/>
      <c r="AC463" s="242"/>
      <c r="AD463" s="242"/>
      <c r="AE463" s="242"/>
      <c r="AF463" s="242"/>
      <c r="AG463" s="242"/>
      <c r="AH463" s="242"/>
      <c r="AI463" s="242"/>
      <c r="AJ463" s="242"/>
      <c r="AK463" s="242"/>
      <c r="AL463" s="242"/>
      <c r="AM463" s="242"/>
      <c r="AN463" s="242"/>
      <c r="AO463" s="242"/>
      <c r="AP463" s="242"/>
      <c r="AQ463" s="242"/>
      <c r="AR463" s="242"/>
      <c r="AS463" s="242"/>
      <c r="AU463" s="4"/>
    </row>
    <row r="464" spans="7:47" ht="24.75" customHeight="1" x14ac:dyDescent="0.75">
      <c r="G464" s="243"/>
      <c r="H464" s="244"/>
      <c r="I464" s="4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  <c r="AA464" s="242"/>
      <c r="AB464" s="242"/>
      <c r="AC464" s="242"/>
      <c r="AD464" s="242"/>
      <c r="AE464" s="242"/>
      <c r="AF464" s="242"/>
      <c r="AG464" s="242"/>
      <c r="AH464" s="242"/>
      <c r="AI464" s="242"/>
      <c r="AJ464" s="242"/>
      <c r="AK464" s="242"/>
      <c r="AL464" s="242"/>
      <c r="AM464" s="242"/>
      <c r="AN464" s="242"/>
      <c r="AO464" s="242"/>
      <c r="AP464" s="242"/>
      <c r="AQ464" s="242"/>
      <c r="AR464" s="242"/>
      <c r="AS464" s="242"/>
      <c r="AU464" s="4"/>
    </row>
    <row r="465" spans="7:47" ht="24.75" customHeight="1" x14ac:dyDescent="0.75">
      <c r="G465" s="243"/>
      <c r="H465" s="244"/>
      <c r="I465" s="4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  <c r="AA465" s="242"/>
      <c r="AB465" s="242"/>
      <c r="AC465" s="242"/>
      <c r="AD465" s="242"/>
      <c r="AE465" s="242"/>
      <c r="AF465" s="242"/>
      <c r="AG465" s="242"/>
      <c r="AH465" s="242"/>
      <c r="AI465" s="242"/>
      <c r="AJ465" s="242"/>
      <c r="AK465" s="242"/>
      <c r="AL465" s="242"/>
      <c r="AM465" s="242"/>
      <c r="AN465" s="242"/>
      <c r="AO465" s="242"/>
      <c r="AP465" s="242"/>
      <c r="AQ465" s="242"/>
      <c r="AR465" s="242"/>
      <c r="AS465" s="242"/>
      <c r="AU465" s="4"/>
    </row>
    <row r="466" spans="7:47" ht="24.75" customHeight="1" x14ac:dyDescent="0.75">
      <c r="G466" s="243"/>
      <c r="H466" s="244"/>
      <c r="I466" s="4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  <c r="AA466" s="242"/>
      <c r="AB466" s="242"/>
      <c r="AC466" s="242"/>
      <c r="AD466" s="242"/>
      <c r="AE466" s="242"/>
      <c r="AF466" s="242"/>
      <c r="AG466" s="242"/>
      <c r="AH466" s="242"/>
      <c r="AI466" s="242"/>
      <c r="AJ466" s="242"/>
      <c r="AK466" s="242"/>
      <c r="AL466" s="242"/>
      <c r="AM466" s="242"/>
      <c r="AN466" s="242"/>
      <c r="AO466" s="242"/>
      <c r="AP466" s="242"/>
      <c r="AQ466" s="242"/>
      <c r="AR466" s="242"/>
      <c r="AS466" s="242"/>
      <c r="AU466" s="4"/>
    </row>
    <row r="467" spans="7:47" ht="24.75" customHeight="1" x14ac:dyDescent="0.75">
      <c r="G467" s="243"/>
      <c r="H467" s="244"/>
      <c r="I467" s="4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  <c r="AA467" s="242"/>
      <c r="AB467" s="242"/>
      <c r="AC467" s="242"/>
      <c r="AD467" s="242"/>
      <c r="AE467" s="242"/>
      <c r="AF467" s="242"/>
      <c r="AG467" s="242"/>
      <c r="AH467" s="242"/>
      <c r="AI467" s="242"/>
      <c r="AJ467" s="242"/>
      <c r="AK467" s="242"/>
      <c r="AL467" s="242"/>
      <c r="AM467" s="242"/>
      <c r="AN467" s="242"/>
      <c r="AO467" s="242"/>
      <c r="AP467" s="242"/>
      <c r="AQ467" s="242"/>
      <c r="AR467" s="242"/>
      <c r="AS467" s="242"/>
      <c r="AU467" s="4"/>
    </row>
    <row r="468" spans="7:47" ht="24.75" customHeight="1" x14ac:dyDescent="0.75">
      <c r="G468" s="243"/>
      <c r="H468" s="244"/>
      <c r="I468" s="4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  <c r="AA468" s="242"/>
      <c r="AB468" s="242"/>
      <c r="AC468" s="242"/>
      <c r="AD468" s="242"/>
      <c r="AE468" s="242"/>
      <c r="AF468" s="242"/>
      <c r="AG468" s="242"/>
      <c r="AH468" s="242"/>
      <c r="AI468" s="242"/>
      <c r="AJ468" s="242"/>
      <c r="AK468" s="242"/>
      <c r="AL468" s="242"/>
      <c r="AM468" s="242"/>
      <c r="AN468" s="242"/>
      <c r="AO468" s="242"/>
      <c r="AP468" s="242"/>
      <c r="AQ468" s="242"/>
      <c r="AR468" s="242"/>
      <c r="AS468" s="242"/>
      <c r="AU468" s="4"/>
    </row>
    <row r="469" spans="7:47" ht="24.75" customHeight="1" x14ac:dyDescent="0.75">
      <c r="G469" s="243"/>
      <c r="H469" s="244"/>
      <c r="I469" s="4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  <c r="AA469" s="242"/>
      <c r="AB469" s="242"/>
      <c r="AC469" s="242"/>
      <c r="AD469" s="242"/>
      <c r="AE469" s="242"/>
      <c r="AF469" s="242"/>
      <c r="AG469" s="242"/>
      <c r="AH469" s="242"/>
      <c r="AI469" s="242"/>
      <c r="AJ469" s="242"/>
      <c r="AK469" s="242"/>
      <c r="AL469" s="242"/>
      <c r="AM469" s="242"/>
      <c r="AN469" s="242"/>
      <c r="AO469" s="242"/>
      <c r="AP469" s="242"/>
      <c r="AQ469" s="242"/>
      <c r="AR469" s="242"/>
      <c r="AS469" s="242"/>
      <c r="AU469" s="4"/>
    </row>
    <row r="470" spans="7:47" ht="24.75" customHeight="1" x14ac:dyDescent="0.75">
      <c r="G470" s="243"/>
      <c r="H470" s="244"/>
      <c r="I470" s="4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  <c r="AA470" s="242"/>
      <c r="AB470" s="242"/>
      <c r="AC470" s="242"/>
      <c r="AD470" s="242"/>
      <c r="AE470" s="242"/>
      <c r="AF470" s="242"/>
      <c r="AG470" s="242"/>
      <c r="AH470" s="242"/>
      <c r="AI470" s="242"/>
      <c r="AJ470" s="242"/>
      <c r="AK470" s="242"/>
      <c r="AL470" s="242"/>
      <c r="AM470" s="242"/>
      <c r="AN470" s="242"/>
      <c r="AO470" s="242"/>
      <c r="AP470" s="242"/>
      <c r="AQ470" s="242"/>
      <c r="AR470" s="242"/>
      <c r="AS470" s="242"/>
      <c r="AU470" s="4"/>
    </row>
    <row r="471" spans="7:47" ht="24.75" customHeight="1" x14ac:dyDescent="0.75">
      <c r="G471" s="243"/>
      <c r="H471" s="244"/>
      <c r="I471" s="4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  <c r="AA471" s="242"/>
      <c r="AB471" s="242"/>
      <c r="AC471" s="242"/>
      <c r="AD471" s="242"/>
      <c r="AE471" s="242"/>
      <c r="AF471" s="242"/>
      <c r="AG471" s="242"/>
      <c r="AH471" s="242"/>
      <c r="AI471" s="242"/>
      <c r="AJ471" s="242"/>
      <c r="AK471" s="242"/>
      <c r="AL471" s="242"/>
      <c r="AM471" s="242"/>
      <c r="AN471" s="242"/>
      <c r="AO471" s="242"/>
      <c r="AP471" s="242"/>
      <c r="AQ471" s="242"/>
      <c r="AR471" s="242"/>
      <c r="AS471" s="242"/>
      <c r="AU471" s="4"/>
    </row>
    <row r="472" spans="7:47" ht="24.75" customHeight="1" x14ac:dyDescent="0.75">
      <c r="G472" s="243"/>
      <c r="H472" s="244"/>
      <c r="I472" s="4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  <c r="AA472" s="242"/>
      <c r="AB472" s="242"/>
      <c r="AC472" s="242"/>
      <c r="AD472" s="242"/>
      <c r="AE472" s="242"/>
      <c r="AF472" s="242"/>
      <c r="AG472" s="242"/>
      <c r="AH472" s="242"/>
      <c r="AI472" s="242"/>
      <c r="AJ472" s="242"/>
      <c r="AK472" s="242"/>
      <c r="AL472" s="242"/>
      <c r="AM472" s="242"/>
      <c r="AN472" s="242"/>
      <c r="AO472" s="242"/>
      <c r="AP472" s="242"/>
      <c r="AQ472" s="242"/>
      <c r="AR472" s="242"/>
      <c r="AS472" s="242"/>
      <c r="AU472" s="4"/>
    </row>
    <row r="473" spans="7:47" ht="24.75" customHeight="1" x14ac:dyDescent="0.75">
      <c r="G473" s="243"/>
      <c r="H473" s="244"/>
      <c r="I473" s="4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  <c r="AA473" s="242"/>
      <c r="AB473" s="242"/>
      <c r="AC473" s="242"/>
      <c r="AD473" s="242"/>
      <c r="AE473" s="242"/>
      <c r="AF473" s="242"/>
      <c r="AG473" s="242"/>
      <c r="AH473" s="242"/>
      <c r="AI473" s="242"/>
      <c r="AJ473" s="242"/>
      <c r="AK473" s="242"/>
      <c r="AL473" s="242"/>
      <c r="AM473" s="242"/>
      <c r="AN473" s="242"/>
      <c r="AO473" s="242"/>
      <c r="AP473" s="242"/>
      <c r="AQ473" s="242"/>
      <c r="AR473" s="242"/>
      <c r="AS473" s="242"/>
      <c r="AU473" s="4"/>
    </row>
    <row r="474" spans="7:47" ht="24.75" customHeight="1" x14ac:dyDescent="0.75">
      <c r="G474" s="243"/>
      <c r="H474" s="244"/>
      <c r="I474" s="4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  <c r="AA474" s="242"/>
      <c r="AB474" s="242"/>
      <c r="AC474" s="242"/>
      <c r="AD474" s="242"/>
      <c r="AE474" s="242"/>
      <c r="AF474" s="242"/>
      <c r="AG474" s="242"/>
      <c r="AH474" s="242"/>
      <c r="AI474" s="242"/>
      <c r="AJ474" s="242"/>
      <c r="AK474" s="242"/>
      <c r="AL474" s="242"/>
      <c r="AM474" s="242"/>
      <c r="AN474" s="242"/>
      <c r="AO474" s="242"/>
      <c r="AP474" s="242"/>
      <c r="AQ474" s="242"/>
      <c r="AR474" s="242"/>
      <c r="AS474" s="242"/>
      <c r="AU474" s="4"/>
    </row>
    <row r="475" spans="7:47" ht="24.75" customHeight="1" x14ac:dyDescent="0.75">
      <c r="G475" s="243"/>
      <c r="H475" s="244"/>
      <c r="I475" s="4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  <c r="AA475" s="242"/>
      <c r="AB475" s="242"/>
      <c r="AC475" s="242"/>
      <c r="AD475" s="242"/>
      <c r="AE475" s="242"/>
      <c r="AF475" s="242"/>
      <c r="AG475" s="242"/>
      <c r="AH475" s="242"/>
      <c r="AI475" s="242"/>
      <c r="AJ475" s="242"/>
      <c r="AK475" s="242"/>
      <c r="AL475" s="242"/>
      <c r="AM475" s="242"/>
      <c r="AN475" s="242"/>
      <c r="AO475" s="242"/>
      <c r="AP475" s="242"/>
      <c r="AQ475" s="242"/>
      <c r="AR475" s="242"/>
      <c r="AS475" s="242"/>
      <c r="AU475" s="4"/>
    </row>
    <row r="476" spans="7:47" ht="24.75" customHeight="1" x14ac:dyDescent="0.75">
      <c r="G476" s="243"/>
      <c r="H476" s="244"/>
      <c r="I476" s="4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  <c r="AA476" s="242"/>
      <c r="AB476" s="242"/>
      <c r="AC476" s="242"/>
      <c r="AD476" s="242"/>
      <c r="AE476" s="242"/>
      <c r="AF476" s="242"/>
      <c r="AG476" s="242"/>
      <c r="AH476" s="242"/>
      <c r="AI476" s="242"/>
      <c r="AJ476" s="242"/>
      <c r="AK476" s="242"/>
      <c r="AL476" s="242"/>
      <c r="AM476" s="242"/>
      <c r="AN476" s="242"/>
      <c r="AO476" s="242"/>
      <c r="AP476" s="242"/>
      <c r="AQ476" s="242"/>
      <c r="AR476" s="242"/>
      <c r="AS476" s="242"/>
      <c r="AU476" s="4"/>
    </row>
    <row r="477" spans="7:47" ht="24.75" customHeight="1" x14ac:dyDescent="0.75">
      <c r="G477" s="243"/>
      <c r="H477" s="244"/>
      <c r="I477" s="4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  <c r="AA477" s="242"/>
      <c r="AB477" s="242"/>
      <c r="AC477" s="242"/>
      <c r="AD477" s="242"/>
      <c r="AE477" s="242"/>
      <c r="AF477" s="242"/>
      <c r="AG477" s="242"/>
      <c r="AH477" s="242"/>
      <c r="AI477" s="242"/>
      <c r="AJ477" s="242"/>
      <c r="AK477" s="242"/>
      <c r="AL477" s="242"/>
      <c r="AM477" s="242"/>
      <c r="AN477" s="242"/>
      <c r="AO477" s="242"/>
      <c r="AP477" s="242"/>
      <c r="AQ477" s="242"/>
      <c r="AR477" s="242"/>
      <c r="AS477" s="242"/>
      <c r="AU477" s="4"/>
    </row>
    <row r="478" spans="7:47" ht="24.75" customHeight="1" x14ac:dyDescent="0.75">
      <c r="G478" s="243"/>
      <c r="H478" s="244"/>
      <c r="I478" s="4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  <c r="AA478" s="242"/>
      <c r="AB478" s="242"/>
      <c r="AC478" s="242"/>
      <c r="AD478" s="242"/>
      <c r="AE478" s="242"/>
      <c r="AF478" s="242"/>
      <c r="AG478" s="242"/>
      <c r="AH478" s="242"/>
      <c r="AI478" s="242"/>
      <c r="AJ478" s="242"/>
      <c r="AK478" s="242"/>
      <c r="AL478" s="242"/>
      <c r="AM478" s="242"/>
      <c r="AN478" s="242"/>
      <c r="AO478" s="242"/>
      <c r="AP478" s="242"/>
      <c r="AQ478" s="242"/>
      <c r="AR478" s="242"/>
      <c r="AS478" s="242"/>
      <c r="AU478" s="4"/>
    </row>
    <row r="479" spans="7:47" ht="24.75" customHeight="1" x14ac:dyDescent="0.75">
      <c r="G479" s="243"/>
      <c r="H479" s="244"/>
      <c r="I479" s="4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  <c r="AA479" s="242"/>
      <c r="AB479" s="242"/>
      <c r="AC479" s="242"/>
      <c r="AD479" s="242"/>
      <c r="AE479" s="242"/>
      <c r="AF479" s="242"/>
      <c r="AG479" s="242"/>
      <c r="AH479" s="242"/>
      <c r="AI479" s="242"/>
      <c r="AJ479" s="242"/>
      <c r="AK479" s="242"/>
      <c r="AL479" s="242"/>
      <c r="AM479" s="242"/>
      <c r="AN479" s="242"/>
      <c r="AO479" s="242"/>
      <c r="AP479" s="242"/>
      <c r="AQ479" s="242"/>
      <c r="AR479" s="242"/>
      <c r="AS479" s="242"/>
      <c r="AU479" s="4"/>
    </row>
    <row r="480" spans="7:47" ht="24.75" customHeight="1" x14ac:dyDescent="0.75">
      <c r="G480" s="243"/>
      <c r="H480" s="244"/>
      <c r="I480" s="4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  <c r="AA480" s="242"/>
      <c r="AB480" s="242"/>
      <c r="AC480" s="242"/>
      <c r="AD480" s="242"/>
      <c r="AE480" s="242"/>
      <c r="AF480" s="242"/>
      <c r="AG480" s="242"/>
      <c r="AH480" s="242"/>
      <c r="AI480" s="242"/>
      <c r="AJ480" s="242"/>
      <c r="AK480" s="242"/>
      <c r="AL480" s="242"/>
      <c r="AM480" s="242"/>
      <c r="AN480" s="242"/>
      <c r="AO480" s="242"/>
      <c r="AP480" s="242"/>
      <c r="AQ480" s="242"/>
      <c r="AR480" s="242"/>
      <c r="AS480" s="242"/>
      <c r="AU480" s="4"/>
    </row>
    <row r="481" spans="7:47" ht="24.75" customHeight="1" x14ac:dyDescent="0.75">
      <c r="G481" s="243"/>
      <c r="H481" s="244"/>
      <c r="I481" s="4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  <c r="AA481" s="242"/>
      <c r="AB481" s="242"/>
      <c r="AC481" s="242"/>
      <c r="AD481" s="242"/>
      <c r="AE481" s="242"/>
      <c r="AF481" s="242"/>
      <c r="AG481" s="242"/>
      <c r="AH481" s="242"/>
      <c r="AI481" s="242"/>
      <c r="AJ481" s="242"/>
      <c r="AK481" s="242"/>
      <c r="AL481" s="242"/>
      <c r="AM481" s="242"/>
      <c r="AN481" s="242"/>
      <c r="AO481" s="242"/>
      <c r="AP481" s="242"/>
      <c r="AQ481" s="242"/>
      <c r="AR481" s="242"/>
      <c r="AS481" s="242"/>
      <c r="AU481" s="4"/>
    </row>
    <row r="482" spans="7:47" ht="24.75" customHeight="1" x14ac:dyDescent="0.75">
      <c r="G482" s="243"/>
      <c r="H482" s="244"/>
      <c r="I482" s="4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  <c r="AA482" s="242"/>
      <c r="AB482" s="242"/>
      <c r="AC482" s="242"/>
      <c r="AD482" s="242"/>
      <c r="AE482" s="242"/>
      <c r="AF482" s="242"/>
      <c r="AG482" s="242"/>
      <c r="AH482" s="242"/>
      <c r="AI482" s="242"/>
      <c r="AJ482" s="242"/>
      <c r="AK482" s="242"/>
      <c r="AL482" s="242"/>
      <c r="AM482" s="242"/>
      <c r="AN482" s="242"/>
      <c r="AO482" s="242"/>
      <c r="AP482" s="242"/>
      <c r="AQ482" s="242"/>
      <c r="AR482" s="242"/>
      <c r="AS482" s="242"/>
      <c r="AU482" s="4"/>
    </row>
    <row r="483" spans="7:47" ht="24.75" customHeight="1" x14ac:dyDescent="0.75">
      <c r="G483" s="243"/>
      <c r="H483" s="244"/>
      <c r="I483" s="4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  <c r="AA483" s="242"/>
      <c r="AB483" s="242"/>
      <c r="AC483" s="242"/>
      <c r="AD483" s="242"/>
      <c r="AE483" s="242"/>
      <c r="AF483" s="242"/>
      <c r="AG483" s="242"/>
      <c r="AH483" s="242"/>
      <c r="AI483" s="242"/>
      <c r="AJ483" s="242"/>
      <c r="AK483" s="242"/>
      <c r="AL483" s="242"/>
      <c r="AM483" s="242"/>
      <c r="AN483" s="242"/>
      <c r="AO483" s="242"/>
      <c r="AP483" s="242"/>
      <c r="AQ483" s="242"/>
      <c r="AR483" s="242"/>
      <c r="AS483" s="242"/>
      <c r="AU483" s="4"/>
    </row>
    <row r="484" spans="7:47" ht="24.75" customHeight="1" x14ac:dyDescent="0.75">
      <c r="G484" s="243"/>
      <c r="H484" s="244"/>
      <c r="I484" s="4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  <c r="AA484" s="242"/>
      <c r="AB484" s="242"/>
      <c r="AC484" s="242"/>
      <c r="AD484" s="242"/>
      <c r="AE484" s="242"/>
      <c r="AF484" s="242"/>
      <c r="AG484" s="242"/>
      <c r="AH484" s="242"/>
      <c r="AI484" s="242"/>
      <c r="AJ484" s="242"/>
      <c r="AK484" s="242"/>
      <c r="AL484" s="242"/>
      <c r="AM484" s="242"/>
      <c r="AN484" s="242"/>
      <c r="AO484" s="242"/>
      <c r="AP484" s="242"/>
      <c r="AQ484" s="242"/>
      <c r="AR484" s="242"/>
      <c r="AS484" s="242"/>
      <c r="AU484" s="4"/>
    </row>
    <row r="485" spans="7:47" ht="24.75" customHeight="1" x14ac:dyDescent="0.75">
      <c r="G485" s="243"/>
      <c r="H485" s="244"/>
      <c r="I485" s="4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  <c r="AA485" s="242"/>
      <c r="AB485" s="242"/>
      <c r="AC485" s="242"/>
      <c r="AD485" s="242"/>
      <c r="AE485" s="242"/>
      <c r="AF485" s="242"/>
      <c r="AG485" s="242"/>
      <c r="AH485" s="242"/>
      <c r="AI485" s="242"/>
      <c r="AJ485" s="242"/>
      <c r="AK485" s="242"/>
      <c r="AL485" s="242"/>
      <c r="AM485" s="242"/>
      <c r="AN485" s="242"/>
      <c r="AO485" s="242"/>
      <c r="AP485" s="242"/>
      <c r="AQ485" s="242"/>
      <c r="AR485" s="242"/>
      <c r="AS485" s="242"/>
      <c r="AU485" s="4"/>
    </row>
    <row r="486" spans="7:47" ht="24.75" customHeight="1" x14ac:dyDescent="0.75">
      <c r="G486" s="243"/>
      <c r="H486" s="244"/>
      <c r="I486" s="4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  <c r="AA486" s="242"/>
      <c r="AB486" s="242"/>
      <c r="AC486" s="242"/>
      <c r="AD486" s="242"/>
      <c r="AE486" s="242"/>
      <c r="AF486" s="242"/>
      <c r="AG486" s="242"/>
      <c r="AH486" s="242"/>
      <c r="AI486" s="242"/>
      <c r="AJ486" s="242"/>
      <c r="AK486" s="242"/>
      <c r="AL486" s="242"/>
      <c r="AM486" s="242"/>
      <c r="AN486" s="242"/>
      <c r="AO486" s="242"/>
      <c r="AP486" s="242"/>
      <c r="AQ486" s="242"/>
      <c r="AR486" s="242"/>
      <c r="AS486" s="242"/>
      <c r="AU486" s="4"/>
    </row>
    <row r="487" spans="7:47" ht="24.75" customHeight="1" x14ac:dyDescent="0.75">
      <c r="G487" s="243"/>
      <c r="H487" s="244"/>
      <c r="I487" s="4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  <c r="AA487" s="242"/>
      <c r="AB487" s="242"/>
      <c r="AC487" s="242"/>
      <c r="AD487" s="242"/>
      <c r="AE487" s="242"/>
      <c r="AF487" s="242"/>
      <c r="AG487" s="242"/>
      <c r="AH487" s="242"/>
      <c r="AI487" s="242"/>
      <c r="AJ487" s="242"/>
      <c r="AK487" s="242"/>
      <c r="AL487" s="242"/>
      <c r="AM487" s="242"/>
      <c r="AN487" s="242"/>
      <c r="AO487" s="242"/>
      <c r="AP487" s="242"/>
      <c r="AQ487" s="242"/>
      <c r="AR487" s="242"/>
      <c r="AS487" s="242"/>
      <c r="AU487" s="4"/>
    </row>
    <row r="488" spans="7:47" ht="24.75" customHeight="1" x14ac:dyDescent="0.75">
      <c r="G488" s="243"/>
      <c r="H488" s="244"/>
      <c r="I488" s="4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  <c r="AA488" s="242"/>
      <c r="AB488" s="242"/>
      <c r="AC488" s="242"/>
      <c r="AD488" s="242"/>
      <c r="AE488" s="242"/>
      <c r="AF488" s="242"/>
      <c r="AG488" s="242"/>
      <c r="AH488" s="242"/>
      <c r="AI488" s="242"/>
      <c r="AJ488" s="242"/>
      <c r="AK488" s="242"/>
      <c r="AL488" s="242"/>
      <c r="AM488" s="242"/>
      <c r="AN488" s="242"/>
      <c r="AO488" s="242"/>
      <c r="AP488" s="242"/>
      <c r="AQ488" s="242"/>
      <c r="AR488" s="242"/>
      <c r="AS488" s="242"/>
      <c r="AU488" s="4"/>
    </row>
    <row r="489" spans="7:47" ht="24.75" customHeight="1" x14ac:dyDescent="0.75">
      <c r="G489" s="243"/>
      <c r="H489" s="244"/>
      <c r="I489" s="4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  <c r="AA489" s="242"/>
      <c r="AB489" s="242"/>
      <c r="AC489" s="242"/>
      <c r="AD489" s="242"/>
      <c r="AE489" s="242"/>
      <c r="AF489" s="242"/>
      <c r="AG489" s="242"/>
      <c r="AH489" s="242"/>
      <c r="AI489" s="242"/>
      <c r="AJ489" s="242"/>
      <c r="AK489" s="242"/>
      <c r="AL489" s="242"/>
      <c r="AM489" s="242"/>
      <c r="AN489" s="242"/>
      <c r="AO489" s="242"/>
      <c r="AP489" s="242"/>
      <c r="AQ489" s="242"/>
      <c r="AR489" s="242"/>
      <c r="AS489" s="242"/>
      <c r="AU489" s="4"/>
    </row>
    <row r="490" spans="7:47" ht="24.75" customHeight="1" x14ac:dyDescent="0.75">
      <c r="G490" s="243"/>
      <c r="H490" s="244"/>
      <c r="I490" s="4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  <c r="AA490" s="242"/>
      <c r="AB490" s="242"/>
      <c r="AC490" s="242"/>
      <c r="AD490" s="242"/>
      <c r="AE490" s="242"/>
      <c r="AF490" s="242"/>
      <c r="AG490" s="242"/>
      <c r="AH490" s="242"/>
      <c r="AI490" s="242"/>
      <c r="AJ490" s="242"/>
      <c r="AK490" s="242"/>
      <c r="AL490" s="242"/>
      <c r="AM490" s="242"/>
      <c r="AN490" s="242"/>
      <c r="AO490" s="242"/>
      <c r="AP490" s="242"/>
      <c r="AQ490" s="242"/>
      <c r="AR490" s="242"/>
      <c r="AS490" s="242"/>
      <c r="AU490" s="4"/>
    </row>
    <row r="491" spans="7:47" ht="24.75" customHeight="1" x14ac:dyDescent="0.75">
      <c r="G491" s="243"/>
      <c r="H491" s="244"/>
      <c r="I491" s="4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  <c r="AA491" s="242"/>
      <c r="AB491" s="242"/>
      <c r="AC491" s="242"/>
      <c r="AD491" s="242"/>
      <c r="AE491" s="242"/>
      <c r="AF491" s="242"/>
      <c r="AG491" s="242"/>
      <c r="AH491" s="242"/>
      <c r="AI491" s="242"/>
      <c r="AJ491" s="242"/>
      <c r="AK491" s="242"/>
      <c r="AL491" s="242"/>
      <c r="AM491" s="242"/>
      <c r="AN491" s="242"/>
      <c r="AO491" s="242"/>
      <c r="AP491" s="242"/>
      <c r="AQ491" s="242"/>
      <c r="AR491" s="242"/>
      <c r="AS491" s="242"/>
      <c r="AU491" s="4"/>
    </row>
    <row r="492" spans="7:47" ht="24.75" customHeight="1" x14ac:dyDescent="0.75">
      <c r="G492" s="243"/>
      <c r="H492" s="244"/>
      <c r="I492" s="4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  <c r="AA492" s="242"/>
      <c r="AB492" s="242"/>
      <c r="AC492" s="242"/>
      <c r="AD492" s="242"/>
      <c r="AE492" s="242"/>
      <c r="AF492" s="242"/>
      <c r="AG492" s="242"/>
      <c r="AH492" s="242"/>
      <c r="AI492" s="242"/>
      <c r="AJ492" s="242"/>
      <c r="AK492" s="242"/>
      <c r="AL492" s="242"/>
      <c r="AM492" s="242"/>
      <c r="AN492" s="242"/>
      <c r="AO492" s="242"/>
      <c r="AP492" s="242"/>
      <c r="AQ492" s="242"/>
      <c r="AR492" s="242"/>
      <c r="AS492" s="242"/>
      <c r="AU492" s="4"/>
    </row>
    <row r="493" spans="7:47" ht="24.75" customHeight="1" x14ac:dyDescent="0.75">
      <c r="G493" s="243"/>
      <c r="H493" s="244"/>
      <c r="I493" s="4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  <c r="AA493" s="242"/>
      <c r="AB493" s="242"/>
      <c r="AC493" s="242"/>
      <c r="AD493" s="242"/>
      <c r="AE493" s="242"/>
      <c r="AF493" s="242"/>
      <c r="AG493" s="242"/>
      <c r="AH493" s="242"/>
      <c r="AI493" s="242"/>
      <c r="AJ493" s="242"/>
      <c r="AK493" s="242"/>
      <c r="AL493" s="242"/>
      <c r="AM493" s="242"/>
      <c r="AN493" s="242"/>
      <c r="AO493" s="242"/>
      <c r="AP493" s="242"/>
      <c r="AQ493" s="242"/>
      <c r="AR493" s="242"/>
      <c r="AS493" s="242"/>
      <c r="AU493" s="4"/>
    </row>
    <row r="494" spans="7:47" ht="24.75" customHeight="1" x14ac:dyDescent="0.75">
      <c r="G494" s="243"/>
      <c r="H494" s="244"/>
      <c r="I494" s="4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  <c r="AA494" s="242"/>
      <c r="AB494" s="242"/>
      <c r="AC494" s="242"/>
      <c r="AD494" s="242"/>
      <c r="AE494" s="242"/>
      <c r="AF494" s="242"/>
      <c r="AG494" s="242"/>
      <c r="AH494" s="242"/>
      <c r="AI494" s="242"/>
      <c r="AJ494" s="242"/>
      <c r="AK494" s="242"/>
      <c r="AL494" s="242"/>
      <c r="AM494" s="242"/>
      <c r="AN494" s="242"/>
      <c r="AO494" s="242"/>
      <c r="AP494" s="242"/>
      <c r="AQ494" s="242"/>
      <c r="AR494" s="242"/>
      <c r="AS494" s="242"/>
      <c r="AU494" s="4"/>
    </row>
    <row r="495" spans="7:47" ht="24.75" customHeight="1" x14ac:dyDescent="0.75">
      <c r="G495" s="243"/>
      <c r="H495" s="244"/>
      <c r="I495" s="4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  <c r="AA495" s="242"/>
      <c r="AB495" s="242"/>
      <c r="AC495" s="242"/>
      <c r="AD495" s="242"/>
      <c r="AE495" s="242"/>
      <c r="AF495" s="242"/>
      <c r="AG495" s="242"/>
      <c r="AH495" s="242"/>
      <c r="AI495" s="242"/>
      <c r="AJ495" s="242"/>
      <c r="AK495" s="242"/>
      <c r="AL495" s="242"/>
      <c r="AM495" s="242"/>
      <c r="AN495" s="242"/>
      <c r="AO495" s="242"/>
      <c r="AP495" s="242"/>
      <c r="AQ495" s="242"/>
      <c r="AR495" s="242"/>
      <c r="AS495" s="242"/>
      <c r="AU495" s="4"/>
    </row>
    <row r="496" spans="7:47" ht="24.75" customHeight="1" x14ac:dyDescent="0.75">
      <c r="G496" s="243"/>
      <c r="H496" s="244"/>
      <c r="I496" s="4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  <c r="AA496" s="242"/>
      <c r="AB496" s="242"/>
      <c r="AC496" s="242"/>
      <c r="AD496" s="242"/>
      <c r="AE496" s="242"/>
      <c r="AF496" s="242"/>
      <c r="AG496" s="242"/>
      <c r="AH496" s="242"/>
      <c r="AI496" s="242"/>
      <c r="AJ496" s="242"/>
      <c r="AK496" s="242"/>
      <c r="AL496" s="242"/>
      <c r="AM496" s="242"/>
      <c r="AN496" s="242"/>
      <c r="AO496" s="242"/>
      <c r="AP496" s="242"/>
      <c r="AQ496" s="242"/>
      <c r="AR496" s="242"/>
      <c r="AS496" s="242"/>
      <c r="AU496" s="4"/>
    </row>
    <row r="497" spans="7:47" ht="24.75" customHeight="1" x14ac:dyDescent="0.75">
      <c r="G497" s="243"/>
      <c r="H497" s="244"/>
      <c r="I497" s="4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  <c r="AA497" s="242"/>
      <c r="AB497" s="242"/>
      <c r="AC497" s="242"/>
      <c r="AD497" s="242"/>
      <c r="AE497" s="242"/>
      <c r="AF497" s="242"/>
      <c r="AG497" s="242"/>
      <c r="AH497" s="242"/>
      <c r="AI497" s="242"/>
      <c r="AJ497" s="242"/>
      <c r="AK497" s="242"/>
      <c r="AL497" s="242"/>
      <c r="AM497" s="242"/>
      <c r="AN497" s="242"/>
      <c r="AO497" s="242"/>
      <c r="AP497" s="242"/>
      <c r="AQ497" s="242"/>
      <c r="AR497" s="242"/>
      <c r="AS497" s="242"/>
      <c r="AU497" s="4"/>
    </row>
    <row r="498" spans="7:47" ht="24.75" customHeight="1" x14ac:dyDescent="0.75">
      <c r="G498" s="243"/>
      <c r="H498" s="244"/>
      <c r="I498" s="4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  <c r="AA498" s="242"/>
      <c r="AB498" s="242"/>
      <c r="AC498" s="242"/>
      <c r="AD498" s="242"/>
      <c r="AE498" s="242"/>
      <c r="AF498" s="242"/>
      <c r="AG498" s="242"/>
      <c r="AH498" s="242"/>
      <c r="AI498" s="242"/>
      <c r="AJ498" s="242"/>
      <c r="AK498" s="242"/>
      <c r="AL498" s="242"/>
      <c r="AM498" s="242"/>
      <c r="AN498" s="242"/>
      <c r="AO498" s="242"/>
      <c r="AP498" s="242"/>
      <c r="AQ498" s="242"/>
      <c r="AR498" s="242"/>
      <c r="AS498" s="242"/>
      <c r="AU498" s="4"/>
    </row>
    <row r="499" spans="7:47" ht="24.75" customHeight="1" x14ac:dyDescent="0.75">
      <c r="G499" s="243"/>
      <c r="H499" s="244"/>
      <c r="I499" s="4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  <c r="AA499" s="242"/>
      <c r="AB499" s="242"/>
      <c r="AC499" s="242"/>
      <c r="AD499" s="242"/>
      <c r="AE499" s="242"/>
      <c r="AF499" s="242"/>
      <c r="AG499" s="242"/>
      <c r="AH499" s="242"/>
      <c r="AI499" s="242"/>
      <c r="AJ499" s="242"/>
      <c r="AK499" s="242"/>
      <c r="AL499" s="242"/>
      <c r="AM499" s="242"/>
      <c r="AN499" s="242"/>
      <c r="AO499" s="242"/>
      <c r="AP499" s="242"/>
      <c r="AQ499" s="242"/>
      <c r="AR499" s="242"/>
      <c r="AS499" s="242"/>
      <c r="AU499" s="4"/>
    </row>
    <row r="500" spans="7:47" ht="24.75" customHeight="1" x14ac:dyDescent="0.75">
      <c r="G500" s="243"/>
      <c r="H500" s="244"/>
      <c r="I500" s="4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  <c r="AA500" s="242"/>
      <c r="AB500" s="242"/>
      <c r="AC500" s="242"/>
      <c r="AD500" s="242"/>
      <c r="AE500" s="242"/>
      <c r="AF500" s="242"/>
      <c r="AG500" s="242"/>
      <c r="AH500" s="242"/>
      <c r="AI500" s="242"/>
      <c r="AJ500" s="242"/>
      <c r="AK500" s="242"/>
      <c r="AL500" s="242"/>
      <c r="AM500" s="242"/>
      <c r="AN500" s="242"/>
      <c r="AO500" s="242"/>
      <c r="AP500" s="242"/>
      <c r="AQ500" s="242"/>
      <c r="AR500" s="242"/>
      <c r="AS500" s="242"/>
      <c r="AU500" s="4"/>
    </row>
    <row r="501" spans="7:47" ht="24.75" customHeight="1" x14ac:dyDescent="0.75">
      <c r="G501" s="243"/>
      <c r="H501" s="244"/>
      <c r="I501" s="4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  <c r="AA501" s="242"/>
      <c r="AB501" s="242"/>
      <c r="AC501" s="242"/>
      <c r="AD501" s="242"/>
      <c r="AE501" s="242"/>
      <c r="AF501" s="242"/>
      <c r="AG501" s="242"/>
      <c r="AH501" s="242"/>
      <c r="AI501" s="242"/>
      <c r="AJ501" s="242"/>
      <c r="AK501" s="242"/>
      <c r="AL501" s="242"/>
      <c r="AM501" s="242"/>
      <c r="AN501" s="242"/>
      <c r="AO501" s="242"/>
      <c r="AP501" s="242"/>
      <c r="AQ501" s="242"/>
      <c r="AR501" s="242"/>
      <c r="AS501" s="242"/>
      <c r="AU501" s="4"/>
    </row>
    <row r="502" spans="7:47" ht="24.75" customHeight="1" x14ac:dyDescent="0.75">
      <c r="G502" s="243"/>
      <c r="H502" s="244"/>
      <c r="I502" s="4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  <c r="AA502" s="242"/>
      <c r="AB502" s="242"/>
      <c r="AC502" s="242"/>
      <c r="AD502" s="242"/>
      <c r="AE502" s="242"/>
      <c r="AF502" s="242"/>
      <c r="AG502" s="242"/>
      <c r="AH502" s="242"/>
      <c r="AI502" s="242"/>
      <c r="AJ502" s="242"/>
      <c r="AK502" s="242"/>
      <c r="AL502" s="242"/>
      <c r="AM502" s="242"/>
      <c r="AN502" s="242"/>
      <c r="AO502" s="242"/>
      <c r="AP502" s="242"/>
      <c r="AQ502" s="242"/>
      <c r="AR502" s="242"/>
      <c r="AS502" s="242"/>
      <c r="AU502" s="4"/>
    </row>
    <row r="503" spans="7:47" ht="24.75" customHeight="1" x14ac:dyDescent="0.75">
      <c r="G503" s="243"/>
      <c r="H503" s="244"/>
      <c r="I503" s="4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  <c r="AA503" s="242"/>
      <c r="AB503" s="242"/>
      <c r="AC503" s="242"/>
      <c r="AD503" s="242"/>
      <c r="AE503" s="242"/>
      <c r="AF503" s="242"/>
      <c r="AG503" s="242"/>
      <c r="AH503" s="242"/>
      <c r="AI503" s="242"/>
      <c r="AJ503" s="242"/>
      <c r="AK503" s="242"/>
      <c r="AL503" s="242"/>
      <c r="AM503" s="242"/>
      <c r="AN503" s="242"/>
      <c r="AO503" s="242"/>
      <c r="AP503" s="242"/>
      <c r="AQ503" s="242"/>
      <c r="AR503" s="242"/>
      <c r="AS503" s="242"/>
      <c r="AU503" s="4"/>
    </row>
    <row r="504" spans="7:47" ht="24.75" customHeight="1" x14ac:dyDescent="0.75">
      <c r="G504" s="243"/>
      <c r="H504" s="244"/>
      <c r="I504" s="4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  <c r="AA504" s="242"/>
      <c r="AB504" s="242"/>
      <c r="AC504" s="242"/>
      <c r="AD504" s="242"/>
      <c r="AE504" s="242"/>
      <c r="AF504" s="242"/>
      <c r="AG504" s="242"/>
      <c r="AH504" s="242"/>
      <c r="AI504" s="242"/>
      <c r="AJ504" s="242"/>
      <c r="AK504" s="242"/>
      <c r="AL504" s="242"/>
      <c r="AM504" s="242"/>
      <c r="AN504" s="242"/>
      <c r="AO504" s="242"/>
      <c r="AP504" s="242"/>
      <c r="AQ504" s="242"/>
      <c r="AR504" s="242"/>
      <c r="AS504" s="242"/>
      <c r="AU504" s="4"/>
    </row>
    <row r="505" spans="7:47" ht="24.75" customHeight="1" x14ac:dyDescent="0.75">
      <c r="G505" s="243"/>
      <c r="H505" s="244"/>
      <c r="I505" s="4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  <c r="AA505" s="242"/>
      <c r="AB505" s="242"/>
      <c r="AC505" s="242"/>
      <c r="AD505" s="242"/>
      <c r="AE505" s="242"/>
      <c r="AF505" s="242"/>
      <c r="AG505" s="242"/>
      <c r="AH505" s="242"/>
      <c r="AI505" s="242"/>
      <c r="AJ505" s="242"/>
      <c r="AK505" s="242"/>
      <c r="AL505" s="242"/>
      <c r="AM505" s="242"/>
      <c r="AN505" s="242"/>
      <c r="AO505" s="242"/>
      <c r="AP505" s="242"/>
      <c r="AQ505" s="242"/>
      <c r="AR505" s="242"/>
      <c r="AS505" s="242"/>
      <c r="AU505" s="4"/>
    </row>
    <row r="506" spans="7:47" ht="24.75" customHeight="1" x14ac:dyDescent="0.75">
      <c r="G506" s="243"/>
      <c r="H506" s="244"/>
      <c r="I506" s="4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  <c r="AA506" s="242"/>
      <c r="AB506" s="242"/>
      <c r="AC506" s="242"/>
      <c r="AD506" s="242"/>
      <c r="AE506" s="242"/>
      <c r="AF506" s="242"/>
      <c r="AG506" s="242"/>
      <c r="AH506" s="242"/>
      <c r="AI506" s="242"/>
      <c r="AJ506" s="242"/>
      <c r="AK506" s="242"/>
      <c r="AL506" s="242"/>
      <c r="AM506" s="242"/>
      <c r="AN506" s="242"/>
      <c r="AO506" s="242"/>
      <c r="AP506" s="242"/>
      <c r="AQ506" s="242"/>
      <c r="AR506" s="242"/>
      <c r="AS506" s="242"/>
      <c r="AU506" s="4"/>
    </row>
    <row r="507" spans="7:47" ht="24.75" customHeight="1" x14ac:dyDescent="0.75">
      <c r="G507" s="243"/>
      <c r="H507" s="244"/>
      <c r="I507" s="4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  <c r="AA507" s="242"/>
      <c r="AB507" s="242"/>
      <c r="AC507" s="242"/>
      <c r="AD507" s="242"/>
      <c r="AE507" s="242"/>
      <c r="AF507" s="242"/>
      <c r="AG507" s="242"/>
      <c r="AH507" s="242"/>
      <c r="AI507" s="242"/>
      <c r="AJ507" s="242"/>
      <c r="AK507" s="242"/>
      <c r="AL507" s="242"/>
      <c r="AM507" s="242"/>
      <c r="AN507" s="242"/>
      <c r="AO507" s="242"/>
      <c r="AP507" s="242"/>
      <c r="AQ507" s="242"/>
      <c r="AR507" s="242"/>
      <c r="AS507" s="242"/>
      <c r="AU507" s="4"/>
    </row>
    <row r="508" spans="7:47" ht="24.75" customHeight="1" x14ac:dyDescent="0.75">
      <c r="G508" s="243"/>
      <c r="H508" s="244"/>
      <c r="I508" s="4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  <c r="AA508" s="242"/>
      <c r="AB508" s="242"/>
      <c r="AC508" s="242"/>
      <c r="AD508" s="242"/>
      <c r="AE508" s="242"/>
      <c r="AF508" s="242"/>
      <c r="AG508" s="242"/>
      <c r="AH508" s="242"/>
      <c r="AI508" s="242"/>
      <c r="AJ508" s="242"/>
      <c r="AK508" s="242"/>
      <c r="AL508" s="242"/>
      <c r="AM508" s="242"/>
      <c r="AN508" s="242"/>
      <c r="AO508" s="242"/>
      <c r="AP508" s="242"/>
      <c r="AQ508" s="242"/>
      <c r="AR508" s="242"/>
      <c r="AS508" s="242"/>
      <c r="AU508" s="4"/>
    </row>
    <row r="509" spans="7:47" ht="24.75" customHeight="1" x14ac:dyDescent="0.75">
      <c r="G509" s="243"/>
      <c r="H509" s="244"/>
      <c r="I509" s="4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  <c r="AA509" s="242"/>
      <c r="AB509" s="242"/>
      <c r="AC509" s="242"/>
      <c r="AD509" s="242"/>
      <c r="AE509" s="242"/>
      <c r="AF509" s="242"/>
      <c r="AG509" s="242"/>
      <c r="AH509" s="242"/>
      <c r="AI509" s="242"/>
      <c r="AJ509" s="242"/>
      <c r="AK509" s="242"/>
      <c r="AL509" s="242"/>
      <c r="AM509" s="242"/>
      <c r="AN509" s="242"/>
      <c r="AO509" s="242"/>
      <c r="AP509" s="242"/>
      <c r="AQ509" s="242"/>
      <c r="AR509" s="242"/>
      <c r="AS509" s="242"/>
      <c r="AU509" s="4"/>
    </row>
    <row r="510" spans="7:47" ht="24.75" customHeight="1" x14ac:dyDescent="0.75">
      <c r="G510" s="243"/>
      <c r="H510" s="244"/>
      <c r="I510" s="4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  <c r="AA510" s="242"/>
      <c r="AB510" s="242"/>
      <c r="AC510" s="242"/>
      <c r="AD510" s="242"/>
      <c r="AE510" s="242"/>
      <c r="AF510" s="242"/>
      <c r="AG510" s="242"/>
      <c r="AH510" s="242"/>
      <c r="AI510" s="242"/>
      <c r="AJ510" s="242"/>
      <c r="AK510" s="242"/>
      <c r="AL510" s="242"/>
      <c r="AM510" s="242"/>
      <c r="AN510" s="242"/>
      <c r="AO510" s="242"/>
      <c r="AP510" s="242"/>
      <c r="AQ510" s="242"/>
      <c r="AR510" s="242"/>
      <c r="AS510" s="242"/>
      <c r="AU510" s="4"/>
    </row>
    <row r="511" spans="7:47" ht="24.75" customHeight="1" x14ac:dyDescent="0.75">
      <c r="G511" s="243"/>
      <c r="H511" s="244"/>
      <c r="I511" s="4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  <c r="AA511" s="242"/>
      <c r="AB511" s="242"/>
      <c r="AC511" s="242"/>
      <c r="AD511" s="242"/>
      <c r="AE511" s="242"/>
      <c r="AF511" s="242"/>
      <c r="AG511" s="242"/>
      <c r="AH511" s="242"/>
      <c r="AI511" s="242"/>
      <c r="AJ511" s="242"/>
      <c r="AK511" s="242"/>
      <c r="AL511" s="242"/>
      <c r="AM511" s="242"/>
      <c r="AN511" s="242"/>
      <c r="AO511" s="242"/>
      <c r="AP511" s="242"/>
      <c r="AQ511" s="242"/>
      <c r="AR511" s="242"/>
      <c r="AS511" s="242"/>
      <c r="AU511" s="4"/>
    </row>
    <row r="512" spans="7:47" ht="24.75" customHeight="1" x14ac:dyDescent="0.75">
      <c r="G512" s="243"/>
      <c r="H512" s="244"/>
      <c r="I512" s="4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  <c r="AA512" s="242"/>
      <c r="AB512" s="242"/>
      <c r="AC512" s="242"/>
      <c r="AD512" s="242"/>
      <c r="AE512" s="242"/>
      <c r="AF512" s="242"/>
      <c r="AG512" s="242"/>
      <c r="AH512" s="242"/>
      <c r="AI512" s="242"/>
      <c r="AJ512" s="242"/>
      <c r="AK512" s="242"/>
      <c r="AL512" s="242"/>
      <c r="AM512" s="242"/>
      <c r="AN512" s="242"/>
      <c r="AO512" s="242"/>
      <c r="AP512" s="242"/>
      <c r="AQ512" s="242"/>
      <c r="AR512" s="242"/>
      <c r="AS512" s="242"/>
      <c r="AU512" s="4"/>
    </row>
    <row r="513" spans="7:47" ht="24.75" customHeight="1" x14ac:dyDescent="0.75">
      <c r="G513" s="243"/>
      <c r="H513" s="244"/>
      <c r="I513" s="4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  <c r="AA513" s="242"/>
      <c r="AB513" s="242"/>
      <c r="AC513" s="242"/>
      <c r="AD513" s="242"/>
      <c r="AE513" s="242"/>
      <c r="AF513" s="242"/>
      <c r="AG513" s="242"/>
      <c r="AH513" s="242"/>
      <c r="AI513" s="242"/>
      <c r="AJ513" s="242"/>
      <c r="AK513" s="242"/>
      <c r="AL513" s="242"/>
      <c r="AM513" s="242"/>
      <c r="AN513" s="242"/>
      <c r="AO513" s="242"/>
      <c r="AP513" s="242"/>
      <c r="AQ513" s="242"/>
      <c r="AR513" s="242"/>
      <c r="AS513" s="242"/>
      <c r="AU513" s="4"/>
    </row>
    <row r="514" spans="7:47" ht="24.75" customHeight="1" x14ac:dyDescent="0.75">
      <c r="G514" s="243"/>
      <c r="H514" s="244"/>
      <c r="I514" s="4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  <c r="AA514" s="242"/>
      <c r="AB514" s="242"/>
      <c r="AC514" s="242"/>
      <c r="AD514" s="242"/>
      <c r="AE514" s="242"/>
      <c r="AF514" s="242"/>
      <c r="AG514" s="242"/>
      <c r="AH514" s="242"/>
      <c r="AI514" s="242"/>
      <c r="AJ514" s="242"/>
      <c r="AK514" s="242"/>
      <c r="AL514" s="242"/>
      <c r="AM514" s="242"/>
      <c r="AN514" s="242"/>
      <c r="AO514" s="242"/>
      <c r="AP514" s="242"/>
      <c r="AQ514" s="242"/>
      <c r="AR514" s="242"/>
      <c r="AS514" s="242"/>
      <c r="AU514" s="4"/>
    </row>
    <row r="515" spans="7:47" ht="24.75" customHeight="1" x14ac:dyDescent="0.75">
      <c r="G515" s="243"/>
      <c r="H515" s="244"/>
      <c r="I515" s="4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  <c r="AA515" s="242"/>
      <c r="AB515" s="242"/>
      <c r="AC515" s="242"/>
      <c r="AD515" s="242"/>
      <c r="AE515" s="242"/>
      <c r="AF515" s="242"/>
      <c r="AG515" s="242"/>
      <c r="AH515" s="242"/>
      <c r="AI515" s="242"/>
      <c r="AJ515" s="242"/>
      <c r="AK515" s="242"/>
      <c r="AL515" s="242"/>
      <c r="AM515" s="242"/>
      <c r="AN515" s="242"/>
      <c r="AO515" s="242"/>
      <c r="AP515" s="242"/>
      <c r="AQ515" s="242"/>
      <c r="AR515" s="242"/>
      <c r="AS515" s="242"/>
      <c r="AU515" s="4"/>
    </row>
    <row r="516" spans="7:47" ht="24.75" customHeight="1" x14ac:dyDescent="0.75">
      <c r="G516" s="243"/>
      <c r="H516" s="244"/>
      <c r="I516" s="4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  <c r="AA516" s="242"/>
      <c r="AB516" s="242"/>
      <c r="AC516" s="242"/>
      <c r="AD516" s="242"/>
      <c r="AE516" s="242"/>
      <c r="AF516" s="242"/>
      <c r="AG516" s="242"/>
      <c r="AH516" s="242"/>
      <c r="AI516" s="242"/>
      <c r="AJ516" s="242"/>
      <c r="AK516" s="242"/>
      <c r="AL516" s="242"/>
      <c r="AM516" s="242"/>
      <c r="AN516" s="242"/>
      <c r="AO516" s="242"/>
      <c r="AP516" s="242"/>
      <c r="AQ516" s="242"/>
      <c r="AR516" s="242"/>
      <c r="AS516" s="242"/>
      <c r="AU516" s="4"/>
    </row>
    <row r="517" spans="7:47" ht="24.75" customHeight="1" x14ac:dyDescent="0.75">
      <c r="G517" s="243"/>
      <c r="H517" s="244"/>
      <c r="I517" s="4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  <c r="AA517" s="242"/>
      <c r="AB517" s="242"/>
      <c r="AC517" s="242"/>
      <c r="AD517" s="242"/>
      <c r="AE517" s="242"/>
      <c r="AF517" s="242"/>
      <c r="AG517" s="242"/>
      <c r="AH517" s="242"/>
      <c r="AI517" s="242"/>
      <c r="AJ517" s="242"/>
      <c r="AK517" s="242"/>
      <c r="AL517" s="242"/>
      <c r="AM517" s="242"/>
      <c r="AN517" s="242"/>
      <c r="AO517" s="242"/>
      <c r="AP517" s="242"/>
      <c r="AQ517" s="242"/>
      <c r="AR517" s="242"/>
      <c r="AS517" s="242"/>
      <c r="AU517" s="4"/>
    </row>
    <row r="518" spans="7:47" ht="24.75" customHeight="1" x14ac:dyDescent="0.75">
      <c r="G518" s="243"/>
      <c r="H518" s="244"/>
      <c r="I518" s="4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  <c r="AA518" s="242"/>
      <c r="AB518" s="242"/>
      <c r="AC518" s="242"/>
      <c r="AD518" s="242"/>
      <c r="AE518" s="242"/>
      <c r="AF518" s="242"/>
      <c r="AG518" s="242"/>
      <c r="AH518" s="242"/>
      <c r="AI518" s="242"/>
      <c r="AJ518" s="242"/>
      <c r="AK518" s="242"/>
      <c r="AL518" s="242"/>
      <c r="AM518" s="242"/>
      <c r="AN518" s="242"/>
      <c r="AO518" s="242"/>
      <c r="AP518" s="242"/>
      <c r="AQ518" s="242"/>
      <c r="AR518" s="242"/>
      <c r="AS518" s="242"/>
      <c r="AU518" s="4"/>
    </row>
    <row r="519" spans="7:47" ht="24.75" customHeight="1" x14ac:dyDescent="0.75">
      <c r="G519" s="243"/>
      <c r="H519" s="244"/>
      <c r="I519" s="4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  <c r="AA519" s="242"/>
      <c r="AB519" s="242"/>
      <c r="AC519" s="242"/>
      <c r="AD519" s="242"/>
      <c r="AE519" s="242"/>
      <c r="AF519" s="242"/>
      <c r="AG519" s="242"/>
      <c r="AH519" s="242"/>
      <c r="AI519" s="242"/>
      <c r="AJ519" s="242"/>
      <c r="AK519" s="242"/>
      <c r="AL519" s="242"/>
      <c r="AM519" s="242"/>
      <c r="AN519" s="242"/>
      <c r="AO519" s="242"/>
      <c r="AP519" s="242"/>
      <c r="AQ519" s="242"/>
      <c r="AR519" s="242"/>
      <c r="AS519" s="242"/>
      <c r="AU519" s="4"/>
    </row>
    <row r="520" spans="7:47" ht="24.75" customHeight="1" x14ac:dyDescent="0.75">
      <c r="G520" s="243"/>
      <c r="H520" s="244"/>
      <c r="I520" s="4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  <c r="AA520" s="242"/>
      <c r="AB520" s="242"/>
      <c r="AC520" s="242"/>
      <c r="AD520" s="242"/>
      <c r="AE520" s="242"/>
      <c r="AF520" s="242"/>
      <c r="AG520" s="242"/>
      <c r="AH520" s="242"/>
      <c r="AI520" s="242"/>
      <c r="AJ520" s="242"/>
      <c r="AK520" s="242"/>
      <c r="AL520" s="242"/>
      <c r="AM520" s="242"/>
      <c r="AN520" s="242"/>
      <c r="AO520" s="242"/>
      <c r="AP520" s="242"/>
      <c r="AQ520" s="242"/>
      <c r="AR520" s="242"/>
      <c r="AS520" s="242"/>
      <c r="AU520" s="4"/>
    </row>
    <row r="521" spans="7:47" ht="24.75" customHeight="1" x14ac:dyDescent="0.75">
      <c r="G521" s="243"/>
      <c r="H521" s="244"/>
      <c r="I521" s="4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  <c r="AA521" s="242"/>
      <c r="AB521" s="242"/>
      <c r="AC521" s="242"/>
      <c r="AD521" s="242"/>
      <c r="AE521" s="242"/>
      <c r="AF521" s="242"/>
      <c r="AG521" s="242"/>
      <c r="AH521" s="242"/>
      <c r="AI521" s="242"/>
      <c r="AJ521" s="242"/>
      <c r="AK521" s="242"/>
      <c r="AL521" s="242"/>
      <c r="AM521" s="242"/>
      <c r="AN521" s="242"/>
      <c r="AO521" s="242"/>
      <c r="AP521" s="242"/>
      <c r="AQ521" s="242"/>
      <c r="AR521" s="242"/>
      <c r="AS521" s="242"/>
      <c r="AU521" s="4"/>
    </row>
    <row r="522" spans="7:47" ht="24.75" customHeight="1" x14ac:dyDescent="0.75">
      <c r="G522" s="243"/>
      <c r="H522" s="244"/>
      <c r="I522" s="4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  <c r="AA522" s="242"/>
      <c r="AB522" s="242"/>
      <c r="AC522" s="242"/>
      <c r="AD522" s="242"/>
      <c r="AE522" s="242"/>
      <c r="AF522" s="242"/>
      <c r="AG522" s="242"/>
      <c r="AH522" s="242"/>
      <c r="AI522" s="242"/>
      <c r="AJ522" s="242"/>
      <c r="AK522" s="242"/>
      <c r="AL522" s="242"/>
      <c r="AM522" s="242"/>
      <c r="AN522" s="242"/>
      <c r="AO522" s="242"/>
      <c r="AP522" s="242"/>
      <c r="AQ522" s="242"/>
      <c r="AR522" s="242"/>
      <c r="AS522" s="242"/>
      <c r="AU522" s="4"/>
    </row>
    <row r="523" spans="7:47" ht="24.75" customHeight="1" x14ac:dyDescent="0.75">
      <c r="G523" s="243"/>
      <c r="H523" s="244"/>
      <c r="I523" s="4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  <c r="AA523" s="242"/>
      <c r="AB523" s="242"/>
      <c r="AC523" s="242"/>
      <c r="AD523" s="242"/>
      <c r="AE523" s="242"/>
      <c r="AF523" s="242"/>
      <c r="AG523" s="242"/>
      <c r="AH523" s="242"/>
      <c r="AI523" s="242"/>
      <c r="AJ523" s="242"/>
      <c r="AK523" s="242"/>
      <c r="AL523" s="242"/>
      <c r="AM523" s="242"/>
      <c r="AN523" s="242"/>
      <c r="AO523" s="242"/>
      <c r="AP523" s="242"/>
      <c r="AQ523" s="242"/>
      <c r="AR523" s="242"/>
      <c r="AS523" s="242"/>
      <c r="AU523" s="4"/>
    </row>
    <row r="524" spans="7:47" ht="24.75" customHeight="1" x14ac:dyDescent="0.75">
      <c r="G524" s="243"/>
      <c r="H524" s="244"/>
      <c r="I524" s="4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  <c r="AA524" s="242"/>
      <c r="AB524" s="242"/>
      <c r="AC524" s="242"/>
      <c r="AD524" s="242"/>
      <c r="AE524" s="242"/>
      <c r="AF524" s="242"/>
      <c r="AG524" s="242"/>
      <c r="AH524" s="242"/>
      <c r="AI524" s="242"/>
      <c r="AJ524" s="242"/>
      <c r="AK524" s="242"/>
      <c r="AL524" s="242"/>
      <c r="AM524" s="242"/>
      <c r="AN524" s="242"/>
      <c r="AO524" s="242"/>
      <c r="AP524" s="242"/>
      <c r="AQ524" s="242"/>
      <c r="AR524" s="242"/>
      <c r="AS524" s="242"/>
      <c r="AU524" s="4"/>
    </row>
    <row r="525" spans="7:47" ht="24.75" customHeight="1" x14ac:dyDescent="0.75">
      <c r="G525" s="243"/>
      <c r="H525" s="244"/>
      <c r="I525" s="4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  <c r="AA525" s="242"/>
      <c r="AB525" s="242"/>
      <c r="AC525" s="242"/>
      <c r="AD525" s="242"/>
      <c r="AE525" s="242"/>
      <c r="AF525" s="242"/>
      <c r="AG525" s="242"/>
      <c r="AH525" s="242"/>
      <c r="AI525" s="242"/>
      <c r="AJ525" s="242"/>
      <c r="AK525" s="242"/>
      <c r="AL525" s="242"/>
      <c r="AM525" s="242"/>
      <c r="AN525" s="242"/>
      <c r="AO525" s="242"/>
      <c r="AP525" s="242"/>
      <c r="AQ525" s="242"/>
      <c r="AR525" s="242"/>
      <c r="AS525" s="242"/>
      <c r="AU525" s="4"/>
    </row>
    <row r="526" spans="7:47" ht="24.75" customHeight="1" x14ac:dyDescent="0.75">
      <c r="G526" s="243"/>
      <c r="H526" s="244"/>
      <c r="I526" s="4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  <c r="AA526" s="242"/>
      <c r="AB526" s="242"/>
      <c r="AC526" s="242"/>
      <c r="AD526" s="242"/>
      <c r="AE526" s="242"/>
      <c r="AF526" s="242"/>
      <c r="AG526" s="242"/>
      <c r="AH526" s="242"/>
      <c r="AI526" s="242"/>
      <c r="AJ526" s="242"/>
      <c r="AK526" s="242"/>
      <c r="AL526" s="242"/>
      <c r="AM526" s="242"/>
      <c r="AN526" s="242"/>
      <c r="AO526" s="242"/>
      <c r="AP526" s="242"/>
      <c r="AQ526" s="242"/>
      <c r="AR526" s="242"/>
      <c r="AS526" s="242"/>
      <c r="AU526" s="4"/>
    </row>
    <row r="527" spans="7:47" ht="24.75" customHeight="1" x14ac:dyDescent="0.75">
      <c r="G527" s="243"/>
      <c r="H527" s="244"/>
      <c r="I527" s="4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  <c r="AA527" s="242"/>
      <c r="AB527" s="242"/>
      <c r="AC527" s="242"/>
      <c r="AD527" s="242"/>
      <c r="AE527" s="242"/>
      <c r="AF527" s="242"/>
      <c r="AG527" s="242"/>
      <c r="AH527" s="242"/>
      <c r="AI527" s="242"/>
      <c r="AJ527" s="242"/>
      <c r="AK527" s="242"/>
      <c r="AL527" s="242"/>
      <c r="AM527" s="242"/>
      <c r="AN527" s="242"/>
      <c r="AO527" s="242"/>
      <c r="AP527" s="242"/>
      <c r="AQ527" s="242"/>
      <c r="AR527" s="242"/>
      <c r="AS527" s="242"/>
      <c r="AU527" s="4"/>
    </row>
    <row r="528" spans="7:47" ht="24.75" customHeight="1" x14ac:dyDescent="0.75">
      <c r="G528" s="243"/>
      <c r="H528" s="244"/>
      <c r="I528" s="4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  <c r="AA528" s="242"/>
      <c r="AB528" s="242"/>
      <c r="AC528" s="242"/>
      <c r="AD528" s="242"/>
      <c r="AE528" s="242"/>
      <c r="AF528" s="242"/>
      <c r="AG528" s="242"/>
      <c r="AH528" s="242"/>
      <c r="AI528" s="242"/>
      <c r="AJ528" s="242"/>
      <c r="AK528" s="242"/>
      <c r="AL528" s="242"/>
      <c r="AM528" s="242"/>
      <c r="AN528" s="242"/>
      <c r="AO528" s="242"/>
      <c r="AP528" s="242"/>
      <c r="AQ528" s="242"/>
      <c r="AR528" s="242"/>
      <c r="AS528" s="242"/>
      <c r="AU528" s="4"/>
    </row>
    <row r="529" spans="7:47" ht="24.75" customHeight="1" x14ac:dyDescent="0.75">
      <c r="G529" s="243"/>
      <c r="H529" s="244"/>
      <c r="I529" s="4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  <c r="AA529" s="242"/>
      <c r="AB529" s="242"/>
      <c r="AC529" s="242"/>
      <c r="AD529" s="242"/>
      <c r="AE529" s="242"/>
      <c r="AF529" s="242"/>
      <c r="AG529" s="242"/>
      <c r="AH529" s="242"/>
      <c r="AI529" s="242"/>
      <c r="AJ529" s="242"/>
      <c r="AK529" s="242"/>
      <c r="AL529" s="242"/>
      <c r="AM529" s="242"/>
      <c r="AN529" s="242"/>
      <c r="AO529" s="242"/>
      <c r="AP529" s="242"/>
      <c r="AQ529" s="242"/>
      <c r="AR529" s="242"/>
      <c r="AS529" s="242"/>
      <c r="AU529" s="4"/>
    </row>
    <row r="530" spans="7:47" ht="24.75" customHeight="1" x14ac:dyDescent="0.75">
      <c r="G530" s="243"/>
      <c r="H530" s="244"/>
      <c r="I530" s="4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  <c r="AA530" s="242"/>
      <c r="AB530" s="242"/>
      <c r="AC530" s="242"/>
      <c r="AD530" s="242"/>
      <c r="AE530" s="242"/>
      <c r="AF530" s="242"/>
      <c r="AG530" s="242"/>
      <c r="AH530" s="242"/>
      <c r="AI530" s="242"/>
      <c r="AJ530" s="242"/>
      <c r="AK530" s="242"/>
      <c r="AL530" s="242"/>
      <c r="AM530" s="242"/>
      <c r="AN530" s="242"/>
      <c r="AO530" s="242"/>
      <c r="AP530" s="242"/>
      <c r="AQ530" s="242"/>
      <c r="AR530" s="242"/>
      <c r="AS530" s="242"/>
      <c r="AU530" s="4"/>
    </row>
    <row r="531" spans="7:47" ht="24.75" customHeight="1" x14ac:dyDescent="0.75">
      <c r="G531" s="243"/>
      <c r="H531" s="244"/>
      <c r="I531" s="4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  <c r="AA531" s="242"/>
      <c r="AB531" s="242"/>
      <c r="AC531" s="242"/>
      <c r="AD531" s="242"/>
      <c r="AE531" s="242"/>
      <c r="AF531" s="242"/>
      <c r="AG531" s="242"/>
      <c r="AH531" s="242"/>
      <c r="AI531" s="242"/>
      <c r="AJ531" s="242"/>
      <c r="AK531" s="242"/>
      <c r="AL531" s="242"/>
      <c r="AM531" s="242"/>
      <c r="AN531" s="242"/>
      <c r="AO531" s="242"/>
      <c r="AP531" s="242"/>
      <c r="AQ531" s="242"/>
      <c r="AR531" s="242"/>
      <c r="AS531" s="242"/>
      <c r="AU531" s="4"/>
    </row>
    <row r="532" spans="7:47" ht="24.75" customHeight="1" x14ac:dyDescent="0.75">
      <c r="G532" s="243"/>
      <c r="H532" s="244"/>
      <c r="I532" s="4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  <c r="AA532" s="242"/>
      <c r="AB532" s="242"/>
      <c r="AC532" s="242"/>
      <c r="AD532" s="242"/>
      <c r="AE532" s="242"/>
      <c r="AF532" s="242"/>
      <c r="AG532" s="242"/>
      <c r="AH532" s="242"/>
      <c r="AI532" s="242"/>
      <c r="AJ532" s="242"/>
      <c r="AK532" s="242"/>
      <c r="AL532" s="242"/>
      <c r="AM532" s="242"/>
      <c r="AN532" s="242"/>
      <c r="AO532" s="242"/>
      <c r="AP532" s="242"/>
      <c r="AQ532" s="242"/>
      <c r="AR532" s="242"/>
      <c r="AS532" s="242"/>
      <c r="AU532" s="4"/>
    </row>
    <row r="533" spans="7:47" ht="24.75" customHeight="1" x14ac:dyDescent="0.75">
      <c r="G533" s="243"/>
      <c r="H533" s="244"/>
      <c r="I533" s="4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  <c r="AA533" s="242"/>
      <c r="AB533" s="242"/>
      <c r="AC533" s="242"/>
      <c r="AD533" s="242"/>
      <c r="AE533" s="242"/>
      <c r="AF533" s="242"/>
      <c r="AG533" s="242"/>
      <c r="AH533" s="242"/>
      <c r="AI533" s="242"/>
      <c r="AJ533" s="242"/>
      <c r="AK533" s="242"/>
      <c r="AL533" s="242"/>
      <c r="AM533" s="242"/>
      <c r="AN533" s="242"/>
      <c r="AO533" s="242"/>
      <c r="AP533" s="242"/>
      <c r="AQ533" s="242"/>
      <c r="AR533" s="242"/>
      <c r="AS533" s="242"/>
      <c r="AU533" s="4"/>
    </row>
    <row r="534" spans="7:47" ht="24.75" customHeight="1" x14ac:dyDescent="0.75">
      <c r="G534" s="243"/>
      <c r="H534" s="244"/>
      <c r="I534" s="4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  <c r="AA534" s="242"/>
      <c r="AB534" s="242"/>
      <c r="AC534" s="242"/>
      <c r="AD534" s="242"/>
      <c r="AE534" s="242"/>
      <c r="AF534" s="242"/>
      <c r="AG534" s="242"/>
      <c r="AH534" s="242"/>
      <c r="AI534" s="242"/>
      <c r="AJ534" s="242"/>
      <c r="AK534" s="242"/>
      <c r="AL534" s="242"/>
      <c r="AM534" s="242"/>
      <c r="AN534" s="242"/>
      <c r="AO534" s="242"/>
      <c r="AP534" s="242"/>
      <c r="AQ534" s="242"/>
      <c r="AR534" s="242"/>
      <c r="AS534" s="242"/>
      <c r="AU534" s="4"/>
    </row>
    <row r="535" spans="7:47" ht="24.75" customHeight="1" x14ac:dyDescent="0.75">
      <c r="G535" s="243"/>
      <c r="H535" s="244"/>
      <c r="I535" s="4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  <c r="AA535" s="242"/>
      <c r="AB535" s="242"/>
      <c r="AC535" s="242"/>
      <c r="AD535" s="242"/>
      <c r="AE535" s="242"/>
      <c r="AF535" s="242"/>
      <c r="AG535" s="242"/>
      <c r="AH535" s="242"/>
      <c r="AI535" s="242"/>
      <c r="AJ535" s="242"/>
      <c r="AK535" s="242"/>
      <c r="AL535" s="242"/>
      <c r="AM535" s="242"/>
      <c r="AN535" s="242"/>
      <c r="AO535" s="242"/>
      <c r="AP535" s="242"/>
      <c r="AQ535" s="242"/>
      <c r="AR535" s="242"/>
      <c r="AS535" s="242"/>
      <c r="AU535" s="4"/>
    </row>
    <row r="536" spans="7:47" ht="24.75" customHeight="1" x14ac:dyDescent="0.75">
      <c r="G536" s="243"/>
      <c r="H536" s="244"/>
      <c r="I536" s="4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  <c r="AA536" s="242"/>
      <c r="AB536" s="242"/>
      <c r="AC536" s="242"/>
      <c r="AD536" s="242"/>
      <c r="AE536" s="242"/>
      <c r="AF536" s="242"/>
      <c r="AG536" s="242"/>
      <c r="AH536" s="242"/>
      <c r="AI536" s="242"/>
      <c r="AJ536" s="242"/>
      <c r="AK536" s="242"/>
      <c r="AL536" s="242"/>
      <c r="AM536" s="242"/>
      <c r="AN536" s="242"/>
      <c r="AO536" s="242"/>
      <c r="AP536" s="242"/>
      <c r="AQ536" s="242"/>
      <c r="AR536" s="242"/>
      <c r="AS536" s="242"/>
      <c r="AU536" s="4"/>
    </row>
    <row r="537" spans="7:47" ht="24.75" customHeight="1" x14ac:dyDescent="0.75">
      <c r="G537" s="243"/>
      <c r="H537" s="244"/>
      <c r="I537" s="4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  <c r="AA537" s="242"/>
      <c r="AB537" s="242"/>
      <c r="AC537" s="242"/>
      <c r="AD537" s="242"/>
      <c r="AE537" s="242"/>
      <c r="AF537" s="242"/>
      <c r="AG537" s="242"/>
      <c r="AH537" s="242"/>
      <c r="AI537" s="242"/>
      <c r="AJ537" s="242"/>
      <c r="AK537" s="242"/>
      <c r="AL537" s="242"/>
      <c r="AM537" s="242"/>
      <c r="AN537" s="242"/>
      <c r="AO537" s="242"/>
      <c r="AP537" s="242"/>
      <c r="AQ537" s="242"/>
      <c r="AR537" s="242"/>
      <c r="AS537" s="242"/>
      <c r="AU537" s="4"/>
    </row>
    <row r="538" spans="7:47" ht="24.75" customHeight="1" x14ac:dyDescent="0.75">
      <c r="G538" s="243"/>
      <c r="H538" s="244"/>
      <c r="I538" s="4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  <c r="AA538" s="242"/>
      <c r="AB538" s="242"/>
      <c r="AC538" s="242"/>
      <c r="AD538" s="242"/>
      <c r="AE538" s="242"/>
      <c r="AF538" s="242"/>
      <c r="AG538" s="242"/>
      <c r="AH538" s="242"/>
      <c r="AI538" s="242"/>
      <c r="AJ538" s="242"/>
      <c r="AK538" s="242"/>
      <c r="AL538" s="242"/>
      <c r="AM538" s="242"/>
      <c r="AN538" s="242"/>
      <c r="AO538" s="242"/>
      <c r="AP538" s="242"/>
      <c r="AQ538" s="242"/>
      <c r="AR538" s="242"/>
      <c r="AS538" s="242"/>
      <c r="AU538" s="4"/>
    </row>
    <row r="539" spans="7:47" ht="24.75" customHeight="1" x14ac:dyDescent="0.75">
      <c r="G539" s="243"/>
      <c r="H539" s="244"/>
      <c r="I539" s="4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  <c r="AA539" s="242"/>
      <c r="AB539" s="242"/>
      <c r="AC539" s="242"/>
      <c r="AD539" s="242"/>
      <c r="AE539" s="242"/>
      <c r="AF539" s="242"/>
      <c r="AG539" s="242"/>
      <c r="AH539" s="242"/>
      <c r="AI539" s="242"/>
      <c r="AJ539" s="242"/>
      <c r="AK539" s="242"/>
      <c r="AL539" s="242"/>
      <c r="AM539" s="242"/>
      <c r="AN539" s="242"/>
      <c r="AO539" s="242"/>
      <c r="AP539" s="242"/>
      <c r="AQ539" s="242"/>
      <c r="AR539" s="242"/>
      <c r="AS539" s="242"/>
      <c r="AU539" s="4"/>
    </row>
    <row r="540" spans="7:47" ht="24.75" customHeight="1" x14ac:dyDescent="0.75">
      <c r="G540" s="243"/>
      <c r="H540" s="244"/>
      <c r="I540" s="4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  <c r="AA540" s="242"/>
      <c r="AB540" s="242"/>
      <c r="AC540" s="242"/>
      <c r="AD540" s="242"/>
      <c r="AE540" s="242"/>
      <c r="AF540" s="242"/>
      <c r="AG540" s="242"/>
      <c r="AH540" s="242"/>
      <c r="AI540" s="242"/>
      <c r="AJ540" s="242"/>
      <c r="AK540" s="242"/>
      <c r="AL540" s="242"/>
      <c r="AM540" s="242"/>
      <c r="AN540" s="242"/>
      <c r="AO540" s="242"/>
      <c r="AP540" s="242"/>
      <c r="AQ540" s="242"/>
      <c r="AR540" s="242"/>
      <c r="AS540" s="242"/>
      <c r="AU540" s="4"/>
    </row>
    <row r="541" spans="7:47" ht="24.75" customHeight="1" x14ac:dyDescent="0.75">
      <c r="G541" s="243"/>
      <c r="H541" s="244"/>
      <c r="I541" s="4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  <c r="AA541" s="242"/>
      <c r="AB541" s="242"/>
      <c r="AC541" s="242"/>
      <c r="AD541" s="242"/>
      <c r="AE541" s="242"/>
      <c r="AF541" s="242"/>
      <c r="AG541" s="242"/>
      <c r="AH541" s="242"/>
      <c r="AI541" s="242"/>
      <c r="AJ541" s="242"/>
      <c r="AK541" s="242"/>
      <c r="AL541" s="242"/>
      <c r="AM541" s="242"/>
      <c r="AN541" s="242"/>
      <c r="AO541" s="242"/>
      <c r="AP541" s="242"/>
      <c r="AQ541" s="242"/>
      <c r="AR541" s="242"/>
      <c r="AS541" s="242"/>
      <c r="AU541" s="4"/>
    </row>
    <row r="542" spans="7:47" ht="24.75" customHeight="1" x14ac:dyDescent="0.75">
      <c r="G542" s="243"/>
      <c r="H542" s="244"/>
      <c r="I542" s="4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  <c r="AA542" s="242"/>
      <c r="AB542" s="242"/>
      <c r="AC542" s="242"/>
      <c r="AD542" s="242"/>
      <c r="AE542" s="242"/>
      <c r="AF542" s="242"/>
      <c r="AG542" s="242"/>
      <c r="AH542" s="242"/>
      <c r="AI542" s="242"/>
      <c r="AJ542" s="242"/>
      <c r="AK542" s="242"/>
      <c r="AL542" s="242"/>
      <c r="AM542" s="242"/>
      <c r="AN542" s="242"/>
      <c r="AO542" s="242"/>
      <c r="AP542" s="242"/>
      <c r="AQ542" s="242"/>
      <c r="AR542" s="242"/>
      <c r="AS542" s="242"/>
      <c r="AU542" s="4"/>
    </row>
    <row r="543" spans="7:47" ht="24.75" customHeight="1" x14ac:dyDescent="0.75">
      <c r="G543" s="243"/>
      <c r="H543" s="244"/>
      <c r="I543" s="4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  <c r="AA543" s="242"/>
      <c r="AB543" s="242"/>
      <c r="AC543" s="242"/>
      <c r="AD543" s="242"/>
      <c r="AE543" s="242"/>
      <c r="AF543" s="242"/>
      <c r="AG543" s="242"/>
      <c r="AH543" s="242"/>
      <c r="AI543" s="242"/>
      <c r="AJ543" s="242"/>
      <c r="AK543" s="242"/>
      <c r="AL543" s="242"/>
      <c r="AM543" s="242"/>
      <c r="AN543" s="242"/>
      <c r="AO543" s="242"/>
      <c r="AP543" s="242"/>
      <c r="AQ543" s="242"/>
      <c r="AR543" s="242"/>
      <c r="AS543" s="242"/>
      <c r="AU543" s="4"/>
    </row>
    <row r="544" spans="7:47" ht="24.75" customHeight="1" x14ac:dyDescent="0.75">
      <c r="G544" s="243"/>
      <c r="H544" s="244"/>
      <c r="I544" s="4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  <c r="AA544" s="242"/>
      <c r="AB544" s="242"/>
      <c r="AC544" s="242"/>
      <c r="AD544" s="242"/>
      <c r="AE544" s="242"/>
      <c r="AF544" s="242"/>
      <c r="AG544" s="242"/>
      <c r="AH544" s="242"/>
      <c r="AI544" s="242"/>
      <c r="AJ544" s="242"/>
      <c r="AK544" s="242"/>
      <c r="AL544" s="242"/>
      <c r="AM544" s="242"/>
      <c r="AN544" s="242"/>
      <c r="AO544" s="242"/>
      <c r="AP544" s="242"/>
      <c r="AQ544" s="242"/>
      <c r="AR544" s="242"/>
      <c r="AS544" s="242"/>
      <c r="AU544" s="4"/>
    </row>
    <row r="545" spans="7:47" ht="24.75" customHeight="1" x14ac:dyDescent="0.75">
      <c r="G545" s="243"/>
      <c r="H545" s="244"/>
      <c r="I545" s="4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  <c r="AA545" s="242"/>
      <c r="AB545" s="242"/>
      <c r="AC545" s="242"/>
      <c r="AD545" s="242"/>
      <c r="AE545" s="242"/>
      <c r="AF545" s="242"/>
      <c r="AG545" s="242"/>
      <c r="AH545" s="242"/>
      <c r="AI545" s="242"/>
      <c r="AJ545" s="242"/>
      <c r="AK545" s="242"/>
      <c r="AL545" s="242"/>
      <c r="AM545" s="242"/>
      <c r="AN545" s="242"/>
      <c r="AO545" s="242"/>
      <c r="AP545" s="242"/>
      <c r="AQ545" s="242"/>
      <c r="AR545" s="242"/>
      <c r="AS545" s="242"/>
      <c r="AU545" s="4"/>
    </row>
    <row r="546" spans="7:47" ht="24.75" customHeight="1" x14ac:dyDescent="0.75">
      <c r="G546" s="243"/>
      <c r="H546" s="244"/>
      <c r="I546" s="4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  <c r="AA546" s="242"/>
      <c r="AB546" s="242"/>
      <c r="AC546" s="242"/>
      <c r="AD546" s="242"/>
      <c r="AE546" s="242"/>
      <c r="AF546" s="242"/>
      <c r="AG546" s="242"/>
      <c r="AH546" s="242"/>
      <c r="AI546" s="242"/>
      <c r="AJ546" s="242"/>
      <c r="AK546" s="242"/>
      <c r="AL546" s="242"/>
      <c r="AM546" s="242"/>
      <c r="AN546" s="242"/>
      <c r="AO546" s="242"/>
      <c r="AP546" s="242"/>
      <c r="AQ546" s="242"/>
      <c r="AR546" s="242"/>
      <c r="AS546" s="242"/>
      <c r="AU546" s="4"/>
    </row>
    <row r="547" spans="7:47" ht="24.75" customHeight="1" x14ac:dyDescent="0.75">
      <c r="G547" s="243"/>
      <c r="H547" s="244"/>
      <c r="I547" s="4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  <c r="AA547" s="242"/>
      <c r="AB547" s="242"/>
      <c r="AC547" s="242"/>
      <c r="AD547" s="242"/>
      <c r="AE547" s="242"/>
      <c r="AF547" s="242"/>
      <c r="AG547" s="242"/>
      <c r="AH547" s="242"/>
      <c r="AI547" s="242"/>
      <c r="AJ547" s="242"/>
      <c r="AK547" s="242"/>
      <c r="AL547" s="242"/>
      <c r="AM547" s="242"/>
      <c r="AN547" s="242"/>
      <c r="AO547" s="242"/>
      <c r="AP547" s="242"/>
      <c r="AQ547" s="242"/>
      <c r="AR547" s="242"/>
      <c r="AS547" s="242"/>
      <c r="AU547" s="4"/>
    </row>
    <row r="548" spans="7:47" ht="24.75" customHeight="1" x14ac:dyDescent="0.75">
      <c r="G548" s="243"/>
      <c r="H548" s="244"/>
      <c r="I548" s="4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  <c r="AA548" s="242"/>
      <c r="AB548" s="242"/>
      <c r="AC548" s="242"/>
      <c r="AD548" s="242"/>
      <c r="AE548" s="242"/>
      <c r="AF548" s="242"/>
      <c r="AG548" s="242"/>
      <c r="AH548" s="242"/>
      <c r="AI548" s="242"/>
      <c r="AJ548" s="242"/>
      <c r="AK548" s="242"/>
      <c r="AL548" s="242"/>
      <c r="AM548" s="242"/>
      <c r="AN548" s="242"/>
      <c r="AO548" s="242"/>
      <c r="AP548" s="242"/>
      <c r="AQ548" s="242"/>
      <c r="AR548" s="242"/>
      <c r="AS548" s="242"/>
      <c r="AU548" s="4"/>
    </row>
    <row r="549" spans="7:47" ht="24.75" customHeight="1" x14ac:dyDescent="0.75">
      <c r="G549" s="243"/>
      <c r="H549" s="244"/>
      <c r="I549" s="4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  <c r="AA549" s="242"/>
      <c r="AB549" s="242"/>
      <c r="AC549" s="242"/>
      <c r="AD549" s="242"/>
      <c r="AE549" s="242"/>
      <c r="AF549" s="242"/>
      <c r="AG549" s="242"/>
      <c r="AH549" s="242"/>
      <c r="AI549" s="242"/>
      <c r="AJ549" s="242"/>
      <c r="AK549" s="242"/>
      <c r="AL549" s="242"/>
      <c r="AM549" s="242"/>
      <c r="AN549" s="242"/>
      <c r="AO549" s="242"/>
      <c r="AP549" s="242"/>
      <c r="AQ549" s="242"/>
      <c r="AR549" s="242"/>
      <c r="AS549" s="242"/>
      <c r="AU549" s="4"/>
    </row>
    <row r="550" spans="7:47" ht="24.75" customHeight="1" x14ac:dyDescent="0.75">
      <c r="G550" s="243"/>
      <c r="H550" s="244"/>
      <c r="I550" s="4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  <c r="AA550" s="242"/>
      <c r="AB550" s="242"/>
      <c r="AC550" s="242"/>
      <c r="AD550" s="242"/>
      <c r="AE550" s="242"/>
      <c r="AF550" s="242"/>
      <c r="AG550" s="242"/>
      <c r="AH550" s="242"/>
      <c r="AI550" s="242"/>
      <c r="AJ550" s="242"/>
      <c r="AK550" s="242"/>
      <c r="AL550" s="242"/>
      <c r="AM550" s="242"/>
      <c r="AN550" s="242"/>
      <c r="AO550" s="242"/>
      <c r="AP550" s="242"/>
      <c r="AQ550" s="242"/>
      <c r="AR550" s="242"/>
      <c r="AS550" s="242"/>
      <c r="AU550" s="4"/>
    </row>
    <row r="551" spans="7:47" ht="24.75" customHeight="1" x14ac:dyDescent="0.75">
      <c r="G551" s="243"/>
      <c r="H551" s="244"/>
      <c r="I551" s="4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  <c r="AA551" s="242"/>
      <c r="AB551" s="242"/>
      <c r="AC551" s="242"/>
      <c r="AD551" s="242"/>
      <c r="AE551" s="242"/>
      <c r="AF551" s="242"/>
      <c r="AG551" s="242"/>
      <c r="AH551" s="242"/>
      <c r="AI551" s="242"/>
      <c r="AJ551" s="242"/>
      <c r="AK551" s="242"/>
      <c r="AL551" s="242"/>
      <c r="AM551" s="242"/>
      <c r="AN551" s="242"/>
      <c r="AO551" s="242"/>
      <c r="AP551" s="242"/>
      <c r="AQ551" s="242"/>
      <c r="AR551" s="242"/>
      <c r="AS551" s="242"/>
      <c r="AU551" s="4"/>
    </row>
    <row r="552" spans="7:47" ht="24.75" customHeight="1" x14ac:dyDescent="0.75">
      <c r="G552" s="243"/>
      <c r="H552" s="244"/>
      <c r="I552" s="4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  <c r="AA552" s="242"/>
      <c r="AB552" s="242"/>
      <c r="AC552" s="242"/>
      <c r="AD552" s="242"/>
      <c r="AE552" s="242"/>
      <c r="AF552" s="242"/>
      <c r="AG552" s="242"/>
      <c r="AH552" s="242"/>
      <c r="AI552" s="242"/>
      <c r="AJ552" s="242"/>
      <c r="AK552" s="242"/>
      <c r="AL552" s="242"/>
      <c r="AM552" s="242"/>
      <c r="AN552" s="242"/>
      <c r="AO552" s="242"/>
      <c r="AP552" s="242"/>
      <c r="AQ552" s="242"/>
      <c r="AR552" s="242"/>
      <c r="AS552" s="242"/>
      <c r="AU552" s="4"/>
    </row>
    <row r="553" spans="7:47" ht="24.75" customHeight="1" x14ac:dyDescent="0.75">
      <c r="G553" s="243"/>
      <c r="H553" s="244"/>
      <c r="I553" s="4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  <c r="AA553" s="242"/>
      <c r="AB553" s="242"/>
      <c r="AC553" s="242"/>
      <c r="AD553" s="242"/>
      <c r="AE553" s="242"/>
      <c r="AF553" s="242"/>
      <c r="AG553" s="242"/>
      <c r="AH553" s="242"/>
      <c r="AI553" s="242"/>
      <c r="AJ553" s="242"/>
      <c r="AK553" s="242"/>
      <c r="AL553" s="242"/>
      <c r="AM553" s="242"/>
      <c r="AN553" s="242"/>
      <c r="AO553" s="242"/>
      <c r="AP553" s="242"/>
      <c r="AQ553" s="242"/>
      <c r="AR553" s="242"/>
      <c r="AS553" s="242"/>
      <c r="AU553" s="4"/>
    </row>
    <row r="554" spans="7:47" ht="24.75" customHeight="1" x14ac:dyDescent="0.75">
      <c r="G554" s="243"/>
      <c r="H554" s="244"/>
      <c r="I554" s="4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  <c r="AA554" s="242"/>
      <c r="AB554" s="242"/>
      <c r="AC554" s="242"/>
      <c r="AD554" s="242"/>
      <c r="AE554" s="242"/>
      <c r="AF554" s="242"/>
      <c r="AG554" s="242"/>
      <c r="AH554" s="242"/>
      <c r="AI554" s="242"/>
      <c r="AJ554" s="242"/>
      <c r="AK554" s="242"/>
      <c r="AL554" s="242"/>
      <c r="AM554" s="242"/>
      <c r="AN554" s="242"/>
      <c r="AO554" s="242"/>
      <c r="AP554" s="242"/>
      <c r="AQ554" s="242"/>
      <c r="AR554" s="242"/>
      <c r="AS554" s="242"/>
      <c r="AU554" s="4"/>
    </row>
    <row r="555" spans="7:47" ht="24.75" customHeight="1" x14ac:dyDescent="0.75">
      <c r="G555" s="243"/>
      <c r="H555" s="244"/>
      <c r="I555" s="4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  <c r="AA555" s="242"/>
      <c r="AB555" s="242"/>
      <c r="AC555" s="242"/>
      <c r="AD555" s="242"/>
      <c r="AE555" s="242"/>
      <c r="AF555" s="242"/>
      <c r="AG555" s="242"/>
      <c r="AH555" s="242"/>
      <c r="AI555" s="242"/>
      <c r="AJ555" s="242"/>
      <c r="AK555" s="242"/>
      <c r="AL555" s="242"/>
      <c r="AM555" s="242"/>
      <c r="AN555" s="242"/>
      <c r="AO555" s="242"/>
      <c r="AP555" s="242"/>
      <c r="AQ555" s="242"/>
      <c r="AR555" s="242"/>
      <c r="AS555" s="242"/>
      <c r="AU555" s="4"/>
    </row>
    <row r="556" spans="7:47" ht="24.75" customHeight="1" x14ac:dyDescent="0.75">
      <c r="G556" s="243"/>
      <c r="H556" s="244"/>
      <c r="I556" s="4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  <c r="AA556" s="242"/>
      <c r="AB556" s="242"/>
      <c r="AC556" s="242"/>
      <c r="AD556" s="242"/>
      <c r="AE556" s="242"/>
      <c r="AF556" s="242"/>
      <c r="AG556" s="242"/>
      <c r="AH556" s="242"/>
      <c r="AI556" s="242"/>
      <c r="AJ556" s="242"/>
      <c r="AK556" s="242"/>
      <c r="AL556" s="242"/>
      <c r="AM556" s="242"/>
      <c r="AN556" s="242"/>
      <c r="AO556" s="242"/>
      <c r="AP556" s="242"/>
      <c r="AQ556" s="242"/>
      <c r="AR556" s="242"/>
      <c r="AS556" s="242"/>
      <c r="AU556" s="4"/>
    </row>
    <row r="557" spans="7:47" ht="24.75" customHeight="1" x14ac:dyDescent="0.75">
      <c r="G557" s="243"/>
      <c r="H557" s="244"/>
      <c r="I557" s="4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  <c r="AA557" s="242"/>
      <c r="AB557" s="242"/>
      <c r="AC557" s="242"/>
      <c r="AD557" s="242"/>
      <c r="AE557" s="242"/>
      <c r="AF557" s="242"/>
      <c r="AG557" s="242"/>
      <c r="AH557" s="242"/>
      <c r="AI557" s="242"/>
      <c r="AJ557" s="242"/>
      <c r="AK557" s="242"/>
      <c r="AL557" s="242"/>
      <c r="AM557" s="242"/>
      <c r="AN557" s="242"/>
      <c r="AO557" s="242"/>
      <c r="AP557" s="242"/>
      <c r="AQ557" s="242"/>
      <c r="AR557" s="242"/>
      <c r="AS557" s="242"/>
      <c r="AU557" s="4"/>
    </row>
    <row r="558" spans="7:47" ht="24.75" customHeight="1" x14ac:dyDescent="0.75">
      <c r="G558" s="243"/>
      <c r="H558" s="244"/>
      <c r="I558" s="4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  <c r="AA558" s="242"/>
      <c r="AB558" s="242"/>
      <c r="AC558" s="242"/>
      <c r="AD558" s="242"/>
      <c r="AE558" s="242"/>
      <c r="AF558" s="242"/>
      <c r="AG558" s="242"/>
      <c r="AH558" s="242"/>
      <c r="AI558" s="242"/>
      <c r="AJ558" s="242"/>
      <c r="AK558" s="242"/>
      <c r="AL558" s="242"/>
      <c r="AM558" s="242"/>
      <c r="AN558" s="242"/>
      <c r="AO558" s="242"/>
      <c r="AP558" s="242"/>
      <c r="AQ558" s="242"/>
      <c r="AR558" s="242"/>
      <c r="AS558" s="242"/>
      <c r="AU558" s="4"/>
    </row>
    <row r="559" spans="7:47" ht="24.75" customHeight="1" x14ac:dyDescent="0.75">
      <c r="G559" s="243"/>
      <c r="H559" s="244"/>
      <c r="I559" s="4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  <c r="AA559" s="242"/>
      <c r="AB559" s="242"/>
      <c r="AC559" s="242"/>
      <c r="AD559" s="242"/>
      <c r="AE559" s="242"/>
      <c r="AF559" s="242"/>
      <c r="AG559" s="242"/>
      <c r="AH559" s="242"/>
      <c r="AI559" s="242"/>
      <c r="AJ559" s="242"/>
      <c r="AK559" s="242"/>
      <c r="AL559" s="242"/>
      <c r="AM559" s="242"/>
      <c r="AN559" s="242"/>
      <c r="AO559" s="242"/>
      <c r="AP559" s="242"/>
      <c r="AQ559" s="242"/>
      <c r="AR559" s="242"/>
      <c r="AS559" s="242"/>
      <c r="AU559" s="4"/>
    </row>
    <row r="560" spans="7:47" ht="24.75" customHeight="1" x14ac:dyDescent="0.75">
      <c r="G560" s="243"/>
      <c r="H560" s="244"/>
      <c r="I560" s="4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  <c r="AA560" s="242"/>
      <c r="AB560" s="242"/>
      <c r="AC560" s="242"/>
      <c r="AD560" s="242"/>
      <c r="AE560" s="242"/>
      <c r="AF560" s="242"/>
      <c r="AG560" s="242"/>
      <c r="AH560" s="242"/>
      <c r="AI560" s="242"/>
      <c r="AJ560" s="242"/>
      <c r="AK560" s="242"/>
      <c r="AL560" s="242"/>
      <c r="AM560" s="242"/>
      <c r="AN560" s="242"/>
      <c r="AO560" s="242"/>
      <c r="AP560" s="242"/>
      <c r="AQ560" s="242"/>
      <c r="AR560" s="242"/>
      <c r="AS560" s="242"/>
      <c r="AU560" s="4"/>
    </row>
    <row r="561" spans="7:47" ht="24.75" customHeight="1" x14ac:dyDescent="0.75">
      <c r="G561" s="243"/>
      <c r="H561" s="244"/>
      <c r="I561" s="4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  <c r="AA561" s="242"/>
      <c r="AB561" s="242"/>
      <c r="AC561" s="242"/>
      <c r="AD561" s="242"/>
      <c r="AE561" s="242"/>
      <c r="AF561" s="242"/>
      <c r="AG561" s="242"/>
      <c r="AH561" s="242"/>
      <c r="AI561" s="242"/>
      <c r="AJ561" s="242"/>
      <c r="AK561" s="242"/>
      <c r="AL561" s="242"/>
      <c r="AM561" s="242"/>
      <c r="AN561" s="242"/>
      <c r="AO561" s="242"/>
      <c r="AP561" s="242"/>
      <c r="AQ561" s="242"/>
      <c r="AR561" s="242"/>
      <c r="AS561" s="242"/>
      <c r="AU561" s="4"/>
    </row>
    <row r="562" spans="7:47" ht="24.75" customHeight="1" x14ac:dyDescent="0.75">
      <c r="G562" s="243"/>
      <c r="H562" s="244"/>
      <c r="I562" s="4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  <c r="AA562" s="242"/>
      <c r="AB562" s="242"/>
      <c r="AC562" s="242"/>
      <c r="AD562" s="242"/>
      <c r="AE562" s="242"/>
      <c r="AF562" s="242"/>
      <c r="AG562" s="242"/>
      <c r="AH562" s="242"/>
      <c r="AI562" s="242"/>
      <c r="AJ562" s="242"/>
      <c r="AK562" s="242"/>
      <c r="AL562" s="242"/>
      <c r="AM562" s="242"/>
      <c r="AN562" s="242"/>
      <c r="AO562" s="242"/>
      <c r="AP562" s="242"/>
      <c r="AQ562" s="242"/>
      <c r="AR562" s="242"/>
      <c r="AS562" s="242"/>
      <c r="AU562" s="4"/>
    </row>
  </sheetData>
  <autoFilter ref="A9:AV91" xr:uid="{440D603B-4F29-4847-B204-7D1CAF3EBE24}"/>
  <mergeCells count="24">
    <mergeCell ref="G15:J15"/>
    <mergeCell ref="G67:J67"/>
    <mergeCell ref="G68:J68"/>
    <mergeCell ref="Z11:AC11"/>
    <mergeCell ref="G7:AT7"/>
    <mergeCell ref="G8:AT8"/>
    <mergeCell ref="G10:G12"/>
    <mergeCell ref="H10:H12"/>
    <mergeCell ref="I10:I12"/>
    <mergeCell ref="J10:J12"/>
    <mergeCell ref="K10:K12"/>
    <mergeCell ref="L10:M11"/>
    <mergeCell ref="N10:U10"/>
    <mergeCell ref="V10:AC10"/>
    <mergeCell ref="AD10:AK10"/>
    <mergeCell ref="AL10:AS10"/>
    <mergeCell ref="AT10:AT12"/>
    <mergeCell ref="N11:Q11"/>
    <mergeCell ref="R11:U11"/>
    <mergeCell ref="V11:Y11"/>
    <mergeCell ref="AD11:AG11"/>
    <mergeCell ref="AH11:AK11"/>
    <mergeCell ref="AL11:AO11"/>
    <mergeCell ref="AP11:AS11"/>
  </mergeCells>
  <printOptions horizontalCentered="1"/>
  <pageMargins left="0" right="0" top="0" bottom="0" header="0.15" footer="0.15"/>
  <pageSetup paperSize="9" scale="50" pageOrder="overThenDown" orientation="landscape" r:id="rId1"/>
  <headerFooter>
    <oddFooter>&amp;C&amp;P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AA3B-E9EA-405A-953A-302691454C23}">
  <sheetPr filterMode="1"/>
  <dimension ref="A1:AO612"/>
  <sheetViews>
    <sheetView topLeftCell="A7" zoomScaleNormal="100" workbookViewId="0">
      <selection activeCell="D12" sqref="D12"/>
    </sheetView>
  </sheetViews>
  <sheetFormatPr defaultColWidth="9.1328125" defaultRowHeight="24.75" customHeight="1" x14ac:dyDescent="0.75"/>
  <cols>
    <col min="1" max="1" width="5.26953125" style="1" customWidth="1"/>
    <col min="2" max="2" width="5.26953125" style="2" customWidth="1"/>
    <col min="3" max="3" width="5.26953125" style="3" customWidth="1"/>
    <col min="4" max="4" width="33.1328125" style="4" customWidth="1"/>
    <col min="5" max="6" width="9" style="4" customWidth="1"/>
    <col min="7" max="7" width="8.40625" style="4" customWidth="1"/>
    <col min="8" max="11" width="7.7265625" style="4" customWidth="1"/>
    <col min="12" max="12" width="7.86328125" style="4" hidden="1" customWidth="1"/>
    <col min="13" max="15" width="9.40625" style="4" hidden="1" customWidth="1"/>
    <col min="16" max="19" width="7.7265625" style="4" customWidth="1"/>
    <col min="20" max="20" width="7.7265625" style="4" hidden="1" customWidth="1"/>
    <col min="21" max="23" width="9.40625" style="4" hidden="1" customWidth="1"/>
    <col min="24" max="27" width="8.1328125" style="4" customWidth="1"/>
    <col min="28" max="31" width="8.1328125" style="4" hidden="1" customWidth="1"/>
    <col min="32" max="35" width="8.1328125" style="4" customWidth="1"/>
    <col min="36" max="39" width="8.1328125" style="4" hidden="1" customWidth="1"/>
    <col min="40" max="40" width="7.54296875" style="4" customWidth="1"/>
    <col min="41" max="41" width="9.1328125" style="3"/>
    <col min="42" max="16384" width="9.1328125" style="4"/>
  </cols>
  <sheetData>
    <row r="1" spans="1:41" ht="22.5" customHeight="1" x14ac:dyDescent="0.75">
      <c r="U1" s="17"/>
      <c r="V1" s="245" t="s">
        <v>0</v>
      </c>
      <c r="W1" s="17"/>
      <c r="X1" s="17"/>
      <c r="Y1" s="17"/>
      <c r="Z1" s="17"/>
      <c r="AA1" s="17"/>
      <c r="AB1" s="17"/>
      <c r="AC1" s="17"/>
      <c r="AD1" s="245"/>
      <c r="AF1" s="17"/>
      <c r="AG1" s="17"/>
      <c r="AH1" s="246" t="s">
        <v>0</v>
      </c>
      <c r="AI1" s="17"/>
      <c r="AJ1" s="17"/>
      <c r="AK1" s="17"/>
      <c r="AL1" s="245"/>
      <c r="AM1" s="17"/>
      <c r="AN1" s="17"/>
    </row>
    <row r="2" spans="1:41" ht="22.5" customHeight="1" x14ac:dyDescent="0.75">
      <c r="A2" s="247" t="s">
        <v>1</v>
      </c>
      <c r="B2" s="248"/>
      <c r="C2" s="1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17"/>
      <c r="V2" s="245" t="s">
        <v>2</v>
      </c>
      <c r="W2" s="17"/>
      <c r="X2" s="17"/>
      <c r="Y2" s="17"/>
      <c r="Z2" s="17"/>
      <c r="AA2" s="17"/>
      <c r="AB2" s="17"/>
      <c r="AC2" s="17"/>
      <c r="AD2" s="245"/>
      <c r="AE2" s="249"/>
      <c r="AF2" s="17"/>
      <c r="AG2" s="17"/>
      <c r="AH2" s="250" t="s">
        <v>2</v>
      </c>
      <c r="AI2" s="17"/>
      <c r="AJ2" s="17"/>
      <c r="AK2" s="17"/>
      <c r="AL2" s="245"/>
      <c r="AM2" s="17"/>
      <c r="AN2" s="17"/>
    </row>
    <row r="3" spans="1:41" ht="22.5" customHeight="1" x14ac:dyDescent="0.75">
      <c r="A3" s="251" t="s">
        <v>3</v>
      </c>
      <c r="B3" s="248"/>
      <c r="C3" s="1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</row>
    <row r="4" spans="1:41" ht="22.5" customHeight="1" x14ac:dyDescent="0.75">
      <c r="A4" s="251"/>
      <c r="B4" s="252"/>
      <c r="C4" s="253"/>
      <c r="D4" s="254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</row>
    <row r="5" spans="1:41" ht="22.5" customHeight="1" x14ac:dyDescent="0.75">
      <c r="A5" s="252"/>
      <c r="B5" s="252"/>
      <c r="C5" s="253"/>
      <c r="D5" s="254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</row>
    <row r="6" spans="1:41" ht="26.25" customHeight="1" x14ac:dyDescent="0.75">
      <c r="A6" s="374" t="s">
        <v>109</v>
      </c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74"/>
      <c r="AN6" s="374"/>
    </row>
    <row r="7" spans="1:41" ht="26.25" customHeight="1" x14ac:dyDescent="0.75">
      <c r="A7" s="374" t="s">
        <v>110</v>
      </c>
      <c r="B7" s="374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  <c r="AA7" s="374"/>
      <c r="AB7" s="374"/>
      <c r="AC7" s="374"/>
      <c r="AD7" s="374"/>
      <c r="AE7" s="374"/>
      <c r="AF7" s="374"/>
      <c r="AG7" s="374"/>
      <c r="AH7" s="374"/>
      <c r="AI7" s="374"/>
      <c r="AJ7" s="374"/>
      <c r="AK7" s="374"/>
      <c r="AL7" s="374"/>
      <c r="AM7" s="374"/>
      <c r="AN7" s="374"/>
    </row>
    <row r="8" spans="1:41" ht="20.25" customHeight="1" thickBot="1" x14ac:dyDescent="0.9">
      <c r="AI8" s="21"/>
      <c r="AN8" s="255" t="s">
        <v>7</v>
      </c>
    </row>
    <row r="9" spans="1:41" ht="30.75" customHeight="1" thickTop="1" x14ac:dyDescent="0.75">
      <c r="A9" s="397" t="s">
        <v>8</v>
      </c>
      <c r="B9" s="400" t="s">
        <v>9</v>
      </c>
      <c r="C9" s="403" t="s">
        <v>10</v>
      </c>
      <c r="D9" s="406" t="s">
        <v>11</v>
      </c>
      <c r="E9" s="409" t="s">
        <v>12</v>
      </c>
      <c r="F9" s="411" t="s">
        <v>13</v>
      </c>
      <c r="G9" s="411"/>
      <c r="H9" s="409" t="s">
        <v>14</v>
      </c>
      <c r="I9" s="409"/>
      <c r="J9" s="409"/>
      <c r="K9" s="409"/>
      <c r="L9" s="409"/>
      <c r="M9" s="409"/>
      <c r="N9" s="409"/>
      <c r="O9" s="409"/>
      <c r="P9" s="409" t="s">
        <v>15</v>
      </c>
      <c r="Q9" s="409"/>
      <c r="R9" s="409"/>
      <c r="S9" s="409"/>
      <c r="T9" s="409"/>
      <c r="U9" s="409"/>
      <c r="V9" s="409"/>
      <c r="W9" s="409"/>
      <c r="X9" s="409" t="s">
        <v>16</v>
      </c>
      <c r="Y9" s="409"/>
      <c r="Z9" s="409"/>
      <c r="AA9" s="409"/>
      <c r="AB9" s="409"/>
      <c r="AC9" s="409"/>
      <c r="AD9" s="409"/>
      <c r="AE9" s="409"/>
      <c r="AF9" s="409" t="s">
        <v>17</v>
      </c>
      <c r="AG9" s="409"/>
      <c r="AH9" s="409"/>
      <c r="AI9" s="409"/>
      <c r="AJ9" s="409"/>
      <c r="AK9" s="409"/>
      <c r="AL9" s="409"/>
      <c r="AM9" s="409"/>
      <c r="AN9" s="413" t="s">
        <v>18</v>
      </c>
    </row>
    <row r="10" spans="1:41" ht="35.25" customHeight="1" x14ac:dyDescent="0.75">
      <c r="A10" s="398"/>
      <c r="B10" s="401"/>
      <c r="C10" s="404"/>
      <c r="D10" s="407"/>
      <c r="E10" s="368"/>
      <c r="F10" s="412"/>
      <c r="G10" s="412"/>
      <c r="H10" s="368" t="s">
        <v>19</v>
      </c>
      <c r="I10" s="368"/>
      <c r="J10" s="368"/>
      <c r="K10" s="368"/>
      <c r="L10" s="368" t="s">
        <v>20</v>
      </c>
      <c r="M10" s="368"/>
      <c r="N10" s="368"/>
      <c r="O10" s="368"/>
      <c r="P10" s="368" t="s">
        <v>19</v>
      </c>
      <c r="Q10" s="368"/>
      <c r="R10" s="368"/>
      <c r="S10" s="368"/>
      <c r="T10" s="368" t="s">
        <v>21</v>
      </c>
      <c r="U10" s="368"/>
      <c r="V10" s="368"/>
      <c r="W10" s="368"/>
      <c r="X10" s="368" t="s">
        <v>19</v>
      </c>
      <c r="Y10" s="368"/>
      <c r="Z10" s="368"/>
      <c r="AA10" s="368"/>
      <c r="AB10" s="368" t="s">
        <v>20</v>
      </c>
      <c r="AC10" s="368"/>
      <c r="AD10" s="368"/>
      <c r="AE10" s="368"/>
      <c r="AF10" s="368" t="s">
        <v>22</v>
      </c>
      <c r="AG10" s="368"/>
      <c r="AH10" s="368"/>
      <c r="AI10" s="368"/>
      <c r="AJ10" s="368" t="s">
        <v>23</v>
      </c>
      <c r="AK10" s="368"/>
      <c r="AL10" s="368"/>
      <c r="AM10" s="368"/>
      <c r="AN10" s="414"/>
    </row>
    <row r="11" spans="1:41" ht="37.5" customHeight="1" thickBot="1" x14ac:dyDescent="0.9">
      <c r="A11" s="399"/>
      <c r="B11" s="402"/>
      <c r="C11" s="405"/>
      <c r="D11" s="408"/>
      <c r="E11" s="410"/>
      <c r="F11" s="256" t="s">
        <v>24</v>
      </c>
      <c r="G11" s="29" t="s">
        <v>25</v>
      </c>
      <c r="H11" s="27" t="s">
        <v>26</v>
      </c>
      <c r="I11" s="28" t="s">
        <v>27</v>
      </c>
      <c r="J11" s="28" t="s">
        <v>28</v>
      </c>
      <c r="K11" s="29" t="s">
        <v>29</v>
      </c>
      <c r="L11" s="27" t="s">
        <v>26</v>
      </c>
      <c r="M11" s="28" t="s">
        <v>30</v>
      </c>
      <c r="N11" s="28" t="s">
        <v>31</v>
      </c>
      <c r="O11" s="29" t="s">
        <v>111</v>
      </c>
      <c r="P11" s="27" t="s">
        <v>26</v>
      </c>
      <c r="Q11" s="28" t="s">
        <v>33</v>
      </c>
      <c r="R11" s="28" t="s">
        <v>34</v>
      </c>
      <c r="S11" s="29" t="s">
        <v>35</v>
      </c>
      <c r="T11" s="27" t="s">
        <v>26</v>
      </c>
      <c r="U11" s="28" t="s">
        <v>33</v>
      </c>
      <c r="V11" s="28" t="s">
        <v>34</v>
      </c>
      <c r="W11" s="29" t="s">
        <v>35</v>
      </c>
      <c r="X11" s="27" t="s">
        <v>26</v>
      </c>
      <c r="Y11" s="28" t="s">
        <v>36</v>
      </c>
      <c r="Z11" s="28" t="s">
        <v>37</v>
      </c>
      <c r="AA11" s="29" t="s">
        <v>38</v>
      </c>
      <c r="AB11" s="27" t="s">
        <v>26</v>
      </c>
      <c r="AC11" s="28" t="s">
        <v>39</v>
      </c>
      <c r="AD11" s="28" t="s">
        <v>40</v>
      </c>
      <c r="AE11" s="29" t="s">
        <v>41</v>
      </c>
      <c r="AF11" s="27" t="s">
        <v>26</v>
      </c>
      <c r="AG11" s="28" t="s">
        <v>42</v>
      </c>
      <c r="AH11" s="28" t="s">
        <v>43</v>
      </c>
      <c r="AI11" s="29" t="s">
        <v>44</v>
      </c>
      <c r="AJ11" s="27" t="s">
        <v>26</v>
      </c>
      <c r="AK11" s="28" t="s">
        <v>42</v>
      </c>
      <c r="AL11" s="28" t="s">
        <v>43</v>
      </c>
      <c r="AM11" s="29" t="s">
        <v>44</v>
      </c>
      <c r="AN11" s="415"/>
    </row>
    <row r="12" spans="1:41" s="76" customFormat="1" ht="24.75" customHeight="1" thickTop="1" x14ac:dyDescent="0.75">
      <c r="A12" s="257"/>
      <c r="B12" s="258"/>
      <c r="C12" s="259"/>
      <c r="D12" s="260" t="s">
        <v>112</v>
      </c>
      <c r="E12" s="261">
        <f>SUM(E13:E16)</f>
        <v>0</v>
      </c>
      <c r="F12" s="262">
        <f>SUM(F13:F16)</f>
        <v>0</v>
      </c>
      <c r="G12" s="263" t="str">
        <f t="shared" ref="G12:G22" si="0">IFERROR(F12/E12, "-")</f>
        <v>-</v>
      </c>
      <c r="H12" s="262">
        <f t="shared" ref="H12:AM12" si="1">SUM(H13:H16)</f>
        <v>0</v>
      </c>
      <c r="I12" s="264">
        <f t="shared" si="1"/>
        <v>0</v>
      </c>
      <c r="J12" s="264">
        <f t="shared" si="1"/>
        <v>0</v>
      </c>
      <c r="K12" s="265">
        <f t="shared" si="1"/>
        <v>0</v>
      </c>
      <c r="L12" s="266">
        <f t="shared" si="1"/>
        <v>0</v>
      </c>
      <c r="M12" s="267">
        <f t="shared" si="1"/>
        <v>0</v>
      </c>
      <c r="N12" s="267">
        <f t="shared" si="1"/>
        <v>0</v>
      </c>
      <c r="O12" s="268">
        <f t="shared" si="1"/>
        <v>0</v>
      </c>
      <c r="P12" s="262">
        <f t="shared" si="1"/>
        <v>0</v>
      </c>
      <c r="Q12" s="264">
        <f t="shared" si="1"/>
        <v>0</v>
      </c>
      <c r="R12" s="264">
        <f t="shared" si="1"/>
        <v>0</v>
      </c>
      <c r="S12" s="265">
        <f t="shared" si="1"/>
        <v>0</v>
      </c>
      <c r="T12" s="266">
        <f t="shared" si="1"/>
        <v>0</v>
      </c>
      <c r="U12" s="267">
        <f t="shared" si="1"/>
        <v>0</v>
      </c>
      <c r="V12" s="267">
        <f t="shared" si="1"/>
        <v>0</v>
      </c>
      <c r="W12" s="268">
        <f t="shared" si="1"/>
        <v>0</v>
      </c>
      <c r="X12" s="262">
        <f t="shared" si="1"/>
        <v>0</v>
      </c>
      <c r="Y12" s="264">
        <f t="shared" si="1"/>
        <v>0</v>
      </c>
      <c r="Z12" s="264">
        <f t="shared" si="1"/>
        <v>0</v>
      </c>
      <c r="AA12" s="265">
        <f t="shared" si="1"/>
        <v>0</v>
      </c>
      <c r="AB12" s="266">
        <f t="shared" si="1"/>
        <v>0</v>
      </c>
      <c r="AC12" s="267">
        <f t="shared" si="1"/>
        <v>0</v>
      </c>
      <c r="AD12" s="267">
        <f t="shared" si="1"/>
        <v>0</v>
      </c>
      <c r="AE12" s="268">
        <f t="shared" si="1"/>
        <v>0</v>
      </c>
      <c r="AF12" s="262">
        <f t="shared" si="1"/>
        <v>0</v>
      </c>
      <c r="AG12" s="264">
        <f t="shared" si="1"/>
        <v>0</v>
      </c>
      <c r="AH12" s="264">
        <f t="shared" si="1"/>
        <v>0</v>
      </c>
      <c r="AI12" s="265">
        <f t="shared" si="1"/>
        <v>0</v>
      </c>
      <c r="AJ12" s="262">
        <f t="shared" si="1"/>
        <v>0</v>
      </c>
      <c r="AK12" s="264">
        <f t="shared" si="1"/>
        <v>0</v>
      </c>
      <c r="AL12" s="264">
        <f t="shared" si="1"/>
        <v>0</v>
      </c>
      <c r="AM12" s="265">
        <f t="shared" si="1"/>
        <v>0</v>
      </c>
      <c r="AN12" s="269"/>
      <c r="AO12" s="75" t="str">
        <f t="shared" ref="AO12:AO26" si="2">IF(SUM(E12:F12)&lt;&gt;0, "OK", "-")</f>
        <v>-</v>
      </c>
    </row>
    <row r="13" spans="1:41" s="88" customFormat="1" ht="27.75" customHeight="1" x14ac:dyDescent="0.75">
      <c r="A13" s="270" t="s">
        <v>87</v>
      </c>
      <c r="B13" s="271" t="s">
        <v>65</v>
      </c>
      <c r="C13" s="272">
        <v>73023</v>
      </c>
      <c r="D13" s="273" t="s">
        <v>83</v>
      </c>
      <c r="E13" s="274"/>
      <c r="F13" s="275">
        <f>H13+P13+X13+AF13</f>
        <v>0</v>
      </c>
      <c r="G13" s="159" t="str">
        <f t="shared" si="0"/>
        <v>-</v>
      </c>
      <c r="H13" s="275">
        <f>SUM(I13:K13)</f>
        <v>0</v>
      </c>
      <c r="I13" s="276"/>
      <c r="J13" s="276"/>
      <c r="K13" s="277"/>
      <c r="L13" s="278">
        <f>SUM(M13:O13)</f>
        <v>0</v>
      </c>
      <c r="M13" s="279"/>
      <c r="N13" s="279"/>
      <c r="O13" s="280"/>
      <c r="P13" s="275">
        <f>SUM(Q13:S13)</f>
        <v>0</v>
      </c>
      <c r="Q13" s="276"/>
      <c r="R13" s="276"/>
      <c r="S13" s="277"/>
      <c r="T13" s="278">
        <f>SUM(U13:W13)</f>
        <v>0</v>
      </c>
      <c r="U13" s="279"/>
      <c r="V13" s="279"/>
      <c r="W13" s="280"/>
      <c r="X13" s="275">
        <f>SUM(Y13:AA13)</f>
        <v>0</v>
      </c>
      <c r="Y13" s="276"/>
      <c r="Z13" s="276"/>
      <c r="AA13" s="277"/>
      <c r="AB13" s="278">
        <f>SUM(AC13:AE13)</f>
        <v>0</v>
      </c>
      <c r="AC13" s="279"/>
      <c r="AD13" s="279"/>
      <c r="AE13" s="280"/>
      <c r="AF13" s="275">
        <f>SUM(AG13:AI13)</f>
        <v>0</v>
      </c>
      <c r="AG13" s="276"/>
      <c r="AH13" s="276"/>
      <c r="AI13" s="277"/>
      <c r="AJ13" s="275">
        <f>SUM(AK13:AM13)</f>
        <v>0</v>
      </c>
      <c r="AK13" s="276"/>
      <c r="AL13" s="276"/>
      <c r="AM13" s="277"/>
      <c r="AN13" s="281"/>
      <c r="AO13" s="87" t="str">
        <f t="shared" si="2"/>
        <v>-</v>
      </c>
    </row>
    <row r="14" spans="1:41" s="88" customFormat="1" ht="27.75" customHeight="1" x14ac:dyDescent="0.75">
      <c r="A14" s="91" t="s">
        <v>87</v>
      </c>
      <c r="B14" s="92" t="s">
        <v>69</v>
      </c>
      <c r="C14" s="93">
        <v>73066</v>
      </c>
      <c r="D14" s="94" t="s">
        <v>70</v>
      </c>
      <c r="E14" s="282"/>
      <c r="F14" s="283">
        <f t="shared" ref="F14:F16" si="3">H14+P14+X14+AF14</f>
        <v>0</v>
      </c>
      <c r="G14" s="284" t="str">
        <f t="shared" si="0"/>
        <v>-</v>
      </c>
      <c r="H14" s="283">
        <f>SUM(I14:K14)</f>
        <v>0</v>
      </c>
      <c r="I14" s="285"/>
      <c r="J14" s="285"/>
      <c r="K14" s="286"/>
      <c r="L14" s="287">
        <f>SUM(M14:O14)</f>
        <v>0</v>
      </c>
      <c r="M14" s="288"/>
      <c r="N14" s="288"/>
      <c r="O14" s="289"/>
      <c r="P14" s="283">
        <f>SUM(Q14:S14)</f>
        <v>0</v>
      </c>
      <c r="Q14" s="285"/>
      <c r="R14" s="285"/>
      <c r="S14" s="286"/>
      <c r="T14" s="287">
        <f>SUM(U14:W14)</f>
        <v>0</v>
      </c>
      <c r="U14" s="288"/>
      <c r="V14" s="288"/>
      <c r="W14" s="289"/>
      <c r="X14" s="283">
        <f>SUM(Y14:AA14)</f>
        <v>0</v>
      </c>
      <c r="Y14" s="285"/>
      <c r="Z14" s="285"/>
      <c r="AA14" s="286"/>
      <c r="AB14" s="287">
        <f>SUM(AC14:AE14)</f>
        <v>0</v>
      </c>
      <c r="AC14" s="288"/>
      <c r="AD14" s="288"/>
      <c r="AE14" s="289"/>
      <c r="AF14" s="283">
        <f>SUM(AG14:AI14)</f>
        <v>0</v>
      </c>
      <c r="AG14" s="285"/>
      <c r="AH14" s="285"/>
      <c r="AI14" s="286"/>
      <c r="AJ14" s="283">
        <f>SUM(AK14:AM14)</f>
        <v>0</v>
      </c>
      <c r="AK14" s="285"/>
      <c r="AL14" s="285"/>
      <c r="AM14" s="286"/>
      <c r="AN14" s="290"/>
      <c r="AO14" s="87" t="str">
        <f t="shared" si="2"/>
        <v>-</v>
      </c>
    </row>
    <row r="15" spans="1:41" s="88" customFormat="1" ht="27.75" customHeight="1" x14ac:dyDescent="0.75">
      <c r="A15" s="77" t="s">
        <v>87</v>
      </c>
      <c r="B15" s="78" t="s">
        <v>106</v>
      </c>
      <c r="C15" s="79">
        <v>73071</v>
      </c>
      <c r="D15" s="80" t="s">
        <v>107</v>
      </c>
      <c r="E15" s="291"/>
      <c r="F15" s="292">
        <f t="shared" si="3"/>
        <v>0</v>
      </c>
      <c r="G15" s="293" t="str">
        <f t="shared" si="0"/>
        <v>-</v>
      </c>
      <c r="H15" s="292">
        <f>SUM(I15:K15)</f>
        <v>0</v>
      </c>
      <c r="I15" s="294"/>
      <c r="J15" s="294"/>
      <c r="K15" s="295"/>
      <c r="L15" s="296">
        <f>SUM(M15:O15)</f>
        <v>0</v>
      </c>
      <c r="M15" s="297"/>
      <c r="N15" s="297"/>
      <c r="O15" s="298"/>
      <c r="P15" s="292">
        <f>SUM(Q15:S15)</f>
        <v>0</v>
      </c>
      <c r="Q15" s="294"/>
      <c r="R15" s="294"/>
      <c r="S15" s="295"/>
      <c r="T15" s="296">
        <f>SUM(U15:W15)</f>
        <v>0</v>
      </c>
      <c r="U15" s="297"/>
      <c r="V15" s="297"/>
      <c r="W15" s="298"/>
      <c r="X15" s="292">
        <f>SUM(Y15:AA15)</f>
        <v>0</v>
      </c>
      <c r="Y15" s="294"/>
      <c r="Z15" s="294"/>
      <c r="AA15" s="295"/>
      <c r="AB15" s="296">
        <f>SUM(AC15:AE15)</f>
        <v>0</v>
      </c>
      <c r="AC15" s="297"/>
      <c r="AD15" s="297"/>
      <c r="AE15" s="298"/>
      <c r="AF15" s="292">
        <f>SUM(AG15:AI15)</f>
        <v>0</v>
      </c>
      <c r="AG15" s="294"/>
      <c r="AH15" s="294"/>
      <c r="AI15" s="295"/>
      <c r="AJ15" s="292">
        <f>SUM(AK15:AM15)</f>
        <v>0</v>
      </c>
      <c r="AK15" s="294"/>
      <c r="AL15" s="294"/>
      <c r="AM15" s="295"/>
      <c r="AN15" s="299"/>
      <c r="AO15" s="87" t="str">
        <f t="shared" si="2"/>
        <v>-</v>
      </c>
    </row>
    <row r="16" spans="1:41" s="88" customFormat="1" ht="27.75" customHeight="1" thickBot="1" x14ac:dyDescent="0.9">
      <c r="A16" s="300" t="s">
        <v>87</v>
      </c>
      <c r="B16" s="204" t="s">
        <v>106</v>
      </c>
      <c r="C16" s="205">
        <v>73072</v>
      </c>
      <c r="D16" s="206" t="s">
        <v>108</v>
      </c>
      <c r="E16" s="301"/>
      <c r="F16" s="302">
        <f t="shared" si="3"/>
        <v>0</v>
      </c>
      <c r="G16" s="303" t="str">
        <f>IFERROR(F16/E16, "-")</f>
        <v>-</v>
      </c>
      <c r="H16" s="302">
        <f>SUM(I16:K16)</f>
        <v>0</v>
      </c>
      <c r="I16" s="304"/>
      <c r="J16" s="304"/>
      <c r="K16" s="305"/>
      <c r="L16" s="348">
        <f>SUM(M16:O16)</f>
        <v>0</v>
      </c>
      <c r="M16" s="349"/>
      <c r="N16" s="349"/>
      <c r="O16" s="350"/>
      <c r="P16" s="302">
        <f>SUM(Q16:S16)</f>
        <v>0</v>
      </c>
      <c r="Q16" s="304"/>
      <c r="R16" s="304"/>
      <c r="S16" s="305"/>
      <c r="T16" s="348">
        <f>SUM(U16:W16)</f>
        <v>0</v>
      </c>
      <c r="U16" s="349"/>
      <c r="V16" s="349"/>
      <c r="W16" s="350"/>
      <c r="X16" s="302">
        <f>SUM(Y16:AA16)</f>
        <v>0</v>
      </c>
      <c r="Y16" s="304"/>
      <c r="Z16" s="304"/>
      <c r="AA16" s="305"/>
      <c r="AB16" s="348">
        <f>SUM(AC16:AE16)</f>
        <v>0</v>
      </c>
      <c r="AC16" s="349"/>
      <c r="AD16" s="349"/>
      <c r="AE16" s="350"/>
      <c r="AF16" s="302">
        <f>SUM(AG16:AI16)</f>
        <v>0</v>
      </c>
      <c r="AG16" s="304"/>
      <c r="AH16" s="304"/>
      <c r="AI16" s="305"/>
      <c r="AJ16" s="302">
        <f>SUM(AK16:AM16)</f>
        <v>0</v>
      </c>
      <c r="AK16" s="304"/>
      <c r="AL16" s="304"/>
      <c r="AM16" s="305"/>
      <c r="AN16" s="312"/>
      <c r="AO16" s="87" t="str">
        <f t="shared" si="2"/>
        <v>-</v>
      </c>
    </row>
    <row r="17" spans="1:41" s="88" customFormat="1" ht="27.75" hidden="1" customHeight="1" x14ac:dyDescent="0.75">
      <c r="A17" s="313"/>
      <c r="B17" s="314"/>
      <c r="C17" s="315"/>
      <c r="D17" s="316" t="s">
        <v>113</v>
      </c>
      <c r="E17" s="317">
        <f>SUM(E18:E21)</f>
        <v>5000</v>
      </c>
      <c r="F17" s="318">
        <f>SUM(F18:F21)</f>
        <v>5000</v>
      </c>
      <c r="G17" s="319">
        <f t="shared" si="0"/>
        <v>1</v>
      </c>
      <c r="H17" s="318">
        <f t="shared" ref="H17:AM17" si="4">SUM(H18:H21)</f>
        <v>1500</v>
      </c>
      <c r="I17" s="320">
        <f t="shared" si="4"/>
        <v>0</v>
      </c>
      <c r="J17" s="320">
        <f t="shared" si="4"/>
        <v>0</v>
      </c>
      <c r="K17" s="321">
        <f t="shared" si="4"/>
        <v>1500</v>
      </c>
      <c r="L17" s="318">
        <f t="shared" si="4"/>
        <v>0</v>
      </c>
      <c r="M17" s="320">
        <f t="shared" si="4"/>
        <v>0</v>
      </c>
      <c r="N17" s="320">
        <f t="shared" si="4"/>
        <v>0</v>
      </c>
      <c r="O17" s="321">
        <f t="shared" si="4"/>
        <v>0</v>
      </c>
      <c r="P17" s="318">
        <f t="shared" si="4"/>
        <v>1500</v>
      </c>
      <c r="Q17" s="320">
        <f t="shared" si="4"/>
        <v>0</v>
      </c>
      <c r="R17" s="320">
        <f t="shared" si="4"/>
        <v>0</v>
      </c>
      <c r="S17" s="321">
        <f t="shared" si="4"/>
        <v>1500</v>
      </c>
      <c r="T17" s="318">
        <f t="shared" si="4"/>
        <v>0</v>
      </c>
      <c r="U17" s="320">
        <f t="shared" si="4"/>
        <v>0</v>
      </c>
      <c r="V17" s="320">
        <f t="shared" si="4"/>
        <v>0</v>
      </c>
      <c r="W17" s="321">
        <f t="shared" si="4"/>
        <v>0</v>
      </c>
      <c r="X17" s="318">
        <f t="shared" si="4"/>
        <v>1000</v>
      </c>
      <c r="Y17" s="320">
        <f t="shared" si="4"/>
        <v>0</v>
      </c>
      <c r="Z17" s="320">
        <f t="shared" si="4"/>
        <v>0</v>
      </c>
      <c r="AA17" s="321">
        <f t="shared" si="4"/>
        <v>1000</v>
      </c>
      <c r="AB17" s="318">
        <f t="shared" si="4"/>
        <v>0</v>
      </c>
      <c r="AC17" s="320">
        <f t="shared" si="4"/>
        <v>0</v>
      </c>
      <c r="AD17" s="320">
        <f t="shared" si="4"/>
        <v>0</v>
      </c>
      <c r="AE17" s="321">
        <f t="shared" si="4"/>
        <v>0</v>
      </c>
      <c r="AF17" s="318">
        <f t="shared" si="4"/>
        <v>1000</v>
      </c>
      <c r="AG17" s="320">
        <f t="shared" si="4"/>
        <v>0</v>
      </c>
      <c r="AH17" s="320">
        <f t="shared" si="4"/>
        <v>1000</v>
      </c>
      <c r="AI17" s="321">
        <f t="shared" si="4"/>
        <v>0</v>
      </c>
      <c r="AJ17" s="345">
        <f t="shared" si="4"/>
        <v>0</v>
      </c>
      <c r="AK17" s="346">
        <f t="shared" si="4"/>
        <v>0</v>
      </c>
      <c r="AL17" s="346">
        <f t="shared" si="4"/>
        <v>0</v>
      </c>
      <c r="AM17" s="347">
        <f t="shared" si="4"/>
        <v>0</v>
      </c>
      <c r="AN17" s="328"/>
      <c r="AO17" s="87" t="str">
        <f t="shared" si="2"/>
        <v>OK</v>
      </c>
    </row>
    <row r="18" spans="1:41" s="88" customFormat="1" ht="27.75" hidden="1" customHeight="1" x14ac:dyDescent="0.75">
      <c r="A18" s="77" t="s">
        <v>87</v>
      </c>
      <c r="B18" s="78" t="s">
        <v>65</v>
      </c>
      <c r="C18" s="79">
        <v>73023</v>
      </c>
      <c r="D18" s="80" t="s">
        <v>83</v>
      </c>
      <c r="E18" s="329">
        <f>'[5]01.BMC'!E13</f>
        <v>5000</v>
      </c>
      <c r="F18" s="296">
        <f t="shared" ref="F18:F19" si="5">H18+P18+X18+AF18</f>
        <v>5000</v>
      </c>
      <c r="G18" s="330">
        <f>IFERROR(F18/E18, "-")</f>
        <v>1</v>
      </c>
      <c r="H18" s="296">
        <f>SUM(I18:K18)</f>
        <v>1500</v>
      </c>
      <c r="I18" s="297">
        <f>'[5]01.BMC'!I13</f>
        <v>0</v>
      </c>
      <c r="J18" s="297">
        <f>'[5]01.BMC'!J13</f>
        <v>0</v>
      </c>
      <c r="K18" s="298">
        <f>'[5]01.BMC'!K13</f>
        <v>1500</v>
      </c>
      <c r="L18" s="296">
        <f>SUM(M18:O18)</f>
        <v>0</v>
      </c>
      <c r="M18" s="297">
        <f>'[5]01.BMC'!M13</f>
        <v>0</v>
      </c>
      <c r="N18" s="297">
        <f>'[5]01.BMC'!N13</f>
        <v>0</v>
      </c>
      <c r="O18" s="298">
        <f>'[5]01.BMC'!O13</f>
        <v>0</v>
      </c>
      <c r="P18" s="296">
        <f>SUM(Q18:S18)</f>
        <v>1500</v>
      </c>
      <c r="Q18" s="297">
        <f>'[5]01.BMC'!Q13</f>
        <v>0</v>
      </c>
      <c r="R18" s="297">
        <f>'[5]01.BMC'!R13</f>
        <v>0</v>
      </c>
      <c r="S18" s="298">
        <f>'[5]01.BMC'!S13</f>
        <v>1500</v>
      </c>
      <c r="T18" s="296">
        <f>SUM(U18:W18)</f>
        <v>0</v>
      </c>
      <c r="U18" s="297">
        <f>'[5]01.BMC'!U13</f>
        <v>0</v>
      </c>
      <c r="V18" s="297">
        <f>'[5]01.BMC'!V13</f>
        <v>0</v>
      </c>
      <c r="W18" s="298">
        <f>'[5]01.BMC'!W13</f>
        <v>0</v>
      </c>
      <c r="X18" s="296">
        <f>SUM(Y18:AA18)</f>
        <v>1000</v>
      </c>
      <c r="Y18" s="297">
        <f>'[5]01.BMC'!Y13</f>
        <v>0</v>
      </c>
      <c r="Z18" s="297">
        <f>'[5]01.BMC'!Z13</f>
        <v>0</v>
      </c>
      <c r="AA18" s="298">
        <f>'[5]01.BMC'!AA13</f>
        <v>1000</v>
      </c>
      <c r="AB18" s="296">
        <f>SUM(AC18:AE18)</f>
        <v>0</v>
      </c>
      <c r="AC18" s="297"/>
      <c r="AD18" s="297"/>
      <c r="AE18" s="298"/>
      <c r="AF18" s="296">
        <f>SUM(AG18:AI18)</f>
        <v>1000</v>
      </c>
      <c r="AG18" s="297">
        <f>'[5]01.BMC'!AG13</f>
        <v>0</v>
      </c>
      <c r="AH18" s="297">
        <f>'[5]01.BMC'!AH13</f>
        <v>1000</v>
      </c>
      <c r="AI18" s="298">
        <f>'[5]01.BMC'!AI13</f>
        <v>0</v>
      </c>
      <c r="AJ18" s="292">
        <f>SUM(AK18:AM18)</f>
        <v>0</v>
      </c>
      <c r="AK18" s="294"/>
      <c r="AL18" s="294"/>
      <c r="AM18" s="295"/>
      <c r="AN18" s="299"/>
      <c r="AO18" s="87" t="str">
        <f t="shared" si="2"/>
        <v>OK</v>
      </c>
    </row>
    <row r="19" spans="1:41" s="88" customFormat="1" ht="27.75" hidden="1" customHeight="1" x14ac:dyDescent="0.75">
      <c r="A19" s="91" t="s">
        <v>87</v>
      </c>
      <c r="B19" s="92" t="s">
        <v>69</v>
      </c>
      <c r="C19" s="93">
        <v>73066</v>
      </c>
      <c r="D19" s="94" t="s">
        <v>70</v>
      </c>
      <c r="E19" s="331">
        <f>'[5]01.BMC'!E14</f>
        <v>0</v>
      </c>
      <c r="F19" s="287">
        <f t="shared" si="5"/>
        <v>0</v>
      </c>
      <c r="G19" s="332" t="str">
        <f t="shared" si="0"/>
        <v>-</v>
      </c>
      <c r="H19" s="287">
        <f>SUM(I19:K19)</f>
        <v>0</v>
      </c>
      <c r="I19" s="288">
        <f>'[5]01.BMC'!I14</f>
        <v>0</v>
      </c>
      <c r="J19" s="288">
        <f>'[5]01.BMC'!J14</f>
        <v>0</v>
      </c>
      <c r="K19" s="289">
        <f>'[5]01.BMC'!K14</f>
        <v>0</v>
      </c>
      <c r="L19" s="287">
        <f>SUM(M19:O19)</f>
        <v>0</v>
      </c>
      <c r="M19" s="288">
        <f>'[5]01.BMC'!M14</f>
        <v>0</v>
      </c>
      <c r="N19" s="288">
        <f>'[5]01.BMC'!N14</f>
        <v>0</v>
      </c>
      <c r="O19" s="289">
        <f>'[5]01.BMC'!O14</f>
        <v>0</v>
      </c>
      <c r="P19" s="287">
        <f>SUM(Q19:S19)</f>
        <v>0</v>
      </c>
      <c r="Q19" s="288">
        <f>'[5]01.BMC'!Q14</f>
        <v>0</v>
      </c>
      <c r="R19" s="288">
        <f>'[5]01.BMC'!R14</f>
        <v>0</v>
      </c>
      <c r="S19" s="289">
        <f>'[5]01.BMC'!S14</f>
        <v>0</v>
      </c>
      <c r="T19" s="287">
        <f>SUM(U19:W19)</f>
        <v>0</v>
      </c>
      <c r="U19" s="288">
        <f>'[5]01.BMC'!U14</f>
        <v>0</v>
      </c>
      <c r="V19" s="288">
        <f>'[5]01.BMC'!V14</f>
        <v>0</v>
      </c>
      <c r="W19" s="289">
        <f>'[5]01.BMC'!W14</f>
        <v>0</v>
      </c>
      <c r="X19" s="287">
        <f>SUM(Y19:AA19)</f>
        <v>0</v>
      </c>
      <c r="Y19" s="288">
        <f>'[5]01.BMC'!Y14</f>
        <v>0</v>
      </c>
      <c r="Z19" s="288">
        <f>'[5]01.BMC'!Z14</f>
        <v>0</v>
      </c>
      <c r="AA19" s="289">
        <f>'[5]01.BMC'!AA14</f>
        <v>0</v>
      </c>
      <c r="AB19" s="287">
        <f>SUM(AC19:AE19)</f>
        <v>0</v>
      </c>
      <c r="AC19" s="288"/>
      <c r="AD19" s="288"/>
      <c r="AE19" s="289"/>
      <c r="AF19" s="287">
        <f>SUM(AG19:AI19)</f>
        <v>0</v>
      </c>
      <c r="AG19" s="288">
        <f>'[5]01.BMC'!AG14</f>
        <v>0</v>
      </c>
      <c r="AH19" s="288">
        <f>'[5]01.BMC'!AH14</f>
        <v>0</v>
      </c>
      <c r="AI19" s="289">
        <f>'[5]01.BMC'!AI14</f>
        <v>0</v>
      </c>
      <c r="AJ19" s="283">
        <f>SUM(AK19:AM19)</f>
        <v>0</v>
      </c>
      <c r="AK19" s="285"/>
      <c r="AL19" s="285"/>
      <c r="AM19" s="286"/>
      <c r="AN19" s="290"/>
      <c r="AO19" s="87" t="str">
        <f t="shared" si="2"/>
        <v>-</v>
      </c>
    </row>
    <row r="20" spans="1:41" s="233" customFormat="1" ht="27.75" hidden="1" customHeight="1" x14ac:dyDescent="0.75">
      <c r="A20" s="77" t="s">
        <v>87</v>
      </c>
      <c r="B20" s="78" t="s">
        <v>106</v>
      </c>
      <c r="C20" s="79">
        <v>73071</v>
      </c>
      <c r="D20" s="80" t="s">
        <v>107</v>
      </c>
      <c r="E20" s="329">
        <f>E147</f>
        <v>0</v>
      </c>
      <c r="F20" s="296">
        <f>H20+P20+X20+AF20</f>
        <v>0</v>
      </c>
      <c r="G20" s="330" t="str">
        <f t="shared" si="0"/>
        <v>-</v>
      </c>
      <c r="H20" s="296">
        <f>SUM(I20:K20)</f>
        <v>0</v>
      </c>
      <c r="I20" s="297">
        <f>I147</f>
        <v>0</v>
      </c>
      <c r="J20" s="297">
        <f>J147</f>
        <v>0</v>
      </c>
      <c r="K20" s="298">
        <f>K147</f>
        <v>0</v>
      </c>
      <c r="L20" s="296">
        <f>SUM(M20:O20)</f>
        <v>0</v>
      </c>
      <c r="M20" s="297">
        <f>M147</f>
        <v>0</v>
      </c>
      <c r="N20" s="297">
        <f>N147</f>
        <v>0</v>
      </c>
      <c r="O20" s="298">
        <f>O147</f>
        <v>0</v>
      </c>
      <c r="P20" s="296">
        <f>SUM(Q20:S20)</f>
        <v>0</v>
      </c>
      <c r="Q20" s="297">
        <f>Q147</f>
        <v>0</v>
      </c>
      <c r="R20" s="297">
        <f>R147</f>
        <v>0</v>
      </c>
      <c r="S20" s="298">
        <f>S147</f>
        <v>0</v>
      </c>
      <c r="T20" s="296">
        <f>SUM(U20:W20)</f>
        <v>0</v>
      </c>
      <c r="U20" s="297">
        <f>U147</f>
        <v>0</v>
      </c>
      <c r="V20" s="297">
        <f>V147</f>
        <v>0</v>
      </c>
      <c r="W20" s="298">
        <f>W147</f>
        <v>0</v>
      </c>
      <c r="X20" s="296">
        <f>SUM(Y20:AA20)</f>
        <v>0</v>
      </c>
      <c r="Y20" s="297">
        <f>Y147</f>
        <v>0</v>
      </c>
      <c r="Z20" s="297">
        <f>Z147</f>
        <v>0</v>
      </c>
      <c r="AA20" s="298">
        <f>AA147</f>
        <v>0</v>
      </c>
      <c r="AB20" s="296">
        <f>SUM(AC20:AE20)</f>
        <v>0</v>
      </c>
      <c r="AC20" s="297">
        <f>AC147</f>
        <v>0</v>
      </c>
      <c r="AD20" s="297">
        <f>AD147</f>
        <v>0</v>
      </c>
      <c r="AE20" s="298">
        <f>AE147</f>
        <v>0</v>
      </c>
      <c r="AF20" s="296">
        <f>SUM(AG20:AI20)</f>
        <v>0</v>
      </c>
      <c r="AG20" s="297">
        <f>AG147</f>
        <v>0</v>
      </c>
      <c r="AH20" s="297">
        <f>AH147</f>
        <v>0</v>
      </c>
      <c r="AI20" s="298">
        <f>AI147</f>
        <v>0</v>
      </c>
      <c r="AJ20" s="292">
        <f>SUM(AK20:AM20)</f>
        <v>0</v>
      </c>
      <c r="AK20" s="294">
        <f>AK147</f>
        <v>0</v>
      </c>
      <c r="AL20" s="294">
        <f>AL147</f>
        <v>0</v>
      </c>
      <c r="AM20" s="295">
        <f>AM147</f>
        <v>0</v>
      </c>
      <c r="AN20" s="299"/>
      <c r="AO20" s="231" t="str">
        <f t="shared" si="2"/>
        <v>-</v>
      </c>
    </row>
    <row r="21" spans="1:41" s="88" customFormat="1" ht="27.75" hidden="1" customHeight="1" x14ac:dyDescent="0.75">
      <c r="A21" s="129" t="s">
        <v>87</v>
      </c>
      <c r="B21" s="130" t="s">
        <v>106</v>
      </c>
      <c r="C21" s="333">
        <v>73072</v>
      </c>
      <c r="D21" s="334" t="s">
        <v>108</v>
      </c>
      <c r="E21" s="335">
        <f>E143+E148</f>
        <v>0</v>
      </c>
      <c r="F21" s="306">
        <f>H21+P21+X21+AF21</f>
        <v>0</v>
      </c>
      <c r="G21" s="336" t="str">
        <f t="shared" si="0"/>
        <v>-</v>
      </c>
      <c r="H21" s="306">
        <f>SUM(I21:K21)</f>
        <v>0</v>
      </c>
      <c r="I21" s="307">
        <f>I143+I148</f>
        <v>0</v>
      </c>
      <c r="J21" s="307">
        <f>J143+J148</f>
        <v>0</v>
      </c>
      <c r="K21" s="308">
        <f>K143+K148</f>
        <v>0</v>
      </c>
      <c r="L21" s="306">
        <f>SUM(M21:O21)</f>
        <v>0</v>
      </c>
      <c r="M21" s="307">
        <f>M143+M148</f>
        <v>0</v>
      </c>
      <c r="N21" s="307">
        <f>N143+N148</f>
        <v>0</v>
      </c>
      <c r="O21" s="308">
        <f>O143+O148</f>
        <v>0</v>
      </c>
      <c r="P21" s="306">
        <f>SUM(Q21:S21)</f>
        <v>0</v>
      </c>
      <c r="Q21" s="307">
        <f>Q143+Q148</f>
        <v>0</v>
      </c>
      <c r="R21" s="307">
        <f>R143+R148</f>
        <v>0</v>
      </c>
      <c r="S21" s="308">
        <f>S143+S148</f>
        <v>0</v>
      </c>
      <c r="T21" s="306">
        <f>SUM(U21:W21)</f>
        <v>0</v>
      </c>
      <c r="U21" s="307">
        <f>U143+U148</f>
        <v>0</v>
      </c>
      <c r="V21" s="307">
        <f>V143+V148</f>
        <v>0</v>
      </c>
      <c r="W21" s="308">
        <f>W143+W148</f>
        <v>0</v>
      </c>
      <c r="X21" s="306">
        <f>SUM(Y21:AA21)</f>
        <v>0</v>
      </c>
      <c r="Y21" s="307">
        <f>Y143+Y148</f>
        <v>0</v>
      </c>
      <c r="Z21" s="307">
        <f>Z143+Z148</f>
        <v>0</v>
      </c>
      <c r="AA21" s="308">
        <f>AA143+AA148</f>
        <v>0</v>
      </c>
      <c r="AB21" s="306">
        <f>SUM(AC21:AE21)</f>
        <v>0</v>
      </c>
      <c r="AC21" s="307">
        <f>AC143+AC148</f>
        <v>0</v>
      </c>
      <c r="AD21" s="307">
        <f>AD143+AD148</f>
        <v>0</v>
      </c>
      <c r="AE21" s="308">
        <f>AE143+AE148</f>
        <v>0</v>
      </c>
      <c r="AF21" s="306">
        <f>SUM(AG21:AI21)</f>
        <v>0</v>
      </c>
      <c r="AG21" s="307">
        <f>AG143+AG148</f>
        <v>0</v>
      </c>
      <c r="AH21" s="307">
        <f>AH143+AH148</f>
        <v>0</v>
      </c>
      <c r="AI21" s="308">
        <f>AI143+AI148</f>
        <v>0</v>
      </c>
      <c r="AJ21" s="309">
        <f>SUM(AK21:AM21)</f>
        <v>0</v>
      </c>
      <c r="AK21" s="310">
        <f>AK143+AK148</f>
        <v>0</v>
      </c>
      <c r="AL21" s="310">
        <f>AL143+AL148</f>
        <v>0</v>
      </c>
      <c r="AM21" s="311">
        <f>AM143+AM148</f>
        <v>0</v>
      </c>
      <c r="AN21" s="337"/>
      <c r="AO21" s="87" t="str">
        <f t="shared" si="2"/>
        <v>-</v>
      </c>
    </row>
    <row r="22" spans="1:41" s="88" customFormat="1" ht="27.75" hidden="1" customHeight="1" x14ac:dyDescent="0.75">
      <c r="A22" s="338"/>
      <c r="B22" s="339"/>
      <c r="C22" s="340"/>
      <c r="D22" s="341" t="s">
        <v>114</v>
      </c>
      <c r="E22" s="342">
        <f>SUM(E23:E26)</f>
        <v>0</v>
      </c>
      <c r="F22" s="322">
        <f>SUM(F23:F26)</f>
        <v>7000</v>
      </c>
      <c r="G22" s="343" t="str">
        <f t="shared" si="0"/>
        <v>-</v>
      </c>
      <c r="H22" s="322">
        <f t="shared" ref="H22" si="6">SUM(H23:H26)</f>
        <v>3000</v>
      </c>
      <c r="I22" s="323">
        <f t="shared" ref="I22:AM22" si="7">SUM(I23:I26)</f>
        <v>0</v>
      </c>
      <c r="J22" s="323">
        <f t="shared" si="7"/>
        <v>0</v>
      </c>
      <c r="K22" s="324">
        <f t="shared" si="7"/>
        <v>3000</v>
      </c>
      <c r="L22" s="322">
        <f t="shared" si="7"/>
        <v>0</v>
      </c>
      <c r="M22" s="323">
        <f t="shared" si="7"/>
        <v>0</v>
      </c>
      <c r="N22" s="323">
        <f t="shared" si="7"/>
        <v>0</v>
      </c>
      <c r="O22" s="324">
        <f t="shared" si="7"/>
        <v>0</v>
      </c>
      <c r="P22" s="322">
        <f t="shared" si="7"/>
        <v>2000</v>
      </c>
      <c r="Q22" s="323">
        <f t="shared" si="7"/>
        <v>0</v>
      </c>
      <c r="R22" s="323">
        <f t="shared" si="7"/>
        <v>0</v>
      </c>
      <c r="S22" s="324">
        <f t="shared" si="7"/>
        <v>2000</v>
      </c>
      <c r="T22" s="322">
        <f t="shared" si="7"/>
        <v>0</v>
      </c>
      <c r="U22" s="323">
        <f t="shared" si="7"/>
        <v>0</v>
      </c>
      <c r="V22" s="323">
        <f t="shared" si="7"/>
        <v>0</v>
      </c>
      <c r="W22" s="324">
        <f t="shared" si="7"/>
        <v>0</v>
      </c>
      <c r="X22" s="322">
        <f t="shared" si="7"/>
        <v>1000</v>
      </c>
      <c r="Y22" s="323">
        <f t="shared" si="7"/>
        <v>0</v>
      </c>
      <c r="Z22" s="323">
        <f t="shared" si="7"/>
        <v>0</v>
      </c>
      <c r="AA22" s="324">
        <f t="shared" si="7"/>
        <v>1000</v>
      </c>
      <c r="AB22" s="322">
        <f t="shared" si="7"/>
        <v>0</v>
      </c>
      <c r="AC22" s="323">
        <f t="shared" si="7"/>
        <v>0</v>
      </c>
      <c r="AD22" s="323">
        <f t="shared" si="7"/>
        <v>0</v>
      </c>
      <c r="AE22" s="324">
        <f t="shared" si="7"/>
        <v>0</v>
      </c>
      <c r="AF22" s="322">
        <f t="shared" si="7"/>
        <v>1000</v>
      </c>
      <c r="AG22" s="323">
        <f t="shared" si="7"/>
        <v>0</v>
      </c>
      <c r="AH22" s="323">
        <f t="shared" si="7"/>
        <v>0</v>
      </c>
      <c r="AI22" s="324">
        <f t="shared" si="7"/>
        <v>1000</v>
      </c>
      <c r="AJ22" s="325">
        <f t="shared" si="7"/>
        <v>0</v>
      </c>
      <c r="AK22" s="326">
        <f t="shared" si="7"/>
        <v>0</v>
      </c>
      <c r="AL22" s="326">
        <f t="shared" si="7"/>
        <v>0</v>
      </c>
      <c r="AM22" s="327">
        <f t="shared" si="7"/>
        <v>0</v>
      </c>
      <c r="AN22" s="344"/>
      <c r="AO22" s="87" t="str">
        <f t="shared" si="2"/>
        <v>OK</v>
      </c>
    </row>
    <row r="23" spans="1:41" s="88" customFormat="1" ht="27.75" hidden="1" customHeight="1" x14ac:dyDescent="0.75">
      <c r="A23" s="77" t="s">
        <v>87</v>
      </c>
      <c r="B23" s="78" t="s">
        <v>65</v>
      </c>
      <c r="C23" s="79">
        <v>73023</v>
      </c>
      <c r="D23" s="80" t="s">
        <v>83</v>
      </c>
      <c r="E23" s="329">
        <f>'[5]01.BMC'!E18</f>
        <v>0</v>
      </c>
      <c r="F23" s="296">
        <f t="shared" ref="F23:F24" si="8">H23+P23+X23+AF23</f>
        <v>7000</v>
      </c>
      <c r="G23" s="330" t="str">
        <f>IFERROR(F23/E23, "-")</f>
        <v>-</v>
      </c>
      <c r="H23" s="296">
        <f>SUM(I23:K23)</f>
        <v>3000</v>
      </c>
      <c r="I23" s="297">
        <f>'[5]02.BTB'!I13</f>
        <v>0</v>
      </c>
      <c r="J23" s="297">
        <f>'[5]02.BTB'!J13</f>
        <v>0</v>
      </c>
      <c r="K23" s="298">
        <f>'[5]02.BTB'!K13</f>
        <v>3000</v>
      </c>
      <c r="L23" s="296">
        <f>SUM(M23:O23)</f>
        <v>0</v>
      </c>
      <c r="M23" s="297">
        <f>'[5]02.BTB'!M13</f>
        <v>0</v>
      </c>
      <c r="N23" s="297">
        <f>'[5]02.BTB'!N13</f>
        <v>0</v>
      </c>
      <c r="O23" s="298">
        <f>'[5]02.BTB'!O13</f>
        <v>0</v>
      </c>
      <c r="P23" s="296">
        <f>SUM(Q23:S23)</f>
        <v>2000</v>
      </c>
      <c r="Q23" s="297">
        <f>'[5]02.BTB'!Q13</f>
        <v>0</v>
      </c>
      <c r="R23" s="297">
        <f>'[5]02.BTB'!R13</f>
        <v>0</v>
      </c>
      <c r="S23" s="298">
        <f>'[5]02.BTB'!S13</f>
        <v>2000</v>
      </c>
      <c r="T23" s="296">
        <f>SUM(U23:W23)</f>
        <v>0</v>
      </c>
      <c r="U23" s="297">
        <f>'[5]02.BTB'!U13</f>
        <v>0</v>
      </c>
      <c r="V23" s="297">
        <f>'[5]02.BTB'!V13</f>
        <v>0</v>
      </c>
      <c r="W23" s="298">
        <f>'[5]02.BTB'!W13</f>
        <v>0</v>
      </c>
      <c r="X23" s="296">
        <f>SUM(Y23:AA23)</f>
        <v>1000</v>
      </c>
      <c r="Y23" s="297">
        <f>'[5]02.BTB'!Y13</f>
        <v>0</v>
      </c>
      <c r="Z23" s="297">
        <f>'[5]02.BTB'!Z13</f>
        <v>0</v>
      </c>
      <c r="AA23" s="298">
        <f>'[5]02.BTB'!AA13</f>
        <v>1000</v>
      </c>
      <c r="AB23" s="296">
        <f>SUM(AC23:AE23)</f>
        <v>0</v>
      </c>
      <c r="AC23" s="297">
        <f>'[5]02.BTB'!AC13</f>
        <v>0</v>
      </c>
      <c r="AD23" s="297">
        <f>'[5]02.BTB'!AD13</f>
        <v>0</v>
      </c>
      <c r="AE23" s="298">
        <f>'[5]02.BTB'!AE13</f>
        <v>0</v>
      </c>
      <c r="AF23" s="296">
        <f>SUM(AG23:AI23)</f>
        <v>1000</v>
      </c>
      <c r="AG23" s="297">
        <f>'[5]02.BTB'!AG13</f>
        <v>0</v>
      </c>
      <c r="AH23" s="297">
        <f>'[5]02.BTB'!AH13</f>
        <v>0</v>
      </c>
      <c r="AI23" s="298">
        <f>'[5]02.BTB'!AI13</f>
        <v>1000</v>
      </c>
      <c r="AJ23" s="292">
        <f>SUM(AK23:AM23)</f>
        <v>0</v>
      </c>
      <c r="AK23" s="294">
        <f>'[5]02.BTB'!AK13</f>
        <v>0</v>
      </c>
      <c r="AL23" s="294">
        <f>'[5]02.BTB'!AL13</f>
        <v>0</v>
      </c>
      <c r="AM23" s="295">
        <f>'[5]02.BTB'!AM13</f>
        <v>0</v>
      </c>
      <c r="AN23" s="299"/>
      <c r="AO23" s="87" t="str">
        <f t="shared" si="2"/>
        <v>OK</v>
      </c>
    </row>
    <row r="24" spans="1:41" s="88" customFormat="1" ht="27.75" hidden="1" customHeight="1" x14ac:dyDescent="0.75">
      <c r="A24" s="91" t="s">
        <v>87</v>
      </c>
      <c r="B24" s="92" t="s">
        <v>69</v>
      </c>
      <c r="C24" s="93">
        <v>73066</v>
      </c>
      <c r="D24" s="94" t="s">
        <v>70</v>
      </c>
      <c r="E24" s="331">
        <f>'[5]01.BMC'!E19</f>
        <v>0</v>
      </c>
      <c r="F24" s="287">
        <f t="shared" si="8"/>
        <v>0</v>
      </c>
      <c r="G24" s="332" t="str">
        <f t="shared" ref="G24:G27" si="9">IFERROR(F24/E24, "-")</f>
        <v>-</v>
      </c>
      <c r="H24" s="287">
        <f>SUM(I24:K24)</f>
        <v>0</v>
      </c>
      <c r="I24" s="288">
        <f>'[5]02.BTB'!I14</f>
        <v>0</v>
      </c>
      <c r="J24" s="288">
        <f>'[5]02.BTB'!J14</f>
        <v>0</v>
      </c>
      <c r="K24" s="289">
        <f>'[5]02.BTB'!K14</f>
        <v>0</v>
      </c>
      <c r="L24" s="287">
        <f>SUM(M24:O24)</f>
        <v>0</v>
      </c>
      <c r="M24" s="288">
        <f>'[5]02.BTB'!M14</f>
        <v>0</v>
      </c>
      <c r="N24" s="288">
        <f>'[5]02.BTB'!N14</f>
        <v>0</v>
      </c>
      <c r="O24" s="289">
        <f>'[5]02.BTB'!O14</f>
        <v>0</v>
      </c>
      <c r="P24" s="287">
        <f>SUM(Q24:S24)</f>
        <v>0</v>
      </c>
      <c r="Q24" s="288">
        <f>'[5]02.BTB'!Q14</f>
        <v>0</v>
      </c>
      <c r="R24" s="288">
        <f>'[5]02.BTB'!R14</f>
        <v>0</v>
      </c>
      <c r="S24" s="289">
        <f>'[5]02.BTB'!S14</f>
        <v>0</v>
      </c>
      <c r="T24" s="287">
        <f>SUM(U24:W24)</f>
        <v>0</v>
      </c>
      <c r="U24" s="288">
        <f>'[5]02.BTB'!U14</f>
        <v>0</v>
      </c>
      <c r="V24" s="288">
        <f>'[5]02.BTB'!V14</f>
        <v>0</v>
      </c>
      <c r="W24" s="289">
        <f>'[5]02.BTB'!W14</f>
        <v>0</v>
      </c>
      <c r="X24" s="287">
        <f>SUM(Y24:AA24)</f>
        <v>0</v>
      </c>
      <c r="Y24" s="288">
        <f>'[5]02.BTB'!Y14</f>
        <v>0</v>
      </c>
      <c r="Z24" s="288">
        <f>'[5]02.BTB'!Z14</f>
        <v>0</v>
      </c>
      <c r="AA24" s="289">
        <f>'[5]02.BTB'!AA14</f>
        <v>0</v>
      </c>
      <c r="AB24" s="287">
        <f>SUM(AC24:AE24)</f>
        <v>0</v>
      </c>
      <c r="AC24" s="288">
        <f>'[5]02.BTB'!AC14</f>
        <v>0</v>
      </c>
      <c r="AD24" s="288">
        <f>'[5]02.BTB'!AD14</f>
        <v>0</v>
      </c>
      <c r="AE24" s="289">
        <f>'[5]02.BTB'!AE14</f>
        <v>0</v>
      </c>
      <c r="AF24" s="287">
        <f>SUM(AG24:AI24)</f>
        <v>0</v>
      </c>
      <c r="AG24" s="288">
        <f>'[5]02.BTB'!AG14</f>
        <v>0</v>
      </c>
      <c r="AH24" s="288">
        <f>'[5]02.BTB'!AH14</f>
        <v>0</v>
      </c>
      <c r="AI24" s="289">
        <f>'[5]02.BTB'!AI14</f>
        <v>0</v>
      </c>
      <c r="AJ24" s="283">
        <f>SUM(AK24:AM24)</f>
        <v>0</v>
      </c>
      <c r="AK24" s="285">
        <f>'[5]02.BTB'!AK14</f>
        <v>0</v>
      </c>
      <c r="AL24" s="285">
        <f>'[5]02.BTB'!AL14</f>
        <v>0</v>
      </c>
      <c r="AM24" s="286">
        <f>'[5]02.BTB'!AM14</f>
        <v>0</v>
      </c>
      <c r="AN24" s="290"/>
      <c r="AO24" s="87" t="str">
        <f t="shared" si="2"/>
        <v>-</v>
      </c>
    </row>
    <row r="25" spans="1:41" s="233" customFormat="1" ht="27.75" hidden="1" customHeight="1" x14ac:dyDescent="0.75">
      <c r="A25" s="77" t="s">
        <v>87</v>
      </c>
      <c r="B25" s="78" t="s">
        <v>106</v>
      </c>
      <c r="C25" s="79">
        <v>73071</v>
      </c>
      <c r="D25" s="80" t="s">
        <v>107</v>
      </c>
      <c r="E25" s="329">
        <f>E152</f>
        <v>0</v>
      </c>
      <c r="F25" s="296">
        <f>H25+P25+X25+AF25</f>
        <v>0</v>
      </c>
      <c r="G25" s="330" t="str">
        <f t="shared" si="9"/>
        <v>-</v>
      </c>
      <c r="H25" s="296">
        <f>SUM(I25:K25)</f>
        <v>0</v>
      </c>
      <c r="I25" s="297">
        <f>'[5]02.BTB'!I15</f>
        <v>0</v>
      </c>
      <c r="J25" s="297">
        <f>'[5]02.BTB'!J15</f>
        <v>0</v>
      </c>
      <c r="K25" s="298">
        <f>'[5]02.BTB'!K15</f>
        <v>0</v>
      </c>
      <c r="L25" s="296">
        <f>SUM(M25:O25)</f>
        <v>0</v>
      </c>
      <c r="M25" s="297">
        <f>'[5]02.BTB'!M15</f>
        <v>0</v>
      </c>
      <c r="N25" s="297">
        <f>'[5]02.BTB'!N15</f>
        <v>0</v>
      </c>
      <c r="O25" s="298">
        <f>'[5]02.BTB'!O15</f>
        <v>0</v>
      </c>
      <c r="P25" s="296">
        <f>SUM(Q25:S25)</f>
        <v>0</v>
      </c>
      <c r="Q25" s="297">
        <f>'[5]02.BTB'!Q15</f>
        <v>0</v>
      </c>
      <c r="R25" s="297">
        <f>'[5]02.BTB'!R15</f>
        <v>0</v>
      </c>
      <c r="S25" s="298">
        <f>'[5]02.BTB'!S15</f>
        <v>0</v>
      </c>
      <c r="T25" s="296">
        <f>SUM(U25:W25)</f>
        <v>0</v>
      </c>
      <c r="U25" s="297">
        <f>'[5]02.BTB'!U15</f>
        <v>0</v>
      </c>
      <c r="V25" s="297">
        <f>'[5]02.BTB'!V15</f>
        <v>0</v>
      </c>
      <c r="W25" s="298">
        <f>'[5]02.BTB'!W15</f>
        <v>0</v>
      </c>
      <c r="X25" s="296">
        <f>SUM(Y25:AA25)</f>
        <v>0</v>
      </c>
      <c r="Y25" s="297">
        <f>'[5]02.BTB'!Y15</f>
        <v>0</v>
      </c>
      <c r="Z25" s="297">
        <f>'[5]02.BTB'!Z15</f>
        <v>0</v>
      </c>
      <c r="AA25" s="298">
        <f>'[5]02.BTB'!AA15</f>
        <v>0</v>
      </c>
      <c r="AB25" s="296">
        <f>SUM(AC25:AE25)</f>
        <v>0</v>
      </c>
      <c r="AC25" s="297">
        <f>'[5]02.BTB'!AC15</f>
        <v>0</v>
      </c>
      <c r="AD25" s="297">
        <f>'[5]02.BTB'!AD15</f>
        <v>0</v>
      </c>
      <c r="AE25" s="298">
        <f>'[5]02.BTB'!AE15</f>
        <v>0</v>
      </c>
      <c r="AF25" s="296">
        <f>SUM(AG25:AI25)</f>
        <v>0</v>
      </c>
      <c r="AG25" s="297">
        <f>'[5]02.BTB'!AG15</f>
        <v>0</v>
      </c>
      <c r="AH25" s="297">
        <f>'[5]02.BTB'!AH15</f>
        <v>0</v>
      </c>
      <c r="AI25" s="298">
        <f>'[5]02.BTB'!AI15</f>
        <v>0</v>
      </c>
      <c r="AJ25" s="292">
        <f>SUM(AK25:AM25)</f>
        <v>0</v>
      </c>
      <c r="AK25" s="294">
        <f>'[5]02.BTB'!AK15</f>
        <v>0</v>
      </c>
      <c r="AL25" s="294">
        <f>'[5]02.BTB'!AL15</f>
        <v>0</v>
      </c>
      <c r="AM25" s="295">
        <f>'[5]02.BTB'!AM15</f>
        <v>0</v>
      </c>
      <c r="AN25" s="299"/>
      <c r="AO25" s="231" t="str">
        <f t="shared" si="2"/>
        <v>-</v>
      </c>
    </row>
    <row r="26" spans="1:41" s="88" customFormat="1" ht="27.75" hidden="1" customHeight="1" x14ac:dyDescent="0.75">
      <c r="A26" s="129" t="s">
        <v>87</v>
      </c>
      <c r="B26" s="130" t="s">
        <v>106</v>
      </c>
      <c r="C26" s="333">
        <v>73072</v>
      </c>
      <c r="D26" s="334" t="s">
        <v>108</v>
      </c>
      <c r="E26" s="335">
        <f>E148+E153</f>
        <v>0</v>
      </c>
      <c r="F26" s="306">
        <f>H26+P26+X26+AF26</f>
        <v>0</v>
      </c>
      <c r="G26" s="336" t="str">
        <f t="shared" si="9"/>
        <v>-</v>
      </c>
      <c r="H26" s="306">
        <f>SUM(I26:K26)</f>
        <v>0</v>
      </c>
      <c r="I26" s="307">
        <f>'[5]02.BTB'!I16</f>
        <v>0</v>
      </c>
      <c r="J26" s="307">
        <f>'[5]02.BTB'!J16</f>
        <v>0</v>
      </c>
      <c r="K26" s="308">
        <f>'[5]02.BTB'!K16</f>
        <v>0</v>
      </c>
      <c r="L26" s="306">
        <f>SUM(M26:O26)</f>
        <v>0</v>
      </c>
      <c r="M26" s="307">
        <f>'[5]02.BTB'!M16</f>
        <v>0</v>
      </c>
      <c r="N26" s="307">
        <f>'[5]02.BTB'!N16</f>
        <v>0</v>
      </c>
      <c r="O26" s="308">
        <f>'[5]02.BTB'!O16</f>
        <v>0</v>
      </c>
      <c r="P26" s="306">
        <f>SUM(Q26:S26)</f>
        <v>0</v>
      </c>
      <c r="Q26" s="307">
        <f>'[5]02.BTB'!Q16</f>
        <v>0</v>
      </c>
      <c r="R26" s="307">
        <f>'[5]02.BTB'!R16</f>
        <v>0</v>
      </c>
      <c r="S26" s="308">
        <f>'[5]02.BTB'!S16</f>
        <v>0</v>
      </c>
      <c r="T26" s="306">
        <f>SUM(U26:W26)</f>
        <v>0</v>
      </c>
      <c r="U26" s="307">
        <f>'[5]02.BTB'!U16</f>
        <v>0</v>
      </c>
      <c r="V26" s="307">
        <f>'[5]02.BTB'!V16</f>
        <v>0</v>
      </c>
      <c r="W26" s="308">
        <f>'[5]02.BTB'!W16</f>
        <v>0</v>
      </c>
      <c r="X26" s="306">
        <f>SUM(Y26:AA26)</f>
        <v>0</v>
      </c>
      <c r="Y26" s="307">
        <f>'[5]02.BTB'!Y16</f>
        <v>0</v>
      </c>
      <c r="Z26" s="307">
        <f>'[5]02.BTB'!Z16</f>
        <v>0</v>
      </c>
      <c r="AA26" s="308">
        <f>'[5]02.BTB'!AA16</f>
        <v>0</v>
      </c>
      <c r="AB26" s="306">
        <f>SUM(AC26:AE26)</f>
        <v>0</v>
      </c>
      <c r="AC26" s="307">
        <f>'[5]02.BTB'!AC16</f>
        <v>0</v>
      </c>
      <c r="AD26" s="307">
        <f>'[5]02.BTB'!AD16</f>
        <v>0</v>
      </c>
      <c r="AE26" s="308">
        <f>'[5]02.BTB'!AE16</f>
        <v>0</v>
      </c>
      <c r="AF26" s="306">
        <f>SUM(AG26:AI26)</f>
        <v>0</v>
      </c>
      <c r="AG26" s="307">
        <f>'[5]02.BTB'!AG16</f>
        <v>0</v>
      </c>
      <c r="AH26" s="307">
        <f>'[5]02.BTB'!AH16</f>
        <v>0</v>
      </c>
      <c r="AI26" s="308">
        <f>'[5]02.BTB'!AI16</f>
        <v>0</v>
      </c>
      <c r="AJ26" s="309">
        <f>SUM(AK26:AM26)</f>
        <v>0</v>
      </c>
      <c r="AK26" s="310">
        <f>'[5]02.BTB'!AK16</f>
        <v>0</v>
      </c>
      <c r="AL26" s="310">
        <f>'[5]02.BTB'!AL16</f>
        <v>0</v>
      </c>
      <c r="AM26" s="311">
        <f>'[5]02.BTB'!AM16</f>
        <v>0</v>
      </c>
      <c r="AN26" s="337"/>
      <c r="AO26" s="87" t="str">
        <f t="shared" si="2"/>
        <v>-</v>
      </c>
    </row>
    <row r="27" spans="1:41" s="88" customFormat="1" ht="27.75" hidden="1" customHeight="1" x14ac:dyDescent="0.75">
      <c r="A27" s="338"/>
      <c r="B27" s="339"/>
      <c r="C27" s="340"/>
      <c r="D27" s="341" t="s">
        <v>115</v>
      </c>
      <c r="E27" s="342">
        <f>SUM(E28:E31)</f>
        <v>0</v>
      </c>
      <c r="F27" s="322">
        <f>SUM(F28:F31)</f>
        <v>0</v>
      </c>
      <c r="G27" s="343" t="str">
        <f t="shared" si="9"/>
        <v>-</v>
      </c>
      <c r="H27" s="322">
        <f t="shared" ref="H27:AM27" si="10">SUM(H28:H31)</f>
        <v>0</v>
      </c>
      <c r="I27" s="323">
        <f t="shared" si="10"/>
        <v>0</v>
      </c>
      <c r="J27" s="323">
        <f t="shared" si="10"/>
        <v>0</v>
      </c>
      <c r="K27" s="324">
        <f t="shared" si="10"/>
        <v>0</v>
      </c>
      <c r="L27" s="322">
        <f t="shared" si="10"/>
        <v>0</v>
      </c>
      <c r="M27" s="323">
        <f t="shared" si="10"/>
        <v>0</v>
      </c>
      <c r="N27" s="323">
        <f t="shared" si="10"/>
        <v>0</v>
      </c>
      <c r="O27" s="324">
        <f t="shared" si="10"/>
        <v>0</v>
      </c>
      <c r="P27" s="322">
        <f t="shared" si="10"/>
        <v>0</v>
      </c>
      <c r="Q27" s="323">
        <f t="shared" si="10"/>
        <v>0</v>
      </c>
      <c r="R27" s="323">
        <f t="shared" si="10"/>
        <v>0</v>
      </c>
      <c r="S27" s="324">
        <f t="shared" si="10"/>
        <v>0</v>
      </c>
      <c r="T27" s="322">
        <f t="shared" si="10"/>
        <v>0</v>
      </c>
      <c r="U27" s="323">
        <f t="shared" si="10"/>
        <v>0</v>
      </c>
      <c r="V27" s="323">
        <f t="shared" si="10"/>
        <v>0</v>
      </c>
      <c r="W27" s="324">
        <f t="shared" si="10"/>
        <v>0</v>
      </c>
      <c r="X27" s="322">
        <f t="shared" si="10"/>
        <v>0</v>
      </c>
      <c r="Y27" s="323">
        <f t="shared" si="10"/>
        <v>0</v>
      </c>
      <c r="Z27" s="323">
        <f t="shared" si="10"/>
        <v>0</v>
      </c>
      <c r="AA27" s="324">
        <f t="shared" si="10"/>
        <v>0</v>
      </c>
      <c r="AB27" s="322">
        <f t="shared" si="10"/>
        <v>0</v>
      </c>
      <c r="AC27" s="323">
        <f t="shared" si="10"/>
        <v>0</v>
      </c>
      <c r="AD27" s="323">
        <f t="shared" si="10"/>
        <v>0</v>
      </c>
      <c r="AE27" s="324">
        <f t="shared" si="10"/>
        <v>0</v>
      </c>
      <c r="AF27" s="322">
        <f t="shared" si="10"/>
        <v>0</v>
      </c>
      <c r="AG27" s="323">
        <f t="shared" si="10"/>
        <v>0</v>
      </c>
      <c r="AH27" s="323">
        <f t="shared" si="10"/>
        <v>0</v>
      </c>
      <c r="AI27" s="324">
        <f t="shared" si="10"/>
        <v>0</v>
      </c>
      <c r="AJ27" s="325">
        <f t="shared" si="10"/>
        <v>0</v>
      </c>
      <c r="AK27" s="326">
        <f t="shared" si="10"/>
        <v>0</v>
      </c>
      <c r="AL27" s="326">
        <f t="shared" si="10"/>
        <v>0</v>
      </c>
      <c r="AM27" s="327">
        <f t="shared" si="10"/>
        <v>0</v>
      </c>
      <c r="AN27" s="344"/>
      <c r="AO27" s="87" t="str">
        <f t="shared" ref="AO27:AO90" si="11">IF(SUM(E27:F27)&lt;&gt;0, "OK", "-")</f>
        <v>-</v>
      </c>
    </row>
    <row r="28" spans="1:41" s="88" customFormat="1" ht="27.75" hidden="1" customHeight="1" x14ac:dyDescent="0.75">
      <c r="A28" s="77" t="s">
        <v>87</v>
      </c>
      <c r="B28" s="78" t="s">
        <v>65</v>
      </c>
      <c r="C28" s="79">
        <v>73023</v>
      </c>
      <c r="D28" s="80" t="s">
        <v>83</v>
      </c>
      <c r="E28" s="329">
        <f>'[5]01.BMC'!E23</f>
        <v>0</v>
      </c>
      <c r="F28" s="296">
        <f t="shared" ref="F28:F29" si="12">H28+P28+X28+AF28</f>
        <v>0</v>
      </c>
      <c r="G28" s="330" t="str">
        <f>IFERROR(F28/E28, "-")</f>
        <v>-</v>
      </c>
      <c r="H28" s="296">
        <f>SUM(I28:K28)</f>
        <v>0</v>
      </c>
      <c r="I28" s="297">
        <f>'[5]01.BMC'!I23</f>
        <v>0</v>
      </c>
      <c r="J28" s="297">
        <f>'[5]01.BMC'!J23</f>
        <v>0</v>
      </c>
      <c r="K28" s="298">
        <f>'[5]01.BMC'!K23</f>
        <v>0</v>
      </c>
      <c r="L28" s="296">
        <f>SUM(M28:O28)</f>
        <v>0</v>
      </c>
      <c r="M28" s="297">
        <f>'[5]01.BMC'!M23</f>
        <v>0</v>
      </c>
      <c r="N28" s="297">
        <f>'[5]01.BMC'!N23</f>
        <v>0</v>
      </c>
      <c r="O28" s="298">
        <f>'[5]01.BMC'!O23</f>
        <v>0</v>
      </c>
      <c r="P28" s="296">
        <f>SUM(Q28:S28)</f>
        <v>0</v>
      </c>
      <c r="Q28" s="297">
        <f>'[5]01.BMC'!Q23</f>
        <v>0</v>
      </c>
      <c r="R28" s="297">
        <f>'[5]01.BMC'!R23</f>
        <v>0</v>
      </c>
      <c r="S28" s="298">
        <f>'[5]01.BMC'!S23</f>
        <v>0</v>
      </c>
      <c r="T28" s="296">
        <f>SUM(U28:W28)</f>
        <v>0</v>
      </c>
      <c r="U28" s="297">
        <f>'[5]01.BMC'!U23</f>
        <v>0</v>
      </c>
      <c r="V28" s="297">
        <f>'[5]01.BMC'!V23</f>
        <v>0</v>
      </c>
      <c r="W28" s="298">
        <f>'[5]01.BMC'!W23</f>
        <v>0</v>
      </c>
      <c r="X28" s="296">
        <f>SUM(Y28:AA28)</f>
        <v>0</v>
      </c>
      <c r="Y28" s="297">
        <f>'[5]01.BMC'!Y23</f>
        <v>0</v>
      </c>
      <c r="Z28" s="297">
        <f>'[5]01.BMC'!Z23</f>
        <v>0</v>
      </c>
      <c r="AA28" s="298">
        <f>'[5]01.BMC'!AA23</f>
        <v>0</v>
      </c>
      <c r="AB28" s="296">
        <f>SUM(AC28:AE28)</f>
        <v>0</v>
      </c>
      <c r="AC28" s="297"/>
      <c r="AD28" s="297"/>
      <c r="AE28" s="298"/>
      <c r="AF28" s="296">
        <f>SUM(AG28:AI28)</f>
        <v>0</v>
      </c>
      <c r="AG28" s="297">
        <f>'[5]01.BMC'!AG23</f>
        <v>0</v>
      </c>
      <c r="AH28" s="297">
        <f>'[5]01.BMC'!AH23</f>
        <v>0</v>
      </c>
      <c r="AI28" s="298">
        <f>'[5]01.BMC'!AI23</f>
        <v>0</v>
      </c>
      <c r="AJ28" s="292">
        <f>SUM(AK28:AM28)</f>
        <v>0</v>
      </c>
      <c r="AK28" s="294"/>
      <c r="AL28" s="294"/>
      <c r="AM28" s="295"/>
      <c r="AN28" s="299"/>
      <c r="AO28" s="87" t="str">
        <f t="shared" si="11"/>
        <v>-</v>
      </c>
    </row>
    <row r="29" spans="1:41" s="88" customFormat="1" ht="27.75" hidden="1" customHeight="1" x14ac:dyDescent="0.75">
      <c r="A29" s="91" t="s">
        <v>87</v>
      </c>
      <c r="B29" s="92" t="s">
        <v>69</v>
      </c>
      <c r="C29" s="93">
        <v>73066</v>
      </c>
      <c r="D29" s="94" t="s">
        <v>70</v>
      </c>
      <c r="E29" s="331">
        <f>'[5]01.BMC'!E24</f>
        <v>0</v>
      </c>
      <c r="F29" s="287">
        <f t="shared" si="12"/>
        <v>0</v>
      </c>
      <c r="G29" s="332" t="str">
        <f t="shared" ref="G29:G32" si="13">IFERROR(F29/E29, "-")</f>
        <v>-</v>
      </c>
      <c r="H29" s="287">
        <f>SUM(I29:K29)</f>
        <v>0</v>
      </c>
      <c r="I29" s="288">
        <f>'[5]01.BMC'!I24</f>
        <v>0</v>
      </c>
      <c r="J29" s="288">
        <f>'[5]01.BMC'!J24</f>
        <v>0</v>
      </c>
      <c r="K29" s="289">
        <f>'[5]01.BMC'!K24</f>
        <v>0</v>
      </c>
      <c r="L29" s="287">
        <f>SUM(M29:O29)</f>
        <v>0</v>
      </c>
      <c r="M29" s="288">
        <f>'[5]01.BMC'!M24</f>
        <v>0</v>
      </c>
      <c r="N29" s="288">
        <f>'[5]01.BMC'!N24</f>
        <v>0</v>
      </c>
      <c r="O29" s="289">
        <f>'[5]01.BMC'!O24</f>
        <v>0</v>
      </c>
      <c r="P29" s="287">
        <f>SUM(Q29:S29)</f>
        <v>0</v>
      </c>
      <c r="Q29" s="288">
        <f>'[5]01.BMC'!Q24</f>
        <v>0</v>
      </c>
      <c r="R29" s="288">
        <f>'[5]01.BMC'!R24</f>
        <v>0</v>
      </c>
      <c r="S29" s="289">
        <f>'[5]01.BMC'!S24</f>
        <v>0</v>
      </c>
      <c r="T29" s="287">
        <f>SUM(U29:W29)</f>
        <v>0</v>
      </c>
      <c r="U29" s="288">
        <f>'[5]01.BMC'!U24</f>
        <v>0</v>
      </c>
      <c r="V29" s="288">
        <f>'[5]01.BMC'!V24</f>
        <v>0</v>
      </c>
      <c r="W29" s="289">
        <f>'[5]01.BMC'!W24</f>
        <v>0</v>
      </c>
      <c r="X29" s="287">
        <f>SUM(Y29:AA29)</f>
        <v>0</v>
      </c>
      <c r="Y29" s="288">
        <f>'[5]01.BMC'!Y24</f>
        <v>0</v>
      </c>
      <c r="Z29" s="288">
        <f>'[5]01.BMC'!Z24</f>
        <v>0</v>
      </c>
      <c r="AA29" s="289">
        <f>'[5]01.BMC'!AA24</f>
        <v>0</v>
      </c>
      <c r="AB29" s="287">
        <f>SUM(AC29:AE29)</f>
        <v>0</v>
      </c>
      <c r="AC29" s="288"/>
      <c r="AD29" s="288"/>
      <c r="AE29" s="289"/>
      <c r="AF29" s="287">
        <f>SUM(AG29:AI29)</f>
        <v>0</v>
      </c>
      <c r="AG29" s="288">
        <f>'[5]01.BMC'!AG24</f>
        <v>0</v>
      </c>
      <c r="AH29" s="288">
        <f>'[5]01.BMC'!AH24</f>
        <v>0</v>
      </c>
      <c r="AI29" s="289">
        <f>'[5]01.BMC'!AI24</f>
        <v>0</v>
      </c>
      <c r="AJ29" s="283">
        <f>SUM(AK29:AM29)</f>
        <v>0</v>
      </c>
      <c r="AK29" s="285"/>
      <c r="AL29" s="285"/>
      <c r="AM29" s="286"/>
      <c r="AN29" s="290"/>
      <c r="AO29" s="87" t="str">
        <f t="shared" si="11"/>
        <v>-</v>
      </c>
    </row>
    <row r="30" spans="1:41" s="233" customFormat="1" ht="27.75" hidden="1" customHeight="1" x14ac:dyDescent="0.75">
      <c r="A30" s="77" t="s">
        <v>87</v>
      </c>
      <c r="B30" s="78" t="s">
        <v>106</v>
      </c>
      <c r="C30" s="79">
        <v>73071</v>
      </c>
      <c r="D30" s="80" t="s">
        <v>107</v>
      </c>
      <c r="E30" s="329">
        <f>E157</f>
        <v>0</v>
      </c>
      <c r="F30" s="296">
        <f>H30+P30+X30+AF30</f>
        <v>0</v>
      </c>
      <c r="G30" s="330" t="str">
        <f t="shared" si="13"/>
        <v>-</v>
      </c>
      <c r="H30" s="296">
        <f>SUM(I30:K30)</f>
        <v>0</v>
      </c>
      <c r="I30" s="297">
        <f>I157</f>
        <v>0</v>
      </c>
      <c r="J30" s="297">
        <f>J157</f>
        <v>0</v>
      </c>
      <c r="K30" s="298">
        <f>K157</f>
        <v>0</v>
      </c>
      <c r="L30" s="296">
        <f>SUM(M30:O30)</f>
        <v>0</v>
      </c>
      <c r="M30" s="297">
        <f>M157</f>
        <v>0</v>
      </c>
      <c r="N30" s="297">
        <f>N157</f>
        <v>0</v>
      </c>
      <c r="O30" s="298">
        <f>O157</f>
        <v>0</v>
      </c>
      <c r="P30" s="296">
        <f>SUM(Q30:S30)</f>
        <v>0</v>
      </c>
      <c r="Q30" s="297">
        <f>Q157</f>
        <v>0</v>
      </c>
      <c r="R30" s="297">
        <f>R157</f>
        <v>0</v>
      </c>
      <c r="S30" s="298">
        <f>S157</f>
        <v>0</v>
      </c>
      <c r="T30" s="296">
        <f>SUM(U30:W30)</f>
        <v>0</v>
      </c>
      <c r="U30" s="297">
        <f>U157</f>
        <v>0</v>
      </c>
      <c r="V30" s="297">
        <f>V157</f>
        <v>0</v>
      </c>
      <c r="W30" s="298">
        <f>W157</f>
        <v>0</v>
      </c>
      <c r="X30" s="296">
        <f>SUM(Y30:AA30)</f>
        <v>0</v>
      </c>
      <c r="Y30" s="297">
        <f>Y157</f>
        <v>0</v>
      </c>
      <c r="Z30" s="297">
        <f>Z157</f>
        <v>0</v>
      </c>
      <c r="AA30" s="298">
        <f>AA157</f>
        <v>0</v>
      </c>
      <c r="AB30" s="296">
        <f>SUM(AC30:AE30)</f>
        <v>0</v>
      </c>
      <c r="AC30" s="297">
        <f>AC157</f>
        <v>0</v>
      </c>
      <c r="AD30" s="297">
        <f>AD157</f>
        <v>0</v>
      </c>
      <c r="AE30" s="298">
        <f>AE157</f>
        <v>0</v>
      </c>
      <c r="AF30" s="296">
        <f>SUM(AG30:AI30)</f>
        <v>0</v>
      </c>
      <c r="AG30" s="297">
        <f>AG157</f>
        <v>0</v>
      </c>
      <c r="AH30" s="297">
        <f>AH157</f>
        <v>0</v>
      </c>
      <c r="AI30" s="298">
        <f>AI157</f>
        <v>0</v>
      </c>
      <c r="AJ30" s="292">
        <f>SUM(AK30:AM30)</f>
        <v>0</v>
      </c>
      <c r="AK30" s="294">
        <f>AK157</f>
        <v>0</v>
      </c>
      <c r="AL30" s="294">
        <f>AL157</f>
        <v>0</v>
      </c>
      <c r="AM30" s="295">
        <f>AM157</f>
        <v>0</v>
      </c>
      <c r="AN30" s="299"/>
      <c r="AO30" s="231" t="str">
        <f t="shared" si="11"/>
        <v>-</v>
      </c>
    </row>
    <row r="31" spans="1:41" s="88" customFormat="1" ht="27.75" hidden="1" customHeight="1" x14ac:dyDescent="0.75">
      <c r="A31" s="129" t="s">
        <v>87</v>
      </c>
      <c r="B31" s="130" t="s">
        <v>106</v>
      </c>
      <c r="C31" s="333">
        <v>73072</v>
      </c>
      <c r="D31" s="334" t="s">
        <v>108</v>
      </c>
      <c r="E31" s="335">
        <f>E153+E158</f>
        <v>0</v>
      </c>
      <c r="F31" s="306">
        <f>H31+P31+X31+AF31</f>
        <v>0</v>
      </c>
      <c r="G31" s="336" t="str">
        <f t="shared" si="13"/>
        <v>-</v>
      </c>
      <c r="H31" s="306">
        <f>SUM(I31:K31)</f>
        <v>0</v>
      </c>
      <c r="I31" s="307">
        <f>I153+I158</f>
        <v>0</v>
      </c>
      <c r="J31" s="307">
        <f>J153+J158</f>
        <v>0</v>
      </c>
      <c r="K31" s="308">
        <f>K153+K158</f>
        <v>0</v>
      </c>
      <c r="L31" s="306">
        <f>SUM(M31:O31)</f>
        <v>0</v>
      </c>
      <c r="M31" s="307">
        <f>M153+M158</f>
        <v>0</v>
      </c>
      <c r="N31" s="307">
        <f>N153+N158</f>
        <v>0</v>
      </c>
      <c r="O31" s="308">
        <f>O153+O158</f>
        <v>0</v>
      </c>
      <c r="P31" s="306">
        <f>SUM(Q31:S31)</f>
        <v>0</v>
      </c>
      <c r="Q31" s="307">
        <f>Q153+Q158</f>
        <v>0</v>
      </c>
      <c r="R31" s="307">
        <f>R153+R158</f>
        <v>0</v>
      </c>
      <c r="S31" s="308">
        <f>S153+S158</f>
        <v>0</v>
      </c>
      <c r="T31" s="306">
        <f>SUM(U31:W31)</f>
        <v>0</v>
      </c>
      <c r="U31" s="307">
        <f>U153+U158</f>
        <v>0</v>
      </c>
      <c r="V31" s="307">
        <f>V153+V158</f>
        <v>0</v>
      </c>
      <c r="W31" s="308">
        <f>W153+W158</f>
        <v>0</v>
      </c>
      <c r="X31" s="306">
        <f>SUM(Y31:AA31)</f>
        <v>0</v>
      </c>
      <c r="Y31" s="307">
        <f>Y153+Y158</f>
        <v>0</v>
      </c>
      <c r="Z31" s="307">
        <f>Z153+Z158</f>
        <v>0</v>
      </c>
      <c r="AA31" s="308">
        <f>AA153+AA158</f>
        <v>0</v>
      </c>
      <c r="AB31" s="306">
        <f>SUM(AC31:AE31)</f>
        <v>0</v>
      </c>
      <c r="AC31" s="307">
        <f>AC153+AC158</f>
        <v>0</v>
      </c>
      <c r="AD31" s="307">
        <f>AD153+AD158</f>
        <v>0</v>
      </c>
      <c r="AE31" s="308">
        <f>AE153+AE158</f>
        <v>0</v>
      </c>
      <c r="AF31" s="306">
        <f>SUM(AG31:AI31)</f>
        <v>0</v>
      </c>
      <c r="AG31" s="307">
        <f>AG153+AG158</f>
        <v>0</v>
      </c>
      <c r="AH31" s="307">
        <f>AH153+AH158</f>
        <v>0</v>
      </c>
      <c r="AI31" s="308">
        <f>AI153+AI158</f>
        <v>0</v>
      </c>
      <c r="AJ31" s="309">
        <f>SUM(AK31:AM31)</f>
        <v>0</v>
      </c>
      <c r="AK31" s="310">
        <f>AK153+AK158</f>
        <v>0</v>
      </c>
      <c r="AL31" s="310">
        <f>AL153+AL158</f>
        <v>0</v>
      </c>
      <c r="AM31" s="311">
        <f>AM153+AM158</f>
        <v>0</v>
      </c>
      <c r="AN31" s="337"/>
      <c r="AO31" s="87" t="str">
        <f t="shared" si="11"/>
        <v>-</v>
      </c>
    </row>
    <row r="32" spans="1:41" s="88" customFormat="1" ht="27.75" hidden="1" customHeight="1" x14ac:dyDescent="0.75">
      <c r="A32" s="338"/>
      <c r="B32" s="339"/>
      <c r="C32" s="340"/>
      <c r="D32" s="341" t="s">
        <v>116</v>
      </c>
      <c r="E32" s="342">
        <f>SUM(E33:E36)</f>
        <v>0</v>
      </c>
      <c r="F32" s="322">
        <f>SUM(F33:F36)</f>
        <v>0</v>
      </c>
      <c r="G32" s="343" t="str">
        <f t="shared" si="13"/>
        <v>-</v>
      </c>
      <c r="H32" s="322">
        <f t="shared" ref="H32:AM32" si="14">SUM(H33:H36)</f>
        <v>0</v>
      </c>
      <c r="I32" s="323">
        <f t="shared" si="14"/>
        <v>0</v>
      </c>
      <c r="J32" s="323">
        <f t="shared" si="14"/>
        <v>0</v>
      </c>
      <c r="K32" s="324">
        <f t="shared" si="14"/>
        <v>0</v>
      </c>
      <c r="L32" s="322">
        <f t="shared" si="14"/>
        <v>0</v>
      </c>
      <c r="M32" s="323">
        <f t="shared" si="14"/>
        <v>0</v>
      </c>
      <c r="N32" s="323">
        <f t="shared" si="14"/>
        <v>0</v>
      </c>
      <c r="O32" s="324">
        <f t="shared" si="14"/>
        <v>0</v>
      </c>
      <c r="P32" s="322">
        <f t="shared" si="14"/>
        <v>0</v>
      </c>
      <c r="Q32" s="323">
        <f t="shared" si="14"/>
        <v>0</v>
      </c>
      <c r="R32" s="323">
        <f t="shared" si="14"/>
        <v>0</v>
      </c>
      <c r="S32" s="324">
        <f t="shared" si="14"/>
        <v>0</v>
      </c>
      <c r="T32" s="322">
        <f t="shared" si="14"/>
        <v>0</v>
      </c>
      <c r="U32" s="323">
        <f t="shared" si="14"/>
        <v>0</v>
      </c>
      <c r="V32" s="323">
        <f t="shared" si="14"/>
        <v>0</v>
      </c>
      <c r="W32" s="324">
        <f t="shared" si="14"/>
        <v>0</v>
      </c>
      <c r="X32" s="322">
        <f t="shared" si="14"/>
        <v>0</v>
      </c>
      <c r="Y32" s="323">
        <f t="shared" si="14"/>
        <v>0</v>
      </c>
      <c r="Z32" s="323">
        <f t="shared" si="14"/>
        <v>0</v>
      </c>
      <c r="AA32" s="324">
        <f t="shared" si="14"/>
        <v>0</v>
      </c>
      <c r="AB32" s="322">
        <f t="shared" si="14"/>
        <v>0</v>
      </c>
      <c r="AC32" s="323">
        <f t="shared" si="14"/>
        <v>0</v>
      </c>
      <c r="AD32" s="323">
        <f t="shared" si="14"/>
        <v>0</v>
      </c>
      <c r="AE32" s="324">
        <f t="shared" si="14"/>
        <v>0</v>
      </c>
      <c r="AF32" s="322">
        <f t="shared" si="14"/>
        <v>0</v>
      </c>
      <c r="AG32" s="323">
        <f t="shared" si="14"/>
        <v>0</v>
      </c>
      <c r="AH32" s="323">
        <f t="shared" si="14"/>
        <v>0</v>
      </c>
      <c r="AI32" s="324">
        <f t="shared" si="14"/>
        <v>0</v>
      </c>
      <c r="AJ32" s="325">
        <f t="shared" si="14"/>
        <v>0</v>
      </c>
      <c r="AK32" s="326">
        <f t="shared" si="14"/>
        <v>0</v>
      </c>
      <c r="AL32" s="326">
        <f t="shared" si="14"/>
        <v>0</v>
      </c>
      <c r="AM32" s="327">
        <f t="shared" si="14"/>
        <v>0</v>
      </c>
      <c r="AN32" s="344"/>
      <c r="AO32" s="87" t="str">
        <f t="shared" si="11"/>
        <v>-</v>
      </c>
    </row>
    <row r="33" spans="1:41" s="88" customFormat="1" ht="27.75" hidden="1" customHeight="1" x14ac:dyDescent="0.75">
      <c r="A33" s="77" t="s">
        <v>87</v>
      </c>
      <c r="B33" s="78" t="s">
        <v>65</v>
      </c>
      <c r="C33" s="79">
        <v>73023</v>
      </c>
      <c r="D33" s="80" t="s">
        <v>83</v>
      </c>
      <c r="E33" s="329">
        <f>'[5]01.BMC'!E28</f>
        <v>0</v>
      </c>
      <c r="F33" s="296">
        <f t="shared" ref="F33:F34" si="15">H33+P33+X33+AF33</f>
        <v>0</v>
      </c>
      <c r="G33" s="330" t="str">
        <f>IFERROR(F33/E33, "-")</f>
        <v>-</v>
      </c>
      <c r="H33" s="296">
        <f>SUM(I33:K33)</f>
        <v>0</v>
      </c>
      <c r="I33" s="297">
        <f>'[5]01.BMC'!I28</f>
        <v>0</v>
      </c>
      <c r="J33" s="297">
        <f>'[5]01.BMC'!J28</f>
        <v>0</v>
      </c>
      <c r="K33" s="298">
        <f>'[5]01.BMC'!K28</f>
        <v>0</v>
      </c>
      <c r="L33" s="296">
        <f>SUM(M33:O33)</f>
        <v>0</v>
      </c>
      <c r="M33" s="297">
        <f>'[5]01.BMC'!M28</f>
        <v>0</v>
      </c>
      <c r="N33" s="297">
        <f>'[5]01.BMC'!N28</f>
        <v>0</v>
      </c>
      <c r="O33" s="298">
        <f>'[5]01.BMC'!O28</f>
        <v>0</v>
      </c>
      <c r="P33" s="296">
        <f>SUM(Q33:S33)</f>
        <v>0</v>
      </c>
      <c r="Q33" s="297">
        <f>'[5]01.BMC'!Q28</f>
        <v>0</v>
      </c>
      <c r="R33" s="297">
        <f>'[5]01.BMC'!R28</f>
        <v>0</v>
      </c>
      <c r="S33" s="298">
        <f>'[5]01.BMC'!S28</f>
        <v>0</v>
      </c>
      <c r="T33" s="296">
        <f>SUM(U33:W33)</f>
        <v>0</v>
      </c>
      <c r="U33" s="297">
        <f>'[5]01.BMC'!U28</f>
        <v>0</v>
      </c>
      <c r="V33" s="297">
        <f>'[5]01.BMC'!V28</f>
        <v>0</v>
      </c>
      <c r="W33" s="298">
        <f>'[5]01.BMC'!W28</f>
        <v>0</v>
      </c>
      <c r="X33" s="296">
        <f>SUM(Y33:AA33)</f>
        <v>0</v>
      </c>
      <c r="Y33" s="297">
        <f>'[5]01.BMC'!Y28</f>
        <v>0</v>
      </c>
      <c r="Z33" s="297">
        <f>'[5]01.BMC'!Z28</f>
        <v>0</v>
      </c>
      <c r="AA33" s="298">
        <f>'[5]01.BMC'!AA28</f>
        <v>0</v>
      </c>
      <c r="AB33" s="296">
        <f>SUM(AC33:AE33)</f>
        <v>0</v>
      </c>
      <c r="AC33" s="297"/>
      <c r="AD33" s="297"/>
      <c r="AE33" s="298"/>
      <c r="AF33" s="296">
        <f>SUM(AG33:AI33)</f>
        <v>0</v>
      </c>
      <c r="AG33" s="297">
        <f>'[5]01.BMC'!AG28</f>
        <v>0</v>
      </c>
      <c r="AH33" s="297">
        <f>'[5]01.BMC'!AH28</f>
        <v>0</v>
      </c>
      <c r="AI33" s="298">
        <f>'[5]01.BMC'!AI28</f>
        <v>0</v>
      </c>
      <c r="AJ33" s="292">
        <f>SUM(AK33:AM33)</f>
        <v>0</v>
      </c>
      <c r="AK33" s="294"/>
      <c r="AL33" s="294"/>
      <c r="AM33" s="295"/>
      <c r="AN33" s="299"/>
      <c r="AO33" s="87" t="str">
        <f t="shared" si="11"/>
        <v>-</v>
      </c>
    </row>
    <row r="34" spans="1:41" s="88" customFormat="1" ht="27.75" hidden="1" customHeight="1" x14ac:dyDescent="0.75">
      <c r="A34" s="91" t="s">
        <v>87</v>
      </c>
      <c r="B34" s="92" t="s">
        <v>69</v>
      </c>
      <c r="C34" s="93">
        <v>73066</v>
      </c>
      <c r="D34" s="94" t="s">
        <v>70</v>
      </c>
      <c r="E34" s="331">
        <f>'[5]01.BMC'!E29</f>
        <v>0</v>
      </c>
      <c r="F34" s="287">
        <f t="shared" si="15"/>
        <v>0</v>
      </c>
      <c r="G34" s="332" t="str">
        <f t="shared" ref="G34:G37" si="16">IFERROR(F34/E34, "-")</f>
        <v>-</v>
      </c>
      <c r="H34" s="287">
        <f>SUM(I34:K34)</f>
        <v>0</v>
      </c>
      <c r="I34" s="288">
        <f>'[5]01.BMC'!I29</f>
        <v>0</v>
      </c>
      <c r="J34" s="288">
        <f>'[5]01.BMC'!J29</f>
        <v>0</v>
      </c>
      <c r="K34" s="289">
        <f>'[5]01.BMC'!K29</f>
        <v>0</v>
      </c>
      <c r="L34" s="287">
        <f>SUM(M34:O34)</f>
        <v>0</v>
      </c>
      <c r="M34" s="288">
        <f>'[5]01.BMC'!M29</f>
        <v>0</v>
      </c>
      <c r="N34" s="288">
        <f>'[5]01.BMC'!N29</f>
        <v>0</v>
      </c>
      <c r="O34" s="289">
        <f>'[5]01.BMC'!O29</f>
        <v>0</v>
      </c>
      <c r="P34" s="287">
        <f>SUM(Q34:S34)</f>
        <v>0</v>
      </c>
      <c r="Q34" s="288">
        <f>'[5]01.BMC'!Q29</f>
        <v>0</v>
      </c>
      <c r="R34" s="288">
        <f>'[5]01.BMC'!R29</f>
        <v>0</v>
      </c>
      <c r="S34" s="289">
        <f>'[5]01.BMC'!S29</f>
        <v>0</v>
      </c>
      <c r="T34" s="287">
        <f>SUM(U34:W34)</f>
        <v>0</v>
      </c>
      <c r="U34" s="288">
        <f>'[5]01.BMC'!U29</f>
        <v>0</v>
      </c>
      <c r="V34" s="288">
        <f>'[5]01.BMC'!V29</f>
        <v>0</v>
      </c>
      <c r="W34" s="289">
        <f>'[5]01.BMC'!W29</f>
        <v>0</v>
      </c>
      <c r="X34" s="287">
        <f>SUM(Y34:AA34)</f>
        <v>0</v>
      </c>
      <c r="Y34" s="288">
        <f>'[5]01.BMC'!Y29</f>
        <v>0</v>
      </c>
      <c r="Z34" s="288">
        <f>'[5]01.BMC'!Z29</f>
        <v>0</v>
      </c>
      <c r="AA34" s="289">
        <f>'[5]01.BMC'!AA29</f>
        <v>0</v>
      </c>
      <c r="AB34" s="287">
        <f>SUM(AC34:AE34)</f>
        <v>0</v>
      </c>
      <c r="AC34" s="288"/>
      <c r="AD34" s="288"/>
      <c r="AE34" s="289"/>
      <c r="AF34" s="287">
        <f>SUM(AG34:AI34)</f>
        <v>0</v>
      </c>
      <c r="AG34" s="288">
        <f>'[5]01.BMC'!AG29</f>
        <v>0</v>
      </c>
      <c r="AH34" s="288">
        <f>'[5]01.BMC'!AH29</f>
        <v>0</v>
      </c>
      <c r="AI34" s="289">
        <f>'[5]01.BMC'!AI29</f>
        <v>0</v>
      </c>
      <c r="AJ34" s="283">
        <f>SUM(AK34:AM34)</f>
        <v>0</v>
      </c>
      <c r="AK34" s="285"/>
      <c r="AL34" s="285"/>
      <c r="AM34" s="286"/>
      <c r="AN34" s="290"/>
      <c r="AO34" s="87" t="str">
        <f t="shared" si="11"/>
        <v>-</v>
      </c>
    </row>
    <row r="35" spans="1:41" s="233" customFormat="1" ht="27.75" hidden="1" customHeight="1" x14ac:dyDescent="0.75">
      <c r="A35" s="77" t="s">
        <v>87</v>
      </c>
      <c r="B35" s="78" t="s">
        <v>106</v>
      </c>
      <c r="C35" s="79">
        <v>73071</v>
      </c>
      <c r="D35" s="80" t="s">
        <v>107</v>
      </c>
      <c r="E35" s="329">
        <f>E162</f>
        <v>0</v>
      </c>
      <c r="F35" s="296">
        <f>H35+P35+X35+AF35</f>
        <v>0</v>
      </c>
      <c r="G35" s="330" t="str">
        <f t="shared" si="16"/>
        <v>-</v>
      </c>
      <c r="H35" s="296">
        <f>SUM(I35:K35)</f>
        <v>0</v>
      </c>
      <c r="I35" s="297">
        <f>I162</f>
        <v>0</v>
      </c>
      <c r="J35" s="297">
        <f>J162</f>
        <v>0</v>
      </c>
      <c r="K35" s="298">
        <f>K162</f>
        <v>0</v>
      </c>
      <c r="L35" s="296">
        <f>SUM(M35:O35)</f>
        <v>0</v>
      </c>
      <c r="M35" s="297">
        <f>M162</f>
        <v>0</v>
      </c>
      <c r="N35" s="297">
        <f>N162</f>
        <v>0</v>
      </c>
      <c r="O35" s="298">
        <f>O162</f>
        <v>0</v>
      </c>
      <c r="P35" s="296">
        <f>SUM(Q35:S35)</f>
        <v>0</v>
      </c>
      <c r="Q35" s="297">
        <f>Q162</f>
        <v>0</v>
      </c>
      <c r="R35" s="297">
        <f>R162</f>
        <v>0</v>
      </c>
      <c r="S35" s="298">
        <f>S162</f>
        <v>0</v>
      </c>
      <c r="T35" s="296">
        <f>SUM(U35:W35)</f>
        <v>0</v>
      </c>
      <c r="U35" s="297">
        <f>U162</f>
        <v>0</v>
      </c>
      <c r="V35" s="297">
        <f>V162</f>
        <v>0</v>
      </c>
      <c r="W35" s="298">
        <f>W162</f>
        <v>0</v>
      </c>
      <c r="X35" s="296">
        <f>SUM(Y35:AA35)</f>
        <v>0</v>
      </c>
      <c r="Y35" s="297">
        <f>Y162</f>
        <v>0</v>
      </c>
      <c r="Z35" s="297">
        <f>Z162</f>
        <v>0</v>
      </c>
      <c r="AA35" s="298">
        <f>AA162</f>
        <v>0</v>
      </c>
      <c r="AB35" s="296">
        <f>SUM(AC35:AE35)</f>
        <v>0</v>
      </c>
      <c r="AC35" s="297">
        <f>AC162</f>
        <v>0</v>
      </c>
      <c r="AD35" s="297">
        <f>AD162</f>
        <v>0</v>
      </c>
      <c r="AE35" s="298">
        <f>AE162</f>
        <v>0</v>
      </c>
      <c r="AF35" s="296">
        <f>SUM(AG35:AI35)</f>
        <v>0</v>
      </c>
      <c r="AG35" s="297">
        <f>AG162</f>
        <v>0</v>
      </c>
      <c r="AH35" s="297">
        <f>AH162</f>
        <v>0</v>
      </c>
      <c r="AI35" s="298">
        <f>AI162</f>
        <v>0</v>
      </c>
      <c r="AJ35" s="292">
        <f>SUM(AK35:AM35)</f>
        <v>0</v>
      </c>
      <c r="AK35" s="294">
        <f>AK162</f>
        <v>0</v>
      </c>
      <c r="AL35" s="294">
        <f>AL162</f>
        <v>0</v>
      </c>
      <c r="AM35" s="295">
        <f>AM162</f>
        <v>0</v>
      </c>
      <c r="AN35" s="299"/>
      <c r="AO35" s="231" t="str">
        <f t="shared" si="11"/>
        <v>-</v>
      </c>
    </row>
    <row r="36" spans="1:41" s="88" customFormat="1" ht="27.75" hidden="1" customHeight="1" x14ac:dyDescent="0.75">
      <c r="A36" s="129" t="s">
        <v>87</v>
      </c>
      <c r="B36" s="130" t="s">
        <v>106</v>
      </c>
      <c r="C36" s="333">
        <v>73072</v>
      </c>
      <c r="D36" s="334" t="s">
        <v>108</v>
      </c>
      <c r="E36" s="335">
        <f>E158+E163</f>
        <v>0</v>
      </c>
      <c r="F36" s="306">
        <f>H36+P36+X36+AF36</f>
        <v>0</v>
      </c>
      <c r="G36" s="336" t="str">
        <f t="shared" si="16"/>
        <v>-</v>
      </c>
      <c r="H36" s="306">
        <f>SUM(I36:K36)</f>
        <v>0</v>
      </c>
      <c r="I36" s="307">
        <f>I158+I163</f>
        <v>0</v>
      </c>
      <c r="J36" s="307">
        <f>J158+J163</f>
        <v>0</v>
      </c>
      <c r="K36" s="308">
        <f>K158+K163</f>
        <v>0</v>
      </c>
      <c r="L36" s="306">
        <f>SUM(M36:O36)</f>
        <v>0</v>
      </c>
      <c r="M36" s="307">
        <f>M158+M163</f>
        <v>0</v>
      </c>
      <c r="N36" s="307">
        <f>N158+N163</f>
        <v>0</v>
      </c>
      <c r="O36" s="308">
        <f>O158+O163</f>
        <v>0</v>
      </c>
      <c r="P36" s="306">
        <f>SUM(Q36:S36)</f>
        <v>0</v>
      </c>
      <c r="Q36" s="307">
        <f>Q158+Q163</f>
        <v>0</v>
      </c>
      <c r="R36" s="307">
        <f>R158+R163</f>
        <v>0</v>
      </c>
      <c r="S36" s="308">
        <f>S158+S163</f>
        <v>0</v>
      </c>
      <c r="T36" s="306">
        <f>SUM(U36:W36)</f>
        <v>0</v>
      </c>
      <c r="U36" s="307">
        <f>U158+U163</f>
        <v>0</v>
      </c>
      <c r="V36" s="307">
        <f>V158+V163</f>
        <v>0</v>
      </c>
      <c r="W36" s="308">
        <f>W158+W163</f>
        <v>0</v>
      </c>
      <c r="X36" s="306">
        <f>SUM(Y36:AA36)</f>
        <v>0</v>
      </c>
      <c r="Y36" s="307">
        <f>Y158+Y163</f>
        <v>0</v>
      </c>
      <c r="Z36" s="307">
        <f>Z158+Z163</f>
        <v>0</v>
      </c>
      <c r="AA36" s="308">
        <f>AA158+AA163</f>
        <v>0</v>
      </c>
      <c r="AB36" s="306">
        <f>SUM(AC36:AE36)</f>
        <v>0</v>
      </c>
      <c r="AC36" s="307">
        <f>AC158+AC163</f>
        <v>0</v>
      </c>
      <c r="AD36" s="307">
        <f>AD158+AD163</f>
        <v>0</v>
      </c>
      <c r="AE36" s="308">
        <f>AE158+AE163</f>
        <v>0</v>
      </c>
      <c r="AF36" s="306">
        <f>SUM(AG36:AI36)</f>
        <v>0</v>
      </c>
      <c r="AG36" s="307">
        <f>AG158+AG163</f>
        <v>0</v>
      </c>
      <c r="AH36" s="307">
        <f>AH158+AH163</f>
        <v>0</v>
      </c>
      <c r="AI36" s="308">
        <f>AI158+AI163</f>
        <v>0</v>
      </c>
      <c r="AJ36" s="309">
        <f>SUM(AK36:AM36)</f>
        <v>0</v>
      </c>
      <c r="AK36" s="310">
        <f>AK158+AK163</f>
        <v>0</v>
      </c>
      <c r="AL36" s="310">
        <f>AL158+AL163</f>
        <v>0</v>
      </c>
      <c r="AM36" s="311">
        <f>AM158+AM163</f>
        <v>0</v>
      </c>
      <c r="AN36" s="337"/>
      <c r="AO36" s="87" t="str">
        <f t="shared" si="11"/>
        <v>-</v>
      </c>
    </row>
    <row r="37" spans="1:41" s="88" customFormat="1" ht="27.75" hidden="1" customHeight="1" x14ac:dyDescent="0.75">
      <c r="A37" s="338"/>
      <c r="B37" s="339"/>
      <c r="C37" s="340"/>
      <c r="D37" s="341" t="s">
        <v>117</v>
      </c>
      <c r="E37" s="342">
        <f>SUM(E38:E41)</f>
        <v>0</v>
      </c>
      <c r="F37" s="322">
        <f>SUM(F38:F41)</f>
        <v>0</v>
      </c>
      <c r="G37" s="343" t="str">
        <f t="shared" si="16"/>
        <v>-</v>
      </c>
      <c r="H37" s="322">
        <f t="shared" ref="H37:AM37" si="17">SUM(H38:H41)</f>
        <v>0</v>
      </c>
      <c r="I37" s="323">
        <f t="shared" si="17"/>
        <v>0</v>
      </c>
      <c r="J37" s="323">
        <f t="shared" si="17"/>
        <v>0</v>
      </c>
      <c r="K37" s="324">
        <f t="shared" si="17"/>
        <v>0</v>
      </c>
      <c r="L37" s="322">
        <f t="shared" si="17"/>
        <v>0</v>
      </c>
      <c r="M37" s="323">
        <f t="shared" si="17"/>
        <v>0</v>
      </c>
      <c r="N37" s="323">
        <f t="shared" si="17"/>
        <v>0</v>
      </c>
      <c r="O37" s="324">
        <f t="shared" si="17"/>
        <v>0</v>
      </c>
      <c r="P37" s="322">
        <f t="shared" si="17"/>
        <v>0</v>
      </c>
      <c r="Q37" s="323">
        <f t="shared" si="17"/>
        <v>0</v>
      </c>
      <c r="R37" s="323">
        <f t="shared" si="17"/>
        <v>0</v>
      </c>
      <c r="S37" s="324">
        <f t="shared" si="17"/>
        <v>0</v>
      </c>
      <c r="T37" s="322">
        <f t="shared" si="17"/>
        <v>0</v>
      </c>
      <c r="U37" s="323">
        <f t="shared" si="17"/>
        <v>0</v>
      </c>
      <c r="V37" s="323">
        <f t="shared" si="17"/>
        <v>0</v>
      </c>
      <c r="W37" s="324">
        <f t="shared" si="17"/>
        <v>0</v>
      </c>
      <c r="X37" s="322">
        <f t="shared" si="17"/>
        <v>0</v>
      </c>
      <c r="Y37" s="323">
        <f t="shared" si="17"/>
        <v>0</v>
      </c>
      <c r="Z37" s="323">
        <f t="shared" si="17"/>
        <v>0</v>
      </c>
      <c r="AA37" s="324">
        <f t="shared" si="17"/>
        <v>0</v>
      </c>
      <c r="AB37" s="322">
        <f t="shared" si="17"/>
        <v>0</v>
      </c>
      <c r="AC37" s="323">
        <f t="shared" si="17"/>
        <v>0</v>
      </c>
      <c r="AD37" s="323">
        <f t="shared" si="17"/>
        <v>0</v>
      </c>
      <c r="AE37" s="324">
        <f t="shared" si="17"/>
        <v>0</v>
      </c>
      <c r="AF37" s="322">
        <f t="shared" si="17"/>
        <v>0</v>
      </c>
      <c r="AG37" s="323">
        <f t="shared" si="17"/>
        <v>0</v>
      </c>
      <c r="AH37" s="323">
        <f t="shared" si="17"/>
        <v>0</v>
      </c>
      <c r="AI37" s="324">
        <f t="shared" si="17"/>
        <v>0</v>
      </c>
      <c r="AJ37" s="325">
        <f t="shared" si="17"/>
        <v>0</v>
      </c>
      <c r="AK37" s="326">
        <f t="shared" si="17"/>
        <v>0</v>
      </c>
      <c r="AL37" s="326">
        <f t="shared" si="17"/>
        <v>0</v>
      </c>
      <c r="AM37" s="327">
        <f t="shared" si="17"/>
        <v>0</v>
      </c>
      <c r="AN37" s="344"/>
      <c r="AO37" s="87" t="str">
        <f t="shared" si="11"/>
        <v>-</v>
      </c>
    </row>
    <row r="38" spans="1:41" s="88" customFormat="1" ht="27.75" hidden="1" customHeight="1" x14ac:dyDescent="0.75">
      <c r="A38" s="77" t="s">
        <v>87</v>
      </c>
      <c r="B38" s="78" t="s">
        <v>65</v>
      </c>
      <c r="C38" s="79">
        <v>73023</v>
      </c>
      <c r="D38" s="80" t="s">
        <v>83</v>
      </c>
      <c r="E38" s="329">
        <f>'[5]01.BMC'!E33</f>
        <v>0</v>
      </c>
      <c r="F38" s="296">
        <f t="shared" ref="F38:F39" si="18">H38+P38+X38+AF38</f>
        <v>0</v>
      </c>
      <c r="G38" s="330" t="str">
        <f>IFERROR(F38/E38, "-")</f>
        <v>-</v>
      </c>
      <c r="H38" s="296">
        <f>SUM(I38:K38)</f>
        <v>0</v>
      </c>
      <c r="I38" s="297">
        <f>'[5]01.BMC'!I33</f>
        <v>0</v>
      </c>
      <c r="J38" s="297">
        <f>'[5]01.BMC'!J33</f>
        <v>0</v>
      </c>
      <c r="K38" s="298">
        <f>'[5]01.BMC'!K33</f>
        <v>0</v>
      </c>
      <c r="L38" s="296">
        <f>SUM(M38:O38)</f>
        <v>0</v>
      </c>
      <c r="M38" s="297">
        <f>'[5]01.BMC'!M33</f>
        <v>0</v>
      </c>
      <c r="N38" s="297">
        <f>'[5]01.BMC'!N33</f>
        <v>0</v>
      </c>
      <c r="O38" s="298">
        <f>'[5]01.BMC'!O33</f>
        <v>0</v>
      </c>
      <c r="P38" s="296">
        <f>SUM(Q38:S38)</f>
        <v>0</v>
      </c>
      <c r="Q38" s="297">
        <f>'[5]01.BMC'!Q33</f>
        <v>0</v>
      </c>
      <c r="R38" s="297">
        <f>'[5]01.BMC'!R33</f>
        <v>0</v>
      </c>
      <c r="S38" s="298">
        <f>'[5]01.BMC'!S33</f>
        <v>0</v>
      </c>
      <c r="T38" s="296">
        <f>SUM(U38:W38)</f>
        <v>0</v>
      </c>
      <c r="U38" s="297">
        <f>'[5]01.BMC'!U33</f>
        <v>0</v>
      </c>
      <c r="V38" s="297">
        <f>'[5]01.BMC'!V33</f>
        <v>0</v>
      </c>
      <c r="W38" s="298">
        <f>'[5]01.BMC'!W33</f>
        <v>0</v>
      </c>
      <c r="X38" s="296">
        <f>SUM(Y38:AA38)</f>
        <v>0</v>
      </c>
      <c r="Y38" s="297">
        <f>'[5]01.BMC'!Y33</f>
        <v>0</v>
      </c>
      <c r="Z38" s="297">
        <f>'[5]01.BMC'!Z33</f>
        <v>0</v>
      </c>
      <c r="AA38" s="298">
        <f>'[5]01.BMC'!AA33</f>
        <v>0</v>
      </c>
      <c r="AB38" s="296">
        <f>SUM(AC38:AE38)</f>
        <v>0</v>
      </c>
      <c r="AC38" s="297"/>
      <c r="AD38" s="297"/>
      <c r="AE38" s="298"/>
      <c r="AF38" s="296">
        <f>SUM(AG38:AI38)</f>
        <v>0</v>
      </c>
      <c r="AG38" s="297">
        <f>'[5]01.BMC'!AG33</f>
        <v>0</v>
      </c>
      <c r="AH38" s="297">
        <f>'[5]01.BMC'!AH33</f>
        <v>0</v>
      </c>
      <c r="AI38" s="298">
        <f>'[5]01.BMC'!AI33</f>
        <v>0</v>
      </c>
      <c r="AJ38" s="292">
        <f>SUM(AK38:AM38)</f>
        <v>0</v>
      </c>
      <c r="AK38" s="294"/>
      <c r="AL38" s="294"/>
      <c r="AM38" s="295"/>
      <c r="AN38" s="299"/>
      <c r="AO38" s="87" t="str">
        <f t="shared" si="11"/>
        <v>-</v>
      </c>
    </row>
    <row r="39" spans="1:41" s="88" customFormat="1" ht="27.75" hidden="1" customHeight="1" x14ac:dyDescent="0.75">
      <c r="A39" s="91" t="s">
        <v>87</v>
      </c>
      <c r="B39" s="92" t="s">
        <v>69</v>
      </c>
      <c r="C39" s="93">
        <v>73066</v>
      </c>
      <c r="D39" s="94" t="s">
        <v>70</v>
      </c>
      <c r="E39" s="331">
        <f>'[5]01.BMC'!E34</f>
        <v>0</v>
      </c>
      <c r="F39" s="287">
        <f t="shared" si="18"/>
        <v>0</v>
      </c>
      <c r="G39" s="332" t="str">
        <f t="shared" ref="G39:G42" si="19">IFERROR(F39/E39, "-")</f>
        <v>-</v>
      </c>
      <c r="H39" s="287">
        <f>SUM(I39:K39)</f>
        <v>0</v>
      </c>
      <c r="I39" s="288">
        <f>'[5]01.BMC'!I34</f>
        <v>0</v>
      </c>
      <c r="J39" s="288">
        <f>'[5]01.BMC'!J34</f>
        <v>0</v>
      </c>
      <c r="K39" s="289">
        <f>'[5]01.BMC'!K34</f>
        <v>0</v>
      </c>
      <c r="L39" s="287">
        <f>SUM(M39:O39)</f>
        <v>0</v>
      </c>
      <c r="M39" s="288">
        <f>'[5]01.BMC'!M34</f>
        <v>0</v>
      </c>
      <c r="N39" s="288">
        <f>'[5]01.BMC'!N34</f>
        <v>0</v>
      </c>
      <c r="O39" s="289">
        <f>'[5]01.BMC'!O34</f>
        <v>0</v>
      </c>
      <c r="P39" s="287">
        <f>SUM(Q39:S39)</f>
        <v>0</v>
      </c>
      <c r="Q39" s="288">
        <f>'[5]01.BMC'!Q34</f>
        <v>0</v>
      </c>
      <c r="R39" s="288">
        <f>'[5]01.BMC'!R34</f>
        <v>0</v>
      </c>
      <c r="S39" s="289">
        <f>'[5]01.BMC'!S34</f>
        <v>0</v>
      </c>
      <c r="T39" s="287">
        <f>SUM(U39:W39)</f>
        <v>0</v>
      </c>
      <c r="U39" s="288">
        <f>'[5]01.BMC'!U34</f>
        <v>0</v>
      </c>
      <c r="V39" s="288">
        <f>'[5]01.BMC'!V34</f>
        <v>0</v>
      </c>
      <c r="W39" s="289">
        <f>'[5]01.BMC'!W34</f>
        <v>0</v>
      </c>
      <c r="X39" s="287">
        <f>SUM(Y39:AA39)</f>
        <v>0</v>
      </c>
      <c r="Y39" s="288">
        <f>'[5]01.BMC'!Y34</f>
        <v>0</v>
      </c>
      <c r="Z39" s="288">
        <f>'[5]01.BMC'!Z34</f>
        <v>0</v>
      </c>
      <c r="AA39" s="289">
        <f>'[5]01.BMC'!AA34</f>
        <v>0</v>
      </c>
      <c r="AB39" s="287">
        <f>SUM(AC39:AE39)</f>
        <v>0</v>
      </c>
      <c r="AC39" s="288"/>
      <c r="AD39" s="288"/>
      <c r="AE39" s="289"/>
      <c r="AF39" s="287">
        <f>SUM(AG39:AI39)</f>
        <v>0</v>
      </c>
      <c r="AG39" s="288">
        <f>'[5]01.BMC'!AG34</f>
        <v>0</v>
      </c>
      <c r="AH39" s="288">
        <f>'[5]01.BMC'!AH34</f>
        <v>0</v>
      </c>
      <c r="AI39" s="289">
        <f>'[5]01.BMC'!AI34</f>
        <v>0</v>
      </c>
      <c r="AJ39" s="283">
        <f>SUM(AK39:AM39)</f>
        <v>0</v>
      </c>
      <c r="AK39" s="285"/>
      <c r="AL39" s="285"/>
      <c r="AM39" s="286"/>
      <c r="AN39" s="290"/>
      <c r="AO39" s="87" t="str">
        <f t="shared" si="11"/>
        <v>-</v>
      </c>
    </row>
    <row r="40" spans="1:41" s="233" customFormat="1" ht="27.75" hidden="1" customHeight="1" x14ac:dyDescent="0.75">
      <c r="A40" s="77" t="s">
        <v>87</v>
      </c>
      <c r="B40" s="78" t="s">
        <v>106</v>
      </c>
      <c r="C40" s="79">
        <v>73071</v>
      </c>
      <c r="D40" s="80" t="s">
        <v>107</v>
      </c>
      <c r="E40" s="329">
        <f>E167</f>
        <v>0</v>
      </c>
      <c r="F40" s="296">
        <f>H40+P40+X40+AF40</f>
        <v>0</v>
      </c>
      <c r="G40" s="330" t="str">
        <f t="shared" si="19"/>
        <v>-</v>
      </c>
      <c r="H40" s="296">
        <f>SUM(I40:K40)</f>
        <v>0</v>
      </c>
      <c r="I40" s="297">
        <f>I167</f>
        <v>0</v>
      </c>
      <c r="J40" s="297">
        <f>J167</f>
        <v>0</v>
      </c>
      <c r="K40" s="298">
        <f>K167</f>
        <v>0</v>
      </c>
      <c r="L40" s="296">
        <f>SUM(M40:O40)</f>
        <v>0</v>
      </c>
      <c r="M40" s="297">
        <f>M167</f>
        <v>0</v>
      </c>
      <c r="N40" s="297">
        <f>N167</f>
        <v>0</v>
      </c>
      <c r="O40" s="298">
        <f>O167</f>
        <v>0</v>
      </c>
      <c r="P40" s="296">
        <f>SUM(Q40:S40)</f>
        <v>0</v>
      </c>
      <c r="Q40" s="297">
        <f>Q167</f>
        <v>0</v>
      </c>
      <c r="R40" s="297">
        <f>R167</f>
        <v>0</v>
      </c>
      <c r="S40" s="298">
        <f>S167</f>
        <v>0</v>
      </c>
      <c r="T40" s="296">
        <f>SUM(U40:W40)</f>
        <v>0</v>
      </c>
      <c r="U40" s="297">
        <f>U167</f>
        <v>0</v>
      </c>
      <c r="V40" s="297">
        <f>V167</f>
        <v>0</v>
      </c>
      <c r="W40" s="298">
        <f>W167</f>
        <v>0</v>
      </c>
      <c r="X40" s="296">
        <f>SUM(Y40:AA40)</f>
        <v>0</v>
      </c>
      <c r="Y40" s="297">
        <f>Y167</f>
        <v>0</v>
      </c>
      <c r="Z40" s="297">
        <f>Z167</f>
        <v>0</v>
      </c>
      <c r="AA40" s="298">
        <f>AA167</f>
        <v>0</v>
      </c>
      <c r="AB40" s="296">
        <f>SUM(AC40:AE40)</f>
        <v>0</v>
      </c>
      <c r="AC40" s="297">
        <f>AC167</f>
        <v>0</v>
      </c>
      <c r="AD40" s="297">
        <f>AD167</f>
        <v>0</v>
      </c>
      <c r="AE40" s="298">
        <f>AE167</f>
        <v>0</v>
      </c>
      <c r="AF40" s="296">
        <f>SUM(AG40:AI40)</f>
        <v>0</v>
      </c>
      <c r="AG40" s="297">
        <f>AG167</f>
        <v>0</v>
      </c>
      <c r="AH40" s="297">
        <f>AH167</f>
        <v>0</v>
      </c>
      <c r="AI40" s="298">
        <f>AI167</f>
        <v>0</v>
      </c>
      <c r="AJ40" s="292">
        <f>SUM(AK40:AM40)</f>
        <v>0</v>
      </c>
      <c r="AK40" s="294">
        <f>AK167</f>
        <v>0</v>
      </c>
      <c r="AL40" s="294">
        <f>AL167</f>
        <v>0</v>
      </c>
      <c r="AM40" s="295">
        <f>AM167</f>
        <v>0</v>
      </c>
      <c r="AN40" s="299"/>
      <c r="AO40" s="231" t="str">
        <f t="shared" si="11"/>
        <v>-</v>
      </c>
    </row>
    <row r="41" spans="1:41" s="88" customFormat="1" ht="27.75" hidden="1" customHeight="1" x14ac:dyDescent="0.75">
      <c r="A41" s="129" t="s">
        <v>87</v>
      </c>
      <c r="B41" s="130" t="s">
        <v>106</v>
      </c>
      <c r="C41" s="333">
        <v>73072</v>
      </c>
      <c r="D41" s="334" t="s">
        <v>108</v>
      </c>
      <c r="E41" s="335">
        <f>E163+E168</f>
        <v>0</v>
      </c>
      <c r="F41" s="306">
        <f>H41+P41+X41+AF41</f>
        <v>0</v>
      </c>
      <c r="G41" s="336" t="str">
        <f t="shared" si="19"/>
        <v>-</v>
      </c>
      <c r="H41" s="306">
        <f>SUM(I41:K41)</f>
        <v>0</v>
      </c>
      <c r="I41" s="307">
        <f>I163+I168</f>
        <v>0</v>
      </c>
      <c r="J41" s="307">
        <f>J163+J168</f>
        <v>0</v>
      </c>
      <c r="K41" s="308">
        <f>K163+K168</f>
        <v>0</v>
      </c>
      <c r="L41" s="306">
        <f>SUM(M41:O41)</f>
        <v>0</v>
      </c>
      <c r="M41" s="307">
        <f>M163+M168</f>
        <v>0</v>
      </c>
      <c r="N41" s="307">
        <f>N163+N168</f>
        <v>0</v>
      </c>
      <c r="O41" s="308">
        <f>O163+O168</f>
        <v>0</v>
      </c>
      <c r="P41" s="306">
        <f>SUM(Q41:S41)</f>
        <v>0</v>
      </c>
      <c r="Q41" s="307">
        <f>Q163+Q168</f>
        <v>0</v>
      </c>
      <c r="R41" s="307">
        <f>R163+R168</f>
        <v>0</v>
      </c>
      <c r="S41" s="308">
        <f>S163+S168</f>
        <v>0</v>
      </c>
      <c r="T41" s="306">
        <f>SUM(U41:W41)</f>
        <v>0</v>
      </c>
      <c r="U41" s="307">
        <f>U163+U168</f>
        <v>0</v>
      </c>
      <c r="V41" s="307">
        <f>V163+V168</f>
        <v>0</v>
      </c>
      <c r="W41" s="308">
        <f>W163+W168</f>
        <v>0</v>
      </c>
      <c r="X41" s="306">
        <f>SUM(Y41:AA41)</f>
        <v>0</v>
      </c>
      <c r="Y41" s="307">
        <f>Y163+Y168</f>
        <v>0</v>
      </c>
      <c r="Z41" s="307">
        <f>Z163+Z168</f>
        <v>0</v>
      </c>
      <c r="AA41" s="308">
        <f>AA163+AA168</f>
        <v>0</v>
      </c>
      <c r="AB41" s="306">
        <f>SUM(AC41:AE41)</f>
        <v>0</v>
      </c>
      <c r="AC41" s="307">
        <f>AC163+AC168</f>
        <v>0</v>
      </c>
      <c r="AD41" s="307">
        <f>AD163+AD168</f>
        <v>0</v>
      </c>
      <c r="AE41" s="308">
        <f>AE163+AE168</f>
        <v>0</v>
      </c>
      <c r="AF41" s="306">
        <f>SUM(AG41:AI41)</f>
        <v>0</v>
      </c>
      <c r="AG41" s="307">
        <f>AG163+AG168</f>
        <v>0</v>
      </c>
      <c r="AH41" s="307">
        <f>AH163+AH168</f>
        <v>0</v>
      </c>
      <c r="AI41" s="308">
        <f>AI163+AI168</f>
        <v>0</v>
      </c>
      <c r="AJ41" s="309">
        <f>SUM(AK41:AM41)</f>
        <v>0</v>
      </c>
      <c r="AK41" s="310">
        <f>AK163+AK168</f>
        <v>0</v>
      </c>
      <c r="AL41" s="310">
        <f>AL163+AL168</f>
        <v>0</v>
      </c>
      <c r="AM41" s="311">
        <f>AM163+AM168</f>
        <v>0</v>
      </c>
      <c r="AN41" s="337"/>
      <c r="AO41" s="87" t="str">
        <f t="shared" si="11"/>
        <v>-</v>
      </c>
    </row>
    <row r="42" spans="1:41" s="88" customFormat="1" ht="27.75" hidden="1" customHeight="1" x14ac:dyDescent="0.75">
      <c r="A42" s="338"/>
      <c r="B42" s="339"/>
      <c r="C42" s="340"/>
      <c r="D42" s="341" t="s">
        <v>118</v>
      </c>
      <c r="E42" s="342">
        <f>SUM(E43:E46)</f>
        <v>0</v>
      </c>
      <c r="F42" s="322">
        <f>SUM(F43:F46)</f>
        <v>0</v>
      </c>
      <c r="G42" s="343" t="str">
        <f t="shared" si="19"/>
        <v>-</v>
      </c>
      <c r="H42" s="322">
        <f t="shared" ref="H42:AM42" si="20">SUM(H43:H46)</f>
        <v>0</v>
      </c>
      <c r="I42" s="323">
        <f t="shared" si="20"/>
        <v>0</v>
      </c>
      <c r="J42" s="323">
        <f t="shared" si="20"/>
        <v>0</v>
      </c>
      <c r="K42" s="324">
        <f t="shared" si="20"/>
        <v>0</v>
      </c>
      <c r="L42" s="322">
        <f t="shared" si="20"/>
        <v>0</v>
      </c>
      <c r="M42" s="323">
        <f t="shared" si="20"/>
        <v>0</v>
      </c>
      <c r="N42" s="323">
        <f t="shared" si="20"/>
        <v>0</v>
      </c>
      <c r="O42" s="324">
        <f t="shared" si="20"/>
        <v>0</v>
      </c>
      <c r="P42" s="322">
        <f t="shared" si="20"/>
        <v>0</v>
      </c>
      <c r="Q42" s="323">
        <f t="shared" si="20"/>
        <v>0</v>
      </c>
      <c r="R42" s="323">
        <f t="shared" si="20"/>
        <v>0</v>
      </c>
      <c r="S42" s="324">
        <f t="shared" si="20"/>
        <v>0</v>
      </c>
      <c r="T42" s="322">
        <f t="shared" si="20"/>
        <v>0</v>
      </c>
      <c r="U42" s="323">
        <f t="shared" si="20"/>
        <v>0</v>
      </c>
      <c r="V42" s="323">
        <f t="shared" si="20"/>
        <v>0</v>
      </c>
      <c r="W42" s="324">
        <f t="shared" si="20"/>
        <v>0</v>
      </c>
      <c r="X42" s="322">
        <f t="shared" si="20"/>
        <v>0</v>
      </c>
      <c r="Y42" s="323">
        <f t="shared" si="20"/>
        <v>0</v>
      </c>
      <c r="Z42" s="323">
        <f t="shared" si="20"/>
        <v>0</v>
      </c>
      <c r="AA42" s="324">
        <f t="shared" si="20"/>
        <v>0</v>
      </c>
      <c r="AB42" s="322">
        <f t="shared" si="20"/>
        <v>0</v>
      </c>
      <c r="AC42" s="323">
        <f t="shared" si="20"/>
        <v>0</v>
      </c>
      <c r="AD42" s="323">
        <f t="shared" si="20"/>
        <v>0</v>
      </c>
      <c r="AE42" s="324">
        <f t="shared" si="20"/>
        <v>0</v>
      </c>
      <c r="AF42" s="322">
        <f t="shared" si="20"/>
        <v>0</v>
      </c>
      <c r="AG42" s="323">
        <f t="shared" si="20"/>
        <v>0</v>
      </c>
      <c r="AH42" s="323">
        <f t="shared" si="20"/>
        <v>0</v>
      </c>
      <c r="AI42" s="324">
        <f t="shared" si="20"/>
        <v>0</v>
      </c>
      <c r="AJ42" s="325">
        <f t="shared" si="20"/>
        <v>0</v>
      </c>
      <c r="AK42" s="326">
        <f t="shared" si="20"/>
        <v>0</v>
      </c>
      <c r="AL42" s="326">
        <f t="shared" si="20"/>
        <v>0</v>
      </c>
      <c r="AM42" s="327">
        <f t="shared" si="20"/>
        <v>0</v>
      </c>
      <c r="AN42" s="344"/>
      <c r="AO42" s="87" t="str">
        <f t="shared" si="11"/>
        <v>-</v>
      </c>
    </row>
    <row r="43" spans="1:41" s="88" customFormat="1" ht="27.75" hidden="1" customHeight="1" x14ac:dyDescent="0.75">
      <c r="A43" s="77" t="s">
        <v>87</v>
      </c>
      <c r="B43" s="78" t="s">
        <v>65</v>
      </c>
      <c r="C43" s="79">
        <v>73023</v>
      </c>
      <c r="D43" s="80" t="s">
        <v>83</v>
      </c>
      <c r="E43" s="329">
        <f>'[5]01.BMC'!E38</f>
        <v>0</v>
      </c>
      <c r="F43" s="296">
        <f t="shared" ref="F43:F44" si="21">H43+P43+X43+AF43</f>
        <v>0</v>
      </c>
      <c r="G43" s="330" t="str">
        <f>IFERROR(F43/E43, "-")</f>
        <v>-</v>
      </c>
      <c r="H43" s="296">
        <f>SUM(I43:K43)</f>
        <v>0</v>
      </c>
      <c r="I43" s="297">
        <f>'[5]01.BMC'!I38</f>
        <v>0</v>
      </c>
      <c r="J43" s="297">
        <f>'[5]01.BMC'!J38</f>
        <v>0</v>
      </c>
      <c r="K43" s="298">
        <f>'[5]01.BMC'!K38</f>
        <v>0</v>
      </c>
      <c r="L43" s="296">
        <f>SUM(M43:O43)</f>
        <v>0</v>
      </c>
      <c r="M43" s="297">
        <f>'[5]01.BMC'!M38</f>
        <v>0</v>
      </c>
      <c r="N43" s="297">
        <f>'[5]01.BMC'!N38</f>
        <v>0</v>
      </c>
      <c r="O43" s="298">
        <f>'[5]01.BMC'!O38</f>
        <v>0</v>
      </c>
      <c r="P43" s="296">
        <f>SUM(Q43:S43)</f>
        <v>0</v>
      </c>
      <c r="Q43" s="297">
        <f>'[5]01.BMC'!Q38</f>
        <v>0</v>
      </c>
      <c r="R43" s="297">
        <f>'[5]01.BMC'!R38</f>
        <v>0</v>
      </c>
      <c r="S43" s="298">
        <f>'[5]01.BMC'!S38</f>
        <v>0</v>
      </c>
      <c r="T43" s="296">
        <f>SUM(U43:W43)</f>
        <v>0</v>
      </c>
      <c r="U43" s="297">
        <f>'[5]01.BMC'!U38</f>
        <v>0</v>
      </c>
      <c r="V43" s="297">
        <f>'[5]01.BMC'!V38</f>
        <v>0</v>
      </c>
      <c r="W43" s="298">
        <f>'[5]01.BMC'!W38</f>
        <v>0</v>
      </c>
      <c r="X43" s="296">
        <f>SUM(Y43:AA43)</f>
        <v>0</v>
      </c>
      <c r="Y43" s="297">
        <f>'[5]01.BMC'!Y38</f>
        <v>0</v>
      </c>
      <c r="Z43" s="297">
        <f>'[5]01.BMC'!Z38</f>
        <v>0</v>
      </c>
      <c r="AA43" s="298">
        <f>'[5]01.BMC'!AA38</f>
        <v>0</v>
      </c>
      <c r="AB43" s="296">
        <f>SUM(AC43:AE43)</f>
        <v>0</v>
      </c>
      <c r="AC43" s="297"/>
      <c r="AD43" s="297"/>
      <c r="AE43" s="298"/>
      <c r="AF43" s="296">
        <f>SUM(AG43:AI43)</f>
        <v>0</v>
      </c>
      <c r="AG43" s="297">
        <f>'[5]01.BMC'!AG38</f>
        <v>0</v>
      </c>
      <c r="AH43" s="297">
        <f>'[5]01.BMC'!AH38</f>
        <v>0</v>
      </c>
      <c r="AI43" s="298">
        <f>'[5]01.BMC'!AI38</f>
        <v>0</v>
      </c>
      <c r="AJ43" s="292">
        <f>SUM(AK43:AM43)</f>
        <v>0</v>
      </c>
      <c r="AK43" s="294"/>
      <c r="AL43" s="294"/>
      <c r="AM43" s="295"/>
      <c r="AN43" s="299"/>
      <c r="AO43" s="87" t="str">
        <f t="shared" si="11"/>
        <v>-</v>
      </c>
    </row>
    <row r="44" spans="1:41" s="88" customFormat="1" ht="27.75" hidden="1" customHeight="1" x14ac:dyDescent="0.75">
      <c r="A44" s="91" t="s">
        <v>87</v>
      </c>
      <c r="B44" s="92" t="s">
        <v>69</v>
      </c>
      <c r="C44" s="93">
        <v>73066</v>
      </c>
      <c r="D44" s="94" t="s">
        <v>70</v>
      </c>
      <c r="E44" s="331">
        <f>'[5]01.BMC'!E39</f>
        <v>0</v>
      </c>
      <c r="F44" s="287">
        <f t="shared" si="21"/>
        <v>0</v>
      </c>
      <c r="G44" s="332" t="str">
        <f t="shared" ref="G44:G47" si="22">IFERROR(F44/E44, "-")</f>
        <v>-</v>
      </c>
      <c r="H44" s="287">
        <f>SUM(I44:K44)</f>
        <v>0</v>
      </c>
      <c r="I44" s="288">
        <f>'[5]01.BMC'!I39</f>
        <v>0</v>
      </c>
      <c r="J44" s="288">
        <f>'[5]01.BMC'!J39</f>
        <v>0</v>
      </c>
      <c r="K44" s="289">
        <f>'[5]01.BMC'!K39</f>
        <v>0</v>
      </c>
      <c r="L44" s="287">
        <f>SUM(M44:O44)</f>
        <v>0</v>
      </c>
      <c r="M44" s="288">
        <f>'[5]01.BMC'!M39</f>
        <v>0</v>
      </c>
      <c r="N44" s="288">
        <f>'[5]01.BMC'!N39</f>
        <v>0</v>
      </c>
      <c r="O44" s="289">
        <f>'[5]01.BMC'!O39</f>
        <v>0</v>
      </c>
      <c r="P44" s="287">
        <f>SUM(Q44:S44)</f>
        <v>0</v>
      </c>
      <c r="Q44" s="288">
        <f>'[5]01.BMC'!Q39</f>
        <v>0</v>
      </c>
      <c r="R44" s="288">
        <f>'[5]01.BMC'!R39</f>
        <v>0</v>
      </c>
      <c r="S44" s="289">
        <f>'[5]01.BMC'!S39</f>
        <v>0</v>
      </c>
      <c r="T44" s="287">
        <f>SUM(U44:W44)</f>
        <v>0</v>
      </c>
      <c r="U44" s="288">
        <f>'[5]01.BMC'!U39</f>
        <v>0</v>
      </c>
      <c r="V44" s="288">
        <f>'[5]01.BMC'!V39</f>
        <v>0</v>
      </c>
      <c r="W44" s="289">
        <f>'[5]01.BMC'!W39</f>
        <v>0</v>
      </c>
      <c r="X44" s="287">
        <f>SUM(Y44:AA44)</f>
        <v>0</v>
      </c>
      <c r="Y44" s="288">
        <f>'[5]01.BMC'!Y39</f>
        <v>0</v>
      </c>
      <c r="Z44" s="288">
        <f>'[5]01.BMC'!Z39</f>
        <v>0</v>
      </c>
      <c r="AA44" s="289">
        <f>'[5]01.BMC'!AA39</f>
        <v>0</v>
      </c>
      <c r="AB44" s="287">
        <f>SUM(AC44:AE44)</f>
        <v>0</v>
      </c>
      <c r="AC44" s="288"/>
      <c r="AD44" s="288"/>
      <c r="AE44" s="289"/>
      <c r="AF44" s="287">
        <f>SUM(AG44:AI44)</f>
        <v>0</v>
      </c>
      <c r="AG44" s="288">
        <f>'[5]01.BMC'!AG39</f>
        <v>0</v>
      </c>
      <c r="AH44" s="288">
        <f>'[5]01.BMC'!AH39</f>
        <v>0</v>
      </c>
      <c r="AI44" s="289">
        <f>'[5]01.BMC'!AI39</f>
        <v>0</v>
      </c>
      <c r="AJ44" s="283">
        <f>SUM(AK44:AM44)</f>
        <v>0</v>
      </c>
      <c r="AK44" s="285"/>
      <c r="AL44" s="285"/>
      <c r="AM44" s="286"/>
      <c r="AN44" s="290"/>
      <c r="AO44" s="87" t="str">
        <f t="shared" si="11"/>
        <v>-</v>
      </c>
    </row>
    <row r="45" spans="1:41" s="233" customFormat="1" ht="27.75" hidden="1" customHeight="1" x14ac:dyDescent="0.75">
      <c r="A45" s="77" t="s">
        <v>87</v>
      </c>
      <c r="B45" s="78" t="s">
        <v>106</v>
      </c>
      <c r="C45" s="79">
        <v>73071</v>
      </c>
      <c r="D45" s="80" t="s">
        <v>107</v>
      </c>
      <c r="E45" s="329">
        <f>E172</f>
        <v>0</v>
      </c>
      <c r="F45" s="296">
        <f>H45+P45+X45+AF45</f>
        <v>0</v>
      </c>
      <c r="G45" s="330" t="str">
        <f t="shared" si="22"/>
        <v>-</v>
      </c>
      <c r="H45" s="296">
        <f>SUM(I45:K45)</f>
        <v>0</v>
      </c>
      <c r="I45" s="297">
        <f>I172</f>
        <v>0</v>
      </c>
      <c r="J45" s="297">
        <f>J172</f>
        <v>0</v>
      </c>
      <c r="K45" s="298">
        <f>K172</f>
        <v>0</v>
      </c>
      <c r="L45" s="296">
        <f>SUM(M45:O45)</f>
        <v>0</v>
      </c>
      <c r="M45" s="297">
        <f>M172</f>
        <v>0</v>
      </c>
      <c r="N45" s="297">
        <f>N172</f>
        <v>0</v>
      </c>
      <c r="O45" s="298">
        <f>O172</f>
        <v>0</v>
      </c>
      <c r="P45" s="296">
        <f>SUM(Q45:S45)</f>
        <v>0</v>
      </c>
      <c r="Q45" s="297">
        <f>Q172</f>
        <v>0</v>
      </c>
      <c r="R45" s="297">
        <f>R172</f>
        <v>0</v>
      </c>
      <c r="S45" s="298">
        <f>S172</f>
        <v>0</v>
      </c>
      <c r="T45" s="296">
        <f>SUM(U45:W45)</f>
        <v>0</v>
      </c>
      <c r="U45" s="297">
        <f>U172</f>
        <v>0</v>
      </c>
      <c r="V45" s="297">
        <f>V172</f>
        <v>0</v>
      </c>
      <c r="W45" s="298">
        <f>W172</f>
        <v>0</v>
      </c>
      <c r="X45" s="296">
        <f>SUM(Y45:AA45)</f>
        <v>0</v>
      </c>
      <c r="Y45" s="297">
        <f>Y172</f>
        <v>0</v>
      </c>
      <c r="Z45" s="297">
        <f>Z172</f>
        <v>0</v>
      </c>
      <c r="AA45" s="298">
        <f>AA172</f>
        <v>0</v>
      </c>
      <c r="AB45" s="296">
        <f>SUM(AC45:AE45)</f>
        <v>0</v>
      </c>
      <c r="AC45" s="297">
        <f>AC172</f>
        <v>0</v>
      </c>
      <c r="AD45" s="297">
        <f>AD172</f>
        <v>0</v>
      </c>
      <c r="AE45" s="298">
        <f>AE172</f>
        <v>0</v>
      </c>
      <c r="AF45" s="296">
        <f>SUM(AG45:AI45)</f>
        <v>0</v>
      </c>
      <c r="AG45" s="297">
        <f>AG172</f>
        <v>0</v>
      </c>
      <c r="AH45" s="297">
        <f>AH172</f>
        <v>0</v>
      </c>
      <c r="AI45" s="298">
        <f>AI172</f>
        <v>0</v>
      </c>
      <c r="AJ45" s="292">
        <f>SUM(AK45:AM45)</f>
        <v>0</v>
      </c>
      <c r="AK45" s="294">
        <f>AK172</f>
        <v>0</v>
      </c>
      <c r="AL45" s="294">
        <f>AL172</f>
        <v>0</v>
      </c>
      <c r="AM45" s="295">
        <f>AM172</f>
        <v>0</v>
      </c>
      <c r="AN45" s="299"/>
      <c r="AO45" s="231" t="str">
        <f t="shared" si="11"/>
        <v>-</v>
      </c>
    </row>
    <row r="46" spans="1:41" s="88" customFormat="1" ht="27.75" hidden="1" customHeight="1" x14ac:dyDescent="0.75">
      <c r="A46" s="129" t="s">
        <v>87</v>
      </c>
      <c r="B46" s="130" t="s">
        <v>106</v>
      </c>
      <c r="C46" s="333">
        <v>73072</v>
      </c>
      <c r="D46" s="334" t="s">
        <v>108</v>
      </c>
      <c r="E46" s="335">
        <f>E168+E173</f>
        <v>0</v>
      </c>
      <c r="F46" s="306">
        <f>H46+P46+X46+AF46</f>
        <v>0</v>
      </c>
      <c r="G46" s="336" t="str">
        <f t="shared" si="22"/>
        <v>-</v>
      </c>
      <c r="H46" s="306">
        <f>SUM(I46:K46)</f>
        <v>0</v>
      </c>
      <c r="I46" s="307">
        <f>I168+I173</f>
        <v>0</v>
      </c>
      <c r="J46" s="307">
        <f>J168+J173</f>
        <v>0</v>
      </c>
      <c r="K46" s="308">
        <f>K168+K173</f>
        <v>0</v>
      </c>
      <c r="L46" s="306">
        <f>SUM(M46:O46)</f>
        <v>0</v>
      </c>
      <c r="M46" s="307">
        <f>M168+M173</f>
        <v>0</v>
      </c>
      <c r="N46" s="307">
        <f>N168+N173</f>
        <v>0</v>
      </c>
      <c r="O46" s="308">
        <f>O168+O173</f>
        <v>0</v>
      </c>
      <c r="P46" s="306">
        <f>SUM(Q46:S46)</f>
        <v>0</v>
      </c>
      <c r="Q46" s="307">
        <f>Q168+Q173</f>
        <v>0</v>
      </c>
      <c r="R46" s="307">
        <f>R168+R173</f>
        <v>0</v>
      </c>
      <c r="S46" s="308">
        <f>S168+S173</f>
        <v>0</v>
      </c>
      <c r="T46" s="306">
        <f>SUM(U46:W46)</f>
        <v>0</v>
      </c>
      <c r="U46" s="307">
        <f>U168+U173</f>
        <v>0</v>
      </c>
      <c r="V46" s="307">
        <f>V168+V173</f>
        <v>0</v>
      </c>
      <c r="W46" s="308">
        <f>W168+W173</f>
        <v>0</v>
      </c>
      <c r="X46" s="306">
        <f>SUM(Y46:AA46)</f>
        <v>0</v>
      </c>
      <c r="Y46" s="307">
        <f>Y168+Y173</f>
        <v>0</v>
      </c>
      <c r="Z46" s="307">
        <f>Z168+Z173</f>
        <v>0</v>
      </c>
      <c r="AA46" s="308">
        <f>AA168+AA173</f>
        <v>0</v>
      </c>
      <c r="AB46" s="306">
        <f>SUM(AC46:AE46)</f>
        <v>0</v>
      </c>
      <c r="AC46" s="307">
        <f>AC168+AC173</f>
        <v>0</v>
      </c>
      <c r="AD46" s="307">
        <f>AD168+AD173</f>
        <v>0</v>
      </c>
      <c r="AE46" s="308">
        <f>AE168+AE173</f>
        <v>0</v>
      </c>
      <c r="AF46" s="306">
        <f>SUM(AG46:AI46)</f>
        <v>0</v>
      </c>
      <c r="AG46" s="307">
        <f>AG168+AG173</f>
        <v>0</v>
      </c>
      <c r="AH46" s="307">
        <f>AH168+AH173</f>
        <v>0</v>
      </c>
      <c r="AI46" s="308">
        <f>AI168+AI173</f>
        <v>0</v>
      </c>
      <c r="AJ46" s="309">
        <f>SUM(AK46:AM46)</f>
        <v>0</v>
      </c>
      <c r="AK46" s="310">
        <f>AK168+AK173</f>
        <v>0</v>
      </c>
      <c r="AL46" s="310">
        <f>AL168+AL173</f>
        <v>0</v>
      </c>
      <c r="AM46" s="311">
        <f>AM168+AM173</f>
        <v>0</v>
      </c>
      <c r="AN46" s="337"/>
      <c r="AO46" s="87" t="str">
        <f t="shared" si="11"/>
        <v>-</v>
      </c>
    </row>
    <row r="47" spans="1:41" s="88" customFormat="1" ht="27.75" hidden="1" customHeight="1" x14ac:dyDescent="0.75">
      <c r="A47" s="338"/>
      <c r="B47" s="339"/>
      <c r="C47" s="340"/>
      <c r="D47" s="341" t="s">
        <v>119</v>
      </c>
      <c r="E47" s="342">
        <f>SUM(E48:E51)</f>
        <v>0</v>
      </c>
      <c r="F47" s="322">
        <f>SUM(F48:F51)</f>
        <v>0</v>
      </c>
      <c r="G47" s="343" t="str">
        <f t="shared" si="22"/>
        <v>-</v>
      </c>
      <c r="H47" s="322">
        <f t="shared" ref="H47:AM47" si="23">SUM(H48:H51)</f>
        <v>0</v>
      </c>
      <c r="I47" s="323">
        <f t="shared" si="23"/>
        <v>0</v>
      </c>
      <c r="J47" s="323">
        <f t="shared" si="23"/>
        <v>0</v>
      </c>
      <c r="K47" s="324">
        <f t="shared" si="23"/>
        <v>0</v>
      </c>
      <c r="L47" s="322">
        <f t="shared" si="23"/>
        <v>0</v>
      </c>
      <c r="M47" s="323">
        <f t="shared" si="23"/>
        <v>0</v>
      </c>
      <c r="N47" s="323">
        <f t="shared" si="23"/>
        <v>0</v>
      </c>
      <c r="O47" s="324">
        <f t="shared" si="23"/>
        <v>0</v>
      </c>
      <c r="P47" s="322">
        <f t="shared" si="23"/>
        <v>0</v>
      </c>
      <c r="Q47" s="323">
        <f t="shared" si="23"/>
        <v>0</v>
      </c>
      <c r="R47" s="323">
        <f t="shared" si="23"/>
        <v>0</v>
      </c>
      <c r="S47" s="324">
        <f t="shared" si="23"/>
        <v>0</v>
      </c>
      <c r="T47" s="322">
        <f t="shared" si="23"/>
        <v>0</v>
      </c>
      <c r="U47" s="323">
        <f t="shared" si="23"/>
        <v>0</v>
      </c>
      <c r="V47" s="323">
        <f t="shared" si="23"/>
        <v>0</v>
      </c>
      <c r="W47" s="324">
        <f t="shared" si="23"/>
        <v>0</v>
      </c>
      <c r="X47" s="322">
        <f t="shared" si="23"/>
        <v>0</v>
      </c>
      <c r="Y47" s="323">
        <f t="shared" si="23"/>
        <v>0</v>
      </c>
      <c r="Z47" s="323">
        <f t="shared" si="23"/>
        <v>0</v>
      </c>
      <c r="AA47" s="324">
        <f t="shared" si="23"/>
        <v>0</v>
      </c>
      <c r="AB47" s="322">
        <f t="shared" si="23"/>
        <v>0</v>
      </c>
      <c r="AC47" s="323">
        <f t="shared" si="23"/>
        <v>0</v>
      </c>
      <c r="AD47" s="323">
        <f t="shared" si="23"/>
        <v>0</v>
      </c>
      <c r="AE47" s="324">
        <f t="shared" si="23"/>
        <v>0</v>
      </c>
      <c r="AF47" s="322">
        <f t="shared" si="23"/>
        <v>0</v>
      </c>
      <c r="AG47" s="323">
        <f t="shared" si="23"/>
        <v>0</v>
      </c>
      <c r="AH47" s="323">
        <f t="shared" si="23"/>
        <v>0</v>
      </c>
      <c r="AI47" s="324">
        <f t="shared" si="23"/>
        <v>0</v>
      </c>
      <c r="AJ47" s="325">
        <f t="shared" si="23"/>
        <v>0</v>
      </c>
      <c r="AK47" s="326">
        <f t="shared" si="23"/>
        <v>0</v>
      </c>
      <c r="AL47" s="326">
        <f t="shared" si="23"/>
        <v>0</v>
      </c>
      <c r="AM47" s="327">
        <f t="shared" si="23"/>
        <v>0</v>
      </c>
      <c r="AN47" s="344"/>
      <c r="AO47" s="87" t="str">
        <f t="shared" si="11"/>
        <v>-</v>
      </c>
    </row>
    <row r="48" spans="1:41" s="88" customFormat="1" ht="27.75" hidden="1" customHeight="1" x14ac:dyDescent="0.75">
      <c r="A48" s="77" t="s">
        <v>87</v>
      </c>
      <c r="B48" s="78" t="s">
        <v>65</v>
      </c>
      <c r="C48" s="79">
        <v>73023</v>
      </c>
      <c r="D48" s="80" t="s">
        <v>83</v>
      </c>
      <c r="E48" s="329">
        <f>'[5]01.BMC'!E43</f>
        <v>0</v>
      </c>
      <c r="F48" s="296">
        <f t="shared" ref="F48:F49" si="24">H48+P48+X48+AF48</f>
        <v>0</v>
      </c>
      <c r="G48" s="330" t="str">
        <f>IFERROR(F48/E48, "-")</f>
        <v>-</v>
      </c>
      <c r="H48" s="296">
        <f>SUM(I48:K48)</f>
        <v>0</v>
      </c>
      <c r="I48" s="297">
        <f>'[5]01.BMC'!I43</f>
        <v>0</v>
      </c>
      <c r="J48" s="297">
        <f>'[5]01.BMC'!J43</f>
        <v>0</v>
      </c>
      <c r="K48" s="298">
        <f>'[5]01.BMC'!K43</f>
        <v>0</v>
      </c>
      <c r="L48" s="296">
        <f>SUM(M48:O48)</f>
        <v>0</v>
      </c>
      <c r="M48" s="297">
        <f>'[5]01.BMC'!M43</f>
        <v>0</v>
      </c>
      <c r="N48" s="297">
        <f>'[5]01.BMC'!N43</f>
        <v>0</v>
      </c>
      <c r="O48" s="298">
        <f>'[5]01.BMC'!O43</f>
        <v>0</v>
      </c>
      <c r="P48" s="296">
        <f>SUM(Q48:S48)</f>
        <v>0</v>
      </c>
      <c r="Q48" s="297">
        <f>'[5]01.BMC'!Q43</f>
        <v>0</v>
      </c>
      <c r="R48" s="297">
        <f>'[5]01.BMC'!R43</f>
        <v>0</v>
      </c>
      <c r="S48" s="298">
        <f>'[5]01.BMC'!S43</f>
        <v>0</v>
      </c>
      <c r="T48" s="296">
        <f>SUM(U48:W48)</f>
        <v>0</v>
      </c>
      <c r="U48" s="297">
        <f>'[5]01.BMC'!U43</f>
        <v>0</v>
      </c>
      <c r="V48" s="297">
        <f>'[5]01.BMC'!V43</f>
        <v>0</v>
      </c>
      <c r="W48" s="298">
        <f>'[5]01.BMC'!W43</f>
        <v>0</v>
      </c>
      <c r="X48" s="296">
        <f>SUM(Y48:AA48)</f>
        <v>0</v>
      </c>
      <c r="Y48" s="297">
        <f>'[5]01.BMC'!Y43</f>
        <v>0</v>
      </c>
      <c r="Z48" s="297">
        <f>'[5]01.BMC'!Z43</f>
        <v>0</v>
      </c>
      <c r="AA48" s="298">
        <f>'[5]01.BMC'!AA43</f>
        <v>0</v>
      </c>
      <c r="AB48" s="296">
        <f>SUM(AC48:AE48)</f>
        <v>0</v>
      </c>
      <c r="AC48" s="297"/>
      <c r="AD48" s="297"/>
      <c r="AE48" s="298"/>
      <c r="AF48" s="296">
        <f>SUM(AG48:AI48)</f>
        <v>0</v>
      </c>
      <c r="AG48" s="297">
        <f>'[5]01.BMC'!AG43</f>
        <v>0</v>
      </c>
      <c r="AH48" s="297">
        <f>'[5]01.BMC'!AH43</f>
        <v>0</v>
      </c>
      <c r="AI48" s="298">
        <f>'[5]01.BMC'!AI43</f>
        <v>0</v>
      </c>
      <c r="AJ48" s="292">
        <f>SUM(AK48:AM48)</f>
        <v>0</v>
      </c>
      <c r="AK48" s="294"/>
      <c r="AL48" s="294"/>
      <c r="AM48" s="295"/>
      <c r="AN48" s="299"/>
      <c r="AO48" s="87" t="str">
        <f t="shared" si="11"/>
        <v>-</v>
      </c>
    </row>
    <row r="49" spans="1:41" s="88" customFormat="1" ht="27.75" hidden="1" customHeight="1" x14ac:dyDescent="0.75">
      <c r="A49" s="91" t="s">
        <v>87</v>
      </c>
      <c r="B49" s="92" t="s">
        <v>69</v>
      </c>
      <c r="C49" s="93">
        <v>73066</v>
      </c>
      <c r="D49" s="94" t="s">
        <v>70</v>
      </c>
      <c r="E49" s="331">
        <f>'[5]01.BMC'!E44</f>
        <v>0</v>
      </c>
      <c r="F49" s="287">
        <f t="shared" si="24"/>
        <v>0</v>
      </c>
      <c r="G49" s="332" t="str">
        <f t="shared" ref="G49:G52" si="25">IFERROR(F49/E49, "-")</f>
        <v>-</v>
      </c>
      <c r="H49" s="287">
        <f>SUM(I49:K49)</f>
        <v>0</v>
      </c>
      <c r="I49" s="288">
        <f>'[5]01.BMC'!I44</f>
        <v>0</v>
      </c>
      <c r="J49" s="288">
        <f>'[5]01.BMC'!J44</f>
        <v>0</v>
      </c>
      <c r="K49" s="289">
        <f>'[5]01.BMC'!K44</f>
        <v>0</v>
      </c>
      <c r="L49" s="287">
        <f>SUM(M49:O49)</f>
        <v>0</v>
      </c>
      <c r="M49" s="288">
        <f>'[5]01.BMC'!M44</f>
        <v>0</v>
      </c>
      <c r="N49" s="288">
        <f>'[5]01.BMC'!N44</f>
        <v>0</v>
      </c>
      <c r="O49" s="289">
        <f>'[5]01.BMC'!O44</f>
        <v>0</v>
      </c>
      <c r="P49" s="287">
        <f>SUM(Q49:S49)</f>
        <v>0</v>
      </c>
      <c r="Q49" s="288">
        <f>'[5]01.BMC'!Q44</f>
        <v>0</v>
      </c>
      <c r="R49" s="288">
        <f>'[5]01.BMC'!R44</f>
        <v>0</v>
      </c>
      <c r="S49" s="289">
        <f>'[5]01.BMC'!S44</f>
        <v>0</v>
      </c>
      <c r="T49" s="287">
        <f>SUM(U49:W49)</f>
        <v>0</v>
      </c>
      <c r="U49" s="288">
        <f>'[5]01.BMC'!U44</f>
        <v>0</v>
      </c>
      <c r="V49" s="288">
        <f>'[5]01.BMC'!V44</f>
        <v>0</v>
      </c>
      <c r="W49" s="289">
        <f>'[5]01.BMC'!W44</f>
        <v>0</v>
      </c>
      <c r="X49" s="287">
        <f>SUM(Y49:AA49)</f>
        <v>0</v>
      </c>
      <c r="Y49" s="288">
        <f>'[5]01.BMC'!Y44</f>
        <v>0</v>
      </c>
      <c r="Z49" s="288">
        <f>'[5]01.BMC'!Z44</f>
        <v>0</v>
      </c>
      <c r="AA49" s="289">
        <f>'[5]01.BMC'!AA44</f>
        <v>0</v>
      </c>
      <c r="AB49" s="287">
        <f>SUM(AC49:AE49)</f>
        <v>0</v>
      </c>
      <c r="AC49" s="288"/>
      <c r="AD49" s="288"/>
      <c r="AE49" s="289"/>
      <c r="AF49" s="287">
        <f>SUM(AG49:AI49)</f>
        <v>0</v>
      </c>
      <c r="AG49" s="288">
        <f>'[5]01.BMC'!AG44</f>
        <v>0</v>
      </c>
      <c r="AH49" s="288">
        <f>'[5]01.BMC'!AH44</f>
        <v>0</v>
      </c>
      <c r="AI49" s="289">
        <f>'[5]01.BMC'!AI44</f>
        <v>0</v>
      </c>
      <c r="AJ49" s="283">
        <f>SUM(AK49:AM49)</f>
        <v>0</v>
      </c>
      <c r="AK49" s="285"/>
      <c r="AL49" s="285"/>
      <c r="AM49" s="286"/>
      <c r="AN49" s="290"/>
      <c r="AO49" s="87" t="str">
        <f t="shared" si="11"/>
        <v>-</v>
      </c>
    </row>
    <row r="50" spans="1:41" s="233" customFormat="1" ht="27.75" hidden="1" customHeight="1" x14ac:dyDescent="0.75">
      <c r="A50" s="77" t="s">
        <v>87</v>
      </c>
      <c r="B50" s="78" t="s">
        <v>106</v>
      </c>
      <c r="C50" s="79">
        <v>73071</v>
      </c>
      <c r="D50" s="80" t="s">
        <v>107</v>
      </c>
      <c r="E50" s="329">
        <f>E177</f>
        <v>0</v>
      </c>
      <c r="F50" s="296">
        <f>H50+P50+X50+AF50</f>
        <v>0</v>
      </c>
      <c r="G50" s="330" t="str">
        <f t="shared" si="25"/>
        <v>-</v>
      </c>
      <c r="H50" s="296">
        <f>SUM(I50:K50)</f>
        <v>0</v>
      </c>
      <c r="I50" s="297">
        <f>I177</f>
        <v>0</v>
      </c>
      <c r="J50" s="297">
        <f>J177</f>
        <v>0</v>
      </c>
      <c r="K50" s="298">
        <f>K177</f>
        <v>0</v>
      </c>
      <c r="L50" s="296">
        <f>SUM(M50:O50)</f>
        <v>0</v>
      </c>
      <c r="M50" s="297">
        <f>M177</f>
        <v>0</v>
      </c>
      <c r="N50" s="297">
        <f>N177</f>
        <v>0</v>
      </c>
      <c r="O50" s="298">
        <f>O177</f>
        <v>0</v>
      </c>
      <c r="P50" s="296">
        <f>SUM(Q50:S50)</f>
        <v>0</v>
      </c>
      <c r="Q50" s="297">
        <f>Q177</f>
        <v>0</v>
      </c>
      <c r="R50" s="297">
        <f>R177</f>
        <v>0</v>
      </c>
      <c r="S50" s="298">
        <f>S177</f>
        <v>0</v>
      </c>
      <c r="T50" s="296">
        <f>SUM(U50:W50)</f>
        <v>0</v>
      </c>
      <c r="U50" s="297">
        <f>U177</f>
        <v>0</v>
      </c>
      <c r="V50" s="297">
        <f>V177</f>
        <v>0</v>
      </c>
      <c r="W50" s="298">
        <f>W177</f>
        <v>0</v>
      </c>
      <c r="X50" s="296">
        <f>SUM(Y50:AA50)</f>
        <v>0</v>
      </c>
      <c r="Y50" s="297">
        <f>Y177</f>
        <v>0</v>
      </c>
      <c r="Z50" s="297">
        <f>Z177</f>
        <v>0</v>
      </c>
      <c r="AA50" s="298">
        <f>AA177</f>
        <v>0</v>
      </c>
      <c r="AB50" s="296">
        <f>SUM(AC50:AE50)</f>
        <v>0</v>
      </c>
      <c r="AC50" s="297">
        <f>AC177</f>
        <v>0</v>
      </c>
      <c r="AD50" s="297">
        <f>AD177</f>
        <v>0</v>
      </c>
      <c r="AE50" s="298">
        <f>AE177</f>
        <v>0</v>
      </c>
      <c r="AF50" s="296">
        <f>SUM(AG50:AI50)</f>
        <v>0</v>
      </c>
      <c r="AG50" s="297">
        <f>AG177</f>
        <v>0</v>
      </c>
      <c r="AH50" s="297">
        <f>AH177</f>
        <v>0</v>
      </c>
      <c r="AI50" s="298">
        <f>AI177</f>
        <v>0</v>
      </c>
      <c r="AJ50" s="292">
        <f>SUM(AK50:AM50)</f>
        <v>0</v>
      </c>
      <c r="AK50" s="294">
        <f>AK177</f>
        <v>0</v>
      </c>
      <c r="AL50" s="294">
        <f>AL177</f>
        <v>0</v>
      </c>
      <c r="AM50" s="295">
        <f>AM177</f>
        <v>0</v>
      </c>
      <c r="AN50" s="299"/>
      <c r="AO50" s="231" t="str">
        <f t="shared" si="11"/>
        <v>-</v>
      </c>
    </row>
    <row r="51" spans="1:41" s="88" customFormat="1" ht="27.75" hidden="1" customHeight="1" x14ac:dyDescent="0.75">
      <c r="A51" s="129" t="s">
        <v>87</v>
      </c>
      <c r="B51" s="130" t="s">
        <v>106</v>
      </c>
      <c r="C51" s="333">
        <v>73072</v>
      </c>
      <c r="D51" s="334" t="s">
        <v>108</v>
      </c>
      <c r="E51" s="335">
        <f>E173+E178</f>
        <v>0</v>
      </c>
      <c r="F51" s="306">
        <f>H51+P51+X51+AF51</f>
        <v>0</v>
      </c>
      <c r="G51" s="336" t="str">
        <f t="shared" si="25"/>
        <v>-</v>
      </c>
      <c r="H51" s="306">
        <f>SUM(I51:K51)</f>
        <v>0</v>
      </c>
      <c r="I51" s="307">
        <f>I173+I178</f>
        <v>0</v>
      </c>
      <c r="J51" s="307">
        <f>J173+J178</f>
        <v>0</v>
      </c>
      <c r="K51" s="308">
        <f>K173+K178</f>
        <v>0</v>
      </c>
      <c r="L51" s="306">
        <f>SUM(M51:O51)</f>
        <v>0</v>
      </c>
      <c r="M51" s="307">
        <f>M173+M178</f>
        <v>0</v>
      </c>
      <c r="N51" s="307">
        <f>N173+N178</f>
        <v>0</v>
      </c>
      <c r="O51" s="308">
        <f>O173+O178</f>
        <v>0</v>
      </c>
      <c r="P51" s="306">
        <f>SUM(Q51:S51)</f>
        <v>0</v>
      </c>
      <c r="Q51" s="307">
        <f>Q173+Q178</f>
        <v>0</v>
      </c>
      <c r="R51" s="307">
        <f>R173+R178</f>
        <v>0</v>
      </c>
      <c r="S51" s="308">
        <f>S173+S178</f>
        <v>0</v>
      </c>
      <c r="T51" s="306">
        <f>SUM(U51:W51)</f>
        <v>0</v>
      </c>
      <c r="U51" s="307">
        <f>U173+U178</f>
        <v>0</v>
      </c>
      <c r="V51" s="307">
        <f>V173+V178</f>
        <v>0</v>
      </c>
      <c r="W51" s="308">
        <f>W173+W178</f>
        <v>0</v>
      </c>
      <c r="X51" s="306">
        <f>SUM(Y51:AA51)</f>
        <v>0</v>
      </c>
      <c r="Y51" s="307">
        <f>Y173+Y178</f>
        <v>0</v>
      </c>
      <c r="Z51" s="307">
        <f>Z173+Z178</f>
        <v>0</v>
      </c>
      <c r="AA51" s="308">
        <f>AA173+AA178</f>
        <v>0</v>
      </c>
      <c r="AB51" s="306">
        <f>SUM(AC51:AE51)</f>
        <v>0</v>
      </c>
      <c r="AC51" s="307">
        <f>AC173+AC178</f>
        <v>0</v>
      </c>
      <c r="AD51" s="307">
        <f>AD173+AD178</f>
        <v>0</v>
      </c>
      <c r="AE51" s="308">
        <f>AE173+AE178</f>
        <v>0</v>
      </c>
      <c r="AF51" s="306">
        <f>SUM(AG51:AI51)</f>
        <v>0</v>
      </c>
      <c r="AG51" s="307">
        <f>AG173+AG178</f>
        <v>0</v>
      </c>
      <c r="AH51" s="307">
        <f>AH173+AH178</f>
        <v>0</v>
      </c>
      <c r="AI51" s="308">
        <f>AI173+AI178</f>
        <v>0</v>
      </c>
      <c r="AJ51" s="309">
        <f>SUM(AK51:AM51)</f>
        <v>0</v>
      </c>
      <c r="AK51" s="310">
        <f>AK173+AK178</f>
        <v>0</v>
      </c>
      <c r="AL51" s="310">
        <f>AL173+AL178</f>
        <v>0</v>
      </c>
      <c r="AM51" s="311">
        <f>AM173+AM178</f>
        <v>0</v>
      </c>
      <c r="AN51" s="337"/>
      <c r="AO51" s="87" t="str">
        <f t="shared" si="11"/>
        <v>-</v>
      </c>
    </row>
    <row r="52" spans="1:41" s="88" customFormat="1" ht="27.75" hidden="1" customHeight="1" x14ac:dyDescent="0.75">
      <c r="A52" s="338"/>
      <c r="B52" s="339"/>
      <c r="C52" s="340"/>
      <c r="D52" s="341" t="s">
        <v>120</v>
      </c>
      <c r="E52" s="342">
        <f>SUM(E53:E56)</f>
        <v>0</v>
      </c>
      <c r="F52" s="322">
        <f>SUM(F53:F56)</f>
        <v>0</v>
      </c>
      <c r="G52" s="343" t="str">
        <f t="shared" si="25"/>
        <v>-</v>
      </c>
      <c r="H52" s="322">
        <f t="shared" ref="H52:AM52" si="26">SUM(H53:H56)</f>
        <v>0</v>
      </c>
      <c r="I52" s="323">
        <f t="shared" si="26"/>
        <v>0</v>
      </c>
      <c r="J52" s="323">
        <f t="shared" si="26"/>
        <v>0</v>
      </c>
      <c r="K52" s="324">
        <f t="shared" si="26"/>
        <v>0</v>
      </c>
      <c r="L52" s="322">
        <f t="shared" si="26"/>
        <v>0</v>
      </c>
      <c r="M52" s="323">
        <f t="shared" si="26"/>
        <v>0</v>
      </c>
      <c r="N52" s="323">
        <f t="shared" si="26"/>
        <v>0</v>
      </c>
      <c r="O52" s="324">
        <f t="shared" si="26"/>
        <v>0</v>
      </c>
      <c r="P52" s="322">
        <f t="shared" si="26"/>
        <v>0</v>
      </c>
      <c r="Q52" s="323">
        <f t="shared" si="26"/>
        <v>0</v>
      </c>
      <c r="R52" s="323">
        <f t="shared" si="26"/>
        <v>0</v>
      </c>
      <c r="S52" s="324">
        <f t="shared" si="26"/>
        <v>0</v>
      </c>
      <c r="T52" s="322">
        <f t="shared" si="26"/>
        <v>0</v>
      </c>
      <c r="U52" s="323">
        <f t="shared" si="26"/>
        <v>0</v>
      </c>
      <c r="V52" s="323">
        <f t="shared" si="26"/>
        <v>0</v>
      </c>
      <c r="W52" s="324">
        <f t="shared" si="26"/>
        <v>0</v>
      </c>
      <c r="X52" s="322">
        <f t="shared" si="26"/>
        <v>0</v>
      </c>
      <c r="Y52" s="323">
        <f t="shared" si="26"/>
        <v>0</v>
      </c>
      <c r="Z52" s="323">
        <f t="shared" si="26"/>
        <v>0</v>
      </c>
      <c r="AA52" s="324">
        <f t="shared" si="26"/>
        <v>0</v>
      </c>
      <c r="AB52" s="322">
        <f t="shared" si="26"/>
        <v>0</v>
      </c>
      <c r="AC52" s="323">
        <f t="shared" si="26"/>
        <v>0</v>
      </c>
      <c r="AD52" s="323">
        <f t="shared" si="26"/>
        <v>0</v>
      </c>
      <c r="AE52" s="324">
        <f t="shared" si="26"/>
        <v>0</v>
      </c>
      <c r="AF52" s="322">
        <f t="shared" si="26"/>
        <v>0</v>
      </c>
      <c r="AG52" s="323">
        <f t="shared" si="26"/>
        <v>0</v>
      </c>
      <c r="AH52" s="323">
        <f t="shared" si="26"/>
        <v>0</v>
      </c>
      <c r="AI52" s="324">
        <f t="shared" si="26"/>
        <v>0</v>
      </c>
      <c r="AJ52" s="325">
        <f t="shared" si="26"/>
        <v>0</v>
      </c>
      <c r="AK52" s="326">
        <f t="shared" si="26"/>
        <v>0</v>
      </c>
      <c r="AL52" s="326">
        <f t="shared" si="26"/>
        <v>0</v>
      </c>
      <c r="AM52" s="327">
        <f t="shared" si="26"/>
        <v>0</v>
      </c>
      <c r="AN52" s="344"/>
      <c r="AO52" s="87" t="str">
        <f t="shared" si="11"/>
        <v>-</v>
      </c>
    </row>
    <row r="53" spans="1:41" s="88" customFormat="1" ht="27.75" hidden="1" customHeight="1" x14ac:dyDescent="0.75">
      <c r="A53" s="77" t="s">
        <v>87</v>
      </c>
      <c r="B53" s="78" t="s">
        <v>65</v>
      </c>
      <c r="C53" s="79">
        <v>73023</v>
      </c>
      <c r="D53" s="80" t="s">
        <v>83</v>
      </c>
      <c r="E53" s="329">
        <f>'[5]01.BMC'!E48</f>
        <v>0</v>
      </c>
      <c r="F53" s="296">
        <f t="shared" ref="F53:F54" si="27">H53+P53+X53+AF53</f>
        <v>0</v>
      </c>
      <c r="G53" s="330" t="str">
        <f>IFERROR(F53/E53, "-")</f>
        <v>-</v>
      </c>
      <c r="H53" s="296">
        <f>SUM(I53:K53)</f>
        <v>0</v>
      </c>
      <c r="I53" s="297">
        <f>'[5]01.BMC'!I48</f>
        <v>0</v>
      </c>
      <c r="J53" s="297">
        <f>'[5]01.BMC'!J48</f>
        <v>0</v>
      </c>
      <c r="K53" s="298">
        <f>'[5]01.BMC'!K48</f>
        <v>0</v>
      </c>
      <c r="L53" s="296">
        <f>SUM(M53:O53)</f>
        <v>0</v>
      </c>
      <c r="M53" s="297">
        <f>'[5]01.BMC'!M48</f>
        <v>0</v>
      </c>
      <c r="N53" s="297">
        <f>'[5]01.BMC'!N48</f>
        <v>0</v>
      </c>
      <c r="O53" s="298">
        <f>'[5]01.BMC'!O48</f>
        <v>0</v>
      </c>
      <c r="P53" s="296">
        <f>SUM(Q53:S53)</f>
        <v>0</v>
      </c>
      <c r="Q53" s="297">
        <f>'[5]01.BMC'!Q48</f>
        <v>0</v>
      </c>
      <c r="R53" s="297">
        <f>'[5]01.BMC'!R48</f>
        <v>0</v>
      </c>
      <c r="S53" s="298">
        <f>'[5]01.BMC'!S48</f>
        <v>0</v>
      </c>
      <c r="T53" s="296">
        <f>SUM(U53:W53)</f>
        <v>0</v>
      </c>
      <c r="U53" s="297">
        <f>'[5]01.BMC'!U48</f>
        <v>0</v>
      </c>
      <c r="V53" s="297">
        <f>'[5]01.BMC'!V48</f>
        <v>0</v>
      </c>
      <c r="W53" s="298">
        <f>'[5]01.BMC'!W48</f>
        <v>0</v>
      </c>
      <c r="X53" s="296">
        <f>SUM(Y53:AA53)</f>
        <v>0</v>
      </c>
      <c r="Y53" s="297">
        <f>'[5]01.BMC'!Y48</f>
        <v>0</v>
      </c>
      <c r="Z53" s="297">
        <f>'[5]01.BMC'!Z48</f>
        <v>0</v>
      </c>
      <c r="AA53" s="298">
        <f>'[5]01.BMC'!AA48</f>
        <v>0</v>
      </c>
      <c r="AB53" s="296">
        <f>SUM(AC53:AE53)</f>
        <v>0</v>
      </c>
      <c r="AC53" s="297"/>
      <c r="AD53" s="297"/>
      <c r="AE53" s="298"/>
      <c r="AF53" s="296">
        <f>SUM(AG53:AI53)</f>
        <v>0</v>
      </c>
      <c r="AG53" s="297">
        <f>'[5]01.BMC'!AG48</f>
        <v>0</v>
      </c>
      <c r="AH53" s="297">
        <f>'[5]01.BMC'!AH48</f>
        <v>0</v>
      </c>
      <c r="AI53" s="298">
        <f>'[5]01.BMC'!AI48</f>
        <v>0</v>
      </c>
      <c r="AJ53" s="292">
        <f>SUM(AK53:AM53)</f>
        <v>0</v>
      </c>
      <c r="AK53" s="294"/>
      <c r="AL53" s="294"/>
      <c r="AM53" s="295"/>
      <c r="AN53" s="299"/>
      <c r="AO53" s="87" t="str">
        <f t="shared" si="11"/>
        <v>-</v>
      </c>
    </row>
    <row r="54" spans="1:41" s="88" customFormat="1" ht="27.75" hidden="1" customHeight="1" x14ac:dyDescent="0.75">
      <c r="A54" s="91" t="s">
        <v>87</v>
      </c>
      <c r="B54" s="92" t="s">
        <v>69</v>
      </c>
      <c r="C54" s="93">
        <v>73066</v>
      </c>
      <c r="D54" s="94" t="s">
        <v>70</v>
      </c>
      <c r="E54" s="331">
        <f>'[5]01.BMC'!E49</f>
        <v>0</v>
      </c>
      <c r="F54" s="287">
        <f t="shared" si="27"/>
        <v>0</v>
      </c>
      <c r="G54" s="332" t="str">
        <f t="shared" ref="G54:G57" si="28">IFERROR(F54/E54, "-")</f>
        <v>-</v>
      </c>
      <c r="H54" s="287">
        <f>SUM(I54:K54)</f>
        <v>0</v>
      </c>
      <c r="I54" s="288">
        <f>'[5]01.BMC'!I49</f>
        <v>0</v>
      </c>
      <c r="J54" s="288">
        <f>'[5]01.BMC'!J49</f>
        <v>0</v>
      </c>
      <c r="K54" s="289">
        <f>'[5]01.BMC'!K49</f>
        <v>0</v>
      </c>
      <c r="L54" s="287">
        <f>SUM(M54:O54)</f>
        <v>0</v>
      </c>
      <c r="M54" s="288">
        <f>'[5]01.BMC'!M49</f>
        <v>0</v>
      </c>
      <c r="N54" s="288">
        <f>'[5]01.BMC'!N49</f>
        <v>0</v>
      </c>
      <c r="O54" s="289">
        <f>'[5]01.BMC'!O49</f>
        <v>0</v>
      </c>
      <c r="P54" s="287">
        <f>SUM(Q54:S54)</f>
        <v>0</v>
      </c>
      <c r="Q54" s="288">
        <f>'[5]01.BMC'!Q49</f>
        <v>0</v>
      </c>
      <c r="R54" s="288">
        <f>'[5]01.BMC'!R49</f>
        <v>0</v>
      </c>
      <c r="S54" s="289">
        <f>'[5]01.BMC'!S49</f>
        <v>0</v>
      </c>
      <c r="T54" s="287">
        <f>SUM(U54:W54)</f>
        <v>0</v>
      </c>
      <c r="U54" s="288">
        <f>'[5]01.BMC'!U49</f>
        <v>0</v>
      </c>
      <c r="V54" s="288">
        <f>'[5]01.BMC'!V49</f>
        <v>0</v>
      </c>
      <c r="W54" s="289">
        <f>'[5]01.BMC'!W49</f>
        <v>0</v>
      </c>
      <c r="X54" s="287">
        <f>SUM(Y54:AA54)</f>
        <v>0</v>
      </c>
      <c r="Y54" s="288">
        <f>'[5]01.BMC'!Y49</f>
        <v>0</v>
      </c>
      <c r="Z54" s="288">
        <f>'[5]01.BMC'!Z49</f>
        <v>0</v>
      </c>
      <c r="AA54" s="289">
        <f>'[5]01.BMC'!AA49</f>
        <v>0</v>
      </c>
      <c r="AB54" s="287">
        <f>SUM(AC54:AE54)</f>
        <v>0</v>
      </c>
      <c r="AC54" s="288"/>
      <c r="AD54" s="288"/>
      <c r="AE54" s="289"/>
      <c r="AF54" s="287">
        <f>SUM(AG54:AI54)</f>
        <v>0</v>
      </c>
      <c r="AG54" s="288">
        <f>'[5]01.BMC'!AG49</f>
        <v>0</v>
      </c>
      <c r="AH54" s="288">
        <f>'[5]01.BMC'!AH49</f>
        <v>0</v>
      </c>
      <c r="AI54" s="289">
        <f>'[5]01.BMC'!AI49</f>
        <v>0</v>
      </c>
      <c r="AJ54" s="283">
        <f>SUM(AK54:AM54)</f>
        <v>0</v>
      </c>
      <c r="AK54" s="285"/>
      <c r="AL54" s="285"/>
      <c r="AM54" s="286"/>
      <c r="AN54" s="290"/>
      <c r="AO54" s="87" t="str">
        <f t="shared" si="11"/>
        <v>-</v>
      </c>
    </row>
    <row r="55" spans="1:41" s="233" customFormat="1" ht="27.75" hidden="1" customHeight="1" x14ac:dyDescent="0.75">
      <c r="A55" s="77" t="s">
        <v>87</v>
      </c>
      <c r="B55" s="78" t="s">
        <v>106</v>
      </c>
      <c r="C55" s="79">
        <v>73071</v>
      </c>
      <c r="D55" s="80" t="s">
        <v>107</v>
      </c>
      <c r="E55" s="329">
        <f>E182</f>
        <v>0</v>
      </c>
      <c r="F55" s="296">
        <f>H55+P55+X55+AF55</f>
        <v>0</v>
      </c>
      <c r="G55" s="330" t="str">
        <f t="shared" si="28"/>
        <v>-</v>
      </c>
      <c r="H55" s="296">
        <f>SUM(I55:K55)</f>
        <v>0</v>
      </c>
      <c r="I55" s="297">
        <f>I182</f>
        <v>0</v>
      </c>
      <c r="J55" s="297">
        <f>J182</f>
        <v>0</v>
      </c>
      <c r="K55" s="298">
        <f>K182</f>
        <v>0</v>
      </c>
      <c r="L55" s="296">
        <f>SUM(M55:O55)</f>
        <v>0</v>
      </c>
      <c r="M55" s="297">
        <f>M182</f>
        <v>0</v>
      </c>
      <c r="N55" s="297">
        <f>N182</f>
        <v>0</v>
      </c>
      <c r="O55" s="298">
        <f>O182</f>
        <v>0</v>
      </c>
      <c r="P55" s="296">
        <f>SUM(Q55:S55)</f>
        <v>0</v>
      </c>
      <c r="Q55" s="297">
        <f>Q182</f>
        <v>0</v>
      </c>
      <c r="R55" s="297">
        <f>R182</f>
        <v>0</v>
      </c>
      <c r="S55" s="298">
        <f>S182</f>
        <v>0</v>
      </c>
      <c r="T55" s="296">
        <f>SUM(U55:W55)</f>
        <v>0</v>
      </c>
      <c r="U55" s="297">
        <f>U182</f>
        <v>0</v>
      </c>
      <c r="V55" s="297">
        <f>V182</f>
        <v>0</v>
      </c>
      <c r="W55" s="298">
        <f>W182</f>
        <v>0</v>
      </c>
      <c r="X55" s="296">
        <f>SUM(Y55:AA55)</f>
        <v>0</v>
      </c>
      <c r="Y55" s="297">
        <f>Y182</f>
        <v>0</v>
      </c>
      <c r="Z55" s="297">
        <f>Z182</f>
        <v>0</v>
      </c>
      <c r="AA55" s="298">
        <f>AA182</f>
        <v>0</v>
      </c>
      <c r="AB55" s="296">
        <f>SUM(AC55:AE55)</f>
        <v>0</v>
      </c>
      <c r="AC55" s="297">
        <f>AC182</f>
        <v>0</v>
      </c>
      <c r="AD55" s="297">
        <f>AD182</f>
        <v>0</v>
      </c>
      <c r="AE55" s="298">
        <f>AE182</f>
        <v>0</v>
      </c>
      <c r="AF55" s="296">
        <f>SUM(AG55:AI55)</f>
        <v>0</v>
      </c>
      <c r="AG55" s="297">
        <f>AG182</f>
        <v>0</v>
      </c>
      <c r="AH55" s="297">
        <f>AH182</f>
        <v>0</v>
      </c>
      <c r="AI55" s="298">
        <f>AI182</f>
        <v>0</v>
      </c>
      <c r="AJ55" s="292">
        <f>SUM(AK55:AM55)</f>
        <v>0</v>
      </c>
      <c r="AK55" s="294">
        <f>AK182</f>
        <v>0</v>
      </c>
      <c r="AL55" s="294">
        <f>AL182</f>
        <v>0</v>
      </c>
      <c r="AM55" s="295">
        <f>AM182</f>
        <v>0</v>
      </c>
      <c r="AN55" s="299"/>
      <c r="AO55" s="231" t="str">
        <f t="shared" si="11"/>
        <v>-</v>
      </c>
    </row>
    <row r="56" spans="1:41" s="88" customFormat="1" ht="27.75" hidden="1" customHeight="1" x14ac:dyDescent="0.75">
      <c r="A56" s="129" t="s">
        <v>87</v>
      </c>
      <c r="B56" s="130" t="s">
        <v>106</v>
      </c>
      <c r="C56" s="333">
        <v>73072</v>
      </c>
      <c r="D56" s="334" t="s">
        <v>108</v>
      </c>
      <c r="E56" s="335">
        <f>E178+E183</f>
        <v>0</v>
      </c>
      <c r="F56" s="306">
        <f>H56+P56+X56+AF56</f>
        <v>0</v>
      </c>
      <c r="G56" s="336" t="str">
        <f t="shared" si="28"/>
        <v>-</v>
      </c>
      <c r="H56" s="306">
        <f>SUM(I56:K56)</f>
        <v>0</v>
      </c>
      <c r="I56" s="307">
        <f>I178+I183</f>
        <v>0</v>
      </c>
      <c r="J56" s="307">
        <f>J178+J183</f>
        <v>0</v>
      </c>
      <c r="K56" s="308">
        <f>K178+K183</f>
        <v>0</v>
      </c>
      <c r="L56" s="306">
        <f>SUM(M56:O56)</f>
        <v>0</v>
      </c>
      <c r="M56" s="307">
        <f>M178+M183</f>
        <v>0</v>
      </c>
      <c r="N56" s="307">
        <f>N178+N183</f>
        <v>0</v>
      </c>
      <c r="O56" s="308">
        <f>O178+O183</f>
        <v>0</v>
      </c>
      <c r="P56" s="306">
        <f>SUM(Q56:S56)</f>
        <v>0</v>
      </c>
      <c r="Q56" s="307">
        <f>Q178+Q183</f>
        <v>0</v>
      </c>
      <c r="R56" s="307">
        <f>R178+R183</f>
        <v>0</v>
      </c>
      <c r="S56" s="308">
        <f>S178+S183</f>
        <v>0</v>
      </c>
      <c r="T56" s="306">
        <f>SUM(U56:W56)</f>
        <v>0</v>
      </c>
      <c r="U56" s="307">
        <f>U178+U183</f>
        <v>0</v>
      </c>
      <c r="V56" s="307">
        <f>V178+V183</f>
        <v>0</v>
      </c>
      <c r="W56" s="308">
        <f>W178+W183</f>
        <v>0</v>
      </c>
      <c r="X56" s="306">
        <f>SUM(Y56:AA56)</f>
        <v>0</v>
      </c>
      <c r="Y56" s="307">
        <f>Y178+Y183</f>
        <v>0</v>
      </c>
      <c r="Z56" s="307">
        <f>Z178+Z183</f>
        <v>0</v>
      </c>
      <c r="AA56" s="308">
        <f>AA178+AA183</f>
        <v>0</v>
      </c>
      <c r="AB56" s="306">
        <f>SUM(AC56:AE56)</f>
        <v>0</v>
      </c>
      <c r="AC56" s="307">
        <f>AC178+AC183</f>
        <v>0</v>
      </c>
      <c r="AD56" s="307">
        <f>AD178+AD183</f>
        <v>0</v>
      </c>
      <c r="AE56" s="308">
        <f>AE178+AE183</f>
        <v>0</v>
      </c>
      <c r="AF56" s="306">
        <f>SUM(AG56:AI56)</f>
        <v>0</v>
      </c>
      <c r="AG56" s="307">
        <f>AG178+AG183</f>
        <v>0</v>
      </c>
      <c r="AH56" s="307">
        <f>AH178+AH183</f>
        <v>0</v>
      </c>
      <c r="AI56" s="308">
        <f>AI178+AI183</f>
        <v>0</v>
      </c>
      <c r="AJ56" s="309">
        <f>SUM(AK56:AM56)</f>
        <v>0</v>
      </c>
      <c r="AK56" s="310">
        <f>AK178+AK183</f>
        <v>0</v>
      </c>
      <c r="AL56" s="310">
        <f>AL178+AL183</f>
        <v>0</v>
      </c>
      <c r="AM56" s="311">
        <f>AM178+AM183</f>
        <v>0</v>
      </c>
      <c r="AN56" s="337"/>
      <c r="AO56" s="87" t="str">
        <f t="shared" si="11"/>
        <v>-</v>
      </c>
    </row>
    <row r="57" spans="1:41" s="88" customFormat="1" ht="27.75" hidden="1" customHeight="1" x14ac:dyDescent="0.75">
      <c r="A57" s="338"/>
      <c r="B57" s="339"/>
      <c r="C57" s="340"/>
      <c r="D57" s="341" t="s">
        <v>121</v>
      </c>
      <c r="E57" s="342">
        <f>SUM(E58:E61)</f>
        <v>0</v>
      </c>
      <c r="F57" s="322">
        <f>SUM(F58:F61)</f>
        <v>0</v>
      </c>
      <c r="G57" s="343" t="str">
        <f t="shared" si="28"/>
        <v>-</v>
      </c>
      <c r="H57" s="322">
        <f t="shared" ref="H57:AM57" si="29">SUM(H58:H61)</f>
        <v>0</v>
      </c>
      <c r="I57" s="323">
        <f t="shared" si="29"/>
        <v>0</v>
      </c>
      <c r="J57" s="323">
        <f t="shared" si="29"/>
        <v>0</v>
      </c>
      <c r="K57" s="324">
        <f t="shared" si="29"/>
        <v>0</v>
      </c>
      <c r="L57" s="322">
        <f t="shared" si="29"/>
        <v>0</v>
      </c>
      <c r="M57" s="323">
        <f t="shared" si="29"/>
        <v>0</v>
      </c>
      <c r="N57" s="323">
        <f t="shared" si="29"/>
        <v>0</v>
      </c>
      <c r="O57" s="324">
        <f t="shared" si="29"/>
        <v>0</v>
      </c>
      <c r="P57" s="322">
        <f t="shared" si="29"/>
        <v>0</v>
      </c>
      <c r="Q57" s="323">
        <f t="shared" si="29"/>
        <v>0</v>
      </c>
      <c r="R57" s="323">
        <f t="shared" si="29"/>
        <v>0</v>
      </c>
      <c r="S57" s="324">
        <f t="shared" si="29"/>
        <v>0</v>
      </c>
      <c r="T57" s="322">
        <f t="shared" si="29"/>
        <v>0</v>
      </c>
      <c r="U57" s="323">
        <f t="shared" si="29"/>
        <v>0</v>
      </c>
      <c r="V57" s="323">
        <f t="shared" si="29"/>
        <v>0</v>
      </c>
      <c r="W57" s="324">
        <f t="shared" si="29"/>
        <v>0</v>
      </c>
      <c r="X57" s="322">
        <f t="shared" si="29"/>
        <v>0</v>
      </c>
      <c r="Y57" s="323">
        <f t="shared" si="29"/>
        <v>0</v>
      </c>
      <c r="Z57" s="323">
        <f t="shared" si="29"/>
        <v>0</v>
      </c>
      <c r="AA57" s="324">
        <f t="shared" si="29"/>
        <v>0</v>
      </c>
      <c r="AB57" s="322">
        <f t="shared" si="29"/>
        <v>0</v>
      </c>
      <c r="AC57" s="323">
        <f t="shared" si="29"/>
        <v>0</v>
      </c>
      <c r="AD57" s="323">
        <f t="shared" si="29"/>
        <v>0</v>
      </c>
      <c r="AE57" s="324">
        <f t="shared" si="29"/>
        <v>0</v>
      </c>
      <c r="AF57" s="322">
        <f t="shared" si="29"/>
        <v>0</v>
      </c>
      <c r="AG57" s="323">
        <f t="shared" si="29"/>
        <v>0</v>
      </c>
      <c r="AH57" s="323">
        <f t="shared" si="29"/>
        <v>0</v>
      </c>
      <c r="AI57" s="324">
        <f t="shared" si="29"/>
        <v>0</v>
      </c>
      <c r="AJ57" s="325">
        <f t="shared" si="29"/>
        <v>0</v>
      </c>
      <c r="AK57" s="326">
        <f t="shared" si="29"/>
        <v>0</v>
      </c>
      <c r="AL57" s="326">
        <f t="shared" si="29"/>
        <v>0</v>
      </c>
      <c r="AM57" s="327">
        <f t="shared" si="29"/>
        <v>0</v>
      </c>
      <c r="AN57" s="344"/>
      <c r="AO57" s="87" t="str">
        <f t="shared" si="11"/>
        <v>-</v>
      </c>
    </row>
    <row r="58" spans="1:41" s="88" customFormat="1" ht="27.75" hidden="1" customHeight="1" x14ac:dyDescent="0.75">
      <c r="A58" s="77" t="s">
        <v>87</v>
      </c>
      <c r="B58" s="78" t="s">
        <v>65</v>
      </c>
      <c r="C58" s="79">
        <v>73023</v>
      </c>
      <c r="D58" s="80" t="s">
        <v>83</v>
      </c>
      <c r="E58" s="329">
        <f>'[5]01.BMC'!E53</f>
        <v>0</v>
      </c>
      <c r="F58" s="296">
        <f t="shared" ref="F58:F59" si="30">H58+P58+X58+AF58</f>
        <v>0</v>
      </c>
      <c r="G58" s="330" t="str">
        <f>IFERROR(F58/E58, "-")</f>
        <v>-</v>
      </c>
      <c r="H58" s="296">
        <f>SUM(I58:K58)</f>
        <v>0</v>
      </c>
      <c r="I58" s="297">
        <f>'[5]01.BMC'!I53</f>
        <v>0</v>
      </c>
      <c r="J58" s="297">
        <f>'[5]01.BMC'!J53</f>
        <v>0</v>
      </c>
      <c r="K58" s="298">
        <f>'[5]01.BMC'!K53</f>
        <v>0</v>
      </c>
      <c r="L58" s="296">
        <f>SUM(M58:O58)</f>
        <v>0</v>
      </c>
      <c r="M58" s="297">
        <f>'[5]01.BMC'!M53</f>
        <v>0</v>
      </c>
      <c r="N58" s="297">
        <f>'[5]01.BMC'!N53</f>
        <v>0</v>
      </c>
      <c r="O58" s="298">
        <f>'[5]01.BMC'!O53</f>
        <v>0</v>
      </c>
      <c r="P58" s="296">
        <f>SUM(Q58:S58)</f>
        <v>0</v>
      </c>
      <c r="Q58" s="297">
        <f>'[5]01.BMC'!Q53</f>
        <v>0</v>
      </c>
      <c r="R58" s="297">
        <f>'[5]01.BMC'!R53</f>
        <v>0</v>
      </c>
      <c r="S58" s="298">
        <f>'[5]01.BMC'!S53</f>
        <v>0</v>
      </c>
      <c r="T58" s="296">
        <f>SUM(U58:W58)</f>
        <v>0</v>
      </c>
      <c r="U58" s="297">
        <f>'[5]01.BMC'!U53</f>
        <v>0</v>
      </c>
      <c r="V58" s="297">
        <f>'[5]01.BMC'!V53</f>
        <v>0</v>
      </c>
      <c r="W58" s="298">
        <f>'[5]01.BMC'!W53</f>
        <v>0</v>
      </c>
      <c r="X58" s="296">
        <f>SUM(Y58:AA58)</f>
        <v>0</v>
      </c>
      <c r="Y58" s="297">
        <f>'[5]01.BMC'!Y53</f>
        <v>0</v>
      </c>
      <c r="Z58" s="297">
        <f>'[5]01.BMC'!Z53</f>
        <v>0</v>
      </c>
      <c r="AA58" s="298">
        <f>'[5]01.BMC'!AA53</f>
        <v>0</v>
      </c>
      <c r="AB58" s="296">
        <f>SUM(AC58:AE58)</f>
        <v>0</v>
      </c>
      <c r="AC58" s="297"/>
      <c r="AD58" s="297"/>
      <c r="AE58" s="298"/>
      <c r="AF58" s="296">
        <f>SUM(AG58:AI58)</f>
        <v>0</v>
      </c>
      <c r="AG58" s="297">
        <f>'[5]01.BMC'!AG53</f>
        <v>0</v>
      </c>
      <c r="AH58" s="297">
        <f>'[5]01.BMC'!AH53</f>
        <v>0</v>
      </c>
      <c r="AI58" s="298">
        <f>'[5]01.BMC'!AI53</f>
        <v>0</v>
      </c>
      <c r="AJ58" s="292">
        <f>SUM(AK58:AM58)</f>
        <v>0</v>
      </c>
      <c r="AK58" s="294"/>
      <c r="AL58" s="294"/>
      <c r="AM58" s="295"/>
      <c r="AN58" s="299"/>
      <c r="AO58" s="87" t="str">
        <f t="shared" si="11"/>
        <v>-</v>
      </c>
    </row>
    <row r="59" spans="1:41" s="88" customFormat="1" ht="27.75" hidden="1" customHeight="1" x14ac:dyDescent="0.75">
      <c r="A59" s="91" t="s">
        <v>87</v>
      </c>
      <c r="B59" s="92" t="s">
        <v>69</v>
      </c>
      <c r="C59" s="93">
        <v>73066</v>
      </c>
      <c r="D59" s="94" t="s">
        <v>70</v>
      </c>
      <c r="E59" s="331">
        <f>'[5]01.BMC'!E54</f>
        <v>0</v>
      </c>
      <c r="F59" s="287">
        <f t="shared" si="30"/>
        <v>0</v>
      </c>
      <c r="G59" s="332" t="str">
        <f t="shared" ref="G59:G62" si="31">IFERROR(F59/E59, "-")</f>
        <v>-</v>
      </c>
      <c r="H59" s="287">
        <f>SUM(I59:K59)</f>
        <v>0</v>
      </c>
      <c r="I59" s="288">
        <f>'[5]01.BMC'!I54</f>
        <v>0</v>
      </c>
      <c r="J59" s="288">
        <f>'[5]01.BMC'!J54</f>
        <v>0</v>
      </c>
      <c r="K59" s="289">
        <f>'[5]01.BMC'!K54</f>
        <v>0</v>
      </c>
      <c r="L59" s="287">
        <f>SUM(M59:O59)</f>
        <v>0</v>
      </c>
      <c r="M59" s="288">
        <f>'[5]01.BMC'!M54</f>
        <v>0</v>
      </c>
      <c r="N59" s="288">
        <f>'[5]01.BMC'!N54</f>
        <v>0</v>
      </c>
      <c r="O59" s="289">
        <f>'[5]01.BMC'!O54</f>
        <v>0</v>
      </c>
      <c r="P59" s="287">
        <f>SUM(Q59:S59)</f>
        <v>0</v>
      </c>
      <c r="Q59" s="288">
        <f>'[5]01.BMC'!Q54</f>
        <v>0</v>
      </c>
      <c r="R59" s="288">
        <f>'[5]01.BMC'!R54</f>
        <v>0</v>
      </c>
      <c r="S59" s="289">
        <f>'[5]01.BMC'!S54</f>
        <v>0</v>
      </c>
      <c r="T59" s="287">
        <f>SUM(U59:W59)</f>
        <v>0</v>
      </c>
      <c r="U59" s="288">
        <f>'[5]01.BMC'!U54</f>
        <v>0</v>
      </c>
      <c r="V59" s="288">
        <f>'[5]01.BMC'!V54</f>
        <v>0</v>
      </c>
      <c r="W59" s="289">
        <f>'[5]01.BMC'!W54</f>
        <v>0</v>
      </c>
      <c r="X59" s="287">
        <f>SUM(Y59:AA59)</f>
        <v>0</v>
      </c>
      <c r="Y59" s="288">
        <f>'[5]01.BMC'!Y54</f>
        <v>0</v>
      </c>
      <c r="Z59" s="288">
        <f>'[5]01.BMC'!Z54</f>
        <v>0</v>
      </c>
      <c r="AA59" s="289">
        <f>'[5]01.BMC'!AA54</f>
        <v>0</v>
      </c>
      <c r="AB59" s="287">
        <f>SUM(AC59:AE59)</f>
        <v>0</v>
      </c>
      <c r="AC59" s="288"/>
      <c r="AD59" s="288"/>
      <c r="AE59" s="289"/>
      <c r="AF59" s="287">
        <f>SUM(AG59:AI59)</f>
        <v>0</v>
      </c>
      <c r="AG59" s="288">
        <f>'[5]01.BMC'!AG54</f>
        <v>0</v>
      </c>
      <c r="AH59" s="288">
        <f>'[5]01.BMC'!AH54</f>
        <v>0</v>
      </c>
      <c r="AI59" s="289">
        <f>'[5]01.BMC'!AI54</f>
        <v>0</v>
      </c>
      <c r="AJ59" s="283">
        <f>SUM(AK59:AM59)</f>
        <v>0</v>
      </c>
      <c r="AK59" s="285"/>
      <c r="AL59" s="285"/>
      <c r="AM59" s="286"/>
      <c r="AN59" s="290"/>
      <c r="AO59" s="87" t="str">
        <f t="shared" si="11"/>
        <v>-</v>
      </c>
    </row>
    <row r="60" spans="1:41" s="233" customFormat="1" ht="27.75" hidden="1" customHeight="1" x14ac:dyDescent="0.75">
      <c r="A60" s="77" t="s">
        <v>87</v>
      </c>
      <c r="B60" s="78" t="s">
        <v>106</v>
      </c>
      <c r="C60" s="79">
        <v>73071</v>
      </c>
      <c r="D60" s="80" t="s">
        <v>107</v>
      </c>
      <c r="E60" s="329">
        <f>E187</f>
        <v>0</v>
      </c>
      <c r="F60" s="296">
        <f>H60+P60+X60+AF60</f>
        <v>0</v>
      </c>
      <c r="G60" s="330" t="str">
        <f t="shared" si="31"/>
        <v>-</v>
      </c>
      <c r="H60" s="296">
        <f>SUM(I60:K60)</f>
        <v>0</v>
      </c>
      <c r="I60" s="297">
        <f>I187</f>
        <v>0</v>
      </c>
      <c r="J60" s="297">
        <f>J187</f>
        <v>0</v>
      </c>
      <c r="K60" s="298">
        <f>K187</f>
        <v>0</v>
      </c>
      <c r="L60" s="296">
        <f>SUM(M60:O60)</f>
        <v>0</v>
      </c>
      <c r="M60" s="297">
        <f>M187</f>
        <v>0</v>
      </c>
      <c r="N60" s="297">
        <f>N187</f>
        <v>0</v>
      </c>
      <c r="O60" s="298">
        <f>O187</f>
        <v>0</v>
      </c>
      <c r="P60" s="296">
        <f>SUM(Q60:S60)</f>
        <v>0</v>
      </c>
      <c r="Q60" s="297">
        <f>Q187</f>
        <v>0</v>
      </c>
      <c r="R60" s="297">
        <f>R187</f>
        <v>0</v>
      </c>
      <c r="S60" s="298">
        <f>S187</f>
        <v>0</v>
      </c>
      <c r="T60" s="296">
        <f>SUM(U60:W60)</f>
        <v>0</v>
      </c>
      <c r="U60" s="297">
        <f>U187</f>
        <v>0</v>
      </c>
      <c r="V60" s="297">
        <f>V187</f>
        <v>0</v>
      </c>
      <c r="W60" s="298">
        <f>W187</f>
        <v>0</v>
      </c>
      <c r="X60" s="296">
        <f>SUM(Y60:AA60)</f>
        <v>0</v>
      </c>
      <c r="Y60" s="297">
        <f>Y187</f>
        <v>0</v>
      </c>
      <c r="Z60" s="297">
        <f>Z187</f>
        <v>0</v>
      </c>
      <c r="AA60" s="298">
        <f>AA187</f>
        <v>0</v>
      </c>
      <c r="AB60" s="296">
        <f>SUM(AC60:AE60)</f>
        <v>0</v>
      </c>
      <c r="AC60" s="297">
        <f>AC187</f>
        <v>0</v>
      </c>
      <c r="AD60" s="297">
        <f>AD187</f>
        <v>0</v>
      </c>
      <c r="AE60" s="298">
        <f>AE187</f>
        <v>0</v>
      </c>
      <c r="AF60" s="296">
        <f>SUM(AG60:AI60)</f>
        <v>0</v>
      </c>
      <c r="AG60" s="297">
        <f>AG187</f>
        <v>0</v>
      </c>
      <c r="AH60" s="297">
        <f>AH187</f>
        <v>0</v>
      </c>
      <c r="AI60" s="298">
        <f>AI187</f>
        <v>0</v>
      </c>
      <c r="AJ60" s="292">
        <f>SUM(AK60:AM60)</f>
        <v>0</v>
      </c>
      <c r="AK60" s="294">
        <f>AK187</f>
        <v>0</v>
      </c>
      <c r="AL60" s="294">
        <f>AL187</f>
        <v>0</v>
      </c>
      <c r="AM60" s="295">
        <f>AM187</f>
        <v>0</v>
      </c>
      <c r="AN60" s="299"/>
      <c r="AO60" s="231" t="str">
        <f t="shared" si="11"/>
        <v>-</v>
      </c>
    </row>
    <row r="61" spans="1:41" s="88" customFormat="1" ht="27.75" hidden="1" customHeight="1" x14ac:dyDescent="0.75">
      <c r="A61" s="129" t="s">
        <v>87</v>
      </c>
      <c r="B61" s="130" t="s">
        <v>106</v>
      </c>
      <c r="C61" s="333">
        <v>73072</v>
      </c>
      <c r="D61" s="334" t="s">
        <v>108</v>
      </c>
      <c r="E61" s="335">
        <f>E183+E188</f>
        <v>0</v>
      </c>
      <c r="F61" s="306">
        <f>H61+P61+X61+AF61</f>
        <v>0</v>
      </c>
      <c r="G61" s="336" t="str">
        <f t="shared" si="31"/>
        <v>-</v>
      </c>
      <c r="H61" s="306">
        <f>SUM(I61:K61)</f>
        <v>0</v>
      </c>
      <c r="I61" s="307">
        <f>I183+I188</f>
        <v>0</v>
      </c>
      <c r="J61" s="307">
        <f>J183+J188</f>
        <v>0</v>
      </c>
      <c r="K61" s="308">
        <f>K183+K188</f>
        <v>0</v>
      </c>
      <c r="L61" s="306">
        <f>SUM(M61:O61)</f>
        <v>0</v>
      </c>
      <c r="M61" s="307">
        <f>M183+M188</f>
        <v>0</v>
      </c>
      <c r="N61" s="307">
        <f>N183+N188</f>
        <v>0</v>
      </c>
      <c r="O61" s="308">
        <f>O183+O188</f>
        <v>0</v>
      </c>
      <c r="P61" s="306">
        <f>SUM(Q61:S61)</f>
        <v>0</v>
      </c>
      <c r="Q61" s="307">
        <f>Q183+Q188</f>
        <v>0</v>
      </c>
      <c r="R61" s="307">
        <f>R183+R188</f>
        <v>0</v>
      </c>
      <c r="S61" s="308">
        <f>S183+S188</f>
        <v>0</v>
      </c>
      <c r="T61" s="306">
        <f>SUM(U61:W61)</f>
        <v>0</v>
      </c>
      <c r="U61" s="307">
        <f>U183+U188</f>
        <v>0</v>
      </c>
      <c r="V61" s="307">
        <f>V183+V188</f>
        <v>0</v>
      </c>
      <c r="W61" s="308">
        <f>W183+W188</f>
        <v>0</v>
      </c>
      <c r="X61" s="306">
        <f>SUM(Y61:AA61)</f>
        <v>0</v>
      </c>
      <c r="Y61" s="307">
        <f>Y183+Y188</f>
        <v>0</v>
      </c>
      <c r="Z61" s="307">
        <f>Z183+Z188</f>
        <v>0</v>
      </c>
      <c r="AA61" s="308">
        <f>AA183+AA188</f>
        <v>0</v>
      </c>
      <c r="AB61" s="306">
        <f>SUM(AC61:AE61)</f>
        <v>0</v>
      </c>
      <c r="AC61" s="307">
        <f>AC183+AC188</f>
        <v>0</v>
      </c>
      <c r="AD61" s="307">
        <f>AD183+AD188</f>
        <v>0</v>
      </c>
      <c r="AE61" s="308">
        <f>AE183+AE188</f>
        <v>0</v>
      </c>
      <c r="AF61" s="306">
        <f>SUM(AG61:AI61)</f>
        <v>0</v>
      </c>
      <c r="AG61" s="307">
        <f>AG183+AG188</f>
        <v>0</v>
      </c>
      <c r="AH61" s="307">
        <f>AH183+AH188</f>
        <v>0</v>
      </c>
      <c r="AI61" s="308">
        <f>AI183+AI188</f>
        <v>0</v>
      </c>
      <c r="AJ61" s="309">
        <f>SUM(AK61:AM61)</f>
        <v>0</v>
      </c>
      <c r="AK61" s="310">
        <f>AK183+AK188</f>
        <v>0</v>
      </c>
      <c r="AL61" s="310">
        <f>AL183+AL188</f>
        <v>0</v>
      </c>
      <c r="AM61" s="311">
        <f>AM183+AM188</f>
        <v>0</v>
      </c>
      <c r="AN61" s="337"/>
      <c r="AO61" s="87" t="str">
        <f t="shared" si="11"/>
        <v>-</v>
      </c>
    </row>
    <row r="62" spans="1:41" s="88" customFormat="1" ht="27.75" hidden="1" customHeight="1" x14ac:dyDescent="0.75">
      <c r="A62" s="338"/>
      <c r="B62" s="339"/>
      <c r="C62" s="340"/>
      <c r="D62" s="341" t="s">
        <v>122</v>
      </c>
      <c r="E62" s="342">
        <f>SUM(E63:E66)</f>
        <v>0</v>
      </c>
      <c r="F62" s="322">
        <f>SUM(F63:F66)</f>
        <v>0</v>
      </c>
      <c r="G62" s="343" t="str">
        <f t="shared" si="31"/>
        <v>-</v>
      </c>
      <c r="H62" s="322">
        <f t="shared" ref="H62:AM62" si="32">SUM(H63:H66)</f>
        <v>0</v>
      </c>
      <c r="I62" s="323">
        <f t="shared" si="32"/>
        <v>0</v>
      </c>
      <c r="J62" s="323">
        <f t="shared" si="32"/>
        <v>0</v>
      </c>
      <c r="K62" s="324">
        <f t="shared" si="32"/>
        <v>0</v>
      </c>
      <c r="L62" s="322">
        <f t="shared" si="32"/>
        <v>0</v>
      </c>
      <c r="M62" s="323">
        <f t="shared" si="32"/>
        <v>0</v>
      </c>
      <c r="N62" s="323">
        <f t="shared" si="32"/>
        <v>0</v>
      </c>
      <c r="O62" s="324">
        <f t="shared" si="32"/>
        <v>0</v>
      </c>
      <c r="P62" s="322">
        <f t="shared" si="32"/>
        <v>0</v>
      </c>
      <c r="Q62" s="323">
        <f t="shared" si="32"/>
        <v>0</v>
      </c>
      <c r="R62" s="323">
        <f t="shared" si="32"/>
        <v>0</v>
      </c>
      <c r="S62" s="324">
        <f t="shared" si="32"/>
        <v>0</v>
      </c>
      <c r="T62" s="322">
        <f t="shared" si="32"/>
        <v>0</v>
      </c>
      <c r="U62" s="323">
        <f t="shared" si="32"/>
        <v>0</v>
      </c>
      <c r="V62" s="323">
        <f t="shared" si="32"/>
        <v>0</v>
      </c>
      <c r="W62" s="324">
        <f t="shared" si="32"/>
        <v>0</v>
      </c>
      <c r="X62" s="322">
        <f t="shared" si="32"/>
        <v>0</v>
      </c>
      <c r="Y62" s="323">
        <f t="shared" si="32"/>
        <v>0</v>
      </c>
      <c r="Z62" s="323">
        <f t="shared" si="32"/>
        <v>0</v>
      </c>
      <c r="AA62" s="324">
        <f t="shared" si="32"/>
        <v>0</v>
      </c>
      <c r="AB62" s="322">
        <f t="shared" si="32"/>
        <v>0</v>
      </c>
      <c r="AC62" s="323">
        <f t="shared" si="32"/>
        <v>0</v>
      </c>
      <c r="AD62" s="323">
        <f t="shared" si="32"/>
        <v>0</v>
      </c>
      <c r="AE62" s="324">
        <f t="shared" si="32"/>
        <v>0</v>
      </c>
      <c r="AF62" s="322">
        <f t="shared" si="32"/>
        <v>0</v>
      </c>
      <c r="AG62" s="323">
        <f t="shared" si="32"/>
        <v>0</v>
      </c>
      <c r="AH62" s="323">
        <f t="shared" si="32"/>
        <v>0</v>
      </c>
      <c r="AI62" s="324">
        <f t="shared" si="32"/>
        <v>0</v>
      </c>
      <c r="AJ62" s="325">
        <f t="shared" si="32"/>
        <v>0</v>
      </c>
      <c r="AK62" s="326">
        <f t="shared" si="32"/>
        <v>0</v>
      </c>
      <c r="AL62" s="326">
        <f t="shared" si="32"/>
        <v>0</v>
      </c>
      <c r="AM62" s="327">
        <f t="shared" si="32"/>
        <v>0</v>
      </c>
      <c r="AN62" s="344"/>
      <c r="AO62" s="87" t="str">
        <f t="shared" si="11"/>
        <v>-</v>
      </c>
    </row>
    <row r="63" spans="1:41" s="88" customFormat="1" ht="27.75" hidden="1" customHeight="1" x14ac:dyDescent="0.75">
      <c r="A63" s="77" t="s">
        <v>87</v>
      </c>
      <c r="B63" s="78" t="s">
        <v>65</v>
      </c>
      <c r="C63" s="79">
        <v>73023</v>
      </c>
      <c r="D63" s="80" t="s">
        <v>83</v>
      </c>
      <c r="E63" s="329">
        <f>'[5]01.BMC'!E58</f>
        <v>0</v>
      </c>
      <c r="F63" s="296">
        <f t="shared" ref="F63:F64" si="33">H63+P63+X63+AF63</f>
        <v>0</v>
      </c>
      <c r="G63" s="330" t="str">
        <f>IFERROR(F63/E63, "-")</f>
        <v>-</v>
      </c>
      <c r="H63" s="296">
        <f>SUM(I63:K63)</f>
        <v>0</v>
      </c>
      <c r="I63" s="297">
        <f>'[5]01.BMC'!I58</f>
        <v>0</v>
      </c>
      <c r="J63" s="297">
        <f>'[5]01.BMC'!J58</f>
        <v>0</v>
      </c>
      <c r="K63" s="298">
        <f>'[5]01.BMC'!K58</f>
        <v>0</v>
      </c>
      <c r="L63" s="296">
        <f>SUM(M63:O63)</f>
        <v>0</v>
      </c>
      <c r="M63" s="297">
        <f>'[5]01.BMC'!M58</f>
        <v>0</v>
      </c>
      <c r="N63" s="297">
        <f>'[5]01.BMC'!N58</f>
        <v>0</v>
      </c>
      <c r="O63" s="298">
        <f>'[5]01.BMC'!O58</f>
        <v>0</v>
      </c>
      <c r="P63" s="296">
        <f>SUM(Q63:S63)</f>
        <v>0</v>
      </c>
      <c r="Q63" s="297">
        <f>'[5]01.BMC'!Q58</f>
        <v>0</v>
      </c>
      <c r="R63" s="297">
        <f>'[5]01.BMC'!R58</f>
        <v>0</v>
      </c>
      <c r="S63" s="298">
        <f>'[5]01.BMC'!S58</f>
        <v>0</v>
      </c>
      <c r="T63" s="296">
        <f>SUM(U63:W63)</f>
        <v>0</v>
      </c>
      <c r="U63" s="297">
        <f>'[5]01.BMC'!U58</f>
        <v>0</v>
      </c>
      <c r="V63" s="297">
        <f>'[5]01.BMC'!V58</f>
        <v>0</v>
      </c>
      <c r="W63" s="298">
        <f>'[5]01.BMC'!W58</f>
        <v>0</v>
      </c>
      <c r="X63" s="296">
        <f>SUM(Y63:AA63)</f>
        <v>0</v>
      </c>
      <c r="Y63" s="297">
        <f>'[5]01.BMC'!Y58</f>
        <v>0</v>
      </c>
      <c r="Z63" s="297">
        <f>'[5]01.BMC'!Z58</f>
        <v>0</v>
      </c>
      <c r="AA63" s="298">
        <f>'[5]01.BMC'!AA58</f>
        <v>0</v>
      </c>
      <c r="AB63" s="296">
        <f>SUM(AC63:AE63)</f>
        <v>0</v>
      </c>
      <c r="AC63" s="297"/>
      <c r="AD63" s="297"/>
      <c r="AE63" s="298"/>
      <c r="AF63" s="296">
        <f>SUM(AG63:AI63)</f>
        <v>0</v>
      </c>
      <c r="AG63" s="297">
        <f>'[5]01.BMC'!AG58</f>
        <v>0</v>
      </c>
      <c r="AH63" s="297">
        <f>'[5]01.BMC'!AH58</f>
        <v>0</v>
      </c>
      <c r="AI63" s="298">
        <f>'[5]01.BMC'!AI58</f>
        <v>0</v>
      </c>
      <c r="AJ63" s="292">
        <f>SUM(AK63:AM63)</f>
        <v>0</v>
      </c>
      <c r="AK63" s="294"/>
      <c r="AL63" s="294"/>
      <c r="AM63" s="295"/>
      <c r="AN63" s="299"/>
      <c r="AO63" s="87" t="str">
        <f t="shared" si="11"/>
        <v>-</v>
      </c>
    </row>
    <row r="64" spans="1:41" s="88" customFormat="1" ht="27.75" hidden="1" customHeight="1" x14ac:dyDescent="0.75">
      <c r="A64" s="91" t="s">
        <v>87</v>
      </c>
      <c r="B64" s="92" t="s">
        <v>69</v>
      </c>
      <c r="C64" s="93">
        <v>73066</v>
      </c>
      <c r="D64" s="94" t="s">
        <v>70</v>
      </c>
      <c r="E64" s="331">
        <f>'[5]01.BMC'!E59</f>
        <v>0</v>
      </c>
      <c r="F64" s="287">
        <f t="shared" si="33"/>
        <v>0</v>
      </c>
      <c r="G64" s="332" t="str">
        <f t="shared" ref="G64:G67" si="34">IFERROR(F64/E64, "-")</f>
        <v>-</v>
      </c>
      <c r="H64" s="287">
        <f>SUM(I64:K64)</f>
        <v>0</v>
      </c>
      <c r="I64" s="288">
        <f>'[5]01.BMC'!I59</f>
        <v>0</v>
      </c>
      <c r="J64" s="288">
        <f>'[5]01.BMC'!J59</f>
        <v>0</v>
      </c>
      <c r="K64" s="289">
        <f>'[5]01.BMC'!K59</f>
        <v>0</v>
      </c>
      <c r="L64" s="287">
        <f>SUM(M64:O64)</f>
        <v>0</v>
      </c>
      <c r="M64" s="288">
        <f>'[5]01.BMC'!M59</f>
        <v>0</v>
      </c>
      <c r="N64" s="288">
        <f>'[5]01.BMC'!N59</f>
        <v>0</v>
      </c>
      <c r="O64" s="289">
        <f>'[5]01.BMC'!O59</f>
        <v>0</v>
      </c>
      <c r="P64" s="287">
        <f>SUM(Q64:S64)</f>
        <v>0</v>
      </c>
      <c r="Q64" s="288">
        <f>'[5]01.BMC'!Q59</f>
        <v>0</v>
      </c>
      <c r="R64" s="288">
        <f>'[5]01.BMC'!R59</f>
        <v>0</v>
      </c>
      <c r="S64" s="289">
        <f>'[5]01.BMC'!S59</f>
        <v>0</v>
      </c>
      <c r="T64" s="287">
        <f>SUM(U64:W64)</f>
        <v>0</v>
      </c>
      <c r="U64" s="288">
        <f>'[5]01.BMC'!U59</f>
        <v>0</v>
      </c>
      <c r="V64" s="288">
        <f>'[5]01.BMC'!V59</f>
        <v>0</v>
      </c>
      <c r="W64" s="289">
        <f>'[5]01.BMC'!W59</f>
        <v>0</v>
      </c>
      <c r="X64" s="287">
        <f>SUM(Y64:AA64)</f>
        <v>0</v>
      </c>
      <c r="Y64" s="288">
        <f>'[5]01.BMC'!Y59</f>
        <v>0</v>
      </c>
      <c r="Z64" s="288">
        <f>'[5]01.BMC'!Z59</f>
        <v>0</v>
      </c>
      <c r="AA64" s="289">
        <f>'[5]01.BMC'!AA59</f>
        <v>0</v>
      </c>
      <c r="AB64" s="287">
        <f>SUM(AC64:AE64)</f>
        <v>0</v>
      </c>
      <c r="AC64" s="288"/>
      <c r="AD64" s="288"/>
      <c r="AE64" s="289"/>
      <c r="AF64" s="287">
        <f>SUM(AG64:AI64)</f>
        <v>0</v>
      </c>
      <c r="AG64" s="288">
        <f>'[5]01.BMC'!AG59</f>
        <v>0</v>
      </c>
      <c r="AH64" s="288">
        <f>'[5]01.BMC'!AH59</f>
        <v>0</v>
      </c>
      <c r="AI64" s="289">
        <f>'[5]01.BMC'!AI59</f>
        <v>0</v>
      </c>
      <c r="AJ64" s="283">
        <f>SUM(AK64:AM64)</f>
        <v>0</v>
      </c>
      <c r="AK64" s="285"/>
      <c r="AL64" s="285"/>
      <c r="AM64" s="286"/>
      <c r="AN64" s="290"/>
      <c r="AO64" s="87" t="str">
        <f t="shared" si="11"/>
        <v>-</v>
      </c>
    </row>
    <row r="65" spans="1:41" s="233" customFormat="1" ht="27.75" hidden="1" customHeight="1" x14ac:dyDescent="0.75">
      <c r="A65" s="77" t="s">
        <v>87</v>
      </c>
      <c r="B65" s="78" t="s">
        <v>106</v>
      </c>
      <c r="C65" s="79">
        <v>73071</v>
      </c>
      <c r="D65" s="80" t="s">
        <v>107</v>
      </c>
      <c r="E65" s="329">
        <f>E192</f>
        <v>0</v>
      </c>
      <c r="F65" s="296">
        <f>H65+P65+X65+AF65</f>
        <v>0</v>
      </c>
      <c r="G65" s="330" t="str">
        <f t="shared" si="34"/>
        <v>-</v>
      </c>
      <c r="H65" s="296">
        <f>SUM(I65:K65)</f>
        <v>0</v>
      </c>
      <c r="I65" s="297">
        <f>I192</f>
        <v>0</v>
      </c>
      <c r="J65" s="297">
        <f>J192</f>
        <v>0</v>
      </c>
      <c r="K65" s="298">
        <f>K192</f>
        <v>0</v>
      </c>
      <c r="L65" s="296">
        <f>SUM(M65:O65)</f>
        <v>0</v>
      </c>
      <c r="M65" s="297">
        <f>M192</f>
        <v>0</v>
      </c>
      <c r="N65" s="297">
        <f>N192</f>
        <v>0</v>
      </c>
      <c r="O65" s="298">
        <f>O192</f>
        <v>0</v>
      </c>
      <c r="P65" s="296">
        <f>SUM(Q65:S65)</f>
        <v>0</v>
      </c>
      <c r="Q65" s="297">
        <f>Q192</f>
        <v>0</v>
      </c>
      <c r="R65" s="297">
        <f>R192</f>
        <v>0</v>
      </c>
      <c r="S65" s="298">
        <f>S192</f>
        <v>0</v>
      </c>
      <c r="T65" s="296">
        <f>SUM(U65:W65)</f>
        <v>0</v>
      </c>
      <c r="U65" s="297">
        <f>U192</f>
        <v>0</v>
      </c>
      <c r="V65" s="297">
        <f>V192</f>
        <v>0</v>
      </c>
      <c r="W65" s="298">
        <f>W192</f>
        <v>0</v>
      </c>
      <c r="X65" s="296">
        <f>SUM(Y65:AA65)</f>
        <v>0</v>
      </c>
      <c r="Y65" s="297">
        <f>Y192</f>
        <v>0</v>
      </c>
      <c r="Z65" s="297">
        <f>Z192</f>
        <v>0</v>
      </c>
      <c r="AA65" s="298">
        <f>AA192</f>
        <v>0</v>
      </c>
      <c r="AB65" s="296">
        <f>SUM(AC65:AE65)</f>
        <v>0</v>
      </c>
      <c r="AC65" s="297">
        <f>AC192</f>
        <v>0</v>
      </c>
      <c r="AD65" s="297">
        <f>AD192</f>
        <v>0</v>
      </c>
      <c r="AE65" s="298">
        <f>AE192</f>
        <v>0</v>
      </c>
      <c r="AF65" s="296">
        <f>SUM(AG65:AI65)</f>
        <v>0</v>
      </c>
      <c r="AG65" s="297">
        <f>AG192</f>
        <v>0</v>
      </c>
      <c r="AH65" s="297">
        <f>AH192</f>
        <v>0</v>
      </c>
      <c r="AI65" s="298">
        <f>AI192</f>
        <v>0</v>
      </c>
      <c r="AJ65" s="292">
        <f>SUM(AK65:AM65)</f>
        <v>0</v>
      </c>
      <c r="AK65" s="294">
        <f>AK192</f>
        <v>0</v>
      </c>
      <c r="AL65" s="294">
        <f>AL192</f>
        <v>0</v>
      </c>
      <c r="AM65" s="295">
        <f>AM192</f>
        <v>0</v>
      </c>
      <c r="AN65" s="299"/>
      <c r="AO65" s="231" t="str">
        <f t="shared" si="11"/>
        <v>-</v>
      </c>
    </row>
    <row r="66" spans="1:41" s="88" customFormat="1" ht="27.75" hidden="1" customHeight="1" x14ac:dyDescent="0.75">
      <c r="A66" s="129" t="s">
        <v>87</v>
      </c>
      <c r="B66" s="130" t="s">
        <v>106</v>
      </c>
      <c r="C66" s="333">
        <v>73072</v>
      </c>
      <c r="D66" s="334" t="s">
        <v>108</v>
      </c>
      <c r="E66" s="335">
        <f>E188+E193</f>
        <v>0</v>
      </c>
      <c r="F66" s="306">
        <f>H66+P66+X66+AF66</f>
        <v>0</v>
      </c>
      <c r="G66" s="336" t="str">
        <f t="shared" si="34"/>
        <v>-</v>
      </c>
      <c r="H66" s="306">
        <f>SUM(I66:K66)</f>
        <v>0</v>
      </c>
      <c r="I66" s="307">
        <f>I188+I193</f>
        <v>0</v>
      </c>
      <c r="J66" s="307">
        <f>J188+J193</f>
        <v>0</v>
      </c>
      <c r="K66" s="308">
        <f>K188+K193</f>
        <v>0</v>
      </c>
      <c r="L66" s="306">
        <f>SUM(M66:O66)</f>
        <v>0</v>
      </c>
      <c r="M66" s="307">
        <f>M188+M193</f>
        <v>0</v>
      </c>
      <c r="N66" s="307">
        <f>N188+N193</f>
        <v>0</v>
      </c>
      <c r="O66" s="308">
        <f>O188+O193</f>
        <v>0</v>
      </c>
      <c r="P66" s="306">
        <f>SUM(Q66:S66)</f>
        <v>0</v>
      </c>
      <c r="Q66" s="307">
        <f>Q188+Q193</f>
        <v>0</v>
      </c>
      <c r="R66" s="307">
        <f>R188+R193</f>
        <v>0</v>
      </c>
      <c r="S66" s="308">
        <f>S188+S193</f>
        <v>0</v>
      </c>
      <c r="T66" s="306">
        <f>SUM(U66:W66)</f>
        <v>0</v>
      </c>
      <c r="U66" s="307">
        <f>U188+U193</f>
        <v>0</v>
      </c>
      <c r="V66" s="307">
        <f>V188+V193</f>
        <v>0</v>
      </c>
      <c r="W66" s="308">
        <f>W188+W193</f>
        <v>0</v>
      </c>
      <c r="X66" s="306">
        <f>SUM(Y66:AA66)</f>
        <v>0</v>
      </c>
      <c r="Y66" s="307">
        <f>Y188+Y193</f>
        <v>0</v>
      </c>
      <c r="Z66" s="307">
        <f>Z188+Z193</f>
        <v>0</v>
      </c>
      <c r="AA66" s="308">
        <f>AA188+AA193</f>
        <v>0</v>
      </c>
      <c r="AB66" s="306">
        <f>SUM(AC66:AE66)</f>
        <v>0</v>
      </c>
      <c r="AC66" s="307">
        <f>AC188+AC193</f>
        <v>0</v>
      </c>
      <c r="AD66" s="307">
        <f>AD188+AD193</f>
        <v>0</v>
      </c>
      <c r="AE66" s="308">
        <f>AE188+AE193</f>
        <v>0</v>
      </c>
      <c r="AF66" s="306">
        <f>SUM(AG66:AI66)</f>
        <v>0</v>
      </c>
      <c r="AG66" s="307">
        <f>AG188+AG193</f>
        <v>0</v>
      </c>
      <c r="AH66" s="307">
        <f>AH188+AH193</f>
        <v>0</v>
      </c>
      <c r="AI66" s="308">
        <f>AI188+AI193</f>
        <v>0</v>
      </c>
      <c r="AJ66" s="309">
        <f>SUM(AK66:AM66)</f>
        <v>0</v>
      </c>
      <c r="AK66" s="310">
        <f>AK188+AK193</f>
        <v>0</v>
      </c>
      <c r="AL66" s="310">
        <f>AL188+AL193</f>
        <v>0</v>
      </c>
      <c r="AM66" s="311">
        <f>AM188+AM193</f>
        <v>0</v>
      </c>
      <c r="AN66" s="337"/>
      <c r="AO66" s="87" t="str">
        <f t="shared" si="11"/>
        <v>-</v>
      </c>
    </row>
    <row r="67" spans="1:41" s="88" customFormat="1" ht="27.75" hidden="1" customHeight="1" x14ac:dyDescent="0.75">
      <c r="A67" s="338"/>
      <c r="B67" s="339"/>
      <c r="C67" s="340"/>
      <c r="D67" s="341" t="s">
        <v>123</v>
      </c>
      <c r="E67" s="342">
        <f>SUM(E68:E71)</f>
        <v>0</v>
      </c>
      <c r="F67" s="322">
        <f>SUM(F68:F71)</f>
        <v>0</v>
      </c>
      <c r="G67" s="343" t="str">
        <f t="shared" si="34"/>
        <v>-</v>
      </c>
      <c r="H67" s="322">
        <f t="shared" ref="H67:AM67" si="35">SUM(H68:H71)</f>
        <v>0</v>
      </c>
      <c r="I67" s="323">
        <f t="shared" si="35"/>
        <v>0</v>
      </c>
      <c r="J67" s="323">
        <f t="shared" si="35"/>
        <v>0</v>
      </c>
      <c r="K67" s="324">
        <f t="shared" si="35"/>
        <v>0</v>
      </c>
      <c r="L67" s="322">
        <f t="shared" si="35"/>
        <v>0</v>
      </c>
      <c r="M67" s="323">
        <f t="shared" si="35"/>
        <v>0</v>
      </c>
      <c r="N67" s="323">
        <f t="shared" si="35"/>
        <v>0</v>
      </c>
      <c r="O67" s="324">
        <f t="shared" si="35"/>
        <v>0</v>
      </c>
      <c r="P67" s="322">
        <f t="shared" si="35"/>
        <v>0</v>
      </c>
      <c r="Q67" s="323">
        <f t="shared" si="35"/>
        <v>0</v>
      </c>
      <c r="R67" s="323">
        <f t="shared" si="35"/>
        <v>0</v>
      </c>
      <c r="S67" s="324">
        <f t="shared" si="35"/>
        <v>0</v>
      </c>
      <c r="T67" s="322">
        <f t="shared" si="35"/>
        <v>0</v>
      </c>
      <c r="U67" s="323">
        <f t="shared" si="35"/>
        <v>0</v>
      </c>
      <c r="V67" s="323">
        <f t="shared" si="35"/>
        <v>0</v>
      </c>
      <c r="W67" s="324">
        <f t="shared" si="35"/>
        <v>0</v>
      </c>
      <c r="X67" s="322">
        <f t="shared" si="35"/>
        <v>0</v>
      </c>
      <c r="Y67" s="323">
        <f t="shared" si="35"/>
        <v>0</v>
      </c>
      <c r="Z67" s="323">
        <f t="shared" si="35"/>
        <v>0</v>
      </c>
      <c r="AA67" s="324">
        <f t="shared" si="35"/>
        <v>0</v>
      </c>
      <c r="AB67" s="322">
        <f t="shared" si="35"/>
        <v>0</v>
      </c>
      <c r="AC67" s="323">
        <f t="shared" si="35"/>
        <v>0</v>
      </c>
      <c r="AD67" s="323">
        <f t="shared" si="35"/>
        <v>0</v>
      </c>
      <c r="AE67" s="324">
        <f t="shared" si="35"/>
        <v>0</v>
      </c>
      <c r="AF67" s="322">
        <f t="shared" si="35"/>
        <v>0</v>
      </c>
      <c r="AG67" s="323">
        <f t="shared" si="35"/>
        <v>0</v>
      </c>
      <c r="AH67" s="323">
        <f t="shared" si="35"/>
        <v>0</v>
      </c>
      <c r="AI67" s="324">
        <f t="shared" si="35"/>
        <v>0</v>
      </c>
      <c r="AJ67" s="325">
        <f t="shared" si="35"/>
        <v>0</v>
      </c>
      <c r="AK67" s="326">
        <f t="shared" si="35"/>
        <v>0</v>
      </c>
      <c r="AL67" s="326">
        <f t="shared" si="35"/>
        <v>0</v>
      </c>
      <c r="AM67" s="327">
        <f t="shared" si="35"/>
        <v>0</v>
      </c>
      <c r="AN67" s="344"/>
      <c r="AO67" s="87" t="str">
        <f t="shared" si="11"/>
        <v>-</v>
      </c>
    </row>
    <row r="68" spans="1:41" s="88" customFormat="1" ht="27.75" hidden="1" customHeight="1" x14ac:dyDescent="0.75">
      <c r="A68" s="77" t="s">
        <v>87</v>
      </c>
      <c r="B68" s="78" t="s">
        <v>65</v>
      </c>
      <c r="C68" s="79">
        <v>73023</v>
      </c>
      <c r="D68" s="80" t="s">
        <v>83</v>
      </c>
      <c r="E68" s="329">
        <f>'[5]01.BMC'!E63</f>
        <v>0</v>
      </c>
      <c r="F68" s="296">
        <f t="shared" ref="F68:F69" si="36">H68+P68+X68+AF68</f>
        <v>0</v>
      </c>
      <c r="G68" s="330" t="str">
        <f>IFERROR(F68/E68, "-")</f>
        <v>-</v>
      </c>
      <c r="H68" s="296">
        <f>SUM(I68:K68)</f>
        <v>0</v>
      </c>
      <c r="I68" s="297">
        <f>'[5]01.BMC'!I63</f>
        <v>0</v>
      </c>
      <c r="J68" s="297">
        <f>'[5]01.BMC'!J63</f>
        <v>0</v>
      </c>
      <c r="K68" s="298">
        <f>'[5]01.BMC'!K63</f>
        <v>0</v>
      </c>
      <c r="L68" s="296">
        <f>SUM(M68:O68)</f>
        <v>0</v>
      </c>
      <c r="M68" s="297">
        <f>'[5]01.BMC'!M63</f>
        <v>0</v>
      </c>
      <c r="N68" s="297">
        <f>'[5]01.BMC'!N63</f>
        <v>0</v>
      </c>
      <c r="O68" s="298">
        <f>'[5]01.BMC'!O63</f>
        <v>0</v>
      </c>
      <c r="P68" s="296">
        <f>SUM(Q68:S68)</f>
        <v>0</v>
      </c>
      <c r="Q68" s="297">
        <f>'[5]01.BMC'!Q63</f>
        <v>0</v>
      </c>
      <c r="R68" s="297">
        <f>'[5]01.BMC'!R63</f>
        <v>0</v>
      </c>
      <c r="S68" s="298">
        <f>'[5]01.BMC'!S63</f>
        <v>0</v>
      </c>
      <c r="T68" s="296">
        <f>SUM(U68:W68)</f>
        <v>0</v>
      </c>
      <c r="U68" s="297">
        <f>'[5]01.BMC'!U63</f>
        <v>0</v>
      </c>
      <c r="V68" s="297">
        <f>'[5]01.BMC'!V63</f>
        <v>0</v>
      </c>
      <c r="W68" s="298">
        <f>'[5]01.BMC'!W63</f>
        <v>0</v>
      </c>
      <c r="X68" s="296">
        <f>SUM(Y68:AA68)</f>
        <v>0</v>
      </c>
      <c r="Y68" s="297">
        <f>'[5]01.BMC'!Y63</f>
        <v>0</v>
      </c>
      <c r="Z68" s="297">
        <f>'[5]01.BMC'!Z63</f>
        <v>0</v>
      </c>
      <c r="AA68" s="298">
        <f>'[5]01.BMC'!AA63</f>
        <v>0</v>
      </c>
      <c r="AB68" s="296">
        <f>SUM(AC68:AE68)</f>
        <v>0</v>
      </c>
      <c r="AC68" s="297"/>
      <c r="AD68" s="297"/>
      <c r="AE68" s="298"/>
      <c r="AF68" s="296">
        <f>SUM(AG68:AI68)</f>
        <v>0</v>
      </c>
      <c r="AG68" s="297">
        <f>'[5]01.BMC'!AG63</f>
        <v>0</v>
      </c>
      <c r="AH68" s="297">
        <f>'[5]01.BMC'!AH63</f>
        <v>0</v>
      </c>
      <c r="AI68" s="298">
        <f>'[5]01.BMC'!AI63</f>
        <v>0</v>
      </c>
      <c r="AJ68" s="292">
        <f>SUM(AK68:AM68)</f>
        <v>0</v>
      </c>
      <c r="AK68" s="294"/>
      <c r="AL68" s="294"/>
      <c r="AM68" s="295"/>
      <c r="AN68" s="299"/>
      <c r="AO68" s="87" t="str">
        <f t="shared" si="11"/>
        <v>-</v>
      </c>
    </row>
    <row r="69" spans="1:41" s="88" customFormat="1" ht="27.75" hidden="1" customHeight="1" x14ac:dyDescent="0.75">
      <c r="A69" s="91" t="s">
        <v>87</v>
      </c>
      <c r="B69" s="92" t="s">
        <v>69</v>
      </c>
      <c r="C69" s="93">
        <v>73066</v>
      </c>
      <c r="D69" s="94" t="s">
        <v>70</v>
      </c>
      <c r="E69" s="331">
        <f>'[5]01.BMC'!E64</f>
        <v>0</v>
      </c>
      <c r="F69" s="287">
        <f t="shared" si="36"/>
        <v>0</v>
      </c>
      <c r="G69" s="332" t="str">
        <f t="shared" ref="G69:G72" si="37">IFERROR(F69/E69, "-")</f>
        <v>-</v>
      </c>
      <c r="H69" s="287">
        <f>SUM(I69:K69)</f>
        <v>0</v>
      </c>
      <c r="I69" s="288">
        <f>'[5]01.BMC'!I64</f>
        <v>0</v>
      </c>
      <c r="J69" s="288">
        <f>'[5]01.BMC'!J64</f>
        <v>0</v>
      </c>
      <c r="K69" s="289">
        <f>'[5]01.BMC'!K64</f>
        <v>0</v>
      </c>
      <c r="L69" s="287">
        <f>SUM(M69:O69)</f>
        <v>0</v>
      </c>
      <c r="M69" s="288">
        <f>'[5]01.BMC'!M64</f>
        <v>0</v>
      </c>
      <c r="N69" s="288">
        <f>'[5]01.BMC'!N64</f>
        <v>0</v>
      </c>
      <c r="O69" s="289">
        <f>'[5]01.BMC'!O64</f>
        <v>0</v>
      </c>
      <c r="P69" s="287">
        <f>SUM(Q69:S69)</f>
        <v>0</v>
      </c>
      <c r="Q69" s="288">
        <f>'[5]01.BMC'!Q64</f>
        <v>0</v>
      </c>
      <c r="R69" s="288">
        <f>'[5]01.BMC'!R64</f>
        <v>0</v>
      </c>
      <c r="S69" s="289">
        <f>'[5]01.BMC'!S64</f>
        <v>0</v>
      </c>
      <c r="T69" s="287">
        <f>SUM(U69:W69)</f>
        <v>0</v>
      </c>
      <c r="U69" s="288">
        <f>'[5]01.BMC'!U64</f>
        <v>0</v>
      </c>
      <c r="V69" s="288">
        <f>'[5]01.BMC'!V64</f>
        <v>0</v>
      </c>
      <c r="W69" s="289">
        <f>'[5]01.BMC'!W64</f>
        <v>0</v>
      </c>
      <c r="X69" s="287">
        <f>SUM(Y69:AA69)</f>
        <v>0</v>
      </c>
      <c r="Y69" s="288">
        <f>'[5]01.BMC'!Y64</f>
        <v>0</v>
      </c>
      <c r="Z69" s="288">
        <f>'[5]01.BMC'!Z64</f>
        <v>0</v>
      </c>
      <c r="AA69" s="289">
        <f>'[5]01.BMC'!AA64</f>
        <v>0</v>
      </c>
      <c r="AB69" s="287">
        <f>SUM(AC69:AE69)</f>
        <v>0</v>
      </c>
      <c r="AC69" s="288"/>
      <c r="AD69" s="288"/>
      <c r="AE69" s="289"/>
      <c r="AF69" s="287">
        <f>SUM(AG69:AI69)</f>
        <v>0</v>
      </c>
      <c r="AG69" s="288">
        <f>'[5]01.BMC'!AG64</f>
        <v>0</v>
      </c>
      <c r="AH69" s="288">
        <f>'[5]01.BMC'!AH64</f>
        <v>0</v>
      </c>
      <c r="AI69" s="289">
        <f>'[5]01.BMC'!AI64</f>
        <v>0</v>
      </c>
      <c r="AJ69" s="283">
        <f>SUM(AK69:AM69)</f>
        <v>0</v>
      </c>
      <c r="AK69" s="285"/>
      <c r="AL69" s="285"/>
      <c r="AM69" s="286"/>
      <c r="AN69" s="290"/>
      <c r="AO69" s="87" t="str">
        <f t="shared" si="11"/>
        <v>-</v>
      </c>
    </row>
    <row r="70" spans="1:41" s="233" customFormat="1" ht="27.75" hidden="1" customHeight="1" x14ac:dyDescent="0.75">
      <c r="A70" s="77" t="s">
        <v>87</v>
      </c>
      <c r="B70" s="78" t="s">
        <v>106</v>
      </c>
      <c r="C70" s="79">
        <v>73071</v>
      </c>
      <c r="D70" s="80" t="s">
        <v>107</v>
      </c>
      <c r="E70" s="329">
        <f>E197</f>
        <v>0</v>
      </c>
      <c r="F70" s="296">
        <f>H70+P70+X70+AF70</f>
        <v>0</v>
      </c>
      <c r="G70" s="330" t="str">
        <f t="shared" si="37"/>
        <v>-</v>
      </c>
      <c r="H70" s="296">
        <f>SUM(I70:K70)</f>
        <v>0</v>
      </c>
      <c r="I70" s="297">
        <f>I197</f>
        <v>0</v>
      </c>
      <c r="J70" s="297">
        <f>J197</f>
        <v>0</v>
      </c>
      <c r="K70" s="298">
        <f>K197</f>
        <v>0</v>
      </c>
      <c r="L70" s="296">
        <f>SUM(M70:O70)</f>
        <v>0</v>
      </c>
      <c r="M70" s="297">
        <f>M197</f>
        <v>0</v>
      </c>
      <c r="N70" s="297">
        <f>N197</f>
        <v>0</v>
      </c>
      <c r="O70" s="298">
        <f>O197</f>
        <v>0</v>
      </c>
      <c r="P70" s="296">
        <f>SUM(Q70:S70)</f>
        <v>0</v>
      </c>
      <c r="Q70" s="297">
        <f>Q197</f>
        <v>0</v>
      </c>
      <c r="R70" s="297">
        <f>R197</f>
        <v>0</v>
      </c>
      <c r="S70" s="298">
        <f>S197</f>
        <v>0</v>
      </c>
      <c r="T70" s="296">
        <f>SUM(U70:W70)</f>
        <v>0</v>
      </c>
      <c r="U70" s="297">
        <f>U197</f>
        <v>0</v>
      </c>
      <c r="V70" s="297">
        <f>V197</f>
        <v>0</v>
      </c>
      <c r="W70" s="298">
        <f>W197</f>
        <v>0</v>
      </c>
      <c r="X70" s="296">
        <f>SUM(Y70:AA70)</f>
        <v>0</v>
      </c>
      <c r="Y70" s="297">
        <f>Y197</f>
        <v>0</v>
      </c>
      <c r="Z70" s="297">
        <f>Z197</f>
        <v>0</v>
      </c>
      <c r="AA70" s="298">
        <f>AA197</f>
        <v>0</v>
      </c>
      <c r="AB70" s="296">
        <f>SUM(AC70:AE70)</f>
        <v>0</v>
      </c>
      <c r="AC70" s="297">
        <f>AC197</f>
        <v>0</v>
      </c>
      <c r="AD70" s="297">
        <f>AD197</f>
        <v>0</v>
      </c>
      <c r="AE70" s="298">
        <f>AE197</f>
        <v>0</v>
      </c>
      <c r="AF70" s="296">
        <f>SUM(AG70:AI70)</f>
        <v>0</v>
      </c>
      <c r="AG70" s="297">
        <f>AG197</f>
        <v>0</v>
      </c>
      <c r="AH70" s="297">
        <f>AH197</f>
        <v>0</v>
      </c>
      <c r="AI70" s="298">
        <f>AI197</f>
        <v>0</v>
      </c>
      <c r="AJ70" s="292">
        <f>SUM(AK70:AM70)</f>
        <v>0</v>
      </c>
      <c r="AK70" s="294">
        <f>AK197</f>
        <v>0</v>
      </c>
      <c r="AL70" s="294">
        <f>AL197</f>
        <v>0</v>
      </c>
      <c r="AM70" s="295">
        <f>AM197</f>
        <v>0</v>
      </c>
      <c r="AN70" s="299"/>
      <c r="AO70" s="231" t="str">
        <f t="shared" si="11"/>
        <v>-</v>
      </c>
    </row>
    <row r="71" spans="1:41" s="88" customFormat="1" ht="27.75" hidden="1" customHeight="1" x14ac:dyDescent="0.75">
      <c r="A71" s="129" t="s">
        <v>87</v>
      </c>
      <c r="B71" s="130" t="s">
        <v>106</v>
      </c>
      <c r="C71" s="333">
        <v>73072</v>
      </c>
      <c r="D71" s="334" t="s">
        <v>108</v>
      </c>
      <c r="E71" s="335">
        <f>E193+E198</f>
        <v>0</v>
      </c>
      <c r="F71" s="306">
        <f>H71+P71+X71+AF71</f>
        <v>0</v>
      </c>
      <c r="G71" s="336" t="str">
        <f t="shared" si="37"/>
        <v>-</v>
      </c>
      <c r="H71" s="306">
        <f>SUM(I71:K71)</f>
        <v>0</v>
      </c>
      <c r="I71" s="307">
        <f>I193+I198</f>
        <v>0</v>
      </c>
      <c r="J71" s="307">
        <f>J193+J198</f>
        <v>0</v>
      </c>
      <c r="K71" s="308">
        <f>K193+K198</f>
        <v>0</v>
      </c>
      <c r="L71" s="306">
        <f>SUM(M71:O71)</f>
        <v>0</v>
      </c>
      <c r="M71" s="307">
        <f>M193+M198</f>
        <v>0</v>
      </c>
      <c r="N71" s="307">
        <f>N193+N198</f>
        <v>0</v>
      </c>
      <c r="O71" s="308">
        <f>O193+O198</f>
        <v>0</v>
      </c>
      <c r="P71" s="306">
        <f>SUM(Q71:S71)</f>
        <v>0</v>
      </c>
      <c r="Q71" s="307">
        <f>Q193+Q198</f>
        <v>0</v>
      </c>
      <c r="R71" s="307">
        <f>R193+R198</f>
        <v>0</v>
      </c>
      <c r="S71" s="308">
        <f>S193+S198</f>
        <v>0</v>
      </c>
      <c r="T71" s="306">
        <f>SUM(U71:W71)</f>
        <v>0</v>
      </c>
      <c r="U71" s="307">
        <f>U193+U198</f>
        <v>0</v>
      </c>
      <c r="V71" s="307">
        <f>V193+V198</f>
        <v>0</v>
      </c>
      <c r="W71" s="308">
        <f>W193+W198</f>
        <v>0</v>
      </c>
      <c r="X71" s="306">
        <f>SUM(Y71:AA71)</f>
        <v>0</v>
      </c>
      <c r="Y71" s="307">
        <f>Y193+Y198</f>
        <v>0</v>
      </c>
      <c r="Z71" s="307">
        <f>Z193+Z198</f>
        <v>0</v>
      </c>
      <c r="AA71" s="308">
        <f>AA193+AA198</f>
        <v>0</v>
      </c>
      <c r="AB71" s="306">
        <f>SUM(AC71:AE71)</f>
        <v>0</v>
      </c>
      <c r="AC71" s="307">
        <f>AC193+AC198</f>
        <v>0</v>
      </c>
      <c r="AD71" s="307">
        <f>AD193+AD198</f>
        <v>0</v>
      </c>
      <c r="AE71" s="308">
        <f>AE193+AE198</f>
        <v>0</v>
      </c>
      <c r="AF71" s="306">
        <f>SUM(AG71:AI71)</f>
        <v>0</v>
      </c>
      <c r="AG71" s="307">
        <f>AG193+AG198</f>
        <v>0</v>
      </c>
      <c r="AH71" s="307">
        <f>AH193+AH198</f>
        <v>0</v>
      </c>
      <c r="AI71" s="308">
        <f>AI193+AI198</f>
        <v>0</v>
      </c>
      <c r="AJ71" s="309">
        <f>SUM(AK71:AM71)</f>
        <v>0</v>
      </c>
      <c r="AK71" s="310">
        <f>AK193+AK198</f>
        <v>0</v>
      </c>
      <c r="AL71" s="310">
        <f>AL193+AL198</f>
        <v>0</v>
      </c>
      <c r="AM71" s="311">
        <f>AM193+AM198</f>
        <v>0</v>
      </c>
      <c r="AN71" s="337"/>
      <c r="AO71" s="87" t="str">
        <f t="shared" si="11"/>
        <v>-</v>
      </c>
    </row>
    <row r="72" spans="1:41" s="88" customFormat="1" ht="27.75" hidden="1" customHeight="1" x14ac:dyDescent="0.75">
      <c r="A72" s="338"/>
      <c r="B72" s="339"/>
      <c r="C72" s="340"/>
      <c r="D72" s="341" t="s">
        <v>124</v>
      </c>
      <c r="E72" s="342">
        <f>SUM(E73:E76)</f>
        <v>0</v>
      </c>
      <c r="F72" s="322">
        <f>SUM(F73:F76)</f>
        <v>0</v>
      </c>
      <c r="G72" s="343" t="str">
        <f t="shared" si="37"/>
        <v>-</v>
      </c>
      <c r="H72" s="322">
        <f t="shared" ref="H72:AM72" si="38">SUM(H73:H76)</f>
        <v>0</v>
      </c>
      <c r="I72" s="323">
        <f t="shared" si="38"/>
        <v>0</v>
      </c>
      <c r="J72" s="323">
        <f t="shared" si="38"/>
        <v>0</v>
      </c>
      <c r="K72" s="324">
        <f t="shared" si="38"/>
        <v>0</v>
      </c>
      <c r="L72" s="322">
        <f t="shared" si="38"/>
        <v>0</v>
      </c>
      <c r="M72" s="323">
        <f t="shared" si="38"/>
        <v>0</v>
      </c>
      <c r="N72" s="323">
        <f t="shared" si="38"/>
        <v>0</v>
      </c>
      <c r="O72" s="324">
        <f t="shared" si="38"/>
        <v>0</v>
      </c>
      <c r="P72" s="322">
        <f t="shared" si="38"/>
        <v>0</v>
      </c>
      <c r="Q72" s="323">
        <f t="shared" si="38"/>
        <v>0</v>
      </c>
      <c r="R72" s="323">
        <f t="shared" si="38"/>
        <v>0</v>
      </c>
      <c r="S72" s="324">
        <f t="shared" si="38"/>
        <v>0</v>
      </c>
      <c r="T72" s="322">
        <f t="shared" si="38"/>
        <v>0</v>
      </c>
      <c r="U72" s="323">
        <f t="shared" si="38"/>
        <v>0</v>
      </c>
      <c r="V72" s="323">
        <f t="shared" si="38"/>
        <v>0</v>
      </c>
      <c r="W72" s="324">
        <f t="shared" si="38"/>
        <v>0</v>
      </c>
      <c r="X72" s="322">
        <f t="shared" si="38"/>
        <v>0</v>
      </c>
      <c r="Y72" s="323">
        <f t="shared" si="38"/>
        <v>0</v>
      </c>
      <c r="Z72" s="323">
        <f t="shared" si="38"/>
        <v>0</v>
      </c>
      <c r="AA72" s="324">
        <f t="shared" si="38"/>
        <v>0</v>
      </c>
      <c r="AB72" s="322">
        <f t="shared" si="38"/>
        <v>0</v>
      </c>
      <c r="AC72" s="323">
        <f t="shared" si="38"/>
        <v>0</v>
      </c>
      <c r="AD72" s="323">
        <f t="shared" si="38"/>
        <v>0</v>
      </c>
      <c r="AE72" s="324">
        <f t="shared" si="38"/>
        <v>0</v>
      </c>
      <c r="AF72" s="322">
        <f t="shared" si="38"/>
        <v>0</v>
      </c>
      <c r="AG72" s="323">
        <f t="shared" si="38"/>
        <v>0</v>
      </c>
      <c r="AH72" s="323">
        <f t="shared" si="38"/>
        <v>0</v>
      </c>
      <c r="AI72" s="324">
        <f t="shared" si="38"/>
        <v>0</v>
      </c>
      <c r="AJ72" s="325">
        <f t="shared" si="38"/>
        <v>0</v>
      </c>
      <c r="AK72" s="326">
        <f t="shared" si="38"/>
        <v>0</v>
      </c>
      <c r="AL72" s="326">
        <f t="shared" si="38"/>
        <v>0</v>
      </c>
      <c r="AM72" s="327">
        <f t="shared" si="38"/>
        <v>0</v>
      </c>
      <c r="AN72" s="344"/>
      <c r="AO72" s="87" t="str">
        <f t="shared" si="11"/>
        <v>-</v>
      </c>
    </row>
    <row r="73" spans="1:41" s="88" customFormat="1" ht="27.75" hidden="1" customHeight="1" x14ac:dyDescent="0.75">
      <c r="A73" s="77" t="s">
        <v>87</v>
      </c>
      <c r="B73" s="78" t="s">
        <v>65</v>
      </c>
      <c r="C73" s="79">
        <v>73023</v>
      </c>
      <c r="D73" s="80" t="s">
        <v>83</v>
      </c>
      <c r="E73" s="329">
        <f>'[5]01.BMC'!E68</f>
        <v>0</v>
      </c>
      <c r="F73" s="296">
        <f t="shared" ref="F73:F74" si="39">H73+P73+X73+AF73</f>
        <v>0</v>
      </c>
      <c r="G73" s="330" t="str">
        <f>IFERROR(F73/E73, "-")</f>
        <v>-</v>
      </c>
      <c r="H73" s="296">
        <f>SUM(I73:K73)</f>
        <v>0</v>
      </c>
      <c r="I73" s="297">
        <f>'[5]01.BMC'!I68</f>
        <v>0</v>
      </c>
      <c r="J73" s="297">
        <f>'[5]01.BMC'!J68</f>
        <v>0</v>
      </c>
      <c r="K73" s="298">
        <f>'[5]01.BMC'!K68</f>
        <v>0</v>
      </c>
      <c r="L73" s="296">
        <f>SUM(M73:O73)</f>
        <v>0</v>
      </c>
      <c r="M73" s="297">
        <f>'[5]01.BMC'!M68</f>
        <v>0</v>
      </c>
      <c r="N73" s="297">
        <f>'[5]01.BMC'!N68</f>
        <v>0</v>
      </c>
      <c r="O73" s="298">
        <f>'[5]01.BMC'!O68</f>
        <v>0</v>
      </c>
      <c r="P73" s="296">
        <f>SUM(Q73:S73)</f>
        <v>0</v>
      </c>
      <c r="Q73" s="297">
        <f>'[5]01.BMC'!Q68</f>
        <v>0</v>
      </c>
      <c r="R73" s="297">
        <f>'[5]01.BMC'!R68</f>
        <v>0</v>
      </c>
      <c r="S73" s="298">
        <f>'[5]01.BMC'!S68</f>
        <v>0</v>
      </c>
      <c r="T73" s="296">
        <f>SUM(U73:W73)</f>
        <v>0</v>
      </c>
      <c r="U73" s="297">
        <f>'[5]01.BMC'!U68</f>
        <v>0</v>
      </c>
      <c r="V73" s="297">
        <f>'[5]01.BMC'!V68</f>
        <v>0</v>
      </c>
      <c r="W73" s="298">
        <f>'[5]01.BMC'!W68</f>
        <v>0</v>
      </c>
      <c r="X73" s="296">
        <f>SUM(Y73:AA73)</f>
        <v>0</v>
      </c>
      <c r="Y73" s="297">
        <f>'[5]01.BMC'!Y68</f>
        <v>0</v>
      </c>
      <c r="Z73" s="297">
        <f>'[5]01.BMC'!Z68</f>
        <v>0</v>
      </c>
      <c r="AA73" s="298">
        <f>'[5]01.BMC'!AA68</f>
        <v>0</v>
      </c>
      <c r="AB73" s="296">
        <f>SUM(AC73:AE73)</f>
        <v>0</v>
      </c>
      <c r="AC73" s="297"/>
      <c r="AD73" s="297"/>
      <c r="AE73" s="298"/>
      <c r="AF73" s="296">
        <f>SUM(AG73:AI73)</f>
        <v>0</v>
      </c>
      <c r="AG73" s="297">
        <f>'[5]01.BMC'!AG68</f>
        <v>0</v>
      </c>
      <c r="AH73" s="297">
        <f>'[5]01.BMC'!AH68</f>
        <v>0</v>
      </c>
      <c r="AI73" s="298">
        <f>'[5]01.BMC'!AI68</f>
        <v>0</v>
      </c>
      <c r="AJ73" s="292">
        <f>SUM(AK73:AM73)</f>
        <v>0</v>
      </c>
      <c r="AK73" s="294"/>
      <c r="AL73" s="294"/>
      <c r="AM73" s="295"/>
      <c r="AN73" s="299"/>
      <c r="AO73" s="87" t="str">
        <f t="shared" si="11"/>
        <v>-</v>
      </c>
    </row>
    <row r="74" spans="1:41" s="88" customFormat="1" ht="27.75" hidden="1" customHeight="1" x14ac:dyDescent="0.75">
      <c r="A74" s="91" t="s">
        <v>87</v>
      </c>
      <c r="B74" s="92" t="s">
        <v>69</v>
      </c>
      <c r="C74" s="93">
        <v>73066</v>
      </c>
      <c r="D74" s="94" t="s">
        <v>70</v>
      </c>
      <c r="E74" s="331">
        <f>'[5]01.BMC'!E69</f>
        <v>0</v>
      </c>
      <c r="F74" s="287">
        <f t="shared" si="39"/>
        <v>0</v>
      </c>
      <c r="G74" s="332" t="str">
        <f t="shared" ref="G74:G77" si="40">IFERROR(F74/E74, "-")</f>
        <v>-</v>
      </c>
      <c r="H74" s="287">
        <f>SUM(I74:K74)</f>
        <v>0</v>
      </c>
      <c r="I74" s="288">
        <f>'[5]01.BMC'!I69</f>
        <v>0</v>
      </c>
      <c r="J74" s="288">
        <f>'[5]01.BMC'!J69</f>
        <v>0</v>
      </c>
      <c r="K74" s="289">
        <f>'[5]01.BMC'!K69</f>
        <v>0</v>
      </c>
      <c r="L74" s="287">
        <f>SUM(M74:O74)</f>
        <v>0</v>
      </c>
      <c r="M74" s="288">
        <f>'[5]01.BMC'!M69</f>
        <v>0</v>
      </c>
      <c r="N74" s="288">
        <f>'[5]01.BMC'!N69</f>
        <v>0</v>
      </c>
      <c r="O74" s="289">
        <f>'[5]01.BMC'!O69</f>
        <v>0</v>
      </c>
      <c r="P74" s="287">
        <f>SUM(Q74:S74)</f>
        <v>0</v>
      </c>
      <c r="Q74" s="288">
        <f>'[5]01.BMC'!Q69</f>
        <v>0</v>
      </c>
      <c r="R74" s="288">
        <f>'[5]01.BMC'!R69</f>
        <v>0</v>
      </c>
      <c r="S74" s="289">
        <f>'[5]01.BMC'!S69</f>
        <v>0</v>
      </c>
      <c r="T74" s="287">
        <f>SUM(U74:W74)</f>
        <v>0</v>
      </c>
      <c r="U74" s="288">
        <f>'[5]01.BMC'!U69</f>
        <v>0</v>
      </c>
      <c r="V74" s="288">
        <f>'[5]01.BMC'!V69</f>
        <v>0</v>
      </c>
      <c r="W74" s="289">
        <f>'[5]01.BMC'!W69</f>
        <v>0</v>
      </c>
      <c r="X74" s="287">
        <f>SUM(Y74:AA74)</f>
        <v>0</v>
      </c>
      <c r="Y74" s="288">
        <f>'[5]01.BMC'!Y69</f>
        <v>0</v>
      </c>
      <c r="Z74" s="288">
        <f>'[5]01.BMC'!Z69</f>
        <v>0</v>
      </c>
      <c r="AA74" s="289">
        <f>'[5]01.BMC'!AA69</f>
        <v>0</v>
      </c>
      <c r="AB74" s="287">
        <f>SUM(AC74:AE74)</f>
        <v>0</v>
      </c>
      <c r="AC74" s="288"/>
      <c r="AD74" s="288"/>
      <c r="AE74" s="289"/>
      <c r="AF74" s="287">
        <f>SUM(AG74:AI74)</f>
        <v>0</v>
      </c>
      <c r="AG74" s="288">
        <f>'[5]01.BMC'!AG69</f>
        <v>0</v>
      </c>
      <c r="AH74" s="288">
        <f>'[5]01.BMC'!AH69</f>
        <v>0</v>
      </c>
      <c r="AI74" s="289">
        <f>'[5]01.BMC'!AI69</f>
        <v>0</v>
      </c>
      <c r="AJ74" s="283">
        <f>SUM(AK74:AM74)</f>
        <v>0</v>
      </c>
      <c r="AK74" s="285"/>
      <c r="AL74" s="285"/>
      <c r="AM74" s="286"/>
      <c r="AN74" s="290"/>
      <c r="AO74" s="87" t="str">
        <f t="shared" si="11"/>
        <v>-</v>
      </c>
    </row>
    <row r="75" spans="1:41" s="233" customFormat="1" ht="27.75" hidden="1" customHeight="1" x14ac:dyDescent="0.75">
      <c r="A75" s="77" t="s">
        <v>87</v>
      </c>
      <c r="B75" s="78" t="s">
        <v>106</v>
      </c>
      <c r="C75" s="79">
        <v>73071</v>
      </c>
      <c r="D75" s="80" t="s">
        <v>107</v>
      </c>
      <c r="E75" s="329">
        <f>E202</f>
        <v>0</v>
      </c>
      <c r="F75" s="296">
        <f>H75+P75+X75+AF75</f>
        <v>0</v>
      </c>
      <c r="G75" s="330" t="str">
        <f t="shared" si="40"/>
        <v>-</v>
      </c>
      <c r="H75" s="296">
        <f>SUM(I75:K75)</f>
        <v>0</v>
      </c>
      <c r="I75" s="297">
        <f>I202</f>
        <v>0</v>
      </c>
      <c r="J75" s="297">
        <f>J202</f>
        <v>0</v>
      </c>
      <c r="K75" s="298">
        <f>K202</f>
        <v>0</v>
      </c>
      <c r="L75" s="296">
        <f>SUM(M75:O75)</f>
        <v>0</v>
      </c>
      <c r="M75" s="297">
        <f>M202</f>
        <v>0</v>
      </c>
      <c r="N75" s="297">
        <f>N202</f>
        <v>0</v>
      </c>
      <c r="O75" s="298">
        <f>O202</f>
        <v>0</v>
      </c>
      <c r="P75" s="296">
        <f>SUM(Q75:S75)</f>
        <v>0</v>
      </c>
      <c r="Q75" s="297">
        <f>Q202</f>
        <v>0</v>
      </c>
      <c r="R75" s="297">
        <f>R202</f>
        <v>0</v>
      </c>
      <c r="S75" s="298">
        <f>S202</f>
        <v>0</v>
      </c>
      <c r="T75" s="296">
        <f>SUM(U75:W75)</f>
        <v>0</v>
      </c>
      <c r="U75" s="297">
        <f>U202</f>
        <v>0</v>
      </c>
      <c r="V75" s="297">
        <f>V202</f>
        <v>0</v>
      </c>
      <c r="W75" s="298">
        <f>W202</f>
        <v>0</v>
      </c>
      <c r="X75" s="296">
        <f>SUM(Y75:AA75)</f>
        <v>0</v>
      </c>
      <c r="Y75" s="297">
        <f>Y202</f>
        <v>0</v>
      </c>
      <c r="Z75" s="297">
        <f>Z202</f>
        <v>0</v>
      </c>
      <c r="AA75" s="298">
        <f>AA202</f>
        <v>0</v>
      </c>
      <c r="AB75" s="296">
        <f>SUM(AC75:AE75)</f>
        <v>0</v>
      </c>
      <c r="AC75" s="297">
        <f>AC202</f>
        <v>0</v>
      </c>
      <c r="AD75" s="297">
        <f>AD202</f>
        <v>0</v>
      </c>
      <c r="AE75" s="298">
        <f>AE202</f>
        <v>0</v>
      </c>
      <c r="AF75" s="296">
        <f>SUM(AG75:AI75)</f>
        <v>0</v>
      </c>
      <c r="AG75" s="297">
        <f>AG202</f>
        <v>0</v>
      </c>
      <c r="AH75" s="297">
        <f>AH202</f>
        <v>0</v>
      </c>
      <c r="AI75" s="298">
        <f>AI202</f>
        <v>0</v>
      </c>
      <c r="AJ75" s="292">
        <f>SUM(AK75:AM75)</f>
        <v>0</v>
      </c>
      <c r="AK75" s="294">
        <f>AK202</f>
        <v>0</v>
      </c>
      <c r="AL75" s="294">
        <f>AL202</f>
        <v>0</v>
      </c>
      <c r="AM75" s="295">
        <f>AM202</f>
        <v>0</v>
      </c>
      <c r="AN75" s="299"/>
      <c r="AO75" s="231" t="str">
        <f t="shared" si="11"/>
        <v>-</v>
      </c>
    </row>
    <row r="76" spans="1:41" s="88" customFormat="1" ht="27.75" hidden="1" customHeight="1" x14ac:dyDescent="0.75">
      <c r="A76" s="129" t="s">
        <v>87</v>
      </c>
      <c r="B76" s="130" t="s">
        <v>106</v>
      </c>
      <c r="C76" s="333">
        <v>73072</v>
      </c>
      <c r="D76" s="334" t="s">
        <v>108</v>
      </c>
      <c r="E76" s="335">
        <f>E198+E203</f>
        <v>0</v>
      </c>
      <c r="F76" s="306">
        <f>H76+P76+X76+AF76</f>
        <v>0</v>
      </c>
      <c r="G76" s="336" t="str">
        <f t="shared" si="40"/>
        <v>-</v>
      </c>
      <c r="H76" s="306">
        <f>SUM(I76:K76)</f>
        <v>0</v>
      </c>
      <c r="I76" s="307">
        <f>I198+I203</f>
        <v>0</v>
      </c>
      <c r="J76" s="307">
        <f>J198+J203</f>
        <v>0</v>
      </c>
      <c r="K76" s="308">
        <f>K198+K203</f>
        <v>0</v>
      </c>
      <c r="L76" s="306">
        <f>SUM(M76:O76)</f>
        <v>0</v>
      </c>
      <c r="M76" s="307">
        <f>M198+M203</f>
        <v>0</v>
      </c>
      <c r="N76" s="307">
        <f>N198+N203</f>
        <v>0</v>
      </c>
      <c r="O76" s="308">
        <f>O198+O203</f>
        <v>0</v>
      </c>
      <c r="P76" s="306">
        <f>SUM(Q76:S76)</f>
        <v>0</v>
      </c>
      <c r="Q76" s="307">
        <f>Q198+Q203</f>
        <v>0</v>
      </c>
      <c r="R76" s="307">
        <f>R198+R203</f>
        <v>0</v>
      </c>
      <c r="S76" s="308">
        <f>S198+S203</f>
        <v>0</v>
      </c>
      <c r="T76" s="306">
        <f>SUM(U76:W76)</f>
        <v>0</v>
      </c>
      <c r="U76" s="307">
        <f>U198+U203</f>
        <v>0</v>
      </c>
      <c r="V76" s="307">
        <f>V198+V203</f>
        <v>0</v>
      </c>
      <c r="W76" s="308">
        <f>W198+W203</f>
        <v>0</v>
      </c>
      <c r="X76" s="306">
        <f>SUM(Y76:AA76)</f>
        <v>0</v>
      </c>
      <c r="Y76" s="307">
        <f>Y198+Y203</f>
        <v>0</v>
      </c>
      <c r="Z76" s="307">
        <f>Z198+Z203</f>
        <v>0</v>
      </c>
      <c r="AA76" s="308">
        <f>AA198+AA203</f>
        <v>0</v>
      </c>
      <c r="AB76" s="306">
        <f>SUM(AC76:AE76)</f>
        <v>0</v>
      </c>
      <c r="AC76" s="307">
        <f>AC198+AC203</f>
        <v>0</v>
      </c>
      <c r="AD76" s="307">
        <f>AD198+AD203</f>
        <v>0</v>
      </c>
      <c r="AE76" s="308">
        <f>AE198+AE203</f>
        <v>0</v>
      </c>
      <c r="AF76" s="306">
        <f>SUM(AG76:AI76)</f>
        <v>0</v>
      </c>
      <c r="AG76" s="307">
        <f>AG198+AG203</f>
        <v>0</v>
      </c>
      <c r="AH76" s="307">
        <f>AH198+AH203</f>
        <v>0</v>
      </c>
      <c r="AI76" s="308">
        <f>AI198+AI203</f>
        <v>0</v>
      </c>
      <c r="AJ76" s="309">
        <f>SUM(AK76:AM76)</f>
        <v>0</v>
      </c>
      <c r="AK76" s="310">
        <f>AK198+AK203</f>
        <v>0</v>
      </c>
      <c r="AL76" s="310">
        <f>AL198+AL203</f>
        <v>0</v>
      </c>
      <c r="AM76" s="311">
        <f>AM198+AM203</f>
        <v>0</v>
      </c>
      <c r="AN76" s="337"/>
      <c r="AO76" s="87" t="str">
        <f t="shared" si="11"/>
        <v>-</v>
      </c>
    </row>
    <row r="77" spans="1:41" s="88" customFormat="1" ht="27.75" hidden="1" customHeight="1" x14ac:dyDescent="0.75">
      <c r="A77" s="338"/>
      <c r="B77" s="339"/>
      <c r="C77" s="340"/>
      <c r="D77" s="341" t="s">
        <v>125</v>
      </c>
      <c r="E77" s="342">
        <f>SUM(E78:E81)</f>
        <v>0</v>
      </c>
      <c r="F77" s="322">
        <f>SUM(F78:F81)</f>
        <v>0</v>
      </c>
      <c r="G77" s="343" t="str">
        <f t="shared" si="40"/>
        <v>-</v>
      </c>
      <c r="H77" s="322">
        <f t="shared" ref="H77:AM77" si="41">SUM(H78:H81)</f>
        <v>0</v>
      </c>
      <c r="I77" s="323">
        <f t="shared" si="41"/>
        <v>0</v>
      </c>
      <c r="J77" s="323">
        <f t="shared" si="41"/>
        <v>0</v>
      </c>
      <c r="K77" s="324">
        <f t="shared" si="41"/>
        <v>0</v>
      </c>
      <c r="L77" s="322">
        <f t="shared" si="41"/>
        <v>0</v>
      </c>
      <c r="M77" s="323">
        <f t="shared" si="41"/>
        <v>0</v>
      </c>
      <c r="N77" s="323">
        <f t="shared" si="41"/>
        <v>0</v>
      </c>
      <c r="O77" s="324">
        <f t="shared" si="41"/>
        <v>0</v>
      </c>
      <c r="P77" s="322">
        <f t="shared" si="41"/>
        <v>0</v>
      </c>
      <c r="Q77" s="323">
        <f t="shared" si="41"/>
        <v>0</v>
      </c>
      <c r="R77" s="323">
        <f t="shared" si="41"/>
        <v>0</v>
      </c>
      <c r="S77" s="324">
        <f t="shared" si="41"/>
        <v>0</v>
      </c>
      <c r="T77" s="322">
        <f t="shared" si="41"/>
        <v>0</v>
      </c>
      <c r="U77" s="323">
        <f t="shared" si="41"/>
        <v>0</v>
      </c>
      <c r="V77" s="323">
        <f t="shared" si="41"/>
        <v>0</v>
      </c>
      <c r="W77" s="324">
        <f t="shared" si="41"/>
        <v>0</v>
      </c>
      <c r="X77" s="322">
        <f t="shared" si="41"/>
        <v>0</v>
      </c>
      <c r="Y77" s="323">
        <f t="shared" si="41"/>
        <v>0</v>
      </c>
      <c r="Z77" s="323">
        <f t="shared" si="41"/>
        <v>0</v>
      </c>
      <c r="AA77" s="324">
        <f t="shared" si="41"/>
        <v>0</v>
      </c>
      <c r="AB77" s="322">
        <f t="shared" si="41"/>
        <v>0</v>
      </c>
      <c r="AC77" s="323">
        <f t="shared" si="41"/>
        <v>0</v>
      </c>
      <c r="AD77" s="323">
        <f t="shared" si="41"/>
        <v>0</v>
      </c>
      <c r="AE77" s="324">
        <f t="shared" si="41"/>
        <v>0</v>
      </c>
      <c r="AF77" s="322">
        <f t="shared" si="41"/>
        <v>0</v>
      </c>
      <c r="AG77" s="323">
        <f t="shared" si="41"/>
        <v>0</v>
      </c>
      <c r="AH77" s="323">
        <f t="shared" si="41"/>
        <v>0</v>
      </c>
      <c r="AI77" s="324">
        <f t="shared" si="41"/>
        <v>0</v>
      </c>
      <c r="AJ77" s="325">
        <f t="shared" si="41"/>
        <v>0</v>
      </c>
      <c r="AK77" s="326">
        <f t="shared" si="41"/>
        <v>0</v>
      </c>
      <c r="AL77" s="326">
        <f t="shared" si="41"/>
        <v>0</v>
      </c>
      <c r="AM77" s="327">
        <f t="shared" si="41"/>
        <v>0</v>
      </c>
      <c r="AN77" s="344"/>
      <c r="AO77" s="87" t="str">
        <f t="shared" si="11"/>
        <v>-</v>
      </c>
    </row>
    <row r="78" spans="1:41" s="88" customFormat="1" ht="27.75" hidden="1" customHeight="1" x14ac:dyDescent="0.75">
      <c r="A78" s="77" t="s">
        <v>87</v>
      </c>
      <c r="B78" s="78" t="s">
        <v>65</v>
      </c>
      <c r="C78" s="79">
        <v>73023</v>
      </c>
      <c r="D78" s="80" t="s">
        <v>83</v>
      </c>
      <c r="E78" s="329">
        <f>'[5]01.BMC'!E73</f>
        <v>0</v>
      </c>
      <c r="F78" s="296">
        <f t="shared" ref="F78:F79" si="42">H78+P78+X78+AF78</f>
        <v>0</v>
      </c>
      <c r="G78" s="330" t="str">
        <f>IFERROR(F78/E78, "-")</f>
        <v>-</v>
      </c>
      <c r="H78" s="296">
        <f>SUM(I78:K78)</f>
        <v>0</v>
      </c>
      <c r="I78" s="297">
        <f>'[5]01.BMC'!I73</f>
        <v>0</v>
      </c>
      <c r="J78" s="297">
        <f>'[5]01.BMC'!J73</f>
        <v>0</v>
      </c>
      <c r="K78" s="298">
        <f>'[5]01.BMC'!K73</f>
        <v>0</v>
      </c>
      <c r="L78" s="296">
        <f>SUM(M78:O78)</f>
        <v>0</v>
      </c>
      <c r="M78" s="297">
        <f>'[5]01.BMC'!M73</f>
        <v>0</v>
      </c>
      <c r="N78" s="297">
        <f>'[5]01.BMC'!N73</f>
        <v>0</v>
      </c>
      <c r="O78" s="298">
        <f>'[5]01.BMC'!O73</f>
        <v>0</v>
      </c>
      <c r="P78" s="296">
        <f>SUM(Q78:S78)</f>
        <v>0</v>
      </c>
      <c r="Q78" s="297">
        <f>'[5]01.BMC'!Q73</f>
        <v>0</v>
      </c>
      <c r="R78" s="297">
        <f>'[5]01.BMC'!R73</f>
        <v>0</v>
      </c>
      <c r="S78" s="298">
        <f>'[5]01.BMC'!S73</f>
        <v>0</v>
      </c>
      <c r="T78" s="296">
        <f>SUM(U78:W78)</f>
        <v>0</v>
      </c>
      <c r="U78" s="297">
        <f>'[5]01.BMC'!U73</f>
        <v>0</v>
      </c>
      <c r="V78" s="297">
        <f>'[5]01.BMC'!V73</f>
        <v>0</v>
      </c>
      <c r="W78" s="298">
        <f>'[5]01.BMC'!W73</f>
        <v>0</v>
      </c>
      <c r="X78" s="296">
        <f>SUM(Y78:AA78)</f>
        <v>0</v>
      </c>
      <c r="Y78" s="297">
        <f>'[5]01.BMC'!Y73</f>
        <v>0</v>
      </c>
      <c r="Z78" s="297">
        <f>'[5]01.BMC'!Z73</f>
        <v>0</v>
      </c>
      <c r="AA78" s="298">
        <f>'[5]01.BMC'!AA73</f>
        <v>0</v>
      </c>
      <c r="AB78" s="296">
        <f>SUM(AC78:AE78)</f>
        <v>0</v>
      </c>
      <c r="AC78" s="297"/>
      <c r="AD78" s="297"/>
      <c r="AE78" s="298"/>
      <c r="AF78" s="296">
        <f>SUM(AG78:AI78)</f>
        <v>0</v>
      </c>
      <c r="AG78" s="297">
        <f>'[5]01.BMC'!AG73</f>
        <v>0</v>
      </c>
      <c r="AH78" s="297">
        <f>'[5]01.BMC'!AH73</f>
        <v>0</v>
      </c>
      <c r="AI78" s="298">
        <f>'[5]01.BMC'!AI73</f>
        <v>0</v>
      </c>
      <c r="AJ78" s="292">
        <f>SUM(AK78:AM78)</f>
        <v>0</v>
      </c>
      <c r="AK78" s="294"/>
      <c r="AL78" s="294"/>
      <c r="AM78" s="295"/>
      <c r="AN78" s="299"/>
      <c r="AO78" s="87" t="str">
        <f t="shared" si="11"/>
        <v>-</v>
      </c>
    </row>
    <row r="79" spans="1:41" s="88" customFormat="1" ht="27.75" hidden="1" customHeight="1" x14ac:dyDescent="0.75">
      <c r="A79" s="91" t="s">
        <v>87</v>
      </c>
      <c r="B79" s="92" t="s">
        <v>69</v>
      </c>
      <c r="C79" s="93">
        <v>73066</v>
      </c>
      <c r="D79" s="94" t="s">
        <v>70</v>
      </c>
      <c r="E79" s="331">
        <f>'[5]01.BMC'!E74</f>
        <v>0</v>
      </c>
      <c r="F79" s="287">
        <f t="shared" si="42"/>
        <v>0</v>
      </c>
      <c r="G79" s="332" t="str">
        <f t="shared" ref="G79:G82" si="43">IFERROR(F79/E79, "-")</f>
        <v>-</v>
      </c>
      <c r="H79" s="287">
        <f>SUM(I79:K79)</f>
        <v>0</v>
      </c>
      <c r="I79" s="288">
        <f>'[5]01.BMC'!I74</f>
        <v>0</v>
      </c>
      <c r="J79" s="288">
        <f>'[5]01.BMC'!J74</f>
        <v>0</v>
      </c>
      <c r="K79" s="289">
        <f>'[5]01.BMC'!K74</f>
        <v>0</v>
      </c>
      <c r="L79" s="287">
        <f>SUM(M79:O79)</f>
        <v>0</v>
      </c>
      <c r="M79" s="288">
        <f>'[5]01.BMC'!M74</f>
        <v>0</v>
      </c>
      <c r="N79" s="288">
        <f>'[5]01.BMC'!N74</f>
        <v>0</v>
      </c>
      <c r="O79" s="289">
        <f>'[5]01.BMC'!O74</f>
        <v>0</v>
      </c>
      <c r="P79" s="287">
        <f>SUM(Q79:S79)</f>
        <v>0</v>
      </c>
      <c r="Q79" s="288">
        <f>'[5]01.BMC'!Q74</f>
        <v>0</v>
      </c>
      <c r="R79" s="288">
        <f>'[5]01.BMC'!R74</f>
        <v>0</v>
      </c>
      <c r="S79" s="289">
        <f>'[5]01.BMC'!S74</f>
        <v>0</v>
      </c>
      <c r="T79" s="287">
        <f>SUM(U79:W79)</f>
        <v>0</v>
      </c>
      <c r="U79" s="288">
        <f>'[5]01.BMC'!U74</f>
        <v>0</v>
      </c>
      <c r="V79" s="288">
        <f>'[5]01.BMC'!V74</f>
        <v>0</v>
      </c>
      <c r="W79" s="289">
        <f>'[5]01.BMC'!W74</f>
        <v>0</v>
      </c>
      <c r="X79" s="287">
        <f>SUM(Y79:AA79)</f>
        <v>0</v>
      </c>
      <c r="Y79" s="288">
        <f>'[5]01.BMC'!Y74</f>
        <v>0</v>
      </c>
      <c r="Z79" s="288">
        <f>'[5]01.BMC'!Z74</f>
        <v>0</v>
      </c>
      <c r="AA79" s="289">
        <f>'[5]01.BMC'!AA74</f>
        <v>0</v>
      </c>
      <c r="AB79" s="287">
        <f>SUM(AC79:AE79)</f>
        <v>0</v>
      </c>
      <c r="AC79" s="288"/>
      <c r="AD79" s="288"/>
      <c r="AE79" s="289"/>
      <c r="AF79" s="287">
        <f>SUM(AG79:AI79)</f>
        <v>0</v>
      </c>
      <c r="AG79" s="288">
        <f>'[5]01.BMC'!AG74</f>
        <v>0</v>
      </c>
      <c r="AH79" s="288">
        <f>'[5]01.BMC'!AH74</f>
        <v>0</v>
      </c>
      <c r="AI79" s="289">
        <f>'[5]01.BMC'!AI74</f>
        <v>0</v>
      </c>
      <c r="AJ79" s="283">
        <f>SUM(AK79:AM79)</f>
        <v>0</v>
      </c>
      <c r="AK79" s="285"/>
      <c r="AL79" s="285"/>
      <c r="AM79" s="286"/>
      <c r="AN79" s="290"/>
      <c r="AO79" s="87" t="str">
        <f t="shared" si="11"/>
        <v>-</v>
      </c>
    </row>
    <row r="80" spans="1:41" s="233" customFormat="1" ht="27.75" hidden="1" customHeight="1" x14ac:dyDescent="0.75">
      <c r="A80" s="77" t="s">
        <v>87</v>
      </c>
      <c r="B80" s="78" t="s">
        <v>106</v>
      </c>
      <c r="C80" s="79">
        <v>73071</v>
      </c>
      <c r="D80" s="80" t="s">
        <v>107</v>
      </c>
      <c r="E80" s="329">
        <f>E207</f>
        <v>0</v>
      </c>
      <c r="F80" s="296">
        <f>H80+P80+X80+AF80</f>
        <v>0</v>
      </c>
      <c r="G80" s="330" t="str">
        <f t="shared" si="43"/>
        <v>-</v>
      </c>
      <c r="H80" s="296">
        <f>SUM(I80:K80)</f>
        <v>0</v>
      </c>
      <c r="I80" s="297">
        <f>I207</f>
        <v>0</v>
      </c>
      <c r="J80" s="297">
        <f>J207</f>
        <v>0</v>
      </c>
      <c r="K80" s="298">
        <f>K207</f>
        <v>0</v>
      </c>
      <c r="L80" s="296">
        <f>SUM(M80:O80)</f>
        <v>0</v>
      </c>
      <c r="M80" s="297">
        <f>M207</f>
        <v>0</v>
      </c>
      <c r="N80" s="297">
        <f>N207</f>
        <v>0</v>
      </c>
      <c r="O80" s="298">
        <f>O207</f>
        <v>0</v>
      </c>
      <c r="P80" s="296">
        <f>SUM(Q80:S80)</f>
        <v>0</v>
      </c>
      <c r="Q80" s="297">
        <f>Q207</f>
        <v>0</v>
      </c>
      <c r="R80" s="297">
        <f>R207</f>
        <v>0</v>
      </c>
      <c r="S80" s="298">
        <f>S207</f>
        <v>0</v>
      </c>
      <c r="T80" s="296">
        <f>SUM(U80:W80)</f>
        <v>0</v>
      </c>
      <c r="U80" s="297">
        <f>U207</f>
        <v>0</v>
      </c>
      <c r="V80" s="297">
        <f>V207</f>
        <v>0</v>
      </c>
      <c r="W80" s="298">
        <f>W207</f>
        <v>0</v>
      </c>
      <c r="X80" s="296">
        <f>SUM(Y80:AA80)</f>
        <v>0</v>
      </c>
      <c r="Y80" s="297">
        <f>Y207</f>
        <v>0</v>
      </c>
      <c r="Z80" s="297">
        <f>Z207</f>
        <v>0</v>
      </c>
      <c r="AA80" s="298">
        <f>AA207</f>
        <v>0</v>
      </c>
      <c r="AB80" s="296">
        <f>SUM(AC80:AE80)</f>
        <v>0</v>
      </c>
      <c r="AC80" s="297">
        <f>AC207</f>
        <v>0</v>
      </c>
      <c r="AD80" s="297">
        <f>AD207</f>
        <v>0</v>
      </c>
      <c r="AE80" s="298">
        <f>AE207</f>
        <v>0</v>
      </c>
      <c r="AF80" s="296">
        <f>SUM(AG80:AI80)</f>
        <v>0</v>
      </c>
      <c r="AG80" s="297">
        <f>AG207</f>
        <v>0</v>
      </c>
      <c r="AH80" s="297">
        <f>AH207</f>
        <v>0</v>
      </c>
      <c r="AI80" s="298">
        <f>AI207</f>
        <v>0</v>
      </c>
      <c r="AJ80" s="292">
        <f>SUM(AK80:AM80)</f>
        <v>0</v>
      </c>
      <c r="AK80" s="294">
        <f>AK207</f>
        <v>0</v>
      </c>
      <c r="AL80" s="294">
        <f>AL207</f>
        <v>0</v>
      </c>
      <c r="AM80" s="295">
        <f>AM207</f>
        <v>0</v>
      </c>
      <c r="AN80" s="299"/>
      <c r="AO80" s="231" t="str">
        <f t="shared" si="11"/>
        <v>-</v>
      </c>
    </row>
    <row r="81" spans="1:41" s="88" customFormat="1" ht="27.75" hidden="1" customHeight="1" x14ac:dyDescent="0.75">
      <c r="A81" s="129" t="s">
        <v>87</v>
      </c>
      <c r="B81" s="130" t="s">
        <v>106</v>
      </c>
      <c r="C81" s="333">
        <v>73072</v>
      </c>
      <c r="D81" s="334" t="s">
        <v>108</v>
      </c>
      <c r="E81" s="335">
        <f>E203+E208</f>
        <v>0</v>
      </c>
      <c r="F81" s="306">
        <f>H81+P81+X81+AF81</f>
        <v>0</v>
      </c>
      <c r="G81" s="336" t="str">
        <f t="shared" si="43"/>
        <v>-</v>
      </c>
      <c r="H81" s="306">
        <f>SUM(I81:K81)</f>
        <v>0</v>
      </c>
      <c r="I81" s="307">
        <f>I203+I208</f>
        <v>0</v>
      </c>
      <c r="J81" s="307">
        <f>J203+J208</f>
        <v>0</v>
      </c>
      <c r="K81" s="308">
        <f>K203+K208</f>
        <v>0</v>
      </c>
      <c r="L81" s="306">
        <f>SUM(M81:O81)</f>
        <v>0</v>
      </c>
      <c r="M81" s="307">
        <f>M203+M208</f>
        <v>0</v>
      </c>
      <c r="N81" s="307">
        <f>N203+N208</f>
        <v>0</v>
      </c>
      <c r="O81" s="308">
        <f>O203+O208</f>
        <v>0</v>
      </c>
      <c r="P81" s="306">
        <f>SUM(Q81:S81)</f>
        <v>0</v>
      </c>
      <c r="Q81" s="307">
        <f>Q203+Q208</f>
        <v>0</v>
      </c>
      <c r="R81" s="307">
        <f>R203+R208</f>
        <v>0</v>
      </c>
      <c r="S81" s="308">
        <f>S203+S208</f>
        <v>0</v>
      </c>
      <c r="T81" s="306">
        <f>SUM(U81:W81)</f>
        <v>0</v>
      </c>
      <c r="U81" s="307">
        <f>U203+U208</f>
        <v>0</v>
      </c>
      <c r="V81" s="307">
        <f>V203+V208</f>
        <v>0</v>
      </c>
      <c r="W81" s="308">
        <f>W203+W208</f>
        <v>0</v>
      </c>
      <c r="X81" s="306">
        <f>SUM(Y81:AA81)</f>
        <v>0</v>
      </c>
      <c r="Y81" s="307">
        <f>Y203+Y208</f>
        <v>0</v>
      </c>
      <c r="Z81" s="307">
        <f>Z203+Z208</f>
        <v>0</v>
      </c>
      <c r="AA81" s="308">
        <f>AA203+AA208</f>
        <v>0</v>
      </c>
      <c r="AB81" s="306">
        <f>SUM(AC81:AE81)</f>
        <v>0</v>
      </c>
      <c r="AC81" s="307">
        <f>AC203+AC208</f>
        <v>0</v>
      </c>
      <c r="AD81" s="307">
        <f>AD203+AD208</f>
        <v>0</v>
      </c>
      <c r="AE81" s="308">
        <f>AE203+AE208</f>
        <v>0</v>
      </c>
      <c r="AF81" s="306">
        <f>SUM(AG81:AI81)</f>
        <v>0</v>
      </c>
      <c r="AG81" s="307">
        <f>AG203+AG208</f>
        <v>0</v>
      </c>
      <c r="AH81" s="307">
        <f>AH203+AH208</f>
        <v>0</v>
      </c>
      <c r="AI81" s="308">
        <f>AI203+AI208</f>
        <v>0</v>
      </c>
      <c r="AJ81" s="309">
        <f>SUM(AK81:AM81)</f>
        <v>0</v>
      </c>
      <c r="AK81" s="310">
        <f>AK203+AK208</f>
        <v>0</v>
      </c>
      <c r="AL81" s="310">
        <f>AL203+AL208</f>
        <v>0</v>
      </c>
      <c r="AM81" s="311">
        <f>AM203+AM208</f>
        <v>0</v>
      </c>
      <c r="AN81" s="337"/>
      <c r="AO81" s="87" t="str">
        <f t="shared" si="11"/>
        <v>-</v>
      </c>
    </row>
    <row r="82" spans="1:41" s="88" customFormat="1" ht="27.75" hidden="1" customHeight="1" x14ac:dyDescent="0.75">
      <c r="A82" s="338"/>
      <c r="B82" s="339"/>
      <c r="C82" s="340"/>
      <c r="D82" s="341" t="s">
        <v>126</v>
      </c>
      <c r="E82" s="342">
        <f>SUM(E83:E86)</f>
        <v>0</v>
      </c>
      <c r="F82" s="322">
        <f>SUM(F83:F86)</f>
        <v>0</v>
      </c>
      <c r="G82" s="343" t="str">
        <f t="shared" si="43"/>
        <v>-</v>
      </c>
      <c r="H82" s="322">
        <f t="shared" ref="H82:AM82" si="44">SUM(H83:H86)</f>
        <v>0</v>
      </c>
      <c r="I82" s="323">
        <f t="shared" si="44"/>
        <v>0</v>
      </c>
      <c r="J82" s="323">
        <f t="shared" si="44"/>
        <v>0</v>
      </c>
      <c r="K82" s="324">
        <f t="shared" si="44"/>
        <v>0</v>
      </c>
      <c r="L82" s="322">
        <f t="shared" si="44"/>
        <v>0</v>
      </c>
      <c r="M82" s="323">
        <f t="shared" si="44"/>
        <v>0</v>
      </c>
      <c r="N82" s="323">
        <f t="shared" si="44"/>
        <v>0</v>
      </c>
      <c r="O82" s="324">
        <f t="shared" si="44"/>
        <v>0</v>
      </c>
      <c r="P82" s="322">
        <f t="shared" si="44"/>
        <v>0</v>
      </c>
      <c r="Q82" s="323">
        <f t="shared" si="44"/>
        <v>0</v>
      </c>
      <c r="R82" s="323">
        <f t="shared" si="44"/>
        <v>0</v>
      </c>
      <c r="S82" s="324">
        <f t="shared" si="44"/>
        <v>0</v>
      </c>
      <c r="T82" s="322">
        <f t="shared" si="44"/>
        <v>0</v>
      </c>
      <c r="U82" s="323">
        <f t="shared" si="44"/>
        <v>0</v>
      </c>
      <c r="V82" s="323">
        <f t="shared" si="44"/>
        <v>0</v>
      </c>
      <c r="W82" s="324">
        <f t="shared" si="44"/>
        <v>0</v>
      </c>
      <c r="X82" s="322">
        <f t="shared" si="44"/>
        <v>0</v>
      </c>
      <c r="Y82" s="323">
        <f t="shared" si="44"/>
        <v>0</v>
      </c>
      <c r="Z82" s="323">
        <f t="shared" si="44"/>
        <v>0</v>
      </c>
      <c r="AA82" s="324">
        <f t="shared" si="44"/>
        <v>0</v>
      </c>
      <c r="AB82" s="322">
        <f t="shared" si="44"/>
        <v>0</v>
      </c>
      <c r="AC82" s="323">
        <f t="shared" si="44"/>
        <v>0</v>
      </c>
      <c r="AD82" s="323">
        <f t="shared" si="44"/>
        <v>0</v>
      </c>
      <c r="AE82" s="324">
        <f t="shared" si="44"/>
        <v>0</v>
      </c>
      <c r="AF82" s="322">
        <f t="shared" si="44"/>
        <v>0</v>
      </c>
      <c r="AG82" s="323">
        <f t="shared" si="44"/>
        <v>0</v>
      </c>
      <c r="AH82" s="323">
        <f t="shared" si="44"/>
        <v>0</v>
      </c>
      <c r="AI82" s="324">
        <f t="shared" si="44"/>
        <v>0</v>
      </c>
      <c r="AJ82" s="325">
        <f t="shared" si="44"/>
        <v>0</v>
      </c>
      <c r="AK82" s="326">
        <f t="shared" si="44"/>
        <v>0</v>
      </c>
      <c r="AL82" s="326">
        <f t="shared" si="44"/>
        <v>0</v>
      </c>
      <c r="AM82" s="327">
        <f t="shared" si="44"/>
        <v>0</v>
      </c>
      <c r="AN82" s="344"/>
      <c r="AO82" s="87" t="str">
        <f t="shared" si="11"/>
        <v>-</v>
      </c>
    </row>
    <row r="83" spans="1:41" s="88" customFormat="1" ht="27.75" hidden="1" customHeight="1" x14ac:dyDescent="0.75">
      <c r="A83" s="77" t="s">
        <v>87</v>
      </c>
      <c r="B83" s="78" t="s">
        <v>65</v>
      </c>
      <c r="C83" s="79">
        <v>73023</v>
      </c>
      <c r="D83" s="80" t="s">
        <v>83</v>
      </c>
      <c r="E83" s="329">
        <f>'[5]01.BMC'!E78</f>
        <v>0</v>
      </c>
      <c r="F83" s="296">
        <f t="shared" ref="F83:F84" si="45">H83+P83+X83+AF83</f>
        <v>0</v>
      </c>
      <c r="G83" s="330" t="str">
        <f>IFERROR(F83/E83, "-")</f>
        <v>-</v>
      </c>
      <c r="H83" s="296">
        <f>SUM(I83:K83)</f>
        <v>0</v>
      </c>
      <c r="I83" s="297">
        <f>'[5]01.BMC'!I78</f>
        <v>0</v>
      </c>
      <c r="J83" s="297">
        <f>'[5]01.BMC'!J78</f>
        <v>0</v>
      </c>
      <c r="K83" s="298">
        <f>'[5]01.BMC'!K78</f>
        <v>0</v>
      </c>
      <c r="L83" s="296">
        <f>SUM(M83:O83)</f>
        <v>0</v>
      </c>
      <c r="M83" s="297">
        <f>'[5]01.BMC'!M78</f>
        <v>0</v>
      </c>
      <c r="N83" s="297">
        <f>'[5]01.BMC'!N78</f>
        <v>0</v>
      </c>
      <c r="O83" s="298">
        <f>'[5]01.BMC'!O78</f>
        <v>0</v>
      </c>
      <c r="P83" s="296">
        <f>SUM(Q83:S83)</f>
        <v>0</v>
      </c>
      <c r="Q83" s="297">
        <f>'[5]01.BMC'!Q78</f>
        <v>0</v>
      </c>
      <c r="R83" s="297">
        <f>'[5]01.BMC'!R78</f>
        <v>0</v>
      </c>
      <c r="S83" s="298">
        <f>'[5]01.BMC'!S78</f>
        <v>0</v>
      </c>
      <c r="T83" s="296">
        <f>SUM(U83:W83)</f>
        <v>0</v>
      </c>
      <c r="U83" s="297">
        <f>'[5]01.BMC'!U78</f>
        <v>0</v>
      </c>
      <c r="V83" s="297">
        <f>'[5]01.BMC'!V78</f>
        <v>0</v>
      </c>
      <c r="W83" s="298">
        <f>'[5]01.BMC'!W78</f>
        <v>0</v>
      </c>
      <c r="X83" s="296">
        <f>SUM(Y83:AA83)</f>
        <v>0</v>
      </c>
      <c r="Y83" s="297">
        <f>'[5]01.BMC'!Y78</f>
        <v>0</v>
      </c>
      <c r="Z83" s="297">
        <f>'[5]01.BMC'!Z78</f>
        <v>0</v>
      </c>
      <c r="AA83" s="298">
        <f>'[5]01.BMC'!AA78</f>
        <v>0</v>
      </c>
      <c r="AB83" s="296">
        <f>SUM(AC83:AE83)</f>
        <v>0</v>
      </c>
      <c r="AC83" s="297"/>
      <c r="AD83" s="297"/>
      <c r="AE83" s="298"/>
      <c r="AF83" s="296">
        <f>SUM(AG83:AI83)</f>
        <v>0</v>
      </c>
      <c r="AG83" s="297">
        <f>'[5]01.BMC'!AG78</f>
        <v>0</v>
      </c>
      <c r="AH83" s="297">
        <f>'[5]01.BMC'!AH78</f>
        <v>0</v>
      </c>
      <c r="AI83" s="298">
        <f>'[5]01.BMC'!AI78</f>
        <v>0</v>
      </c>
      <c r="AJ83" s="292">
        <f>SUM(AK83:AM83)</f>
        <v>0</v>
      </c>
      <c r="AK83" s="294"/>
      <c r="AL83" s="294"/>
      <c r="AM83" s="295"/>
      <c r="AN83" s="299"/>
      <c r="AO83" s="87" t="str">
        <f t="shared" si="11"/>
        <v>-</v>
      </c>
    </row>
    <row r="84" spans="1:41" s="88" customFormat="1" ht="27.75" hidden="1" customHeight="1" x14ac:dyDescent="0.75">
      <c r="A84" s="91" t="s">
        <v>87</v>
      </c>
      <c r="B84" s="92" t="s">
        <v>69</v>
      </c>
      <c r="C84" s="93">
        <v>73066</v>
      </c>
      <c r="D84" s="94" t="s">
        <v>70</v>
      </c>
      <c r="E84" s="331">
        <f>'[5]01.BMC'!E79</f>
        <v>0</v>
      </c>
      <c r="F84" s="287">
        <f t="shared" si="45"/>
        <v>0</v>
      </c>
      <c r="G84" s="332" t="str">
        <f t="shared" ref="G84:G87" si="46">IFERROR(F84/E84, "-")</f>
        <v>-</v>
      </c>
      <c r="H84" s="287">
        <f>SUM(I84:K84)</f>
        <v>0</v>
      </c>
      <c r="I84" s="288">
        <f>'[5]01.BMC'!I79</f>
        <v>0</v>
      </c>
      <c r="J84" s="288">
        <f>'[5]01.BMC'!J79</f>
        <v>0</v>
      </c>
      <c r="K84" s="289">
        <f>'[5]01.BMC'!K79</f>
        <v>0</v>
      </c>
      <c r="L84" s="287">
        <f>SUM(M84:O84)</f>
        <v>0</v>
      </c>
      <c r="M84" s="288">
        <f>'[5]01.BMC'!M79</f>
        <v>0</v>
      </c>
      <c r="N84" s="288">
        <f>'[5]01.BMC'!N79</f>
        <v>0</v>
      </c>
      <c r="O84" s="289">
        <f>'[5]01.BMC'!O79</f>
        <v>0</v>
      </c>
      <c r="P84" s="287">
        <f>SUM(Q84:S84)</f>
        <v>0</v>
      </c>
      <c r="Q84" s="288">
        <f>'[5]01.BMC'!Q79</f>
        <v>0</v>
      </c>
      <c r="R84" s="288">
        <f>'[5]01.BMC'!R79</f>
        <v>0</v>
      </c>
      <c r="S84" s="289">
        <f>'[5]01.BMC'!S79</f>
        <v>0</v>
      </c>
      <c r="T84" s="287">
        <f>SUM(U84:W84)</f>
        <v>0</v>
      </c>
      <c r="U84" s="288">
        <f>'[5]01.BMC'!U79</f>
        <v>0</v>
      </c>
      <c r="V84" s="288">
        <f>'[5]01.BMC'!V79</f>
        <v>0</v>
      </c>
      <c r="W84" s="289">
        <f>'[5]01.BMC'!W79</f>
        <v>0</v>
      </c>
      <c r="X84" s="287">
        <f>SUM(Y84:AA84)</f>
        <v>0</v>
      </c>
      <c r="Y84" s="288">
        <f>'[5]01.BMC'!Y79</f>
        <v>0</v>
      </c>
      <c r="Z84" s="288">
        <f>'[5]01.BMC'!Z79</f>
        <v>0</v>
      </c>
      <c r="AA84" s="289">
        <f>'[5]01.BMC'!AA79</f>
        <v>0</v>
      </c>
      <c r="AB84" s="287">
        <f>SUM(AC84:AE84)</f>
        <v>0</v>
      </c>
      <c r="AC84" s="288"/>
      <c r="AD84" s="288"/>
      <c r="AE84" s="289"/>
      <c r="AF84" s="287">
        <f>SUM(AG84:AI84)</f>
        <v>0</v>
      </c>
      <c r="AG84" s="288">
        <f>'[5]01.BMC'!AG79</f>
        <v>0</v>
      </c>
      <c r="AH84" s="288">
        <f>'[5]01.BMC'!AH79</f>
        <v>0</v>
      </c>
      <c r="AI84" s="289">
        <f>'[5]01.BMC'!AI79</f>
        <v>0</v>
      </c>
      <c r="AJ84" s="283">
        <f>SUM(AK84:AM84)</f>
        <v>0</v>
      </c>
      <c r="AK84" s="285"/>
      <c r="AL84" s="285"/>
      <c r="AM84" s="286"/>
      <c r="AN84" s="290"/>
      <c r="AO84" s="87" t="str">
        <f t="shared" si="11"/>
        <v>-</v>
      </c>
    </row>
    <row r="85" spans="1:41" s="233" customFormat="1" ht="27.75" hidden="1" customHeight="1" x14ac:dyDescent="0.75">
      <c r="A85" s="77" t="s">
        <v>87</v>
      </c>
      <c r="B85" s="78" t="s">
        <v>106</v>
      </c>
      <c r="C85" s="79">
        <v>73071</v>
      </c>
      <c r="D85" s="80" t="s">
        <v>107</v>
      </c>
      <c r="E85" s="329">
        <f>E212</f>
        <v>0</v>
      </c>
      <c r="F85" s="296">
        <f>H85+P85+X85+AF85</f>
        <v>0</v>
      </c>
      <c r="G85" s="330" t="str">
        <f t="shared" si="46"/>
        <v>-</v>
      </c>
      <c r="H85" s="296">
        <f>SUM(I85:K85)</f>
        <v>0</v>
      </c>
      <c r="I85" s="297">
        <f>I212</f>
        <v>0</v>
      </c>
      <c r="J85" s="297">
        <f>J212</f>
        <v>0</v>
      </c>
      <c r="K85" s="298">
        <f>K212</f>
        <v>0</v>
      </c>
      <c r="L85" s="296">
        <f>SUM(M85:O85)</f>
        <v>0</v>
      </c>
      <c r="M85" s="297">
        <f>M212</f>
        <v>0</v>
      </c>
      <c r="N85" s="297">
        <f>N212</f>
        <v>0</v>
      </c>
      <c r="O85" s="298">
        <f>O212</f>
        <v>0</v>
      </c>
      <c r="P85" s="296">
        <f>SUM(Q85:S85)</f>
        <v>0</v>
      </c>
      <c r="Q85" s="297">
        <f>Q212</f>
        <v>0</v>
      </c>
      <c r="R85" s="297">
        <f>R212</f>
        <v>0</v>
      </c>
      <c r="S85" s="298">
        <f>S212</f>
        <v>0</v>
      </c>
      <c r="T85" s="296">
        <f>SUM(U85:W85)</f>
        <v>0</v>
      </c>
      <c r="U85" s="297">
        <f>U212</f>
        <v>0</v>
      </c>
      <c r="V85" s="297">
        <f>V212</f>
        <v>0</v>
      </c>
      <c r="W85" s="298">
        <f>W212</f>
        <v>0</v>
      </c>
      <c r="X85" s="296">
        <f>SUM(Y85:AA85)</f>
        <v>0</v>
      </c>
      <c r="Y85" s="297">
        <f>Y212</f>
        <v>0</v>
      </c>
      <c r="Z85" s="297">
        <f>Z212</f>
        <v>0</v>
      </c>
      <c r="AA85" s="298">
        <f>AA212</f>
        <v>0</v>
      </c>
      <c r="AB85" s="296">
        <f>SUM(AC85:AE85)</f>
        <v>0</v>
      </c>
      <c r="AC85" s="297">
        <f>AC212</f>
        <v>0</v>
      </c>
      <c r="AD85" s="297">
        <f>AD212</f>
        <v>0</v>
      </c>
      <c r="AE85" s="298">
        <f>AE212</f>
        <v>0</v>
      </c>
      <c r="AF85" s="296">
        <f>SUM(AG85:AI85)</f>
        <v>0</v>
      </c>
      <c r="AG85" s="297">
        <f>AG212</f>
        <v>0</v>
      </c>
      <c r="AH85" s="297">
        <f>AH212</f>
        <v>0</v>
      </c>
      <c r="AI85" s="298">
        <f>AI212</f>
        <v>0</v>
      </c>
      <c r="AJ85" s="292">
        <f>SUM(AK85:AM85)</f>
        <v>0</v>
      </c>
      <c r="AK85" s="294">
        <f>AK212</f>
        <v>0</v>
      </c>
      <c r="AL85" s="294">
        <f>AL212</f>
        <v>0</v>
      </c>
      <c r="AM85" s="295">
        <f>AM212</f>
        <v>0</v>
      </c>
      <c r="AN85" s="299"/>
      <c r="AO85" s="231" t="str">
        <f t="shared" si="11"/>
        <v>-</v>
      </c>
    </row>
    <row r="86" spans="1:41" s="88" customFormat="1" ht="27.75" hidden="1" customHeight="1" x14ac:dyDescent="0.75">
      <c r="A86" s="129" t="s">
        <v>87</v>
      </c>
      <c r="B86" s="130" t="s">
        <v>106</v>
      </c>
      <c r="C86" s="333">
        <v>73072</v>
      </c>
      <c r="D86" s="334" t="s">
        <v>108</v>
      </c>
      <c r="E86" s="335">
        <f>E208+E213</f>
        <v>0</v>
      </c>
      <c r="F86" s="306">
        <f>H86+P86+X86+AF86</f>
        <v>0</v>
      </c>
      <c r="G86" s="336" t="str">
        <f t="shared" si="46"/>
        <v>-</v>
      </c>
      <c r="H86" s="306">
        <f>SUM(I86:K86)</f>
        <v>0</v>
      </c>
      <c r="I86" s="307">
        <f>I208+I213</f>
        <v>0</v>
      </c>
      <c r="J86" s="307">
        <f>J208+J213</f>
        <v>0</v>
      </c>
      <c r="K86" s="308">
        <f>K208+K213</f>
        <v>0</v>
      </c>
      <c r="L86" s="306">
        <f>SUM(M86:O86)</f>
        <v>0</v>
      </c>
      <c r="M86" s="307">
        <f>M208+M213</f>
        <v>0</v>
      </c>
      <c r="N86" s="307">
        <f>N208+N213</f>
        <v>0</v>
      </c>
      <c r="O86" s="308">
        <f>O208+O213</f>
        <v>0</v>
      </c>
      <c r="P86" s="306">
        <f>SUM(Q86:S86)</f>
        <v>0</v>
      </c>
      <c r="Q86" s="307">
        <f>Q208+Q213</f>
        <v>0</v>
      </c>
      <c r="R86" s="307">
        <f>R208+R213</f>
        <v>0</v>
      </c>
      <c r="S86" s="308">
        <f>S208+S213</f>
        <v>0</v>
      </c>
      <c r="T86" s="306">
        <f>SUM(U86:W86)</f>
        <v>0</v>
      </c>
      <c r="U86" s="307">
        <f>U208+U213</f>
        <v>0</v>
      </c>
      <c r="V86" s="307">
        <f>V208+V213</f>
        <v>0</v>
      </c>
      <c r="W86" s="308">
        <f>W208+W213</f>
        <v>0</v>
      </c>
      <c r="X86" s="306">
        <f>SUM(Y86:AA86)</f>
        <v>0</v>
      </c>
      <c r="Y86" s="307">
        <f>Y208+Y213</f>
        <v>0</v>
      </c>
      <c r="Z86" s="307">
        <f>Z208+Z213</f>
        <v>0</v>
      </c>
      <c r="AA86" s="308">
        <f>AA208+AA213</f>
        <v>0</v>
      </c>
      <c r="AB86" s="306">
        <f>SUM(AC86:AE86)</f>
        <v>0</v>
      </c>
      <c r="AC86" s="307">
        <f>AC208+AC213</f>
        <v>0</v>
      </c>
      <c r="AD86" s="307">
        <f>AD208+AD213</f>
        <v>0</v>
      </c>
      <c r="AE86" s="308">
        <f>AE208+AE213</f>
        <v>0</v>
      </c>
      <c r="AF86" s="306">
        <f>SUM(AG86:AI86)</f>
        <v>0</v>
      </c>
      <c r="AG86" s="307">
        <f>AG208+AG213</f>
        <v>0</v>
      </c>
      <c r="AH86" s="307">
        <f>AH208+AH213</f>
        <v>0</v>
      </c>
      <c r="AI86" s="308">
        <f>AI208+AI213</f>
        <v>0</v>
      </c>
      <c r="AJ86" s="309">
        <f>SUM(AK86:AM86)</f>
        <v>0</v>
      </c>
      <c r="AK86" s="310">
        <f>AK208+AK213</f>
        <v>0</v>
      </c>
      <c r="AL86" s="310">
        <f>AL208+AL213</f>
        <v>0</v>
      </c>
      <c r="AM86" s="311">
        <f>AM208+AM213</f>
        <v>0</v>
      </c>
      <c r="AN86" s="337"/>
      <c r="AO86" s="87" t="str">
        <f t="shared" si="11"/>
        <v>-</v>
      </c>
    </row>
    <row r="87" spans="1:41" s="88" customFormat="1" ht="27.75" hidden="1" customHeight="1" x14ac:dyDescent="0.75">
      <c r="A87" s="338"/>
      <c r="B87" s="339"/>
      <c r="C87" s="340"/>
      <c r="D87" s="341" t="s">
        <v>127</v>
      </c>
      <c r="E87" s="342">
        <f>SUM(E88:E91)</f>
        <v>0</v>
      </c>
      <c r="F87" s="322">
        <f>SUM(F88:F91)</f>
        <v>0</v>
      </c>
      <c r="G87" s="343" t="str">
        <f t="shared" si="46"/>
        <v>-</v>
      </c>
      <c r="H87" s="322">
        <f t="shared" ref="H87:AM87" si="47">SUM(H88:H91)</f>
        <v>0</v>
      </c>
      <c r="I87" s="323">
        <f t="shared" si="47"/>
        <v>0</v>
      </c>
      <c r="J87" s="323">
        <f t="shared" si="47"/>
        <v>0</v>
      </c>
      <c r="K87" s="324">
        <f t="shared" si="47"/>
        <v>0</v>
      </c>
      <c r="L87" s="322">
        <f t="shared" si="47"/>
        <v>0</v>
      </c>
      <c r="M87" s="323">
        <f t="shared" si="47"/>
        <v>0</v>
      </c>
      <c r="N87" s="323">
        <f t="shared" si="47"/>
        <v>0</v>
      </c>
      <c r="O87" s="324">
        <f t="shared" si="47"/>
        <v>0</v>
      </c>
      <c r="P87" s="322">
        <f t="shared" si="47"/>
        <v>0</v>
      </c>
      <c r="Q87" s="323">
        <f t="shared" si="47"/>
        <v>0</v>
      </c>
      <c r="R87" s="323">
        <f t="shared" si="47"/>
        <v>0</v>
      </c>
      <c r="S87" s="324">
        <f t="shared" si="47"/>
        <v>0</v>
      </c>
      <c r="T87" s="322">
        <f t="shared" si="47"/>
        <v>0</v>
      </c>
      <c r="U87" s="323">
        <f t="shared" si="47"/>
        <v>0</v>
      </c>
      <c r="V87" s="323">
        <f t="shared" si="47"/>
        <v>0</v>
      </c>
      <c r="W87" s="324">
        <f t="shared" si="47"/>
        <v>0</v>
      </c>
      <c r="X87" s="322">
        <f t="shared" si="47"/>
        <v>0</v>
      </c>
      <c r="Y87" s="323">
        <f t="shared" si="47"/>
        <v>0</v>
      </c>
      <c r="Z87" s="323">
        <f t="shared" si="47"/>
        <v>0</v>
      </c>
      <c r="AA87" s="324">
        <f t="shared" si="47"/>
        <v>0</v>
      </c>
      <c r="AB87" s="322">
        <f t="shared" si="47"/>
        <v>0</v>
      </c>
      <c r="AC87" s="323">
        <f t="shared" si="47"/>
        <v>0</v>
      </c>
      <c r="AD87" s="323">
        <f t="shared" si="47"/>
        <v>0</v>
      </c>
      <c r="AE87" s="324">
        <f t="shared" si="47"/>
        <v>0</v>
      </c>
      <c r="AF87" s="322">
        <f t="shared" si="47"/>
        <v>0</v>
      </c>
      <c r="AG87" s="323">
        <f t="shared" si="47"/>
        <v>0</v>
      </c>
      <c r="AH87" s="323">
        <f t="shared" si="47"/>
        <v>0</v>
      </c>
      <c r="AI87" s="324">
        <f t="shared" si="47"/>
        <v>0</v>
      </c>
      <c r="AJ87" s="325">
        <f t="shared" si="47"/>
        <v>0</v>
      </c>
      <c r="AK87" s="326">
        <f t="shared" si="47"/>
        <v>0</v>
      </c>
      <c r="AL87" s="326">
        <f t="shared" si="47"/>
        <v>0</v>
      </c>
      <c r="AM87" s="327">
        <f t="shared" si="47"/>
        <v>0</v>
      </c>
      <c r="AN87" s="344"/>
      <c r="AO87" s="87" t="str">
        <f t="shared" si="11"/>
        <v>-</v>
      </c>
    </row>
    <row r="88" spans="1:41" s="88" customFormat="1" ht="27.75" hidden="1" customHeight="1" x14ac:dyDescent="0.75">
      <c r="A88" s="77" t="s">
        <v>87</v>
      </c>
      <c r="B88" s="78" t="s">
        <v>65</v>
      </c>
      <c r="C88" s="79">
        <v>73023</v>
      </c>
      <c r="D88" s="80" t="s">
        <v>83</v>
      </c>
      <c r="E88" s="329">
        <f>'[5]01.BMC'!E83</f>
        <v>0</v>
      </c>
      <c r="F88" s="296">
        <f t="shared" ref="F88:F89" si="48">H88+P88+X88+AF88</f>
        <v>0</v>
      </c>
      <c r="G88" s="330" t="str">
        <f>IFERROR(F88/E88, "-")</f>
        <v>-</v>
      </c>
      <c r="H88" s="296">
        <f>SUM(I88:K88)</f>
        <v>0</v>
      </c>
      <c r="I88" s="297">
        <f>'[5]01.BMC'!I83</f>
        <v>0</v>
      </c>
      <c r="J88" s="297">
        <f>'[5]01.BMC'!J83</f>
        <v>0</v>
      </c>
      <c r="K88" s="298">
        <f>'[5]01.BMC'!K83</f>
        <v>0</v>
      </c>
      <c r="L88" s="296">
        <f>SUM(M88:O88)</f>
        <v>0</v>
      </c>
      <c r="M88" s="297">
        <f>'[5]01.BMC'!M83</f>
        <v>0</v>
      </c>
      <c r="N88" s="297">
        <f>'[5]01.BMC'!N83</f>
        <v>0</v>
      </c>
      <c r="O88" s="298">
        <f>'[5]01.BMC'!O83</f>
        <v>0</v>
      </c>
      <c r="P88" s="296">
        <f>SUM(Q88:S88)</f>
        <v>0</v>
      </c>
      <c r="Q88" s="297">
        <f>'[5]01.BMC'!Q83</f>
        <v>0</v>
      </c>
      <c r="R88" s="297">
        <f>'[5]01.BMC'!R83</f>
        <v>0</v>
      </c>
      <c r="S88" s="298">
        <f>'[5]01.BMC'!S83</f>
        <v>0</v>
      </c>
      <c r="T88" s="296">
        <f>SUM(U88:W88)</f>
        <v>0</v>
      </c>
      <c r="U88" s="297">
        <f>'[5]01.BMC'!U83</f>
        <v>0</v>
      </c>
      <c r="V88" s="297">
        <f>'[5]01.BMC'!V83</f>
        <v>0</v>
      </c>
      <c r="W88" s="298">
        <f>'[5]01.BMC'!W83</f>
        <v>0</v>
      </c>
      <c r="X88" s="296">
        <f>SUM(Y88:AA88)</f>
        <v>0</v>
      </c>
      <c r="Y88" s="297">
        <f>'[5]01.BMC'!Y83</f>
        <v>0</v>
      </c>
      <c r="Z88" s="297">
        <f>'[5]01.BMC'!Z83</f>
        <v>0</v>
      </c>
      <c r="AA88" s="298">
        <f>'[5]01.BMC'!AA83</f>
        <v>0</v>
      </c>
      <c r="AB88" s="296">
        <f>SUM(AC88:AE88)</f>
        <v>0</v>
      </c>
      <c r="AC88" s="297"/>
      <c r="AD88" s="297"/>
      <c r="AE88" s="298"/>
      <c r="AF88" s="296">
        <f>SUM(AG88:AI88)</f>
        <v>0</v>
      </c>
      <c r="AG88" s="297">
        <f>'[5]01.BMC'!AG83</f>
        <v>0</v>
      </c>
      <c r="AH88" s="297">
        <f>'[5]01.BMC'!AH83</f>
        <v>0</v>
      </c>
      <c r="AI88" s="298">
        <f>'[5]01.BMC'!AI83</f>
        <v>0</v>
      </c>
      <c r="AJ88" s="292">
        <f>SUM(AK88:AM88)</f>
        <v>0</v>
      </c>
      <c r="AK88" s="294"/>
      <c r="AL88" s="294"/>
      <c r="AM88" s="295"/>
      <c r="AN88" s="299"/>
      <c r="AO88" s="87" t="str">
        <f t="shared" si="11"/>
        <v>-</v>
      </c>
    </row>
    <row r="89" spans="1:41" s="88" customFormat="1" ht="27.75" hidden="1" customHeight="1" x14ac:dyDescent="0.75">
      <c r="A89" s="91" t="s">
        <v>87</v>
      </c>
      <c r="B89" s="92" t="s">
        <v>69</v>
      </c>
      <c r="C89" s="93">
        <v>73066</v>
      </c>
      <c r="D89" s="94" t="s">
        <v>70</v>
      </c>
      <c r="E89" s="331">
        <f>'[5]01.BMC'!E84</f>
        <v>0</v>
      </c>
      <c r="F89" s="287">
        <f t="shared" si="48"/>
        <v>0</v>
      </c>
      <c r="G89" s="332" t="str">
        <f t="shared" ref="G89:G92" si="49">IFERROR(F89/E89, "-")</f>
        <v>-</v>
      </c>
      <c r="H89" s="287">
        <f>SUM(I89:K89)</f>
        <v>0</v>
      </c>
      <c r="I89" s="288">
        <f>'[5]01.BMC'!I84</f>
        <v>0</v>
      </c>
      <c r="J89" s="288">
        <f>'[5]01.BMC'!J84</f>
        <v>0</v>
      </c>
      <c r="K89" s="289">
        <f>'[5]01.BMC'!K84</f>
        <v>0</v>
      </c>
      <c r="L89" s="287">
        <f>SUM(M89:O89)</f>
        <v>0</v>
      </c>
      <c r="M89" s="288">
        <f>'[5]01.BMC'!M84</f>
        <v>0</v>
      </c>
      <c r="N89" s="288">
        <f>'[5]01.BMC'!N84</f>
        <v>0</v>
      </c>
      <c r="O89" s="289">
        <f>'[5]01.BMC'!O84</f>
        <v>0</v>
      </c>
      <c r="P89" s="287">
        <f>SUM(Q89:S89)</f>
        <v>0</v>
      </c>
      <c r="Q89" s="288">
        <f>'[5]01.BMC'!Q84</f>
        <v>0</v>
      </c>
      <c r="R89" s="288">
        <f>'[5]01.BMC'!R84</f>
        <v>0</v>
      </c>
      <c r="S89" s="289">
        <f>'[5]01.BMC'!S84</f>
        <v>0</v>
      </c>
      <c r="T89" s="287">
        <f>SUM(U89:W89)</f>
        <v>0</v>
      </c>
      <c r="U89" s="288">
        <f>'[5]01.BMC'!U84</f>
        <v>0</v>
      </c>
      <c r="V89" s="288">
        <f>'[5]01.BMC'!V84</f>
        <v>0</v>
      </c>
      <c r="W89" s="289">
        <f>'[5]01.BMC'!W84</f>
        <v>0</v>
      </c>
      <c r="X89" s="287">
        <f>SUM(Y89:AA89)</f>
        <v>0</v>
      </c>
      <c r="Y89" s="288">
        <f>'[5]01.BMC'!Y84</f>
        <v>0</v>
      </c>
      <c r="Z89" s="288">
        <f>'[5]01.BMC'!Z84</f>
        <v>0</v>
      </c>
      <c r="AA89" s="289">
        <f>'[5]01.BMC'!AA84</f>
        <v>0</v>
      </c>
      <c r="AB89" s="287">
        <f>SUM(AC89:AE89)</f>
        <v>0</v>
      </c>
      <c r="AC89" s="288"/>
      <c r="AD89" s="288"/>
      <c r="AE89" s="289"/>
      <c r="AF89" s="287">
        <f>SUM(AG89:AI89)</f>
        <v>0</v>
      </c>
      <c r="AG89" s="288">
        <f>'[5]01.BMC'!AG84</f>
        <v>0</v>
      </c>
      <c r="AH89" s="288">
        <f>'[5]01.BMC'!AH84</f>
        <v>0</v>
      </c>
      <c r="AI89" s="289">
        <f>'[5]01.BMC'!AI84</f>
        <v>0</v>
      </c>
      <c r="AJ89" s="283">
        <f>SUM(AK89:AM89)</f>
        <v>0</v>
      </c>
      <c r="AK89" s="285"/>
      <c r="AL89" s="285"/>
      <c r="AM89" s="286"/>
      <c r="AN89" s="290"/>
      <c r="AO89" s="87" t="str">
        <f t="shared" si="11"/>
        <v>-</v>
      </c>
    </row>
    <row r="90" spans="1:41" s="233" customFormat="1" ht="27.75" hidden="1" customHeight="1" x14ac:dyDescent="0.75">
      <c r="A90" s="77" t="s">
        <v>87</v>
      </c>
      <c r="B90" s="78" t="s">
        <v>106</v>
      </c>
      <c r="C90" s="79">
        <v>73071</v>
      </c>
      <c r="D90" s="80" t="s">
        <v>107</v>
      </c>
      <c r="E90" s="329">
        <f>E217</f>
        <v>0</v>
      </c>
      <c r="F90" s="296">
        <f>H90+P90+X90+AF90</f>
        <v>0</v>
      </c>
      <c r="G90" s="330" t="str">
        <f t="shared" si="49"/>
        <v>-</v>
      </c>
      <c r="H90" s="296">
        <f>SUM(I90:K90)</f>
        <v>0</v>
      </c>
      <c r="I90" s="297">
        <f>I217</f>
        <v>0</v>
      </c>
      <c r="J90" s="297">
        <f>J217</f>
        <v>0</v>
      </c>
      <c r="K90" s="298">
        <f>K217</f>
        <v>0</v>
      </c>
      <c r="L90" s="296">
        <f>SUM(M90:O90)</f>
        <v>0</v>
      </c>
      <c r="M90" s="297">
        <f>M217</f>
        <v>0</v>
      </c>
      <c r="N90" s="297">
        <f>N217</f>
        <v>0</v>
      </c>
      <c r="O90" s="298">
        <f>O217</f>
        <v>0</v>
      </c>
      <c r="P90" s="296">
        <f>SUM(Q90:S90)</f>
        <v>0</v>
      </c>
      <c r="Q90" s="297">
        <f>Q217</f>
        <v>0</v>
      </c>
      <c r="R90" s="297">
        <f>R217</f>
        <v>0</v>
      </c>
      <c r="S90" s="298">
        <f>S217</f>
        <v>0</v>
      </c>
      <c r="T90" s="296">
        <f>SUM(U90:W90)</f>
        <v>0</v>
      </c>
      <c r="U90" s="297">
        <f>U217</f>
        <v>0</v>
      </c>
      <c r="V90" s="297">
        <f>V217</f>
        <v>0</v>
      </c>
      <c r="W90" s="298">
        <f>W217</f>
        <v>0</v>
      </c>
      <c r="X90" s="296">
        <f>SUM(Y90:AA90)</f>
        <v>0</v>
      </c>
      <c r="Y90" s="297">
        <f>Y217</f>
        <v>0</v>
      </c>
      <c r="Z90" s="297">
        <f>Z217</f>
        <v>0</v>
      </c>
      <c r="AA90" s="298">
        <f>AA217</f>
        <v>0</v>
      </c>
      <c r="AB90" s="296">
        <f>SUM(AC90:AE90)</f>
        <v>0</v>
      </c>
      <c r="AC90" s="297">
        <f>AC217</f>
        <v>0</v>
      </c>
      <c r="AD90" s="297">
        <f>AD217</f>
        <v>0</v>
      </c>
      <c r="AE90" s="298">
        <f>AE217</f>
        <v>0</v>
      </c>
      <c r="AF90" s="296">
        <f>SUM(AG90:AI90)</f>
        <v>0</v>
      </c>
      <c r="AG90" s="297">
        <f>AG217</f>
        <v>0</v>
      </c>
      <c r="AH90" s="297">
        <f>AH217</f>
        <v>0</v>
      </c>
      <c r="AI90" s="298">
        <f>AI217</f>
        <v>0</v>
      </c>
      <c r="AJ90" s="292">
        <f>SUM(AK90:AM90)</f>
        <v>0</v>
      </c>
      <c r="AK90" s="294">
        <f>AK217</f>
        <v>0</v>
      </c>
      <c r="AL90" s="294">
        <f>AL217</f>
        <v>0</v>
      </c>
      <c r="AM90" s="295">
        <f>AM217</f>
        <v>0</v>
      </c>
      <c r="AN90" s="299"/>
      <c r="AO90" s="231" t="str">
        <f t="shared" si="11"/>
        <v>-</v>
      </c>
    </row>
    <row r="91" spans="1:41" s="88" customFormat="1" ht="27.75" hidden="1" customHeight="1" x14ac:dyDescent="0.75">
      <c r="A91" s="129" t="s">
        <v>87</v>
      </c>
      <c r="B91" s="130" t="s">
        <v>106</v>
      </c>
      <c r="C91" s="333">
        <v>73072</v>
      </c>
      <c r="D91" s="334" t="s">
        <v>108</v>
      </c>
      <c r="E91" s="335">
        <f>E213+E218</f>
        <v>0</v>
      </c>
      <c r="F91" s="306">
        <f>H91+P91+X91+AF91</f>
        <v>0</v>
      </c>
      <c r="G91" s="336" t="str">
        <f t="shared" si="49"/>
        <v>-</v>
      </c>
      <c r="H91" s="306">
        <f>SUM(I91:K91)</f>
        <v>0</v>
      </c>
      <c r="I91" s="307">
        <f>I213+I218</f>
        <v>0</v>
      </c>
      <c r="J91" s="307">
        <f>J213+J218</f>
        <v>0</v>
      </c>
      <c r="K91" s="308">
        <f>K213+K218</f>
        <v>0</v>
      </c>
      <c r="L91" s="306">
        <f>SUM(M91:O91)</f>
        <v>0</v>
      </c>
      <c r="M91" s="307">
        <f>M213+M218</f>
        <v>0</v>
      </c>
      <c r="N91" s="307">
        <f>N213+N218</f>
        <v>0</v>
      </c>
      <c r="O91" s="308">
        <f>O213+O218</f>
        <v>0</v>
      </c>
      <c r="P91" s="306">
        <f>SUM(Q91:S91)</f>
        <v>0</v>
      </c>
      <c r="Q91" s="307">
        <f>Q213+Q218</f>
        <v>0</v>
      </c>
      <c r="R91" s="307">
        <f>R213+R218</f>
        <v>0</v>
      </c>
      <c r="S91" s="308">
        <f>S213+S218</f>
        <v>0</v>
      </c>
      <c r="T91" s="306">
        <f>SUM(U91:W91)</f>
        <v>0</v>
      </c>
      <c r="U91" s="307">
        <f>U213+U218</f>
        <v>0</v>
      </c>
      <c r="V91" s="307">
        <f>V213+V218</f>
        <v>0</v>
      </c>
      <c r="W91" s="308">
        <f>W213+W218</f>
        <v>0</v>
      </c>
      <c r="X91" s="306">
        <f>SUM(Y91:AA91)</f>
        <v>0</v>
      </c>
      <c r="Y91" s="307">
        <f>Y213+Y218</f>
        <v>0</v>
      </c>
      <c r="Z91" s="307">
        <f>Z213+Z218</f>
        <v>0</v>
      </c>
      <c r="AA91" s="308">
        <f>AA213+AA218</f>
        <v>0</v>
      </c>
      <c r="AB91" s="306">
        <f>SUM(AC91:AE91)</f>
        <v>0</v>
      </c>
      <c r="AC91" s="307">
        <f>AC213+AC218</f>
        <v>0</v>
      </c>
      <c r="AD91" s="307">
        <f>AD213+AD218</f>
        <v>0</v>
      </c>
      <c r="AE91" s="308">
        <f>AE213+AE218</f>
        <v>0</v>
      </c>
      <c r="AF91" s="306">
        <f>SUM(AG91:AI91)</f>
        <v>0</v>
      </c>
      <c r="AG91" s="307">
        <f>AG213+AG218</f>
        <v>0</v>
      </c>
      <c r="AH91" s="307">
        <f>AH213+AH218</f>
        <v>0</v>
      </c>
      <c r="AI91" s="308">
        <f>AI213+AI218</f>
        <v>0</v>
      </c>
      <c r="AJ91" s="309">
        <f>SUM(AK91:AM91)</f>
        <v>0</v>
      </c>
      <c r="AK91" s="310">
        <f>AK213+AK218</f>
        <v>0</v>
      </c>
      <c r="AL91" s="310">
        <f>AL213+AL218</f>
        <v>0</v>
      </c>
      <c r="AM91" s="311">
        <f>AM213+AM218</f>
        <v>0</v>
      </c>
      <c r="AN91" s="337"/>
      <c r="AO91" s="87" t="str">
        <f t="shared" ref="AO91:AO141" si="50">IF(SUM(E91:F91)&lt;&gt;0, "OK", "-")</f>
        <v>-</v>
      </c>
    </row>
    <row r="92" spans="1:41" s="88" customFormat="1" ht="27.75" hidden="1" customHeight="1" x14ac:dyDescent="0.75">
      <c r="A92" s="338"/>
      <c r="B92" s="339"/>
      <c r="C92" s="340"/>
      <c r="D92" s="341" t="s">
        <v>128</v>
      </c>
      <c r="E92" s="342">
        <f>SUM(E93:E96)</f>
        <v>0</v>
      </c>
      <c r="F92" s="322">
        <f>SUM(F93:F96)</f>
        <v>0</v>
      </c>
      <c r="G92" s="343" t="str">
        <f t="shared" si="49"/>
        <v>-</v>
      </c>
      <c r="H92" s="322">
        <f t="shared" ref="H92:AM92" si="51">SUM(H93:H96)</f>
        <v>0</v>
      </c>
      <c r="I92" s="323">
        <f t="shared" si="51"/>
        <v>0</v>
      </c>
      <c r="J92" s="323">
        <f t="shared" si="51"/>
        <v>0</v>
      </c>
      <c r="K92" s="324">
        <f t="shared" si="51"/>
        <v>0</v>
      </c>
      <c r="L92" s="322">
        <f t="shared" si="51"/>
        <v>0</v>
      </c>
      <c r="M92" s="323">
        <f t="shared" si="51"/>
        <v>0</v>
      </c>
      <c r="N92" s="323">
        <f t="shared" si="51"/>
        <v>0</v>
      </c>
      <c r="O92" s="324">
        <f t="shared" si="51"/>
        <v>0</v>
      </c>
      <c r="P92" s="322">
        <f t="shared" si="51"/>
        <v>0</v>
      </c>
      <c r="Q92" s="323">
        <f t="shared" si="51"/>
        <v>0</v>
      </c>
      <c r="R92" s="323">
        <f t="shared" si="51"/>
        <v>0</v>
      </c>
      <c r="S92" s="324">
        <f t="shared" si="51"/>
        <v>0</v>
      </c>
      <c r="T92" s="322">
        <f t="shared" si="51"/>
        <v>0</v>
      </c>
      <c r="U92" s="323">
        <f t="shared" si="51"/>
        <v>0</v>
      </c>
      <c r="V92" s="323">
        <f t="shared" si="51"/>
        <v>0</v>
      </c>
      <c r="W92" s="324">
        <f t="shared" si="51"/>
        <v>0</v>
      </c>
      <c r="X92" s="322">
        <f t="shared" si="51"/>
        <v>0</v>
      </c>
      <c r="Y92" s="323">
        <f t="shared" si="51"/>
        <v>0</v>
      </c>
      <c r="Z92" s="323">
        <f t="shared" si="51"/>
        <v>0</v>
      </c>
      <c r="AA92" s="324">
        <f t="shared" si="51"/>
        <v>0</v>
      </c>
      <c r="AB92" s="322">
        <f t="shared" si="51"/>
        <v>0</v>
      </c>
      <c r="AC92" s="323">
        <f t="shared" si="51"/>
        <v>0</v>
      </c>
      <c r="AD92" s="323">
        <f t="shared" si="51"/>
        <v>0</v>
      </c>
      <c r="AE92" s="324">
        <f t="shared" si="51"/>
        <v>0</v>
      </c>
      <c r="AF92" s="322">
        <f t="shared" si="51"/>
        <v>0</v>
      </c>
      <c r="AG92" s="323">
        <f t="shared" si="51"/>
        <v>0</v>
      </c>
      <c r="AH92" s="323">
        <f t="shared" si="51"/>
        <v>0</v>
      </c>
      <c r="AI92" s="324">
        <f t="shared" si="51"/>
        <v>0</v>
      </c>
      <c r="AJ92" s="325">
        <f t="shared" si="51"/>
        <v>0</v>
      </c>
      <c r="AK92" s="326">
        <f t="shared" si="51"/>
        <v>0</v>
      </c>
      <c r="AL92" s="326">
        <f t="shared" si="51"/>
        <v>0</v>
      </c>
      <c r="AM92" s="327">
        <f t="shared" si="51"/>
        <v>0</v>
      </c>
      <c r="AN92" s="344"/>
      <c r="AO92" s="87" t="str">
        <f t="shared" si="50"/>
        <v>-</v>
      </c>
    </row>
    <row r="93" spans="1:41" s="88" customFormat="1" ht="27.75" hidden="1" customHeight="1" x14ac:dyDescent="0.75">
      <c r="A93" s="77" t="s">
        <v>87</v>
      </c>
      <c r="B93" s="78" t="s">
        <v>65</v>
      </c>
      <c r="C93" s="79">
        <v>73023</v>
      </c>
      <c r="D93" s="80" t="s">
        <v>83</v>
      </c>
      <c r="E93" s="329">
        <f>'[5]01.BMC'!E88</f>
        <v>0</v>
      </c>
      <c r="F93" s="296">
        <f t="shared" ref="F93:F94" si="52">H93+P93+X93+AF93</f>
        <v>0</v>
      </c>
      <c r="G93" s="330" t="str">
        <f>IFERROR(F93/E93, "-")</f>
        <v>-</v>
      </c>
      <c r="H93" s="296">
        <f>SUM(I93:K93)</f>
        <v>0</v>
      </c>
      <c r="I93" s="297">
        <f>'[5]01.BMC'!I88</f>
        <v>0</v>
      </c>
      <c r="J93" s="297">
        <f>'[5]01.BMC'!J88</f>
        <v>0</v>
      </c>
      <c r="K93" s="298">
        <f>'[5]01.BMC'!K88</f>
        <v>0</v>
      </c>
      <c r="L93" s="296">
        <f>SUM(M93:O93)</f>
        <v>0</v>
      </c>
      <c r="M93" s="297">
        <f>'[5]01.BMC'!M88</f>
        <v>0</v>
      </c>
      <c r="N93" s="297">
        <f>'[5]01.BMC'!N88</f>
        <v>0</v>
      </c>
      <c r="O93" s="298">
        <f>'[5]01.BMC'!O88</f>
        <v>0</v>
      </c>
      <c r="P93" s="296">
        <f>SUM(Q93:S93)</f>
        <v>0</v>
      </c>
      <c r="Q93" s="297">
        <f>'[5]01.BMC'!Q88</f>
        <v>0</v>
      </c>
      <c r="R93" s="297">
        <f>'[5]01.BMC'!R88</f>
        <v>0</v>
      </c>
      <c r="S93" s="298">
        <f>'[5]01.BMC'!S88</f>
        <v>0</v>
      </c>
      <c r="T93" s="296">
        <f>SUM(U93:W93)</f>
        <v>0</v>
      </c>
      <c r="U93" s="297">
        <f>'[5]01.BMC'!U88</f>
        <v>0</v>
      </c>
      <c r="V93" s="297">
        <f>'[5]01.BMC'!V88</f>
        <v>0</v>
      </c>
      <c r="W93" s="298">
        <f>'[5]01.BMC'!W88</f>
        <v>0</v>
      </c>
      <c r="X93" s="296">
        <f>SUM(Y93:AA93)</f>
        <v>0</v>
      </c>
      <c r="Y93" s="297">
        <f>'[5]01.BMC'!Y88</f>
        <v>0</v>
      </c>
      <c r="Z93" s="297">
        <f>'[5]01.BMC'!Z88</f>
        <v>0</v>
      </c>
      <c r="AA93" s="298">
        <f>'[5]01.BMC'!AA88</f>
        <v>0</v>
      </c>
      <c r="AB93" s="296">
        <f>SUM(AC93:AE93)</f>
        <v>0</v>
      </c>
      <c r="AC93" s="297"/>
      <c r="AD93" s="297"/>
      <c r="AE93" s="298"/>
      <c r="AF93" s="296">
        <f>SUM(AG93:AI93)</f>
        <v>0</v>
      </c>
      <c r="AG93" s="297">
        <f>'[5]01.BMC'!AG88</f>
        <v>0</v>
      </c>
      <c r="AH93" s="297">
        <f>'[5]01.BMC'!AH88</f>
        <v>0</v>
      </c>
      <c r="AI93" s="298">
        <f>'[5]01.BMC'!AI88</f>
        <v>0</v>
      </c>
      <c r="AJ93" s="292">
        <f>SUM(AK93:AM93)</f>
        <v>0</v>
      </c>
      <c r="AK93" s="294"/>
      <c r="AL93" s="294"/>
      <c r="AM93" s="295"/>
      <c r="AN93" s="299"/>
      <c r="AO93" s="87" t="str">
        <f t="shared" si="50"/>
        <v>-</v>
      </c>
    </row>
    <row r="94" spans="1:41" s="88" customFormat="1" ht="27.75" hidden="1" customHeight="1" x14ac:dyDescent="0.75">
      <c r="A94" s="91" t="s">
        <v>87</v>
      </c>
      <c r="B94" s="92" t="s">
        <v>69</v>
      </c>
      <c r="C94" s="93">
        <v>73066</v>
      </c>
      <c r="D94" s="94" t="s">
        <v>70</v>
      </c>
      <c r="E94" s="331">
        <f>'[5]01.BMC'!E89</f>
        <v>0</v>
      </c>
      <c r="F94" s="287">
        <f t="shared" si="52"/>
        <v>0</v>
      </c>
      <c r="G94" s="332" t="str">
        <f t="shared" ref="G94:G97" si="53">IFERROR(F94/E94, "-")</f>
        <v>-</v>
      </c>
      <c r="H94" s="287">
        <f>SUM(I94:K94)</f>
        <v>0</v>
      </c>
      <c r="I94" s="288">
        <f>'[5]01.BMC'!I89</f>
        <v>0</v>
      </c>
      <c r="J94" s="288">
        <f>'[5]01.BMC'!J89</f>
        <v>0</v>
      </c>
      <c r="K94" s="289">
        <f>'[5]01.BMC'!K89</f>
        <v>0</v>
      </c>
      <c r="L94" s="287">
        <f>SUM(M94:O94)</f>
        <v>0</v>
      </c>
      <c r="M94" s="288">
        <f>'[5]01.BMC'!M89</f>
        <v>0</v>
      </c>
      <c r="N94" s="288">
        <f>'[5]01.BMC'!N89</f>
        <v>0</v>
      </c>
      <c r="O94" s="289">
        <f>'[5]01.BMC'!O89</f>
        <v>0</v>
      </c>
      <c r="P94" s="287">
        <f>SUM(Q94:S94)</f>
        <v>0</v>
      </c>
      <c r="Q94" s="288">
        <f>'[5]01.BMC'!Q89</f>
        <v>0</v>
      </c>
      <c r="R94" s="288">
        <f>'[5]01.BMC'!R89</f>
        <v>0</v>
      </c>
      <c r="S94" s="289">
        <f>'[5]01.BMC'!S89</f>
        <v>0</v>
      </c>
      <c r="T94" s="287">
        <f>SUM(U94:W94)</f>
        <v>0</v>
      </c>
      <c r="U94" s="288">
        <f>'[5]01.BMC'!U89</f>
        <v>0</v>
      </c>
      <c r="V94" s="288">
        <f>'[5]01.BMC'!V89</f>
        <v>0</v>
      </c>
      <c r="W94" s="289">
        <f>'[5]01.BMC'!W89</f>
        <v>0</v>
      </c>
      <c r="X94" s="287">
        <f>SUM(Y94:AA94)</f>
        <v>0</v>
      </c>
      <c r="Y94" s="288">
        <f>'[5]01.BMC'!Y89</f>
        <v>0</v>
      </c>
      <c r="Z94" s="288">
        <f>'[5]01.BMC'!Z89</f>
        <v>0</v>
      </c>
      <c r="AA94" s="289">
        <f>'[5]01.BMC'!AA89</f>
        <v>0</v>
      </c>
      <c r="AB94" s="287">
        <f>SUM(AC94:AE94)</f>
        <v>0</v>
      </c>
      <c r="AC94" s="288"/>
      <c r="AD94" s="288"/>
      <c r="AE94" s="289"/>
      <c r="AF94" s="287">
        <f>SUM(AG94:AI94)</f>
        <v>0</v>
      </c>
      <c r="AG94" s="288">
        <f>'[5]01.BMC'!AG89</f>
        <v>0</v>
      </c>
      <c r="AH94" s="288">
        <f>'[5]01.BMC'!AH89</f>
        <v>0</v>
      </c>
      <c r="AI94" s="289">
        <f>'[5]01.BMC'!AI89</f>
        <v>0</v>
      </c>
      <c r="AJ94" s="283">
        <f>SUM(AK94:AM94)</f>
        <v>0</v>
      </c>
      <c r="AK94" s="285"/>
      <c r="AL94" s="285"/>
      <c r="AM94" s="286"/>
      <c r="AN94" s="290"/>
      <c r="AO94" s="87" t="str">
        <f t="shared" si="50"/>
        <v>-</v>
      </c>
    </row>
    <row r="95" spans="1:41" s="233" customFormat="1" ht="27.75" hidden="1" customHeight="1" x14ac:dyDescent="0.75">
      <c r="A95" s="77" t="s">
        <v>87</v>
      </c>
      <c r="B95" s="78" t="s">
        <v>106</v>
      </c>
      <c r="C95" s="79">
        <v>73071</v>
      </c>
      <c r="D95" s="80" t="s">
        <v>107</v>
      </c>
      <c r="E95" s="329">
        <f>E222</f>
        <v>0</v>
      </c>
      <c r="F95" s="296">
        <f>H95+P95+X95+AF95</f>
        <v>0</v>
      </c>
      <c r="G95" s="330" t="str">
        <f t="shared" si="53"/>
        <v>-</v>
      </c>
      <c r="H95" s="296">
        <f>SUM(I95:K95)</f>
        <v>0</v>
      </c>
      <c r="I95" s="297">
        <f>I222</f>
        <v>0</v>
      </c>
      <c r="J95" s="297">
        <f>J222</f>
        <v>0</v>
      </c>
      <c r="K95" s="298">
        <f>K222</f>
        <v>0</v>
      </c>
      <c r="L95" s="296">
        <f>SUM(M95:O95)</f>
        <v>0</v>
      </c>
      <c r="M95" s="297">
        <f>M222</f>
        <v>0</v>
      </c>
      <c r="N95" s="297">
        <f>N222</f>
        <v>0</v>
      </c>
      <c r="O95" s="298">
        <f>O222</f>
        <v>0</v>
      </c>
      <c r="P95" s="296">
        <f>SUM(Q95:S95)</f>
        <v>0</v>
      </c>
      <c r="Q95" s="297">
        <f>Q222</f>
        <v>0</v>
      </c>
      <c r="R95" s="297">
        <f>R222</f>
        <v>0</v>
      </c>
      <c r="S95" s="298">
        <f>S222</f>
        <v>0</v>
      </c>
      <c r="T95" s="296">
        <f>SUM(U95:W95)</f>
        <v>0</v>
      </c>
      <c r="U95" s="297">
        <f>U222</f>
        <v>0</v>
      </c>
      <c r="V95" s="297">
        <f>V222</f>
        <v>0</v>
      </c>
      <c r="W95" s="298">
        <f>W222</f>
        <v>0</v>
      </c>
      <c r="X95" s="296">
        <f>SUM(Y95:AA95)</f>
        <v>0</v>
      </c>
      <c r="Y95" s="297">
        <f>Y222</f>
        <v>0</v>
      </c>
      <c r="Z95" s="297">
        <f>Z222</f>
        <v>0</v>
      </c>
      <c r="AA95" s="298">
        <f>AA222</f>
        <v>0</v>
      </c>
      <c r="AB95" s="296">
        <f>SUM(AC95:AE95)</f>
        <v>0</v>
      </c>
      <c r="AC95" s="297">
        <f>AC222</f>
        <v>0</v>
      </c>
      <c r="AD95" s="297">
        <f>AD222</f>
        <v>0</v>
      </c>
      <c r="AE95" s="298">
        <f>AE222</f>
        <v>0</v>
      </c>
      <c r="AF95" s="296">
        <f>SUM(AG95:AI95)</f>
        <v>0</v>
      </c>
      <c r="AG95" s="297">
        <f>AG222</f>
        <v>0</v>
      </c>
      <c r="AH95" s="297">
        <f>AH222</f>
        <v>0</v>
      </c>
      <c r="AI95" s="298">
        <f>AI222</f>
        <v>0</v>
      </c>
      <c r="AJ95" s="292">
        <f>SUM(AK95:AM95)</f>
        <v>0</v>
      </c>
      <c r="AK95" s="294">
        <f>AK222</f>
        <v>0</v>
      </c>
      <c r="AL95" s="294">
        <f>AL222</f>
        <v>0</v>
      </c>
      <c r="AM95" s="295">
        <f>AM222</f>
        <v>0</v>
      </c>
      <c r="AN95" s="299"/>
      <c r="AO95" s="231" t="str">
        <f t="shared" si="50"/>
        <v>-</v>
      </c>
    </row>
    <row r="96" spans="1:41" s="88" customFormat="1" ht="27.75" hidden="1" customHeight="1" x14ac:dyDescent="0.75">
      <c r="A96" s="129" t="s">
        <v>87</v>
      </c>
      <c r="B96" s="130" t="s">
        <v>106</v>
      </c>
      <c r="C96" s="333">
        <v>73072</v>
      </c>
      <c r="D96" s="334" t="s">
        <v>108</v>
      </c>
      <c r="E96" s="335">
        <f>E218+E223</f>
        <v>0</v>
      </c>
      <c r="F96" s="306">
        <f>H96+P96+X96+AF96</f>
        <v>0</v>
      </c>
      <c r="G96" s="336" t="str">
        <f t="shared" si="53"/>
        <v>-</v>
      </c>
      <c r="H96" s="306">
        <f>SUM(I96:K96)</f>
        <v>0</v>
      </c>
      <c r="I96" s="307">
        <f>I218+I223</f>
        <v>0</v>
      </c>
      <c r="J96" s="307">
        <f>J218+J223</f>
        <v>0</v>
      </c>
      <c r="K96" s="308">
        <f>K218+K223</f>
        <v>0</v>
      </c>
      <c r="L96" s="306">
        <f>SUM(M96:O96)</f>
        <v>0</v>
      </c>
      <c r="M96" s="307">
        <f>M218+M223</f>
        <v>0</v>
      </c>
      <c r="N96" s="307">
        <f>N218+N223</f>
        <v>0</v>
      </c>
      <c r="O96" s="308">
        <f>O218+O223</f>
        <v>0</v>
      </c>
      <c r="P96" s="306">
        <f>SUM(Q96:S96)</f>
        <v>0</v>
      </c>
      <c r="Q96" s="307">
        <f>Q218+Q223</f>
        <v>0</v>
      </c>
      <c r="R96" s="307">
        <f>R218+R223</f>
        <v>0</v>
      </c>
      <c r="S96" s="308">
        <f>S218+S223</f>
        <v>0</v>
      </c>
      <c r="T96" s="306">
        <f>SUM(U96:W96)</f>
        <v>0</v>
      </c>
      <c r="U96" s="307">
        <f>U218+U223</f>
        <v>0</v>
      </c>
      <c r="V96" s="307">
        <f>V218+V223</f>
        <v>0</v>
      </c>
      <c r="W96" s="308">
        <f>W218+W223</f>
        <v>0</v>
      </c>
      <c r="X96" s="306">
        <f>SUM(Y96:AA96)</f>
        <v>0</v>
      </c>
      <c r="Y96" s="307">
        <f>Y218+Y223</f>
        <v>0</v>
      </c>
      <c r="Z96" s="307">
        <f>Z218+Z223</f>
        <v>0</v>
      </c>
      <c r="AA96" s="308">
        <f>AA218+AA223</f>
        <v>0</v>
      </c>
      <c r="AB96" s="306">
        <f>SUM(AC96:AE96)</f>
        <v>0</v>
      </c>
      <c r="AC96" s="307">
        <f>AC218+AC223</f>
        <v>0</v>
      </c>
      <c r="AD96" s="307">
        <f>AD218+AD223</f>
        <v>0</v>
      </c>
      <c r="AE96" s="308">
        <f>AE218+AE223</f>
        <v>0</v>
      </c>
      <c r="AF96" s="306">
        <f>SUM(AG96:AI96)</f>
        <v>0</v>
      </c>
      <c r="AG96" s="307">
        <f>AG218+AG223</f>
        <v>0</v>
      </c>
      <c r="AH96" s="307">
        <f>AH218+AH223</f>
        <v>0</v>
      </c>
      <c r="AI96" s="308">
        <f>AI218+AI223</f>
        <v>0</v>
      </c>
      <c r="AJ96" s="309">
        <f>SUM(AK96:AM96)</f>
        <v>0</v>
      </c>
      <c r="AK96" s="310">
        <f>AK218+AK223</f>
        <v>0</v>
      </c>
      <c r="AL96" s="310">
        <f>AL218+AL223</f>
        <v>0</v>
      </c>
      <c r="AM96" s="311">
        <f>AM218+AM223</f>
        <v>0</v>
      </c>
      <c r="AN96" s="337"/>
      <c r="AO96" s="87" t="str">
        <f t="shared" si="50"/>
        <v>-</v>
      </c>
    </row>
    <row r="97" spans="1:41" s="88" customFormat="1" ht="27.75" hidden="1" customHeight="1" x14ac:dyDescent="0.75">
      <c r="A97" s="338"/>
      <c r="B97" s="339"/>
      <c r="C97" s="340"/>
      <c r="D97" s="341" t="s">
        <v>129</v>
      </c>
      <c r="E97" s="342">
        <f>SUM(E98:E101)</f>
        <v>0</v>
      </c>
      <c r="F97" s="322">
        <f>SUM(F98:F101)</f>
        <v>0</v>
      </c>
      <c r="G97" s="343" t="str">
        <f t="shared" si="53"/>
        <v>-</v>
      </c>
      <c r="H97" s="322">
        <f t="shared" ref="H97:AM97" si="54">SUM(H98:H101)</f>
        <v>0</v>
      </c>
      <c r="I97" s="323">
        <f t="shared" si="54"/>
        <v>0</v>
      </c>
      <c r="J97" s="323">
        <f t="shared" si="54"/>
        <v>0</v>
      </c>
      <c r="K97" s="324">
        <f t="shared" si="54"/>
        <v>0</v>
      </c>
      <c r="L97" s="322">
        <f t="shared" si="54"/>
        <v>0</v>
      </c>
      <c r="M97" s="323">
        <f t="shared" si="54"/>
        <v>0</v>
      </c>
      <c r="N97" s="323">
        <f t="shared" si="54"/>
        <v>0</v>
      </c>
      <c r="O97" s="324">
        <f t="shared" si="54"/>
        <v>0</v>
      </c>
      <c r="P97" s="322">
        <f t="shared" si="54"/>
        <v>0</v>
      </c>
      <c r="Q97" s="323">
        <f t="shared" si="54"/>
        <v>0</v>
      </c>
      <c r="R97" s="323">
        <f t="shared" si="54"/>
        <v>0</v>
      </c>
      <c r="S97" s="324">
        <f t="shared" si="54"/>
        <v>0</v>
      </c>
      <c r="T97" s="322">
        <f t="shared" si="54"/>
        <v>0</v>
      </c>
      <c r="U97" s="323">
        <f t="shared" si="54"/>
        <v>0</v>
      </c>
      <c r="V97" s="323">
        <f t="shared" si="54"/>
        <v>0</v>
      </c>
      <c r="W97" s="324">
        <f t="shared" si="54"/>
        <v>0</v>
      </c>
      <c r="X97" s="322">
        <f t="shared" si="54"/>
        <v>0</v>
      </c>
      <c r="Y97" s="323">
        <f t="shared" si="54"/>
        <v>0</v>
      </c>
      <c r="Z97" s="323">
        <f t="shared" si="54"/>
        <v>0</v>
      </c>
      <c r="AA97" s="324">
        <f t="shared" si="54"/>
        <v>0</v>
      </c>
      <c r="AB97" s="322">
        <f t="shared" si="54"/>
        <v>0</v>
      </c>
      <c r="AC97" s="323">
        <f t="shared" si="54"/>
        <v>0</v>
      </c>
      <c r="AD97" s="323">
        <f t="shared" si="54"/>
        <v>0</v>
      </c>
      <c r="AE97" s="324">
        <f t="shared" si="54"/>
        <v>0</v>
      </c>
      <c r="AF97" s="322">
        <f t="shared" si="54"/>
        <v>0</v>
      </c>
      <c r="AG97" s="323">
        <f t="shared" si="54"/>
        <v>0</v>
      </c>
      <c r="AH97" s="323">
        <f t="shared" si="54"/>
        <v>0</v>
      </c>
      <c r="AI97" s="324">
        <f t="shared" si="54"/>
        <v>0</v>
      </c>
      <c r="AJ97" s="325">
        <f t="shared" si="54"/>
        <v>0</v>
      </c>
      <c r="AK97" s="326">
        <f t="shared" si="54"/>
        <v>0</v>
      </c>
      <c r="AL97" s="326">
        <f t="shared" si="54"/>
        <v>0</v>
      </c>
      <c r="AM97" s="327">
        <f t="shared" si="54"/>
        <v>0</v>
      </c>
      <c r="AN97" s="344"/>
      <c r="AO97" s="87" t="str">
        <f t="shared" si="50"/>
        <v>-</v>
      </c>
    </row>
    <row r="98" spans="1:41" s="88" customFormat="1" ht="27.75" hidden="1" customHeight="1" x14ac:dyDescent="0.75">
      <c r="A98" s="77" t="s">
        <v>87</v>
      </c>
      <c r="B98" s="78" t="s">
        <v>65</v>
      </c>
      <c r="C98" s="79">
        <v>73023</v>
      </c>
      <c r="D98" s="80" t="s">
        <v>83</v>
      </c>
      <c r="E98" s="329">
        <f>'[5]01.BMC'!E93</f>
        <v>0</v>
      </c>
      <c r="F98" s="296">
        <f t="shared" ref="F98:F99" si="55">H98+P98+X98+AF98</f>
        <v>0</v>
      </c>
      <c r="G98" s="330" t="str">
        <f>IFERROR(F98/E98, "-")</f>
        <v>-</v>
      </c>
      <c r="H98" s="296">
        <f>SUM(I98:K98)</f>
        <v>0</v>
      </c>
      <c r="I98" s="297">
        <f>'[5]01.BMC'!I93</f>
        <v>0</v>
      </c>
      <c r="J98" s="297">
        <f>'[5]01.BMC'!J93</f>
        <v>0</v>
      </c>
      <c r="K98" s="298">
        <f>'[5]01.BMC'!K93</f>
        <v>0</v>
      </c>
      <c r="L98" s="296">
        <f>SUM(M98:O98)</f>
        <v>0</v>
      </c>
      <c r="M98" s="297">
        <f>'[5]01.BMC'!M93</f>
        <v>0</v>
      </c>
      <c r="N98" s="297">
        <f>'[5]01.BMC'!N93</f>
        <v>0</v>
      </c>
      <c r="O98" s="298">
        <f>'[5]01.BMC'!O93</f>
        <v>0</v>
      </c>
      <c r="P98" s="296">
        <f>SUM(Q98:S98)</f>
        <v>0</v>
      </c>
      <c r="Q98" s="297">
        <f>'[5]01.BMC'!Q93</f>
        <v>0</v>
      </c>
      <c r="R98" s="297">
        <f>'[5]01.BMC'!R93</f>
        <v>0</v>
      </c>
      <c r="S98" s="298">
        <f>'[5]01.BMC'!S93</f>
        <v>0</v>
      </c>
      <c r="T98" s="296">
        <f>SUM(U98:W98)</f>
        <v>0</v>
      </c>
      <c r="U98" s="297">
        <f>'[5]01.BMC'!U93</f>
        <v>0</v>
      </c>
      <c r="V98" s="297">
        <f>'[5]01.BMC'!V93</f>
        <v>0</v>
      </c>
      <c r="W98" s="298">
        <f>'[5]01.BMC'!W93</f>
        <v>0</v>
      </c>
      <c r="X98" s="296">
        <f>SUM(Y98:AA98)</f>
        <v>0</v>
      </c>
      <c r="Y98" s="297">
        <f>'[5]01.BMC'!Y93</f>
        <v>0</v>
      </c>
      <c r="Z98" s="297">
        <f>'[5]01.BMC'!Z93</f>
        <v>0</v>
      </c>
      <c r="AA98" s="298">
        <f>'[5]01.BMC'!AA93</f>
        <v>0</v>
      </c>
      <c r="AB98" s="296">
        <f>SUM(AC98:AE98)</f>
        <v>0</v>
      </c>
      <c r="AC98" s="297"/>
      <c r="AD98" s="297"/>
      <c r="AE98" s="298"/>
      <c r="AF98" s="296">
        <f>SUM(AG98:AI98)</f>
        <v>0</v>
      </c>
      <c r="AG98" s="297">
        <f>'[5]01.BMC'!AG93</f>
        <v>0</v>
      </c>
      <c r="AH98" s="297">
        <f>'[5]01.BMC'!AH93</f>
        <v>0</v>
      </c>
      <c r="AI98" s="298">
        <f>'[5]01.BMC'!AI93</f>
        <v>0</v>
      </c>
      <c r="AJ98" s="292">
        <f>SUM(AK98:AM98)</f>
        <v>0</v>
      </c>
      <c r="AK98" s="294"/>
      <c r="AL98" s="294"/>
      <c r="AM98" s="295"/>
      <c r="AN98" s="299"/>
      <c r="AO98" s="87" t="str">
        <f t="shared" si="50"/>
        <v>-</v>
      </c>
    </row>
    <row r="99" spans="1:41" s="88" customFormat="1" ht="27.75" hidden="1" customHeight="1" x14ac:dyDescent="0.75">
      <c r="A99" s="91" t="s">
        <v>87</v>
      </c>
      <c r="B99" s="92" t="s">
        <v>69</v>
      </c>
      <c r="C99" s="93">
        <v>73066</v>
      </c>
      <c r="D99" s="94" t="s">
        <v>70</v>
      </c>
      <c r="E99" s="331">
        <f>'[5]01.BMC'!E94</f>
        <v>0</v>
      </c>
      <c r="F99" s="287">
        <f t="shared" si="55"/>
        <v>0</v>
      </c>
      <c r="G99" s="332" t="str">
        <f t="shared" ref="G99:G102" si="56">IFERROR(F99/E99, "-")</f>
        <v>-</v>
      </c>
      <c r="H99" s="287">
        <f>SUM(I99:K99)</f>
        <v>0</v>
      </c>
      <c r="I99" s="288">
        <f>'[5]01.BMC'!I94</f>
        <v>0</v>
      </c>
      <c r="J99" s="288">
        <f>'[5]01.BMC'!J94</f>
        <v>0</v>
      </c>
      <c r="K99" s="289">
        <f>'[5]01.BMC'!K94</f>
        <v>0</v>
      </c>
      <c r="L99" s="287">
        <f>SUM(M99:O99)</f>
        <v>0</v>
      </c>
      <c r="M99" s="288">
        <f>'[5]01.BMC'!M94</f>
        <v>0</v>
      </c>
      <c r="N99" s="288">
        <f>'[5]01.BMC'!N94</f>
        <v>0</v>
      </c>
      <c r="O99" s="289">
        <f>'[5]01.BMC'!O94</f>
        <v>0</v>
      </c>
      <c r="P99" s="287">
        <f>SUM(Q99:S99)</f>
        <v>0</v>
      </c>
      <c r="Q99" s="288">
        <f>'[5]01.BMC'!Q94</f>
        <v>0</v>
      </c>
      <c r="R99" s="288">
        <f>'[5]01.BMC'!R94</f>
        <v>0</v>
      </c>
      <c r="S99" s="289">
        <f>'[5]01.BMC'!S94</f>
        <v>0</v>
      </c>
      <c r="T99" s="287">
        <f>SUM(U99:W99)</f>
        <v>0</v>
      </c>
      <c r="U99" s="288">
        <f>'[5]01.BMC'!U94</f>
        <v>0</v>
      </c>
      <c r="V99" s="288">
        <f>'[5]01.BMC'!V94</f>
        <v>0</v>
      </c>
      <c r="W99" s="289">
        <f>'[5]01.BMC'!W94</f>
        <v>0</v>
      </c>
      <c r="X99" s="287">
        <f>SUM(Y99:AA99)</f>
        <v>0</v>
      </c>
      <c r="Y99" s="288">
        <f>'[5]01.BMC'!Y94</f>
        <v>0</v>
      </c>
      <c r="Z99" s="288">
        <f>'[5]01.BMC'!Z94</f>
        <v>0</v>
      </c>
      <c r="AA99" s="289">
        <f>'[5]01.BMC'!AA94</f>
        <v>0</v>
      </c>
      <c r="AB99" s="287">
        <f>SUM(AC99:AE99)</f>
        <v>0</v>
      </c>
      <c r="AC99" s="288"/>
      <c r="AD99" s="288"/>
      <c r="AE99" s="289"/>
      <c r="AF99" s="287">
        <f>SUM(AG99:AI99)</f>
        <v>0</v>
      </c>
      <c r="AG99" s="288">
        <f>'[5]01.BMC'!AG94</f>
        <v>0</v>
      </c>
      <c r="AH99" s="288">
        <f>'[5]01.BMC'!AH94</f>
        <v>0</v>
      </c>
      <c r="AI99" s="289">
        <f>'[5]01.BMC'!AI94</f>
        <v>0</v>
      </c>
      <c r="AJ99" s="283">
        <f>SUM(AK99:AM99)</f>
        <v>0</v>
      </c>
      <c r="AK99" s="285"/>
      <c r="AL99" s="285"/>
      <c r="AM99" s="286"/>
      <c r="AN99" s="290"/>
      <c r="AO99" s="87" t="str">
        <f t="shared" si="50"/>
        <v>-</v>
      </c>
    </row>
    <row r="100" spans="1:41" s="233" customFormat="1" ht="27.75" hidden="1" customHeight="1" x14ac:dyDescent="0.75">
      <c r="A100" s="77" t="s">
        <v>87</v>
      </c>
      <c r="B100" s="78" t="s">
        <v>106</v>
      </c>
      <c r="C100" s="79">
        <v>73071</v>
      </c>
      <c r="D100" s="80" t="s">
        <v>107</v>
      </c>
      <c r="E100" s="329">
        <f>E227</f>
        <v>0</v>
      </c>
      <c r="F100" s="296">
        <f>H100+P100+X100+AF100</f>
        <v>0</v>
      </c>
      <c r="G100" s="330" t="str">
        <f t="shared" si="56"/>
        <v>-</v>
      </c>
      <c r="H100" s="296">
        <f>SUM(I100:K100)</f>
        <v>0</v>
      </c>
      <c r="I100" s="297">
        <f>I227</f>
        <v>0</v>
      </c>
      <c r="J100" s="297">
        <f>J227</f>
        <v>0</v>
      </c>
      <c r="K100" s="298">
        <f>K227</f>
        <v>0</v>
      </c>
      <c r="L100" s="296">
        <f>SUM(M100:O100)</f>
        <v>0</v>
      </c>
      <c r="M100" s="297">
        <f>M227</f>
        <v>0</v>
      </c>
      <c r="N100" s="297">
        <f>N227</f>
        <v>0</v>
      </c>
      <c r="O100" s="298">
        <f>O227</f>
        <v>0</v>
      </c>
      <c r="P100" s="296">
        <f>SUM(Q100:S100)</f>
        <v>0</v>
      </c>
      <c r="Q100" s="297">
        <f>Q227</f>
        <v>0</v>
      </c>
      <c r="R100" s="297">
        <f>R227</f>
        <v>0</v>
      </c>
      <c r="S100" s="298">
        <f>S227</f>
        <v>0</v>
      </c>
      <c r="T100" s="296">
        <f>SUM(U100:W100)</f>
        <v>0</v>
      </c>
      <c r="U100" s="297">
        <f>U227</f>
        <v>0</v>
      </c>
      <c r="V100" s="297">
        <f>V227</f>
        <v>0</v>
      </c>
      <c r="W100" s="298">
        <f>W227</f>
        <v>0</v>
      </c>
      <c r="X100" s="296">
        <f>SUM(Y100:AA100)</f>
        <v>0</v>
      </c>
      <c r="Y100" s="297">
        <f>Y227</f>
        <v>0</v>
      </c>
      <c r="Z100" s="297">
        <f>Z227</f>
        <v>0</v>
      </c>
      <c r="AA100" s="298">
        <f>AA227</f>
        <v>0</v>
      </c>
      <c r="AB100" s="296">
        <f>SUM(AC100:AE100)</f>
        <v>0</v>
      </c>
      <c r="AC100" s="297">
        <f>AC227</f>
        <v>0</v>
      </c>
      <c r="AD100" s="297">
        <f>AD227</f>
        <v>0</v>
      </c>
      <c r="AE100" s="298">
        <f>AE227</f>
        <v>0</v>
      </c>
      <c r="AF100" s="296">
        <f>SUM(AG100:AI100)</f>
        <v>0</v>
      </c>
      <c r="AG100" s="297">
        <f>AG227</f>
        <v>0</v>
      </c>
      <c r="AH100" s="297">
        <f>AH227</f>
        <v>0</v>
      </c>
      <c r="AI100" s="298">
        <f>AI227</f>
        <v>0</v>
      </c>
      <c r="AJ100" s="292">
        <f>SUM(AK100:AM100)</f>
        <v>0</v>
      </c>
      <c r="AK100" s="294">
        <f>AK227</f>
        <v>0</v>
      </c>
      <c r="AL100" s="294">
        <f>AL227</f>
        <v>0</v>
      </c>
      <c r="AM100" s="295">
        <f>AM227</f>
        <v>0</v>
      </c>
      <c r="AN100" s="299"/>
      <c r="AO100" s="231" t="str">
        <f t="shared" si="50"/>
        <v>-</v>
      </c>
    </row>
    <row r="101" spans="1:41" s="88" customFormat="1" ht="27.75" hidden="1" customHeight="1" x14ac:dyDescent="0.75">
      <c r="A101" s="129" t="s">
        <v>87</v>
      </c>
      <c r="B101" s="130" t="s">
        <v>106</v>
      </c>
      <c r="C101" s="333">
        <v>73072</v>
      </c>
      <c r="D101" s="334" t="s">
        <v>108</v>
      </c>
      <c r="E101" s="335">
        <f>E223+E228</f>
        <v>0</v>
      </c>
      <c r="F101" s="306">
        <f>H101+P101+X101+AF101</f>
        <v>0</v>
      </c>
      <c r="G101" s="336" t="str">
        <f t="shared" si="56"/>
        <v>-</v>
      </c>
      <c r="H101" s="306">
        <f>SUM(I101:K101)</f>
        <v>0</v>
      </c>
      <c r="I101" s="307">
        <f>I223+I228</f>
        <v>0</v>
      </c>
      <c r="J101" s="307">
        <f>J223+J228</f>
        <v>0</v>
      </c>
      <c r="K101" s="308">
        <f>K223+K228</f>
        <v>0</v>
      </c>
      <c r="L101" s="306">
        <f>SUM(M101:O101)</f>
        <v>0</v>
      </c>
      <c r="M101" s="307">
        <f>M223+M228</f>
        <v>0</v>
      </c>
      <c r="N101" s="307">
        <f>N223+N228</f>
        <v>0</v>
      </c>
      <c r="O101" s="308">
        <f>O223+O228</f>
        <v>0</v>
      </c>
      <c r="P101" s="306">
        <f>SUM(Q101:S101)</f>
        <v>0</v>
      </c>
      <c r="Q101" s="307">
        <f>Q223+Q228</f>
        <v>0</v>
      </c>
      <c r="R101" s="307">
        <f>R223+R228</f>
        <v>0</v>
      </c>
      <c r="S101" s="308">
        <f>S223+S228</f>
        <v>0</v>
      </c>
      <c r="T101" s="306">
        <f>SUM(U101:W101)</f>
        <v>0</v>
      </c>
      <c r="U101" s="307">
        <f>U223+U228</f>
        <v>0</v>
      </c>
      <c r="V101" s="307">
        <f>V223+V228</f>
        <v>0</v>
      </c>
      <c r="W101" s="308">
        <f>W223+W228</f>
        <v>0</v>
      </c>
      <c r="X101" s="306">
        <f>SUM(Y101:AA101)</f>
        <v>0</v>
      </c>
      <c r="Y101" s="307">
        <f>Y223+Y228</f>
        <v>0</v>
      </c>
      <c r="Z101" s="307">
        <f>Z223+Z228</f>
        <v>0</v>
      </c>
      <c r="AA101" s="308">
        <f>AA223+AA228</f>
        <v>0</v>
      </c>
      <c r="AB101" s="306">
        <f>SUM(AC101:AE101)</f>
        <v>0</v>
      </c>
      <c r="AC101" s="307">
        <f>AC223+AC228</f>
        <v>0</v>
      </c>
      <c r="AD101" s="307">
        <f>AD223+AD228</f>
        <v>0</v>
      </c>
      <c r="AE101" s="308">
        <f>AE223+AE228</f>
        <v>0</v>
      </c>
      <c r="AF101" s="306">
        <f>SUM(AG101:AI101)</f>
        <v>0</v>
      </c>
      <c r="AG101" s="307">
        <f>AG223+AG228</f>
        <v>0</v>
      </c>
      <c r="AH101" s="307">
        <f>AH223+AH228</f>
        <v>0</v>
      </c>
      <c r="AI101" s="308">
        <f>AI223+AI228</f>
        <v>0</v>
      </c>
      <c r="AJ101" s="309">
        <f>SUM(AK101:AM101)</f>
        <v>0</v>
      </c>
      <c r="AK101" s="310">
        <f>AK223+AK228</f>
        <v>0</v>
      </c>
      <c r="AL101" s="310">
        <f>AL223+AL228</f>
        <v>0</v>
      </c>
      <c r="AM101" s="311">
        <f>AM223+AM228</f>
        <v>0</v>
      </c>
      <c r="AN101" s="337"/>
      <c r="AO101" s="87" t="str">
        <f t="shared" si="50"/>
        <v>-</v>
      </c>
    </row>
    <row r="102" spans="1:41" s="88" customFormat="1" ht="27.75" hidden="1" customHeight="1" x14ac:dyDescent="0.75">
      <c r="A102" s="338"/>
      <c r="B102" s="339"/>
      <c r="C102" s="340"/>
      <c r="D102" s="341" t="s">
        <v>130</v>
      </c>
      <c r="E102" s="342">
        <f>SUM(E103:E106)</f>
        <v>0</v>
      </c>
      <c r="F102" s="322">
        <f>SUM(F103:F106)</f>
        <v>0</v>
      </c>
      <c r="G102" s="343" t="str">
        <f t="shared" si="56"/>
        <v>-</v>
      </c>
      <c r="H102" s="322">
        <f t="shared" ref="H102:AM102" si="57">SUM(H103:H106)</f>
        <v>0</v>
      </c>
      <c r="I102" s="323">
        <f t="shared" si="57"/>
        <v>0</v>
      </c>
      <c r="J102" s="323">
        <f t="shared" si="57"/>
        <v>0</v>
      </c>
      <c r="K102" s="324">
        <f t="shared" si="57"/>
        <v>0</v>
      </c>
      <c r="L102" s="322">
        <f t="shared" si="57"/>
        <v>0</v>
      </c>
      <c r="M102" s="323">
        <f t="shared" si="57"/>
        <v>0</v>
      </c>
      <c r="N102" s="323">
        <f t="shared" si="57"/>
        <v>0</v>
      </c>
      <c r="O102" s="324">
        <f t="shared" si="57"/>
        <v>0</v>
      </c>
      <c r="P102" s="322">
        <f t="shared" si="57"/>
        <v>0</v>
      </c>
      <c r="Q102" s="323">
        <f t="shared" si="57"/>
        <v>0</v>
      </c>
      <c r="R102" s="323">
        <f t="shared" si="57"/>
        <v>0</v>
      </c>
      <c r="S102" s="324">
        <f t="shared" si="57"/>
        <v>0</v>
      </c>
      <c r="T102" s="322">
        <f t="shared" si="57"/>
        <v>0</v>
      </c>
      <c r="U102" s="323">
        <f t="shared" si="57"/>
        <v>0</v>
      </c>
      <c r="V102" s="323">
        <f t="shared" si="57"/>
        <v>0</v>
      </c>
      <c r="W102" s="324">
        <f t="shared" si="57"/>
        <v>0</v>
      </c>
      <c r="X102" s="322">
        <f t="shared" si="57"/>
        <v>0</v>
      </c>
      <c r="Y102" s="323">
        <f t="shared" si="57"/>
        <v>0</v>
      </c>
      <c r="Z102" s="323">
        <f t="shared" si="57"/>
        <v>0</v>
      </c>
      <c r="AA102" s="324">
        <f t="shared" si="57"/>
        <v>0</v>
      </c>
      <c r="AB102" s="322">
        <f t="shared" si="57"/>
        <v>0</v>
      </c>
      <c r="AC102" s="323">
        <f t="shared" si="57"/>
        <v>0</v>
      </c>
      <c r="AD102" s="323">
        <f t="shared" si="57"/>
        <v>0</v>
      </c>
      <c r="AE102" s="324">
        <f t="shared" si="57"/>
        <v>0</v>
      </c>
      <c r="AF102" s="322">
        <f t="shared" si="57"/>
        <v>0</v>
      </c>
      <c r="AG102" s="323">
        <f t="shared" si="57"/>
        <v>0</v>
      </c>
      <c r="AH102" s="323">
        <f t="shared" si="57"/>
        <v>0</v>
      </c>
      <c r="AI102" s="324">
        <f t="shared" si="57"/>
        <v>0</v>
      </c>
      <c r="AJ102" s="325">
        <f t="shared" si="57"/>
        <v>0</v>
      </c>
      <c r="AK102" s="326">
        <f t="shared" si="57"/>
        <v>0</v>
      </c>
      <c r="AL102" s="326">
        <f t="shared" si="57"/>
        <v>0</v>
      </c>
      <c r="AM102" s="327">
        <f t="shared" si="57"/>
        <v>0</v>
      </c>
      <c r="AN102" s="344"/>
      <c r="AO102" s="87" t="str">
        <f t="shared" si="50"/>
        <v>-</v>
      </c>
    </row>
    <row r="103" spans="1:41" s="88" customFormat="1" ht="27.75" hidden="1" customHeight="1" x14ac:dyDescent="0.75">
      <c r="A103" s="77" t="s">
        <v>87</v>
      </c>
      <c r="B103" s="78" t="s">
        <v>65</v>
      </c>
      <c r="C103" s="79">
        <v>73023</v>
      </c>
      <c r="D103" s="80" t="s">
        <v>83</v>
      </c>
      <c r="E103" s="329">
        <f>'[5]01.BMC'!E98</f>
        <v>0</v>
      </c>
      <c r="F103" s="296">
        <f t="shared" ref="F103:F104" si="58">H103+P103+X103+AF103</f>
        <v>0</v>
      </c>
      <c r="G103" s="330" t="str">
        <f>IFERROR(F103/E103, "-")</f>
        <v>-</v>
      </c>
      <c r="H103" s="296">
        <f>SUM(I103:K103)</f>
        <v>0</v>
      </c>
      <c r="I103" s="297">
        <f>'[5]01.BMC'!I98</f>
        <v>0</v>
      </c>
      <c r="J103" s="297">
        <f>'[5]01.BMC'!J98</f>
        <v>0</v>
      </c>
      <c r="K103" s="298">
        <f>'[5]01.BMC'!K98</f>
        <v>0</v>
      </c>
      <c r="L103" s="296">
        <f>SUM(M103:O103)</f>
        <v>0</v>
      </c>
      <c r="M103" s="297">
        <f>'[5]01.BMC'!M98</f>
        <v>0</v>
      </c>
      <c r="N103" s="297">
        <f>'[5]01.BMC'!N98</f>
        <v>0</v>
      </c>
      <c r="O103" s="298">
        <f>'[5]01.BMC'!O98</f>
        <v>0</v>
      </c>
      <c r="P103" s="296">
        <f>SUM(Q103:S103)</f>
        <v>0</v>
      </c>
      <c r="Q103" s="297">
        <f>'[5]01.BMC'!Q98</f>
        <v>0</v>
      </c>
      <c r="R103" s="297">
        <f>'[5]01.BMC'!R98</f>
        <v>0</v>
      </c>
      <c r="S103" s="298">
        <f>'[5]01.BMC'!S98</f>
        <v>0</v>
      </c>
      <c r="T103" s="296">
        <f>SUM(U103:W103)</f>
        <v>0</v>
      </c>
      <c r="U103" s="297">
        <f>'[5]01.BMC'!U98</f>
        <v>0</v>
      </c>
      <c r="V103" s="297">
        <f>'[5]01.BMC'!V98</f>
        <v>0</v>
      </c>
      <c r="W103" s="298">
        <f>'[5]01.BMC'!W98</f>
        <v>0</v>
      </c>
      <c r="X103" s="296">
        <f>SUM(Y103:AA103)</f>
        <v>0</v>
      </c>
      <c r="Y103" s="297">
        <f>'[5]01.BMC'!Y98</f>
        <v>0</v>
      </c>
      <c r="Z103" s="297">
        <f>'[5]01.BMC'!Z98</f>
        <v>0</v>
      </c>
      <c r="AA103" s="298">
        <f>'[5]01.BMC'!AA98</f>
        <v>0</v>
      </c>
      <c r="AB103" s="296">
        <f>SUM(AC103:AE103)</f>
        <v>0</v>
      </c>
      <c r="AC103" s="297"/>
      <c r="AD103" s="297"/>
      <c r="AE103" s="298"/>
      <c r="AF103" s="296">
        <f>SUM(AG103:AI103)</f>
        <v>0</v>
      </c>
      <c r="AG103" s="297">
        <f>'[5]01.BMC'!AG98</f>
        <v>0</v>
      </c>
      <c r="AH103" s="297">
        <f>'[5]01.BMC'!AH98</f>
        <v>0</v>
      </c>
      <c r="AI103" s="298">
        <f>'[5]01.BMC'!AI98</f>
        <v>0</v>
      </c>
      <c r="AJ103" s="292">
        <f>SUM(AK103:AM103)</f>
        <v>0</v>
      </c>
      <c r="AK103" s="294"/>
      <c r="AL103" s="294"/>
      <c r="AM103" s="295"/>
      <c r="AN103" s="299"/>
      <c r="AO103" s="87" t="str">
        <f t="shared" si="50"/>
        <v>-</v>
      </c>
    </row>
    <row r="104" spans="1:41" s="88" customFormat="1" ht="27.75" hidden="1" customHeight="1" x14ac:dyDescent="0.75">
      <c r="A104" s="91" t="s">
        <v>87</v>
      </c>
      <c r="B104" s="92" t="s">
        <v>69</v>
      </c>
      <c r="C104" s="93">
        <v>73066</v>
      </c>
      <c r="D104" s="94" t="s">
        <v>70</v>
      </c>
      <c r="E104" s="331">
        <f>'[5]01.BMC'!E99</f>
        <v>0</v>
      </c>
      <c r="F104" s="287">
        <f t="shared" si="58"/>
        <v>0</v>
      </c>
      <c r="G104" s="332" t="str">
        <f t="shared" ref="G104:G107" si="59">IFERROR(F104/E104, "-")</f>
        <v>-</v>
      </c>
      <c r="H104" s="287">
        <f>SUM(I104:K104)</f>
        <v>0</v>
      </c>
      <c r="I104" s="288">
        <f>'[5]01.BMC'!I99</f>
        <v>0</v>
      </c>
      <c r="J104" s="288">
        <f>'[5]01.BMC'!J99</f>
        <v>0</v>
      </c>
      <c r="K104" s="289">
        <f>'[5]01.BMC'!K99</f>
        <v>0</v>
      </c>
      <c r="L104" s="287">
        <f>SUM(M104:O104)</f>
        <v>0</v>
      </c>
      <c r="M104" s="288">
        <f>'[5]01.BMC'!M99</f>
        <v>0</v>
      </c>
      <c r="N104" s="288">
        <f>'[5]01.BMC'!N99</f>
        <v>0</v>
      </c>
      <c r="O104" s="289">
        <f>'[5]01.BMC'!O99</f>
        <v>0</v>
      </c>
      <c r="P104" s="287">
        <f>SUM(Q104:S104)</f>
        <v>0</v>
      </c>
      <c r="Q104" s="288">
        <f>'[5]01.BMC'!Q99</f>
        <v>0</v>
      </c>
      <c r="R104" s="288">
        <f>'[5]01.BMC'!R99</f>
        <v>0</v>
      </c>
      <c r="S104" s="289">
        <f>'[5]01.BMC'!S99</f>
        <v>0</v>
      </c>
      <c r="T104" s="287">
        <f>SUM(U104:W104)</f>
        <v>0</v>
      </c>
      <c r="U104" s="288">
        <f>'[5]01.BMC'!U99</f>
        <v>0</v>
      </c>
      <c r="V104" s="288">
        <f>'[5]01.BMC'!V99</f>
        <v>0</v>
      </c>
      <c r="W104" s="289">
        <f>'[5]01.BMC'!W99</f>
        <v>0</v>
      </c>
      <c r="X104" s="287">
        <f>SUM(Y104:AA104)</f>
        <v>0</v>
      </c>
      <c r="Y104" s="288">
        <f>'[5]01.BMC'!Y99</f>
        <v>0</v>
      </c>
      <c r="Z104" s="288">
        <f>'[5]01.BMC'!Z99</f>
        <v>0</v>
      </c>
      <c r="AA104" s="289">
        <f>'[5]01.BMC'!AA99</f>
        <v>0</v>
      </c>
      <c r="AB104" s="287">
        <f>SUM(AC104:AE104)</f>
        <v>0</v>
      </c>
      <c r="AC104" s="288"/>
      <c r="AD104" s="288"/>
      <c r="AE104" s="289"/>
      <c r="AF104" s="287">
        <f>SUM(AG104:AI104)</f>
        <v>0</v>
      </c>
      <c r="AG104" s="288">
        <f>'[5]01.BMC'!AG99</f>
        <v>0</v>
      </c>
      <c r="AH104" s="288">
        <f>'[5]01.BMC'!AH99</f>
        <v>0</v>
      </c>
      <c r="AI104" s="289">
        <f>'[5]01.BMC'!AI99</f>
        <v>0</v>
      </c>
      <c r="AJ104" s="283">
        <f>SUM(AK104:AM104)</f>
        <v>0</v>
      </c>
      <c r="AK104" s="285"/>
      <c r="AL104" s="285"/>
      <c r="AM104" s="286"/>
      <c r="AN104" s="290"/>
      <c r="AO104" s="87" t="str">
        <f t="shared" si="50"/>
        <v>-</v>
      </c>
    </row>
    <row r="105" spans="1:41" s="233" customFormat="1" ht="27.75" hidden="1" customHeight="1" x14ac:dyDescent="0.75">
      <c r="A105" s="77" t="s">
        <v>87</v>
      </c>
      <c r="B105" s="78" t="s">
        <v>106</v>
      </c>
      <c r="C105" s="79">
        <v>73071</v>
      </c>
      <c r="D105" s="80" t="s">
        <v>107</v>
      </c>
      <c r="E105" s="329">
        <f>E232</f>
        <v>0</v>
      </c>
      <c r="F105" s="296">
        <f>H105+P105+X105+AF105</f>
        <v>0</v>
      </c>
      <c r="G105" s="330" t="str">
        <f t="shared" si="59"/>
        <v>-</v>
      </c>
      <c r="H105" s="296">
        <f>SUM(I105:K105)</f>
        <v>0</v>
      </c>
      <c r="I105" s="297">
        <f>I232</f>
        <v>0</v>
      </c>
      <c r="J105" s="297">
        <f>J232</f>
        <v>0</v>
      </c>
      <c r="K105" s="298">
        <f>K232</f>
        <v>0</v>
      </c>
      <c r="L105" s="296">
        <f>SUM(M105:O105)</f>
        <v>0</v>
      </c>
      <c r="M105" s="297">
        <f>M232</f>
        <v>0</v>
      </c>
      <c r="N105" s="297">
        <f>N232</f>
        <v>0</v>
      </c>
      <c r="O105" s="298">
        <f>O232</f>
        <v>0</v>
      </c>
      <c r="P105" s="296">
        <f>SUM(Q105:S105)</f>
        <v>0</v>
      </c>
      <c r="Q105" s="297">
        <f>Q232</f>
        <v>0</v>
      </c>
      <c r="R105" s="297">
        <f>R232</f>
        <v>0</v>
      </c>
      <c r="S105" s="298">
        <f>S232</f>
        <v>0</v>
      </c>
      <c r="T105" s="296">
        <f>SUM(U105:W105)</f>
        <v>0</v>
      </c>
      <c r="U105" s="297">
        <f>U232</f>
        <v>0</v>
      </c>
      <c r="V105" s="297">
        <f>V232</f>
        <v>0</v>
      </c>
      <c r="W105" s="298">
        <f>W232</f>
        <v>0</v>
      </c>
      <c r="X105" s="296">
        <f>SUM(Y105:AA105)</f>
        <v>0</v>
      </c>
      <c r="Y105" s="297">
        <f>Y232</f>
        <v>0</v>
      </c>
      <c r="Z105" s="297">
        <f>Z232</f>
        <v>0</v>
      </c>
      <c r="AA105" s="298">
        <f>AA232</f>
        <v>0</v>
      </c>
      <c r="AB105" s="296">
        <f>SUM(AC105:AE105)</f>
        <v>0</v>
      </c>
      <c r="AC105" s="297">
        <f>AC232</f>
        <v>0</v>
      </c>
      <c r="AD105" s="297">
        <f>AD232</f>
        <v>0</v>
      </c>
      <c r="AE105" s="298">
        <f>AE232</f>
        <v>0</v>
      </c>
      <c r="AF105" s="296">
        <f>SUM(AG105:AI105)</f>
        <v>0</v>
      </c>
      <c r="AG105" s="297">
        <f>AG232</f>
        <v>0</v>
      </c>
      <c r="AH105" s="297">
        <f>AH232</f>
        <v>0</v>
      </c>
      <c r="AI105" s="298">
        <f>AI232</f>
        <v>0</v>
      </c>
      <c r="AJ105" s="292">
        <f>SUM(AK105:AM105)</f>
        <v>0</v>
      </c>
      <c r="AK105" s="294">
        <f>AK232</f>
        <v>0</v>
      </c>
      <c r="AL105" s="294">
        <f>AL232</f>
        <v>0</v>
      </c>
      <c r="AM105" s="295">
        <f>AM232</f>
        <v>0</v>
      </c>
      <c r="AN105" s="299"/>
      <c r="AO105" s="231" t="str">
        <f t="shared" si="50"/>
        <v>-</v>
      </c>
    </row>
    <row r="106" spans="1:41" s="88" customFormat="1" ht="27.75" hidden="1" customHeight="1" x14ac:dyDescent="0.75">
      <c r="A106" s="129" t="s">
        <v>87</v>
      </c>
      <c r="B106" s="130" t="s">
        <v>106</v>
      </c>
      <c r="C106" s="333">
        <v>73072</v>
      </c>
      <c r="D106" s="334" t="s">
        <v>108</v>
      </c>
      <c r="E106" s="335">
        <f>E228+E233</f>
        <v>0</v>
      </c>
      <c r="F106" s="306">
        <f>H106+P106+X106+AF106</f>
        <v>0</v>
      </c>
      <c r="G106" s="336" t="str">
        <f t="shared" si="59"/>
        <v>-</v>
      </c>
      <c r="H106" s="306">
        <f>SUM(I106:K106)</f>
        <v>0</v>
      </c>
      <c r="I106" s="307">
        <f>I228+I233</f>
        <v>0</v>
      </c>
      <c r="J106" s="307">
        <f>J228+J233</f>
        <v>0</v>
      </c>
      <c r="K106" s="308">
        <f>K228+K233</f>
        <v>0</v>
      </c>
      <c r="L106" s="306">
        <f>SUM(M106:O106)</f>
        <v>0</v>
      </c>
      <c r="M106" s="307">
        <f>M228+M233</f>
        <v>0</v>
      </c>
      <c r="N106" s="307">
        <f>N228+N233</f>
        <v>0</v>
      </c>
      <c r="O106" s="308">
        <f>O228+O233</f>
        <v>0</v>
      </c>
      <c r="P106" s="306">
        <f>SUM(Q106:S106)</f>
        <v>0</v>
      </c>
      <c r="Q106" s="307">
        <f>Q228+Q233</f>
        <v>0</v>
      </c>
      <c r="R106" s="307">
        <f>R228+R233</f>
        <v>0</v>
      </c>
      <c r="S106" s="308">
        <f>S228+S233</f>
        <v>0</v>
      </c>
      <c r="T106" s="306">
        <f>SUM(U106:W106)</f>
        <v>0</v>
      </c>
      <c r="U106" s="307">
        <f>U228+U233</f>
        <v>0</v>
      </c>
      <c r="V106" s="307">
        <f>V228+V233</f>
        <v>0</v>
      </c>
      <c r="W106" s="308">
        <f>W228+W233</f>
        <v>0</v>
      </c>
      <c r="X106" s="306">
        <f>SUM(Y106:AA106)</f>
        <v>0</v>
      </c>
      <c r="Y106" s="307">
        <f>Y228+Y233</f>
        <v>0</v>
      </c>
      <c r="Z106" s="307">
        <f>Z228+Z233</f>
        <v>0</v>
      </c>
      <c r="AA106" s="308">
        <f>AA228+AA233</f>
        <v>0</v>
      </c>
      <c r="AB106" s="306">
        <f>SUM(AC106:AE106)</f>
        <v>0</v>
      </c>
      <c r="AC106" s="307">
        <f>AC228+AC233</f>
        <v>0</v>
      </c>
      <c r="AD106" s="307">
        <f>AD228+AD233</f>
        <v>0</v>
      </c>
      <c r="AE106" s="308">
        <f>AE228+AE233</f>
        <v>0</v>
      </c>
      <c r="AF106" s="306">
        <f>SUM(AG106:AI106)</f>
        <v>0</v>
      </c>
      <c r="AG106" s="307">
        <f>AG228+AG233</f>
        <v>0</v>
      </c>
      <c r="AH106" s="307">
        <f>AH228+AH233</f>
        <v>0</v>
      </c>
      <c r="AI106" s="308">
        <f>AI228+AI233</f>
        <v>0</v>
      </c>
      <c r="AJ106" s="309">
        <f>SUM(AK106:AM106)</f>
        <v>0</v>
      </c>
      <c r="AK106" s="310">
        <f>AK228+AK233</f>
        <v>0</v>
      </c>
      <c r="AL106" s="310">
        <f>AL228+AL233</f>
        <v>0</v>
      </c>
      <c r="AM106" s="311">
        <f>AM228+AM233</f>
        <v>0</v>
      </c>
      <c r="AN106" s="337"/>
      <c r="AO106" s="87" t="str">
        <f t="shared" si="50"/>
        <v>-</v>
      </c>
    </row>
    <row r="107" spans="1:41" s="88" customFormat="1" ht="27.75" hidden="1" customHeight="1" x14ac:dyDescent="0.75">
      <c r="A107" s="338"/>
      <c r="B107" s="339"/>
      <c r="C107" s="340"/>
      <c r="D107" s="341" t="s">
        <v>131</v>
      </c>
      <c r="E107" s="342">
        <f>SUM(E108:E111)</f>
        <v>0</v>
      </c>
      <c r="F107" s="322">
        <f>SUM(F108:F111)</f>
        <v>0</v>
      </c>
      <c r="G107" s="343" t="str">
        <f t="shared" si="59"/>
        <v>-</v>
      </c>
      <c r="H107" s="322">
        <f t="shared" ref="H107:AM107" si="60">SUM(H108:H111)</f>
        <v>0</v>
      </c>
      <c r="I107" s="323">
        <f t="shared" si="60"/>
        <v>0</v>
      </c>
      <c r="J107" s="323">
        <f t="shared" si="60"/>
        <v>0</v>
      </c>
      <c r="K107" s="324">
        <f t="shared" si="60"/>
        <v>0</v>
      </c>
      <c r="L107" s="322">
        <f t="shared" si="60"/>
        <v>0</v>
      </c>
      <c r="M107" s="323">
        <f t="shared" si="60"/>
        <v>0</v>
      </c>
      <c r="N107" s="323">
        <f t="shared" si="60"/>
        <v>0</v>
      </c>
      <c r="O107" s="324">
        <f t="shared" si="60"/>
        <v>0</v>
      </c>
      <c r="P107" s="322">
        <f t="shared" si="60"/>
        <v>0</v>
      </c>
      <c r="Q107" s="323">
        <f t="shared" si="60"/>
        <v>0</v>
      </c>
      <c r="R107" s="323">
        <f t="shared" si="60"/>
        <v>0</v>
      </c>
      <c r="S107" s="324">
        <f t="shared" si="60"/>
        <v>0</v>
      </c>
      <c r="T107" s="322">
        <f t="shared" si="60"/>
        <v>0</v>
      </c>
      <c r="U107" s="323">
        <f t="shared" si="60"/>
        <v>0</v>
      </c>
      <c r="V107" s="323">
        <f t="shared" si="60"/>
        <v>0</v>
      </c>
      <c r="W107" s="324">
        <f t="shared" si="60"/>
        <v>0</v>
      </c>
      <c r="X107" s="322">
        <f t="shared" si="60"/>
        <v>0</v>
      </c>
      <c r="Y107" s="323">
        <f t="shared" si="60"/>
        <v>0</v>
      </c>
      <c r="Z107" s="323">
        <f t="shared" si="60"/>
        <v>0</v>
      </c>
      <c r="AA107" s="324">
        <f t="shared" si="60"/>
        <v>0</v>
      </c>
      <c r="AB107" s="322">
        <f t="shared" si="60"/>
        <v>0</v>
      </c>
      <c r="AC107" s="323">
        <f t="shared" si="60"/>
        <v>0</v>
      </c>
      <c r="AD107" s="323">
        <f t="shared" si="60"/>
        <v>0</v>
      </c>
      <c r="AE107" s="324">
        <f t="shared" si="60"/>
        <v>0</v>
      </c>
      <c r="AF107" s="322">
        <f t="shared" si="60"/>
        <v>0</v>
      </c>
      <c r="AG107" s="323">
        <f t="shared" si="60"/>
        <v>0</v>
      </c>
      <c r="AH107" s="323">
        <f t="shared" si="60"/>
        <v>0</v>
      </c>
      <c r="AI107" s="324">
        <f t="shared" si="60"/>
        <v>0</v>
      </c>
      <c r="AJ107" s="325">
        <f t="shared" si="60"/>
        <v>0</v>
      </c>
      <c r="AK107" s="326">
        <f t="shared" si="60"/>
        <v>0</v>
      </c>
      <c r="AL107" s="326">
        <f t="shared" si="60"/>
        <v>0</v>
      </c>
      <c r="AM107" s="327">
        <f t="shared" si="60"/>
        <v>0</v>
      </c>
      <c r="AN107" s="344"/>
      <c r="AO107" s="87" t="str">
        <f t="shared" si="50"/>
        <v>-</v>
      </c>
    </row>
    <row r="108" spans="1:41" s="88" customFormat="1" ht="27.75" hidden="1" customHeight="1" x14ac:dyDescent="0.75">
      <c r="A108" s="77" t="s">
        <v>87</v>
      </c>
      <c r="B108" s="78" t="s">
        <v>65</v>
      </c>
      <c r="C108" s="79">
        <v>73023</v>
      </c>
      <c r="D108" s="80" t="s">
        <v>83</v>
      </c>
      <c r="E108" s="329">
        <f>'[5]01.BMC'!E103</f>
        <v>0</v>
      </c>
      <c r="F108" s="296">
        <f t="shared" ref="F108:F109" si="61">H108+P108+X108+AF108</f>
        <v>0</v>
      </c>
      <c r="G108" s="330" t="str">
        <f>IFERROR(F108/E108, "-")</f>
        <v>-</v>
      </c>
      <c r="H108" s="296">
        <f>SUM(I108:K108)</f>
        <v>0</v>
      </c>
      <c r="I108" s="297">
        <f>'[5]01.BMC'!I103</f>
        <v>0</v>
      </c>
      <c r="J108" s="297">
        <f>'[5]01.BMC'!J103</f>
        <v>0</v>
      </c>
      <c r="K108" s="298">
        <f>'[5]01.BMC'!K103</f>
        <v>0</v>
      </c>
      <c r="L108" s="296">
        <f>SUM(M108:O108)</f>
        <v>0</v>
      </c>
      <c r="M108" s="297">
        <f>'[5]01.BMC'!M103</f>
        <v>0</v>
      </c>
      <c r="N108" s="297">
        <f>'[5]01.BMC'!N103</f>
        <v>0</v>
      </c>
      <c r="O108" s="298">
        <f>'[5]01.BMC'!O103</f>
        <v>0</v>
      </c>
      <c r="P108" s="296">
        <f>SUM(Q108:S108)</f>
        <v>0</v>
      </c>
      <c r="Q108" s="297">
        <f>'[5]01.BMC'!Q103</f>
        <v>0</v>
      </c>
      <c r="R108" s="297">
        <f>'[5]01.BMC'!R103</f>
        <v>0</v>
      </c>
      <c r="S108" s="298">
        <f>'[5]01.BMC'!S103</f>
        <v>0</v>
      </c>
      <c r="T108" s="296">
        <f>SUM(U108:W108)</f>
        <v>0</v>
      </c>
      <c r="U108" s="297">
        <f>'[5]01.BMC'!U103</f>
        <v>0</v>
      </c>
      <c r="V108" s="297">
        <f>'[5]01.BMC'!V103</f>
        <v>0</v>
      </c>
      <c r="W108" s="298">
        <f>'[5]01.BMC'!W103</f>
        <v>0</v>
      </c>
      <c r="X108" s="296">
        <f>SUM(Y108:AA108)</f>
        <v>0</v>
      </c>
      <c r="Y108" s="297">
        <f>'[5]01.BMC'!Y103</f>
        <v>0</v>
      </c>
      <c r="Z108" s="297">
        <f>'[5]01.BMC'!Z103</f>
        <v>0</v>
      </c>
      <c r="AA108" s="298">
        <f>'[5]01.BMC'!AA103</f>
        <v>0</v>
      </c>
      <c r="AB108" s="296">
        <f>SUM(AC108:AE108)</f>
        <v>0</v>
      </c>
      <c r="AC108" s="297"/>
      <c r="AD108" s="297"/>
      <c r="AE108" s="298"/>
      <c r="AF108" s="296">
        <f>SUM(AG108:AI108)</f>
        <v>0</v>
      </c>
      <c r="AG108" s="297">
        <f>'[5]01.BMC'!AG103</f>
        <v>0</v>
      </c>
      <c r="AH108" s="297">
        <f>'[5]01.BMC'!AH103</f>
        <v>0</v>
      </c>
      <c r="AI108" s="298">
        <f>'[5]01.BMC'!AI103</f>
        <v>0</v>
      </c>
      <c r="AJ108" s="292">
        <f>SUM(AK108:AM108)</f>
        <v>0</v>
      </c>
      <c r="AK108" s="294"/>
      <c r="AL108" s="294"/>
      <c r="AM108" s="295"/>
      <c r="AN108" s="299"/>
      <c r="AO108" s="87" t="str">
        <f t="shared" si="50"/>
        <v>-</v>
      </c>
    </row>
    <row r="109" spans="1:41" s="88" customFormat="1" ht="27.75" hidden="1" customHeight="1" x14ac:dyDescent="0.75">
      <c r="A109" s="91" t="s">
        <v>87</v>
      </c>
      <c r="B109" s="92" t="s">
        <v>69</v>
      </c>
      <c r="C109" s="93">
        <v>73066</v>
      </c>
      <c r="D109" s="94" t="s">
        <v>70</v>
      </c>
      <c r="E109" s="331">
        <f>'[5]01.BMC'!E104</f>
        <v>0</v>
      </c>
      <c r="F109" s="287">
        <f t="shared" si="61"/>
        <v>0</v>
      </c>
      <c r="G109" s="332" t="str">
        <f t="shared" ref="G109:G112" si="62">IFERROR(F109/E109, "-")</f>
        <v>-</v>
      </c>
      <c r="H109" s="287">
        <f>SUM(I109:K109)</f>
        <v>0</v>
      </c>
      <c r="I109" s="288">
        <f>'[5]01.BMC'!I104</f>
        <v>0</v>
      </c>
      <c r="J109" s="288">
        <f>'[5]01.BMC'!J104</f>
        <v>0</v>
      </c>
      <c r="K109" s="289">
        <f>'[5]01.BMC'!K104</f>
        <v>0</v>
      </c>
      <c r="L109" s="287">
        <f>SUM(M109:O109)</f>
        <v>0</v>
      </c>
      <c r="M109" s="288">
        <f>'[5]01.BMC'!M104</f>
        <v>0</v>
      </c>
      <c r="N109" s="288">
        <f>'[5]01.BMC'!N104</f>
        <v>0</v>
      </c>
      <c r="O109" s="289">
        <f>'[5]01.BMC'!O104</f>
        <v>0</v>
      </c>
      <c r="P109" s="287">
        <f>SUM(Q109:S109)</f>
        <v>0</v>
      </c>
      <c r="Q109" s="288">
        <f>'[5]01.BMC'!Q104</f>
        <v>0</v>
      </c>
      <c r="R109" s="288">
        <f>'[5]01.BMC'!R104</f>
        <v>0</v>
      </c>
      <c r="S109" s="289">
        <f>'[5]01.BMC'!S104</f>
        <v>0</v>
      </c>
      <c r="T109" s="287">
        <f>SUM(U109:W109)</f>
        <v>0</v>
      </c>
      <c r="U109" s="288">
        <f>'[5]01.BMC'!U104</f>
        <v>0</v>
      </c>
      <c r="V109" s="288">
        <f>'[5]01.BMC'!V104</f>
        <v>0</v>
      </c>
      <c r="W109" s="289">
        <f>'[5]01.BMC'!W104</f>
        <v>0</v>
      </c>
      <c r="X109" s="287">
        <f>SUM(Y109:AA109)</f>
        <v>0</v>
      </c>
      <c r="Y109" s="288">
        <f>'[5]01.BMC'!Y104</f>
        <v>0</v>
      </c>
      <c r="Z109" s="288">
        <f>'[5]01.BMC'!Z104</f>
        <v>0</v>
      </c>
      <c r="AA109" s="289">
        <f>'[5]01.BMC'!AA104</f>
        <v>0</v>
      </c>
      <c r="AB109" s="287">
        <f>SUM(AC109:AE109)</f>
        <v>0</v>
      </c>
      <c r="AC109" s="288"/>
      <c r="AD109" s="288"/>
      <c r="AE109" s="289"/>
      <c r="AF109" s="287">
        <f>SUM(AG109:AI109)</f>
        <v>0</v>
      </c>
      <c r="AG109" s="288">
        <f>'[5]01.BMC'!AG104</f>
        <v>0</v>
      </c>
      <c r="AH109" s="288">
        <f>'[5]01.BMC'!AH104</f>
        <v>0</v>
      </c>
      <c r="AI109" s="289">
        <f>'[5]01.BMC'!AI104</f>
        <v>0</v>
      </c>
      <c r="AJ109" s="283">
        <f>SUM(AK109:AM109)</f>
        <v>0</v>
      </c>
      <c r="AK109" s="285"/>
      <c r="AL109" s="285"/>
      <c r="AM109" s="286"/>
      <c r="AN109" s="290"/>
      <c r="AO109" s="87" t="str">
        <f t="shared" si="50"/>
        <v>-</v>
      </c>
    </row>
    <row r="110" spans="1:41" s="233" customFormat="1" ht="27.75" hidden="1" customHeight="1" x14ac:dyDescent="0.75">
      <c r="A110" s="77" t="s">
        <v>87</v>
      </c>
      <c r="B110" s="78" t="s">
        <v>106</v>
      </c>
      <c r="C110" s="79">
        <v>73071</v>
      </c>
      <c r="D110" s="80" t="s">
        <v>107</v>
      </c>
      <c r="E110" s="329">
        <f>E237</f>
        <v>0</v>
      </c>
      <c r="F110" s="296">
        <f>H110+P110+X110+AF110</f>
        <v>0</v>
      </c>
      <c r="G110" s="330" t="str">
        <f t="shared" si="62"/>
        <v>-</v>
      </c>
      <c r="H110" s="296">
        <f>SUM(I110:K110)</f>
        <v>0</v>
      </c>
      <c r="I110" s="297">
        <f>I237</f>
        <v>0</v>
      </c>
      <c r="J110" s="297">
        <f>J237</f>
        <v>0</v>
      </c>
      <c r="K110" s="298">
        <f>K237</f>
        <v>0</v>
      </c>
      <c r="L110" s="296">
        <f>SUM(M110:O110)</f>
        <v>0</v>
      </c>
      <c r="M110" s="297">
        <f>M237</f>
        <v>0</v>
      </c>
      <c r="N110" s="297">
        <f>N237</f>
        <v>0</v>
      </c>
      <c r="O110" s="298">
        <f>O237</f>
        <v>0</v>
      </c>
      <c r="P110" s="296">
        <f>SUM(Q110:S110)</f>
        <v>0</v>
      </c>
      <c r="Q110" s="297">
        <f>Q237</f>
        <v>0</v>
      </c>
      <c r="R110" s="297">
        <f>R237</f>
        <v>0</v>
      </c>
      <c r="S110" s="298">
        <f>S237</f>
        <v>0</v>
      </c>
      <c r="T110" s="296">
        <f>SUM(U110:W110)</f>
        <v>0</v>
      </c>
      <c r="U110" s="297">
        <f>U237</f>
        <v>0</v>
      </c>
      <c r="V110" s="297">
        <f>V237</f>
        <v>0</v>
      </c>
      <c r="W110" s="298">
        <f>W237</f>
        <v>0</v>
      </c>
      <c r="X110" s="296">
        <f>SUM(Y110:AA110)</f>
        <v>0</v>
      </c>
      <c r="Y110" s="297">
        <f>Y237</f>
        <v>0</v>
      </c>
      <c r="Z110" s="297">
        <f>Z237</f>
        <v>0</v>
      </c>
      <c r="AA110" s="298">
        <f>AA237</f>
        <v>0</v>
      </c>
      <c r="AB110" s="296">
        <f>SUM(AC110:AE110)</f>
        <v>0</v>
      </c>
      <c r="AC110" s="297">
        <f>AC237</f>
        <v>0</v>
      </c>
      <c r="AD110" s="297">
        <f>AD237</f>
        <v>0</v>
      </c>
      <c r="AE110" s="298">
        <f>AE237</f>
        <v>0</v>
      </c>
      <c r="AF110" s="296">
        <f>SUM(AG110:AI110)</f>
        <v>0</v>
      </c>
      <c r="AG110" s="297">
        <f>AG237</f>
        <v>0</v>
      </c>
      <c r="AH110" s="297">
        <f>AH237</f>
        <v>0</v>
      </c>
      <c r="AI110" s="298">
        <f>AI237</f>
        <v>0</v>
      </c>
      <c r="AJ110" s="292">
        <f>SUM(AK110:AM110)</f>
        <v>0</v>
      </c>
      <c r="AK110" s="294">
        <f>AK237</f>
        <v>0</v>
      </c>
      <c r="AL110" s="294">
        <f>AL237</f>
        <v>0</v>
      </c>
      <c r="AM110" s="295">
        <f>AM237</f>
        <v>0</v>
      </c>
      <c r="AN110" s="299"/>
      <c r="AO110" s="231" t="str">
        <f t="shared" si="50"/>
        <v>-</v>
      </c>
    </row>
    <row r="111" spans="1:41" s="88" customFormat="1" ht="27.75" hidden="1" customHeight="1" x14ac:dyDescent="0.75">
      <c r="A111" s="129" t="s">
        <v>87</v>
      </c>
      <c r="B111" s="130" t="s">
        <v>106</v>
      </c>
      <c r="C111" s="333">
        <v>73072</v>
      </c>
      <c r="D111" s="334" t="s">
        <v>108</v>
      </c>
      <c r="E111" s="335">
        <f>E233+E238</f>
        <v>0</v>
      </c>
      <c r="F111" s="306">
        <f>H111+P111+X111+AF111</f>
        <v>0</v>
      </c>
      <c r="G111" s="336" t="str">
        <f t="shared" si="62"/>
        <v>-</v>
      </c>
      <c r="H111" s="306">
        <f>SUM(I111:K111)</f>
        <v>0</v>
      </c>
      <c r="I111" s="307">
        <f>I233+I238</f>
        <v>0</v>
      </c>
      <c r="J111" s="307">
        <f>J233+J238</f>
        <v>0</v>
      </c>
      <c r="K111" s="308">
        <f>K233+K238</f>
        <v>0</v>
      </c>
      <c r="L111" s="306">
        <f>SUM(M111:O111)</f>
        <v>0</v>
      </c>
      <c r="M111" s="307">
        <f>M233+M238</f>
        <v>0</v>
      </c>
      <c r="N111" s="307">
        <f>N233+N238</f>
        <v>0</v>
      </c>
      <c r="O111" s="308">
        <f>O233+O238</f>
        <v>0</v>
      </c>
      <c r="P111" s="306">
        <f>SUM(Q111:S111)</f>
        <v>0</v>
      </c>
      <c r="Q111" s="307">
        <f>Q233+Q238</f>
        <v>0</v>
      </c>
      <c r="R111" s="307">
        <f>R233+R238</f>
        <v>0</v>
      </c>
      <c r="S111" s="308">
        <f>S233+S238</f>
        <v>0</v>
      </c>
      <c r="T111" s="306">
        <f>SUM(U111:W111)</f>
        <v>0</v>
      </c>
      <c r="U111" s="307">
        <f>U233+U238</f>
        <v>0</v>
      </c>
      <c r="V111" s="307">
        <f>V233+V238</f>
        <v>0</v>
      </c>
      <c r="W111" s="308">
        <f>W233+W238</f>
        <v>0</v>
      </c>
      <c r="X111" s="306">
        <f>SUM(Y111:AA111)</f>
        <v>0</v>
      </c>
      <c r="Y111" s="307">
        <f>Y233+Y238</f>
        <v>0</v>
      </c>
      <c r="Z111" s="307">
        <f>Z233+Z238</f>
        <v>0</v>
      </c>
      <c r="AA111" s="308">
        <f>AA233+AA238</f>
        <v>0</v>
      </c>
      <c r="AB111" s="306">
        <f>SUM(AC111:AE111)</f>
        <v>0</v>
      </c>
      <c r="AC111" s="307">
        <f>AC233+AC238</f>
        <v>0</v>
      </c>
      <c r="AD111" s="307">
        <f>AD233+AD238</f>
        <v>0</v>
      </c>
      <c r="AE111" s="308">
        <f>AE233+AE238</f>
        <v>0</v>
      </c>
      <c r="AF111" s="306">
        <f>SUM(AG111:AI111)</f>
        <v>0</v>
      </c>
      <c r="AG111" s="307">
        <f>AG233+AG238</f>
        <v>0</v>
      </c>
      <c r="AH111" s="307">
        <f>AH233+AH238</f>
        <v>0</v>
      </c>
      <c r="AI111" s="308">
        <f>AI233+AI238</f>
        <v>0</v>
      </c>
      <c r="AJ111" s="309">
        <f>SUM(AK111:AM111)</f>
        <v>0</v>
      </c>
      <c r="AK111" s="310">
        <f>AK233+AK238</f>
        <v>0</v>
      </c>
      <c r="AL111" s="310">
        <f>AL233+AL238</f>
        <v>0</v>
      </c>
      <c r="AM111" s="311">
        <f>AM233+AM238</f>
        <v>0</v>
      </c>
      <c r="AN111" s="337"/>
      <c r="AO111" s="87" t="str">
        <f t="shared" si="50"/>
        <v>-</v>
      </c>
    </row>
    <row r="112" spans="1:41" s="88" customFormat="1" ht="27.75" hidden="1" customHeight="1" x14ac:dyDescent="0.75">
      <c r="A112" s="338"/>
      <c r="B112" s="339"/>
      <c r="C112" s="340"/>
      <c r="D112" s="341" t="s">
        <v>132</v>
      </c>
      <c r="E112" s="342">
        <f>SUM(E113:E116)</f>
        <v>0</v>
      </c>
      <c r="F112" s="322">
        <f>SUM(F113:F116)</f>
        <v>0</v>
      </c>
      <c r="G112" s="343" t="str">
        <f t="shared" si="62"/>
        <v>-</v>
      </c>
      <c r="H112" s="322">
        <f t="shared" ref="H112:AM112" si="63">SUM(H113:H116)</f>
        <v>0</v>
      </c>
      <c r="I112" s="323">
        <f t="shared" si="63"/>
        <v>0</v>
      </c>
      <c r="J112" s="323">
        <f t="shared" si="63"/>
        <v>0</v>
      </c>
      <c r="K112" s="324">
        <f t="shared" si="63"/>
        <v>0</v>
      </c>
      <c r="L112" s="322">
        <f t="shared" si="63"/>
        <v>0</v>
      </c>
      <c r="M112" s="323">
        <f t="shared" si="63"/>
        <v>0</v>
      </c>
      <c r="N112" s="323">
        <f t="shared" si="63"/>
        <v>0</v>
      </c>
      <c r="O112" s="324">
        <f t="shared" si="63"/>
        <v>0</v>
      </c>
      <c r="P112" s="322">
        <f t="shared" si="63"/>
        <v>0</v>
      </c>
      <c r="Q112" s="323">
        <f t="shared" si="63"/>
        <v>0</v>
      </c>
      <c r="R112" s="323">
        <f t="shared" si="63"/>
        <v>0</v>
      </c>
      <c r="S112" s="324">
        <f t="shared" si="63"/>
        <v>0</v>
      </c>
      <c r="T112" s="322">
        <f t="shared" si="63"/>
        <v>0</v>
      </c>
      <c r="U112" s="323">
        <f t="shared" si="63"/>
        <v>0</v>
      </c>
      <c r="V112" s="323">
        <f t="shared" si="63"/>
        <v>0</v>
      </c>
      <c r="W112" s="324">
        <f t="shared" si="63"/>
        <v>0</v>
      </c>
      <c r="X112" s="322">
        <f t="shared" si="63"/>
        <v>0</v>
      </c>
      <c r="Y112" s="323">
        <f t="shared" si="63"/>
        <v>0</v>
      </c>
      <c r="Z112" s="323">
        <f t="shared" si="63"/>
        <v>0</v>
      </c>
      <c r="AA112" s="324">
        <f t="shared" si="63"/>
        <v>0</v>
      </c>
      <c r="AB112" s="322">
        <f t="shared" si="63"/>
        <v>0</v>
      </c>
      <c r="AC112" s="323">
        <f t="shared" si="63"/>
        <v>0</v>
      </c>
      <c r="AD112" s="323">
        <f t="shared" si="63"/>
        <v>0</v>
      </c>
      <c r="AE112" s="324">
        <f t="shared" si="63"/>
        <v>0</v>
      </c>
      <c r="AF112" s="322">
        <f t="shared" si="63"/>
        <v>0</v>
      </c>
      <c r="AG112" s="323">
        <f t="shared" si="63"/>
        <v>0</v>
      </c>
      <c r="AH112" s="323">
        <f t="shared" si="63"/>
        <v>0</v>
      </c>
      <c r="AI112" s="324">
        <f t="shared" si="63"/>
        <v>0</v>
      </c>
      <c r="AJ112" s="325">
        <f t="shared" si="63"/>
        <v>0</v>
      </c>
      <c r="AK112" s="326">
        <f t="shared" si="63"/>
        <v>0</v>
      </c>
      <c r="AL112" s="326">
        <f t="shared" si="63"/>
        <v>0</v>
      </c>
      <c r="AM112" s="327">
        <f t="shared" si="63"/>
        <v>0</v>
      </c>
      <c r="AN112" s="344"/>
      <c r="AO112" s="87" t="str">
        <f t="shared" si="50"/>
        <v>-</v>
      </c>
    </row>
    <row r="113" spans="1:41" s="88" customFormat="1" ht="27.75" hidden="1" customHeight="1" x14ac:dyDescent="0.75">
      <c r="A113" s="77" t="s">
        <v>87</v>
      </c>
      <c r="B113" s="78" t="s">
        <v>65</v>
      </c>
      <c r="C113" s="79">
        <v>73023</v>
      </c>
      <c r="D113" s="80" t="s">
        <v>83</v>
      </c>
      <c r="E113" s="329">
        <f>'[5]01.BMC'!E108</f>
        <v>0</v>
      </c>
      <c r="F113" s="296">
        <f t="shared" ref="F113:F114" si="64">H113+P113+X113+AF113</f>
        <v>0</v>
      </c>
      <c r="G113" s="330" t="str">
        <f>IFERROR(F113/E113, "-")</f>
        <v>-</v>
      </c>
      <c r="H113" s="296">
        <f>SUM(I113:K113)</f>
        <v>0</v>
      </c>
      <c r="I113" s="297">
        <f>'[5]01.BMC'!I108</f>
        <v>0</v>
      </c>
      <c r="J113" s="297">
        <f>'[5]01.BMC'!J108</f>
        <v>0</v>
      </c>
      <c r="K113" s="298">
        <f>'[5]01.BMC'!K108</f>
        <v>0</v>
      </c>
      <c r="L113" s="296">
        <f>SUM(M113:O113)</f>
        <v>0</v>
      </c>
      <c r="M113" s="297">
        <f>'[5]01.BMC'!M108</f>
        <v>0</v>
      </c>
      <c r="N113" s="297">
        <f>'[5]01.BMC'!N108</f>
        <v>0</v>
      </c>
      <c r="O113" s="298">
        <f>'[5]01.BMC'!O108</f>
        <v>0</v>
      </c>
      <c r="P113" s="296">
        <f>SUM(Q113:S113)</f>
        <v>0</v>
      </c>
      <c r="Q113" s="297">
        <f>'[5]01.BMC'!Q108</f>
        <v>0</v>
      </c>
      <c r="R113" s="297">
        <f>'[5]01.BMC'!R108</f>
        <v>0</v>
      </c>
      <c r="S113" s="298">
        <f>'[5]01.BMC'!S108</f>
        <v>0</v>
      </c>
      <c r="T113" s="296">
        <f>SUM(U113:W113)</f>
        <v>0</v>
      </c>
      <c r="U113" s="297">
        <f>'[5]01.BMC'!U108</f>
        <v>0</v>
      </c>
      <c r="V113" s="297">
        <f>'[5]01.BMC'!V108</f>
        <v>0</v>
      </c>
      <c r="W113" s="298">
        <f>'[5]01.BMC'!W108</f>
        <v>0</v>
      </c>
      <c r="X113" s="296">
        <f>SUM(Y113:AA113)</f>
        <v>0</v>
      </c>
      <c r="Y113" s="297">
        <f>'[5]01.BMC'!Y108</f>
        <v>0</v>
      </c>
      <c r="Z113" s="297">
        <f>'[5]01.BMC'!Z108</f>
        <v>0</v>
      </c>
      <c r="AA113" s="298">
        <f>'[5]01.BMC'!AA108</f>
        <v>0</v>
      </c>
      <c r="AB113" s="296">
        <f>SUM(AC113:AE113)</f>
        <v>0</v>
      </c>
      <c r="AC113" s="297"/>
      <c r="AD113" s="297"/>
      <c r="AE113" s="298"/>
      <c r="AF113" s="296">
        <f>SUM(AG113:AI113)</f>
        <v>0</v>
      </c>
      <c r="AG113" s="297">
        <f>'[5]01.BMC'!AG108</f>
        <v>0</v>
      </c>
      <c r="AH113" s="297">
        <f>'[5]01.BMC'!AH108</f>
        <v>0</v>
      </c>
      <c r="AI113" s="298">
        <f>'[5]01.BMC'!AI108</f>
        <v>0</v>
      </c>
      <c r="AJ113" s="292">
        <f>SUM(AK113:AM113)</f>
        <v>0</v>
      </c>
      <c r="AK113" s="294"/>
      <c r="AL113" s="294"/>
      <c r="AM113" s="295"/>
      <c r="AN113" s="299"/>
      <c r="AO113" s="87" t="str">
        <f t="shared" si="50"/>
        <v>-</v>
      </c>
    </row>
    <row r="114" spans="1:41" s="88" customFormat="1" ht="27.75" hidden="1" customHeight="1" x14ac:dyDescent="0.75">
      <c r="A114" s="91" t="s">
        <v>87</v>
      </c>
      <c r="B114" s="92" t="s">
        <v>69</v>
      </c>
      <c r="C114" s="93">
        <v>73066</v>
      </c>
      <c r="D114" s="94" t="s">
        <v>70</v>
      </c>
      <c r="E114" s="331">
        <f>'[5]01.BMC'!E109</f>
        <v>0</v>
      </c>
      <c r="F114" s="287">
        <f t="shared" si="64"/>
        <v>0</v>
      </c>
      <c r="G114" s="332" t="str">
        <f t="shared" ref="G114:G117" si="65">IFERROR(F114/E114, "-")</f>
        <v>-</v>
      </c>
      <c r="H114" s="287">
        <f>SUM(I114:K114)</f>
        <v>0</v>
      </c>
      <c r="I114" s="288">
        <f>'[5]01.BMC'!I109</f>
        <v>0</v>
      </c>
      <c r="J114" s="288">
        <f>'[5]01.BMC'!J109</f>
        <v>0</v>
      </c>
      <c r="K114" s="289">
        <f>'[5]01.BMC'!K109</f>
        <v>0</v>
      </c>
      <c r="L114" s="287">
        <f>SUM(M114:O114)</f>
        <v>0</v>
      </c>
      <c r="M114" s="288">
        <f>'[5]01.BMC'!M109</f>
        <v>0</v>
      </c>
      <c r="N114" s="288">
        <f>'[5]01.BMC'!N109</f>
        <v>0</v>
      </c>
      <c r="O114" s="289">
        <f>'[5]01.BMC'!O109</f>
        <v>0</v>
      </c>
      <c r="P114" s="287">
        <f>SUM(Q114:S114)</f>
        <v>0</v>
      </c>
      <c r="Q114" s="288">
        <f>'[5]01.BMC'!Q109</f>
        <v>0</v>
      </c>
      <c r="R114" s="288">
        <f>'[5]01.BMC'!R109</f>
        <v>0</v>
      </c>
      <c r="S114" s="289">
        <f>'[5]01.BMC'!S109</f>
        <v>0</v>
      </c>
      <c r="T114" s="287">
        <f>SUM(U114:W114)</f>
        <v>0</v>
      </c>
      <c r="U114" s="288">
        <f>'[5]01.BMC'!U109</f>
        <v>0</v>
      </c>
      <c r="V114" s="288">
        <f>'[5]01.BMC'!V109</f>
        <v>0</v>
      </c>
      <c r="W114" s="289">
        <f>'[5]01.BMC'!W109</f>
        <v>0</v>
      </c>
      <c r="X114" s="287">
        <f>SUM(Y114:AA114)</f>
        <v>0</v>
      </c>
      <c r="Y114" s="288">
        <f>'[5]01.BMC'!Y109</f>
        <v>0</v>
      </c>
      <c r="Z114" s="288">
        <f>'[5]01.BMC'!Z109</f>
        <v>0</v>
      </c>
      <c r="AA114" s="289">
        <f>'[5]01.BMC'!AA109</f>
        <v>0</v>
      </c>
      <c r="AB114" s="287">
        <f>SUM(AC114:AE114)</f>
        <v>0</v>
      </c>
      <c r="AC114" s="288"/>
      <c r="AD114" s="288"/>
      <c r="AE114" s="289"/>
      <c r="AF114" s="287">
        <f>SUM(AG114:AI114)</f>
        <v>0</v>
      </c>
      <c r="AG114" s="288">
        <f>'[5]01.BMC'!AG109</f>
        <v>0</v>
      </c>
      <c r="AH114" s="288">
        <f>'[5]01.BMC'!AH109</f>
        <v>0</v>
      </c>
      <c r="AI114" s="289">
        <f>'[5]01.BMC'!AI109</f>
        <v>0</v>
      </c>
      <c r="AJ114" s="283">
        <f>SUM(AK114:AM114)</f>
        <v>0</v>
      </c>
      <c r="AK114" s="285"/>
      <c r="AL114" s="285"/>
      <c r="AM114" s="286"/>
      <c r="AN114" s="290"/>
      <c r="AO114" s="87" t="str">
        <f t="shared" si="50"/>
        <v>-</v>
      </c>
    </row>
    <row r="115" spans="1:41" s="233" customFormat="1" ht="27.75" hidden="1" customHeight="1" x14ac:dyDescent="0.75">
      <c r="A115" s="77" t="s">
        <v>87</v>
      </c>
      <c r="B115" s="78" t="s">
        <v>106</v>
      </c>
      <c r="C115" s="79">
        <v>73071</v>
      </c>
      <c r="D115" s="80" t="s">
        <v>107</v>
      </c>
      <c r="E115" s="329">
        <f>E242</f>
        <v>0</v>
      </c>
      <c r="F115" s="296">
        <f>H115+P115+X115+AF115</f>
        <v>0</v>
      </c>
      <c r="G115" s="330" t="str">
        <f t="shared" si="65"/>
        <v>-</v>
      </c>
      <c r="H115" s="296">
        <f>SUM(I115:K115)</f>
        <v>0</v>
      </c>
      <c r="I115" s="297">
        <f>I242</f>
        <v>0</v>
      </c>
      <c r="J115" s="297">
        <f>J242</f>
        <v>0</v>
      </c>
      <c r="K115" s="298">
        <f>K242</f>
        <v>0</v>
      </c>
      <c r="L115" s="296">
        <f>SUM(M115:O115)</f>
        <v>0</v>
      </c>
      <c r="M115" s="297">
        <f>M242</f>
        <v>0</v>
      </c>
      <c r="N115" s="297">
        <f>N242</f>
        <v>0</v>
      </c>
      <c r="O115" s="298">
        <f>O242</f>
        <v>0</v>
      </c>
      <c r="P115" s="296">
        <f>SUM(Q115:S115)</f>
        <v>0</v>
      </c>
      <c r="Q115" s="297">
        <f>Q242</f>
        <v>0</v>
      </c>
      <c r="R115" s="297">
        <f>R242</f>
        <v>0</v>
      </c>
      <c r="S115" s="298">
        <f>S242</f>
        <v>0</v>
      </c>
      <c r="T115" s="296">
        <f>SUM(U115:W115)</f>
        <v>0</v>
      </c>
      <c r="U115" s="297">
        <f>U242</f>
        <v>0</v>
      </c>
      <c r="V115" s="297">
        <f>V242</f>
        <v>0</v>
      </c>
      <c r="W115" s="298">
        <f>W242</f>
        <v>0</v>
      </c>
      <c r="X115" s="296">
        <f>SUM(Y115:AA115)</f>
        <v>0</v>
      </c>
      <c r="Y115" s="297">
        <f>Y242</f>
        <v>0</v>
      </c>
      <c r="Z115" s="297">
        <f>Z242</f>
        <v>0</v>
      </c>
      <c r="AA115" s="298">
        <f>AA242</f>
        <v>0</v>
      </c>
      <c r="AB115" s="296">
        <f>SUM(AC115:AE115)</f>
        <v>0</v>
      </c>
      <c r="AC115" s="297">
        <f>AC242</f>
        <v>0</v>
      </c>
      <c r="AD115" s="297">
        <f>AD242</f>
        <v>0</v>
      </c>
      <c r="AE115" s="298">
        <f>AE242</f>
        <v>0</v>
      </c>
      <c r="AF115" s="296">
        <f>SUM(AG115:AI115)</f>
        <v>0</v>
      </c>
      <c r="AG115" s="297">
        <f>AG242</f>
        <v>0</v>
      </c>
      <c r="AH115" s="297">
        <f>AH242</f>
        <v>0</v>
      </c>
      <c r="AI115" s="298">
        <f>AI242</f>
        <v>0</v>
      </c>
      <c r="AJ115" s="292">
        <f>SUM(AK115:AM115)</f>
        <v>0</v>
      </c>
      <c r="AK115" s="294">
        <f>AK242</f>
        <v>0</v>
      </c>
      <c r="AL115" s="294">
        <f>AL242</f>
        <v>0</v>
      </c>
      <c r="AM115" s="295">
        <f>AM242</f>
        <v>0</v>
      </c>
      <c r="AN115" s="299"/>
      <c r="AO115" s="231" t="str">
        <f t="shared" si="50"/>
        <v>-</v>
      </c>
    </row>
    <row r="116" spans="1:41" s="88" customFormat="1" ht="27.75" hidden="1" customHeight="1" x14ac:dyDescent="0.75">
      <c r="A116" s="129" t="s">
        <v>87</v>
      </c>
      <c r="B116" s="130" t="s">
        <v>106</v>
      </c>
      <c r="C116" s="333">
        <v>73072</v>
      </c>
      <c r="D116" s="334" t="s">
        <v>108</v>
      </c>
      <c r="E116" s="335">
        <f>E238+E243</f>
        <v>0</v>
      </c>
      <c r="F116" s="306">
        <f>H116+P116+X116+AF116</f>
        <v>0</v>
      </c>
      <c r="G116" s="336" t="str">
        <f t="shared" si="65"/>
        <v>-</v>
      </c>
      <c r="H116" s="306">
        <f>SUM(I116:K116)</f>
        <v>0</v>
      </c>
      <c r="I116" s="307">
        <f>I238+I243</f>
        <v>0</v>
      </c>
      <c r="J116" s="307">
        <f>J238+J243</f>
        <v>0</v>
      </c>
      <c r="K116" s="308">
        <f>K238+K243</f>
        <v>0</v>
      </c>
      <c r="L116" s="306">
        <f>SUM(M116:O116)</f>
        <v>0</v>
      </c>
      <c r="M116" s="307">
        <f>M238+M243</f>
        <v>0</v>
      </c>
      <c r="N116" s="307">
        <f>N238+N243</f>
        <v>0</v>
      </c>
      <c r="O116" s="308">
        <f>O238+O243</f>
        <v>0</v>
      </c>
      <c r="P116" s="306">
        <f>SUM(Q116:S116)</f>
        <v>0</v>
      </c>
      <c r="Q116" s="307">
        <f>Q238+Q243</f>
        <v>0</v>
      </c>
      <c r="R116" s="307">
        <f>R238+R243</f>
        <v>0</v>
      </c>
      <c r="S116" s="308">
        <f>S238+S243</f>
        <v>0</v>
      </c>
      <c r="T116" s="306">
        <f>SUM(U116:W116)</f>
        <v>0</v>
      </c>
      <c r="U116" s="307">
        <f>U238+U243</f>
        <v>0</v>
      </c>
      <c r="V116" s="307">
        <f>V238+V243</f>
        <v>0</v>
      </c>
      <c r="W116" s="308">
        <f>W238+W243</f>
        <v>0</v>
      </c>
      <c r="X116" s="306">
        <f>SUM(Y116:AA116)</f>
        <v>0</v>
      </c>
      <c r="Y116" s="307">
        <f>Y238+Y243</f>
        <v>0</v>
      </c>
      <c r="Z116" s="307">
        <f>Z238+Z243</f>
        <v>0</v>
      </c>
      <c r="AA116" s="308">
        <f>AA238+AA243</f>
        <v>0</v>
      </c>
      <c r="AB116" s="306">
        <f>SUM(AC116:AE116)</f>
        <v>0</v>
      </c>
      <c r="AC116" s="307">
        <f>AC238+AC243</f>
        <v>0</v>
      </c>
      <c r="AD116" s="307">
        <f>AD238+AD243</f>
        <v>0</v>
      </c>
      <c r="AE116" s="308">
        <f>AE238+AE243</f>
        <v>0</v>
      </c>
      <c r="AF116" s="306">
        <f>SUM(AG116:AI116)</f>
        <v>0</v>
      </c>
      <c r="AG116" s="307">
        <f>AG238+AG243</f>
        <v>0</v>
      </c>
      <c r="AH116" s="307">
        <f>AH238+AH243</f>
        <v>0</v>
      </c>
      <c r="AI116" s="308">
        <f>AI238+AI243</f>
        <v>0</v>
      </c>
      <c r="AJ116" s="309">
        <f>SUM(AK116:AM116)</f>
        <v>0</v>
      </c>
      <c r="AK116" s="310">
        <f>AK238+AK243</f>
        <v>0</v>
      </c>
      <c r="AL116" s="310">
        <f>AL238+AL243</f>
        <v>0</v>
      </c>
      <c r="AM116" s="311">
        <f>AM238+AM243</f>
        <v>0</v>
      </c>
      <c r="AN116" s="337"/>
      <c r="AO116" s="87" t="str">
        <f t="shared" si="50"/>
        <v>-</v>
      </c>
    </row>
    <row r="117" spans="1:41" s="88" customFormat="1" ht="27.75" hidden="1" customHeight="1" x14ac:dyDescent="0.75">
      <c r="A117" s="338"/>
      <c r="B117" s="339"/>
      <c r="C117" s="340"/>
      <c r="D117" s="341" t="s">
        <v>133</v>
      </c>
      <c r="E117" s="342">
        <f>SUM(E118:E121)</f>
        <v>0</v>
      </c>
      <c r="F117" s="322">
        <f>SUM(F118:F121)</f>
        <v>0</v>
      </c>
      <c r="G117" s="343" t="str">
        <f t="shared" si="65"/>
        <v>-</v>
      </c>
      <c r="H117" s="322">
        <f t="shared" ref="H117:AM117" si="66">SUM(H118:H121)</f>
        <v>0</v>
      </c>
      <c r="I117" s="323">
        <f t="shared" si="66"/>
        <v>0</v>
      </c>
      <c r="J117" s="323">
        <f t="shared" si="66"/>
        <v>0</v>
      </c>
      <c r="K117" s="324">
        <f t="shared" si="66"/>
        <v>0</v>
      </c>
      <c r="L117" s="322">
        <f t="shared" si="66"/>
        <v>0</v>
      </c>
      <c r="M117" s="323">
        <f t="shared" si="66"/>
        <v>0</v>
      </c>
      <c r="N117" s="323">
        <f t="shared" si="66"/>
        <v>0</v>
      </c>
      <c r="O117" s="324">
        <f t="shared" si="66"/>
        <v>0</v>
      </c>
      <c r="P117" s="322">
        <f t="shared" si="66"/>
        <v>0</v>
      </c>
      <c r="Q117" s="323">
        <f t="shared" si="66"/>
        <v>0</v>
      </c>
      <c r="R117" s="323">
        <f t="shared" si="66"/>
        <v>0</v>
      </c>
      <c r="S117" s="324">
        <f t="shared" si="66"/>
        <v>0</v>
      </c>
      <c r="T117" s="322">
        <f t="shared" si="66"/>
        <v>0</v>
      </c>
      <c r="U117" s="323">
        <f t="shared" si="66"/>
        <v>0</v>
      </c>
      <c r="V117" s="323">
        <f t="shared" si="66"/>
        <v>0</v>
      </c>
      <c r="W117" s="324">
        <f t="shared" si="66"/>
        <v>0</v>
      </c>
      <c r="X117" s="322">
        <f t="shared" si="66"/>
        <v>0</v>
      </c>
      <c r="Y117" s="323">
        <f t="shared" si="66"/>
        <v>0</v>
      </c>
      <c r="Z117" s="323">
        <f t="shared" si="66"/>
        <v>0</v>
      </c>
      <c r="AA117" s="324">
        <f t="shared" si="66"/>
        <v>0</v>
      </c>
      <c r="AB117" s="322">
        <f t="shared" si="66"/>
        <v>0</v>
      </c>
      <c r="AC117" s="323">
        <f t="shared" si="66"/>
        <v>0</v>
      </c>
      <c r="AD117" s="323">
        <f t="shared" si="66"/>
        <v>0</v>
      </c>
      <c r="AE117" s="324">
        <f t="shared" si="66"/>
        <v>0</v>
      </c>
      <c r="AF117" s="322">
        <f t="shared" si="66"/>
        <v>0</v>
      </c>
      <c r="AG117" s="323">
        <f t="shared" si="66"/>
        <v>0</v>
      </c>
      <c r="AH117" s="323">
        <f t="shared" si="66"/>
        <v>0</v>
      </c>
      <c r="AI117" s="324">
        <f t="shared" si="66"/>
        <v>0</v>
      </c>
      <c r="AJ117" s="325">
        <f t="shared" si="66"/>
        <v>0</v>
      </c>
      <c r="AK117" s="326">
        <f t="shared" si="66"/>
        <v>0</v>
      </c>
      <c r="AL117" s="326">
        <f t="shared" si="66"/>
        <v>0</v>
      </c>
      <c r="AM117" s="327">
        <f t="shared" si="66"/>
        <v>0</v>
      </c>
      <c r="AN117" s="344"/>
      <c r="AO117" s="87" t="str">
        <f t="shared" si="50"/>
        <v>-</v>
      </c>
    </row>
    <row r="118" spans="1:41" s="88" customFormat="1" ht="27.75" hidden="1" customHeight="1" x14ac:dyDescent="0.75">
      <c r="A118" s="77" t="s">
        <v>87</v>
      </c>
      <c r="B118" s="78" t="s">
        <v>65</v>
      </c>
      <c r="C118" s="79">
        <v>73023</v>
      </c>
      <c r="D118" s="80" t="s">
        <v>83</v>
      </c>
      <c r="E118" s="329">
        <f>'[5]01.BMC'!E113</f>
        <v>0</v>
      </c>
      <c r="F118" s="296">
        <f t="shared" ref="F118:F119" si="67">H118+P118+X118+AF118</f>
        <v>0</v>
      </c>
      <c r="G118" s="330" t="str">
        <f>IFERROR(F118/E118, "-")</f>
        <v>-</v>
      </c>
      <c r="H118" s="296">
        <f>SUM(I118:K118)</f>
        <v>0</v>
      </c>
      <c r="I118" s="297">
        <f>'[5]01.BMC'!I113</f>
        <v>0</v>
      </c>
      <c r="J118" s="297">
        <f>'[5]01.BMC'!J113</f>
        <v>0</v>
      </c>
      <c r="K118" s="298">
        <f>'[5]01.BMC'!K113</f>
        <v>0</v>
      </c>
      <c r="L118" s="296">
        <f>SUM(M118:O118)</f>
        <v>0</v>
      </c>
      <c r="M118" s="297">
        <f>'[5]01.BMC'!M113</f>
        <v>0</v>
      </c>
      <c r="N118" s="297">
        <f>'[5]01.BMC'!N113</f>
        <v>0</v>
      </c>
      <c r="O118" s="298">
        <f>'[5]01.BMC'!O113</f>
        <v>0</v>
      </c>
      <c r="P118" s="296">
        <f>SUM(Q118:S118)</f>
        <v>0</v>
      </c>
      <c r="Q118" s="297">
        <f>'[5]01.BMC'!Q113</f>
        <v>0</v>
      </c>
      <c r="R118" s="297">
        <f>'[5]01.BMC'!R113</f>
        <v>0</v>
      </c>
      <c r="S118" s="298">
        <f>'[5]01.BMC'!S113</f>
        <v>0</v>
      </c>
      <c r="T118" s="296">
        <f>SUM(U118:W118)</f>
        <v>0</v>
      </c>
      <c r="U118" s="297">
        <f>'[5]01.BMC'!U113</f>
        <v>0</v>
      </c>
      <c r="V118" s="297">
        <f>'[5]01.BMC'!V113</f>
        <v>0</v>
      </c>
      <c r="W118" s="298">
        <f>'[5]01.BMC'!W113</f>
        <v>0</v>
      </c>
      <c r="X118" s="296">
        <f>SUM(Y118:AA118)</f>
        <v>0</v>
      </c>
      <c r="Y118" s="297">
        <f>'[5]01.BMC'!Y113</f>
        <v>0</v>
      </c>
      <c r="Z118" s="297">
        <f>'[5]01.BMC'!Z113</f>
        <v>0</v>
      </c>
      <c r="AA118" s="298">
        <f>'[5]01.BMC'!AA113</f>
        <v>0</v>
      </c>
      <c r="AB118" s="296">
        <f>SUM(AC118:AE118)</f>
        <v>0</v>
      </c>
      <c r="AC118" s="297"/>
      <c r="AD118" s="297"/>
      <c r="AE118" s="298"/>
      <c r="AF118" s="296">
        <f>SUM(AG118:AI118)</f>
        <v>0</v>
      </c>
      <c r="AG118" s="297">
        <f>'[5]01.BMC'!AG113</f>
        <v>0</v>
      </c>
      <c r="AH118" s="297">
        <f>'[5]01.BMC'!AH113</f>
        <v>0</v>
      </c>
      <c r="AI118" s="298">
        <f>'[5]01.BMC'!AI113</f>
        <v>0</v>
      </c>
      <c r="AJ118" s="292">
        <f>SUM(AK118:AM118)</f>
        <v>0</v>
      </c>
      <c r="AK118" s="294"/>
      <c r="AL118" s="294"/>
      <c r="AM118" s="295"/>
      <c r="AN118" s="299"/>
      <c r="AO118" s="87" t="str">
        <f t="shared" si="50"/>
        <v>-</v>
      </c>
    </row>
    <row r="119" spans="1:41" s="88" customFormat="1" ht="27.75" hidden="1" customHeight="1" x14ac:dyDescent="0.75">
      <c r="A119" s="91" t="s">
        <v>87</v>
      </c>
      <c r="B119" s="92" t="s">
        <v>69</v>
      </c>
      <c r="C119" s="93">
        <v>73066</v>
      </c>
      <c r="D119" s="94" t="s">
        <v>70</v>
      </c>
      <c r="E119" s="331">
        <f>'[5]01.BMC'!E114</f>
        <v>0</v>
      </c>
      <c r="F119" s="287">
        <f t="shared" si="67"/>
        <v>0</v>
      </c>
      <c r="G119" s="332" t="str">
        <f t="shared" ref="G119:G122" si="68">IFERROR(F119/E119, "-")</f>
        <v>-</v>
      </c>
      <c r="H119" s="287">
        <f>SUM(I119:K119)</f>
        <v>0</v>
      </c>
      <c r="I119" s="288">
        <f>'[5]01.BMC'!I114</f>
        <v>0</v>
      </c>
      <c r="J119" s="288">
        <f>'[5]01.BMC'!J114</f>
        <v>0</v>
      </c>
      <c r="K119" s="289">
        <f>'[5]01.BMC'!K114</f>
        <v>0</v>
      </c>
      <c r="L119" s="287">
        <f>SUM(M119:O119)</f>
        <v>0</v>
      </c>
      <c r="M119" s="288">
        <f>'[5]01.BMC'!M114</f>
        <v>0</v>
      </c>
      <c r="N119" s="288">
        <f>'[5]01.BMC'!N114</f>
        <v>0</v>
      </c>
      <c r="O119" s="289">
        <f>'[5]01.BMC'!O114</f>
        <v>0</v>
      </c>
      <c r="P119" s="287">
        <f>SUM(Q119:S119)</f>
        <v>0</v>
      </c>
      <c r="Q119" s="288">
        <f>'[5]01.BMC'!Q114</f>
        <v>0</v>
      </c>
      <c r="R119" s="288">
        <f>'[5]01.BMC'!R114</f>
        <v>0</v>
      </c>
      <c r="S119" s="289">
        <f>'[5]01.BMC'!S114</f>
        <v>0</v>
      </c>
      <c r="T119" s="287">
        <f>SUM(U119:W119)</f>
        <v>0</v>
      </c>
      <c r="U119" s="288">
        <f>'[5]01.BMC'!U114</f>
        <v>0</v>
      </c>
      <c r="V119" s="288">
        <f>'[5]01.BMC'!V114</f>
        <v>0</v>
      </c>
      <c r="W119" s="289">
        <f>'[5]01.BMC'!W114</f>
        <v>0</v>
      </c>
      <c r="X119" s="287">
        <f>SUM(Y119:AA119)</f>
        <v>0</v>
      </c>
      <c r="Y119" s="288">
        <f>'[5]01.BMC'!Y114</f>
        <v>0</v>
      </c>
      <c r="Z119" s="288">
        <f>'[5]01.BMC'!Z114</f>
        <v>0</v>
      </c>
      <c r="AA119" s="289">
        <f>'[5]01.BMC'!AA114</f>
        <v>0</v>
      </c>
      <c r="AB119" s="287">
        <f>SUM(AC119:AE119)</f>
        <v>0</v>
      </c>
      <c r="AC119" s="288"/>
      <c r="AD119" s="288"/>
      <c r="AE119" s="289"/>
      <c r="AF119" s="287">
        <f>SUM(AG119:AI119)</f>
        <v>0</v>
      </c>
      <c r="AG119" s="288">
        <f>'[5]01.BMC'!AG114</f>
        <v>0</v>
      </c>
      <c r="AH119" s="288">
        <f>'[5]01.BMC'!AH114</f>
        <v>0</v>
      </c>
      <c r="AI119" s="289">
        <f>'[5]01.BMC'!AI114</f>
        <v>0</v>
      </c>
      <c r="AJ119" s="283">
        <f>SUM(AK119:AM119)</f>
        <v>0</v>
      </c>
      <c r="AK119" s="285"/>
      <c r="AL119" s="285"/>
      <c r="AM119" s="286"/>
      <c r="AN119" s="290"/>
      <c r="AO119" s="87" t="str">
        <f t="shared" si="50"/>
        <v>-</v>
      </c>
    </row>
    <row r="120" spans="1:41" s="233" customFormat="1" ht="27.75" hidden="1" customHeight="1" x14ac:dyDescent="0.75">
      <c r="A120" s="77" t="s">
        <v>87</v>
      </c>
      <c r="B120" s="78" t="s">
        <v>106</v>
      </c>
      <c r="C120" s="79">
        <v>73071</v>
      </c>
      <c r="D120" s="80" t="s">
        <v>107</v>
      </c>
      <c r="E120" s="329">
        <f>E247</f>
        <v>0</v>
      </c>
      <c r="F120" s="296">
        <f>H120+P120+X120+AF120</f>
        <v>0</v>
      </c>
      <c r="G120" s="330" t="str">
        <f t="shared" si="68"/>
        <v>-</v>
      </c>
      <c r="H120" s="296">
        <f>SUM(I120:K120)</f>
        <v>0</v>
      </c>
      <c r="I120" s="297">
        <f>I247</f>
        <v>0</v>
      </c>
      <c r="J120" s="297">
        <f>J247</f>
        <v>0</v>
      </c>
      <c r="K120" s="298">
        <f>K247</f>
        <v>0</v>
      </c>
      <c r="L120" s="296">
        <f>SUM(M120:O120)</f>
        <v>0</v>
      </c>
      <c r="M120" s="297">
        <f>M247</f>
        <v>0</v>
      </c>
      <c r="N120" s="297">
        <f>N247</f>
        <v>0</v>
      </c>
      <c r="O120" s="298">
        <f>O247</f>
        <v>0</v>
      </c>
      <c r="P120" s="296">
        <f>SUM(Q120:S120)</f>
        <v>0</v>
      </c>
      <c r="Q120" s="297">
        <f>Q247</f>
        <v>0</v>
      </c>
      <c r="R120" s="297">
        <f>R247</f>
        <v>0</v>
      </c>
      <c r="S120" s="298">
        <f>S247</f>
        <v>0</v>
      </c>
      <c r="T120" s="296">
        <f>SUM(U120:W120)</f>
        <v>0</v>
      </c>
      <c r="U120" s="297">
        <f>U247</f>
        <v>0</v>
      </c>
      <c r="V120" s="297">
        <f>V247</f>
        <v>0</v>
      </c>
      <c r="W120" s="298">
        <f>W247</f>
        <v>0</v>
      </c>
      <c r="X120" s="296">
        <f>SUM(Y120:AA120)</f>
        <v>0</v>
      </c>
      <c r="Y120" s="297">
        <f>Y247</f>
        <v>0</v>
      </c>
      <c r="Z120" s="297">
        <f>Z247</f>
        <v>0</v>
      </c>
      <c r="AA120" s="298">
        <f>AA247</f>
        <v>0</v>
      </c>
      <c r="AB120" s="296">
        <f>SUM(AC120:AE120)</f>
        <v>0</v>
      </c>
      <c r="AC120" s="297">
        <f>AC247</f>
        <v>0</v>
      </c>
      <c r="AD120" s="297">
        <f>AD247</f>
        <v>0</v>
      </c>
      <c r="AE120" s="298">
        <f>AE247</f>
        <v>0</v>
      </c>
      <c r="AF120" s="296">
        <f>SUM(AG120:AI120)</f>
        <v>0</v>
      </c>
      <c r="AG120" s="297">
        <f>AG247</f>
        <v>0</v>
      </c>
      <c r="AH120" s="297">
        <f>AH247</f>
        <v>0</v>
      </c>
      <c r="AI120" s="298">
        <f>AI247</f>
        <v>0</v>
      </c>
      <c r="AJ120" s="292">
        <f>SUM(AK120:AM120)</f>
        <v>0</v>
      </c>
      <c r="AK120" s="294">
        <f>AK247</f>
        <v>0</v>
      </c>
      <c r="AL120" s="294">
        <f>AL247</f>
        <v>0</v>
      </c>
      <c r="AM120" s="295">
        <f>AM247</f>
        <v>0</v>
      </c>
      <c r="AN120" s="299"/>
      <c r="AO120" s="231" t="str">
        <f t="shared" si="50"/>
        <v>-</v>
      </c>
    </row>
    <row r="121" spans="1:41" s="88" customFormat="1" ht="27.75" hidden="1" customHeight="1" x14ac:dyDescent="0.75">
      <c r="A121" s="129" t="s">
        <v>87</v>
      </c>
      <c r="B121" s="130" t="s">
        <v>106</v>
      </c>
      <c r="C121" s="333">
        <v>73072</v>
      </c>
      <c r="D121" s="334" t="s">
        <v>108</v>
      </c>
      <c r="E121" s="335">
        <f>E243+E248</f>
        <v>0</v>
      </c>
      <c r="F121" s="306">
        <f>H121+P121+X121+AF121</f>
        <v>0</v>
      </c>
      <c r="G121" s="336" t="str">
        <f t="shared" si="68"/>
        <v>-</v>
      </c>
      <c r="H121" s="306">
        <f>SUM(I121:K121)</f>
        <v>0</v>
      </c>
      <c r="I121" s="307">
        <f>I243+I248</f>
        <v>0</v>
      </c>
      <c r="J121" s="307">
        <f>J243+J248</f>
        <v>0</v>
      </c>
      <c r="K121" s="308">
        <f>K243+K248</f>
        <v>0</v>
      </c>
      <c r="L121" s="306">
        <f>SUM(M121:O121)</f>
        <v>0</v>
      </c>
      <c r="M121" s="307">
        <f>M243+M248</f>
        <v>0</v>
      </c>
      <c r="N121" s="307">
        <f>N243+N248</f>
        <v>0</v>
      </c>
      <c r="O121" s="308">
        <f>O243+O248</f>
        <v>0</v>
      </c>
      <c r="P121" s="306">
        <f>SUM(Q121:S121)</f>
        <v>0</v>
      </c>
      <c r="Q121" s="307">
        <f>Q243+Q248</f>
        <v>0</v>
      </c>
      <c r="R121" s="307">
        <f>R243+R248</f>
        <v>0</v>
      </c>
      <c r="S121" s="308">
        <f>S243+S248</f>
        <v>0</v>
      </c>
      <c r="T121" s="306">
        <f>SUM(U121:W121)</f>
        <v>0</v>
      </c>
      <c r="U121" s="307">
        <f>U243+U248</f>
        <v>0</v>
      </c>
      <c r="V121" s="307">
        <f>V243+V248</f>
        <v>0</v>
      </c>
      <c r="W121" s="308">
        <f>W243+W248</f>
        <v>0</v>
      </c>
      <c r="X121" s="306">
        <f>SUM(Y121:AA121)</f>
        <v>0</v>
      </c>
      <c r="Y121" s="307">
        <f>Y243+Y248</f>
        <v>0</v>
      </c>
      <c r="Z121" s="307">
        <f>Z243+Z248</f>
        <v>0</v>
      </c>
      <c r="AA121" s="308">
        <f>AA243+AA248</f>
        <v>0</v>
      </c>
      <c r="AB121" s="306">
        <f>SUM(AC121:AE121)</f>
        <v>0</v>
      </c>
      <c r="AC121" s="307">
        <f>AC243+AC248</f>
        <v>0</v>
      </c>
      <c r="AD121" s="307">
        <f>AD243+AD248</f>
        <v>0</v>
      </c>
      <c r="AE121" s="308">
        <f>AE243+AE248</f>
        <v>0</v>
      </c>
      <c r="AF121" s="306">
        <f>SUM(AG121:AI121)</f>
        <v>0</v>
      </c>
      <c r="AG121" s="307">
        <f>AG243+AG248</f>
        <v>0</v>
      </c>
      <c r="AH121" s="307">
        <f>AH243+AH248</f>
        <v>0</v>
      </c>
      <c r="AI121" s="308">
        <f>AI243+AI248</f>
        <v>0</v>
      </c>
      <c r="AJ121" s="309">
        <f>SUM(AK121:AM121)</f>
        <v>0</v>
      </c>
      <c r="AK121" s="310">
        <f>AK243+AK248</f>
        <v>0</v>
      </c>
      <c r="AL121" s="310">
        <f>AL243+AL248</f>
        <v>0</v>
      </c>
      <c r="AM121" s="311">
        <f>AM243+AM248</f>
        <v>0</v>
      </c>
      <c r="AN121" s="337"/>
      <c r="AO121" s="87" t="str">
        <f t="shared" si="50"/>
        <v>-</v>
      </c>
    </row>
    <row r="122" spans="1:41" s="88" customFormat="1" ht="27.75" hidden="1" customHeight="1" x14ac:dyDescent="0.75">
      <c r="A122" s="338"/>
      <c r="B122" s="339"/>
      <c r="C122" s="340"/>
      <c r="D122" s="341" t="s">
        <v>134</v>
      </c>
      <c r="E122" s="342">
        <f>SUM(E123:E126)</f>
        <v>0</v>
      </c>
      <c r="F122" s="322">
        <f>SUM(F123:F126)</f>
        <v>0</v>
      </c>
      <c r="G122" s="343" t="str">
        <f t="shared" si="68"/>
        <v>-</v>
      </c>
      <c r="H122" s="322">
        <f t="shared" ref="H122:AM122" si="69">SUM(H123:H126)</f>
        <v>0</v>
      </c>
      <c r="I122" s="323">
        <f t="shared" si="69"/>
        <v>0</v>
      </c>
      <c r="J122" s="323">
        <f t="shared" si="69"/>
        <v>0</v>
      </c>
      <c r="K122" s="324">
        <f t="shared" si="69"/>
        <v>0</v>
      </c>
      <c r="L122" s="322">
        <f t="shared" si="69"/>
        <v>0</v>
      </c>
      <c r="M122" s="323">
        <f t="shared" si="69"/>
        <v>0</v>
      </c>
      <c r="N122" s="323">
        <f t="shared" si="69"/>
        <v>0</v>
      </c>
      <c r="O122" s="324">
        <f t="shared" si="69"/>
        <v>0</v>
      </c>
      <c r="P122" s="322">
        <f t="shared" si="69"/>
        <v>0</v>
      </c>
      <c r="Q122" s="323">
        <f t="shared" si="69"/>
        <v>0</v>
      </c>
      <c r="R122" s="323">
        <f t="shared" si="69"/>
        <v>0</v>
      </c>
      <c r="S122" s="324">
        <f t="shared" si="69"/>
        <v>0</v>
      </c>
      <c r="T122" s="322">
        <f t="shared" si="69"/>
        <v>0</v>
      </c>
      <c r="U122" s="323">
        <f t="shared" si="69"/>
        <v>0</v>
      </c>
      <c r="V122" s="323">
        <f t="shared" si="69"/>
        <v>0</v>
      </c>
      <c r="W122" s="324">
        <f t="shared" si="69"/>
        <v>0</v>
      </c>
      <c r="X122" s="322">
        <f t="shared" si="69"/>
        <v>0</v>
      </c>
      <c r="Y122" s="323">
        <f t="shared" si="69"/>
        <v>0</v>
      </c>
      <c r="Z122" s="323">
        <f t="shared" si="69"/>
        <v>0</v>
      </c>
      <c r="AA122" s="324">
        <f t="shared" si="69"/>
        <v>0</v>
      </c>
      <c r="AB122" s="322">
        <f t="shared" si="69"/>
        <v>0</v>
      </c>
      <c r="AC122" s="323">
        <f t="shared" si="69"/>
        <v>0</v>
      </c>
      <c r="AD122" s="323">
        <f t="shared" si="69"/>
        <v>0</v>
      </c>
      <c r="AE122" s="324">
        <f t="shared" si="69"/>
        <v>0</v>
      </c>
      <c r="AF122" s="322">
        <f t="shared" si="69"/>
        <v>0</v>
      </c>
      <c r="AG122" s="323">
        <f t="shared" si="69"/>
        <v>0</v>
      </c>
      <c r="AH122" s="323">
        <f t="shared" si="69"/>
        <v>0</v>
      </c>
      <c r="AI122" s="324">
        <f t="shared" si="69"/>
        <v>0</v>
      </c>
      <c r="AJ122" s="325">
        <f t="shared" si="69"/>
        <v>0</v>
      </c>
      <c r="AK122" s="326">
        <f t="shared" si="69"/>
        <v>0</v>
      </c>
      <c r="AL122" s="326">
        <f t="shared" si="69"/>
        <v>0</v>
      </c>
      <c r="AM122" s="327">
        <f t="shared" si="69"/>
        <v>0</v>
      </c>
      <c r="AN122" s="344"/>
      <c r="AO122" s="87" t="str">
        <f t="shared" si="50"/>
        <v>-</v>
      </c>
    </row>
    <row r="123" spans="1:41" s="88" customFormat="1" ht="27.75" hidden="1" customHeight="1" x14ac:dyDescent="0.75">
      <c r="A123" s="77" t="s">
        <v>87</v>
      </c>
      <c r="B123" s="78" t="s">
        <v>65</v>
      </c>
      <c r="C123" s="79">
        <v>73023</v>
      </c>
      <c r="D123" s="80" t="s">
        <v>83</v>
      </c>
      <c r="E123" s="329">
        <f>'[5]01.BMC'!E118</f>
        <v>0</v>
      </c>
      <c r="F123" s="296">
        <f t="shared" ref="F123:F124" si="70">H123+P123+X123+AF123</f>
        <v>0</v>
      </c>
      <c r="G123" s="330" t="str">
        <f>IFERROR(F123/E123, "-")</f>
        <v>-</v>
      </c>
      <c r="H123" s="296">
        <f>SUM(I123:K123)</f>
        <v>0</v>
      </c>
      <c r="I123" s="297">
        <f>'[5]01.BMC'!I118</f>
        <v>0</v>
      </c>
      <c r="J123" s="297">
        <f>'[5]01.BMC'!J118</f>
        <v>0</v>
      </c>
      <c r="K123" s="298">
        <f>'[5]01.BMC'!K118</f>
        <v>0</v>
      </c>
      <c r="L123" s="296">
        <f>SUM(M123:O123)</f>
        <v>0</v>
      </c>
      <c r="M123" s="297">
        <f>'[5]01.BMC'!M118</f>
        <v>0</v>
      </c>
      <c r="N123" s="297">
        <f>'[5]01.BMC'!N118</f>
        <v>0</v>
      </c>
      <c r="O123" s="298">
        <f>'[5]01.BMC'!O118</f>
        <v>0</v>
      </c>
      <c r="P123" s="296">
        <f>SUM(Q123:S123)</f>
        <v>0</v>
      </c>
      <c r="Q123" s="297">
        <f>'[5]01.BMC'!Q118</f>
        <v>0</v>
      </c>
      <c r="R123" s="297">
        <f>'[5]01.BMC'!R118</f>
        <v>0</v>
      </c>
      <c r="S123" s="298">
        <f>'[5]01.BMC'!S118</f>
        <v>0</v>
      </c>
      <c r="T123" s="296">
        <f>SUM(U123:W123)</f>
        <v>0</v>
      </c>
      <c r="U123" s="297">
        <f>'[5]01.BMC'!U118</f>
        <v>0</v>
      </c>
      <c r="V123" s="297">
        <f>'[5]01.BMC'!V118</f>
        <v>0</v>
      </c>
      <c r="W123" s="298">
        <f>'[5]01.BMC'!W118</f>
        <v>0</v>
      </c>
      <c r="X123" s="296">
        <f>SUM(Y123:AA123)</f>
        <v>0</v>
      </c>
      <c r="Y123" s="297">
        <f>'[5]01.BMC'!Y118</f>
        <v>0</v>
      </c>
      <c r="Z123" s="297">
        <f>'[5]01.BMC'!Z118</f>
        <v>0</v>
      </c>
      <c r="AA123" s="298">
        <f>'[5]01.BMC'!AA118</f>
        <v>0</v>
      </c>
      <c r="AB123" s="296">
        <f>SUM(AC123:AE123)</f>
        <v>0</v>
      </c>
      <c r="AC123" s="297"/>
      <c r="AD123" s="297"/>
      <c r="AE123" s="298"/>
      <c r="AF123" s="296">
        <f>SUM(AG123:AI123)</f>
        <v>0</v>
      </c>
      <c r="AG123" s="297">
        <f>'[5]01.BMC'!AG118</f>
        <v>0</v>
      </c>
      <c r="AH123" s="297">
        <f>'[5]01.BMC'!AH118</f>
        <v>0</v>
      </c>
      <c r="AI123" s="298">
        <f>'[5]01.BMC'!AI118</f>
        <v>0</v>
      </c>
      <c r="AJ123" s="292">
        <f>SUM(AK123:AM123)</f>
        <v>0</v>
      </c>
      <c r="AK123" s="294"/>
      <c r="AL123" s="294"/>
      <c r="AM123" s="295"/>
      <c r="AN123" s="299"/>
      <c r="AO123" s="87" t="str">
        <f t="shared" si="50"/>
        <v>-</v>
      </c>
    </row>
    <row r="124" spans="1:41" s="88" customFormat="1" ht="27.75" hidden="1" customHeight="1" x14ac:dyDescent="0.75">
      <c r="A124" s="91" t="s">
        <v>87</v>
      </c>
      <c r="B124" s="92" t="s">
        <v>69</v>
      </c>
      <c r="C124" s="93">
        <v>73066</v>
      </c>
      <c r="D124" s="94" t="s">
        <v>70</v>
      </c>
      <c r="E124" s="331">
        <f>'[5]01.BMC'!E119</f>
        <v>0</v>
      </c>
      <c r="F124" s="287">
        <f t="shared" si="70"/>
        <v>0</v>
      </c>
      <c r="G124" s="332" t="str">
        <f t="shared" ref="G124:G127" si="71">IFERROR(F124/E124, "-")</f>
        <v>-</v>
      </c>
      <c r="H124" s="287">
        <f>SUM(I124:K124)</f>
        <v>0</v>
      </c>
      <c r="I124" s="288">
        <f>'[5]01.BMC'!I119</f>
        <v>0</v>
      </c>
      <c r="J124" s="288">
        <f>'[5]01.BMC'!J119</f>
        <v>0</v>
      </c>
      <c r="K124" s="289">
        <f>'[5]01.BMC'!K119</f>
        <v>0</v>
      </c>
      <c r="L124" s="287">
        <f>SUM(M124:O124)</f>
        <v>0</v>
      </c>
      <c r="M124" s="288">
        <f>'[5]01.BMC'!M119</f>
        <v>0</v>
      </c>
      <c r="N124" s="288">
        <f>'[5]01.BMC'!N119</f>
        <v>0</v>
      </c>
      <c r="O124" s="289">
        <f>'[5]01.BMC'!O119</f>
        <v>0</v>
      </c>
      <c r="P124" s="287">
        <f>SUM(Q124:S124)</f>
        <v>0</v>
      </c>
      <c r="Q124" s="288">
        <f>'[5]01.BMC'!Q119</f>
        <v>0</v>
      </c>
      <c r="R124" s="288">
        <f>'[5]01.BMC'!R119</f>
        <v>0</v>
      </c>
      <c r="S124" s="289">
        <f>'[5]01.BMC'!S119</f>
        <v>0</v>
      </c>
      <c r="T124" s="287">
        <f>SUM(U124:W124)</f>
        <v>0</v>
      </c>
      <c r="U124" s="288">
        <f>'[5]01.BMC'!U119</f>
        <v>0</v>
      </c>
      <c r="V124" s="288">
        <f>'[5]01.BMC'!V119</f>
        <v>0</v>
      </c>
      <c r="W124" s="289">
        <f>'[5]01.BMC'!W119</f>
        <v>0</v>
      </c>
      <c r="X124" s="287">
        <f>SUM(Y124:AA124)</f>
        <v>0</v>
      </c>
      <c r="Y124" s="288">
        <f>'[5]01.BMC'!Y119</f>
        <v>0</v>
      </c>
      <c r="Z124" s="288">
        <f>'[5]01.BMC'!Z119</f>
        <v>0</v>
      </c>
      <c r="AA124" s="289">
        <f>'[5]01.BMC'!AA119</f>
        <v>0</v>
      </c>
      <c r="AB124" s="287">
        <f>SUM(AC124:AE124)</f>
        <v>0</v>
      </c>
      <c r="AC124" s="288"/>
      <c r="AD124" s="288"/>
      <c r="AE124" s="289"/>
      <c r="AF124" s="287">
        <f>SUM(AG124:AI124)</f>
        <v>0</v>
      </c>
      <c r="AG124" s="288">
        <f>'[5]01.BMC'!AG119</f>
        <v>0</v>
      </c>
      <c r="AH124" s="288">
        <f>'[5]01.BMC'!AH119</f>
        <v>0</v>
      </c>
      <c r="AI124" s="289">
        <f>'[5]01.BMC'!AI119</f>
        <v>0</v>
      </c>
      <c r="AJ124" s="283">
        <f>SUM(AK124:AM124)</f>
        <v>0</v>
      </c>
      <c r="AK124" s="285"/>
      <c r="AL124" s="285"/>
      <c r="AM124" s="286"/>
      <c r="AN124" s="290"/>
      <c r="AO124" s="87" t="str">
        <f t="shared" si="50"/>
        <v>-</v>
      </c>
    </row>
    <row r="125" spans="1:41" s="233" customFormat="1" ht="27.75" hidden="1" customHeight="1" x14ac:dyDescent="0.75">
      <c r="A125" s="77" t="s">
        <v>87</v>
      </c>
      <c r="B125" s="78" t="s">
        <v>106</v>
      </c>
      <c r="C125" s="79">
        <v>73071</v>
      </c>
      <c r="D125" s="80" t="s">
        <v>107</v>
      </c>
      <c r="E125" s="329">
        <f>E252</f>
        <v>0</v>
      </c>
      <c r="F125" s="296">
        <f>H125+P125+X125+AF125</f>
        <v>0</v>
      </c>
      <c r="G125" s="330" t="str">
        <f t="shared" si="71"/>
        <v>-</v>
      </c>
      <c r="H125" s="296">
        <f>SUM(I125:K125)</f>
        <v>0</v>
      </c>
      <c r="I125" s="297">
        <f>I252</f>
        <v>0</v>
      </c>
      <c r="J125" s="297">
        <f>J252</f>
        <v>0</v>
      </c>
      <c r="K125" s="298">
        <f>K252</f>
        <v>0</v>
      </c>
      <c r="L125" s="296">
        <f>SUM(M125:O125)</f>
        <v>0</v>
      </c>
      <c r="M125" s="297">
        <f>M252</f>
        <v>0</v>
      </c>
      <c r="N125" s="297">
        <f>N252</f>
        <v>0</v>
      </c>
      <c r="O125" s="298">
        <f>O252</f>
        <v>0</v>
      </c>
      <c r="P125" s="296">
        <f>SUM(Q125:S125)</f>
        <v>0</v>
      </c>
      <c r="Q125" s="297">
        <f>Q252</f>
        <v>0</v>
      </c>
      <c r="R125" s="297">
        <f>R252</f>
        <v>0</v>
      </c>
      <c r="S125" s="298">
        <f>S252</f>
        <v>0</v>
      </c>
      <c r="T125" s="296">
        <f>SUM(U125:W125)</f>
        <v>0</v>
      </c>
      <c r="U125" s="297">
        <f>U252</f>
        <v>0</v>
      </c>
      <c r="V125" s="297">
        <f>V252</f>
        <v>0</v>
      </c>
      <c r="W125" s="298">
        <f>W252</f>
        <v>0</v>
      </c>
      <c r="X125" s="296">
        <f>SUM(Y125:AA125)</f>
        <v>0</v>
      </c>
      <c r="Y125" s="297">
        <f>Y252</f>
        <v>0</v>
      </c>
      <c r="Z125" s="297">
        <f>Z252</f>
        <v>0</v>
      </c>
      <c r="AA125" s="298">
        <f>AA252</f>
        <v>0</v>
      </c>
      <c r="AB125" s="296">
        <f>SUM(AC125:AE125)</f>
        <v>0</v>
      </c>
      <c r="AC125" s="297">
        <f>AC252</f>
        <v>0</v>
      </c>
      <c r="AD125" s="297">
        <f>AD252</f>
        <v>0</v>
      </c>
      <c r="AE125" s="298">
        <f>AE252</f>
        <v>0</v>
      </c>
      <c r="AF125" s="296">
        <f>SUM(AG125:AI125)</f>
        <v>0</v>
      </c>
      <c r="AG125" s="297">
        <f>AG252</f>
        <v>0</v>
      </c>
      <c r="AH125" s="297">
        <f>AH252</f>
        <v>0</v>
      </c>
      <c r="AI125" s="298">
        <f>AI252</f>
        <v>0</v>
      </c>
      <c r="AJ125" s="292">
        <f>SUM(AK125:AM125)</f>
        <v>0</v>
      </c>
      <c r="AK125" s="294">
        <f>AK252</f>
        <v>0</v>
      </c>
      <c r="AL125" s="294">
        <f>AL252</f>
        <v>0</v>
      </c>
      <c r="AM125" s="295">
        <f>AM252</f>
        <v>0</v>
      </c>
      <c r="AN125" s="299"/>
      <c r="AO125" s="231" t="str">
        <f t="shared" si="50"/>
        <v>-</v>
      </c>
    </row>
    <row r="126" spans="1:41" s="88" customFormat="1" ht="27.75" hidden="1" customHeight="1" x14ac:dyDescent="0.75">
      <c r="A126" s="129" t="s">
        <v>87</v>
      </c>
      <c r="B126" s="130" t="s">
        <v>106</v>
      </c>
      <c r="C126" s="333">
        <v>73072</v>
      </c>
      <c r="D126" s="334" t="s">
        <v>108</v>
      </c>
      <c r="E126" s="335">
        <f>E248+E253</f>
        <v>0</v>
      </c>
      <c r="F126" s="306">
        <f>H126+P126+X126+AF126</f>
        <v>0</v>
      </c>
      <c r="G126" s="336" t="str">
        <f t="shared" si="71"/>
        <v>-</v>
      </c>
      <c r="H126" s="306">
        <f>SUM(I126:K126)</f>
        <v>0</v>
      </c>
      <c r="I126" s="307">
        <f>I248+I253</f>
        <v>0</v>
      </c>
      <c r="J126" s="307">
        <f>J248+J253</f>
        <v>0</v>
      </c>
      <c r="K126" s="308">
        <f>K248+K253</f>
        <v>0</v>
      </c>
      <c r="L126" s="306">
        <f>SUM(M126:O126)</f>
        <v>0</v>
      </c>
      <c r="M126" s="307">
        <f>M248+M253</f>
        <v>0</v>
      </c>
      <c r="N126" s="307">
        <f>N248+N253</f>
        <v>0</v>
      </c>
      <c r="O126" s="308">
        <f>O248+O253</f>
        <v>0</v>
      </c>
      <c r="P126" s="306">
        <f>SUM(Q126:S126)</f>
        <v>0</v>
      </c>
      <c r="Q126" s="307">
        <f>Q248+Q253</f>
        <v>0</v>
      </c>
      <c r="R126" s="307">
        <f>R248+R253</f>
        <v>0</v>
      </c>
      <c r="S126" s="308">
        <f>S248+S253</f>
        <v>0</v>
      </c>
      <c r="T126" s="306">
        <f>SUM(U126:W126)</f>
        <v>0</v>
      </c>
      <c r="U126" s="307">
        <f>U248+U253</f>
        <v>0</v>
      </c>
      <c r="V126" s="307">
        <f>V248+V253</f>
        <v>0</v>
      </c>
      <c r="W126" s="308">
        <f>W248+W253</f>
        <v>0</v>
      </c>
      <c r="X126" s="306">
        <f>SUM(Y126:AA126)</f>
        <v>0</v>
      </c>
      <c r="Y126" s="307">
        <f>Y248+Y253</f>
        <v>0</v>
      </c>
      <c r="Z126" s="307">
        <f>Z248+Z253</f>
        <v>0</v>
      </c>
      <c r="AA126" s="308">
        <f>AA248+AA253</f>
        <v>0</v>
      </c>
      <c r="AB126" s="306">
        <f>SUM(AC126:AE126)</f>
        <v>0</v>
      </c>
      <c r="AC126" s="307">
        <f>AC248+AC253</f>
        <v>0</v>
      </c>
      <c r="AD126" s="307">
        <f>AD248+AD253</f>
        <v>0</v>
      </c>
      <c r="AE126" s="308">
        <f>AE248+AE253</f>
        <v>0</v>
      </c>
      <c r="AF126" s="306">
        <f>SUM(AG126:AI126)</f>
        <v>0</v>
      </c>
      <c r="AG126" s="307">
        <f>AG248+AG253</f>
        <v>0</v>
      </c>
      <c r="AH126" s="307">
        <f>AH248+AH253</f>
        <v>0</v>
      </c>
      <c r="AI126" s="308">
        <f>AI248+AI253</f>
        <v>0</v>
      </c>
      <c r="AJ126" s="309">
        <f>SUM(AK126:AM126)</f>
        <v>0</v>
      </c>
      <c r="AK126" s="310">
        <f>AK248+AK253</f>
        <v>0</v>
      </c>
      <c r="AL126" s="310">
        <f>AL248+AL253</f>
        <v>0</v>
      </c>
      <c r="AM126" s="311">
        <f>AM248+AM253</f>
        <v>0</v>
      </c>
      <c r="AN126" s="337"/>
      <c r="AO126" s="87" t="str">
        <f t="shared" si="50"/>
        <v>-</v>
      </c>
    </row>
    <row r="127" spans="1:41" s="88" customFormat="1" ht="27.75" hidden="1" customHeight="1" x14ac:dyDescent="0.75">
      <c r="A127" s="338"/>
      <c r="B127" s="339"/>
      <c r="C127" s="340"/>
      <c r="D127" s="341" t="s">
        <v>135</v>
      </c>
      <c r="E127" s="342">
        <f>SUM(E128:E131)</f>
        <v>0</v>
      </c>
      <c r="F127" s="322">
        <f>SUM(F128:F131)</f>
        <v>0</v>
      </c>
      <c r="G127" s="343" t="str">
        <f t="shared" si="71"/>
        <v>-</v>
      </c>
      <c r="H127" s="322">
        <f t="shared" ref="H127:AM127" si="72">SUM(H128:H131)</f>
        <v>0</v>
      </c>
      <c r="I127" s="323">
        <f t="shared" si="72"/>
        <v>0</v>
      </c>
      <c r="J127" s="323">
        <f t="shared" si="72"/>
        <v>0</v>
      </c>
      <c r="K127" s="324">
        <f t="shared" si="72"/>
        <v>0</v>
      </c>
      <c r="L127" s="322">
        <f t="shared" si="72"/>
        <v>0</v>
      </c>
      <c r="M127" s="323">
        <f t="shared" si="72"/>
        <v>0</v>
      </c>
      <c r="N127" s="323">
        <f t="shared" si="72"/>
        <v>0</v>
      </c>
      <c r="O127" s="324">
        <f t="shared" si="72"/>
        <v>0</v>
      </c>
      <c r="P127" s="322">
        <f t="shared" si="72"/>
        <v>0</v>
      </c>
      <c r="Q127" s="323">
        <f t="shared" si="72"/>
        <v>0</v>
      </c>
      <c r="R127" s="323">
        <f t="shared" si="72"/>
        <v>0</v>
      </c>
      <c r="S127" s="324">
        <f t="shared" si="72"/>
        <v>0</v>
      </c>
      <c r="T127" s="322">
        <f t="shared" si="72"/>
        <v>0</v>
      </c>
      <c r="U127" s="323">
        <f t="shared" si="72"/>
        <v>0</v>
      </c>
      <c r="V127" s="323">
        <f t="shared" si="72"/>
        <v>0</v>
      </c>
      <c r="W127" s="324">
        <f t="shared" si="72"/>
        <v>0</v>
      </c>
      <c r="X127" s="322">
        <f t="shared" si="72"/>
        <v>0</v>
      </c>
      <c r="Y127" s="323">
        <f t="shared" si="72"/>
        <v>0</v>
      </c>
      <c r="Z127" s="323">
        <f t="shared" si="72"/>
        <v>0</v>
      </c>
      <c r="AA127" s="324">
        <f t="shared" si="72"/>
        <v>0</v>
      </c>
      <c r="AB127" s="322">
        <f t="shared" si="72"/>
        <v>0</v>
      </c>
      <c r="AC127" s="323">
        <f t="shared" si="72"/>
        <v>0</v>
      </c>
      <c r="AD127" s="323">
        <f t="shared" si="72"/>
        <v>0</v>
      </c>
      <c r="AE127" s="324">
        <f t="shared" si="72"/>
        <v>0</v>
      </c>
      <c r="AF127" s="322">
        <f t="shared" si="72"/>
        <v>0</v>
      </c>
      <c r="AG127" s="323">
        <f t="shared" si="72"/>
        <v>0</v>
      </c>
      <c r="AH127" s="323">
        <f t="shared" si="72"/>
        <v>0</v>
      </c>
      <c r="AI127" s="324">
        <f t="shared" si="72"/>
        <v>0</v>
      </c>
      <c r="AJ127" s="325">
        <f t="shared" si="72"/>
        <v>0</v>
      </c>
      <c r="AK127" s="326">
        <f t="shared" si="72"/>
        <v>0</v>
      </c>
      <c r="AL127" s="326">
        <f t="shared" si="72"/>
        <v>0</v>
      </c>
      <c r="AM127" s="327">
        <f t="shared" si="72"/>
        <v>0</v>
      </c>
      <c r="AN127" s="344"/>
      <c r="AO127" s="87" t="str">
        <f t="shared" si="50"/>
        <v>-</v>
      </c>
    </row>
    <row r="128" spans="1:41" s="88" customFormat="1" ht="27.75" hidden="1" customHeight="1" x14ac:dyDescent="0.75">
      <c r="A128" s="77" t="s">
        <v>87</v>
      </c>
      <c r="B128" s="78" t="s">
        <v>65</v>
      </c>
      <c r="C128" s="79">
        <v>73023</v>
      </c>
      <c r="D128" s="80" t="s">
        <v>83</v>
      </c>
      <c r="E128" s="329">
        <f>'[5]01.BMC'!E123</f>
        <v>0</v>
      </c>
      <c r="F128" s="296">
        <f t="shared" ref="F128:F129" si="73">H128+P128+X128+AF128</f>
        <v>0</v>
      </c>
      <c r="G128" s="330" t="str">
        <f>IFERROR(F128/E128, "-")</f>
        <v>-</v>
      </c>
      <c r="H128" s="296">
        <f>SUM(I128:K128)</f>
        <v>0</v>
      </c>
      <c r="I128" s="297">
        <f>'[5]01.BMC'!I123</f>
        <v>0</v>
      </c>
      <c r="J128" s="297">
        <f>'[5]01.BMC'!J123</f>
        <v>0</v>
      </c>
      <c r="K128" s="298">
        <f>'[5]01.BMC'!K123</f>
        <v>0</v>
      </c>
      <c r="L128" s="296">
        <f>SUM(M128:O128)</f>
        <v>0</v>
      </c>
      <c r="M128" s="297">
        <f>'[5]01.BMC'!M123</f>
        <v>0</v>
      </c>
      <c r="N128" s="297">
        <f>'[5]01.BMC'!N123</f>
        <v>0</v>
      </c>
      <c r="O128" s="298">
        <f>'[5]01.BMC'!O123</f>
        <v>0</v>
      </c>
      <c r="P128" s="296">
        <f>SUM(Q128:S128)</f>
        <v>0</v>
      </c>
      <c r="Q128" s="297">
        <f>'[5]01.BMC'!Q123</f>
        <v>0</v>
      </c>
      <c r="R128" s="297">
        <f>'[5]01.BMC'!R123</f>
        <v>0</v>
      </c>
      <c r="S128" s="298">
        <f>'[5]01.BMC'!S123</f>
        <v>0</v>
      </c>
      <c r="T128" s="296">
        <f>SUM(U128:W128)</f>
        <v>0</v>
      </c>
      <c r="U128" s="297">
        <f>'[5]01.BMC'!U123</f>
        <v>0</v>
      </c>
      <c r="V128" s="297">
        <f>'[5]01.BMC'!V123</f>
        <v>0</v>
      </c>
      <c r="W128" s="298">
        <f>'[5]01.BMC'!W123</f>
        <v>0</v>
      </c>
      <c r="X128" s="296">
        <f>SUM(Y128:AA128)</f>
        <v>0</v>
      </c>
      <c r="Y128" s="297">
        <f>'[5]01.BMC'!Y123</f>
        <v>0</v>
      </c>
      <c r="Z128" s="297">
        <f>'[5]01.BMC'!Z123</f>
        <v>0</v>
      </c>
      <c r="AA128" s="298">
        <f>'[5]01.BMC'!AA123</f>
        <v>0</v>
      </c>
      <c r="AB128" s="296">
        <f>SUM(AC128:AE128)</f>
        <v>0</v>
      </c>
      <c r="AC128" s="297"/>
      <c r="AD128" s="297"/>
      <c r="AE128" s="298"/>
      <c r="AF128" s="296">
        <f>SUM(AG128:AI128)</f>
        <v>0</v>
      </c>
      <c r="AG128" s="297">
        <f>'[5]01.BMC'!AG123</f>
        <v>0</v>
      </c>
      <c r="AH128" s="297">
        <f>'[5]01.BMC'!AH123</f>
        <v>0</v>
      </c>
      <c r="AI128" s="298">
        <f>'[5]01.BMC'!AI123</f>
        <v>0</v>
      </c>
      <c r="AJ128" s="292">
        <f>SUM(AK128:AM128)</f>
        <v>0</v>
      </c>
      <c r="AK128" s="294"/>
      <c r="AL128" s="294"/>
      <c r="AM128" s="295"/>
      <c r="AN128" s="299"/>
      <c r="AO128" s="87" t="str">
        <f t="shared" si="50"/>
        <v>-</v>
      </c>
    </row>
    <row r="129" spans="1:41" s="88" customFormat="1" ht="27.75" hidden="1" customHeight="1" x14ac:dyDescent="0.75">
      <c r="A129" s="91" t="s">
        <v>87</v>
      </c>
      <c r="B129" s="92" t="s">
        <v>69</v>
      </c>
      <c r="C129" s="93">
        <v>73066</v>
      </c>
      <c r="D129" s="94" t="s">
        <v>70</v>
      </c>
      <c r="E129" s="331">
        <f>'[5]01.BMC'!E124</f>
        <v>0</v>
      </c>
      <c r="F129" s="287">
        <f t="shared" si="73"/>
        <v>0</v>
      </c>
      <c r="G129" s="332" t="str">
        <f t="shared" ref="G129:G132" si="74">IFERROR(F129/E129, "-")</f>
        <v>-</v>
      </c>
      <c r="H129" s="287">
        <f>SUM(I129:K129)</f>
        <v>0</v>
      </c>
      <c r="I129" s="288">
        <f>'[5]01.BMC'!I124</f>
        <v>0</v>
      </c>
      <c r="J129" s="288">
        <f>'[5]01.BMC'!J124</f>
        <v>0</v>
      </c>
      <c r="K129" s="289">
        <f>'[5]01.BMC'!K124</f>
        <v>0</v>
      </c>
      <c r="L129" s="287">
        <f>SUM(M129:O129)</f>
        <v>0</v>
      </c>
      <c r="M129" s="288">
        <f>'[5]01.BMC'!M124</f>
        <v>0</v>
      </c>
      <c r="N129" s="288">
        <f>'[5]01.BMC'!N124</f>
        <v>0</v>
      </c>
      <c r="O129" s="289">
        <f>'[5]01.BMC'!O124</f>
        <v>0</v>
      </c>
      <c r="P129" s="287">
        <f>SUM(Q129:S129)</f>
        <v>0</v>
      </c>
      <c r="Q129" s="288">
        <f>'[5]01.BMC'!Q124</f>
        <v>0</v>
      </c>
      <c r="R129" s="288">
        <f>'[5]01.BMC'!R124</f>
        <v>0</v>
      </c>
      <c r="S129" s="289">
        <f>'[5]01.BMC'!S124</f>
        <v>0</v>
      </c>
      <c r="T129" s="287">
        <f>SUM(U129:W129)</f>
        <v>0</v>
      </c>
      <c r="U129" s="288">
        <f>'[5]01.BMC'!U124</f>
        <v>0</v>
      </c>
      <c r="V129" s="288">
        <f>'[5]01.BMC'!V124</f>
        <v>0</v>
      </c>
      <c r="W129" s="289">
        <f>'[5]01.BMC'!W124</f>
        <v>0</v>
      </c>
      <c r="X129" s="287">
        <f>SUM(Y129:AA129)</f>
        <v>0</v>
      </c>
      <c r="Y129" s="288">
        <f>'[5]01.BMC'!Y124</f>
        <v>0</v>
      </c>
      <c r="Z129" s="288">
        <f>'[5]01.BMC'!Z124</f>
        <v>0</v>
      </c>
      <c r="AA129" s="289">
        <f>'[5]01.BMC'!AA124</f>
        <v>0</v>
      </c>
      <c r="AB129" s="287">
        <f>SUM(AC129:AE129)</f>
        <v>0</v>
      </c>
      <c r="AC129" s="288"/>
      <c r="AD129" s="288"/>
      <c r="AE129" s="289"/>
      <c r="AF129" s="287">
        <f>SUM(AG129:AI129)</f>
        <v>0</v>
      </c>
      <c r="AG129" s="288">
        <f>'[5]01.BMC'!AG124</f>
        <v>0</v>
      </c>
      <c r="AH129" s="288">
        <f>'[5]01.BMC'!AH124</f>
        <v>0</v>
      </c>
      <c r="AI129" s="289">
        <f>'[5]01.BMC'!AI124</f>
        <v>0</v>
      </c>
      <c r="AJ129" s="283">
        <f>SUM(AK129:AM129)</f>
        <v>0</v>
      </c>
      <c r="AK129" s="285"/>
      <c r="AL129" s="285"/>
      <c r="AM129" s="286"/>
      <c r="AN129" s="290"/>
      <c r="AO129" s="87" t="str">
        <f t="shared" si="50"/>
        <v>-</v>
      </c>
    </row>
    <row r="130" spans="1:41" s="233" customFormat="1" ht="27.75" hidden="1" customHeight="1" x14ac:dyDescent="0.75">
      <c r="A130" s="77" t="s">
        <v>87</v>
      </c>
      <c r="B130" s="78" t="s">
        <v>106</v>
      </c>
      <c r="C130" s="79">
        <v>73071</v>
      </c>
      <c r="D130" s="80" t="s">
        <v>107</v>
      </c>
      <c r="E130" s="329">
        <f>E257</f>
        <v>0</v>
      </c>
      <c r="F130" s="296">
        <f>H130+P130+X130+AF130</f>
        <v>0</v>
      </c>
      <c r="G130" s="330" t="str">
        <f t="shared" si="74"/>
        <v>-</v>
      </c>
      <c r="H130" s="296">
        <f>SUM(I130:K130)</f>
        <v>0</v>
      </c>
      <c r="I130" s="297">
        <f>I257</f>
        <v>0</v>
      </c>
      <c r="J130" s="297">
        <f>J257</f>
        <v>0</v>
      </c>
      <c r="K130" s="298">
        <f>K257</f>
        <v>0</v>
      </c>
      <c r="L130" s="296">
        <f>SUM(M130:O130)</f>
        <v>0</v>
      </c>
      <c r="M130" s="297">
        <f>M257</f>
        <v>0</v>
      </c>
      <c r="N130" s="297">
        <f>N257</f>
        <v>0</v>
      </c>
      <c r="O130" s="298">
        <f>O257</f>
        <v>0</v>
      </c>
      <c r="P130" s="296">
        <f>SUM(Q130:S130)</f>
        <v>0</v>
      </c>
      <c r="Q130" s="297">
        <f>Q257</f>
        <v>0</v>
      </c>
      <c r="R130" s="297">
        <f>R257</f>
        <v>0</v>
      </c>
      <c r="S130" s="298">
        <f>S257</f>
        <v>0</v>
      </c>
      <c r="T130" s="296">
        <f>SUM(U130:W130)</f>
        <v>0</v>
      </c>
      <c r="U130" s="297">
        <f>U257</f>
        <v>0</v>
      </c>
      <c r="V130" s="297">
        <f>V257</f>
        <v>0</v>
      </c>
      <c r="W130" s="298">
        <f>W257</f>
        <v>0</v>
      </c>
      <c r="X130" s="296">
        <f>SUM(Y130:AA130)</f>
        <v>0</v>
      </c>
      <c r="Y130" s="297">
        <f>Y257</f>
        <v>0</v>
      </c>
      <c r="Z130" s="297">
        <f>Z257</f>
        <v>0</v>
      </c>
      <c r="AA130" s="298">
        <f>AA257</f>
        <v>0</v>
      </c>
      <c r="AB130" s="296">
        <f>SUM(AC130:AE130)</f>
        <v>0</v>
      </c>
      <c r="AC130" s="297">
        <f>AC257</f>
        <v>0</v>
      </c>
      <c r="AD130" s="297">
        <f>AD257</f>
        <v>0</v>
      </c>
      <c r="AE130" s="298">
        <f>AE257</f>
        <v>0</v>
      </c>
      <c r="AF130" s="296">
        <f>SUM(AG130:AI130)</f>
        <v>0</v>
      </c>
      <c r="AG130" s="297">
        <f>AG257</f>
        <v>0</v>
      </c>
      <c r="AH130" s="297">
        <f>AH257</f>
        <v>0</v>
      </c>
      <c r="AI130" s="298">
        <f>AI257</f>
        <v>0</v>
      </c>
      <c r="AJ130" s="292">
        <f>SUM(AK130:AM130)</f>
        <v>0</v>
      </c>
      <c r="AK130" s="294">
        <f>AK257</f>
        <v>0</v>
      </c>
      <c r="AL130" s="294">
        <f>AL257</f>
        <v>0</v>
      </c>
      <c r="AM130" s="295">
        <f>AM257</f>
        <v>0</v>
      </c>
      <c r="AN130" s="299"/>
      <c r="AO130" s="231" t="str">
        <f t="shared" si="50"/>
        <v>-</v>
      </c>
    </row>
    <row r="131" spans="1:41" s="88" customFormat="1" ht="27.75" hidden="1" customHeight="1" x14ac:dyDescent="0.75">
      <c r="A131" s="129" t="s">
        <v>87</v>
      </c>
      <c r="B131" s="130" t="s">
        <v>106</v>
      </c>
      <c r="C131" s="333">
        <v>73072</v>
      </c>
      <c r="D131" s="334" t="s">
        <v>108</v>
      </c>
      <c r="E131" s="335">
        <f>E253+E258</f>
        <v>0</v>
      </c>
      <c r="F131" s="306">
        <f>H131+P131+X131+AF131</f>
        <v>0</v>
      </c>
      <c r="G131" s="336" t="str">
        <f t="shared" si="74"/>
        <v>-</v>
      </c>
      <c r="H131" s="306">
        <f>SUM(I131:K131)</f>
        <v>0</v>
      </c>
      <c r="I131" s="307">
        <f>I253+I258</f>
        <v>0</v>
      </c>
      <c r="J131" s="307">
        <f>J253+J258</f>
        <v>0</v>
      </c>
      <c r="K131" s="308">
        <f>K253+K258</f>
        <v>0</v>
      </c>
      <c r="L131" s="306">
        <f>SUM(M131:O131)</f>
        <v>0</v>
      </c>
      <c r="M131" s="307">
        <f>M253+M258</f>
        <v>0</v>
      </c>
      <c r="N131" s="307">
        <f>N253+N258</f>
        <v>0</v>
      </c>
      <c r="O131" s="308">
        <f>O253+O258</f>
        <v>0</v>
      </c>
      <c r="P131" s="306">
        <f>SUM(Q131:S131)</f>
        <v>0</v>
      </c>
      <c r="Q131" s="307">
        <f>Q253+Q258</f>
        <v>0</v>
      </c>
      <c r="R131" s="307">
        <f>R253+R258</f>
        <v>0</v>
      </c>
      <c r="S131" s="308">
        <f>S253+S258</f>
        <v>0</v>
      </c>
      <c r="T131" s="306">
        <f>SUM(U131:W131)</f>
        <v>0</v>
      </c>
      <c r="U131" s="307">
        <f>U253+U258</f>
        <v>0</v>
      </c>
      <c r="V131" s="307">
        <f>V253+V258</f>
        <v>0</v>
      </c>
      <c r="W131" s="308">
        <f>W253+W258</f>
        <v>0</v>
      </c>
      <c r="X131" s="306">
        <f>SUM(Y131:AA131)</f>
        <v>0</v>
      </c>
      <c r="Y131" s="307">
        <f>Y253+Y258</f>
        <v>0</v>
      </c>
      <c r="Z131" s="307">
        <f>Z253+Z258</f>
        <v>0</v>
      </c>
      <c r="AA131" s="308">
        <f>AA253+AA258</f>
        <v>0</v>
      </c>
      <c r="AB131" s="306">
        <f>SUM(AC131:AE131)</f>
        <v>0</v>
      </c>
      <c r="AC131" s="307">
        <f>AC253+AC258</f>
        <v>0</v>
      </c>
      <c r="AD131" s="307">
        <f>AD253+AD258</f>
        <v>0</v>
      </c>
      <c r="AE131" s="308">
        <f>AE253+AE258</f>
        <v>0</v>
      </c>
      <c r="AF131" s="306">
        <f>SUM(AG131:AI131)</f>
        <v>0</v>
      </c>
      <c r="AG131" s="307">
        <f>AG253+AG258</f>
        <v>0</v>
      </c>
      <c r="AH131" s="307">
        <f>AH253+AH258</f>
        <v>0</v>
      </c>
      <c r="AI131" s="308">
        <f>AI253+AI258</f>
        <v>0</v>
      </c>
      <c r="AJ131" s="309">
        <f>SUM(AK131:AM131)</f>
        <v>0</v>
      </c>
      <c r="AK131" s="310">
        <f>AK253+AK258</f>
        <v>0</v>
      </c>
      <c r="AL131" s="310">
        <f>AL253+AL258</f>
        <v>0</v>
      </c>
      <c r="AM131" s="311">
        <f>AM253+AM258</f>
        <v>0</v>
      </c>
      <c r="AN131" s="337"/>
      <c r="AO131" s="87" t="str">
        <f t="shared" si="50"/>
        <v>-</v>
      </c>
    </row>
    <row r="132" spans="1:41" s="88" customFormat="1" ht="27.75" hidden="1" customHeight="1" x14ac:dyDescent="0.75">
      <c r="A132" s="338"/>
      <c r="B132" s="339"/>
      <c r="C132" s="340"/>
      <c r="D132" s="341" t="s">
        <v>136</v>
      </c>
      <c r="E132" s="342">
        <f>SUM(E133:E136)</f>
        <v>0</v>
      </c>
      <c r="F132" s="322">
        <f>SUM(F133:F136)</f>
        <v>0</v>
      </c>
      <c r="G132" s="343" t="str">
        <f t="shared" si="74"/>
        <v>-</v>
      </c>
      <c r="H132" s="322">
        <f t="shared" ref="H132:AM132" si="75">SUM(H133:H136)</f>
        <v>0</v>
      </c>
      <c r="I132" s="323">
        <f t="shared" si="75"/>
        <v>0</v>
      </c>
      <c r="J132" s="323">
        <f t="shared" si="75"/>
        <v>0</v>
      </c>
      <c r="K132" s="324">
        <f t="shared" si="75"/>
        <v>0</v>
      </c>
      <c r="L132" s="322">
        <f t="shared" si="75"/>
        <v>0</v>
      </c>
      <c r="M132" s="323">
        <f t="shared" si="75"/>
        <v>0</v>
      </c>
      <c r="N132" s="323">
        <f t="shared" si="75"/>
        <v>0</v>
      </c>
      <c r="O132" s="324">
        <f t="shared" si="75"/>
        <v>0</v>
      </c>
      <c r="P132" s="322">
        <f t="shared" si="75"/>
        <v>0</v>
      </c>
      <c r="Q132" s="323">
        <f t="shared" si="75"/>
        <v>0</v>
      </c>
      <c r="R132" s="323">
        <f t="shared" si="75"/>
        <v>0</v>
      </c>
      <c r="S132" s="324">
        <f t="shared" si="75"/>
        <v>0</v>
      </c>
      <c r="T132" s="322">
        <f t="shared" si="75"/>
        <v>0</v>
      </c>
      <c r="U132" s="323">
        <f t="shared" si="75"/>
        <v>0</v>
      </c>
      <c r="V132" s="323">
        <f t="shared" si="75"/>
        <v>0</v>
      </c>
      <c r="W132" s="324">
        <f t="shared" si="75"/>
        <v>0</v>
      </c>
      <c r="X132" s="322">
        <f t="shared" si="75"/>
        <v>0</v>
      </c>
      <c r="Y132" s="323">
        <f t="shared" si="75"/>
        <v>0</v>
      </c>
      <c r="Z132" s="323">
        <f t="shared" si="75"/>
        <v>0</v>
      </c>
      <c r="AA132" s="324">
        <f t="shared" si="75"/>
        <v>0</v>
      </c>
      <c r="AB132" s="322">
        <f t="shared" si="75"/>
        <v>0</v>
      </c>
      <c r="AC132" s="323">
        <f t="shared" si="75"/>
        <v>0</v>
      </c>
      <c r="AD132" s="323">
        <f t="shared" si="75"/>
        <v>0</v>
      </c>
      <c r="AE132" s="324">
        <f t="shared" si="75"/>
        <v>0</v>
      </c>
      <c r="AF132" s="322">
        <f t="shared" si="75"/>
        <v>0</v>
      </c>
      <c r="AG132" s="323">
        <f t="shared" si="75"/>
        <v>0</v>
      </c>
      <c r="AH132" s="323">
        <f t="shared" si="75"/>
        <v>0</v>
      </c>
      <c r="AI132" s="324">
        <f t="shared" si="75"/>
        <v>0</v>
      </c>
      <c r="AJ132" s="325">
        <f t="shared" si="75"/>
        <v>0</v>
      </c>
      <c r="AK132" s="326">
        <f t="shared" si="75"/>
        <v>0</v>
      </c>
      <c r="AL132" s="326">
        <f t="shared" si="75"/>
        <v>0</v>
      </c>
      <c r="AM132" s="327">
        <f t="shared" si="75"/>
        <v>0</v>
      </c>
      <c r="AN132" s="344"/>
      <c r="AO132" s="87" t="str">
        <f t="shared" si="50"/>
        <v>-</v>
      </c>
    </row>
    <row r="133" spans="1:41" s="88" customFormat="1" ht="27.75" hidden="1" customHeight="1" x14ac:dyDescent="0.75">
      <c r="A133" s="77" t="s">
        <v>87</v>
      </c>
      <c r="B133" s="78" t="s">
        <v>65</v>
      </c>
      <c r="C133" s="79">
        <v>73023</v>
      </c>
      <c r="D133" s="80" t="s">
        <v>83</v>
      </c>
      <c r="E133" s="329">
        <f>'[5]01.BMC'!E128</f>
        <v>0</v>
      </c>
      <c r="F133" s="296">
        <f t="shared" ref="F133:F134" si="76">H133+P133+X133+AF133</f>
        <v>0</v>
      </c>
      <c r="G133" s="330" t="str">
        <f>IFERROR(F133/E133, "-")</f>
        <v>-</v>
      </c>
      <c r="H133" s="296">
        <f>SUM(I133:K133)</f>
        <v>0</v>
      </c>
      <c r="I133" s="297">
        <f>'[5]01.BMC'!I128</f>
        <v>0</v>
      </c>
      <c r="J133" s="297">
        <f>'[5]01.BMC'!J128</f>
        <v>0</v>
      </c>
      <c r="K133" s="298">
        <f>'[5]01.BMC'!K128</f>
        <v>0</v>
      </c>
      <c r="L133" s="296">
        <f>SUM(M133:O133)</f>
        <v>0</v>
      </c>
      <c r="M133" s="297">
        <f>'[5]01.BMC'!M128</f>
        <v>0</v>
      </c>
      <c r="N133" s="297">
        <f>'[5]01.BMC'!N128</f>
        <v>0</v>
      </c>
      <c r="O133" s="298">
        <f>'[5]01.BMC'!O128</f>
        <v>0</v>
      </c>
      <c r="P133" s="296">
        <f>SUM(Q133:S133)</f>
        <v>0</v>
      </c>
      <c r="Q133" s="297">
        <f>'[5]01.BMC'!Q128</f>
        <v>0</v>
      </c>
      <c r="R133" s="297">
        <f>'[5]01.BMC'!R128</f>
        <v>0</v>
      </c>
      <c r="S133" s="298">
        <f>'[5]01.BMC'!S128</f>
        <v>0</v>
      </c>
      <c r="T133" s="296">
        <f>SUM(U133:W133)</f>
        <v>0</v>
      </c>
      <c r="U133" s="297">
        <f>'[5]01.BMC'!U128</f>
        <v>0</v>
      </c>
      <c r="V133" s="297">
        <f>'[5]01.BMC'!V128</f>
        <v>0</v>
      </c>
      <c r="W133" s="298">
        <f>'[5]01.BMC'!W128</f>
        <v>0</v>
      </c>
      <c r="X133" s="296">
        <f>SUM(Y133:AA133)</f>
        <v>0</v>
      </c>
      <c r="Y133" s="297">
        <f>'[5]01.BMC'!Y128</f>
        <v>0</v>
      </c>
      <c r="Z133" s="297">
        <f>'[5]01.BMC'!Z128</f>
        <v>0</v>
      </c>
      <c r="AA133" s="298">
        <f>'[5]01.BMC'!AA128</f>
        <v>0</v>
      </c>
      <c r="AB133" s="296">
        <f>SUM(AC133:AE133)</f>
        <v>0</v>
      </c>
      <c r="AC133" s="297"/>
      <c r="AD133" s="297"/>
      <c r="AE133" s="298"/>
      <c r="AF133" s="296">
        <f>SUM(AG133:AI133)</f>
        <v>0</v>
      </c>
      <c r="AG133" s="297">
        <f>'[5]01.BMC'!AG128</f>
        <v>0</v>
      </c>
      <c r="AH133" s="297">
        <f>'[5]01.BMC'!AH128</f>
        <v>0</v>
      </c>
      <c r="AI133" s="298">
        <f>'[5]01.BMC'!AI128</f>
        <v>0</v>
      </c>
      <c r="AJ133" s="292">
        <f>SUM(AK133:AM133)</f>
        <v>0</v>
      </c>
      <c r="AK133" s="294"/>
      <c r="AL133" s="294"/>
      <c r="AM133" s="295"/>
      <c r="AN133" s="299"/>
      <c r="AO133" s="87" t="str">
        <f t="shared" si="50"/>
        <v>-</v>
      </c>
    </row>
    <row r="134" spans="1:41" s="88" customFormat="1" ht="27.75" hidden="1" customHeight="1" x14ac:dyDescent="0.75">
      <c r="A134" s="91" t="s">
        <v>87</v>
      </c>
      <c r="B134" s="92" t="s">
        <v>69</v>
      </c>
      <c r="C134" s="93">
        <v>73066</v>
      </c>
      <c r="D134" s="94" t="s">
        <v>70</v>
      </c>
      <c r="E134" s="331">
        <f>'[5]01.BMC'!E129</f>
        <v>0</v>
      </c>
      <c r="F134" s="287">
        <f t="shared" si="76"/>
        <v>0</v>
      </c>
      <c r="G134" s="332" t="str">
        <f t="shared" ref="G134:G137" si="77">IFERROR(F134/E134, "-")</f>
        <v>-</v>
      </c>
      <c r="H134" s="287">
        <f>SUM(I134:K134)</f>
        <v>0</v>
      </c>
      <c r="I134" s="288">
        <f>'[5]01.BMC'!I129</f>
        <v>0</v>
      </c>
      <c r="J134" s="288">
        <f>'[5]01.BMC'!J129</f>
        <v>0</v>
      </c>
      <c r="K134" s="289">
        <f>'[5]01.BMC'!K129</f>
        <v>0</v>
      </c>
      <c r="L134" s="287">
        <f>SUM(M134:O134)</f>
        <v>0</v>
      </c>
      <c r="M134" s="288">
        <f>'[5]01.BMC'!M129</f>
        <v>0</v>
      </c>
      <c r="N134" s="288">
        <f>'[5]01.BMC'!N129</f>
        <v>0</v>
      </c>
      <c r="O134" s="289">
        <f>'[5]01.BMC'!O129</f>
        <v>0</v>
      </c>
      <c r="P134" s="287">
        <f>SUM(Q134:S134)</f>
        <v>0</v>
      </c>
      <c r="Q134" s="288">
        <f>'[5]01.BMC'!Q129</f>
        <v>0</v>
      </c>
      <c r="R134" s="288">
        <f>'[5]01.BMC'!R129</f>
        <v>0</v>
      </c>
      <c r="S134" s="289">
        <f>'[5]01.BMC'!S129</f>
        <v>0</v>
      </c>
      <c r="T134" s="287">
        <f>SUM(U134:W134)</f>
        <v>0</v>
      </c>
      <c r="U134" s="288">
        <f>'[5]01.BMC'!U129</f>
        <v>0</v>
      </c>
      <c r="V134" s="288">
        <f>'[5]01.BMC'!V129</f>
        <v>0</v>
      </c>
      <c r="W134" s="289">
        <f>'[5]01.BMC'!W129</f>
        <v>0</v>
      </c>
      <c r="X134" s="287">
        <f>SUM(Y134:AA134)</f>
        <v>0</v>
      </c>
      <c r="Y134" s="288">
        <f>'[5]01.BMC'!Y129</f>
        <v>0</v>
      </c>
      <c r="Z134" s="288">
        <f>'[5]01.BMC'!Z129</f>
        <v>0</v>
      </c>
      <c r="AA134" s="289">
        <f>'[5]01.BMC'!AA129</f>
        <v>0</v>
      </c>
      <c r="AB134" s="287">
        <f>SUM(AC134:AE134)</f>
        <v>0</v>
      </c>
      <c r="AC134" s="288"/>
      <c r="AD134" s="288"/>
      <c r="AE134" s="289"/>
      <c r="AF134" s="287">
        <f>SUM(AG134:AI134)</f>
        <v>0</v>
      </c>
      <c r="AG134" s="288">
        <f>'[5]01.BMC'!AG129</f>
        <v>0</v>
      </c>
      <c r="AH134" s="288">
        <f>'[5]01.BMC'!AH129</f>
        <v>0</v>
      </c>
      <c r="AI134" s="289">
        <f>'[5]01.BMC'!AI129</f>
        <v>0</v>
      </c>
      <c r="AJ134" s="283">
        <f>SUM(AK134:AM134)</f>
        <v>0</v>
      </c>
      <c r="AK134" s="285"/>
      <c r="AL134" s="285"/>
      <c r="AM134" s="286"/>
      <c r="AN134" s="290"/>
      <c r="AO134" s="87" t="str">
        <f t="shared" si="50"/>
        <v>-</v>
      </c>
    </row>
    <row r="135" spans="1:41" s="233" customFormat="1" ht="27.75" hidden="1" customHeight="1" x14ac:dyDescent="0.75">
      <c r="A135" s="77" t="s">
        <v>87</v>
      </c>
      <c r="B135" s="78" t="s">
        <v>106</v>
      </c>
      <c r="C135" s="79">
        <v>73071</v>
      </c>
      <c r="D135" s="80" t="s">
        <v>107</v>
      </c>
      <c r="E135" s="329">
        <f>E262</f>
        <v>0</v>
      </c>
      <c r="F135" s="296">
        <f>H135+P135+X135+AF135</f>
        <v>0</v>
      </c>
      <c r="G135" s="330" t="str">
        <f t="shared" si="77"/>
        <v>-</v>
      </c>
      <c r="H135" s="296">
        <f>SUM(I135:K135)</f>
        <v>0</v>
      </c>
      <c r="I135" s="297">
        <f>I262</f>
        <v>0</v>
      </c>
      <c r="J135" s="297">
        <f>J262</f>
        <v>0</v>
      </c>
      <c r="K135" s="298">
        <f>K262</f>
        <v>0</v>
      </c>
      <c r="L135" s="296">
        <f>SUM(M135:O135)</f>
        <v>0</v>
      </c>
      <c r="M135" s="297">
        <f>M262</f>
        <v>0</v>
      </c>
      <c r="N135" s="297">
        <f>N262</f>
        <v>0</v>
      </c>
      <c r="O135" s="298">
        <f>O262</f>
        <v>0</v>
      </c>
      <c r="P135" s="296">
        <f>SUM(Q135:S135)</f>
        <v>0</v>
      </c>
      <c r="Q135" s="297">
        <f>Q262</f>
        <v>0</v>
      </c>
      <c r="R135" s="297">
        <f>R262</f>
        <v>0</v>
      </c>
      <c r="S135" s="298">
        <f>S262</f>
        <v>0</v>
      </c>
      <c r="T135" s="296">
        <f>SUM(U135:W135)</f>
        <v>0</v>
      </c>
      <c r="U135" s="297">
        <f>U262</f>
        <v>0</v>
      </c>
      <c r="V135" s="297">
        <f>V262</f>
        <v>0</v>
      </c>
      <c r="W135" s="298">
        <f>W262</f>
        <v>0</v>
      </c>
      <c r="X135" s="296">
        <f>SUM(Y135:AA135)</f>
        <v>0</v>
      </c>
      <c r="Y135" s="297">
        <f>Y262</f>
        <v>0</v>
      </c>
      <c r="Z135" s="297">
        <f>Z262</f>
        <v>0</v>
      </c>
      <c r="AA135" s="298">
        <f>AA262</f>
        <v>0</v>
      </c>
      <c r="AB135" s="296">
        <f>SUM(AC135:AE135)</f>
        <v>0</v>
      </c>
      <c r="AC135" s="297">
        <f>AC262</f>
        <v>0</v>
      </c>
      <c r="AD135" s="297">
        <f>AD262</f>
        <v>0</v>
      </c>
      <c r="AE135" s="298">
        <f>AE262</f>
        <v>0</v>
      </c>
      <c r="AF135" s="296">
        <f>SUM(AG135:AI135)</f>
        <v>0</v>
      </c>
      <c r="AG135" s="297">
        <f>AG262</f>
        <v>0</v>
      </c>
      <c r="AH135" s="297">
        <f>AH262</f>
        <v>0</v>
      </c>
      <c r="AI135" s="298">
        <f>AI262</f>
        <v>0</v>
      </c>
      <c r="AJ135" s="292">
        <f>SUM(AK135:AM135)</f>
        <v>0</v>
      </c>
      <c r="AK135" s="294">
        <f>AK262</f>
        <v>0</v>
      </c>
      <c r="AL135" s="294">
        <f>AL262</f>
        <v>0</v>
      </c>
      <c r="AM135" s="295">
        <f>AM262</f>
        <v>0</v>
      </c>
      <c r="AN135" s="299"/>
      <c r="AO135" s="231" t="str">
        <f t="shared" si="50"/>
        <v>-</v>
      </c>
    </row>
    <row r="136" spans="1:41" s="88" customFormat="1" ht="27.75" hidden="1" customHeight="1" x14ac:dyDescent="0.75">
      <c r="A136" s="129" t="s">
        <v>87</v>
      </c>
      <c r="B136" s="130" t="s">
        <v>106</v>
      </c>
      <c r="C136" s="333">
        <v>73072</v>
      </c>
      <c r="D136" s="334" t="s">
        <v>108</v>
      </c>
      <c r="E136" s="335">
        <f>E258+E263</f>
        <v>0</v>
      </c>
      <c r="F136" s="306">
        <f>H136+P136+X136+AF136</f>
        <v>0</v>
      </c>
      <c r="G136" s="336" t="str">
        <f t="shared" si="77"/>
        <v>-</v>
      </c>
      <c r="H136" s="306">
        <f>SUM(I136:K136)</f>
        <v>0</v>
      </c>
      <c r="I136" s="307">
        <f>I258+I263</f>
        <v>0</v>
      </c>
      <c r="J136" s="307">
        <f>J258+J263</f>
        <v>0</v>
      </c>
      <c r="K136" s="308">
        <f>K258+K263</f>
        <v>0</v>
      </c>
      <c r="L136" s="306">
        <f>SUM(M136:O136)</f>
        <v>0</v>
      </c>
      <c r="M136" s="307">
        <f>M258+M263</f>
        <v>0</v>
      </c>
      <c r="N136" s="307">
        <f>N258+N263</f>
        <v>0</v>
      </c>
      <c r="O136" s="308">
        <f>O258+O263</f>
        <v>0</v>
      </c>
      <c r="P136" s="306">
        <f>SUM(Q136:S136)</f>
        <v>0</v>
      </c>
      <c r="Q136" s="307">
        <f>Q258+Q263</f>
        <v>0</v>
      </c>
      <c r="R136" s="307">
        <f>R258+R263</f>
        <v>0</v>
      </c>
      <c r="S136" s="308">
        <f>S258+S263</f>
        <v>0</v>
      </c>
      <c r="T136" s="306">
        <f>SUM(U136:W136)</f>
        <v>0</v>
      </c>
      <c r="U136" s="307">
        <f>U258+U263</f>
        <v>0</v>
      </c>
      <c r="V136" s="307">
        <f>V258+V263</f>
        <v>0</v>
      </c>
      <c r="W136" s="308">
        <f>W258+W263</f>
        <v>0</v>
      </c>
      <c r="X136" s="306">
        <f>SUM(Y136:AA136)</f>
        <v>0</v>
      </c>
      <c r="Y136" s="307">
        <f>Y258+Y263</f>
        <v>0</v>
      </c>
      <c r="Z136" s="307">
        <f>Z258+Z263</f>
        <v>0</v>
      </c>
      <c r="AA136" s="308">
        <f>AA258+AA263</f>
        <v>0</v>
      </c>
      <c r="AB136" s="306">
        <f>SUM(AC136:AE136)</f>
        <v>0</v>
      </c>
      <c r="AC136" s="307">
        <f>AC258+AC263</f>
        <v>0</v>
      </c>
      <c r="AD136" s="307">
        <f>AD258+AD263</f>
        <v>0</v>
      </c>
      <c r="AE136" s="308">
        <f>AE258+AE263</f>
        <v>0</v>
      </c>
      <c r="AF136" s="306">
        <f>SUM(AG136:AI136)</f>
        <v>0</v>
      </c>
      <c r="AG136" s="307">
        <f>AG258+AG263</f>
        <v>0</v>
      </c>
      <c r="AH136" s="307">
        <f>AH258+AH263</f>
        <v>0</v>
      </c>
      <c r="AI136" s="308">
        <f>AI258+AI263</f>
        <v>0</v>
      </c>
      <c r="AJ136" s="309">
        <f>SUM(AK136:AM136)</f>
        <v>0</v>
      </c>
      <c r="AK136" s="310">
        <f>AK258+AK263</f>
        <v>0</v>
      </c>
      <c r="AL136" s="310">
        <f>AL258+AL263</f>
        <v>0</v>
      </c>
      <c r="AM136" s="311">
        <f>AM258+AM263</f>
        <v>0</v>
      </c>
      <c r="AN136" s="337"/>
      <c r="AO136" s="87" t="str">
        <f t="shared" si="50"/>
        <v>-</v>
      </c>
    </row>
    <row r="137" spans="1:41" s="88" customFormat="1" ht="27.75" hidden="1" customHeight="1" x14ac:dyDescent="0.75">
      <c r="A137" s="338"/>
      <c r="B137" s="339"/>
      <c r="C137" s="340"/>
      <c r="D137" s="341" t="s">
        <v>137</v>
      </c>
      <c r="E137" s="342">
        <f>SUM(E138:E141)</f>
        <v>0</v>
      </c>
      <c r="F137" s="322">
        <f>SUM(F138:F141)</f>
        <v>0</v>
      </c>
      <c r="G137" s="343" t="str">
        <f t="shared" si="77"/>
        <v>-</v>
      </c>
      <c r="H137" s="322">
        <f t="shared" ref="H137:AM137" si="78">SUM(H138:H141)</f>
        <v>0</v>
      </c>
      <c r="I137" s="323">
        <f t="shared" si="78"/>
        <v>0</v>
      </c>
      <c r="J137" s="323">
        <f t="shared" si="78"/>
        <v>0</v>
      </c>
      <c r="K137" s="324">
        <f t="shared" si="78"/>
        <v>0</v>
      </c>
      <c r="L137" s="322">
        <f t="shared" si="78"/>
        <v>0</v>
      </c>
      <c r="M137" s="323">
        <f t="shared" si="78"/>
        <v>0</v>
      </c>
      <c r="N137" s="323">
        <f t="shared" si="78"/>
        <v>0</v>
      </c>
      <c r="O137" s="324">
        <f t="shared" si="78"/>
        <v>0</v>
      </c>
      <c r="P137" s="322">
        <f t="shared" si="78"/>
        <v>0</v>
      </c>
      <c r="Q137" s="323">
        <f t="shared" si="78"/>
        <v>0</v>
      </c>
      <c r="R137" s="323">
        <f t="shared" si="78"/>
        <v>0</v>
      </c>
      <c r="S137" s="324">
        <f t="shared" si="78"/>
        <v>0</v>
      </c>
      <c r="T137" s="322">
        <f t="shared" si="78"/>
        <v>0</v>
      </c>
      <c r="U137" s="323">
        <f t="shared" si="78"/>
        <v>0</v>
      </c>
      <c r="V137" s="323">
        <f t="shared" si="78"/>
        <v>0</v>
      </c>
      <c r="W137" s="324">
        <f t="shared" si="78"/>
        <v>0</v>
      </c>
      <c r="X137" s="322">
        <f t="shared" si="78"/>
        <v>0</v>
      </c>
      <c r="Y137" s="323">
        <f t="shared" si="78"/>
        <v>0</v>
      </c>
      <c r="Z137" s="323">
        <f t="shared" si="78"/>
        <v>0</v>
      </c>
      <c r="AA137" s="324">
        <f t="shared" si="78"/>
        <v>0</v>
      </c>
      <c r="AB137" s="322">
        <f t="shared" si="78"/>
        <v>0</v>
      </c>
      <c r="AC137" s="323">
        <f t="shared" si="78"/>
        <v>0</v>
      </c>
      <c r="AD137" s="323">
        <f t="shared" si="78"/>
        <v>0</v>
      </c>
      <c r="AE137" s="324">
        <f t="shared" si="78"/>
        <v>0</v>
      </c>
      <c r="AF137" s="322">
        <f t="shared" si="78"/>
        <v>0</v>
      </c>
      <c r="AG137" s="323">
        <f t="shared" si="78"/>
        <v>0</v>
      </c>
      <c r="AH137" s="323">
        <f t="shared" si="78"/>
        <v>0</v>
      </c>
      <c r="AI137" s="324">
        <f t="shared" si="78"/>
        <v>0</v>
      </c>
      <c r="AJ137" s="325">
        <f t="shared" si="78"/>
        <v>0</v>
      </c>
      <c r="AK137" s="326">
        <f t="shared" si="78"/>
        <v>0</v>
      </c>
      <c r="AL137" s="326">
        <f t="shared" si="78"/>
        <v>0</v>
      </c>
      <c r="AM137" s="327">
        <f t="shared" si="78"/>
        <v>0</v>
      </c>
      <c r="AN137" s="344"/>
      <c r="AO137" s="87" t="str">
        <f t="shared" si="50"/>
        <v>-</v>
      </c>
    </row>
    <row r="138" spans="1:41" s="88" customFormat="1" ht="27.75" hidden="1" customHeight="1" x14ac:dyDescent="0.75">
      <c r="A138" s="77" t="s">
        <v>87</v>
      </c>
      <c r="B138" s="78" t="s">
        <v>65</v>
      </c>
      <c r="C138" s="79">
        <v>73023</v>
      </c>
      <c r="D138" s="80" t="s">
        <v>83</v>
      </c>
      <c r="E138" s="329">
        <f>'[5]01.BMC'!E133</f>
        <v>0</v>
      </c>
      <c r="F138" s="296">
        <f t="shared" ref="F138:F139" si="79">H138+P138+X138+AF138</f>
        <v>0</v>
      </c>
      <c r="G138" s="330" t="str">
        <f>IFERROR(F138/E138, "-")</f>
        <v>-</v>
      </c>
      <c r="H138" s="296">
        <f>SUM(I138:K138)</f>
        <v>0</v>
      </c>
      <c r="I138" s="297">
        <f>'[5]01.BMC'!I133</f>
        <v>0</v>
      </c>
      <c r="J138" s="297">
        <f>'[5]01.BMC'!J133</f>
        <v>0</v>
      </c>
      <c r="K138" s="298">
        <f>'[5]01.BMC'!K133</f>
        <v>0</v>
      </c>
      <c r="L138" s="296">
        <f>SUM(M138:O138)</f>
        <v>0</v>
      </c>
      <c r="M138" s="297">
        <f>'[5]01.BMC'!M133</f>
        <v>0</v>
      </c>
      <c r="N138" s="297">
        <f>'[5]01.BMC'!N133</f>
        <v>0</v>
      </c>
      <c r="O138" s="298">
        <f>'[5]01.BMC'!O133</f>
        <v>0</v>
      </c>
      <c r="P138" s="296">
        <f>SUM(Q138:S138)</f>
        <v>0</v>
      </c>
      <c r="Q138" s="297">
        <f>'[5]01.BMC'!Q133</f>
        <v>0</v>
      </c>
      <c r="R138" s="297">
        <f>'[5]01.BMC'!R133</f>
        <v>0</v>
      </c>
      <c r="S138" s="298">
        <f>'[5]01.BMC'!S133</f>
        <v>0</v>
      </c>
      <c r="T138" s="296">
        <f>SUM(U138:W138)</f>
        <v>0</v>
      </c>
      <c r="U138" s="297">
        <f>'[5]01.BMC'!U133</f>
        <v>0</v>
      </c>
      <c r="V138" s="297">
        <f>'[5]01.BMC'!V133</f>
        <v>0</v>
      </c>
      <c r="W138" s="298">
        <f>'[5]01.BMC'!W133</f>
        <v>0</v>
      </c>
      <c r="X138" s="296">
        <f>SUM(Y138:AA138)</f>
        <v>0</v>
      </c>
      <c r="Y138" s="297">
        <f>'[5]01.BMC'!Y133</f>
        <v>0</v>
      </c>
      <c r="Z138" s="297">
        <f>'[5]01.BMC'!Z133</f>
        <v>0</v>
      </c>
      <c r="AA138" s="298">
        <f>'[5]01.BMC'!AA133</f>
        <v>0</v>
      </c>
      <c r="AB138" s="296">
        <f>SUM(AC138:AE138)</f>
        <v>0</v>
      </c>
      <c r="AC138" s="297"/>
      <c r="AD138" s="297"/>
      <c r="AE138" s="298"/>
      <c r="AF138" s="296">
        <f>SUM(AG138:AI138)</f>
        <v>0</v>
      </c>
      <c r="AG138" s="297">
        <f>'[5]01.BMC'!AG133</f>
        <v>0</v>
      </c>
      <c r="AH138" s="297">
        <f>'[5]01.BMC'!AH133</f>
        <v>0</v>
      </c>
      <c r="AI138" s="298">
        <f>'[5]01.BMC'!AI133</f>
        <v>0</v>
      </c>
      <c r="AJ138" s="292">
        <f>SUM(AK138:AM138)</f>
        <v>0</v>
      </c>
      <c r="AK138" s="294"/>
      <c r="AL138" s="294"/>
      <c r="AM138" s="295"/>
      <c r="AN138" s="299"/>
      <c r="AO138" s="87" t="str">
        <f t="shared" si="50"/>
        <v>-</v>
      </c>
    </row>
    <row r="139" spans="1:41" s="88" customFormat="1" ht="27.75" hidden="1" customHeight="1" x14ac:dyDescent="0.75">
      <c r="A139" s="91" t="s">
        <v>87</v>
      </c>
      <c r="B139" s="92" t="s">
        <v>69</v>
      </c>
      <c r="C139" s="93">
        <v>73066</v>
      </c>
      <c r="D139" s="94" t="s">
        <v>70</v>
      </c>
      <c r="E139" s="331">
        <f>'[5]01.BMC'!E134</f>
        <v>0</v>
      </c>
      <c r="F139" s="287">
        <f t="shared" si="79"/>
        <v>0</v>
      </c>
      <c r="G139" s="332" t="str">
        <f t="shared" ref="G139:G141" si="80">IFERROR(F139/E139, "-")</f>
        <v>-</v>
      </c>
      <c r="H139" s="287">
        <f>SUM(I139:K139)</f>
        <v>0</v>
      </c>
      <c r="I139" s="288">
        <f>'[5]01.BMC'!I134</f>
        <v>0</v>
      </c>
      <c r="J139" s="288">
        <f>'[5]01.BMC'!J134</f>
        <v>0</v>
      </c>
      <c r="K139" s="289">
        <f>'[5]01.BMC'!K134</f>
        <v>0</v>
      </c>
      <c r="L139" s="287">
        <f>SUM(M139:O139)</f>
        <v>0</v>
      </c>
      <c r="M139" s="288">
        <f>'[5]01.BMC'!M134</f>
        <v>0</v>
      </c>
      <c r="N139" s="288">
        <f>'[5]01.BMC'!N134</f>
        <v>0</v>
      </c>
      <c r="O139" s="289">
        <f>'[5]01.BMC'!O134</f>
        <v>0</v>
      </c>
      <c r="P139" s="287">
        <f>SUM(Q139:S139)</f>
        <v>0</v>
      </c>
      <c r="Q139" s="288">
        <f>'[5]01.BMC'!Q134</f>
        <v>0</v>
      </c>
      <c r="R139" s="288">
        <f>'[5]01.BMC'!R134</f>
        <v>0</v>
      </c>
      <c r="S139" s="289">
        <f>'[5]01.BMC'!S134</f>
        <v>0</v>
      </c>
      <c r="T139" s="287">
        <f>SUM(U139:W139)</f>
        <v>0</v>
      </c>
      <c r="U139" s="288">
        <f>'[5]01.BMC'!U134</f>
        <v>0</v>
      </c>
      <c r="V139" s="288">
        <f>'[5]01.BMC'!V134</f>
        <v>0</v>
      </c>
      <c r="W139" s="289">
        <f>'[5]01.BMC'!W134</f>
        <v>0</v>
      </c>
      <c r="X139" s="287">
        <f>SUM(Y139:AA139)</f>
        <v>0</v>
      </c>
      <c r="Y139" s="288">
        <f>'[5]01.BMC'!Y134</f>
        <v>0</v>
      </c>
      <c r="Z139" s="288">
        <f>'[5]01.BMC'!Z134</f>
        <v>0</v>
      </c>
      <c r="AA139" s="289">
        <f>'[5]01.BMC'!AA134</f>
        <v>0</v>
      </c>
      <c r="AB139" s="287">
        <f>SUM(AC139:AE139)</f>
        <v>0</v>
      </c>
      <c r="AC139" s="288"/>
      <c r="AD139" s="288"/>
      <c r="AE139" s="289"/>
      <c r="AF139" s="287">
        <f>SUM(AG139:AI139)</f>
        <v>0</v>
      </c>
      <c r="AG139" s="288">
        <f>'[5]01.BMC'!AG134</f>
        <v>0</v>
      </c>
      <c r="AH139" s="288">
        <f>'[5]01.BMC'!AH134</f>
        <v>0</v>
      </c>
      <c r="AI139" s="289">
        <f>'[5]01.BMC'!AI134</f>
        <v>0</v>
      </c>
      <c r="AJ139" s="283">
        <f>SUM(AK139:AM139)</f>
        <v>0</v>
      </c>
      <c r="AK139" s="285"/>
      <c r="AL139" s="285"/>
      <c r="AM139" s="286"/>
      <c r="AN139" s="290"/>
      <c r="AO139" s="87" t="str">
        <f t="shared" si="50"/>
        <v>-</v>
      </c>
    </row>
    <row r="140" spans="1:41" s="233" customFormat="1" ht="27.75" hidden="1" customHeight="1" x14ac:dyDescent="0.75">
      <c r="A140" s="77" t="s">
        <v>87</v>
      </c>
      <c r="B140" s="78" t="s">
        <v>106</v>
      </c>
      <c r="C140" s="79">
        <v>73071</v>
      </c>
      <c r="D140" s="80" t="s">
        <v>107</v>
      </c>
      <c r="E140" s="329">
        <f>E267</f>
        <v>0</v>
      </c>
      <c r="F140" s="296">
        <f>H140+P140+X140+AF140</f>
        <v>0</v>
      </c>
      <c r="G140" s="330" t="str">
        <f t="shared" si="80"/>
        <v>-</v>
      </c>
      <c r="H140" s="296">
        <f>SUM(I140:K140)</f>
        <v>0</v>
      </c>
      <c r="I140" s="297">
        <f>I267</f>
        <v>0</v>
      </c>
      <c r="J140" s="297">
        <f>J267</f>
        <v>0</v>
      </c>
      <c r="K140" s="298">
        <f>K267</f>
        <v>0</v>
      </c>
      <c r="L140" s="296">
        <f>SUM(M140:O140)</f>
        <v>0</v>
      </c>
      <c r="M140" s="297">
        <f>M267</f>
        <v>0</v>
      </c>
      <c r="N140" s="297">
        <f>N267</f>
        <v>0</v>
      </c>
      <c r="O140" s="298">
        <f>O267</f>
        <v>0</v>
      </c>
      <c r="P140" s="296">
        <f>SUM(Q140:S140)</f>
        <v>0</v>
      </c>
      <c r="Q140" s="297">
        <f>Q267</f>
        <v>0</v>
      </c>
      <c r="R140" s="297">
        <f>R267</f>
        <v>0</v>
      </c>
      <c r="S140" s="298">
        <f>S267</f>
        <v>0</v>
      </c>
      <c r="T140" s="296">
        <f>SUM(U140:W140)</f>
        <v>0</v>
      </c>
      <c r="U140" s="297">
        <f>U267</f>
        <v>0</v>
      </c>
      <c r="V140" s="297">
        <f>V267</f>
        <v>0</v>
      </c>
      <c r="W140" s="298">
        <f>W267</f>
        <v>0</v>
      </c>
      <c r="X140" s="296">
        <f>SUM(Y140:AA140)</f>
        <v>0</v>
      </c>
      <c r="Y140" s="297">
        <f>Y267</f>
        <v>0</v>
      </c>
      <c r="Z140" s="297">
        <f>Z267</f>
        <v>0</v>
      </c>
      <c r="AA140" s="298">
        <f>AA267</f>
        <v>0</v>
      </c>
      <c r="AB140" s="296">
        <f>SUM(AC140:AE140)</f>
        <v>0</v>
      </c>
      <c r="AC140" s="297">
        <f>AC267</f>
        <v>0</v>
      </c>
      <c r="AD140" s="297">
        <f>AD267</f>
        <v>0</v>
      </c>
      <c r="AE140" s="298">
        <f>AE267</f>
        <v>0</v>
      </c>
      <c r="AF140" s="296">
        <f>SUM(AG140:AI140)</f>
        <v>0</v>
      </c>
      <c r="AG140" s="297">
        <f>AG267</f>
        <v>0</v>
      </c>
      <c r="AH140" s="297">
        <f>AH267</f>
        <v>0</v>
      </c>
      <c r="AI140" s="298">
        <f>AI267</f>
        <v>0</v>
      </c>
      <c r="AJ140" s="292">
        <f>SUM(AK140:AM140)</f>
        <v>0</v>
      </c>
      <c r="AK140" s="294">
        <f>AK267</f>
        <v>0</v>
      </c>
      <c r="AL140" s="294">
        <f>AL267</f>
        <v>0</v>
      </c>
      <c r="AM140" s="295">
        <f>AM267</f>
        <v>0</v>
      </c>
      <c r="AN140" s="299"/>
      <c r="AO140" s="231" t="str">
        <f t="shared" si="50"/>
        <v>-</v>
      </c>
    </row>
    <row r="141" spans="1:41" s="88" customFormat="1" ht="27.75" hidden="1" customHeight="1" x14ac:dyDescent="0.75">
      <c r="A141" s="129" t="s">
        <v>87</v>
      </c>
      <c r="B141" s="130" t="s">
        <v>106</v>
      </c>
      <c r="C141" s="333">
        <v>73072</v>
      </c>
      <c r="D141" s="334" t="s">
        <v>108</v>
      </c>
      <c r="E141" s="335">
        <f>E263+E268</f>
        <v>0</v>
      </c>
      <c r="F141" s="306">
        <f>H141+P141+X141+AF141</f>
        <v>0</v>
      </c>
      <c r="G141" s="336" t="str">
        <f t="shared" si="80"/>
        <v>-</v>
      </c>
      <c r="H141" s="306">
        <f>SUM(I141:K141)</f>
        <v>0</v>
      </c>
      <c r="I141" s="307">
        <f>I263+I268</f>
        <v>0</v>
      </c>
      <c r="J141" s="307">
        <f>J263+J268</f>
        <v>0</v>
      </c>
      <c r="K141" s="308">
        <f>K263+K268</f>
        <v>0</v>
      </c>
      <c r="L141" s="306">
        <f>SUM(M141:O141)</f>
        <v>0</v>
      </c>
      <c r="M141" s="307">
        <f>M263+M268</f>
        <v>0</v>
      </c>
      <c r="N141" s="307">
        <f>N263+N268</f>
        <v>0</v>
      </c>
      <c r="O141" s="308">
        <f>O263+O268</f>
        <v>0</v>
      </c>
      <c r="P141" s="306">
        <f>SUM(Q141:S141)</f>
        <v>0</v>
      </c>
      <c r="Q141" s="307">
        <f>Q263+Q268</f>
        <v>0</v>
      </c>
      <c r="R141" s="307">
        <f>R263+R268</f>
        <v>0</v>
      </c>
      <c r="S141" s="308">
        <f>S263+S268</f>
        <v>0</v>
      </c>
      <c r="T141" s="306">
        <f>SUM(U141:W141)</f>
        <v>0</v>
      </c>
      <c r="U141" s="307">
        <f>U263+U268</f>
        <v>0</v>
      </c>
      <c r="V141" s="307">
        <f>V263+V268</f>
        <v>0</v>
      </c>
      <c r="W141" s="308">
        <f>W263+W268</f>
        <v>0</v>
      </c>
      <c r="X141" s="306">
        <f>SUM(Y141:AA141)</f>
        <v>0</v>
      </c>
      <c r="Y141" s="307">
        <f>Y263+Y268</f>
        <v>0</v>
      </c>
      <c r="Z141" s="307">
        <f>Z263+Z268</f>
        <v>0</v>
      </c>
      <c r="AA141" s="308">
        <f>AA263+AA268</f>
        <v>0</v>
      </c>
      <c r="AB141" s="306">
        <f>SUM(AC141:AE141)</f>
        <v>0</v>
      </c>
      <c r="AC141" s="307">
        <f>AC263+AC268</f>
        <v>0</v>
      </c>
      <c r="AD141" s="307">
        <f>AD263+AD268</f>
        <v>0</v>
      </c>
      <c r="AE141" s="308">
        <f>AE263+AE268</f>
        <v>0</v>
      </c>
      <c r="AF141" s="306">
        <f>SUM(AG141:AI141)</f>
        <v>0</v>
      </c>
      <c r="AG141" s="307">
        <f>AG263+AG268</f>
        <v>0</v>
      </c>
      <c r="AH141" s="307">
        <f>AH263+AH268</f>
        <v>0</v>
      </c>
      <c r="AI141" s="308">
        <f>AI263+AI268</f>
        <v>0</v>
      </c>
      <c r="AJ141" s="309">
        <f>SUM(AK141:AM141)</f>
        <v>0</v>
      </c>
      <c r="AK141" s="310">
        <f>AK263+AK268</f>
        <v>0</v>
      </c>
      <c r="AL141" s="310">
        <f>AL263+AL268</f>
        <v>0</v>
      </c>
      <c r="AM141" s="311">
        <f>AM263+AM268</f>
        <v>0</v>
      </c>
      <c r="AN141" s="337"/>
      <c r="AO141" s="87" t="str">
        <f t="shared" si="50"/>
        <v>-</v>
      </c>
    </row>
    <row r="142" spans="1:41" ht="24.75" customHeight="1" x14ac:dyDescent="0.75"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  <c r="AM142" s="242"/>
    </row>
    <row r="143" spans="1:41" ht="24.75" customHeight="1" x14ac:dyDescent="0.75"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  <c r="AM143" s="242"/>
    </row>
    <row r="144" spans="1:41" ht="24.75" customHeight="1" x14ac:dyDescent="0.75">
      <c r="A144" s="243"/>
      <c r="B144" s="244"/>
      <c r="C144" s="4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  <c r="AM144" s="242"/>
      <c r="AO144" s="4"/>
    </row>
    <row r="145" spans="1:41" ht="24.75" customHeight="1" x14ac:dyDescent="0.75">
      <c r="A145" s="243"/>
      <c r="B145" s="244"/>
      <c r="C145" s="4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  <c r="AM145" s="242"/>
      <c r="AO145" s="4"/>
    </row>
    <row r="146" spans="1:41" ht="24.75" customHeight="1" x14ac:dyDescent="0.75">
      <c r="A146" s="243"/>
      <c r="B146" s="244"/>
      <c r="C146" s="4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  <c r="AM146" s="242"/>
      <c r="AO146" s="4"/>
    </row>
    <row r="147" spans="1:41" ht="24.75" customHeight="1" x14ac:dyDescent="0.75">
      <c r="A147" s="243"/>
      <c r="B147" s="244"/>
      <c r="C147" s="4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42"/>
      <c r="AO147" s="4"/>
    </row>
    <row r="148" spans="1:41" ht="24.75" customHeight="1" x14ac:dyDescent="0.75">
      <c r="A148" s="243"/>
      <c r="B148" s="244"/>
      <c r="C148" s="4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  <c r="AM148" s="242"/>
      <c r="AO148" s="4"/>
    </row>
    <row r="149" spans="1:41" ht="24.75" customHeight="1" x14ac:dyDescent="0.75">
      <c r="A149" s="243"/>
      <c r="B149" s="244"/>
      <c r="C149" s="4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  <c r="AM149" s="242"/>
      <c r="AO149" s="4"/>
    </row>
    <row r="150" spans="1:41" ht="60" customHeight="1" x14ac:dyDescent="0.75">
      <c r="A150" s="243"/>
      <c r="B150" s="244"/>
      <c r="C150" s="4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O150" s="4"/>
    </row>
    <row r="151" spans="1:41" ht="24.75" customHeight="1" x14ac:dyDescent="0.75">
      <c r="A151" s="243"/>
      <c r="B151" s="244"/>
      <c r="C151" s="4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O151" s="4"/>
    </row>
    <row r="152" spans="1:41" ht="24.75" customHeight="1" x14ac:dyDescent="0.75">
      <c r="A152" s="243"/>
      <c r="B152" s="244"/>
      <c r="C152" s="4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O152" s="4"/>
    </row>
    <row r="153" spans="1:41" ht="24.75" customHeight="1" x14ac:dyDescent="0.75">
      <c r="A153" s="243"/>
      <c r="B153" s="244"/>
      <c r="C153" s="4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  <c r="AM153" s="242"/>
      <c r="AO153" s="4"/>
    </row>
    <row r="154" spans="1:41" ht="24.75" customHeight="1" x14ac:dyDescent="0.75">
      <c r="A154" s="243"/>
      <c r="B154" s="244"/>
      <c r="C154" s="4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O154" s="4"/>
    </row>
    <row r="155" spans="1:41" ht="24.75" customHeight="1" x14ac:dyDescent="0.75">
      <c r="A155" s="243"/>
      <c r="B155" s="244"/>
      <c r="C155" s="4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O155" s="4"/>
    </row>
    <row r="156" spans="1:41" ht="24.75" customHeight="1" x14ac:dyDescent="0.75">
      <c r="A156" s="243"/>
      <c r="B156" s="244"/>
      <c r="C156" s="4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  <c r="AM156" s="242"/>
      <c r="AO156" s="4"/>
    </row>
    <row r="157" spans="1:41" ht="24.75" customHeight="1" x14ac:dyDescent="0.75">
      <c r="A157" s="243"/>
      <c r="B157" s="244"/>
      <c r="C157" s="4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  <c r="AM157" s="242"/>
      <c r="AO157" s="4"/>
    </row>
    <row r="158" spans="1:41" ht="24.75" customHeight="1" x14ac:dyDescent="0.75">
      <c r="A158" s="243"/>
      <c r="B158" s="244"/>
      <c r="C158" s="4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  <c r="AM158" s="242"/>
      <c r="AO158" s="4"/>
    </row>
    <row r="159" spans="1:41" ht="24.75" customHeight="1" x14ac:dyDescent="0.75">
      <c r="A159" s="243"/>
      <c r="B159" s="244"/>
      <c r="C159" s="4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  <c r="AM159" s="242"/>
      <c r="AO159" s="4"/>
    </row>
    <row r="160" spans="1:41" ht="24.75" customHeight="1" x14ac:dyDescent="0.75">
      <c r="A160" s="243"/>
      <c r="B160" s="244"/>
      <c r="C160" s="4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  <c r="AM160" s="242"/>
      <c r="AO160" s="4"/>
    </row>
    <row r="161" spans="1:41" ht="24.75" customHeight="1" x14ac:dyDescent="0.75">
      <c r="A161" s="243"/>
      <c r="B161" s="244"/>
      <c r="C161" s="4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  <c r="AM161" s="242"/>
      <c r="AO161" s="4"/>
    </row>
    <row r="162" spans="1:41" ht="24.75" customHeight="1" x14ac:dyDescent="0.75">
      <c r="A162" s="243"/>
      <c r="B162" s="244"/>
      <c r="C162" s="4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  <c r="AM162" s="242"/>
      <c r="AO162" s="4"/>
    </row>
    <row r="163" spans="1:41" ht="24.75" customHeight="1" x14ac:dyDescent="0.75">
      <c r="A163" s="243"/>
      <c r="B163" s="244"/>
      <c r="C163" s="4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  <c r="AM163" s="242"/>
      <c r="AO163" s="4"/>
    </row>
    <row r="164" spans="1:41" ht="24.75" customHeight="1" x14ac:dyDescent="0.75">
      <c r="A164" s="243"/>
      <c r="B164" s="244"/>
      <c r="C164" s="4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  <c r="AM164" s="242"/>
      <c r="AO164" s="4"/>
    </row>
    <row r="165" spans="1:41" ht="24.75" customHeight="1" x14ac:dyDescent="0.75">
      <c r="A165" s="243"/>
      <c r="B165" s="244"/>
      <c r="C165" s="4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  <c r="AM165" s="242"/>
      <c r="AO165" s="4"/>
    </row>
    <row r="166" spans="1:41" ht="24.75" customHeight="1" x14ac:dyDescent="0.75">
      <c r="A166" s="243"/>
      <c r="B166" s="244"/>
      <c r="C166" s="4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  <c r="AM166" s="242"/>
      <c r="AO166" s="4"/>
    </row>
    <row r="167" spans="1:41" ht="24.75" customHeight="1" x14ac:dyDescent="0.75">
      <c r="A167" s="243"/>
      <c r="B167" s="244"/>
      <c r="C167" s="4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  <c r="AM167" s="242"/>
      <c r="AO167" s="4"/>
    </row>
    <row r="168" spans="1:41" ht="24.75" customHeight="1" x14ac:dyDescent="0.75">
      <c r="A168" s="243"/>
      <c r="B168" s="244"/>
      <c r="C168" s="4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  <c r="AM168" s="242"/>
      <c r="AO168" s="4"/>
    </row>
    <row r="169" spans="1:41" ht="24.75" customHeight="1" x14ac:dyDescent="0.75">
      <c r="A169" s="243"/>
      <c r="B169" s="244"/>
      <c r="C169" s="4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  <c r="AM169" s="242"/>
      <c r="AO169" s="4"/>
    </row>
    <row r="170" spans="1:41" ht="24.75" customHeight="1" x14ac:dyDescent="0.75">
      <c r="A170" s="243"/>
      <c r="B170" s="244"/>
      <c r="C170" s="4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  <c r="AM170" s="242"/>
      <c r="AO170" s="4"/>
    </row>
    <row r="171" spans="1:41" ht="24.75" customHeight="1" x14ac:dyDescent="0.75">
      <c r="A171" s="243"/>
      <c r="B171" s="244"/>
      <c r="C171" s="4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  <c r="AM171" s="242"/>
      <c r="AO171" s="4"/>
    </row>
    <row r="172" spans="1:41" ht="24.75" customHeight="1" x14ac:dyDescent="0.75">
      <c r="A172" s="243"/>
      <c r="B172" s="244"/>
      <c r="C172" s="4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  <c r="AM172" s="242"/>
      <c r="AO172" s="4"/>
    </row>
    <row r="173" spans="1:41" ht="24.75" customHeight="1" x14ac:dyDescent="0.75">
      <c r="A173" s="243"/>
      <c r="B173" s="244"/>
      <c r="C173" s="4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  <c r="AM173" s="242"/>
      <c r="AO173" s="4"/>
    </row>
    <row r="174" spans="1:41" ht="24.75" customHeight="1" x14ac:dyDescent="0.75">
      <c r="A174" s="243"/>
      <c r="B174" s="244"/>
      <c r="C174" s="4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  <c r="AM174" s="242"/>
      <c r="AO174" s="4"/>
    </row>
    <row r="175" spans="1:41" ht="24.75" customHeight="1" x14ac:dyDescent="0.75">
      <c r="A175" s="243"/>
      <c r="B175" s="244"/>
      <c r="C175" s="4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  <c r="AM175" s="242"/>
      <c r="AO175" s="4"/>
    </row>
    <row r="176" spans="1:41" ht="24.75" customHeight="1" x14ac:dyDescent="0.75">
      <c r="A176" s="243"/>
      <c r="B176" s="244"/>
      <c r="C176" s="4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  <c r="AM176" s="242"/>
      <c r="AO176" s="4"/>
    </row>
    <row r="177" spans="1:41" ht="24.75" customHeight="1" x14ac:dyDescent="0.75">
      <c r="A177" s="243"/>
      <c r="B177" s="244"/>
      <c r="C177" s="4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  <c r="AM177" s="242"/>
      <c r="AO177" s="4"/>
    </row>
    <row r="178" spans="1:41" ht="24.75" customHeight="1" x14ac:dyDescent="0.75">
      <c r="A178" s="243"/>
      <c r="B178" s="244"/>
      <c r="C178" s="4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O178" s="4"/>
    </row>
    <row r="179" spans="1:41" ht="24.75" customHeight="1" x14ac:dyDescent="0.75">
      <c r="A179" s="243"/>
      <c r="B179" s="244"/>
      <c r="C179" s="4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O179" s="4"/>
    </row>
    <row r="180" spans="1:41" ht="24.75" customHeight="1" x14ac:dyDescent="0.75">
      <c r="A180" s="243"/>
      <c r="B180" s="244"/>
      <c r="C180" s="4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O180" s="4"/>
    </row>
    <row r="181" spans="1:41" ht="24.75" customHeight="1" x14ac:dyDescent="0.75">
      <c r="A181" s="243"/>
      <c r="B181" s="244"/>
      <c r="C181" s="4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242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  <c r="AM181" s="242"/>
      <c r="AO181" s="4"/>
    </row>
    <row r="182" spans="1:41" ht="24.75" customHeight="1" x14ac:dyDescent="0.75">
      <c r="A182" s="243"/>
      <c r="B182" s="244"/>
      <c r="C182" s="4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  <c r="AM182" s="242"/>
      <c r="AO182" s="4"/>
    </row>
    <row r="183" spans="1:41" ht="24.75" customHeight="1" x14ac:dyDescent="0.75">
      <c r="A183" s="243"/>
      <c r="B183" s="244"/>
      <c r="C183" s="4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  <c r="AM183" s="242"/>
      <c r="AO183" s="4"/>
    </row>
    <row r="184" spans="1:41" ht="24.75" customHeight="1" x14ac:dyDescent="0.75">
      <c r="A184" s="243"/>
      <c r="B184" s="244"/>
      <c r="C184" s="4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242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  <c r="AM184" s="242"/>
      <c r="AO184" s="4"/>
    </row>
    <row r="185" spans="1:41" ht="24.75" customHeight="1" x14ac:dyDescent="0.75">
      <c r="A185" s="243"/>
      <c r="B185" s="244"/>
      <c r="C185" s="4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  <c r="AM185" s="242"/>
      <c r="AO185" s="4"/>
    </row>
    <row r="186" spans="1:41" ht="24.75" customHeight="1" x14ac:dyDescent="0.75">
      <c r="A186" s="243"/>
      <c r="B186" s="244"/>
      <c r="C186" s="4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242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  <c r="AM186" s="242"/>
      <c r="AO186" s="4"/>
    </row>
    <row r="187" spans="1:41" ht="24.75" customHeight="1" x14ac:dyDescent="0.75">
      <c r="A187" s="243"/>
      <c r="B187" s="244"/>
      <c r="C187" s="4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  <c r="AM187" s="242"/>
      <c r="AO187" s="4"/>
    </row>
    <row r="188" spans="1:41" ht="24.75" customHeight="1" x14ac:dyDescent="0.75">
      <c r="A188" s="243"/>
      <c r="B188" s="244"/>
      <c r="C188" s="4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242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  <c r="AM188" s="242"/>
      <c r="AO188" s="4"/>
    </row>
    <row r="189" spans="1:41" ht="24.75" customHeight="1" x14ac:dyDescent="0.75">
      <c r="A189" s="243"/>
      <c r="B189" s="244"/>
      <c r="C189" s="4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  <c r="AM189" s="242"/>
      <c r="AO189" s="4"/>
    </row>
    <row r="190" spans="1:41" ht="24.75" customHeight="1" x14ac:dyDescent="0.75">
      <c r="A190" s="243"/>
      <c r="B190" s="244"/>
      <c r="C190" s="4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  <c r="AM190" s="242"/>
      <c r="AO190" s="4"/>
    </row>
    <row r="191" spans="1:41" ht="24.75" customHeight="1" x14ac:dyDescent="0.75">
      <c r="A191" s="243"/>
      <c r="B191" s="244"/>
      <c r="C191" s="4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  <c r="AM191" s="242"/>
      <c r="AO191" s="4"/>
    </row>
    <row r="192" spans="1:41" ht="24.75" customHeight="1" x14ac:dyDescent="0.75">
      <c r="A192" s="243"/>
      <c r="B192" s="244"/>
      <c r="C192" s="4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  <c r="AM192" s="242"/>
      <c r="AO192" s="4"/>
    </row>
    <row r="193" spans="1:41" ht="24.75" customHeight="1" x14ac:dyDescent="0.75">
      <c r="A193" s="243"/>
      <c r="B193" s="244"/>
      <c r="C193" s="4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  <c r="AM193" s="242"/>
      <c r="AO193" s="4"/>
    </row>
    <row r="194" spans="1:41" ht="24.75" customHeight="1" x14ac:dyDescent="0.75">
      <c r="A194" s="243"/>
      <c r="B194" s="244"/>
      <c r="C194" s="4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  <c r="AM194" s="242"/>
      <c r="AO194" s="4"/>
    </row>
    <row r="195" spans="1:41" ht="24.75" customHeight="1" x14ac:dyDescent="0.75">
      <c r="A195" s="243"/>
      <c r="B195" s="244"/>
      <c r="C195" s="4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  <c r="AM195" s="242"/>
      <c r="AO195" s="4"/>
    </row>
    <row r="196" spans="1:41" ht="24.75" customHeight="1" x14ac:dyDescent="0.75">
      <c r="A196" s="243"/>
      <c r="B196" s="244"/>
      <c r="C196" s="4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242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  <c r="AM196" s="242"/>
      <c r="AO196" s="4"/>
    </row>
    <row r="197" spans="1:41" ht="24.75" customHeight="1" x14ac:dyDescent="0.75">
      <c r="A197" s="243"/>
      <c r="B197" s="244"/>
      <c r="C197" s="4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  <c r="AM197" s="242"/>
      <c r="AO197" s="4"/>
    </row>
    <row r="198" spans="1:41" ht="24.75" customHeight="1" x14ac:dyDescent="0.75">
      <c r="A198" s="243"/>
      <c r="B198" s="244"/>
      <c r="C198" s="4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  <c r="AM198" s="242"/>
      <c r="AO198" s="4"/>
    </row>
    <row r="199" spans="1:41" ht="24.75" customHeight="1" x14ac:dyDescent="0.75">
      <c r="A199" s="243"/>
      <c r="B199" s="244"/>
      <c r="C199" s="4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  <c r="AM199" s="242"/>
      <c r="AO199" s="4"/>
    </row>
    <row r="200" spans="1:41" ht="24.75" customHeight="1" x14ac:dyDescent="0.75">
      <c r="A200" s="243"/>
      <c r="B200" s="244"/>
      <c r="C200" s="4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  <c r="AM200" s="242"/>
      <c r="AO200" s="4"/>
    </row>
    <row r="201" spans="1:41" ht="24.75" customHeight="1" x14ac:dyDescent="0.75">
      <c r="A201" s="243"/>
      <c r="B201" s="244"/>
      <c r="C201" s="4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  <c r="AM201" s="242"/>
      <c r="AO201" s="4"/>
    </row>
    <row r="202" spans="1:41" ht="24.75" customHeight="1" x14ac:dyDescent="0.75">
      <c r="A202" s="243"/>
      <c r="B202" s="244"/>
      <c r="C202" s="4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  <c r="AM202" s="242"/>
      <c r="AO202" s="4"/>
    </row>
    <row r="203" spans="1:41" ht="24.75" customHeight="1" x14ac:dyDescent="0.75">
      <c r="A203" s="243"/>
      <c r="B203" s="244"/>
      <c r="C203" s="4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  <c r="AM203" s="242"/>
      <c r="AO203" s="4"/>
    </row>
    <row r="204" spans="1:41" ht="24.75" customHeight="1" x14ac:dyDescent="0.75">
      <c r="A204" s="243"/>
      <c r="B204" s="244"/>
      <c r="C204" s="4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  <c r="AM204" s="242"/>
      <c r="AO204" s="4"/>
    </row>
    <row r="205" spans="1:41" ht="24.75" customHeight="1" x14ac:dyDescent="0.75">
      <c r="A205" s="243"/>
      <c r="B205" s="244"/>
      <c r="C205" s="4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  <c r="AM205" s="242"/>
      <c r="AO205" s="4"/>
    </row>
    <row r="206" spans="1:41" ht="24.75" customHeight="1" x14ac:dyDescent="0.75">
      <c r="A206" s="243"/>
      <c r="B206" s="244"/>
      <c r="C206" s="4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  <c r="AM206" s="242"/>
      <c r="AO206" s="4"/>
    </row>
    <row r="207" spans="1:41" ht="24.75" customHeight="1" x14ac:dyDescent="0.75">
      <c r="A207" s="243"/>
      <c r="B207" s="244"/>
      <c r="C207" s="4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  <c r="AM207" s="242"/>
      <c r="AO207" s="4"/>
    </row>
    <row r="208" spans="1:41" ht="24.75" customHeight="1" x14ac:dyDescent="0.75">
      <c r="A208" s="243"/>
      <c r="B208" s="244"/>
      <c r="C208" s="4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242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  <c r="AM208" s="242"/>
      <c r="AO208" s="4"/>
    </row>
    <row r="209" spans="1:41" ht="24.75" customHeight="1" x14ac:dyDescent="0.75">
      <c r="A209" s="243"/>
      <c r="B209" s="244"/>
      <c r="C209" s="4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O209" s="4"/>
    </row>
    <row r="210" spans="1:41" ht="24.75" customHeight="1" x14ac:dyDescent="0.75">
      <c r="A210" s="243"/>
      <c r="B210" s="244"/>
      <c r="C210" s="4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242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  <c r="AM210" s="242"/>
      <c r="AO210" s="4"/>
    </row>
    <row r="211" spans="1:41" ht="24.75" customHeight="1" x14ac:dyDescent="0.75">
      <c r="A211" s="243"/>
      <c r="B211" s="244"/>
      <c r="C211" s="4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  <c r="AM211" s="242"/>
      <c r="AO211" s="4"/>
    </row>
    <row r="212" spans="1:41" ht="24.75" customHeight="1" x14ac:dyDescent="0.75">
      <c r="A212" s="243"/>
      <c r="B212" s="244"/>
      <c r="C212" s="4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242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  <c r="AM212" s="242"/>
      <c r="AO212" s="4"/>
    </row>
    <row r="213" spans="1:41" ht="24.75" customHeight="1" x14ac:dyDescent="0.75">
      <c r="A213" s="243"/>
      <c r="B213" s="244"/>
      <c r="C213" s="4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  <c r="AM213" s="242"/>
      <c r="AO213" s="4"/>
    </row>
    <row r="214" spans="1:41" ht="24.75" customHeight="1" x14ac:dyDescent="0.75">
      <c r="A214" s="243"/>
      <c r="B214" s="244"/>
      <c r="C214" s="4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  <c r="AM214" s="242"/>
      <c r="AO214" s="4"/>
    </row>
    <row r="215" spans="1:41" ht="24.75" customHeight="1" x14ac:dyDescent="0.75">
      <c r="A215" s="243"/>
      <c r="B215" s="244"/>
      <c r="C215" s="4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  <c r="AM215" s="242"/>
      <c r="AO215" s="4"/>
    </row>
    <row r="216" spans="1:41" ht="24.75" customHeight="1" x14ac:dyDescent="0.75">
      <c r="A216" s="243"/>
      <c r="B216" s="244"/>
      <c r="C216" s="4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242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  <c r="AM216" s="242"/>
      <c r="AO216" s="4"/>
    </row>
    <row r="217" spans="1:41" ht="24.75" customHeight="1" x14ac:dyDescent="0.75">
      <c r="A217" s="243"/>
      <c r="B217" s="244"/>
      <c r="C217" s="4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  <c r="AM217" s="242"/>
      <c r="AO217" s="4"/>
    </row>
    <row r="218" spans="1:41" ht="24.75" customHeight="1" x14ac:dyDescent="0.75">
      <c r="A218" s="243"/>
      <c r="B218" s="244"/>
      <c r="C218" s="4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242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  <c r="AM218" s="242"/>
      <c r="AO218" s="4"/>
    </row>
    <row r="219" spans="1:41" ht="24.75" customHeight="1" x14ac:dyDescent="0.75">
      <c r="A219" s="243"/>
      <c r="B219" s="244"/>
      <c r="C219" s="4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  <c r="AM219" s="242"/>
      <c r="AO219" s="4"/>
    </row>
    <row r="220" spans="1:41" ht="24.75" customHeight="1" x14ac:dyDescent="0.75">
      <c r="A220" s="243"/>
      <c r="B220" s="244"/>
      <c r="C220" s="4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  <c r="AM220" s="242"/>
      <c r="AO220" s="4"/>
    </row>
    <row r="221" spans="1:41" ht="24.75" customHeight="1" x14ac:dyDescent="0.75">
      <c r="A221" s="243"/>
      <c r="B221" s="244"/>
      <c r="C221" s="4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  <c r="AM221" s="242"/>
      <c r="AO221" s="4"/>
    </row>
    <row r="222" spans="1:41" ht="24.75" customHeight="1" x14ac:dyDescent="0.75">
      <c r="A222" s="243"/>
      <c r="B222" s="244"/>
      <c r="C222" s="4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  <c r="AM222" s="242"/>
      <c r="AO222" s="4"/>
    </row>
    <row r="223" spans="1:41" ht="24.75" customHeight="1" x14ac:dyDescent="0.75">
      <c r="A223" s="243"/>
      <c r="B223" s="244"/>
      <c r="C223" s="4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  <c r="AM223" s="242"/>
      <c r="AO223" s="4"/>
    </row>
    <row r="224" spans="1:41" ht="24.75" customHeight="1" x14ac:dyDescent="0.75">
      <c r="A224" s="243"/>
      <c r="B224" s="244"/>
      <c r="C224" s="4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  <c r="AM224" s="242"/>
      <c r="AO224" s="4"/>
    </row>
    <row r="225" spans="1:41" ht="24.75" customHeight="1" x14ac:dyDescent="0.75">
      <c r="A225" s="243"/>
      <c r="B225" s="244"/>
      <c r="C225" s="4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  <c r="AM225" s="242"/>
      <c r="AO225" s="4"/>
    </row>
    <row r="226" spans="1:41" ht="24.75" customHeight="1" x14ac:dyDescent="0.75">
      <c r="A226" s="243"/>
      <c r="B226" s="244"/>
      <c r="C226" s="4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  <c r="AM226" s="242"/>
      <c r="AO226" s="4"/>
    </row>
    <row r="227" spans="1:41" ht="24.75" customHeight="1" x14ac:dyDescent="0.75">
      <c r="A227" s="243"/>
      <c r="B227" s="244"/>
      <c r="C227" s="4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  <c r="AM227" s="242"/>
      <c r="AO227" s="4"/>
    </row>
    <row r="228" spans="1:41" ht="24.75" customHeight="1" x14ac:dyDescent="0.75">
      <c r="A228" s="243"/>
      <c r="B228" s="244"/>
      <c r="C228" s="4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242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  <c r="AM228" s="242"/>
      <c r="AO228" s="4"/>
    </row>
    <row r="229" spans="1:41" ht="24.75" customHeight="1" x14ac:dyDescent="0.75">
      <c r="A229" s="243"/>
      <c r="B229" s="244"/>
      <c r="C229" s="4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  <c r="AM229" s="242"/>
      <c r="AO229" s="4"/>
    </row>
    <row r="230" spans="1:41" ht="24.75" customHeight="1" x14ac:dyDescent="0.75">
      <c r="A230" s="243"/>
      <c r="B230" s="244"/>
      <c r="C230" s="4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242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  <c r="AM230" s="242"/>
      <c r="AO230" s="4"/>
    </row>
    <row r="231" spans="1:41" ht="24.75" customHeight="1" x14ac:dyDescent="0.75">
      <c r="A231" s="243"/>
      <c r="B231" s="244"/>
      <c r="C231" s="4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242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  <c r="AM231" s="242"/>
      <c r="AO231" s="4"/>
    </row>
    <row r="232" spans="1:41" ht="24.75" customHeight="1" x14ac:dyDescent="0.75">
      <c r="A232" s="243"/>
      <c r="B232" s="244"/>
      <c r="C232" s="4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242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  <c r="AM232" s="242"/>
      <c r="AO232" s="4"/>
    </row>
    <row r="233" spans="1:41" ht="24.75" customHeight="1" x14ac:dyDescent="0.75">
      <c r="A233" s="243"/>
      <c r="B233" s="244"/>
      <c r="C233" s="4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  <c r="AM233" s="242"/>
      <c r="AO233" s="4"/>
    </row>
    <row r="234" spans="1:41" ht="24.75" customHeight="1" x14ac:dyDescent="0.75">
      <c r="A234" s="243"/>
      <c r="B234" s="244"/>
      <c r="C234" s="4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242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  <c r="AM234" s="242"/>
      <c r="AO234" s="4"/>
    </row>
    <row r="235" spans="1:41" ht="24.75" customHeight="1" x14ac:dyDescent="0.75">
      <c r="A235" s="243"/>
      <c r="B235" s="244"/>
      <c r="C235" s="4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  <c r="AM235" s="242"/>
      <c r="AO235" s="4"/>
    </row>
    <row r="236" spans="1:41" ht="24.75" customHeight="1" x14ac:dyDescent="0.75">
      <c r="A236" s="243"/>
      <c r="B236" s="244"/>
      <c r="C236" s="4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  <c r="AM236" s="242"/>
      <c r="AO236" s="4"/>
    </row>
    <row r="237" spans="1:41" ht="24.75" customHeight="1" x14ac:dyDescent="0.75">
      <c r="A237" s="243"/>
      <c r="B237" s="244"/>
      <c r="C237" s="4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  <c r="AM237" s="242"/>
      <c r="AO237" s="4"/>
    </row>
    <row r="238" spans="1:41" ht="24.75" customHeight="1" x14ac:dyDescent="0.75">
      <c r="A238" s="243"/>
      <c r="B238" s="244"/>
      <c r="C238" s="4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  <c r="AM238" s="242"/>
      <c r="AO238" s="4"/>
    </row>
    <row r="239" spans="1:41" ht="24.75" customHeight="1" x14ac:dyDescent="0.75">
      <c r="A239" s="243"/>
      <c r="B239" s="244"/>
      <c r="C239" s="4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  <c r="AM239" s="242"/>
      <c r="AO239" s="4"/>
    </row>
    <row r="240" spans="1:41" ht="24.75" customHeight="1" x14ac:dyDescent="0.75">
      <c r="A240" s="243"/>
      <c r="B240" s="244"/>
      <c r="C240" s="4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  <c r="AM240" s="242"/>
      <c r="AO240" s="4"/>
    </row>
    <row r="241" spans="1:41" ht="24.75" customHeight="1" x14ac:dyDescent="0.75">
      <c r="A241" s="243"/>
      <c r="B241" s="244"/>
      <c r="C241" s="4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242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  <c r="AM241" s="242"/>
      <c r="AO241" s="4"/>
    </row>
    <row r="242" spans="1:41" ht="24.75" customHeight="1" x14ac:dyDescent="0.75">
      <c r="A242" s="243"/>
      <c r="B242" s="244"/>
      <c r="C242" s="4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  <c r="AM242" s="242"/>
      <c r="AO242" s="4"/>
    </row>
    <row r="243" spans="1:41" ht="24.75" customHeight="1" x14ac:dyDescent="0.75">
      <c r="A243" s="243"/>
      <c r="B243" s="244"/>
      <c r="C243" s="4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242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  <c r="AM243" s="242"/>
      <c r="AO243" s="4"/>
    </row>
    <row r="244" spans="1:41" ht="24.75" customHeight="1" x14ac:dyDescent="0.75">
      <c r="A244" s="243"/>
      <c r="B244" s="244"/>
      <c r="C244" s="4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  <c r="AM244" s="242"/>
      <c r="AO244" s="4"/>
    </row>
    <row r="245" spans="1:41" ht="24.75" customHeight="1" x14ac:dyDescent="0.75">
      <c r="A245" s="243"/>
      <c r="B245" s="244"/>
      <c r="C245" s="4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242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  <c r="AM245" s="242"/>
      <c r="AO245" s="4"/>
    </row>
    <row r="246" spans="1:41" ht="24.75" customHeight="1" x14ac:dyDescent="0.75">
      <c r="A246" s="243"/>
      <c r="B246" s="244"/>
      <c r="C246" s="4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  <c r="AM246" s="242"/>
      <c r="AO246" s="4"/>
    </row>
    <row r="247" spans="1:41" ht="24.75" customHeight="1" x14ac:dyDescent="0.75">
      <c r="A247" s="243"/>
      <c r="B247" s="244"/>
      <c r="C247" s="4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  <c r="AM247" s="242"/>
      <c r="AO247" s="4"/>
    </row>
    <row r="248" spans="1:41" ht="24.75" customHeight="1" x14ac:dyDescent="0.75">
      <c r="A248" s="243"/>
      <c r="B248" s="244"/>
      <c r="C248" s="4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  <c r="AM248" s="242"/>
      <c r="AO248" s="4"/>
    </row>
    <row r="249" spans="1:41" ht="24.75" customHeight="1" x14ac:dyDescent="0.75">
      <c r="A249" s="243"/>
      <c r="B249" s="244"/>
      <c r="C249" s="4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O249" s="4"/>
    </row>
    <row r="250" spans="1:41" ht="24.75" customHeight="1" x14ac:dyDescent="0.75">
      <c r="A250" s="243"/>
      <c r="B250" s="244"/>
      <c r="C250" s="4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242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  <c r="AM250" s="242"/>
      <c r="AO250" s="4"/>
    </row>
    <row r="251" spans="1:41" ht="24.75" customHeight="1" x14ac:dyDescent="0.75">
      <c r="A251" s="243"/>
      <c r="B251" s="244"/>
      <c r="C251" s="4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  <c r="AM251" s="242"/>
      <c r="AO251" s="4"/>
    </row>
    <row r="252" spans="1:41" ht="24.75" customHeight="1" x14ac:dyDescent="0.75">
      <c r="A252" s="243"/>
      <c r="B252" s="244"/>
      <c r="C252" s="4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  <c r="Z252" s="242"/>
      <c r="AA252" s="242"/>
      <c r="AB252" s="242"/>
      <c r="AC252" s="242"/>
      <c r="AD252" s="242"/>
      <c r="AE252" s="242"/>
      <c r="AF252" s="242"/>
      <c r="AG252" s="242"/>
      <c r="AH252" s="242"/>
      <c r="AI252" s="242"/>
      <c r="AJ252" s="242"/>
      <c r="AK252" s="242"/>
      <c r="AL252" s="242"/>
      <c r="AM252" s="242"/>
      <c r="AO252" s="4"/>
    </row>
    <row r="253" spans="1:41" ht="24.75" customHeight="1" x14ac:dyDescent="0.75">
      <c r="A253" s="243"/>
      <c r="B253" s="244"/>
      <c r="C253" s="4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  <c r="AA253" s="242"/>
      <c r="AB253" s="242"/>
      <c r="AC253" s="242"/>
      <c r="AD253" s="242"/>
      <c r="AE253" s="242"/>
      <c r="AF253" s="242"/>
      <c r="AG253" s="242"/>
      <c r="AH253" s="242"/>
      <c r="AI253" s="242"/>
      <c r="AJ253" s="242"/>
      <c r="AK253" s="242"/>
      <c r="AL253" s="242"/>
      <c r="AM253" s="242"/>
      <c r="AO253" s="4"/>
    </row>
    <row r="254" spans="1:41" ht="24.75" customHeight="1" x14ac:dyDescent="0.75">
      <c r="A254" s="243"/>
      <c r="B254" s="244"/>
      <c r="C254" s="4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242"/>
      <c r="AA254" s="242"/>
      <c r="AB254" s="242"/>
      <c r="AC254" s="242"/>
      <c r="AD254" s="242"/>
      <c r="AE254" s="242"/>
      <c r="AF254" s="242"/>
      <c r="AG254" s="242"/>
      <c r="AH254" s="242"/>
      <c r="AI254" s="242"/>
      <c r="AJ254" s="242"/>
      <c r="AK254" s="242"/>
      <c r="AL254" s="242"/>
      <c r="AM254" s="242"/>
      <c r="AO254" s="4"/>
    </row>
    <row r="255" spans="1:41" ht="24.75" customHeight="1" x14ac:dyDescent="0.75">
      <c r="A255" s="243"/>
      <c r="B255" s="244"/>
      <c r="C255" s="4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  <c r="Z255" s="242"/>
      <c r="AA255" s="242"/>
      <c r="AB255" s="242"/>
      <c r="AC255" s="242"/>
      <c r="AD255" s="242"/>
      <c r="AE255" s="242"/>
      <c r="AF255" s="242"/>
      <c r="AG255" s="242"/>
      <c r="AH255" s="242"/>
      <c r="AI255" s="242"/>
      <c r="AJ255" s="242"/>
      <c r="AK255" s="242"/>
      <c r="AL255" s="242"/>
      <c r="AM255" s="242"/>
      <c r="AO255" s="4"/>
    </row>
    <row r="256" spans="1:41" ht="24.75" customHeight="1" x14ac:dyDescent="0.75">
      <c r="A256" s="243"/>
      <c r="B256" s="244"/>
      <c r="C256" s="4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  <c r="Z256" s="242"/>
      <c r="AA256" s="242"/>
      <c r="AB256" s="242"/>
      <c r="AC256" s="242"/>
      <c r="AD256" s="242"/>
      <c r="AE256" s="242"/>
      <c r="AF256" s="242"/>
      <c r="AG256" s="242"/>
      <c r="AH256" s="242"/>
      <c r="AI256" s="242"/>
      <c r="AJ256" s="242"/>
      <c r="AK256" s="242"/>
      <c r="AL256" s="242"/>
      <c r="AM256" s="242"/>
      <c r="AO256" s="4"/>
    </row>
    <row r="257" spans="1:41" ht="24.75" customHeight="1" x14ac:dyDescent="0.75">
      <c r="A257" s="243"/>
      <c r="B257" s="244"/>
      <c r="C257" s="4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  <c r="Z257" s="242"/>
      <c r="AA257" s="242"/>
      <c r="AB257" s="242"/>
      <c r="AC257" s="242"/>
      <c r="AD257" s="242"/>
      <c r="AE257" s="242"/>
      <c r="AF257" s="242"/>
      <c r="AG257" s="242"/>
      <c r="AH257" s="242"/>
      <c r="AI257" s="242"/>
      <c r="AJ257" s="242"/>
      <c r="AK257" s="242"/>
      <c r="AL257" s="242"/>
      <c r="AM257" s="242"/>
      <c r="AO257" s="4"/>
    </row>
    <row r="258" spans="1:41" ht="24.75" customHeight="1" x14ac:dyDescent="0.75">
      <c r="A258" s="243"/>
      <c r="B258" s="244"/>
      <c r="C258" s="4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  <c r="AA258" s="242"/>
      <c r="AB258" s="242"/>
      <c r="AC258" s="242"/>
      <c r="AD258" s="242"/>
      <c r="AE258" s="242"/>
      <c r="AF258" s="242"/>
      <c r="AG258" s="242"/>
      <c r="AH258" s="242"/>
      <c r="AI258" s="242"/>
      <c r="AJ258" s="242"/>
      <c r="AK258" s="242"/>
      <c r="AL258" s="242"/>
      <c r="AM258" s="242"/>
      <c r="AO258" s="4"/>
    </row>
    <row r="259" spans="1:41" ht="24.75" customHeight="1" x14ac:dyDescent="0.75">
      <c r="A259" s="243"/>
      <c r="B259" s="244"/>
      <c r="C259" s="4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O259" s="4"/>
    </row>
    <row r="260" spans="1:41" ht="24.75" customHeight="1" x14ac:dyDescent="0.75">
      <c r="A260" s="243"/>
      <c r="B260" s="244"/>
      <c r="C260" s="4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  <c r="Z260" s="242"/>
      <c r="AA260" s="242"/>
      <c r="AB260" s="242"/>
      <c r="AC260" s="242"/>
      <c r="AD260" s="242"/>
      <c r="AE260" s="242"/>
      <c r="AF260" s="242"/>
      <c r="AG260" s="242"/>
      <c r="AH260" s="242"/>
      <c r="AI260" s="242"/>
      <c r="AJ260" s="242"/>
      <c r="AK260" s="242"/>
      <c r="AL260" s="242"/>
      <c r="AM260" s="242"/>
      <c r="AO260" s="4"/>
    </row>
    <row r="261" spans="1:41" ht="24.75" customHeight="1" x14ac:dyDescent="0.75">
      <c r="A261" s="243"/>
      <c r="B261" s="244"/>
      <c r="C261" s="4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  <c r="Z261" s="242"/>
      <c r="AA261" s="242"/>
      <c r="AB261" s="242"/>
      <c r="AC261" s="242"/>
      <c r="AD261" s="242"/>
      <c r="AE261" s="242"/>
      <c r="AF261" s="242"/>
      <c r="AG261" s="242"/>
      <c r="AH261" s="242"/>
      <c r="AI261" s="242"/>
      <c r="AJ261" s="242"/>
      <c r="AK261" s="242"/>
      <c r="AL261" s="242"/>
      <c r="AM261" s="242"/>
      <c r="AO261" s="4"/>
    </row>
    <row r="262" spans="1:41" ht="24.75" customHeight="1" x14ac:dyDescent="0.75">
      <c r="A262" s="243"/>
      <c r="B262" s="244"/>
      <c r="C262" s="4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  <c r="AC262" s="242"/>
      <c r="AD262" s="242"/>
      <c r="AE262" s="242"/>
      <c r="AF262" s="242"/>
      <c r="AG262" s="242"/>
      <c r="AH262" s="242"/>
      <c r="AI262" s="242"/>
      <c r="AJ262" s="242"/>
      <c r="AK262" s="242"/>
      <c r="AL262" s="242"/>
      <c r="AM262" s="242"/>
      <c r="AO262" s="4"/>
    </row>
    <row r="263" spans="1:41" ht="24.75" customHeight="1" x14ac:dyDescent="0.75">
      <c r="A263" s="243"/>
      <c r="B263" s="244"/>
      <c r="C263" s="4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  <c r="Z263" s="242"/>
      <c r="AA263" s="242"/>
      <c r="AB263" s="242"/>
      <c r="AC263" s="242"/>
      <c r="AD263" s="242"/>
      <c r="AE263" s="242"/>
      <c r="AF263" s="242"/>
      <c r="AG263" s="242"/>
      <c r="AH263" s="242"/>
      <c r="AI263" s="242"/>
      <c r="AJ263" s="242"/>
      <c r="AK263" s="242"/>
      <c r="AL263" s="242"/>
      <c r="AM263" s="242"/>
      <c r="AO263" s="4"/>
    </row>
    <row r="264" spans="1:41" ht="24.75" customHeight="1" x14ac:dyDescent="0.75">
      <c r="A264" s="243"/>
      <c r="B264" s="244"/>
      <c r="C264" s="4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  <c r="Z264" s="242"/>
      <c r="AA264" s="242"/>
      <c r="AB264" s="242"/>
      <c r="AC264" s="242"/>
      <c r="AD264" s="242"/>
      <c r="AE264" s="242"/>
      <c r="AF264" s="242"/>
      <c r="AG264" s="242"/>
      <c r="AH264" s="242"/>
      <c r="AI264" s="242"/>
      <c r="AJ264" s="242"/>
      <c r="AK264" s="242"/>
      <c r="AL264" s="242"/>
      <c r="AM264" s="242"/>
      <c r="AO264" s="4"/>
    </row>
    <row r="265" spans="1:41" ht="24.75" customHeight="1" x14ac:dyDescent="0.75">
      <c r="A265" s="243"/>
      <c r="B265" s="244"/>
      <c r="C265" s="4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242"/>
      <c r="AA265" s="242"/>
      <c r="AB265" s="242"/>
      <c r="AC265" s="242"/>
      <c r="AD265" s="242"/>
      <c r="AE265" s="242"/>
      <c r="AF265" s="242"/>
      <c r="AG265" s="242"/>
      <c r="AH265" s="242"/>
      <c r="AI265" s="242"/>
      <c r="AJ265" s="242"/>
      <c r="AK265" s="242"/>
      <c r="AL265" s="242"/>
      <c r="AM265" s="242"/>
      <c r="AO265" s="4"/>
    </row>
    <row r="266" spans="1:41" ht="24.75" customHeight="1" x14ac:dyDescent="0.75">
      <c r="A266" s="243"/>
      <c r="B266" s="244"/>
      <c r="C266" s="4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  <c r="Z266" s="242"/>
      <c r="AA266" s="242"/>
      <c r="AB266" s="242"/>
      <c r="AC266" s="242"/>
      <c r="AD266" s="242"/>
      <c r="AE266" s="242"/>
      <c r="AF266" s="242"/>
      <c r="AG266" s="242"/>
      <c r="AH266" s="242"/>
      <c r="AI266" s="242"/>
      <c r="AJ266" s="242"/>
      <c r="AK266" s="242"/>
      <c r="AL266" s="242"/>
      <c r="AM266" s="242"/>
      <c r="AO266" s="4"/>
    </row>
    <row r="267" spans="1:41" ht="24.75" customHeight="1" x14ac:dyDescent="0.75">
      <c r="A267" s="243"/>
      <c r="B267" s="244"/>
      <c r="C267" s="4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  <c r="Z267" s="242"/>
      <c r="AA267" s="242"/>
      <c r="AB267" s="242"/>
      <c r="AC267" s="242"/>
      <c r="AD267" s="242"/>
      <c r="AE267" s="242"/>
      <c r="AF267" s="242"/>
      <c r="AG267" s="242"/>
      <c r="AH267" s="242"/>
      <c r="AI267" s="242"/>
      <c r="AJ267" s="242"/>
      <c r="AK267" s="242"/>
      <c r="AL267" s="242"/>
      <c r="AM267" s="242"/>
      <c r="AO267" s="4"/>
    </row>
    <row r="268" spans="1:41" ht="24.75" customHeight="1" x14ac:dyDescent="0.75">
      <c r="A268" s="243"/>
      <c r="B268" s="244"/>
      <c r="C268" s="4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  <c r="Z268" s="242"/>
      <c r="AA268" s="242"/>
      <c r="AB268" s="242"/>
      <c r="AC268" s="242"/>
      <c r="AD268" s="242"/>
      <c r="AE268" s="242"/>
      <c r="AF268" s="242"/>
      <c r="AG268" s="242"/>
      <c r="AH268" s="242"/>
      <c r="AI268" s="242"/>
      <c r="AJ268" s="242"/>
      <c r="AK268" s="242"/>
      <c r="AL268" s="242"/>
      <c r="AM268" s="242"/>
      <c r="AO268" s="4"/>
    </row>
    <row r="269" spans="1:41" ht="24.75" customHeight="1" x14ac:dyDescent="0.75">
      <c r="A269" s="243"/>
      <c r="B269" s="244"/>
      <c r="C269" s="4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  <c r="AC269" s="242"/>
      <c r="AD269" s="242"/>
      <c r="AE269" s="242"/>
      <c r="AF269" s="242"/>
      <c r="AG269" s="242"/>
      <c r="AH269" s="242"/>
      <c r="AI269" s="242"/>
      <c r="AJ269" s="242"/>
      <c r="AK269" s="242"/>
      <c r="AL269" s="242"/>
      <c r="AM269" s="242"/>
      <c r="AO269" s="4"/>
    </row>
    <row r="270" spans="1:41" ht="24.75" customHeight="1" x14ac:dyDescent="0.75">
      <c r="A270" s="243"/>
      <c r="B270" s="244"/>
      <c r="C270" s="4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O270" s="4"/>
    </row>
    <row r="271" spans="1:41" ht="24.75" customHeight="1" x14ac:dyDescent="0.75">
      <c r="A271" s="243"/>
      <c r="B271" s="244"/>
      <c r="C271" s="4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  <c r="Z271" s="242"/>
      <c r="AA271" s="242"/>
      <c r="AB271" s="242"/>
      <c r="AC271" s="242"/>
      <c r="AD271" s="242"/>
      <c r="AE271" s="242"/>
      <c r="AF271" s="242"/>
      <c r="AG271" s="242"/>
      <c r="AH271" s="242"/>
      <c r="AI271" s="242"/>
      <c r="AJ271" s="242"/>
      <c r="AK271" s="242"/>
      <c r="AL271" s="242"/>
      <c r="AM271" s="242"/>
      <c r="AO271" s="4"/>
    </row>
    <row r="272" spans="1:41" ht="24.75" customHeight="1" x14ac:dyDescent="0.75">
      <c r="A272" s="243"/>
      <c r="B272" s="244"/>
      <c r="C272" s="4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  <c r="Z272" s="242"/>
      <c r="AA272" s="242"/>
      <c r="AB272" s="242"/>
      <c r="AC272" s="242"/>
      <c r="AD272" s="242"/>
      <c r="AE272" s="242"/>
      <c r="AF272" s="242"/>
      <c r="AG272" s="242"/>
      <c r="AH272" s="242"/>
      <c r="AI272" s="242"/>
      <c r="AJ272" s="242"/>
      <c r="AK272" s="242"/>
      <c r="AL272" s="242"/>
      <c r="AM272" s="242"/>
      <c r="AO272" s="4"/>
    </row>
    <row r="273" spans="1:41" ht="24.75" customHeight="1" x14ac:dyDescent="0.75">
      <c r="A273" s="243"/>
      <c r="B273" s="244"/>
      <c r="C273" s="4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  <c r="Z273" s="242"/>
      <c r="AA273" s="242"/>
      <c r="AB273" s="242"/>
      <c r="AC273" s="242"/>
      <c r="AD273" s="242"/>
      <c r="AE273" s="242"/>
      <c r="AF273" s="242"/>
      <c r="AG273" s="242"/>
      <c r="AH273" s="242"/>
      <c r="AI273" s="242"/>
      <c r="AJ273" s="242"/>
      <c r="AK273" s="242"/>
      <c r="AL273" s="242"/>
      <c r="AM273" s="242"/>
      <c r="AO273" s="4"/>
    </row>
    <row r="274" spans="1:41" ht="24.75" customHeight="1" x14ac:dyDescent="0.75">
      <c r="A274" s="243"/>
      <c r="B274" s="244"/>
      <c r="C274" s="4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  <c r="Z274" s="242"/>
      <c r="AA274" s="242"/>
      <c r="AB274" s="242"/>
      <c r="AC274" s="242"/>
      <c r="AD274" s="242"/>
      <c r="AE274" s="242"/>
      <c r="AF274" s="242"/>
      <c r="AG274" s="242"/>
      <c r="AH274" s="242"/>
      <c r="AI274" s="242"/>
      <c r="AJ274" s="242"/>
      <c r="AK274" s="242"/>
      <c r="AL274" s="242"/>
      <c r="AM274" s="242"/>
      <c r="AO274" s="4"/>
    </row>
    <row r="275" spans="1:41" ht="24.75" customHeight="1" x14ac:dyDescent="0.75">
      <c r="A275" s="243"/>
      <c r="B275" s="244"/>
      <c r="C275" s="4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  <c r="Z275" s="242"/>
      <c r="AA275" s="242"/>
      <c r="AB275" s="242"/>
      <c r="AC275" s="242"/>
      <c r="AD275" s="242"/>
      <c r="AE275" s="242"/>
      <c r="AF275" s="242"/>
      <c r="AG275" s="242"/>
      <c r="AH275" s="242"/>
      <c r="AI275" s="242"/>
      <c r="AJ275" s="242"/>
      <c r="AK275" s="242"/>
      <c r="AL275" s="242"/>
      <c r="AM275" s="242"/>
      <c r="AO275" s="4"/>
    </row>
    <row r="276" spans="1:41" ht="24.75" customHeight="1" x14ac:dyDescent="0.75">
      <c r="A276" s="243"/>
      <c r="B276" s="244"/>
      <c r="C276" s="4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  <c r="AA276" s="242"/>
      <c r="AB276" s="242"/>
      <c r="AC276" s="242"/>
      <c r="AD276" s="242"/>
      <c r="AE276" s="242"/>
      <c r="AF276" s="242"/>
      <c r="AG276" s="242"/>
      <c r="AH276" s="242"/>
      <c r="AI276" s="242"/>
      <c r="AJ276" s="242"/>
      <c r="AK276" s="242"/>
      <c r="AL276" s="242"/>
      <c r="AM276" s="242"/>
      <c r="AO276" s="4"/>
    </row>
    <row r="277" spans="1:41" ht="24.75" customHeight="1" x14ac:dyDescent="0.75">
      <c r="A277" s="243"/>
      <c r="B277" s="244"/>
      <c r="C277" s="4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  <c r="Z277" s="242"/>
      <c r="AA277" s="242"/>
      <c r="AB277" s="242"/>
      <c r="AC277" s="242"/>
      <c r="AD277" s="242"/>
      <c r="AE277" s="242"/>
      <c r="AF277" s="242"/>
      <c r="AG277" s="242"/>
      <c r="AH277" s="242"/>
      <c r="AI277" s="242"/>
      <c r="AJ277" s="242"/>
      <c r="AK277" s="242"/>
      <c r="AL277" s="242"/>
      <c r="AM277" s="242"/>
      <c r="AO277" s="4"/>
    </row>
    <row r="278" spans="1:41" ht="24.75" customHeight="1" x14ac:dyDescent="0.75">
      <c r="A278" s="243"/>
      <c r="B278" s="244"/>
      <c r="C278" s="4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  <c r="Z278" s="242"/>
      <c r="AA278" s="242"/>
      <c r="AB278" s="242"/>
      <c r="AC278" s="242"/>
      <c r="AD278" s="242"/>
      <c r="AE278" s="242"/>
      <c r="AF278" s="242"/>
      <c r="AG278" s="242"/>
      <c r="AH278" s="242"/>
      <c r="AI278" s="242"/>
      <c r="AJ278" s="242"/>
      <c r="AK278" s="242"/>
      <c r="AL278" s="242"/>
      <c r="AM278" s="242"/>
      <c r="AO278" s="4"/>
    </row>
    <row r="279" spans="1:41" ht="24.75" customHeight="1" x14ac:dyDescent="0.75">
      <c r="A279" s="243"/>
      <c r="B279" s="244"/>
      <c r="C279" s="4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  <c r="Z279" s="242"/>
      <c r="AA279" s="242"/>
      <c r="AB279" s="242"/>
      <c r="AC279" s="242"/>
      <c r="AD279" s="242"/>
      <c r="AE279" s="242"/>
      <c r="AF279" s="242"/>
      <c r="AG279" s="242"/>
      <c r="AH279" s="242"/>
      <c r="AI279" s="242"/>
      <c r="AJ279" s="242"/>
      <c r="AK279" s="242"/>
      <c r="AL279" s="242"/>
      <c r="AM279" s="242"/>
      <c r="AO279" s="4"/>
    </row>
    <row r="280" spans="1:41" ht="24.75" customHeight="1" x14ac:dyDescent="0.75">
      <c r="A280" s="243"/>
      <c r="B280" s="244"/>
      <c r="C280" s="4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  <c r="Z280" s="242"/>
      <c r="AA280" s="242"/>
      <c r="AB280" s="242"/>
      <c r="AC280" s="242"/>
      <c r="AD280" s="242"/>
      <c r="AE280" s="242"/>
      <c r="AF280" s="242"/>
      <c r="AG280" s="242"/>
      <c r="AH280" s="242"/>
      <c r="AI280" s="242"/>
      <c r="AJ280" s="242"/>
      <c r="AK280" s="242"/>
      <c r="AL280" s="242"/>
      <c r="AM280" s="242"/>
      <c r="AO280" s="4"/>
    </row>
    <row r="281" spans="1:41" ht="24.75" customHeight="1" x14ac:dyDescent="0.75">
      <c r="A281" s="243"/>
      <c r="B281" s="244"/>
      <c r="C281" s="4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  <c r="AC281" s="242"/>
      <c r="AD281" s="242"/>
      <c r="AE281" s="242"/>
      <c r="AF281" s="242"/>
      <c r="AG281" s="242"/>
      <c r="AH281" s="242"/>
      <c r="AI281" s="242"/>
      <c r="AJ281" s="242"/>
      <c r="AK281" s="242"/>
      <c r="AL281" s="242"/>
      <c r="AM281" s="242"/>
      <c r="AO281" s="4"/>
    </row>
    <row r="282" spans="1:41" ht="24.75" customHeight="1" x14ac:dyDescent="0.75">
      <c r="A282" s="243"/>
      <c r="B282" s="244"/>
      <c r="C282" s="4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  <c r="Z282" s="242"/>
      <c r="AA282" s="242"/>
      <c r="AB282" s="242"/>
      <c r="AC282" s="242"/>
      <c r="AD282" s="242"/>
      <c r="AE282" s="242"/>
      <c r="AF282" s="242"/>
      <c r="AG282" s="242"/>
      <c r="AH282" s="242"/>
      <c r="AI282" s="242"/>
      <c r="AJ282" s="242"/>
      <c r="AK282" s="242"/>
      <c r="AL282" s="242"/>
      <c r="AM282" s="242"/>
      <c r="AO282" s="4"/>
    </row>
    <row r="283" spans="1:41" ht="24.75" customHeight="1" x14ac:dyDescent="0.75">
      <c r="A283" s="243"/>
      <c r="B283" s="244"/>
      <c r="C283" s="4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  <c r="AA283" s="242"/>
      <c r="AB283" s="242"/>
      <c r="AC283" s="242"/>
      <c r="AD283" s="242"/>
      <c r="AE283" s="242"/>
      <c r="AF283" s="242"/>
      <c r="AG283" s="242"/>
      <c r="AH283" s="242"/>
      <c r="AI283" s="242"/>
      <c r="AJ283" s="242"/>
      <c r="AK283" s="242"/>
      <c r="AL283" s="242"/>
      <c r="AM283" s="242"/>
      <c r="AO283" s="4"/>
    </row>
    <row r="284" spans="1:41" ht="24.75" customHeight="1" x14ac:dyDescent="0.75">
      <c r="A284" s="243"/>
      <c r="B284" s="244"/>
      <c r="C284" s="4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42"/>
      <c r="AL284" s="242"/>
      <c r="AM284" s="242"/>
      <c r="AO284" s="4"/>
    </row>
    <row r="285" spans="1:41" ht="24.75" customHeight="1" x14ac:dyDescent="0.75">
      <c r="A285" s="243"/>
      <c r="B285" s="244"/>
      <c r="C285" s="4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242"/>
      <c r="AL285" s="242"/>
      <c r="AM285" s="242"/>
      <c r="AO285" s="4"/>
    </row>
    <row r="286" spans="1:41" ht="24.75" customHeight="1" x14ac:dyDescent="0.75">
      <c r="A286" s="243"/>
      <c r="B286" s="244"/>
      <c r="C286" s="4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  <c r="Z286" s="242"/>
      <c r="AA286" s="242"/>
      <c r="AB286" s="242"/>
      <c r="AC286" s="242"/>
      <c r="AD286" s="242"/>
      <c r="AE286" s="242"/>
      <c r="AF286" s="242"/>
      <c r="AG286" s="242"/>
      <c r="AH286" s="242"/>
      <c r="AI286" s="242"/>
      <c r="AJ286" s="242"/>
      <c r="AK286" s="242"/>
      <c r="AL286" s="242"/>
      <c r="AM286" s="242"/>
      <c r="AO286" s="4"/>
    </row>
    <row r="287" spans="1:41" ht="24.75" customHeight="1" x14ac:dyDescent="0.75">
      <c r="A287" s="243"/>
      <c r="B287" s="244"/>
      <c r="C287" s="4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242"/>
      <c r="AL287" s="242"/>
      <c r="AM287" s="242"/>
      <c r="AO287" s="4"/>
    </row>
    <row r="288" spans="1:41" ht="24.75" customHeight="1" x14ac:dyDescent="0.75">
      <c r="A288" s="243"/>
      <c r="B288" s="244"/>
      <c r="C288" s="4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  <c r="Z288" s="242"/>
      <c r="AA288" s="242"/>
      <c r="AB288" s="242"/>
      <c r="AC288" s="242"/>
      <c r="AD288" s="242"/>
      <c r="AE288" s="242"/>
      <c r="AF288" s="242"/>
      <c r="AG288" s="242"/>
      <c r="AH288" s="242"/>
      <c r="AI288" s="242"/>
      <c r="AJ288" s="242"/>
      <c r="AK288" s="242"/>
      <c r="AL288" s="242"/>
      <c r="AM288" s="242"/>
      <c r="AO288" s="4"/>
    </row>
    <row r="289" spans="1:41" ht="24.75" customHeight="1" x14ac:dyDescent="0.75">
      <c r="A289" s="243"/>
      <c r="B289" s="244"/>
      <c r="C289" s="4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  <c r="Z289" s="242"/>
      <c r="AA289" s="242"/>
      <c r="AB289" s="242"/>
      <c r="AC289" s="242"/>
      <c r="AD289" s="242"/>
      <c r="AE289" s="242"/>
      <c r="AF289" s="242"/>
      <c r="AG289" s="242"/>
      <c r="AH289" s="242"/>
      <c r="AI289" s="242"/>
      <c r="AJ289" s="242"/>
      <c r="AK289" s="242"/>
      <c r="AL289" s="242"/>
      <c r="AM289" s="242"/>
      <c r="AO289" s="4"/>
    </row>
    <row r="290" spans="1:41" ht="24.75" customHeight="1" x14ac:dyDescent="0.75">
      <c r="A290" s="243"/>
      <c r="B290" s="244"/>
      <c r="C290" s="4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  <c r="Z290" s="242"/>
      <c r="AA290" s="242"/>
      <c r="AB290" s="242"/>
      <c r="AC290" s="242"/>
      <c r="AD290" s="242"/>
      <c r="AE290" s="242"/>
      <c r="AF290" s="242"/>
      <c r="AG290" s="242"/>
      <c r="AH290" s="242"/>
      <c r="AI290" s="242"/>
      <c r="AJ290" s="242"/>
      <c r="AK290" s="242"/>
      <c r="AL290" s="242"/>
      <c r="AM290" s="242"/>
      <c r="AO290" s="4"/>
    </row>
    <row r="291" spans="1:41" ht="24.75" customHeight="1" x14ac:dyDescent="0.75">
      <c r="A291" s="243"/>
      <c r="B291" s="244"/>
      <c r="C291" s="4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  <c r="Z291" s="242"/>
      <c r="AA291" s="242"/>
      <c r="AB291" s="242"/>
      <c r="AC291" s="242"/>
      <c r="AD291" s="242"/>
      <c r="AE291" s="242"/>
      <c r="AF291" s="242"/>
      <c r="AG291" s="242"/>
      <c r="AH291" s="242"/>
      <c r="AI291" s="242"/>
      <c r="AJ291" s="242"/>
      <c r="AK291" s="242"/>
      <c r="AL291" s="242"/>
      <c r="AM291" s="242"/>
      <c r="AO291" s="4"/>
    </row>
    <row r="292" spans="1:41" ht="24.75" customHeight="1" x14ac:dyDescent="0.75">
      <c r="A292" s="243"/>
      <c r="B292" s="244"/>
      <c r="C292" s="4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  <c r="Z292" s="242"/>
      <c r="AA292" s="242"/>
      <c r="AB292" s="242"/>
      <c r="AC292" s="242"/>
      <c r="AD292" s="242"/>
      <c r="AE292" s="242"/>
      <c r="AF292" s="242"/>
      <c r="AG292" s="242"/>
      <c r="AH292" s="242"/>
      <c r="AI292" s="242"/>
      <c r="AJ292" s="242"/>
      <c r="AK292" s="242"/>
      <c r="AL292" s="242"/>
      <c r="AM292" s="242"/>
      <c r="AO292" s="4"/>
    </row>
    <row r="293" spans="1:41" ht="24.75" customHeight="1" x14ac:dyDescent="0.75">
      <c r="A293" s="243"/>
      <c r="B293" s="244"/>
      <c r="C293" s="4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  <c r="Z293" s="242"/>
      <c r="AA293" s="242"/>
      <c r="AB293" s="242"/>
      <c r="AC293" s="242"/>
      <c r="AD293" s="242"/>
      <c r="AE293" s="242"/>
      <c r="AF293" s="242"/>
      <c r="AG293" s="242"/>
      <c r="AH293" s="242"/>
      <c r="AI293" s="242"/>
      <c r="AJ293" s="242"/>
      <c r="AK293" s="242"/>
      <c r="AL293" s="242"/>
      <c r="AM293" s="242"/>
      <c r="AO293" s="4"/>
    </row>
    <row r="294" spans="1:41" ht="24.75" customHeight="1" x14ac:dyDescent="0.75">
      <c r="A294" s="243"/>
      <c r="B294" s="244"/>
      <c r="C294" s="4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  <c r="Z294" s="242"/>
      <c r="AA294" s="242"/>
      <c r="AB294" s="242"/>
      <c r="AC294" s="242"/>
      <c r="AD294" s="242"/>
      <c r="AE294" s="242"/>
      <c r="AF294" s="242"/>
      <c r="AG294" s="242"/>
      <c r="AH294" s="242"/>
      <c r="AI294" s="242"/>
      <c r="AJ294" s="242"/>
      <c r="AK294" s="242"/>
      <c r="AL294" s="242"/>
      <c r="AM294" s="242"/>
      <c r="AO294" s="4"/>
    </row>
    <row r="295" spans="1:41" ht="24.75" customHeight="1" x14ac:dyDescent="0.75">
      <c r="A295" s="243"/>
      <c r="B295" s="244"/>
      <c r="C295" s="4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  <c r="Z295" s="242"/>
      <c r="AA295" s="242"/>
      <c r="AB295" s="242"/>
      <c r="AC295" s="242"/>
      <c r="AD295" s="242"/>
      <c r="AE295" s="242"/>
      <c r="AF295" s="242"/>
      <c r="AG295" s="242"/>
      <c r="AH295" s="242"/>
      <c r="AI295" s="242"/>
      <c r="AJ295" s="242"/>
      <c r="AK295" s="242"/>
      <c r="AL295" s="242"/>
      <c r="AM295" s="242"/>
      <c r="AO295" s="4"/>
    </row>
    <row r="296" spans="1:41" ht="24.75" customHeight="1" x14ac:dyDescent="0.75">
      <c r="A296" s="243"/>
      <c r="B296" s="244"/>
      <c r="C296" s="4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  <c r="Z296" s="242"/>
      <c r="AA296" s="242"/>
      <c r="AB296" s="242"/>
      <c r="AC296" s="242"/>
      <c r="AD296" s="242"/>
      <c r="AE296" s="242"/>
      <c r="AF296" s="242"/>
      <c r="AG296" s="242"/>
      <c r="AH296" s="242"/>
      <c r="AI296" s="242"/>
      <c r="AJ296" s="242"/>
      <c r="AK296" s="242"/>
      <c r="AL296" s="242"/>
      <c r="AM296" s="242"/>
      <c r="AO296" s="4"/>
    </row>
    <row r="297" spans="1:41" ht="24.75" customHeight="1" x14ac:dyDescent="0.75">
      <c r="A297" s="243"/>
      <c r="B297" s="244"/>
      <c r="C297" s="4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  <c r="Z297" s="242"/>
      <c r="AA297" s="242"/>
      <c r="AB297" s="242"/>
      <c r="AC297" s="242"/>
      <c r="AD297" s="242"/>
      <c r="AE297" s="242"/>
      <c r="AF297" s="242"/>
      <c r="AG297" s="242"/>
      <c r="AH297" s="242"/>
      <c r="AI297" s="242"/>
      <c r="AJ297" s="242"/>
      <c r="AK297" s="242"/>
      <c r="AL297" s="242"/>
      <c r="AM297" s="242"/>
      <c r="AO297" s="4"/>
    </row>
    <row r="298" spans="1:41" ht="24.75" customHeight="1" x14ac:dyDescent="0.75">
      <c r="A298" s="243"/>
      <c r="B298" s="244"/>
      <c r="C298" s="4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  <c r="Z298" s="242"/>
      <c r="AA298" s="242"/>
      <c r="AB298" s="242"/>
      <c r="AC298" s="242"/>
      <c r="AD298" s="242"/>
      <c r="AE298" s="242"/>
      <c r="AF298" s="242"/>
      <c r="AG298" s="242"/>
      <c r="AH298" s="242"/>
      <c r="AI298" s="242"/>
      <c r="AJ298" s="242"/>
      <c r="AK298" s="242"/>
      <c r="AL298" s="242"/>
      <c r="AM298" s="242"/>
      <c r="AO298" s="4"/>
    </row>
    <row r="299" spans="1:41" ht="24.75" customHeight="1" x14ac:dyDescent="0.75">
      <c r="A299" s="243"/>
      <c r="B299" s="244"/>
      <c r="C299" s="4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  <c r="Z299" s="242"/>
      <c r="AA299" s="242"/>
      <c r="AB299" s="242"/>
      <c r="AC299" s="242"/>
      <c r="AD299" s="242"/>
      <c r="AE299" s="242"/>
      <c r="AF299" s="242"/>
      <c r="AG299" s="242"/>
      <c r="AH299" s="242"/>
      <c r="AI299" s="242"/>
      <c r="AJ299" s="242"/>
      <c r="AK299" s="242"/>
      <c r="AL299" s="242"/>
      <c r="AM299" s="242"/>
      <c r="AO299" s="4"/>
    </row>
    <row r="300" spans="1:41" ht="24.75" customHeight="1" x14ac:dyDescent="0.75">
      <c r="A300" s="243"/>
      <c r="B300" s="244"/>
      <c r="C300" s="4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  <c r="Z300" s="242"/>
      <c r="AA300" s="242"/>
      <c r="AB300" s="242"/>
      <c r="AC300" s="242"/>
      <c r="AD300" s="242"/>
      <c r="AE300" s="242"/>
      <c r="AF300" s="242"/>
      <c r="AG300" s="242"/>
      <c r="AH300" s="242"/>
      <c r="AI300" s="242"/>
      <c r="AJ300" s="242"/>
      <c r="AK300" s="242"/>
      <c r="AL300" s="242"/>
      <c r="AM300" s="242"/>
      <c r="AO300" s="4"/>
    </row>
    <row r="301" spans="1:41" ht="24.75" customHeight="1" x14ac:dyDescent="0.75">
      <c r="A301" s="243"/>
      <c r="B301" s="244"/>
      <c r="C301" s="4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  <c r="Z301" s="242"/>
      <c r="AA301" s="242"/>
      <c r="AB301" s="242"/>
      <c r="AC301" s="242"/>
      <c r="AD301" s="242"/>
      <c r="AE301" s="242"/>
      <c r="AF301" s="242"/>
      <c r="AG301" s="242"/>
      <c r="AH301" s="242"/>
      <c r="AI301" s="242"/>
      <c r="AJ301" s="242"/>
      <c r="AK301" s="242"/>
      <c r="AL301" s="242"/>
      <c r="AM301" s="242"/>
      <c r="AO301" s="4"/>
    </row>
    <row r="302" spans="1:41" ht="24.75" customHeight="1" x14ac:dyDescent="0.75">
      <c r="A302" s="243"/>
      <c r="B302" s="244"/>
      <c r="C302" s="4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  <c r="Z302" s="242"/>
      <c r="AA302" s="242"/>
      <c r="AB302" s="242"/>
      <c r="AC302" s="242"/>
      <c r="AD302" s="242"/>
      <c r="AE302" s="242"/>
      <c r="AF302" s="242"/>
      <c r="AG302" s="242"/>
      <c r="AH302" s="242"/>
      <c r="AI302" s="242"/>
      <c r="AJ302" s="242"/>
      <c r="AK302" s="242"/>
      <c r="AL302" s="242"/>
      <c r="AM302" s="242"/>
      <c r="AO302" s="4"/>
    </row>
    <row r="303" spans="1:41" ht="24.75" customHeight="1" x14ac:dyDescent="0.75">
      <c r="A303" s="243"/>
      <c r="B303" s="244"/>
      <c r="C303" s="4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  <c r="Z303" s="242"/>
      <c r="AA303" s="242"/>
      <c r="AB303" s="242"/>
      <c r="AC303" s="242"/>
      <c r="AD303" s="242"/>
      <c r="AE303" s="242"/>
      <c r="AF303" s="242"/>
      <c r="AG303" s="242"/>
      <c r="AH303" s="242"/>
      <c r="AI303" s="242"/>
      <c r="AJ303" s="242"/>
      <c r="AK303" s="242"/>
      <c r="AL303" s="242"/>
      <c r="AM303" s="242"/>
      <c r="AO303" s="4"/>
    </row>
    <row r="304" spans="1:41" ht="24.75" customHeight="1" x14ac:dyDescent="0.75">
      <c r="A304" s="243"/>
      <c r="B304" s="244"/>
      <c r="C304" s="4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  <c r="Z304" s="242"/>
      <c r="AA304" s="242"/>
      <c r="AB304" s="242"/>
      <c r="AC304" s="242"/>
      <c r="AD304" s="242"/>
      <c r="AE304" s="242"/>
      <c r="AF304" s="242"/>
      <c r="AG304" s="242"/>
      <c r="AH304" s="242"/>
      <c r="AI304" s="242"/>
      <c r="AJ304" s="242"/>
      <c r="AK304" s="242"/>
      <c r="AL304" s="242"/>
      <c r="AM304" s="242"/>
      <c r="AO304" s="4"/>
    </row>
    <row r="305" spans="1:41" ht="24.75" customHeight="1" x14ac:dyDescent="0.75">
      <c r="A305" s="243"/>
      <c r="B305" s="244"/>
      <c r="C305" s="4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  <c r="Z305" s="242"/>
      <c r="AA305" s="242"/>
      <c r="AB305" s="242"/>
      <c r="AC305" s="242"/>
      <c r="AD305" s="242"/>
      <c r="AE305" s="242"/>
      <c r="AF305" s="242"/>
      <c r="AG305" s="242"/>
      <c r="AH305" s="242"/>
      <c r="AI305" s="242"/>
      <c r="AJ305" s="242"/>
      <c r="AK305" s="242"/>
      <c r="AL305" s="242"/>
      <c r="AM305" s="242"/>
      <c r="AO305" s="4"/>
    </row>
    <row r="306" spans="1:41" ht="24.75" customHeight="1" x14ac:dyDescent="0.75">
      <c r="A306" s="243"/>
      <c r="B306" s="244"/>
      <c r="C306" s="4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  <c r="Z306" s="242"/>
      <c r="AA306" s="242"/>
      <c r="AB306" s="242"/>
      <c r="AC306" s="242"/>
      <c r="AD306" s="242"/>
      <c r="AE306" s="242"/>
      <c r="AF306" s="242"/>
      <c r="AG306" s="242"/>
      <c r="AH306" s="242"/>
      <c r="AI306" s="242"/>
      <c r="AJ306" s="242"/>
      <c r="AK306" s="242"/>
      <c r="AL306" s="242"/>
      <c r="AM306" s="242"/>
      <c r="AO306" s="4"/>
    </row>
    <row r="307" spans="1:41" ht="24.75" customHeight="1" x14ac:dyDescent="0.75">
      <c r="A307" s="243"/>
      <c r="B307" s="244"/>
      <c r="C307" s="4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  <c r="Z307" s="242"/>
      <c r="AA307" s="242"/>
      <c r="AB307" s="242"/>
      <c r="AC307" s="242"/>
      <c r="AD307" s="242"/>
      <c r="AE307" s="242"/>
      <c r="AF307" s="242"/>
      <c r="AG307" s="242"/>
      <c r="AH307" s="242"/>
      <c r="AI307" s="242"/>
      <c r="AJ307" s="242"/>
      <c r="AK307" s="242"/>
      <c r="AL307" s="242"/>
      <c r="AM307" s="242"/>
      <c r="AO307" s="4"/>
    </row>
    <row r="308" spans="1:41" ht="24.75" customHeight="1" x14ac:dyDescent="0.75">
      <c r="A308" s="243"/>
      <c r="B308" s="244"/>
      <c r="C308" s="4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  <c r="Z308" s="242"/>
      <c r="AA308" s="242"/>
      <c r="AB308" s="242"/>
      <c r="AC308" s="242"/>
      <c r="AD308" s="242"/>
      <c r="AE308" s="242"/>
      <c r="AF308" s="242"/>
      <c r="AG308" s="242"/>
      <c r="AH308" s="242"/>
      <c r="AI308" s="242"/>
      <c r="AJ308" s="242"/>
      <c r="AK308" s="242"/>
      <c r="AL308" s="242"/>
      <c r="AM308" s="242"/>
      <c r="AO308" s="4"/>
    </row>
    <row r="309" spans="1:41" ht="24.75" customHeight="1" x14ac:dyDescent="0.75">
      <c r="A309" s="243"/>
      <c r="B309" s="244"/>
      <c r="C309" s="4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  <c r="Z309" s="242"/>
      <c r="AA309" s="242"/>
      <c r="AB309" s="242"/>
      <c r="AC309" s="242"/>
      <c r="AD309" s="242"/>
      <c r="AE309" s="242"/>
      <c r="AF309" s="242"/>
      <c r="AG309" s="242"/>
      <c r="AH309" s="242"/>
      <c r="AI309" s="242"/>
      <c r="AJ309" s="242"/>
      <c r="AK309" s="242"/>
      <c r="AL309" s="242"/>
      <c r="AM309" s="242"/>
      <c r="AO309" s="4"/>
    </row>
    <row r="310" spans="1:41" ht="24.75" customHeight="1" x14ac:dyDescent="0.75">
      <c r="A310" s="243"/>
      <c r="B310" s="244"/>
      <c r="C310" s="4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  <c r="Z310" s="242"/>
      <c r="AA310" s="242"/>
      <c r="AB310" s="242"/>
      <c r="AC310" s="242"/>
      <c r="AD310" s="242"/>
      <c r="AE310" s="242"/>
      <c r="AF310" s="242"/>
      <c r="AG310" s="242"/>
      <c r="AH310" s="242"/>
      <c r="AI310" s="242"/>
      <c r="AJ310" s="242"/>
      <c r="AK310" s="242"/>
      <c r="AL310" s="242"/>
      <c r="AM310" s="242"/>
      <c r="AO310" s="4"/>
    </row>
    <row r="311" spans="1:41" ht="24.75" customHeight="1" x14ac:dyDescent="0.75">
      <c r="A311" s="243"/>
      <c r="B311" s="244"/>
      <c r="C311" s="4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  <c r="Z311" s="242"/>
      <c r="AA311" s="242"/>
      <c r="AB311" s="242"/>
      <c r="AC311" s="242"/>
      <c r="AD311" s="242"/>
      <c r="AE311" s="242"/>
      <c r="AF311" s="242"/>
      <c r="AG311" s="242"/>
      <c r="AH311" s="242"/>
      <c r="AI311" s="242"/>
      <c r="AJ311" s="242"/>
      <c r="AK311" s="242"/>
      <c r="AL311" s="242"/>
      <c r="AM311" s="242"/>
      <c r="AO311" s="4"/>
    </row>
    <row r="312" spans="1:41" ht="24.75" customHeight="1" x14ac:dyDescent="0.75">
      <c r="A312" s="243"/>
      <c r="B312" s="244"/>
      <c r="C312" s="4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  <c r="AA312" s="242"/>
      <c r="AB312" s="242"/>
      <c r="AC312" s="242"/>
      <c r="AD312" s="242"/>
      <c r="AE312" s="242"/>
      <c r="AF312" s="242"/>
      <c r="AG312" s="242"/>
      <c r="AH312" s="242"/>
      <c r="AI312" s="242"/>
      <c r="AJ312" s="242"/>
      <c r="AK312" s="242"/>
      <c r="AL312" s="242"/>
      <c r="AM312" s="242"/>
      <c r="AO312" s="4"/>
    </row>
    <row r="313" spans="1:41" ht="24.75" customHeight="1" x14ac:dyDescent="0.75">
      <c r="A313" s="243"/>
      <c r="B313" s="244"/>
      <c r="C313" s="4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  <c r="Z313" s="242"/>
      <c r="AA313" s="242"/>
      <c r="AB313" s="242"/>
      <c r="AC313" s="242"/>
      <c r="AD313" s="242"/>
      <c r="AE313" s="242"/>
      <c r="AF313" s="242"/>
      <c r="AG313" s="242"/>
      <c r="AH313" s="242"/>
      <c r="AI313" s="242"/>
      <c r="AJ313" s="242"/>
      <c r="AK313" s="242"/>
      <c r="AL313" s="242"/>
      <c r="AM313" s="242"/>
      <c r="AO313" s="4"/>
    </row>
    <row r="314" spans="1:41" ht="24.75" customHeight="1" x14ac:dyDescent="0.75">
      <c r="A314" s="243"/>
      <c r="B314" s="244"/>
      <c r="C314" s="4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  <c r="Z314" s="242"/>
      <c r="AA314" s="242"/>
      <c r="AB314" s="242"/>
      <c r="AC314" s="242"/>
      <c r="AD314" s="242"/>
      <c r="AE314" s="242"/>
      <c r="AF314" s="242"/>
      <c r="AG314" s="242"/>
      <c r="AH314" s="242"/>
      <c r="AI314" s="242"/>
      <c r="AJ314" s="242"/>
      <c r="AK314" s="242"/>
      <c r="AL314" s="242"/>
      <c r="AM314" s="242"/>
      <c r="AO314" s="4"/>
    </row>
    <row r="315" spans="1:41" ht="24.75" customHeight="1" x14ac:dyDescent="0.75">
      <c r="A315" s="243"/>
      <c r="B315" s="244"/>
      <c r="C315" s="4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  <c r="Z315" s="242"/>
      <c r="AA315" s="242"/>
      <c r="AB315" s="242"/>
      <c r="AC315" s="242"/>
      <c r="AD315" s="242"/>
      <c r="AE315" s="242"/>
      <c r="AF315" s="242"/>
      <c r="AG315" s="242"/>
      <c r="AH315" s="242"/>
      <c r="AI315" s="242"/>
      <c r="AJ315" s="242"/>
      <c r="AK315" s="242"/>
      <c r="AL315" s="242"/>
      <c r="AM315" s="242"/>
      <c r="AO315" s="4"/>
    </row>
    <row r="316" spans="1:41" ht="24.75" customHeight="1" x14ac:dyDescent="0.75">
      <c r="A316" s="243"/>
      <c r="B316" s="244"/>
      <c r="C316" s="4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  <c r="Z316" s="242"/>
      <c r="AA316" s="242"/>
      <c r="AB316" s="242"/>
      <c r="AC316" s="242"/>
      <c r="AD316" s="242"/>
      <c r="AE316" s="242"/>
      <c r="AF316" s="242"/>
      <c r="AG316" s="242"/>
      <c r="AH316" s="242"/>
      <c r="AI316" s="242"/>
      <c r="AJ316" s="242"/>
      <c r="AK316" s="242"/>
      <c r="AL316" s="242"/>
      <c r="AM316" s="242"/>
      <c r="AO316" s="4"/>
    </row>
    <row r="317" spans="1:41" ht="24.75" customHeight="1" x14ac:dyDescent="0.75">
      <c r="A317" s="243"/>
      <c r="B317" s="244"/>
      <c r="C317" s="4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  <c r="Z317" s="242"/>
      <c r="AA317" s="242"/>
      <c r="AB317" s="242"/>
      <c r="AC317" s="242"/>
      <c r="AD317" s="242"/>
      <c r="AE317" s="242"/>
      <c r="AF317" s="242"/>
      <c r="AG317" s="242"/>
      <c r="AH317" s="242"/>
      <c r="AI317" s="242"/>
      <c r="AJ317" s="242"/>
      <c r="AK317" s="242"/>
      <c r="AL317" s="242"/>
      <c r="AM317" s="242"/>
      <c r="AO317" s="4"/>
    </row>
    <row r="318" spans="1:41" ht="24.75" customHeight="1" x14ac:dyDescent="0.75">
      <c r="A318" s="243"/>
      <c r="B318" s="244"/>
      <c r="C318" s="4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  <c r="Z318" s="242"/>
      <c r="AA318" s="242"/>
      <c r="AB318" s="242"/>
      <c r="AC318" s="242"/>
      <c r="AD318" s="242"/>
      <c r="AE318" s="242"/>
      <c r="AF318" s="242"/>
      <c r="AG318" s="242"/>
      <c r="AH318" s="242"/>
      <c r="AI318" s="242"/>
      <c r="AJ318" s="242"/>
      <c r="AK318" s="242"/>
      <c r="AL318" s="242"/>
      <c r="AM318" s="242"/>
      <c r="AO318" s="4"/>
    </row>
    <row r="319" spans="1:41" ht="24.75" customHeight="1" x14ac:dyDescent="0.75">
      <c r="A319" s="243"/>
      <c r="B319" s="244"/>
      <c r="C319" s="4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  <c r="Z319" s="242"/>
      <c r="AA319" s="242"/>
      <c r="AB319" s="242"/>
      <c r="AC319" s="242"/>
      <c r="AD319" s="242"/>
      <c r="AE319" s="242"/>
      <c r="AF319" s="242"/>
      <c r="AG319" s="242"/>
      <c r="AH319" s="242"/>
      <c r="AI319" s="242"/>
      <c r="AJ319" s="242"/>
      <c r="AK319" s="242"/>
      <c r="AL319" s="242"/>
      <c r="AM319" s="242"/>
      <c r="AO319" s="4"/>
    </row>
    <row r="320" spans="1:41" ht="24.75" customHeight="1" x14ac:dyDescent="0.75">
      <c r="A320" s="243"/>
      <c r="B320" s="244"/>
      <c r="C320" s="4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  <c r="AC320" s="242"/>
      <c r="AD320" s="242"/>
      <c r="AE320" s="242"/>
      <c r="AF320" s="242"/>
      <c r="AG320" s="242"/>
      <c r="AH320" s="242"/>
      <c r="AI320" s="242"/>
      <c r="AJ320" s="242"/>
      <c r="AK320" s="242"/>
      <c r="AL320" s="242"/>
      <c r="AM320" s="242"/>
      <c r="AO320" s="4"/>
    </row>
    <row r="321" spans="1:41" ht="24.75" customHeight="1" x14ac:dyDescent="0.75">
      <c r="A321" s="243"/>
      <c r="B321" s="244"/>
      <c r="C321" s="4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  <c r="Z321" s="242"/>
      <c r="AA321" s="242"/>
      <c r="AB321" s="242"/>
      <c r="AC321" s="242"/>
      <c r="AD321" s="242"/>
      <c r="AE321" s="242"/>
      <c r="AF321" s="242"/>
      <c r="AG321" s="242"/>
      <c r="AH321" s="242"/>
      <c r="AI321" s="242"/>
      <c r="AJ321" s="242"/>
      <c r="AK321" s="242"/>
      <c r="AL321" s="242"/>
      <c r="AM321" s="242"/>
      <c r="AO321" s="4"/>
    </row>
    <row r="322" spans="1:41" ht="24.75" customHeight="1" x14ac:dyDescent="0.75">
      <c r="A322" s="243"/>
      <c r="B322" s="244"/>
      <c r="C322" s="4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  <c r="Z322" s="242"/>
      <c r="AA322" s="242"/>
      <c r="AB322" s="242"/>
      <c r="AC322" s="242"/>
      <c r="AD322" s="242"/>
      <c r="AE322" s="242"/>
      <c r="AF322" s="242"/>
      <c r="AG322" s="242"/>
      <c r="AH322" s="242"/>
      <c r="AI322" s="242"/>
      <c r="AJ322" s="242"/>
      <c r="AK322" s="242"/>
      <c r="AL322" s="242"/>
      <c r="AM322" s="242"/>
      <c r="AO322" s="4"/>
    </row>
    <row r="323" spans="1:41" ht="24.75" customHeight="1" x14ac:dyDescent="0.75">
      <c r="A323" s="243"/>
      <c r="B323" s="244"/>
      <c r="C323" s="4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  <c r="Z323" s="242"/>
      <c r="AA323" s="242"/>
      <c r="AB323" s="242"/>
      <c r="AC323" s="242"/>
      <c r="AD323" s="242"/>
      <c r="AE323" s="242"/>
      <c r="AF323" s="242"/>
      <c r="AG323" s="242"/>
      <c r="AH323" s="242"/>
      <c r="AI323" s="242"/>
      <c r="AJ323" s="242"/>
      <c r="AK323" s="242"/>
      <c r="AL323" s="242"/>
      <c r="AM323" s="242"/>
      <c r="AO323" s="4"/>
    </row>
    <row r="324" spans="1:41" ht="24.75" customHeight="1" x14ac:dyDescent="0.75">
      <c r="A324" s="243"/>
      <c r="B324" s="244"/>
      <c r="C324" s="4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  <c r="Z324" s="242"/>
      <c r="AA324" s="242"/>
      <c r="AB324" s="242"/>
      <c r="AC324" s="242"/>
      <c r="AD324" s="242"/>
      <c r="AE324" s="242"/>
      <c r="AF324" s="242"/>
      <c r="AG324" s="242"/>
      <c r="AH324" s="242"/>
      <c r="AI324" s="242"/>
      <c r="AJ324" s="242"/>
      <c r="AK324" s="242"/>
      <c r="AL324" s="242"/>
      <c r="AM324" s="242"/>
      <c r="AO324" s="4"/>
    </row>
    <row r="325" spans="1:41" ht="24.75" customHeight="1" x14ac:dyDescent="0.75">
      <c r="A325" s="243"/>
      <c r="B325" s="244"/>
      <c r="C325" s="4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  <c r="Z325" s="242"/>
      <c r="AA325" s="242"/>
      <c r="AB325" s="242"/>
      <c r="AC325" s="242"/>
      <c r="AD325" s="242"/>
      <c r="AE325" s="242"/>
      <c r="AF325" s="242"/>
      <c r="AG325" s="242"/>
      <c r="AH325" s="242"/>
      <c r="AI325" s="242"/>
      <c r="AJ325" s="242"/>
      <c r="AK325" s="242"/>
      <c r="AL325" s="242"/>
      <c r="AM325" s="242"/>
      <c r="AO325" s="4"/>
    </row>
    <row r="326" spans="1:41" ht="24.75" customHeight="1" x14ac:dyDescent="0.75">
      <c r="A326" s="243"/>
      <c r="B326" s="244"/>
      <c r="C326" s="4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  <c r="Z326" s="242"/>
      <c r="AA326" s="242"/>
      <c r="AB326" s="242"/>
      <c r="AC326" s="242"/>
      <c r="AD326" s="242"/>
      <c r="AE326" s="242"/>
      <c r="AF326" s="242"/>
      <c r="AG326" s="242"/>
      <c r="AH326" s="242"/>
      <c r="AI326" s="242"/>
      <c r="AJ326" s="242"/>
      <c r="AK326" s="242"/>
      <c r="AL326" s="242"/>
      <c r="AM326" s="242"/>
      <c r="AO326" s="4"/>
    </row>
    <row r="327" spans="1:41" ht="24.75" customHeight="1" x14ac:dyDescent="0.75">
      <c r="A327" s="243"/>
      <c r="B327" s="244"/>
      <c r="C327" s="4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  <c r="Z327" s="242"/>
      <c r="AA327" s="242"/>
      <c r="AB327" s="242"/>
      <c r="AC327" s="242"/>
      <c r="AD327" s="242"/>
      <c r="AE327" s="242"/>
      <c r="AF327" s="242"/>
      <c r="AG327" s="242"/>
      <c r="AH327" s="242"/>
      <c r="AI327" s="242"/>
      <c r="AJ327" s="242"/>
      <c r="AK327" s="242"/>
      <c r="AL327" s="242"/>
      <c r="AM327" s="242"/>
      <c r="AO327" s="4"/>
    </row>
    <row r="328" spans="1:41" ht="24.75" customHeight="1" x14ac:dyDescent="0.75">
      <c r="A328" s="243"/>
      <c r="B328" s="244"/>
      <c r="C328" s="4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  <c r="Z328" s="242"/>
      <c r="AA328" s="242"/>
      <c r="AB328" s="242"/>
      <c r="AC328" s="242"/>
      <c r="AD328" s="242"/>
      <c r="AE328" s="242"/>
      <c r="AF328" s="242"/>
      <c r="AG328" s="242"/>
      <c r="AH328" s="242"/>
      <c r="AI328" s="242"/>
      <c r="AJ328" s="242"/>
      <c r="AK328" s="242"/>
      <c r="AL328" s="242"/>
      <c r="AM328" s="242"/>
      <c r="AO328" s="4"/>
    </row>
    <row r="329" spans="1:41" ht="24.75" customHeight="1" x14ac:dyDescent="0.75">
      <c r="A329" s="243"/>
      <c r="B329" s="244"/>
      <c r="C329" s="4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  <c r="Z329" s="242"/>
      <c r="AA329" s="242"/>
      <c r="AB329" s="242"/>
      <c r="AC329" s="242"/>
      <c r="AD329" s="242"/>
      <c r="AE329" s="242"/>
      <c r="AF329" s="242"/>
      <c r="AG329" s="242"/>
      <c r="AH329" s="242"/>
      <c r="AI329" s="242"/>
      <c r="AJ329" s="242"/>
      <c r="AK329" s="242"/>
      <c r="AL329" s="242"/>
      <c r="AM329" s="242"/>
      <c r="AO329" s="4"/>
    </row>
    <row r="330" spans="1:41" ht="24.75" customHeight="1" x14ac:dyDescent="0.75">
      <c r="A330" s="243"/>
      <c r="B330" s="244"/>
      <c r="C330" s="4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  <c r="Z330" s="242"/>
      <c r="AA330" s="242"/>
      <c r="AB330" s="242"/>
      <c r="AC330" s="242"/>
      <c r="AD330" s="242"/>
      <c r="AE330" s="242"/>
      <c r="AF330" s="242"/>
      <c r="AG330" s="242"/>
      <c r="AH330" s="242"/>
      <c r="AI330" s="242"/>
      <c r="AJ330" s="242"/>
      <c r="AK330" s="242"/>
      <c r="AL330" s="242"/>
      <c r="AM330" s="242"/>
      <c r="AO330" s="4"/>
    </row>
    <row r="331" spans="1:41" ht="24.75" customHeight="1" x14ac:dyDescent="0.75">
      <c r="A331" s="243"/>
      <c r="B331" s="244"/>
      <c r="C331" s="4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  <c r="Z331" s="242"/>
      <c r="AA331" s="242"/>
      <c r="AB331" s="242"/>
      <c r="AC331" s="242"/>
      <c r="AD331" s="242"/>
      <c r="AE331" s="242"/>
      <c r="AF331" s="242"/>
      <c r="AG331" s="242"/>
      <c r="AH331" s="242"/>
      <c r="AI331" s="242"/>
      <c r="AJ331" s="242"/>
      <c r="AK331" s="242"/>
      <c r="AL331" s="242"/>
      <c r="AM331" s="242"/>
      <c r="AO331" s="4"/>
    </row>
    <row r="332" spans="1:41" ht="24.75" customHeight="1" x14ac:dyDescent="0.75">
      <c r="A332" s="243"/>
      <c r="B332" s="244"/>
      <c r="C332" s="4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  <c r="Z332" s="242"/>
      <c r="AA332" s="242"/>
      <c r="AB332" s="242"/>
      <c r="AC332" s="242"/>
      <c r="AD332" s="242"/>
      <c r="AE332" s="242"/>
      <c r="AF332" s="242"/>
      <c r="AG332" s="242"/>
      <c r="AH332" s="242"/>
      <c r="AI332" s="242"/>
      <c r="AJ332" s="242"/>
      <c r="AK332" s="242"/>
      <c r="AL332" s="242"/>
      <c r="AM332" s="242"/>
      <c r="AO332" s="4"/>
    </row>
    <row r="333" spans="1:41" ht="24.75" customHeight="1" x14ac:dyDescent="0.75">
      <c r="A333" s="243"/>
      <c r="B333" s="244"/>
      <c r="C333" s="4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  <c r="Z333" s="242"/>
      <c r="AA333" s="242"/>
      <c r="AB333" s="242"/>
      <c r="AC333" s="242"/>
      <c r="AD333" s="242"/>
      <c r="AE333" s="242"/>
      <c r="AF333" s="242"/>
      <c r="AG333" s="242"/>
      <c r="AH333" s="242"/>
      <c r="AI333" s="242"/>
      <c r="AJ333" s="242"/>
      <c r="AK333" s="242"/>
      <c r="AL333" s="242"/>
      <c r="AM333" s="242"/>
      <c r="AO333" s="4"/>
    </row>
    <row r="334" spans="1:41" ht="24.75" customHeight="1" x14ac:dyDescent="0.75">
      <c r="A334" s="243"/>
      <c r="B334" s="244"/>
      <c r="C334" s="4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  <c r="Z334" s="242"/>
      <c r="AA334" s="242"/>
      <c r="AB334" s="242"/>
      <c r="AC334" s="242"/>
      <c r="AD334" s="242"/>
      <c r="AE334" s="242"/>
      <c r="AF334" s="242"/>
      <c r="AG334" s="242"/>
      <c r="AH334" s="242"/>
      <c r="AI334" s="242"/>
      <c r="AJ334" s="242"/>
      <c r="AK334" s="242"/>
      <c r="AL334" s="242"/>
      <c r="AM334" s="242"/>
      <c r="AO334" s="4"/>
    </row>
    <row r="335" spans="1:41" ht="24.75" customHeight="1" x14ac:dyDescent="0.75">
      <c r="A335" s="243"/>
      <c r="B335" s="244"/>
      <c r="C335" s="4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  <c r="Z335" s="242"/>
      <c r="AA335" s="242"/>
      <c r="AB335" s="242"/>
      <c r="AC335" s="242"/>
      <c r="AD335" s="242"/>
      <c r="AE335" s="242"/>
      <c r="AF335" s="242"/>
      <c r="AG335" s="242"/>
      <c r="AH335" s="242"/>
      <c r="AI335" s="242"/>
      <c r="AJ335" s="242"/>
      <c r="AK335" s="242"/>
      <c r="AL335" s="242"/>
      <c r="AM335" s="242"/>
      <c r="AO335" s="4"/>
    </row>
    <row r="336" spans="1:41" ht="24.75" customHeight="1" x14ac:dyDescent="0.75">
      <c r="A336" s="243"/>
      <c r="B336" s="244"/>
      <c r="C336" s="4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  <c r="Z336" s="242"/>
      <c r="AA336" s="242"/>
      <c r="AB336" s="242"/>
      <c r="AC336" s="242"/>
      <c r="AD336" s="242"/>
      <c r="AE336" s="242"/>
      <c r="AF336" s="242"/>
      <c r="AG336" s="242"/>
      <c r="AH336" s="242"/>
      <c r="AI336" s="242"/>
      <c r="AJ336" s="242"/>
      <c r="AK336" s="242"/>
      <c r="AL336" s="242"/>
      <c r="AM336" s="242"/>
      <c r="AO336" s="4"/>
    </row>
    <row r="337" spans="1:41" ht="24.75" customHeight="1" x14ac:dyDescent="0.75">
      <c r="A337" s="243"/>
      <c r="B337" s="244"/>
      <c r="C337" s="4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  <c r="Z337" s="242"/>
      <c r="AA337" s="242"/>
      <c r="AB337" s="242"/>
      <c r="AC337" s="242"/>
      <c r="AD337" s="242"/>
      <c r="AE337" s="242"/>
      <c r="AF337" s="242"/>
      <c r="AG337" s="242"/>
      <c r="AH337" s="242"/>
      <c r="AI337" s="242"/>
      <c r="AJ337" s="242"/>
      <c r="AK337" s="242"/>
      <c r="AL337" s="242"/>
      <c r="AM337" s="242"/>
      <c r="AO337" s="4"/>
    </row>
    <row r="338" spans="1:41" ht="24.75" customHeight="1" x14ac:dyDescent="0.75">
      <c r="A338" s="243"/>
      <c r="B338" s="244"/>
      <c r="C338" s="4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  <c r="Z338" s="242"/>
      <c r="AA338" s="242"/>
      <c r="AB338" s="242"/>
      <c r="AC338" s="242"/>
      <c r="AD338" s="242"/>
      <c r="AE338" s="242"/>
      <c r="AF338" s="242"/>
      <c r="AG338" s="242"/>
      <c r="AH338" s="242"/>
      <c r="AI338" s="242"/>
      <c r="AJ338" s="242"/>
      <c r="AK338" s="242"/>
      <c r="AL338" s="242"/>
      <c r="AM338" s="242"/>
      <c r="AO338" s="4"/>
    </row>
    <row r="339" spans="1:41" ht="24.75" customHeight="1" x14ac:dyDescent="0.75">
      <c r="A339" s="243"/>
      <c r="B339" s="244"/>
      <c r="C339" s="4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  <c r="Z339" s="242"/>
      <c r="AA339" s="242"/>
      <c r="AB339" s="242"/>
      <c r="AC339" s="242"/>
      <c r="AD339" s="242"/>
      <c r="AE339" s="242"/>
      <c r="AF339" s="242"/>
      <c r="AG339" s="242"/>
      <c r="AH339" s="242"/>
      <c r="AI339" s="242"/>
      <c r="AJ339" s="242"/>
      <c r="AK339" s="242"/>
      <c r="AL339" s="242"/>
      <c r="AM339" s="242"/>
      <c r="AO339" s="4"/>
    </row>
    <row r="340" spans="1:41" ht="24.75" customHeight="1" x14ac:dyDescent="0.75">
      <c r="A340" s="243"/>
      <c r="B340" s="244"/>
      <c r="C340" s="4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  <c r="Z340" s="242"/>
      <c r="AA340" s="242"/>
      <c r="AB340" s="242"/>
      <c r="AC340" s="242"/>
      <c r="AD340" s="242"/>
      <c r="AE340" s="242"/>
      <c r="AF340" s="242"/>
      <c r="AG340" s="242"/>
      <c r="AH340" s="242"/>
      <c r="AI340" s="242"/>
      <c r="AJ340" s="242"/>
      <c r="AK340" s="242"/>
      <c r="AL340" s="242"/>
      <c r="AM340" s="242"/>
      <c r="AO340" s="4"/>
    </row>
    <row r="341" spans="1:41" ht="24.75" customHeight="1" x14ac:dyDescent="0.75">
      <c r="A341" s="243"/>
      <c r="B341" s="244"/>
      <c r="C341" s="4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  <c r="Z341" s="242"/>
      <c r="AA341" s="242"/>
      <c r="AB341" s="242"/>
      <c r="AC341" s="242"/>
      <c r="AD341" s="242"/>
      <c r="AE341" s="242"/>
      <c r="AF341" s="242"/>
      <c r="AG341" s="242"/>
      <c r="AH341" s="242"/>
      <c r="AI341" s="242"/>
      <c r="AJ341" s="242"/>
      <c r="AK341" s="242"/>
      <c r="AL341" s="242"/>
      <c r="AM341" s="242"/>
      <c r="AO341" s="4"/>
    </row>
    <row r="342" spans="1:41" ht="24.75" customHeight="1" x14ac:dyDescent="0.75">
      <c r="A342" s="243"/>
      <c r="B342" s="244"/>
      <c r="C342" s="4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  <c r="Z342" s="242"/>
      <c r="AA342" s="242"/>
      <c r="AB342" s="242"/>
      <c r="AC342" s="242"/>
      <c r="AD342" s="242"/>
      <c r="AE342" s="242"/>
      <c r="AF342" s="242"/>
      <c r="AG342" s="242"/>
      <c r="AH342" s="242"/>
      <c r="AI342" s="242"/>
      <c r="AJ342" s="242"/>
      <c r="AK342" s="242"/>
      <c r="AL342" s="242"/>
      <c r="AM342" s="242"/>
      <c r="AO342" s="4"/>
    </row>
    <row r="343" spans="1:41" ht="24.75" customHeight="1" x14ac:dyDescent="0.75">
      <c r="A343" s="243"/>
      <c r="B343" s="244"/>
      <c r="C343" s="4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  <c r="Z343" s="242"/>
      <c r="AA343" s="242"/>
      <c r="AB343" s="242"/>
      <c r="AC343" s="242"/>
      <c r="AD343" s="242"/>
      <c r="AE343" s="242"/>
      <c r="AF343" s="242"/>
      <c r="AG343" s="242"/>
      <c r="AH343" s="242"/>
      <c r="AI343" s="242"/>
      <c r="AJ343" s="242"/>
      <c r="AK343" s="242"/>
      <c r="AL343" s="242"/>
      <c r="AM343" s="242"/>
      <c r="AO343" s="4"/>
    </row>
    <row r="344" spans="1:41" ht="24.75" customHeight="1" x14ac:dyDescent="0.75">
      <c r="A344" s="243"/>
      <c r="B344" s="244"/>
      <c r="C344" s="4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  <c r="Z344" s="242"/>
      <c r="AA344" s="242"/>
      <c r="AB344" s="242"/>
      <c r="AC344" s="242"/>
      <c r="AD344" s="242"/>
      <c r="AE344" s="242"/>
      <c r="AF344" s="242"/>
      <c r="AG344" s="242"/>
      <c r="AH344" s="242"/>
      <c r="AI344" s="242"/>
      <c r="AJ344" s="242"/>
      <c r="AK344" s="242"/>
      <c r="AL344" s="242"/>
      <c r="AM344" s="242"/>
      <c r="AO344" s="4"/>
    </row>
    <row r="345" spans="1:41" ht="24.75" customHeight="1" x14ac:dyDescent="0.75">
      <c r="A345" s="243"/>
      <c r="B345" s="244"/>
      <c r="C345" s="4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  <c r="Z345" s="242"/>
      <c r="AA345" s="242"/>
      <c r="AB345" s="242"/>
      <c r="AC345" s="242"/>
      <c r="AD345" s="242"/>
      <c r="AE345" s="242"/>
      <c r="AF345" s="242"/>
      <c r="AG345" s="242"/>
      <c r="AH345" s="242"/>
      <c r="AI345" s="242"/>
      <c r="AJ345" s="242"/>
      <c r="AK345" s="242"/>
      <c r="AL345" s="242"/>
      <c r="AM345" s="242"/>
      <c r="AO345" s="4"/>
    </row>
    <row r="346" spans="1:41" ht="24.75" customHeight="1" x14ac:dyDescent="0.75">
      <c r="A346" s="243"/>
      <c r="B346" s="244"/>
      <c r="C346" s="4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  <c r="Z346" s="242"/>
      <c r="AA346" s="242"/>
      <c r="AB346" s="242"/>
      <c r="AC346" s="242"/>
      <c r="AD346" s="242"/>
      <c r="AE346" s="242"/>
      <c r="AF346" s="242"/>
      <c r="AG346" s="242"/>
      <c r="AH346" s="242"/>
      <c r="AI346" s="242"/>
      <c r="AJ346" s="242"/>
      <c r="AK346" s="242"/>
      <c r="AL346" s="242"/>
      <c r="AM346" s="242"/>
      <c r="AO346" s="4"/>
    </row>
    <row r="347" spans="1:41" ht="24.75" customHeight="1" x14ac:dyDescent="0.75">
      <c r="A347" s="243"/>
      <c r="B347" s="244"/>
      <c r="C347" s="4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  <c r="Z347" s="242"/>
      <c r="AA347" s="242"/>
      <c r="AB347" s="242"/>
      <c r="AC347" s="242"/>
      <c r="AD347" s="242"/>
      <c r="AE347" s="242"/>
      <c r="AF347" s="242"/>
      <c r="AG347" s="242"/>
      <c r="AH347" s="242"/>
      <c r="AI347" s="242"/>
      <c r="AJ347" s="242"/>
      <c r="AK347" s="242"/>
      <c r="AL347" s="242"/>
      <c r="AM347" s="242"/>
      <c r="AO347" s="4"/>
    </row>
    <row r="348" spans="1:41" ht="24.75" customHeight="1" x14ac:dyDescent="0.75">
      <c r="A348" s="243"/>
      <c r="B348" s="244"/>
      <c r="C348" s="4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  <c r="Z348" s="242"/>
      <c r="AA348" s="242"/>
      <c r="AB348" s="242"/>
      <c r="AC348" s="242"/>
      <c r="AD348" s="242"/>
      <c r="AE348" s="242"/>
      <c r="AF348" s="242"/>
      <c r="AG348" s="242"/>
      <c r="AH348" s="242"/>
      <c r="AI348" s="242"/>
      <c r="AJ348" s="242"/>
      <c r="AK348" s="242"/>
      <c r="AL348" s="242"/>
      <c r="AM348" s="242"/>
      <c r="AO348" s="4"/>
    </row>
    <row r="349" spans="1:41" ht="24.75" customHeight="1" x14ac:dyDescent="0.75">
      <c r="A349" s="243"/>
      <c r="B349" s="244"/>
      <c r="C349" s="4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  <c r="Z349" s="242"/>
      <c r="AA349" s="242"/>
      <c r="AB349" s="242"/>
      <c r="AC349" s="242"/>
      <c r="AD349" s="242"/>
      <c r="AE349" s="242"/>
      <c r="AF349" s="242"/>
      <c r="AG349" s="242"/>
      <c r="AH349" s="242"/>
      <c r="AI349" s="242"/>
      <c r="AJ349" s="242"/>
      <c r="AK349" s="242"/>
      <c r="AL349" s="242"/>
      <c r="AM349" s="242"/>
      <c r="AO349" s="4"/>
    </row>
    <row r="350" spans="1:41" ht="24.75" customHeight="1" x14ac:dyDescent="0.75">
      <c r="A350" s="243"/>
      <c r="B350" s="244"/>
      <c r="C350" s="4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  <c r="Z350" s="242"/>
      <c r="AA350" s="242"/>
      <c r="AB350" s="242"/>
      <c r="AC350" s="242"/>
      <c r="AD350" s="242"/>
      <c r="AE350" s="242"/>
      <c r="AF350" s="242"/>
      <c r="AG350" s="242"/>
      <c r="AH350" s="242"/>
      <c r="AI350" s="242"/>
      <c r="AJ350" s="242"/>
      <c r="AK350" s="242"/>
      <c r="AL350" s="242"/>
      <c r="AM350" s="242"/>
      <c r="AO350" s="4"/>
    </row>
    <row r="351" spans="1:41" ht="24.75" customHeight="1" x14ac:dyDescent="0.75">
      <c r="A351" s="243"/>
      <c r="B351" s="244"/>
      <c r="C351" s="4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  <c r="Z351" s="242"/>
      <c r="AA351" s="242"/>
      <c r="AB351" s="242"/>
      <c r="AC351" s="242"/>
      <c r="AD351" s="242"/>
      <c r="AE351" s="242"/>
      <c r="AF351" s="242"/>
      <c r="AG351" s="242"/>
      <c r="AH351" s="242"/>
      <c r="AI351" s="242"/>
      <c r="AJ351" s="242"/>
      <c r="AK351" s="242"/>
      <c r="AL351" s="242"/>
      <c r="AM351" s="242"/>
      <c r="AO351" s="4"/>
    </row>
    <row r="352" spans="1:41" ht="24.75" customHeight="1" x14ac:dyDescent="0.75">
      <c r="A352" s="243"/>
      <c r="B352" s="244"/>
      <c r="C352" s="4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  <c r="AA352" s="242"/>
      <c r="AB352" s="242"/>
      <c r="AC352" s="242"/>
      <c r="AD352" s="242"/>
      <c r="AE352" s="242"/>
      <c r="AF352" s="242"/>
      <c r="AG352" s="242"/>
      <c r="AH352" s="242"/>
      <c r="AI352" s="242"/>
      <c r="AJ352" s="242"/>
      <c r="AK352" s="242"/>
      <c r="AL352" s="242"/>
      <c r="AM352" s="242"/>
      <c r="AO352" s="4"/>
    </row>
    <row r="353" spans="1:41" ht="24.75" customHeight="1" x14ac:dyDescent="0.75">
      <c r="A353" s="243"/>
      <c r="B353" s="244"/>
      <c r="C353" s="4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  <c r="Z353" s="242"/>
      <c r="AA353" s="242"/>
      <c r="AB353" s="242"/>
      <c r="AC353" s="242"/>
      <c r="AD353" s="242"/>
      <c r="AE353" s="242"/>
      <c r="AF353" s="242"/>
      <c r="AG353" s="242"/>
      <c r="AH353" s="242"/>
      <c r="AI353" s="242"/>
      <c r="AJ353" s="242"/>
      <c r="AK353" s="242"/>
      <c r="AL353" s="242"/>
      <c r="AM353" s="242"/>
      <c r="AO353" s="4"/>
    </row>
    <row r="354" spans="1:41" ht="24.75" customHeight="1" x14ac:dyDescent="0.75">
      <c r="A354" s="243"/>
      <c r="B354" s="244"/>
      <c r="C354" s="4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  <c r="Z354" s="242"/>
      <c r="AA354" s="242"/>
      <c r="AB354" s="242"/>
      <c r="AC354" s="242"/>
      <c r="AD354" s="242"/>
      <c r="AE354" s="242"/>
      <c r="AF354" s="242"/>
      <c r="AG354" s="242"/>
      <c r="AH354" s="242"/>
      <c r="AI354" s="242"/>
      <c r="AJ354" s="242"/>
      <c r="AK354" s="242"/>
      <c r="AL354" s="242"/>
      <c r="AM354" s="242"/>
      <c r="AO354" s="4"/>
    </row>
    <row r="355" spans="1:41" ht="24.75" customHeight="1" x14ac:dyDescent="0.75">
      <c r="A355" s="243"/>
      <c r="B355" s="244"/>
      <c r="C355" s="4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  <c r="Z355" s="242"/>
      <c r="AA355" s="242"/>
      <c r="AB355" s="242"/>
      <c r="AC355" s="242"/>
      <c r="AD355" s="242"/>
      <c r="AE355" s="242"/>
      <c r="AF355" s="242"/>
      <c r="AG355" s="242"/>
      <c r="AH355" s="242"/>
      <c r="AI355" s="242"/>
      <c r="AJ355" s="242"/>
      <c r="AK355" s="242"/>
      <c r="AL355" s="242"/>
      <c r="AM355" s="242"/>
      <c r="AO355" s="4"/>
    </row>
    <row r="356" spans="1:41" ht="24.75" customHeight="1" x14ac:dyDescent="0.75">
      <c r="A356" s="243"/>
      <c r="B356" s="244"/>
      <c r="C356" s="4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  <c r="Z356" s="242"/>
      <c r="AA356" s="242"/>
      <c r="AB356" s="242"/>
      <c r="AC356" s="242"/>
      <c r="AD356" s="242"/>
      <c r="AE356" s="242"/>
      <c r="AF356" s="242"/>
      <c r="AG356" s="242"/>
      <c r="AH356" s="242"/>
      <c r="AI356" s="242"/>
      <c r="AJ356" s="242"/>
      <c r="AK356" s="242"/>
      <c r="AL356" s="242"/>
      <c r="AM356" s="242"/>
      <c r="AO356" s="4"/>
    </row>
    <row r="357" spans="1:41" ht="24.75" customHeight="1" x14ac:dyDescent="0.75">
      <c r="A357" s="243"/>
      <c r="B357" s="244"/>
      <c r="C357" s="4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  <c r="Z357" s="242"/>
      <c r="AA357" s="242"/>
      <c r="AB357" s="242"/>
      <c r="AC357" s="242"/>
      <c r="AD357" s="242"/>
      <c r="AE357" s="242"/>
      <c r="AF357" s="242"/>
      <c r="AG357" s="242"/>
      <c r="AH357" s="242"/>
      <c r="AI357" s="242"/>
      <c r="AJ357" s="242"/>
      <c r="AK357" s="242"/>
      <c r="AL357" s="242"/>
      <c r="AM357" s="242"/>
      <c r="AO357" s="4"/>
    </row>
    <row r="358" spans="1:41" ht="24.75" customHeight="1" x14ac:dyDescent="0.75">
      <c r="A358" s="243"/>
      <c r="B358" s="244"/>
      <c r="C358" s="4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  <c r="Z358" s="242"/>
      <c r="AA358" s="242"/>
      <c r="AB358" s="242"/>
      <c r="AC358" s="242"/>
      <c r="AD358" s="242"/>
      <c r="AE358" s="242"/>
      <c r="AF358" s="242"/>
      <c r="AG358" s="242"/>
      <c r="AH358" s="242"/>
      <c r="AI358" s="242"/>
      <c r="AJ358" s="242"/>
      <c r="AK358" s="242"/>
      <c r="AL358" s="242"/>
      <c r="AM358" s="242"/>
      <c r="AO358" s="4"/>
    </row>
    <row r="359" spans="1:41" ht="24.75" customHeight="1" x14ac:dyDescent="0.75">
      <c r="A359" s="243"/>
      <c r="B359" s="244"/>
      <c r="C359" s="4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  <c r="Z359" s="242"/>
      <c r="AA359" s="242"/>
      <c r="AB359" s="242"/>
      <c r="AC359" s="242"/>
      <c r="AD359" s="242"/>
      <c r="AE359" s="242"/>
      <c r="AF359" s="242"/>
      <c r="AG359" s="242"/>
      <c r="AH359" s="242"/>
      <c r="AI359" s="242"/>
      <c r="AJ359" s="242"/>
      <c r="AK359" s="242"/>
      <c r="AL359" s="242"/>
      <c r="AM359" s="242"/>
      <c r="AO359" s="4"/>
    </row>
    <row r="360" spans="1:41" ht="24.75" customHeight="1" x14ac:dyDescent="0.75">
      <c r="A360" s="243"/>
      <c r="B360" s="244"/>
      <c r="C360" s="4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  <c r="Z360" s="242"/>
      <c r="AA360" s="242"/>
      <c r="AB360" s="242"/>
      <c r="AC360" s="242"/>
      <c r="AD360" s="242"/>
      <c r="AE360" s="242"/>
      <c r="AF360" s="242"/>
      <c r="AG360" s="242"/>
      <c r="AH360" s="242"/>
      <c r="AI360" s="242"/>
      <c r="AJ360" s="242"/>
      <c r="AK360" s="242"/>
      <c r="AL360" s="242"/>
      <c r="AM360" s="242"/>
      <c r="AO360" s="4"/>
    </row>
    <row r="361" spans="1:41" ht="24.75" customHeight="1" x14ac:dyDescent="0.75">
      <c r="A361" s="243"/>
      <c r="B361" s="244"/>
      <c r="C361" s="4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  <c r="Z361" s="242"/>
      <c r="AA361" s="242"/>
      <c r="AB361" s="242"/>
      <c r="AC361" s="242"/>
      <c r="AD361" s="242"/>
      <c r="AE361" s="242"/>
      <c r="AF361" s="242"/>
      <c r="AG361" s="242"/>
      <c r="AH361" s="242"/>
      <c r="AI361" s="242"/>
      <c r="AJ361" s="242"/>
      <c r="AK361" s="242"/>
      <c r="AL361" s="242"/>
      <c r="AM361" s="242"/>
      <c r="AO361" s="4"/>
    </row>
    <row r="362" spans="1:41" ht="24.75" customHeight="1" x14ac:dyDescent="0.75">
      <c r="A362" s="243"/>
      <c r="B362" s="244"/>
      <c r="C362" s="4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  <c r="Z362" s="242"/>
      <c r="AA362" s="242"/>
      <c r="AB362" s="242"/>
      <c r="AC362" s="242"/>
      <c r="AD362" s="242"/>
      <c r="AE362" s="242"/>
      <c r="AF362" s="242"/>
      <c r="AG362" s="242"/>
      <c r="AH362" s="242"/>
      <c r="AI362" s="242"/>
      <c r="AJ362" s="242"/>
      <c r="AK362" s="242"/>
      <c r="AL362" s="242"/>
      <c r="AM362" s="242"/>
      <c r="AO362" s="4"/>
    </row>
    <row r="363" spans="1:41" ht="24.75" customHeight="1" x14ac:dyDescent="0.75">
      <c r="A363" s="243"/>
      <c r="B363" s="244"/>
      <c r="C363" s="4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  <c r="Z363" s="242"/>
      <c r="AA363" s="242"/>
      <c r="AB363" s="242"/>
      <c r="AC363" s="242"/>
      <c r="AD363" s="242"/>
      <c r="AE363" s="242"/>
      <c r="AF363" s="242"/>
      <c r="AG363" s="242"/>
      <c r="AH363" s="242"/>
      <c r="AI363" s="242"/>
      <c r="AJ363" s="242"/>
      <c r="AK363" s="242"/>
      <c r="AL363" s="242"/>
      <c r="AM363" s="242"/>
      <c r="AO363" s="4"/>
    </row>
    <row r="364" spans="1:41" ht="24.75" customHeight="1" x14ac:dyDescent="0.75">
      <c r="A364" s="243"/>
      <c r="B364" s="244"/>
      <c r="C364" s="4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  <c r="Z364" s="242"/>
      <c r="AA364" s="242"/>
      <c r="AB364" s="242"/>
      <c r="AC364" s="242"/>
      <c r="AD364" s="242"/>
      <c r="AE364" s="242"/>
      <c r="AF364" s="242"/>
      <c r="AG364" s="242"/>
      <c r="AH364" s="242"/>
      <c r="AI364" s="242"/>
      <c r="AJ364" s="242"/>
      <c r="AK364" s="242"/>
      <c r="AL364" s="242"/>
      <c r="AM364" s="242"/>
      <c r="AO364" s="4"/>
    </row>
    <row r="365" spans="1:41" ht="24.75" customHeight="1" x14ac:dyDescent="0.75">
      <c r="A365" s="243"/>
      <c r="B365" s="244"/>
      <c r="C365" s="4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  <c r="Z365" s="242"/>
      <c r="AA365" s="242"/>
      <c r="AB365" s="242"/>
      <c r="AC365" s="242"/>
      <c r="AD365" s="242"/>
      <c r="AE365" s="242"/>
      <c r="AF365" s="242"/>
      <c r="AG365" s="242"/>
      <c r="AH365" s="242"/>
      <c r="AI365" s="242"/>
      <c r="AJ365" s="242"/>
      <c r="AK365" s="242"/>
      <c r="AL365" s="242"/>
      <c r="AM365" s="242"/>
      <c r="AO365" s="4"/>
    </row>
    <row r="366" spans="1:41" ht="24.75" customHeight="1" x14ac:dyDescent="0.75">
      <c r="A366" s="243"/>
      <c r="B366" s="244"/>
      <c r="C366" s="4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  <c r="Z366" s="242"/>
      <c r="AA366" s="242"/>
      <c r="AB366" s="242"/>
      <c r="AC366" s="242"/>
      <c r="AD366" s="242"/>
      <c r="AE366" s="242"/>
      <c r="AF366" s="242"/>
      <c r="AG366" s="242"/>
      <c r="AH366" s="242"/>
      <c r="AI366" s="242"/>
      <c r="AJ366" s="242"/>
      <c r="AK366" s="242"/>
      <c r="AL366" s="242"/>
      <c r="AM366" s="242"/>
      <c r="AO366" s="4"/>
    </row>
    <row r="367" spans="1:41" ht="24.75" customHeight="1" x14ac:dyDescent="0.75">
      <c r="A367" s="243"/>
      <c r="B367" s="244"/>
      <c r="C367" s="4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  <c r="Z367" s="242"/>
      <c r="AA367" s="242"/>
      <c r="AB367" s="242"/>
      <c r="AC367" s="242"/>
      <c r="AD367" s="242"/>
      <c r="AE367" s="242"/>
      <c r="AF367" s="242"/>
      <c r="AG367" s="242"/>
      <c r="AH367" s="242"/>
      <c r="AI367" s="242"/>
      <c r="AJ367" s="242"/>
      <c r="AK367" s="242"/>
      <c r="AL367" s="242"/>
      <c r="AM367" s="242"/>
      <c r="AO367" s="4"/>
    </row>
    <row r="368" spans="1:41" ht="24.75" customHeight="1" x14ac:dyDescent="0.75">
      <c r="A368" s="243"/>
      <c r="B368" s="244"/>
      <c r="C368" s="4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  <c r="Z368" s="242"/>
      <c r="AA368" s="242"/>
      <c r="AB368" s="242"/>
      <c r="AC368" s="242"/>
      <c r="AD368" s="242"/>
      <c r="AE368" s="242"/>
      <c r="AF368" s="242"/>
      <c r="AG368" s="242"/>
      <c r="AH368" s="242"/>
      <c r="AI368" s="242"/>
      <c r="AJ368" s="242"/>
      <c r="AK368" s="242"/>
      <c r="AL368" s="242"/>
      <c r="AM368" s="242"/>
      <c r="AO368" s="4"/>
    </row>
    <row r="369" spans="1:41" ht="24.75" customHeight="1" x14ac:dyDescent="0.75">
      <c r="A369" s="243"/>
      <c r="B369" s="244"/>
      <c r="C369" s="4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  <c r="Z369" s="242"/>
      <c r="AA369" s="242"/>
      <c r="AB369" s="242"/>
      <c r="AC369" s="242"/>
      <c r="AD369" s="242"/>
      <c r="AE369" s="242"/>
      <c r="AF369" s="242"/>
      <c r="AG369" s="242"/>
      <c r="AH369" s="242"/>
      <c r="AI369" s="242"/>
      <c r="AJ369" s="242"/>
      <c r="AK369" s="242"/>
      <c r="AL369" s="242"/>
      <c r="AM369" s="242"/>
      <c r="AO369" s="4"/>
    </row>
    <row r="370" spans="1:41" ht="24.75" customHeight="1" x14ac:dyDescent="0.75">
      <c r="A370" s="243"/>
      <c r="B370" s="244"/>
      <c r="C370" s="4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  <c r="Z370" s="242"/>
      <c r="AA370" s="242"/>
      <c r="AB370" s="242"/>
      <c r="AC370" s="242"/>
      <c r="AD370" s="242"/>
      <c r="AE370" s="242"/>
      <c r="AF370" s="242"/>
      <c r="AG370" s="242"/>
      <c r="AH370" s="242"/>
      <c r="AI370" s="242"/>
      <c r="AJ370" s="242"/>
      <c r="AK370" s="242"/>
      <c r="AL370" s="242"/>
      <c r="AM370" s="242"/>
      <c r="AO370" s="4"/>
    </row>
    <row r="371" spans="1:41" ht="24.75" customHeight="1" x14ac:dyDescent="0.75">
      <c r="A371" s="243"/>
      <c r="B371" s="244"/>
      <c r="C371" s="4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  <c r="Z371" s="242"/>
      <c r="AA371" s="242"/>
      <c r="AB371" s="242"/>
      <c r="AC371" s="242"/>
      <c r="AD371" s="242"/>
      <c r="AE371" s="242"/>
      <c r="AF371" s="242"/>
      <c r="AG371" s="242"/>
      <c r="AH371" s="242"/>
      <c r="AI371" s="242"/>
      <c r="AJ371" s="242"/>
      <c r="AK371" s="242"/>
      <c r="AL371" s="242"/>
      <c r="AM371" s="242"/>
      <c r="AO371" s="4"/>
    </row>
    <row r="372" spans="1:41" ht="24.75" customHeight="1" x14ac:dyDescent="0.75">
      <c r="A372" s="243"/>
      <c r="B372" s="244"/>
      <c r="C372" s="4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  <c r="Z372" s="242"/>
      <c r="AA372" s="242"/>
      <c r="AB372" s="242"/>
      <c r="AC372" s="242"/>
      <c r="AD372" s="242"/>
      <c r="AE372" s="242"/>
      <c r="AF372" s="242"/>
      <c r="AG372" s="242"/>
      <c r="AH372" s="242"/>
      <c r="AI372" s="242"/>
      <c r="AJ372" s="242"/>
      <c r="AK372" s="242"/>
      <c r="AL372" s="242"/>
      <c r="AM372" s="242"/>
      <c r="AO372" s="4"/>
    </row>
    <row r="373" spans="1:41" ht="24.75" customHeight="1" x14ac:dyDescent="0.75">
      <c r="A373" s="243"/>
      <c r="B373" s="244"/>
      <c r="C373" s="4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  <c r="Z373" s="242"/>
      <c r="AA373" s="242"/>
      <c r="AB373" s="242"/>
      <c r="AC373" s="242"/>
      <c r="AD373" s="242"/>
      <c r="AE373" s="242"/>
      <c r="AF373" s="242"/>
      <c r="AG373" s="242"/>
      <c r="AH373" s="242"/>
      <c r="AI373" s="242"/>
      <c r="AJ373" s="242"/>
      <c r="AK373" s="242"/>
      <c r="AL373" s="242"/>
      <c r="AM373" s="242"/>
      <c r="AO373" s="4"/>
    </row>
    <row r="374" spans="1:41" ht="24.75" customHeight="1" x14ac:dyDescent="0.75">
      <c r="A374" s="243"/>
      <c r="B374" s="244"/>
      <c r="C374" s="4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  <c r="Z374" s="242"/>
      <c r="AA374" s="242"/>
      <c r="AB374" s="242"/>
      <c r="AC374" s="242"/>
      <c r="AD374" s="242"/>
      <c r="AE374" s="242"/>
      <c r="AF374" s="242"/>
      <c r="AG374" s="242"/>
      <c r="AH374" s="242"/>
      <c r="AI374" s="242"/>
      <c r="AJ374" s="242"/>
      <c r="AK374" s="242"/>
      <c r="AL374" s="242"/>
      <c r="AM374" s="242"/>
      <c r="AO374" s="4"/>
    </row>
    <row r="375" spans="1:41" ht="24.75" customHeight="1" x14ac:dyDescent="0.75">
      <c r="A375" s="243"/>
      <c r="B375" s="244"/>
      <c r="C375" s="4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  <c r="Z375" s="242"/>
      <c r="AA375" s="242"/>
      <c r="AB375" s="242"/>
      <c r="AC375" s="242"/>
      <c r="AD375" s="242"/>
      <c r="AE375" s="242"/>
      <c r="AF375" s="242"/>
      <c r="AG375" s="242"/>
      <c r="AH375" s="242"/>
      <c r="AI375" s="242"/>
      <c r="AJ375" s="242"/>
      <c r="AK375" s="242"/>
      <c r="AL375" s="242"/>
      <c r="AM375" s="242"/>
      <c r="AO375" s="4"/>
    </row>
    <row r="376" spans="1:41" ht="24.75" customHeight="1" x14ac:dyDescent="0.75">
      <c r="A376" s="243"/>
      <c r="B376" s="244"/>
      <c r="C376" s="4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  <c r="Z376" s="242"/>
      <c r="AA376" s="242"/>
      <c r="AB376" s="242"/>
      <c r="AC376" s="242"/>
      <c r="AD376" s="242"/>
      <c r="AE376" s="242"/>
      <c r="AF376" s="242"/>
      <c r="AG376" s="242"/>
      <c r="AH376" s="242"/>
      <c r="AI376" s="242"/>
      <c r="AJ376" s="242"/>
      <c r="AK376" s="242"/>
      <c r="AL376" s="242"/>
      <c r="AM376" s="242"/>
      <c r="AO376" s="4"/>
    </row>
    <row r="377" spans="1:41" ht="24.75" customHeight="1" x14ac:dyDescent="0.75">
      <c r="A377" s="243"/>
      <c r="B377" s="244"/>
      <c r="C377" s="4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  <c r="Z377" s="242"/>
      <c r="AA377" s="242"/>
      <c r="AB377" s="242"/>
      <c r="AC377" s="242"/>
      <c r="AD377" s="242"/>
      <c r="AE377" s="242"/>
      <c r="AF377" s="242"/>
      <c r="AG377" s="242"/>
      <c r="AH377" s="242"/>
      <c r="AI377" s="242"/>
      <c r="AJ377" s="242"/>
      <c r="AK377" s="242"/>
      <c r="AL377" s="242"/>
      <c r="AM377" s="242"/>
      <c r="AO377" s="4"/>
    </row>
    <row r="378" spans="1:41" ht="24.75" customHeight="1" x14ac:dyDescent="0.75">
      <c r="A378" s="243"/>
      <c r="B378" s="244"/>
      <c r="C378" s="4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  <c r="Z378" s="242"/>
      <c r="AA378" s="242"/>
      <c r="AB378" s="242"/>
      <c r="AC378" s="242"/>
      <c r="AD378" s="242"/>
      <c r="AE378" s="242"/>
      <c r="AF378" s="242"/>
      <c r="AG378" s="242"/>
      <c r="AH378" s="242"/>
      <c r="AI378" s="242"/>
      <c r="AJ378" s="242"/>
      <c r="AK378" s="242"/>
      <c r="AL378" s="242"/>
      <c r="AM378" s="242"/>
      <c r="AO378" s="4"/>
    </row>
    <row r="379" spans="1:41" ht="24.75" customHeight="1" x14ac:dyDescent="0.75">
      <c r="A379" s="243"/>
      <c r="B379" s="244"/>
      <c r="C379" s="4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  <c r="Z379" s="242"/>
      <c r="AA379" s="242"/>
      <c r="AB379" s="242"/>
      <c r="AC379" s="242"/>
      <c r="AD379" s="242"/>
      <c r="AE379" s="242"/>
      <c r="AF379" s="242"/>
      <c r="AG379" s="242"/>
      <c r="AH379" s="242"/>
      <c r="AI379" s="242"/>
      <c r="AJ379" s="242"/>
      <c r="AK379" s="242"/>
      <c r="AL379" s="242"/>
      <c r="AM379" s="242"/>
      <c r="AO379" s="4"/>
    </row>
    <row r="380" spans="1:41" ht="24.75" customHeight="1" x14ac:dyDescent="0.75">
      <c r="A380" s="243"/>
      <c r="B380" s="244"/>
      <c r="C380" s="4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  <c r="Z380" s="242"/>
      <c r="AA380" s="242"/>
      <c r="AB380" s="242"/>
      <c r="AC380" s="242"/>
      <c r="AD380" s="242"/>
      <c r="AE380" s="242"/>
      <c r="AF380" s="242"/>
      <c r="AG380" s="242"/>
      <c r="AH380" s="242"/>
      <c r="AI380" s="242"/>
      <c r="AJ380" s="242"/>
      <c r="AK380" s="242"/>
      <c r="AL380" s="242"/>
      <c r="AM380" s="242"/>
      <c r="AO380" s="4"/>
    </row>
    <row r="381" spans="1:41" ht="24.75" customHeight="1" x14ac:dyDescent="0.75">
      <c r="A381" s="243"/>
      <c r="B381" s="244"/>
      <c r="C381" s="4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  <c r="Z381" s="242"/>
      <c r="AA381" s="242"/>
      <c r="AB381" s="242"/>
      <c r="AC381" s="242"/>
      <c r="AD381" s="242"/>
      <c r="AE381" s="242"/>
      <c r="AF381" s="242"/>
      <c r="AG381" s="242"/>
      <c r="AH381" s="242"/>
      <c r="AI381" s="242"/>
      <c r="AJ381" s="242"/>
      <c r="AK381" s="242"/>
      <c r="AL381" s="242"/>
      <c r="AM381" s="242"/>
      <c r="AO381" s="4"/>
    </row>
    <row r="382" spans="1:41" ht="24.75" customHeight="1" x14ac:dyDescent="0.75">
      <c r="A382" s="243"/>
      <c r="B382" s="244"/>
      <c r="C382" s="4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  <c r="Z382" s="242"/>
      <c r="AA382" s="242"/>
      <c r="AB382" s="242"/>
      <c r="AC382" s="242"/>
      <c r="AD382" s="242"/>
      <c r="AE382" s="242"/>
      <c r="AF382" s="242"/>
      <c r="AG382" s="242"/>
      <c r="AH382" s="242"/>
      <c r="AI382" s="242"/>
      <c r="AJ382" s="242"/>
      <c r="AK382" s="242"/>
      <c r="AL382" s="242"/>
      <c r="AM382" s="242"/>
      <c r="AO382" s="4"/>
    </row>
    <row r="383" spans="1:41" ht="24.75" customHeight="1" x14ac:dyDescent="0.75">
      <c r="A383" s="243"/>
      <c r="B383" s="244"/>
      <c r="C383" s="4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  <c r="Z383" s="242"/>
      <c r="AA383" s="242"/>
      <c r="AB383" s="242"/>
      <c r="AC383" s="242"/>
      <c r="AD383" s="242"/>
      <c r="AE383" s="242"/>
      <c r="AF383" s="242"/>
      <c r="AG383" s="242"/>
      <c r="AH383" s="242"/>
      <c r="AI383" s="242"/>
      <c r="AJ383" s="242"/>
      <c r="AK383" s="242"/>
      <c r="AL383" s="242"/>
      <c r="AM383" s="242"/>
      <c r="AO383" s="4"/>
    </row>
    <row r="384" spans="1:41" ht="24.75" customHeight="1" x14ac:dyDescent="0.75">
      <c r="A384" s="243"/>
      <c r="B384" s="244"/>
      <c r="C384" s="4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  <c r="Z384" s="242"/>
      <c r="AA384" s="242"/>
      <c r="AB384" s="242"/>
      <c r="AC384" s="242"/>
      <c r="AD384" s="242"/>
      <c r="AE384" s="242"/>
      <c r="AF384" s="242"/>
      <c r="AG384" s="242"/>
      <c r="AH384" s="242"/>
      <c r="AI384" s="242"/>
      <c r="AJ384" s="242"/>
      <c r="AK384" s="242"/>
      <c r="AL384" s="242"/>
      <c r="AM384" s="242"/>
      <c r="AO384" s="4"/>
    </row>
    <row r="385" spans="1:41" ht="24.75" customHeight="1" x14ac:dyDescent="0.75">
      <c r="A385" s="243"/>
      <c r="B385" s="244"/>
      <c r="C385" s="4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  <c r="Z385" s="242"/>
      <c r="AA385" s="242"/>
      <c r="AB385" s="242"/>
      <c r="AC385" s="242"/>
      <c r="AD385" s="242"/>
      <c r="AE385" s="242"/>
      <c r="AF385" s="242"/>
      <c r="AG385" s="242"/>
      <c r="AH385" s="242"/>
      <c r="AI385" s="242"/>
      <c r="AJ385" s="242"/>
      <c r="AK385" s="242"/>
      <c r="AL385" s="242"/>
      <c r="AM385" s="242"/>
      <c r="AO385" s="4"/>
    </row>
    <row r="386" spans="1:41" ht="24.75" customHeight="1" x14ac:dyDescent="0.75">
      <c r="A386" s="243"/>
      <c r="B386" s="244"/>
      <c r="C386" s="4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  <c r="Z386" s="242"/>
      <c r="AA386" s="242"/>
      <c r="AB386" s="242"/>
      <c r="AC386" s="242"/>
      <c r="AD386" s="242"/>
      <c r="AE386" s="242"/>
      <c r="AF386" s="242"/>
      <c r="AG386" s="242"/>
      <c r="AH386" s="242"/>
      <c r="AI386" s="242"/>
      <c r="AJ386" s="242"/>
      <c r="AK386" s="242"/>
      <c r="AL386" s="242"/>
      <c r="AM386" s="242"/>
      <c r="AO386" s="4"/>
    </row>
    <row r="387" spans="1:41" ht="24.75" customHeight="1" x14ac:dyDescent="0.75">
      <c r="A387" s="243"/>
      <c r="B387" s="244"/>
      <c r="C387" s="4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  <c r="Z387" s="242"/>
      <c r="AA387" s="242"/>
      <c r="AB387" s="242"/>
      <c r="AC387" s="242"/>
      <c r="AD387" s="242"/>
      <c r="AE387" s="242"/>
      <c r="AF387" s="242"/>
      <c r="AG387" s="242"/>
      <c r="AH387" s="242"/>
      <c r="AI387" s="242"/>
      <c r="AJ387" s="242"/>
      <c r="AK387" s="242"/>
      <c r="AL387" s="242"/>
      <c r="AM387" s="242"/>
      <c r="AO387" s="4"/>
    </row>
    <row r="388" spans="1:41" ht="24.75" customHeight="1" x14ac:dyDescent="0.75">
      <c r="A388" s="243"/>
      <c r="B388" s="244"/>
      <c r="C388" s="4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  <c r="Z388" s="242"/>
      <c r="AA388" s="242"/>
      <c r="AB388" s="242"/>
      <c r="AC388" s="242"/>
      <c r="AD388" s="242"/>
      <c r="AE388" s="242"/>
      <c r="AF388" s="242"/>
      <c r="AG388" s="242"/>
      <c r="AH388" s="242"/>
      <c r="AI388" s="242"/>
      <c r="AJ388" s="242"/>
      <c r="AK388" s="242"/>
      <c r="AL388" s="242"/>
      <c r="AM388" s="242"/>
      <c r="AO388" s="4"/>
    </row>
    <row r="389" spans="1:41" ht="24.75" customHeight="1" x14ac:dyDescent="0.75">
      <c r="A389" s="243"/>
      <c r="B389" s="244"/>
      <c r="C389" s="4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  <c r="Z389" s="242"/>
      <c r="AA389" s="242"/>
      <c r="AB389" s="242"/>
      <c r="AC389" s="242"/>
      <c r="AD389" s="242"/>
      <c r="AE389" s="242"/>
      <c r="AF389" s="242"/>
      <c r="AG389" s="242"/>
      <c r="AH389" s="242"/>
      <c r="AI389" s="242"/>
      <c r="AJ389" s="242"/>
      <c r="AK389" s="242"/>
      <c r="AL389" s="242"/>
      <c r="AM389" s="242"/>
      <c r="AO389" s="4"/>
    </row>
    <row r="390" spans="1:41" ht="24.75" customHeight="1" x14ac:dyDescent="0.75">
      <c r="A390" s="243"/>
      <c r="B390" s="244"/>
      <c r="C390" s="4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  <c r="AA390" s="242"/>
      <c r="AB390" s="242"/>
      <c r="AC390" s="242"/>
      <c r="AD390" s="242"/>
      <c r="AE390" s="242"/>
      <c r="AF390" s="242"/>
      <c r="AG390" s="242"/>
      <c r="AH390" s="242"/>
      <c r="AI390" s="242"/>
      <c r="AJ390" s="242"/>
      <c r="AK390" s="242"/>
      <c r="AL390" s="242"/>
      <c r="AM390" s="242"/>
      <c r="AO390" s="4"/>
    </row>
    <row r="391" spans="1:41" ht="24.75" customHeight="1" x14ac:dyDescent="0.75">
      <c r="A391" s="243"/>
      <c r="B391" s="244"/>
      <c r="C391" s="4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  <c r="Z391" s="242"/>
      <c r="AA391" s="242"/>
      <c r="AB391" s="242"/>
      <c r="AC391" s="242"/>
      <c r="AD391" s="242"/>
      <c r="AE391" s="242"/>
      <c r="AF391" s="242"/>
      <c r="AG391" s="242"/>
      <c r="AH391" s="242"/>
      <c r="AI391" s="242"/>
      <c r="AJ391" s="242"/>
      <c r="AK391" s="242"/>
      <c r="AL391" s="242"/>
      <c r="AM391" s="242"/>
      <c r="AO391" s="4"/>
    </row>
    <row r="392" spans="1:41" ht="24.75" customHeight="1" x14ac:dyDescent="0.75">
      <c r="A392" s="243"/>
      <c r="B392" s="244"/>
      <c r="C392" s="4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  <c r="Z392" s="242"/>
      <c r="AA392" s="242"/>
      <c r="AB392" s="242"/>
      <c r="AC392" s="242"/>
      <c r="AD392" s="242"/>
      <c r="AE392" s="242"/>
      <c r="AF392" s="242"/>
      <c r="AG392" s="242"/>
      <c r="AH392" s="242"/>
      <c r="AI392" s="242"/>
      <c r="AJ392" s="242"/>
      <c r="AK392" s="242"/>
      <c r="AL392" s="242"/>
      <c r="AM392" s="242"/>
      <c r="AO392" s="4"/>
    </row>
    <row r="393" spans="1:41" ht="24.75" customHeight="1" x14ac:dyDescent="0.75">
      <c r="A393" s="243"/>
      <c r="B393" s="244"/>
      <c r="C393" s="4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  <c r="Z393" s="242"/>
      <c r="AA393" s="242"/>
      <c r="AB393" s="242"/>
      <c r="AC393" s="242"/>
      <c r="AD393" s="242"/>
      <c r="AE393" s="242"/>
      <c r="AF393" s="242"/>
      <c r="AG393" s="242"/>
      <c r="AH393" s="242"/>
      <c r="AI393" s="242"/>
      <c r="AJ393" s="242"/>
      <c r="AK393" s="242"/>
      <c r="AL393" s="242"/>
      <c r="AM393" s="242"/>
      <c r="AO393" s="4"/>
    </row>
    <row r="394" spans="1:41" ht="24.75" customHeight="1" x14ac:dyDescent="0.75">
      <c r="A394" s="243"/>
      <c r="B394" s="244"/>
      <c r="C394" s="4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  <c r="Z394" s="242"/>
      <c r="AA394" s="242"/>
      <c r="AB394" s="242"/>
      <c r="AC394" s="242"/>
      <c r="AD394" s="242"/>
      <c r="AE394" s="242"/>
      <c r="AF394" s="242"/>
      <c r="AG394" s="242"/>
      <c r="AH394" s="242"/>
      <c r="AI394" s="242"/>
      <c r="AJ394" s="242"/>
      <c r="AK394" s="242"/>
      <c r="AL394" s="242"/>
      <c r="AM394" s="242"/>
      <c r="AO394" s="4"/>
    </row>
    <row r="395" spans="1:41" ht="24.75" customHeight="1" x14ac:dyDescent="0.75">
      <c r="A395" s="243"/>
      <c r="B395" s="244"/>
      <c r="C395" s="4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  <c r="Z395" s="242"/>
      <c r="AA395" s="242"/>
      <c r="AB395" s="242"/>
      <c r="AC395" s="242"/>
      <c r="AD395" s="242"/>
      <c r="AE395" s="242"/>
      <c r="AF395" s="242"/>
      <c r="AG395" s="242"/>
      <c r="AH395" s="242"/>
      <c r="AI395" s="242"/>
      <c r="AJ395" s="242"/>
      <c r="AK395" s="242"/>
      <c r="AL395" s="242"/>
      <c r="AM395" s="242"/>
      <c r="AO395" s="4"/>
    </row>
    <row r="396" spans="1:41" ht="24.75" customHeight="1" x14ac:dyDescent="0.75">
      <c r="A396" s="243"/>
      <c r="B396" s="244"/>
      <c r="C396" s="4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  <c r="Z396" s="242"/>
      <c r="AA396" s="242"/>
      <c r="AB396" s="242"/>
      <c r="AC396" s="242"/>
      <c r="AD396" s="242"/>
      <c r="AE396" s="242"/>
      <c r="AF396" s="242"/>
      <c r="AG396" s="242"/>
      <c r="AH396" s="242"/>
      <c r="AI396" s="242"/>
      <c r="AJ396" s="242"/>
      <c r="AK396" s="242"/>
      <c r="AL396" s="242"/>
      <c r="AM396" s="242"/>
      <c r="AO396" s="4"/>
    </row>
    <row r="397" spans="1:41" ht="24.75" customHeight="1" x14ac:dyDescent="0.75">
      <c r="A397" s="243"/>
      <c r="B397" s="244"/>
      <c r="C397" s="4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  <c r="AA397" s="242"/>
      <c r="AB397" s="242"/>
      <c r="AC397" s="242"/>
      <c r="AD397" s="242"/>
      <c r="AE397" s="242"/>
      <c r="AF397" s="242"/>
      <c r="AG397" s="242"/>
      <c r="AH397" s="242"/>
      <c r="AI397" s="242"/>
      <c r="AJ397" s="242"/>
      <c r="AK397" s="242"/>
      <c r="AL397" s="242"/>
      <c r="AM397" s="242"/>
      <c r="AO397" s="4"/>
    </row>
    <row r="398" spans="1:41" ht="24.75" customHeight="1" x14ac:dyDescent="0.75">
      <c r="A398" s="243"/>
      <c r="B398" s="244"/>
      <c r="C398" s="4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  <c r="Z398" s="242"/>
      <c r="AA398" s="242"/>
      <c r="AB398" s="242"/>
      <c r="AC398" s="242"/>
      <c r="AD398" s="242"/>
      <c r="AE398" s="242"/>
      <c r="AF398" s="242"/>
      <c r="AG398" s="242"/>
      <c r="AH398" s="242"/>
      <c r="AI398" s="242"/>
      <c r="AJ398" s="242"/>
      <c r="AK398" s="242"/>
      <c r="AL398" s="242"/>
      <c r="AM398" s="242"/>
      <c r="AO398" s="4"/>
    </row>
    <row r="399" spans="1:41" ht="24.75" customHeight="1" x14ac:dyDescent="0.75">
      <c r="A399" s="243"/>
      <c r="B399" s="244"/>
      <c r="C399" s="4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  <c r="Z399" s="242"/>
      <c r="AA399" s="242"/>
      <c r="AB399" s="242"/>
      <c r="AC399" s="242"/>
      <c r="AD399" s="242"/>
      <c r="AE399" s="242"/>
      <c r="AF399" s="242"/>
      <c r="AG399" s="242"/>
      <c r="AH399" s="242"/>
      <c r="AI399" s="242"/>
      <c r="AJ399" s="242"/>
      <c r="AK399" s="242"/>
      <c r="AL399" s="242"/>
      <c r="AM399" s="242"/>
      <c r="AO399" s="4"/>
    </row>
    <row r="400" spans="1:41" ht="24.75" customHeight="1" x14ac:dyDescent="0.75">
      <c r="A400" s="243"/>
      <c r="B400" s="244"/>
      <c r="C400" s="4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  <c r="Z400" s="242"/>
      <c r="AA400" s="242"/>
      <c r="AB400" s="242"/>
      <c r="AC400" s="242"/>
      <c r="AD400" s="242"/>
      <c r="AE400" s="242"/>
      <c r="AF400" s="242"/>
      <c r="AG400" s="242"/>
      <c r="AH400" s="242"/>
      <c r="AI400" s="242"/>
      <c r="AJ400" s="242"/>
      <c r="AK400" s="242"/>
      <c r="AL400" s="242"/>
      <c r="AM400" s="242"/>
      <c r="AO400" s="4"/>
    </row>
    <row r="401" spans="1:41" ht="24.75" customHeight="1" x14ac:dyDescent="0.75">
      <c r="A401" s="243"/>
      <c r="B401" s="244"/>
      <c r="C401" s="4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  <c r="Z401" s="242"/>
      <c r="AA401" s="242"/>
      <c r="AB401" s="242"/>
      <c r="AC401" s="242"/>
      <c r="AD401" s="242"/>
      <c r="AE401" s="242"/>
      <c r="AF401" s="242"/>
      <c r="AG401" s="242"/>
      <c r="AH401" s="242"/>
      <c r="AI401" s="242"/>
      <c r="AJ401" s="242"/>
      <c r="AK401" s="242"/>
      <c r="AL401" s="242"/>
      <c r="AM401" s="242"/>
      <c r="AO401" s="4"/>
    </row>
    <row r="402" spans="1:41" ht="24.75" customHeight="1" x14ac:dyDescent="0.75">
      <c r="A402" s="243"/>
      <c r="B402" s="244"/>
      <c r="C402" s="4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  <c r="Z402" s="242"/>
      <c r="AA402" s="242"/>
      <c r="AB402" s="242"/>
      <c r="AC402" s="242"/>
      <c r="AD402" s="242"/>
      <c r="AE402" s="242"/>
      <c r="AF402" s="242"/>
      <c r="AG402" s="242"/>
      <c r="AH402" s="242"/>
      <c r="AI402" s="242"/>
      <c r="AJ402" s="242"/>
      <c r="AK402" s="242"/>
      <c r="AL402" s="242"/>
      <c r="AM402" s="242"/>
      <c r="AO402" s="4"/>
    </row>
    <row r="403" spans="1:41" ht="24.75" customHeight="1" x14ac:dyDescent="0.75">
      <c r="A403" s="243"/>
      <c r="B403" s="244"/>
      <c r="C403" s="4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  <c r="Z403" s="242"/>
      <c r="AA403" s="242"/>
      <c r="AB403" s="242"/>
      <c r="AC403" s="242"/>
      <c r="AD403" s="242"/>
      <c r="AE403" s="242"/>
      <c r="AF403" s="242"/>
      <c r="AG403" s="242"/>
      <c r="AH403" s="242"/>
      <c r="AI403" s="242"/>
      <c r="AJ403" s="242"/>
      <c r="AK403" s="242"/>
      <c r="AL403" s="242"/>
      <c r="AM403" s="242"/>
      <c r="AO403" s="4"/>
    </row>
    <row r="404" spans="1:41" ht="24.75" customHeight="1" x14ac:dyDescent="0.75">
      <c r="A404" s="243"/>
      <c r="B404" s="244"/>
      <c r="C404" s="4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  <c r="AA404" s="242"/>
      <c r="AB404" s="242"/>
      <c r="AC404" s="242"/>
      <c r="AD404" s="242"/>
      <c r="AE404" s="242"/>
      <c r="AF404" s="242"/>
      <c r="AG404" s="242"/>
      <c r="AH404" s="242"/>
      <c r="AI404" s="242"/>
      <c r="AJ404" s="242"/>
      <c r="AK404" s="242"/>
      <c r="AL404" s="242"/>
      <c r="AM404" s="242"/>
      <c r="AO404" s="4"/>
    </row>
    <row r="405" spans="1:41" ht="24.75" customHeight="1" x14ac:dyDescent="0.75">
      <c r="A405" s="243"/>
      <c r="B405" s="244"/>
      <c r="C405" s="4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  <c r="AA405" s="242"/>
      <c r="AB405" s="242"/>
      <c r="AC405" s="242"/>
      <c r="AD405" s="242"/>
      <c r="AE405" s="242"/>
      <c r="AF405" s="242"/>
      <c r="AG405" s="242"/>
      <c r="AH405" s="242"/>
      <c r="AI405" s="242"/>
      <c r="AJ405" s="242"/>
      <c r="AK405" s="242"/>
      <c r="AL405" s="242"/>
      <c r="AM405" s="242"/>
      <c r="AO405" s="4"/>
    </row>
    <row r="406" spans="1:41" ht="24.75" customHeight="1" x14ac:dyDescent="0.75">
      <c r="A406" s="243"/>
      <c r="B406" s="244"/>
      <c r="C406" s="4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  <c r="Z406" s="242"/>
      <c r="AA406" s="242"/>
      <c r="AB406" s="242"/>
      <c r="AC406" s="242"/>
      <c r="AD406" s="242"/>
      <c r="AE406" s="242"/>
      <c r="AF406" s="242"/>
      <c r="AG406" s="242"/>
      <c r="AH406" s="242"/>
      <c r="AI406" s="242"/>
      <c r="AJ406" s="242"/>
      <c r="AK406" s="242"/>
      <c r="AL406" s="242"/>
      <c r="AM406" s="242"/>
      <c r="AO406" s="4"/>
    </row>
    <row r="407" spans="1:41" ht="24.75" customHeight="1" x14ac:dyDescent="0.75">
      <c r="A407" s="243"/>
      <c r="B407" s="244"/>
      <c r="C407" s="4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  <c r="Z407" s="242"/>
      <c r="AA407" s="242"/>
      <c r="AB407" s="242"/>
      <c r="AC407" s="242"/>
      <c r="AD407" s="242"/>
      <c r="AE407" s="242"/>
      <c r="AF407" s="242"/>
      <c r="AG407" s="242"/>
      <c r="AH407" s="242"/>
      <c r="AI407" s="242"/>
      <c r="AJ407" s="242"/>
      <c r="AK407" s="242"/>
      <c r="AL407" s="242"/>
      <c r="AM407" s="242"/>
      <c r="AO407" s="4"/>
    </row>
    <row r="408" spans="1:41" ht="24.75" customHeight="1" x14ac:dyDescent="0.75">
      <c r="A408" s="243"/>
      <c r="B408" s="244"/>
      <c r="C408" s="4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  <c r="Z408" s="242"/>
      <c r="AA408" s="242"/>
      <c r="AB408" s="242"/>
      <c r="AC408" s="242"/>
      <c r="AD408" s="242"/>
      <c r="AE408" s="242"/>
      <c r="AF408" s="242"/>
      <c r="AG408" s="242"/>
      <c r="AH408" s="242"/>
      <c r="AI408" s="242"/>
      <c r="AJ408" s="242"/>
      <c r="AK408" s="242"/>
      <c r="AL408" s="242"/>
      <c r="AM408" s="242"/>
      <c r="AO408" s="4"/>
    </row>
    <row r="409" spans="1:41" ht="24.75" customHeight="1" x14ac:dyDescent="0.75">
      <c r="A409" s="243"/>
      <c r="B409" s="244"/>
      <c r="C409" s="4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  <c r="Z409" s="242"/>
      <c r="AA409" s="242"/>
      <c r="AB409" s="242"/>
      <c r="AC409" s="242"/>
      <c r="AD409" s="242"/>
      <c r="AE409" s="242"/>
      <c r="AF409" s="242"/>
      <c r="AG409" s="242"/>
      <c r="AH409" s="242"/>
      <c r="AI409" s="242"/>
      <c r="AJ409" s="242"/>
      <c r="AK409" s="242"/>
      <c r="AL409" s="242"/>
      <c r="AM409" s="242"/>
      <c r="AO409" s="4"/>
    </row>
    <row r="410" spans="1:41" ht="24.75" customHeight="1" x14ac:dyDescent="0.75">
      <c r="A410" s="243"/>
      <c r="B410" s="244"/>
      <c r="C410" s="4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  <c r="Z410" s="242"/>
      <c r="AA410" s="242"/>
      <c r="AB410" s="242"/>
      <c r="AC410" s="242"/>
      <c r="AD410" s="242"/>
      <c r="AE410" s="242"/>
      <c r="AF410" s="242"/>
      <c r="AG410" s="242"/>
      <c r="AH410" s="242"/>
      <c r="AI410" s="242"/>
      <c r="AJ410" s="242"/>
      <c r="AK410" s="242"/>
      <c r="AL410" s="242"/>
      <c r="AM410" s="242"/>
      <c r="AO410" s="4"/>
    </row>
    <row r="411" spans="1:41" ht="24.75" customHeight="1" x14ac:dyDescent="0.75">
      <c r="A411" s="243"/>
      <c r="B411" s="244"/>
      <c r="C411" s="4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  <c r="Z411" s="242"/>
      <c r="AA411" s="242"/>
      <c r="AB411" s="242"/>
      <c r="AC411" s="242"/>
      <c r="AD411" s="242"/>
      <c r="AE411" s="242"/>
      <c r="AF411" s="242"/>
      <c r="AG411" s="242"/>
      <c r="AH411" s="242"/>
      <c r="AI411" s="242"/>
      <c r="AJ411" s="242"/>
      <c r="AK411" s="242"/>
      <c r="AL411" s="242"/>
      <c r="AM411" s="242"/>
      <c r="AO411" s="4"/>
    </row>
    <row r="412" spans="1:41" ht="24.75" customHeight="1" x14ac:dyDescent="0.75">
      <c r="A412" s="243"/>
      <c r="B412" s="244"/>
      <c r="C412" s="4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  <c r="Z412" s="242"/>
      <c r="AA412" s="242"/>
      <c r="AB412" s="242"/>
      <c r="AC412" s="242"/>
      <c r="AD412" s="242"/>
      <c r="AE412" s="242"/>
      <c r="AF412" s="242"/>
      <c r="AG412" s="242"/>
      <c r="AH412" s="242"/>
      <c r="AI412" s="242"/>
      <c r="AJ412" s="242"/>
      <c r="AK412" s="242"/>
      <c r="AL412" s="242"/>
      <c r="AM412" s="242"/>
      <c r="AO412" s="4"/>
    </row>
    <row r="413" spans="1:41" ht="24.75" customHeight="1" x14ac:dyDescent="0.75">
      <c r="A413" s="243"/>
      <c r="B413" s="244"/>
      <c r="C413" s="4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  <c r="Z413" s="242"/>
      <c r="AA413" s="242"/>
      <c r="AB413" s="242"/>
      <c r="AC413" s="242"/>
      <c r="AD413" s="242"/>
      <c r="AE413" s="242"/>
      <c r="AF413" s="242"/>
      <c r="AG413" s="242"/>
      <c r="AH413" s="242"/>
      <c r="AI413" s="242"/>
      <c r="AJ413" s="242"/>
      <c r="AK413" s="242"/>
      <c r="AL413" s="242"/>
      <c r="AM413" s="242"/>
      <c r="AO413" s="4"/>
    </row>
    <row r="414" spans="1:41" ht="24.75" customHeight="1" x14ac:dyDescent="0.75">
      <c r="A414" s="243"/>
      <c r="B414" s="244"/>
      <c r="C414" s="4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  <c r="Z414" s="242"/>
      <c r="AA414" s="242"/>
      <c r="AB414" s="242"/>
      <c r="AC414" s="242"/>
      <c r="AD414" s="242"/>
      <c r="AE414" s="242"/>
      <c r="AF414" s="242"/>
      <c r="AG414" s="242"/>
      <c r="AH414" s="242"/>
      <c r="AI414" s="242"/>
      <c r="AJ414" s="242"/>
      <c r="AK414" s="242"/>
      <c r="AL414" s="242"/>
      <c r="AM414" s="242"/>
      <c r="AO414" s="4"/>
    </row>
    <row r="415" spans="1:41" ht="24.75" customHeight="1" x14ac:dyDescent="0.75">
      <c r="A415" s="243"/>
      <c r="B415" s="244"/>
      <c r="C415" s="4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  <c r="Z415" s="242"/>
      <c r="AA415" s="242"/>
      <c r="AB415" s="242"/>
      <c r="AC415" s="242"/>
      <c r="AD415" s="242"/>
      <c r="AE415" s="242"/>
      <c r="AF415" s="242"/>
      <c r="AG415" s="242"/>
      <c r="AH415" s="242"/>
      <c r="AI415" s="242"/>
      <c r="AJ415" s="242"/>
      <c r="AK415" s="242"/>
      <c r="AL415" s="242"/>
      <c r="AM415" s="242"/>
      <c r="AO415" s="4"/>
    </row>
    <row r="416" spans="1:41" ht="24.75" customHeight="1" x14ac:dyDescent="0.75">
      <c r="A416" s="243"/>
      <c r="B416" s="244"/>
      <c r="C416" s="4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  <c r="Z416" s="242"/>
      <c r="AA416" s="242"/>
      <c r="AB416" s="242"/>
      <c r="AC416" s="242"/>
      <c r="AD416" s="242"/>
      <c r="AE416" s="242"/>
      <c r="AF416" s="242"/>
      <c r="AG416" s="242"/>
      <c r="AH416" s="242"/>
      <c r="AI416" s="242"/>
      <c r="AJ416" s="242"/>
      <c r="AK416" s="242"/>
      <c r="AL416" s="242"/>
      <c r="AM416" s="242"/>
      <c r="AO416" s="4"/>
    </row>
    <row r="417" spans="1:41" ht="24.75" customHeight="1" x14ac:dyDescent="0.75">
      <c r="A417" s="243"/>
      <c r="B417" s="244"/>
      <c r="C417" s="4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  <c r="Z417" s="242"/>
      <c r="AA417" s="242"/>
      <c r="AB417" s="242"/>
      <c r="AC417" s="242"/>
      <c r="AD417" s="242"/>
      <c r="AE417" s="242"/>
      <c r="AF417" s="242"/>
      <c r="AG417" s="242"/>
      <c r="AH417" s="242"/>
      <c r="AI417" s="242"/>
      <c r="AJ417" s="242"/>
      <c r="AK417" s="242"/>
      <c r="AL417" s="242"/>
      <c r="AM417" s="242"/>
      <c r="AO417" s="4"/>
    </row>
    <row r="418" spans="1:41" ht="24.75" customHeight="1" x14ac:dyDescent="0.75">
      <c r="A418" s="243"/>
      <c r="B418" s="244"/>
      <c r="C418" s="4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  <c r="Z418" s="242"/>
      <c r="AA418" s="242"/>
      <c r="AB418" s="242"/>
      <c r="AC418" s="242"/>
      <c r="AD418" s="242"/>
      <c r="AE418" s="242"/>
      <c r="AF418" s="242"/>
      <c r="AG418" s="242"/>
      <c r="AH418" s="242"/>
      <c r="AI418" s="242"/>
      <c r="AJ418" s="242"/>
      <c r="AK418" s="242"/>
      <c r="AL418" s="242"/>
      <c r="AM418" s="242"/>
      <c r="AO418" s="4"/>
    </row>
    <row r="419" spans="1:41" ht="24.75" customHeight="1" x14ac:dyDescent="0.75">
      <c r="A419" s="243"/>
      <c r="B419" s="244"/>
      <c r="C419" s="4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  <c r="Z419" s="242"/>
      <c r="AA419" s="242"/>
      <c r="AB419" s="242"/>
      <c r="AC419" s="242"/>
      <c r="AD419" s="242"/>
      <c r="AE419" s="242"/>
      <c r="AF419" s="242"/>
      <c r="AG419" s="242"/>
      <c r="AH419" s="242"/>
      <c r="AI419" s="242"/>
      <c r="AJ419" s="242"/>
      <c r="AK419" s="242"/>
      <c r="AL419" s="242"/>
      <c r="AM419" s="242"/>
      <c r="AO419" s="4"/>
    </row>
    <row r="420" spans="1:41" ht="24.75" customHeight="1" x14ac:dyDescent="0.75">
      <c r="A420" s="243"/>
      <c r="B420" s="244"/>
      <c r="C420" s="4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  <c r="Z420" s="242"/>
      <c r="AA420" s="242"/>
      <c r="AB420" s="242"/>
      <c r="AC420" s="242"/>
      <c r="AD420" s="242"/>
      <c r="AE420" s="242"/>
      <c r="AF420" s="242"/>
      <c r="AG420" s="242"/>
      <c r="AH420" s="242"/>
      <c r="AI420" s="242"/>
      <c r="AJ420" s="242"/>
      <c r="AK420" s="242"/>
      <c r="AL420" s="242"/>
      <c r="AM420" s="242"/>
      <c r="AO420" s="4"/>
    </row>
    <row r="421" spans="1:41" ht="24.75" customHeight="1" x14ac:dyDescent="0.75">
      <c r="A421" s="243"/>
      <c r="B421" s="244"/>
      <c r="C421" s="4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  <c r="Z421" s="242"/>
      <c r="AA421" s="242"/>
      <c r="AB421" s="242"/>
      <c r="AC421" s="242"/>
      <c r="AD421" s="242"/>
      <c r="AE421" s="242"/>
      <c r="AF421" s="242"/>
      <c r="AG421" s="242"/>
      <c r="AH421" s="242"/>
      <c r="AI421" s="242"/>
      <c r="AJ421" s="242"/>
      <c r="AK421" s="242"/>
      <c r="AL421" s="242"/>
      <c r="AM421" s="242"/>
      <c r="AO421" s="4"/>
    </row>
    <row r="422" spans="1:41" ht="24.75" customHeight="1" x14ac:dyDescent="0.75">
      <c r="A422" s="243"/>
      <c r="B422" s="244"/>
      <c r="C422" s="4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  <c r="Z422" s="242"/>
      <c r="AA422" s="242"/>
      <c r="AB422" s="242"/>
      <c r="AC422" s="242"/>
      <c r="AD422" s="242"/>
      <c r="AE422" s="242"/>
      <c r="AF422" s="242"/>
      <c r="AG422" s="242"/>
      <c r="AH422" s="242"/>
      <c r="AI422" s="242"/>
      <c r="AJ422" s="242"/>
      <c r="AK422" s="242"/>
      <c r="AL422" s="242"/>
      <c r="AM422" s="242"/>
      <c r="AO422" s="4"/>
    </row>
    <row r="423" spans="1:41" ht="24.75" customHeight="1" x14ac:dyDescent="0.75">
      <c r="A423" s="243"/>
      <c r="B423" s="244"/>
      <c r="C423" s="4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  <c r="Z423" s="242"/>
      <c r="AA423" s="242"/>
      <c r="AB423" s="242"/>
      <c r="AC423" s="242"/>
      <c r="AD423" s="242"/>
      <c r="AE423" s="242"/>
      <c r="AF423" s="242"/>
      <c r="AG423" s="242"/>
      <c r="AH423" s="242"/>
      <c r="AI423" s="242"/>
      <c r="AJ423" s="242"/>
      <c r="AK423" s="242"/>
      <c r="AL423" s="242"/>
      <c r="AM423" s="242"/>
      <c r="AO423" s="4"/>
    </row>
    <row r="424" spans="1:41" ht="24.75" customHeight="1" x14ac:dyDescent="0.75">
      <c r="A424" s="243"/>
      <c r="B424" s="244"/>
      <c r="C424" s="4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  <c r="Z424" s="242"/>
      <c r="AA424" s="242"/>
      <c r="AB424" s="242"/>
      <c r="AC424" s="242"/>
      <c r="AD424" s="242"/>
      <c r="AE424" s="242"/>
      <c r="AF424" s="242"/>
      <c r="AG424" s="242"/>
      <c r="AH424" s="242"/>
      <c r="AI424" s="242"/>
      <c r="AJ424" s="242"/>
      <c r="AK424" s="242"/>
      <c r="AL424" s="242"/>
      <c r="AM424" s="242"/>
      <c r="AO424" s="4"/>
    </row>
    <row r="425" spans="1:41" ht="24.75" customHeight="1" x14ac:dyDescent="0.75">
      <c r="A425" s="243"/>
      <c r="B425" s="244"/>
      <c r="C425" s="4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  <c r="Z425" s="242"/>
      <c r="AA425" s="242"/>
      <c r="AB425" s="242"/>
      <c r="AC425" s="242"/>
      <c r="AD425" s="242"/>
      <c r="AE425" s="242"/>
      <c r="AF425" s="242"/>
      <c r="AG425" s="242"/>
      <c r="AH425" s="242"/>
      <c r="AI425" s="242"/>
      <c r="AJ425" s="242"/>
      <c r="AK425" s="242"/>
      <c r="AL425" s="242"/>
      <c r="AM425" s="242"/>
      <c r="AO425" s="4"/>
    </row>
    <row r="426" spans="1:41" ht="24.75" customHeight="1" x14ac:dyDescent="0.75">
      <c r="A426" s="243"/>
      <c r="B426" s="244"/>
      <c r="C426" s="4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  <c r="Z426" s="242"/>
      <c r="AA426" s="242"/>
      <c r="AB426" s="242"/>
      <c r="AC426" s="242"/>
      <c r="AD426" s="242"/>
      <c r="AE426" s="242"/>
      <c r="AF426" s="242"/>
      <c r="AG426" s="242"/>
      <c r="AH426" s="242"/>
      <c r="AI426" s="242"/>
      <c r="AJ426" s="242"/>
      <c r="AK426" s="242"/>
      <c r="AL426" s="242"/>
      <c r="AM426" s="242"/>
      <c r="AO426" s="4"/>
    </row>
    <row r="427" spans="1:41" ht="24.75" customHeight="1" x14ac:dyDescent="0.75">
      <c r="A427" s="243"/>
      <c r="B427" s="244"/>
      <c r="C427" s="4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  <c r="Z427" s="242"/>
      <c r="AA427" s="242"/>
      <c r="AB427" s="242"/>
      <c r="AC427" s="242"/>
      <c r="AD427" s="242"/>
      <c r="AE427" s="242"/>
      <c r="AF427" s="242"/>
      <c r="AG427" s="242"/>
      <c r="AH427" s="242"/>
      <c r="AI427" s="242"/>
      <c r="AJ427" s="242"/>
      <c r="AK427" s="242"/>
      <c r="AL427" s="242"/>
      <c r="AM427" s="242"/>
      <c r="AO427" s="4"/>
    </row>
    <row r="428" spans="1:41" ht="24.75" customHeight="1" x14ac:dyDescent="0.75">
      <c r="A428" s="243"/>
      <c r="B428" s="244"/>
      <c r="C428" s="4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  <c r="Z428" s="242"/>
      <c r="AA428" s="242"/>
      <c r="AB428" s="242"/>
      <c r="AC428" s="242"/>
      <c r="AD428" s="242"/>
      <c r="AE428" s="242"/>
      <c r="AF428" s="242"/>
      <c r="AG428" s="242"/>
      <c r="AH428" s="242"/>
      <c r="AI428" s="242"/>
      <c r="AJ428" s="242"/>
      <c r="AK428" s="242"/>
      <c r="AL428" s="242"/>
      <c r="AM428" s="242"/>
      <c r="AO428" s="4"/>
    </row>
    <row r="429" spans="1:41" ht="24.75" customHeight="1" x14ac:dyDescent="0.75">
      <c r="A429" s="243"/>
      <c r="B429" s="244"/>
      <c r="C429" s="4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  <c r="Z429" s="242"/>
      <c r="AA429" s="242"/>
      <c r="AB429" s="242"/>
      <c r="AC429" s="242"/>
      <c r="AD429" s="242"/>
      <c r="AE429" s="242"/>
      <c r="AF429" s="242"/>
      <c r="AG429" s="242"/>
      <c r="AH429" s="242"/>
      <c r="AI429" s="242"/>
      <c r="AJ429" s="242"/>
      <c r="AK429" s="242"/>
      <c r="AL429" s="242"/>
      <c r="AM429" s="242"/>
      <c r="AO429" s="4"/>
    </row>
    <row r="430" spans="1:41" ht="24.75" customHeight="1" x14ac:dyDescent="0.75">
      <c r="A430" s="243"/>
      <c r="B430" s="244"/>
      <c r="C430" s="4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  <c r="Z430" s="242"/>
      <c r="AA430" s="242"/>
      <c r="AB430" s="242"/>
      <c r="AC430" s="242"/>
      <c r="AD430" s="242"/>
      <c r="AE430" s="242"/>
      <c r="AF430" s="242"/>
      <c r="AG430" s="242"/>
      <c r="AH430" s="242"/>
      <c r="AI430" s="242"/>
      <c r="AJ430" s="242"/>
      <c r="AK430" s="242"/>
      <c r="AL430" s="242"/>
      <c r="AM430" s="242"/>
      <c r="AO430" s="4"/>
    </row>
    <row r="431" spans="1:41" ht="24.75" customHeight="1" x14ac:dyDescent="0.75">
      <c r="A431" s="243"/>
      <c r="B431" s="244"/>
      <c r="C431" s="4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  <c r="Z431" s="242"/>
      <c r="AA431" s="242"/>
      <c r="AB431" s="242"/>
      <c r="AC431" s="242"/>
      <c r="AD431" s="242"/>
      <c r="AE431" s="242"/>
      <c r="AF431" s="242"/>
      <c r="AG431" s="242"/>
      <c r="AH431" s="242"/>
      <c r="AI431" s="242"/>
      <c r="AJ431" s="242"/>
      <c r="AK431" s="242"/>
      <c r="AL431" s="242"/>
      <c r="AM431" s="242"/>
      <c r="AO431" s="4"/>
    </row>
    <row r="432" spans="1:41" ht="24.75" customHeight="1" x14ac:dyDescent="0.75">
      <c r="A432" s="243"/>
      <c r="B432" s="244"/>
      <c r="C432" s="4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  <c r="Z432" s="242"/>
      <c r="AA432" s="242"/>
      <c r="AB432" s="242"/>
      <c r="AC432" s="242"/>
      <c r="AD432" s="242"/>
      <c r="AE432" s="242"/>
      <c r="AF432" s="242"/>
      <c r="AG432" s="242"/>
      <c r="AH432" s="242"/>
      <c r="AI432" s="242"/>
      <c r="AJ432" s="242"/>
      <c r="AK432" s="242"/>
      <c r="AL432" s="242"/>
      <c r="AM432" s="242"/>
      <c r="AO432" s="4"/>
    </row>
    <row r="433" spans="1:41" ht="24.75" customHeight="1" x14ac:dyDescent="0.75">
      <c r="A433" s="243"/>
      <c r="B433" s="244"/>
      <c r="C433" s="4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  <c r="Z433" s="242"/>
      <c r="AA433" s="242"/>
      <c r="AB433" s="242"/>
      <c r="AC433" s="242"/>
      <c r="AD433" s="242"/>
      <c r="AE433" s="242"/>
      <c r="AF433" s="242"/>
      <c r="AG433" s="242"/>
      <c r="AH433" s="242"/>
      <c r="AI433" s="242"/>
      <c r="AJ433" s="242"/>
      <c r="AK433" s="242"/>
      <c r="AL433" s="242"/>
      <c r="AM433" s="242"/>
      <c r="AO433" s="4"/>
    </row>
    <row r="434" spans="1:41" ht="24.75" customHeight="1" x14ac:dyDescent="0.75">
      <c r="A434" s="243"/>
      <c r="B434" s="244"/>
      <c r="C434" s="4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  <c r="Z434" s="242"/>
      <c r="AA434" s="242"/>
      <c r="AB434" s="242"/>
      <c r="AC434" s="242"/>
      <c r="AD434" s="242"/>
      <c r="AE434" s="242"/>
      <c r="AF434" s="242"/>
      <c r="AG434" s="242"/>
      <c r="AH434" s="242"/>
      <c r="AI434" s="242"/>
      <c r="AJ434" s="242"/>
      <c r="AK434" s="242"/>
      <c r="AL434" s="242"/>
      <c r="AM434" s="242"/>
      <c r="AO434" s="4"/>
    </row>
    <row r="435" spans="1:41" ht="24.75" customHeight="1" x14ac:dyDescent="0.75">
      <c r="A435" s="243"/>
      <c r="B435" s="244"/>
      <c r="C435" s="4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  <c r="Z435" s="242"/>
      <c r="AA435" s="242"/>
      <c r="AB435" s="242"/>
      <c r="AC435" s="242"/>
      <c r="AD435" s="242"/>
      <c r="AE435" s="242"/>
      <c r="AF435" s="242"/>
      <c r="AG435" s="242"/>
      <c r="AH435" s="242"/>
      <c r="AI435" s="242"/>
      <c r="AJ435" s="242"/>
      <c r="AK435" s="242"/>
      <c r="AL435" s="242"/>
      <c r="AM435" s="242"/>
      <c r="AO435" s="4"/>
    </row>
    <row r="436" spans="1:41" ht="24.75" customHeight="1" x14ac:dyDescent="0.75">
      <c r="A436" s="243"/>
      <c r="B436" s="244"/>
      <c r="C436" s="4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  <c r="Z436" s="242"/>
      <c r="AA436" s="242"/>
      <c r="AB436" s="242"/>
      <c r="AC436" s="242"/>
      <c r="AD436" s="242"/>
      <c r="AE436" s="242"/>
      <c r="AF436" s="242"/>
      <c r="AG436" s="242"/>
      <c r="AH436" s="242"/>
      <c r="AI436" s="242"/>
      <c r="AJ436" s="242"/>
      <c r="AK436" s="242"/>
      <c r="AL436" s="242"/>
      <c r="AM436" s="242"/>
      <c r="AO436" s="4"/>
    </row>
    <row r="437" spans="1:41" ht="24.75" customHeight="1" x14ac:dyDescent="0.75">
      <c r="A437" s="243"/>
      <c r="B437" s="244"/>
      <c r="C437" s="4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  <c r="Z437" s="242"/>
      <c r="AA437" s="242"/>
      <c r="AB437" s="242"/>
      <c r="AC437" s="242"/>
      <c r="AD437" s="242"/>
      <c r="AE437" s="242"/>
      <c r="AF437" s="242"/>
      <c r="AG437" s="242"/>
      <c r="AH437" s="242"/>
      <c r="AI437" s="242"/>
      <c r="AJ437" s="242"/>
      <c r="AK437" s="242"/>
      <c r="AL437" s="242"/>
      <c r="AM437" s="242"/>
      <c r="AO437" s="4"/>
    </row>
    <row r="438" spans="1:41" ht="24.75" customHeight="1" x14ac:dyDescent="0.75">
      <c r="A438" s="243"/>
      <c r="B438" s="244"/>
      <c r="C438" s="4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  <c r="AA438" s="242"/>
      <c r="AB438" s="242"/>
      <c r="AC438" s="242"/>
      <c r="AD438" s="242"/>
      <c r="AE438" s="242"/>
      <c r="AF438" s="242"/>
      <c r="AG438" s="242"/>
      <c r="AH438" s="242"/>
      <c r="AI438" s="242"/>
      <c r="AJ438" s="242"/>
      <c r="AK438" s="242"/>
      <c r="AL438" s="242"/>
      <c r="AM438" s="242"/>
      <c r="AO438" s="4"/>
    </row>
    <row r="439" spans="1:41" ht="24.75" customHeight="1" x14ac:dyDescent="0.75">
      <c r="A439" s="243"/>
      <c r="B439" s="244"/>
      <c r="C439" s="4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  <c r="Z439" s="242"/>
      <c r="AA439" s="242"/>
      <c r="AB439" s="242"/>
      <c r="AC439" s="242"/>
      <c r="AD439" s="242"/>
      <c r="AE439" s="242"/>
      <c r="AF439" s="242"/>
      <c r="AG439" s="242"/>
      <c r="AH439" s="242"/>
      <c r="AI439" s="242"/>
      <c r="AJ439" s="242"/>
      <c r="AK439" s="242"/>
      <c r="AL439" s="242"/>
      <c r="AM439" s="242"/>
      <c r="AO439" s="4"/>
    </row>
    <row r="440" spans="1:41" ht="24.75" customHeight="1" x14ac:dyDescent="0.75">
      <c r="A440" s="243"/>
      <c r="B440" s="244"/>
      <c r="C440" s="4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  <c r="Z440" s="242"/>
      <c r="AA440" s="242"/>
      <c r="AB440" s="242"/>
      <c r="AC440" s="242"/>
      <c r="AD440" s="242"/>
      <c r="AE440" s="242"/>
      <c r="AF440" s="242"/>
      <c r="AG440" s="242"/>
      <c r="AH440" s="242"/>
      <c r="AI440" s="242"/>
      <c r="AJ440" s="242"/>
      <c r="AK440" s="242"/>
      <c r="AL440" s="242"/>
      <c r="AM440" s="242"/>
      <c r="AO440" s="4"/>
    </row>
    <row r="441" spans="1:41" ht="24.75" customHeight="1" x14ac:dyDescent="0.75">
      <c r="A441" s="243"/>
      <c r="B441" s="244"/>
      <c r="C441" s="4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  <c r="Z441" s="242"/>
      <c r="AA441" s="242"/>
      <c r="AB441" s="242"/>
      <c r="AC441" s="242"/>
      <c r="AD441" s="242"/>
      <c r="AE441" s="242"/>
      <c r="AF441" s="242"/>
      <c r="AG441" s="242"/>
      <c r="AH441" s="242"/>
      <c r="AI441" s="242"/>
      <c r="AJ441" s="242"/>
      <c r="AK441" s="242"/>
      <c r="AL441" s="242"/>
      <c r="AM441" s="242"/>
      <c r="AO441" s="4"/>
    </row>
    <row r="442" spans="1:41" ht="24.75" customHeight="1" x14ac:dyDescent="0.75">
      <c r="A442" s="243"/>
      <c r="B442" s="244"/>
      <c r="C442" s="4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  <c r="Z442" s="242"/>
      <c r="AA442" s="242"/>
      <c r="AB442" s="242"/>
      <c r="AC442" s="242"/>
      <c r="AD442" s="242"/>
      <c r="AE442" s="242"/>
      <c r="AF442" s="242"/>
      <c r="AG442" s="242"/>
      <c r="AH442" s="242"/>
      <c r="AI442" s="242"/>
      <c r="AJ442" s="242"/>
      <c r="AK442" s="242"/>
      <c r="AL442" s="242"/>
      <c r="AM442" s="242"/>
      <c r="AO442" s="4"/>
    </row>
    <row r="443" spans="1:41" ht="24.75" customHeight="1" x14ac:dyDescent="0.75">
      <c r="A443" s="243"/>
      <c r="B443" s="244"/>
      <c r="C443" s="4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  <c r="Z443" s="242"/>
      <c r="AA443" s="242"/>
      <c r="AB443" s="242"/>
      <c r="AC443" s="242"/>
      <c r="AD443" s="242"/>
      <c r="AE443" s="242"/>
      <c r="AF443" s="242"/>
      <c r="AG443" s="242"/>
      <c r="AH443" s="242"/>
      <c r="AI443" s="242"/>
      <c r="AJ443" s="242"/>
      <c r="AK443" s="242"/>
      <c r="AL443" s="242"/>
      <c r="AM443" s="242"/>
      <c r="AO443" s="4"/>
    </row>
    <row r="444" spans="1:41" ht="24.75" customHeight="1" x14ac:dyDescent="0.75">
      <c r="A444" s="243"/>
      <c r="B444" s="244"/>
      <c r="C444" s="4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  <c r="Z444" s="242"/>
      <c r="AA444" s="242"/>
      <c r="AB444" s="242"/>
      <c r="AC444" s="242"/>
      <c r="AD444" s="242"/>
      <c r="AE444" s="242"/>
      <c r="AF444" s="242"/>
      <c r="AG444" s="242"/>
      <c r="AH444" s="242"/>
      <c r="AI444" s="242"/>
      <c r="AJ444" s="242"/>
      <c r="AK444" s="242"/>
      <c r="AL444" s="242"/>
      <c r="AM444" s="242"/>
      <c r="AO444" s="4"/>
    </row>
    <row r="445" spans="1:41" ht="24.75" customHeight="1" x14ac:dyDescent="0.75">
      <c r="A445" s="243"/>
      <c r="B445" s="244"/>
      <c r="C445" s="4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  <c r="Z445" s="242"/>
      <c r="AA445" s="242"/>
      <c r="AB445" s="242"/>
      <c r="AC445" s="242"/>
      <c r="AD445" s="242"/>
      <c r="AE445" s="242"/>
      <c r="AF445" s="242"/>
      <c r="AG445" s="242"/>
      <c r="AH445" s="242"/>
      <c r="AI445" s="242"/>
      <c r="AJ445" s="242"/>
      <c r="AK445" s="242"/>
      <c r="AL445" s="242"/>
      <c r="AM445" s="242"/>
      <c r="AO445" s="4"/>
    </row>
    <row r="446" spans="1:41" ht="24.75" customHeight="1" x14ac:dyDescent="0.75">
      <c r="A446" s="243"/>
      <c r="B446" s="244"/>
      <c r="C446" s="4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  <c r="Z446" s="242"/>
      <c r="AA446" s="242"/>
      <c r="AB446" s="242"/>
      <c r="AC446" s="242"/>
      <c r="AD446" s="242"/>
      <c r="AE446" s="242"/>
      <c r="AF446" s="242"/>
      <c r="AG446" s="242"/>
      <c r="AH446" s="242"/>
      <c r="AI446" s="242"/>
      <c r="AJ446" s="242"/>
      <c r="AK446" s="242"/>
      <c r="AL446" s="242"/>
      <c r="AM446" s="242"/>
      <c r="AO446" s="4"/>
    </row>
    <row r="447" spans="1:41" ht="24.75" customHeight="1" x14ac:dyDescent="0.75">
      <c r="A447" s="243"/>
      <c r="B447" s="244"/>
      <c r="C447" s="4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  <c r="Z447" s="242"/>
      <c r="AA447" s="242"/>
      <c r="AB447" s="242"/>
      <c r="AC447" s="242"/>
      <c r="AD447" s="242"/>
      <c r="AE447" s="242"/>
      <c r="AF447" s="242"/>
      <c r="AG447" s="242"/>
      <c r="AH447" s="242"/>
      <c r="AI447" s="242"/>
      <c r="AJ447" s="242"/>
      <c r="AK447" s="242"/>
      <c r="AL447" s="242"/>
      <c r="AM447" s="242"/>
      <c r="AO447" s="4"/>
    </row>
    <row r="448" spans="1:41" ht="24.75" customHeight="1" x14ac:dyDescent="0.75">
      <c r="A448" s="243"/>
      <c r="B448" s="244"/>
      <c r="C448" s="4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  <c r="Z448" s="242"/>
      <c r="AA448" s="242"/>
      <c r="AB448" s="242"/>
      <c r="AC448" s="242"/>
      <c r="AD448" s="242"/>
      <c r="AE448" s="242"/>
      <c r="AF448" s="242"/>
      <c r="AG448" s="242"/>
      <c r="AH448" s="242"/>
      <c r="AI448" s="242"/>
      <c r="AJ448" s="242"/>
      <c r="AK448" s="242"/>
      <c r="AL448" s="242"/>
      <c r="AM448" s="242"/>
      <c r="AO448" s="4"/>
    </row>
    <row r="449" spans="1:41" ht="24.75" customHeight="1" x14ac:dyDescent="0.75">
      <c r="A449" s="243"/>
      <c r="B449" s="244"/>
      <c r="C449" s="4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  <c r="Z449" s="242"/>
      <c r="AA449" s="242"/>
      <c r="AB449" s="242"/>
      <c r="AC449" s="242"/>
      <c r="AD449" s="242"/>
      <c r="AE449" s="242"/>
      <c r="AF449" s="242"/>
      <c r="AG449" s="242"/>
      <c r="AH449" s="242"/>
      <c r="AI449" s="242"/>
      <c r="AJ449" s="242"/>
      <c r="AK449" s="242"/>
      <c r="AL449" s="242"/>
      <c r="AM449" s="242"/>
      <c r="AO449" s="4"/>
    </row>
    <row r="450" spans="1:41" ht="24.75" customHeight="1" x14ac:dyDescent="0.75">
      <c r="A450" s="243"/>
      <c r="B450" s="244"/>
      <c r="C450" s="4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  <c r="Z450" s="242"/>
      <c r="AA450" s="242"/>
      <c r="AB450" s="242"/>
      <c r="AC450" s="242"/>
      <c r="AD450" s="242"/>
      <c r="AE450" s="242"/>
      <c r="AF450" s="242"/>
      <c r="AG450" s="242"/>
      <c r="AH450" s="242"/>
      <c r="AI450" s="242"/>
      <c r="AJ450" s="242"/>
      <c r="AK450" s="242"/>
      <c r="AL450" s="242"/>
      <c r="AM450" s="242"/>
      <c r="AO450" s="4"/>
    </row>
    <row r="451" spans="1:41" ht="24.75" customHeight="1" x14ac:dyDescent="0.75">
      <c r="A451" s="243"/>
      <c r="B451" s="244"/>
      <c r="C451" s="4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  <c r="Z451" s="242"/>
      <c r="AA451" s="242"/>
      <c r="AB451" s="242"/>
      <c r="AC451" s="242"/>
      <c r="AD451" s="242"/>
      <c r="AE451" s="242"/>
      <c r="AF451" s="242"/>
      <c r="AG451" s="242"/>
      <c r="AH451" s="242"/>
      <c r="AI451" s="242"/>
      <c r="AJ451" s="242"/>
      <c r="AK451" s="242"/>
      <c r="AL451" s="242"/>
      <c r="AM451" s="242"/>
      <c r="AO451" s="4"/>
    </row>
    <row r="452" spans="1:41" ht="24.75" customHeight="1" x14ac:dyDescent="0.75">
      <c r="A452" s="243"/>
      <c r="B452" s="244"/>
      <c r="C452" s="4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  <c r="Z452" s="242"/>
      <c r="AA452" s="242"/>
      <c r="AB452" s="242"/>
      <c r="AC452" s="242"/>
      <c r="AD452" s="242"/>
      <c r="AE452" s="242"/>
      <c r="AF452" s="242"/>
      <c r="AG452" s="242"/>
      <c r="AH452" s="242"/>
      <c r="AI452" s="242"/>
      <c r="AJ452" s="242"/>
      <c r="AK452" s="242"/>
      <c r="AL452" s="242"/>
      <c r="AM452" s="242"/>
      <c r="AO452" s="4"/>
    </row>
    <row r="453" spans="1:41" ht="24.75" customHeight="1" x14ac:dyDescent="0.75">
      <c r="A453" s="243"/>
      <c r="B453" s="244"/>
      <c r="C453" s="4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  <c r="Z453" s="242"/>
      <c r="AA453" s="242"/>
      <c r="AB453" s="242"/>
      <c r="AC453" s="242"/>
      <c r="AD453" s="242"/>
      <c r="AE453" s="242"/>
      <c r="AF453" s="242"/>
      <c r="AG453" s="242"/>
      <c r="AH453" s="242"/>
      <c r="AI453" s="242"/>
      <c r="AJ453" s="242"/>
      <c r="AK453" s="242"/>
      <c r="AL453" s="242"/>
      <c r="AM453" s="242"/>
      <c r="AO453" s="4"/>
    </row>
    <row r="454" spans="1:41" ht="24.75" customHeight="1" x14ac:dyDescent="0.75">
      <c r="A454" s="243"/>
      <c r="B454" s="244"/>
      <c r="C454" s="4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  <c r="Z454" s="242"/>
      <c r="AA454" s="242"/>
      <c r="AB454" s="242"/>
      <c r="AC454" s="242"/>
      <c r="AD454" s="242"/>
      <c r="AE454" s="242"/>
      <c r="AF454" s="242"/>
      <c r="AG454" s="242"/>
      <c r="AH454" s="242"/>
      <c r="AI454" s="242"/>
      <c r="AJ454" s="242"/>
      <c r="AK454" s="242"/>
      <c r="AL454" s="242"/>
      <c r="AM454" s="242"/>
      <c r="AO454" s="4"/>
    </row>
    <row r="455" spans="1:41" ht="24.75" customHeight="1" x14ac:dyDescent="0.75">
      <c r="A455" s="243"/>
      <c r="B455" s="244"/>
      <c r="C455" s="4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  <c r="Z455" s="242"/>
      <c r="AA455" s="242"/>
      <c r="AB455" s="242"/>
      <c r="AC455" s="242"/>
      <c r="AD455" s="242"/>
      <c r="AE455" s="242"/>
      <c r="AF455" s="242"/>
      <c r="AG455" s="242"/>
      <c r="AH455" s="242"/>
      <c r="AI455" s="242"/>
      <c r="AJ455" s="242"/>
      <c r="AK455" s="242"/>
      <c r="AL455" s="242"/>
      <c r="AM455" s="242"/>
      <c r="AO455" s="4"/>
    </row>
    <row r="456" spans="1:41" ht="24.75" customHeight="1" x14ac:dyDescent="0.75">
      <c r="A456" s="243"/>
      <c r="B456" s="244"/>
      <c r="C456" s="4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  <c r="Z456" s="242"/>
      <c r="AA456" s="242"/>
      <c r="AB456" s="242"/>
      <c r="AC456" s="242"/>
      <c r="AD456" s="242"/>
      <c r="AE456" s="242"/>
      <c r="AF456" s="242"/>
      <c r="AG456" s="242"/>
      <c r="AH456" s="242"/>
      <c r="AI456" s="242"/>
      <c r="AJ456" s="242"/>
      <c r="AK456" s="242"/>
      <c r="AL456" s="242"/>
      <c r="AM456" s="242"/>
      <c r="AO456" s="4"/>
    </row>
    <row r="457" spans="1:41" ht="24.75" customHeight="1" x14ac:dyDescent="0.75">
      <c r="A457" s="243"/>
      <c r="B457" s="244"/>
      <c r="C457" s="4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  <c r="Z457" s="242"/>
      <c r="AA457" s="242"/>
      <c r="AB457" s="242"/>
      <c r="AC457" s="242"/>
      <c r="AD457" s="242"/>
      <c r="AE457" s="242"/>
      <c r="AF457" s="242"/>
      <c r="AG457" s="242"/>
      <c r="AH457" s="242"/>
      <c r="AI457" s="242"/>
      <c r="AJ457" s="242"/>
      <c r="AK457" s="242"/>
      <c r="AL457" s="242"/>
      <c r="AM457" s="242"/>
      <c r="AO457" s="4"/>
    </row>
    <row r="458" spans="1:41" ht="24.75" customHeight="1" x14ac:dyDescent="0.75">
      <c r="A458" s="243"/>
      <c r="B458" s="244"/>
      <c r="C458" s="4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  <c r="Z458" s="242"/>
      <c r="AA458" s="242"/>
      <c r="AB458" s="242"/>
      <c r="AC458" s="242"/>
      <c r="AD458" s="242"/>
      <c r="AE458" s="242"/>
      <c r="AF458" s="242"/>
      <c r="AG458" s="242"/>
      <c r="AH458" s="242"/>
      <c r="AI458" s="242"/>
      <c r="AJ458" s="242"/>
      <c r="AK458" s="242"/>
      <c r="AL458" s="242"/>
      <c r="AM458" s="242"/>
      <c r="AO458" s="4"/>
    </row>
    <row r="459" spans="1:41" ht="24.75" customHeight="1" x14ac:dyDescent="0.75">
      <c r="A459" s="243"/>
      <c r="B459" s="244"/>
      <c r="C459" s="4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  <c r="Z459" s="242"/>
      <c r="AA459" s="242"/>
      <c r="AB459" s="242"/>
      <c r="AC459" s="242"/>
      <c r="AD459" s="242"/>
      <c r="AE459" s="242"/>
      <c r="AF459" s="242"/>
      <c r="AG459" s="242"/>
      <c r="AH459" s="242"/>
      <c r="AI459" s="242"/>
      <c r="AJ459" s="242"/>
      <c r="AK459" s="242"/>
      <c r="AL459" s="242"/>
      <c r="AM459" s="242"/>
      <c r="AO459" s="4"/>
    </row>
    <row r="460" spans="1:41" ht="24.75" customHeight="1" x14ac:dyDescent="0.75">
      <c r="A460" s="243"/>
      <c r="B460" s="244"/>
      <c r="C460" s="4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  <c r="Z460" s="242"/>
      <c r="AA460" s="242"/>
      <c r="AB460" s="242"/>
      <c r="AC460" s="242"/>
      <c r="AD460" s="242"/>
      <c r="AE460" s="242"/>
      <c r="AF460" s="242"/>
      <c r="AG460" s="242"/>
      <c r="AH460" s="242"/>
      <c r="AI460" s="242"/>
      <c r="AJ460" s="242"/>
      <c r="AK460" s="242"/>
      <c r="AL460" s="242"/>
      <c r="AM460" s="242"/>
      <c r="AO460" s="4"/>
    </row>
    <row r="461" spans="1:41" ht="24.75" customHeight="1" x14ac:dyDescent="0.75">
      <c r="A461" s="243"/>
      <c r="B461" s="244"/>
      <c r="C461" s="4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  <c r="Z461" s="242"/>
      <c r="AA461" s="242"/>
      <c r="AB461" s="242"/>
      <c r="AC461" s="242"/>
      <c r="AD461" s="242"/>
      <c r="AE461" s="242"/>
      <c r="AF461" s="242"/>
      <c r="AG461" s="242"/>
      <c r="AH461" s="242"/>
      <c r="AI461" s="242"/>
      <c r="AJ461" s="242"/>
      <c r="AK461" s="242"/>
      <c r="AL461" s="242"/>
      <c r="AM461" s="242"/>
      <c r="AO461" s="4"/>
    </row>
    <row r="462" spans="1:41" ht="24.75" customHeight="1" x14ac:dyDescent="0.75">
      <c r="A462" s="243"/>
      <c r="B462" s="244"/>
      <c r="C462" s="4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  <c r="Z462" s="242"/>
      <c r="AA462" s="242"/>
      <c r="AB462" s="242"/>
      <c r="AC462" s="242"/>
      <c r="AD462" s="242"/>
      <c r="AE462" s="242"/>
      <c r="AF462" s="242"/>
      <c r="AG462" s="242"/>
      <c r="AH462" s="242"/>
      <c r="AI462" s="242"/>
      <c r="AJ462" s="242"/>
      <c r="AK462" s="242"/>
      <c r="AL462" s="242"/>
      <c r="AM462" s="242"/>
      <c r="AO462" s="4"/>
    </row>
    <row r="463" spans="1:41" ht="24.75" customHeight="1" x14ac:dyDescent="0.75">
      <c r="A463" s="243"/>
      <c r="B463" s="244"/>
      <c r="C463" s="4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  <c r="Z463" s="242"/>
      <c r="AA463" s="242"/>
      <c r="AB463" s="242"/>
      <c r="AC463" s="242"/>
      <c r="AD463" s="242"/>
      <c r="AE463" s="242"/>
      <c r="AF463" s="242"/>
      <c r="AG463" s="242"/>
      <c r="AH463" s="242"/>
      <c r="AI463" s="242"/>
      <c r="AJ463" s="242"/>
      <c r="AK463" s="242"/>
      <c r="AL463" s="242"/>
      <c r="AM463" s="242"/>
      <c r="AO463" s="4"/>
    </row>
    <row r="464" spans="1:41" ht="24.75" customHeight="1" x14ac:dyDescent="0.75">
      <c r="A464" s="243"/>
      <c r="B464" s="244"/>
      <c r="C464" s="4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  <c r="Z464" s="242"/>
      <c r="AA464" s="242"/>
      <c r="AB464" s="242"/>
      <c r="AC464" s="242"/>
      <c r="AD464" s="242"/>
      <c r="AE464" s="242"/>
      <c r="AF464" s="242"/>
      <c r="AG464" s="242"/>
      <c r="AH464" s="242"/>
      <c r="AI464" s="242"/>
      <c r="AJ464" s="242"/>
      <c r="AK464" s="242"/>
      <c r="AL464" s="242"/>
      <c r="AM464" s="242"/>
      <c r="AO464" s="4"/>
    </row>
    <row r="465" spans="1:41" ht="24.75" customHeight="1" x14ac:dyDescent="0.75">
      <c r="A465" s="243"/>
      <c r="B465" s="244"/>
      <c r="C465" s="4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  <c r="Z465" s="242"/>
      <c r="AA465" s="242"/>
      <c r="AB465" s="242"/>
      <c r="AC465" s="242"/>
      <c r="AD465" s="242"/>
      <c r="AE465" s="242"/>
      <c r="AF465" s="242"/>
      <c r="AG465" s="242"/>
      <c r="AH465" s="242"/>
      <c r="AI465" s="242"/>
      <c r="AJ465" s="242"/>
      <c r="AK465" s="242"/>
      <c r="AL465" s="242"/>
      <c r="AM465" s="242"/>
      <c r="AO465" s="4"/>
    </row>
    <row r="466" spans="1:41" ht="24.75" customHeight="1" x14ac:dyDescent="0.75">
      <c r="A466" s="243"/>
      <c r="B466" s="244"/>
      <c r="C466" s="4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  <c r="Z466" s="242"/>
      <c r="AA466" s="242"/>
      <c r="AB466" s="242"/>
      <c r="AC466" s="242"/>
      <c r="AD466" s="242"/>
      <c r="AE466" s="242"/>
      <c r="AF466" s="242"/>
      <c r="AG466" s="242"/>
      <c r="AH466" s="242"/>
      <c r="AI466" s="242"/>
      <c r="AJ466" s="242"/>
      <c r="AK466" s="242"/>
      <c r="AL466" s="242"/>
      <c r="AM466" s="242"/>
      <c r="AO466" s="4"/>
    </row>
    <row r="467" spans="1:41" ht="24.75" customHeight="1" x14ac:dyDescent="0.75">
      <c r="A467" s="243"/>
      <c r="B467" s="244"/>
      <c r="C467" s="4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  <c r="Z467" s="242"/>
      <c r="AA467" s="242"/>
      <c r="AB467" s="242"/>
      <c r="AC467" s="242"/>
      <c r="AD467" s="242"/>
      <c r="AE467" s="242"/>
      <c r="AF467" s="242"/>
      <c r="AG467" s="242"/>
      <c r="AH467" s="242"/>
      <c r="AI467" s="242"/>
      <c r="AJ467" s="242"/>
      <c r="AK467" s="242"/>
      <c r="AL467" s="242"/>
      <c r="AM467" s="242"/>
      <c r="AO467" s="4"/>
    </row>
    <row r="468" spans="1:41" ht="24.75" customHeight="1" x14ac:dyDescent="0.75">
      <c r="A468" s="243"/>
      <c r="B468" s="244"/>
      <c r="C468" s="4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  <c r="Z468" s="242"/>
      <c r="AA468" s="242"/>
      <c r="AB468" s="242"/>
      <c r="AC468" s="242"/>
      <c r="AD468" s="242"/>
      <c r="AE468" s="242"/>
      <c r="AF468" s="242"/>
      <c r="AG468" s="242"/>
      <c r="AH468" s="242"/>
      <c r="AI468" s="242"/>
      <c r="AJ468" s="242"/>
      <c r="AK468" s="242"/>
      <c r="AL468" s="242"/>
      <c r="AM468" s="242"/>
      <c r="AO468" s="4"/>
    </row>
    <row r="469" spans="1:41" ht="24.75" customHeight="1" x14ac:dyDescent="0.75">
      <c r="A469" s="243"/>
      <c r="B469" s="244"/>
      <c r="C469" s="4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  <c r="Z469" s="242"/>
      <c r="AA469" s="242"/>
      <c r="AB469" s="242"/>
      <c r="AC469" s="242"/>
      <c r="AD469" s="242"/>
      <c r="AE469" s="242"/>
      <c r="AF469" s="242"/>
      <c r="AG469" s="242"/>
      <c r="AH469" s="242"/>
      <c r="AI469" s="242"/>
      <c r="AJ469" s="242"/>
      <c r="AK469" s="242"/>
      <c r="AL469" s="242"/>
      <c r="AM469" s="242"/>
      <c r="AO469" s="4"/>
    </row>
    <row r="470" spans="1:41" ht="24.75" customHeight="1" x14ac:dyDescent="0.75">
      <c r="A470" s="243"/>
      <c r="B470" s="244"/>
      <c r="C470" s="4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  <c r="Z470" s="242"/>
      <c r="AA470" s="242"/>
      <c r="AB470" s="242"/>
      <c r="AC470" s="242"/>
      <c r="AD470" s="242"/>
      <c r="AE470" s="242"/>
      <c r="AF470" s="242"/>
      <c r="AG470" s="242"/>
      <c r="AH470" s="242"/>
      <c r="AI470" s="242"/>
      <c r="AJ470" s="242"/>
      <c r="AK470" s="242"/>
      <c r="AL470" s="242"/>
      <c r="AM470" s="242"/>
      <c r="AO470" s="4"/>
    </row>
    <row r="471" spans="1:41" ht="24.75" customHeight="1" x14ac:dyDescent="0.75">
      <c r="A471" s="243"/>
      <c r="B471" s="244"/>
      <c r="C471" s="4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  <c r="Z471" s="242"/>
      <c r="AA471" s="242"/>
      <c r="AB471" s="242"/>
      <c r="AC471" s="242"/>
      <c r="AD471" s="242"/>
      <c r="AE471" s="242"/>
      <c r="AF471" s="242"/>
      <c r="AG471" s="242"/>
      <c r="AH471" s="242"/>
      <c r="AI471" s="242"/>
      <c r="AJ471" s="242"/>
      <c r="AK471" s="242"/>
      <c r="AL471" s="242"/>
      <c r="AM471" s="242"/>
      <c r="AO471" s="4"/>
    </row>
    <row r="472" spans="1:41" ht="24.75" customHeight="1" x14ac:dyDescent="0.75">
      <c r="A472" s="243"/>
      <c r="B472" s="244"/>
      <c r="C472" s="4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  <c r="Z472" s="242"/>
      <c r="AA472" s="242"/>
      <c r="AB472" s="242"/>
      <c r="AC472" s="242"/>
      <c r="AD472" s="242"/>
      <c r="AE472" s="242"/>
      <c r="AF472" s="242"/>
      <c r="AG472" s="242"/>
      <c r="AH472" s="242"/>
      <c r="AI472" s="242"/>
      <c r="AJ472" s="242"/>
      <c r="AK472" s="242"/>
      <c r="AL472" s="242"/>
      <c r="AM472" s="242"/>
      <c r="AO472" s="4"/>
    </row>
    <row r="473" spans="1:41" ht="24.75" customHeight="1" x14ac:dyDescent="0.75">
      <c r="A473" s="243"/>
      <c r="B473" s="244"/>
      <c r="C473" s="4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  <c r="Z473" s="242"/>
      <c r="AA473" s="242"/>
      <c r="AB473" s="242"/>
      <c r="AC473" s="242"/>
      <c r="AD473" s="242"/>
      <c r="AE473" s="242"/>
      <c r="AF473" s="242"/>
      <c r="AG473" s="242"/>
      <c r="AH473" s="242"/>
      <c r="AI473" s="242"/>
      <c r="AJ473" s="242"/>
      <c r="AK473" s="242"/>
      <c r="AL473" s="242"/>
      <c r="AM473" s="242"/>
      <c r="AO473" s="4"/>
    </row>
    <row r="474" spans="1:41" ht="24.75" customHeight="1" x14ac:dyDescent="0.75">
      <c r="A474" s="243"/>
      <c r="B474" s="244"/>
      <c r="C474" s="4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  <c r="Z474" s="242"/>
      <c r="AA474" s="242"/>
      <c r="AB474" s="242"/>
      <c r="AC474" s="242"/>
      <c r="AD474" s="242"/>
      <c r="AE474" s="242"/>
      <c r="AF474" s="242"/>
      <c r="AG474" s="242"/>
      <c r="AH474" s="242"/>
      <c r="AI474" s="242"/>
      <c r="AJ474" s="242"/>
      <c r="AK474" s="242"/>
      <c r="AL474" s="242"/>
      <c r="AM474" s="242"/>
      <c r="AO474" s="4"/>
    </row>
    <row r="475" spans="1:41" ht="24.75" customHeight="1" x14ac:dyDescent="0.75">
      <c r="A475" s="243"/>
      <c r="B475" s="244"/>
      <c r="C475" s="4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  <c r="Z475" s="242"/>
      <c r="AA475" s="242"/>
      <c r="AB475" s="242"/>
      <c r="AC475" s="242"/>
      <c r="AD475" s="242"/>
      <c r="AE475" s="242"/>
      <c r="AF475" s="242"/>
      <c r="AG475" s="242"/>
      <c r="AH475" s="242"/>
      <c r="AI475" s="242"/>
      <c r="AJ475" s="242"/>
      <c r="AK475" s="242"/>
      <c r="AL475" s="242"/>
      <c r="AM475" s="242"/>
      <c r="AO475" s="4"/>
    </row>
    <row r="476" spans="1:41" ht="24.75" customHeight="1" x14ac:dyDescent="0.75">
      <c r="A476" s="243"/>
      <c r="B476" s="244"/>
      <c r="C476" s="4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  <c r="Z476" s="242"/>
      <c r="AA476" s="242"/>
      <c r="AB476" s="242"/>
      <c r="AC476" s="242"/>
      <c r="AD476" s="242"/>
      <c r="AE476" s="242"/>
      <c r="AF476" s="242"/>
      <c r="AG476" s="242"/>
      <c r="AH476" s="242"/>
      <c r="AI476" s="242"/>
      <c r="AJ476" s="242"/>
      <c r="AK476" s="242"/>
      <c r="AL476" s="242"/>
      <c r="AM476" s="242"/>
      <c r="AO476" s="4"/>
    </row>
    <row r="477" spans="1:41" ht="24.75" customHeight="1" x14ac:dyDescent="0.75">
      <c r="A477" s="243"/>
      <c r="B477" s="244"/>
      <c r="C477" s="4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  <c r="Z477" s="242"/>
      <c r="AA477" s="242"/>
      <c r="AB477" s="242"/>
      <c r="AC477" s="242"/>
      <c r="AD477" s="242"/>
      <c r="AE477" s="242"/>
      <c r="AF477" s="242"/>
      <c r="AG477" s="242"/>
      <c r="AH477" s="242"/>
      <c r="AI477" s="242"/>
      <c r="AJ477" s="242"/>
      <c r="AK477" s="242"/>
      <c r="AL477" s="242"/>
      <c r="AM477" s="242"/>
      <c r="AO477" s="4"/>
    </row>
    <row r="478" spans="1:41" ht="24.75" customHeight="1" x14ac:dyDescent="0.75">
      <c r="A478" s="243"/>
      <c r="B478" s="244"/>
      <c r="C478" s="4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  <c r="Z478" s="242"/>
      <c r="AA478" s="242"/>
      <c r="AB478" s="242"/>
      <c r="AC478" s="242"/>
      <c r="AD478" s="242"/>
      <c r="AE478" s="242"/>
      <c r="AF478" s="242"/>
      <c r="AG478" s="242"/>
      <c r="AH478" s="242"/>
      <c r="AI478" s="242"/>
      <c r="AJ478" s="242"/>
      <c r="AK478" s="242"/>
      <c r="AL478" s="242"/>
      <c r="AM478" s="242"/>
      <c r="AO478" s="4"/>
    </row>
    <row r="479" spans="1:41" ht="24.75" customHeight="1" x14ac:dyDescent="0.75">
      <c r="A479" s="243"/>
      <c r="B479" s="244"/>
      <c r="C479" s="4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  <c r="Z479" s="242"/>
      <c r="AA479" s="242"/>
      <c r="AB479" s="242"/>
      <c r="AC479" s="242"/>
      <c r="AD479" s="242"/>
      <c r="AE479" s="242"/>
      <c r="AF479" s="242"/>
      <c r="AG479" s="242"/>
      <c r="AH479" s="242"/>
      <c r="AI479" s="242"/>
      <c r="AJ479" s="242"/>
      <c r="AK479" s="242"/>
      <c r="AL479" s="242"/>
      <c r="AM479" s="242"/>
      <c r="AO479" s="4"/>
    </row>
    <row r="480" spans="1:41" ht="24.75" customHeight="1" x14ac:dyDescent="0.75">
      <c r="A480" s="243"/>
      <c r="B480" s="244"/>
      <c r="C480" s="4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  <c r="Z480" s="242"/>
      <c r="AA480" s="242"/>
      <c r="AB480" s="242"/>
      <c r="AC480" s="242"/>
      <c r="AD480" s="242"/>
      <c r="AE480" s="242"/>
      <c r="AF480" s="242"/>
      <c r="AG480" s="242"/>
      <c r="AH480" s="242"/>
      <c r="AI480" s="242"/>
      <c r="AJ480" s="242"/>
      <c r="AK480" s="242"/>
      <c r="AL480" s="242"/>
      <c r="AM480" s="242"/>
      <c r="AO480" s="4"/>
    </row>
    <row r="481" spans="1:41" ht="24.75" customHeight="1" x14ac:dyDescent="0.75">
      <c r="A481" s="243"/>
      <c r="B481" s="244"/>
      <c r="C481" s="4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  <c r="Z481" s="242"/>
      <c r="AA481" s="242"/>
      <c r="AB481" s="242"/>
      <c r="AC481" s="242"/>
      <c r="AD481" s="242"/>
      <c r="AE481" s="242"/>
      <c r="AF481" s="242"/>
      <c r="AG481" s="242"/>
      <c r="AH481" s="242"/>
      <c r="AI481" s="242"/>
      <c r="AJ481" s="242"/>
      <c r="AK481" s="242"/>
      <c r="AL481" s="242"/>
      <c r="AM481" s="242"/>
      <c r="AO481" s="4"/>
    </row>
    <row r="482" spans="1:41" ht="24.75" customHeight="1" x14ac:dyDescent="0.75">
      <c r="A482" s="243"/>
      <c r="B482" s="244"/>
      <c r="C482" s="4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  <c r="Z482" s="242"/>
      <c r="AA482" s="242"/>
      <c r="AB482" s="242"/>
      <c r="AC482" s="242"/>
      <c r="AD482" s="242"/>
      <c r="AE482" s="242"/>
      <c r="AF482" s="242"/>
      <c r="AG482" s="242"/>
      <c r="AH482" s="242"/>
      <c r="AI482" s="242"/>
      <c r="AJ482" s="242"/>
      <c r="AK482" s="242"/>
      <c r="AL482" s="242"/>
      <c r="AM482" s="242"/>
      <c r="AO482" s="4"/>
    </row>
    <row r="483" spans="1:41" ht="24.75" customHeight="1" x14ac:dyDescent="0.75">
      <c r="A483" s="243"/>
      <c r="B483" s="244"/>
      <c r="C483" s="4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  <c r="Z483" s="242"/>
      <c r="AA483" s="242"/>
      <c r="AB483" s="242"/>
      <c r="AC483" s="242"/>
      <c r="AD483" s="242"/>
      <c r="AE483" s="242"/>
      <c r="AF483" s="242"/>
      <c r="AG483" s="242"/>
      <c r="AH483" s="242"/>
      <c r="AI483" s="242"/>
      <c r="AJ483" s="242"/>
      <c r="AK483" s="242"/>
      <c r="AL483" s="242"/>
      <c r="AM483" s="242"/>
      <c r="AO483" s="4"/>
    </row>
    <row r="484" spans="1:41" ht="24.75" customHeight="1" x14ac:dyDescent="0.75">
      <c r="A484" s="243"/>
      <c r="B484" s="244"/>
      <c r="C484" s="4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  <c r="Z484" s="242"/>
      <c r="AA484" s="242"/>
      <c r="AB484" s="242"/>
      <c r="AC484" s="242"/>
      <c r="AD484" s="242"/>
      <c r="AE484" s="242"/>
      <c r="AF484" s="242"/>
      <c r="AG484" s="242"/>
      <c r="AH484" s="242"/>
      <c r="AI484" s="242"/>
      <c r="AJ484" s="242"/>
      <c r="AK484" s="242"/>
      <c r="AL484" s="242"/>
      <c r="AM484" s="242"/>
      <c r="AO484" s="4"/>
    </row>
    <row r="485" spans="1:41" ht="24.75" customHeight="1" x14ac:dyDescent="0.75">
      <c r="A485" s="243"/>
      <c r="B485" s="244"/>
      <c r="C485" s="4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  <c r="Z485" s="242"/>
      <c r="AA485" s="242"/>
      <c r="AB485" s="242"/>
      <c r="AC485" s="242"/>
      <c r="AD485" s="242"/>
      <c r="AE485" s="242"/>
      <c r="AF485" s="242"/>
      <c r="AG485" s="242"/>
      <c r="AH485" s="242"/>
      <c r="AI485" s="242"/>
      <c r="AJ485" s="242"/>
      <c r="AK485" s="242"/>
      <c r="AL485" s="242"/>
      <c r="AM485" s="242"/>
      <c r="AO485" s="4"/>
    </row>
    <row r="486" spans="1:41" ht="24.75" customHeight="1" x14ac:dyDescent="0.75">
      <c r="A486" s="243"/>
      <c r="B486" s="244"/>
      <c r="C486" s="4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  <c r="Z486" s="242"/>
      <c r="AA486" s="242"/>
      <c r="AB486" s="242"/>
      <c r="AC486" s="242"/>
      <c r="AD486" s="242"/>
      <c r="AE486" s="242"/>
      <c r="AF486" s="242"/>
      <c r="AG486" s="242"/>
      <c r="AH486" s="242"/>
      <c r="AI486" s="242"/>
      <c r="AJ486" s="242"/>
      <c r="AK486" s="242"/>
      <c r="AL486" s="242"/>
      <c r="AM486" s="242"/>
      <c r="AO486" s="4"/>
    </row>
    <row r="487" spans="1:41" ht="24.75" customHeight="1" x14ac:dyDescent="0.75">
      <c r="A487" s="243"/>
      <c r="B487" s="244"/>
      <c r="C487" s="4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  <c r="Z487" s="242"/>
      <c r="AA487" s="242"/>
      <c r="AB487" s="242"/>
      <c r="AC487" s="242"/>
      <c r="AD487" s="242"/>
      <c r="AE487" s="242"/>
      <c r="AF487" s="242"/>
      <c r="AG487" s="242"/>
      <c r="AH487" s="242"/>
      <c r="AI487" s="242"/>
      <c r="AJ487" s="242"/>
      <c r="AK487" s="242"/>
      <c r="AL487" s="242"/>
      <c r="AM487" s="242"/>
      <c r="AO487" s="4"/>
    </row>
    <row r="488" spans="1:41" ht="24.75" customHeight="1" x14ac:dyDescent="0.75">
      <c r="A488" s="243"/>
      <c r="B488" s="244"/>
      <c r="C488" s="4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  <c r="Z488" s="242"/>
      <c r="AA488" s="242"/>
      <c r="AB488" s="242"/>
      <c r="AC488" s="242"/>
      <c r="AD488" s="242"/>
      <c r="AE488" s="242"/>
      <c r="AF488" s="242"/>
      <c r="AG488" s="242"/>
      <c r="AH488" s="242"/>
      <c r="AI488" s="242"/>
      <c r="AJ488" s="242"/>
      <c r="AK488" s="242"/>
      <c r="AL488" s="242"/>
      <c r="AM488" s="242"/>
      <c r="AO488" s="4"/>
    </row>
    <row r="489" spans="1:41" ht="24.75" customHeight="1" x14ac:dyDescent="0.75">
      <c r="A489" s="243"/>
      <c r="B489" s="244"/>
      <c r="C489" s="4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  <c r="Z489" s="242"/>
      <c r="AA489" s="242"/>
      <c r="AB489" s="242"/>
      <c r="AC489" s="242"/>
      <c r="AD489" s="242"/>
      <c r="AE489" s="242"/>
      <c r="AF489" s="242"/>
      <c r="AG489" s="242"/>
      <c r="AH489" s="242"/>
      <c r="AI489" s="242"/>
      <c r="AJ489" s="242"/>
      <c r="AK489" s="242"/>
      <c r="AL489" s="242"/>
      <c r="AM489" s="242"/>
      <c r="AO489" s="4"/>
    </row>
    <row r="490" spans="1:41" ht="24.75" customHeight="1" x14ac:dyDescent="0.75">
      <c r="A490" s="243"/>
      <c r="B490" s="244"/>
      <c r="C490" s="4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  <c r="Z490" s="242"/>
      <c r="AA490" s="242"/>
      <c r="AB490" s="242"/>
      <c r="AC490" s="242"/>
      <c r="AD490" s="242"/>
      <c r="AE490" s="242"/>
      <c r="AF490" s="242"/>
      <c r="AG490" s="242"/>
      <c r="AH490" s="242"/>
      <c r="AI490" s="242"/>
      <c r="AJ490" s="242"/>
      <c r="AK490" s="242"/>
      <c r="AL490" s="242"/>
      <c r="AM490" s="242"/>
      <c r="AO490" s="4"/>
    </row>
    <row r="491" spans="1:41" ht="24.75" customHeight="1" x14ac:dyDescent="0.75">
      <c r="A491" s="243"/>
      <c r="B491" s="244"/>
      <c r="C491" s="4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  <c r="Z491" s="242"/>
      <c r="AA491" s="242"/>
      <c r="AB491" s="242"/>
      <c r="AC491" s="242"/>
      <c r="AD491" s="242"/>
      <c r="AE491" s="242"/>
      <c r="AF491" s="242"/>
      <c r="AG491" s="242"/>
      <c r="AH491" s="242"/>
      <c r="AI491" s="242"/>
      <c r="AJ491" s="242"/>
      <c r="AK491" s="242"/>
      <c r="AL491" s="242"/>
      <c r="AM491" s="242"/>
      <c r="AO491" s="4"/>
    </row>
    <row r="492" spans="1:41" ht="24.75" customHeight="1" x14ac:dyDescent="0.75">
      <c r="A492" s="243"/>
      <c r="B492" s="244"/>
      <c r="C492" s="4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  <c r="Z492" s="242"/>
      <c r="AA492" s="242"/>
      <c r="AB492" s="242"/>
      <c r="AC492" s="242"/>
      <c r="AD492" s="242"/>
      <c r="AE492" s="242"/>
      <c r="AF492" s="242"/>
      <c r="AG492" s="242"/>
      <c r="AH492" s="242"/>
      <c r="AI492" s="242"/>
      <c r="AJ492" s="242"/>
      <c r="AK492" s="242"/>
      <c r="AL492" s="242"/>
      <c r="AM492" s="242"/>
      <c r="AO492" s="4"/>
    </row>
    <row r="493" spans="1:41" ht="24.75" customHeight="1" x14ac:dyDescent="0.75">
      <c r="A493" s="243"/>
      <c r="B493" s="244"/>
      <c r="C493" s="4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  <c r="Z493" s="242"/>
      <c r="AA493" s="242"/>
      <c r="AB493" s="242"/>
      <c r="AC493" s="242"/>
      <c r="AD493" s="242"/>
      <c r="AE493" s="242"/>
      <c r="AF493" s="242"/>
      <c r="AG493" s="242"/>
      <c r="AH493" s="242"/>
      <c r="AI493" s="242"/>
      <c r="AJ493" s="242"/>
      <c r="AK493" s="242"/>
      <c r="AL493" s="242"/>
      <c r="AM493" s="242"/>
      <c r="AO493" s="4"/>
    </row>
    <row r="494" spans="1:41" ht="24.75" customHeight="1" x14ac:dyDescent="0.75">
      <c r="A494" s="243"/>
      <c r="B494" s="244"/>
      <c r="C494" s="4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  <c r="Z494" s="242"/>
      <c r="AA494" s="242"/>
      <c r="AB494" s="242"/>
      <c r="AC494" s="242"/>
      <c r="AD494" s="242"/>
      <c r="AE494" s="242"/>
      <c r="AF494" s="242"/>
      <c r="AG494" s="242"/>
      <c r="AH494" s="242"/>
      <c r="AI494" s="242"/>
      <c r="AJ494" s="242"/>
      <c r="AK494" s="242"/>
      <c r="AL494" s="242"/>
      <c r="AM494" s="242"/>
      <c r="AO494" s="4"/>
    </row>
    <row r="495" spans="1:41" ht="24.75" customHeight="1" x14ac:dyDescent="0.75">
      <c r="A495" s="243"/>
      <c r="B495" s="244"/>
      <c r="C495" s="4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  <c r="Z495" s="242"/>
      <c r="AA495" s="242"/>
      <c r="AB495" s="242"/>
      <c r="AC495" s="242"/>
      <c r="AD495" s="242"/>
      <c r="AE495" s="242"/>
      <c r="AF495" s="242"/>
      <c r="AG495" s="242"/>
      <c r="AH495" s="242"/>
      <c r="AI495" s="242"/>
      <c r="AJ495" s="242"/>
      <c r="AK495" s="242"/>
      <c r="AL495" s="242"/>
      <c r="AM495" s="242"/>
      <c r="AO495" s="4"/>
    </row>
    <row r="496" spans="1:41" ht="24.75" customHeight="1" x14ac:dyDescent="0.75">
      <c r="A496" s="243"/>
      <c r="B496" s="244"/>
      <c r="C496" s="4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  <c r="Z496" s="242"/>
      <c r="AA496" s="242"/>
      <c r="AB496" s="242"/>
      <c r="AC496" s="242"/>
      <c r="AD496" s="242"/>
      <c r="AE496" s="242"/>
      <c r="AF496" s="242"/>
      <c r="AG496" s="242"/>
      <c r="AH496" s="242"/>
      <c r="AI496" s="242"/>
      <c r="AJ496" s="242"/>
      <c r="AK496" s="242"/>
      <c r="AL496" s="242"/>
      <c r="AM496" s="242"/>
      <c r="AO496" s="4"/>
    </row>
    <row r="497" spans="1:41" ht="24.75" customHeight="1" x14ac:dyDescent="0.75">
      <c r="A497" s="243"/>
      <c r="B497" s="244"/>
      <c r="C497" s="4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  <c r="Z497" s="242"/>
      <c r="AA497" s="242"/>
      <c r="AB497" s="242"/>
      <c r="AC497" s="242"/>
      <c r="AD497" s="242"/>
      <c r="AE497" s="242"/>
      <c r="AF497" s="242"/>
      <c r="AG497" s="242"/>
      <c r="AH497" s="242"/>
      <c r="AI497" s="242"/>
      <c r="AJ497" s="242"/>
      <c r="AK497" s="242"/>
      <c r="AL497" s="242"/>
      <c r="AM497" s="242"/>
      <c r="AO497" s="4"/>
    </row>
    <row r="498" spans="1:41" ht="24.75" customHeight="1" x14ac:dyDescent="0.75">
      <c r="A498" s="243"/>
      <c r="B498" s="244"/>
      <c r="C498" s="4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  <c r="Z498" s="242"/>
      <c r="AA498" s="242"/>
      <c r="AB498" s="242"/>
      <c r="AC498" s="242"/>
      <c r="AD498" s="242"/>
      <c r="AE498" s="242"/>
      <c r="AF498" s="242"/>
      <c r="AG498" s="242"/>
      <c r="AH498" s="242"/>
      <c r="AI498" s="242"/>
      <c r="AJ498" s="242"/>
      <c r="AK498" s="242"/>
      <c r="AL498" s="242"/>
      <c r="AM498" s="242"/>
      <c r="AO498" s="4"/>
    </row>
    <row r="499" spans="1:41" ht="24.75" customHeight="1" x14ac:dyDescent="0.75">
      <c r="A499" s="243"/>
      <c r="B499" s="244"/>
      <c r="C499" s="4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  <c r="Z499" s="242"/>
      <c r="AA499" s="242"/>
      <c r="AB499" s="242"/>
      <c r="AC499" s="242"/>
      <c r="AD499" s="242"/>
      <c r="AE499" s="242"/>
      <c r="AF499" s="242"/>
      <c r="AG499" s="242"/>
      <c r="AH499" s="242"/>
      <c r="AI499" s="242"/>
      <c r="AJ499" s="242"/>
      <c r="AK499" s="242"/>
      <c r="AL499" s="242"/>
      <c r="AM499" s="242"/>
      <c r="AO499" s="4"/>
    </row>
    <row r="500" spans="1:41" ht="24.75" customHeight="1" x14ac:dyDescent="0.75">
      <c r="A500" s="243"/>
      <c r="B500" s="244"/>
      <c r="C500" s="4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  <c r="Z500" s="242"/>
      <c r="AA500" s="242"/>
      <c r="AB500" s="242"/>
      <c r="AC500" s="242"/>
      <c r="AD500" s="242"/>
      <c r="AE500" s="242"/>
      <c r="AF500" s="242"/>
      <c r="AG500" s="242"/>
      <c r="AH500" s="242"/>
      <c r="AI500" s="242"/>
      <c r="AJ500" s="242"/>
      <c r="AK500" s="242"/>
      <c r="AL500" s="242"/>
      <c r="AM500" s="242"/>
      <c r="AO500" s="4"/>
    </row>
    <row r="501" spans="1:41" ht="24.75" customHeight="1" x14ac:dyDescent="0.75">
      <c r="A501" s="243"/>
      <c r="B501" s="244"/>
      <c r="C501" s="4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  <c r="Z501" s="242"/>
      <c r="AA501" s="242"/>
      <c r="AB501" s="242"/>
      <c r="AC501" s="242"/>
      <c r="AD501" s="242"/>
      <c r="AE501" s="242"/>
      <c r="AF501" s="242"/>
      <c r="AG501" s="242"/>
      <c r="AH501" s="242"/>
      <c r="AI501" s="242"/>
      <c r="AJ501" s="242"/>
      <c r="AK501" s="242"/>
      <c r="AL501" s="242"/>
      <c r="AM501" s="242"/>
      <c r="AO501" s="4"/>
    </row>
    <row r="502" spans="1:41" ht="24.75" customHeight="1" x14ac:dyDescent="0.75">
      <c r="A502" s="243"/>
      <c r="B502" s="244"/>
      <c r="C502" s="4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  <c r="Z502" s="242"/>
      <c r="AA502" s="242"/>
      <c r="AB502" s="242"/>
      <c r="AC502" s="242"/>
      <c r="AD502" s="242"/>
      <c r="AE502" s="242"/>
      <c r="AF502" s="242"/>
      <c r="AG502" s="242"/>
      <c r="AH502" s="242"/>
      <c r="AI502" s="242"/>
      <c r="AJ502" s="242"/>
      <c r="AK502" s="242"/>
      <c r="AL502" s="242"/>
      <c r="AM502" s="242"/>
      <c r="AO502" s="4"/>
    </row>
    <row r="503" spans="1:41" ht="24.75" customHeight="1" x14ac:dyDescent="0.75">
      <c r="A503" s="243"/>
      <c r="B503" s="244"/>
      <c r="C503" s="4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  <c r="Z503" s="242"/>
      <c r="AA503" s="242"/>
      <c r="AB503" s="242"/>
      <c r="AC503" s="242"/>
      <c r="AD503" s="242"/>
      <c r="AE503" s="242"/>
      <c r="AF503" s="242"/>
      <c r="AG503" s="242"/>
      <c r="AH503" s="242"/>
      <c r="AI503" s="242"/>
      <c r="AJ503" s="242"/>
      <c r="AK503" s="242"/>
      <c r="AL503" s="242"/>
      <c r="AM503" s="242"/>
      <c r="AO503" s="4"/>
    </row>
    <row r="504" spans="1:41" ht="24.75" customHeight="1" x14ac:dyDescent="0.75">
      <c r="A504" s="243"/>
      <c r="B504" s="244"/>
      <c r="C504" s="4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  <c r="Z504" s="242"/>
      <c r="AA504" s="242"/>
      <c r="AB504" s="242"/>
      <c r="AC504" s="242"/>
      <c r="AD504" s="242"/>
      <c r="AE504" s="242"/>
      <c r="AF504" s="242"/>
      <c r="AG504" s="242"/>
      <c r="AH504" s="242"/>
      <c r="AI504" s="242"/>
      <c r="AJ504" s="242"/>
      <c r="AK504" s="242"/>
      <c r="AL504" s="242"/>
      <c r="AM504" s="242"/>
      <c r="AO504" s="4"/>
    </row>
    <row r="505" spans="1:41" ht="24.75" customHeight="1" x14ac:dyDescent="0.75">
      <c r="A505" s="243"/>
      <c r="B505" s="244"/>
      <c r="C505" s="4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  <c r="Z505" s="242"/>
      <c r="AA505" s="242"/>
      <c r="AB505" s="242"/>
      <c r="AC505" s="242"/>
      <c r="AD505" s="242"/>
      <c r="AE505" s="242"/>
      <c r="AF505" s="242"/>
      <c r="AG505" s="242"/>
      <c r="AH505" s="242"/>
      <c r="AI505" s="242"/>
      <c r="AJ505" s="242"/>
      <c r="AK505" s="242"/>
      <c r="AL505" s="242"/>
      <c r="AM505" s="242"/>
      <c r="AO505" s="4"/>
    </row>
    <row r="506" spans="1:41" ht="24.75" customHeight="1" x14ac:dyDescent="0.75">
      <c r="A506" s="243"/>
      <c r="B506" s="244"/>
      <c r="C506" s="4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  <c r="Z506" s="242"/>
      <c r="AA506" s="242"/>
      <c r="AB506" s="242"/>
      <c r="AC506" s="242"/>
      <c r="AD506" s="242"/>
      <c r="AE506" s="242"/>
      <c r="AF506" s="242"/>
      <c r="AG506" s="242"/>
      <c r="AH506" s="242"/>
      <c r="AI506" s="242"/>
      <c r="AJ506" s="242"/>
      <c r="AK506" s="242"/>
      <c r="AL506" s="242"/>
      <c r="AM506" s="242"/>
      <c r="AO506" s="4"/>
    </row>
    <row r="507" spans="1:41" ht="24.75" customHeight="1" x14ac:dyDescent="0.75">
      <c r="A507" s="243"/>
      <c r="B507" s="244"/>
      <c r="C507" s="4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  <c r="Z507" s="242"/>
      <c r="AA507" s="242"/>
      <c r="AB507" s="242"/>
      <c r="AC507" s="242"/>
      <c r="AD507" s="242"/>
      <c r="AE507" s="242"/>
      <c r="AF507" s="242"/>
      <c r="AG507" s="242"/>
      <c r="AH507" s="242"/>
      <c r="AI507" s="242"/>
      <c r="AJ507" s="242"/>
      <c r="AK507" s="242"/>
      <c r="AL507" s="242"/>
      <c r="AM507" s="242"/>
      <c r="AO507" s="4"/>
    </row>
    <row r="508" spans="1:41" ht="24.75" customHeight="1" x14ac:dyDescent="0.75">
      <c r="A508" s="243"/>
      <c r="B508" s="244"/>
      <c r="C508" s="4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  <c r="Z508" s="242"/>
      <c r="AA508" s="242"/>
      <c r="AB508" s="242"/>
      <c r="AC508" s="242"/>
      <c r="AD508" s="242"/>
      <c r="AE508" s="242"/>
      <c r="AF508" s="242"/>
      <c r="AG508" s="242"/>
      <c r="AH508" s="242"/>
      <c r="AI508" s="242"/>
      <c r="AJ508" s="242"/>
      <c r="AK508" s="242"/>
      <c r="AL508" s="242"/>
      <c r="AM508" s="242"/>
      <c r="AO508" s="4"/>
    </row>
    <row r="509" spans="1:41" ht="24.75" customHeight="1" x14ac:dyDescent="0.75">
      <c r="A509" s="243"/>
      <c r="B509" s="244"/>
      <c r="C509" s="4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  <c r="Z509" s="242"/>
      <c r="AA509" s="242"/>
      <c r="AB509" s="242"/>
      <c r="AC509" s="242"/>
      <c r="AD509" s="242"/>
      <c r="AE509" s="242"/>
      <c r="AF509" s="242"/>
      <c r="AG509" s="242"/>
      <c r="AH509" s="242"/>
      <c r="AI509" s="242"/>
      <c r="AJ509" s="242"/>
      <c r="AK509" s="242"/>
      <c r="AL509" s="242"/>
      <c r="AM509" s="242"/>
      <c r="AO509" s="4"/>
    </row>
    <row r="510" spans="1:41" ht="24.75" customHeight="1" x14ac:dyDescent="0.75">
      <c r="A510" s="243"/>
      <c r="B510" s="244"/>
      <c r="C510" s="4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  <c r="Z510" s="242"/>
      <c r="AA510" s="242"/>
      <c r="AB510" s="242"/>
      <c r="AC510" s="242"/>
      <c r="AD510" s="242"/>
      <c r="AE510" s="242"/>
      <c r="AF510" s="242"/>
      <c r="AG510" s="242"/>
      <c r="AH510" s="242"/>
      <c r="AI510" s="242"/>
      <c r="AJ510" s="242"/>
      <c r="AK510" s="242"/>
      <c r="AL510" s="242"/>
      <c r="AM510" s="242"/>
      <c r="AO510" s="4"/>
    </row>
    <row r="511" spans="1:41" ht="24.75" customHeight="1" x14ac:dyDescent="0.75">
      <c r="A511" s="243"/>
      <c r="B511" s="244"/>
      <c r="C511" s="4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  <c r="Z511" s="242"/>
      <c r="AA511" s="242"/>
      <c r="AB511" s="242"/>
      <c r="AC511" s="242"/>
      <c r="AD511" s="242"/>
      <c r="AE511" s="242"/>
      <c r="AF511" s="242"/>
      <c r="AG511" s="242"/>
      <c r="AH511" s="242"/>
      <c r="AI511" s="242"/>
      <c r="AJ511" s="242"/>
      <c r="AK511" s="242"/>
      <c r="AL511" s="242"/>
      <c r="AM511" s="242"/>
      <c r="AO511" s="4"/>
    </row>
    <row r="512" spans="1:41" ht="24.75" customHeight="1" x14ac:dyDescent="0.75">
      <c r="A512" s="243"/>
      <c r="B512" s="244"/>
      <c r="C512" s="4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  <c r="Z512" s="242"/>
      <c r="AA512" s="242"/>
      <c r="AB512" s="242"/>
      <c r="AC512" s="242"/>
      <c r="AD512" s="242"/>
      <c r="AE512" s="242"/>
      <c r="AF512" s="242"/>
      <c r="AG512" s="242"/>
      <c r="AH512" s="242"/>
      <c r="AI512" s="242"/>
      <c r="AJ512" s="242"/>
      <c r="AK512" s="242"/>
      <c r="AL512" s="242"/>
      <c r="AM512" s="242"/>
      <c r="AO512" s="4"/>
    </row>
    <row r="513" spans="1:41" ht="24.75" customHeight="1" x14ac:dyDescent="0.75">
      <c r="A513" s="243"/>
      <c r="B513" s="244"/>
      <c r="C513" s="4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  <c r="Z513" s="242"/>
      <c r="AA513" s="242"/>
      <c r="AB513" s="242"/>
      <c r="AC513" s="242"/>
      <c r="AD513" s="242"/>
      <c r="AE513" s="242"/>
      <c r="AF513" s="242"/>
      <c r="AG513" s="242"/>
      <c r="AH513" s="242"/>
      <c r="AI513" s="242"/>
      <c r="AJ513" s="242"/>
      <c r="AK513" s="242"/>
      <c r="AL513" s="242"/>
      <c r="AM513" s="242"/>
      <c r="AO513" s="4"/>
    </row>
    <row r="514" spans="1:41" ht="24.75" customHeight="1" x14ac:dyDescent="0.75">
      <c r="A514" s="243"/>
      <c r="B514" s="244"/>
      <c r="C514" s="4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  <c r="Z514" s="242"/>
      <c r="AA514" s="242"/>
      <c r="AB514" s="242"/>
      <c r="AC514" s="242"/>
      <c r="AD514" s="242"/>
      <c r="AE514" s="242"/>
      <c r="AF514" s="242"/>
      <c r="AG514" s="242"/>
      <c r="AH514" s="242"/>
      <c r="AI514" s="242"/>
      <c r="AJ514" s="242"/>
      <c r="AK514" s="242"/>
      <c r="AL514" s="242"/>
      <c r="AM514" s="242"/>
      <c r="AO514" s="4"/>
    </row>
    <row r="515" spans="1:41" ht="24.75" customHeight="1" x14ac:dyDescent="0.75">
      <c r="A515" s="243"/>
      <c r="B515" s="244"/>
      <c r="C515" s="4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  <c r="Z515" s="242"/>
      <c r="AA515" s="242"/>
      <c r="AB515" s="242"/>
      <c r="AC515" s="242"/>
      <c r="AD515" s="242"/>
      <c r="AE515" s="242"/>
      <c r="AF515" s="242"/>
      <c r="AG515" s="242"/>
      <c r="AH515" s="242"/>
      <c r="AI515" s="242"/>
      <c r="AJ515" s="242"/>
      <c r="AK515" s="242"/>
      <c r="AL515" s="242"/>
      <c r="AM515" s="242"/>
      <c r="AO515" s="4"/>
    </row>
    <row r="516" spans="1:41" ht="24.75" customHeight="1" x14ac:dyDescent="0.75">
      <c r="A516" s="243"/>
      <c r="B516" s="244"/>
      <c r="C516" s="4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  <c r="Z516" s="242"/>
      <c r="AA516" s="242"/>
      <c r="AB516" s="242"/>
      <c r="AC516" s="242"/>
      <c r="AD516" s="242"/>
      <c r="AE516" s="242"/>
      <c r="AF516" s="242"/>
      <c r="AG516" s="242"/>
      <c r="AH516" s="242"/>
      <c r="AI516" s="242"/>
      <c r="AJ516" s="242"/>
      <c r="AK516" s="242"/>
      <c r="AL516" s="242"/>
      <c r="AM516" s="242"/>
      <c r="AO516" s="4"/>
    </row>
    <row r="517" spans="1:41" ht="24.75" customHeight="1" x14ac:dyDescent="0.75">
      <c r="A517" s="243"/>
      <c r="B517" s="244"/>
      <c r="C517" s="4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  <c r="Z517" s="242"/>
      <c r="AA517" s="242"/>
      <c r="AB517" s="242"/>
      <c r="AC517" s="242"/>
      <c r="AD517" s="242"/>
      <c r="AE517" s="242"/>
      <c r="AF517" s="242"/>
      <c r="AG517" s="242"/>
      <c r="AH517" s="242"/>
      <c r="AI517" s="242"/>
      <c r="AJ517" s="242"/>
      <c r="AK517" s="242"/>
      <c r="AL517" s="242"/>
      <c r="AM517" s="242"/>
      <c r="AO517" s="4"/>
    </row>
    <row r="518" spans="1:41" ht="24.75" customHeight="1" x14ac:dyDescent="0.75">
      <c r="A518" s="243"/>
      <c r="B518" s="244"/>
      <c r="C518" s="4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  <c r="Z518" s="242"/>
      <c r="AA518" s="242"/>
      <c r="AB518" s="242"/>
      <c r="AC518" s="242"/>
      <c r="AD518" s="242"/>
      <c r="AE518" s="242"/>
      <c r="AF518" s="242"/>
      <c r="AG518" s="242"/>
      <c r="AH518" s="242"/>
      <c r="AI518" s="242"/>
      <c r="AJ518" s="242"/>
      <c r="AK518" s="242"/>
      <c r="AL518" s="242"/>
      <c r="AM518" s="242"/>
      <c r="AO518" s="4"/>
    </row>
    <row r="519" spans="1:41" ht="24.75" customHeight="1" x14ac:dyDescent="0.75">
      <c r="A519" s="243"/>
      <c r="B519" s="244"/>
      <c r="C519" s="4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  <c r="Z519" s="242"/>
      <c r="AA519" s="242"/>
      <c r="AB519" s="242"/>
      <c r="AC519" s="242"/>
      <c r="AD519" s="242"/>
      <c r="AE519" s="242"/>
      <c r="AF519" s="242"/>
      <c r="AG519" s="242"/>
      <c r="AH519" s="242"/>
      <c r="AI519" s="242"/>
      <c r="AJ519" s="242"/>
      <c r="AK519" s="242"/>
      <c r="AL519" s="242"/>
      <c r="AM519" s="242"/>
      <c r="AO519" s="4"/>
    </row>
    <row r="520" spans="1:41" ht="24.75" customHeight="1" x14ac:dyDescent="0.75">
      <c r="A520" s="243"/>
      <c r="B520" s="244"/>
      <c r="C520" s="4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  <c r="Z520" s="242"/>
      <c r="AA520" s="242"/>
      <c r="AB520" s="242"/>
      <c r="AC520" s="242"/>
      <c r="AD520" s="242"/>
      <c r="AE520" s="242"/>
      <c r="AF520" s="242"/>
      <c r="AG520" s="242"/>
      <c r="AH520" s="242"/>
      <c r="AI520" s="242"/>
      <c r="AJ520" s="242"/>
      <c r="AK520" s="242"/>
      <c r="AL520" s="242"/>
      <c r="AM520" s="242"/>
      <c r="AO520" s="4"/>
    </row>
    <row r="521" spans="1:41" ht="24.75" customHeight="1" x14ac:dyDescent="0.75">
      <c r="A521" s="243"/>
      <c r="B521" s="244"/>
      <c r="C521" s="4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  <c r="Z521" s="242"/>
      <c r="AA521" s="242"/>
      <c r="AB521" s="242"/>
      <c r="AC521" s="242"/>
      <c r="AD521" s="242"/>
      <c r="AE521" s="242"/>
      <c r="AF521" s="242"/>
      <c r="AG521" s="242"/>
      <c r="AH521" s="242"/>
      <c r="AI521" s="242"/>
      <c r="AJ521" s="242"/>
      <c r="AK521" s="242"/>
      <c r="AL521" s="242"/>
      <c r="AM521" s="242"/>
      <c r="AO521" s="4"/>
    </row>
    <row r="522" spans="1:41" ht="24.75" customHeight="1" x14ac:dyDescent="0.75">
      <c r="A522" s="243"/>
      <c r="B522" s="244"/>
      <c r="C522" s="4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  <c r="Z522" s="242"/>
      <c r="AA522" s="242"/>
      <c r="AB522" s="242"/>
      <c r="AC522" s="242"/>
      <c r="AD522" s="242"/>
      <c r="AE522" s="242"/>
      <c r="AF522" s="242"/>
      <c r="AG522" s="242"/>
      <c r="AH522" s="242"/>
      <c r="AI522" s="242"/>
      <c r="AJ522" s="242"/>
      <c r="AK522" s="242"/>
      <c r="AL522" s="242"/>
      <c r="AM522" s="242"/>
      <c r="AO522" s="4"/>
    </row>
    <row r="523" spans="1:41" ht="24.75" customHeight="1" x14ac:dyDescent="0.75">
      <c r="A523" s="243"/>
      <c r="B523" s="244"/>
      <c r="C523" s="4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  <c r="Z523" s="242"/>
      <c r="AA523" s="242"/>
      <c r="AB523" s="242"/>
      <c r="AC523" s="242"/>
      <c r="AD523" s="242"/>
      <c r="AE523" s="242"/>
      <c r="AF523" s="242"/>
      <c r="AG523" s="242"/>
      <c r="AH523" s="242"/>
      <c r="AI523" s="242"/>
      <c r="AJ523" s="242"/>
      <c r="AK523" s="242"/>
      <c r="AL523" s="242"/>
      <c r="AM523" s="242"/>
      <c r="AO523" s="4"/>
    </row>
    <row r="524" spans="1:41" ht="24.75" customHeight="1" x14ac:dyDescent="0.75">
      <c r="A524" s="243"/>
      <c r="B524" s="244"/>
      <c r="C524" s="4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  <c r="Z524" s="242"/>
      <c r="AA524" s="242"/>
      <c r="AB524" s="242"/>
      <c r="AC524" s="242"/>
      <c r="AD524" s="242"/>
      <c r="AE524" s="242"/>
      <c r="AF524" s="242"/>
      <c r="AG524" s="242"/>
      <c r="AH524" s="242"/>
      <c r="AI524" s="242"/>
      <c r="AJ524" s="242"/>
      <c r="AK524" s="242"/>
      <c r="AL524" s="242"/>
      <c r="AM524" s="242"/>
      <c r="AO524" s="4"/>
    </row>
    <row r="525" spans="1:41" ht="24.75" customHeight="1" x14ac:dyDescent="0.75">
      <c r="A525" s="243"/>
      <c r="B525" s="244"/>
      <c r="C525" s="4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  <c r="Z525" s="242"/>
      <c r="AA525" s="242"/>
      <c r="AB525" s="242"/>
      <c r="AC525" s="242"/>
      <c r="AD525" s="242"/>
      <c r="AE525" s="242"/>
      <c r="AF525" s="242"/>
      <c r="AG525" s="242"/>
      <c r="AH525" s="242"/>
      <c r="AI525" s="242"/>
      <c r="AJ525" s="242"/>
      <c r="AK525" s="242"/>
      <c r="AL525" s="242"/>
      <c r="AM525" s="242"/>
      <c r="AO525" s="4"/>
    </row>
    <row r="526" spans="1:41" ht="24.75" customHeight="1" x14ac:dyDescent="0.75">
      <c r="A526" s="243"/>
      <c r="B526" s="244"/>
      <c r="C526" s="4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  <c r="Z526" s="242"/>
      <c r="AA526" s="242"/>
      <c r="AB526" s="242"/>
      <c r="AC526" s="242"/>
      <c r="AD526" s="242"/>
      <c r="AE526" s="242"/>
      <c r="AF526" s="242"/>
      <c r="AG526" s="242"/>
      <c r="AH526" s="242"/>
      <c r="AI526" s="242"/>
      <c r="AJ526" s="242"/>
      <c r="AK526" s="242"/>
      <c r="AL526" s="242"/>
      <c r="AM526" s="242"/>
      <c r="AO526" s="4"/>
    </row>
    <row r="527" spans="1:41" ht="24.75" customHeight="1" x14ac:dyDescent="0.75">
      <c r="A527" s="243"/>
      <c r="B527" s="244"/>
      <c r="C527" s="4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  <c r="Z527" s="242"/>
      <c r="AA527" s="242"/>
      <c r="AB527" s="242"/>
      <c r="AC527" s="242"/>
      <c r="AD527" s="242"/>
      <c r="AE527" s="242"/>
      <c r="AF527" s="242"/>
      <c r="AG527" s="242"/>
      <c r="AH527" s="242"/>
      <c r="AI527" s="242"/>
      <c r="AJ527" s="242"/>
      <c r="AK527" s="242"/>
      <c r="AL527" s="242"/>
      <c r="AM527" s="242"/>
      <c r="AO527" s="4"/>
    </row>
    <row r="528" spans="1:41" ht="24.75" customHeight="1" x14ac:dyDescent="0.75">
      <c r="A528" s="243"/>
      <c r="B528" s="244"/>
      <c r="C528" s="4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  <c r="Z528" s="242"/>
      <c r="AA528" s="242"/>
      <c r="AB528" s="242"/>
      <c r="AC528" s="242"/>
      <c r="AD528" s="242"/>
      <c r="AE528" s="242"/>
      <c r="AF528" s="242"/>
      <c r="AG528" s="242"/>
      <c r="AH528" s="242"/>
      <c r="AI528" s="242"/>
      <c r="AJ528" s="242"/>
      <c r="AK528" s="242"/>
      <c r="AL528" s="242"/>
      <c r="AM528" s="242"/>
      <c r="AO528" s="4"/>
    </row>
    <row r="529" spans="1:41" ht="24.75" customHeight="1" x14ac:dyDescent="0.75">
      <c r="A529" s="243"/>
      <c r="B529" s="244"/>
      <c r="C529" s="4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  <c r="Z529" s="242"/>
      <c r="AA529" s="242"/>
      <c r="AB529" s="242"/>
      <c r="AC529" s="242"/>
      <c r="AD529" s="242"/>
      <c r="AE529" s="242"/>
      <c r="AF529" s="242"/>
      <c r="AG529" s="242"/>
      <c r="AH529" s="242"/>
      <c r="AI529" s="242"/>
      <c r="AJ529" s="242"/>
      <c r="AK529" s="242"/>
      <c r="AL529" s="242"/>
      <c r="AM529" s="242"/>
      <c r="AO529" s="4"/>
    </row>
    <row r="530" spans="1:41" ht="24.75" customHeight="1" x14ac:dyDescent="0.75">
      <c r="A530" s="243"/>
      <c r="B530" s="244"/>
      <c r="C530" s="4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  <c r="Z530" s="242"/>
      <c r="AA530" s="242"/>
      <c r="AB530" s="242"/>
      <c r="AC530" s="242"/>
      <c r="AD530" s="242"/>
      <c r="AE530" s="242"/>
      <c r="AF530" s="242"/>
      <c r="AG530" s="242"/>
      <c r="AH530" s="242"/>
      <c r="AI530" s="242"/>
      <c r="AJ530" s="242"/>
      <c r="AK530" s="242"/>
      <c r="AL530" s="242"/>
      <c r="AM530" s="242"/>
      <c r="AO530" s="4"/>
    </row>
    <row r="531" spans="1:41" ht="24.75" customHeight="1" x14ac:dyDescent="0.75">
      <c r="A531" s="243"/>
      <c r="B531" s="244"/>
      <c r="C531" s="4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  <c r="Z531" s="242"/>
      <c r="AA531" s="242"/>
      <c r="AB531" s="242"/>
      <c r="AC531" s="242"/>
      <c r="AD531" s="242"/>
      <c r="AE531" s="242"/>
      <c r="AF531" s="242"/>
      <c r="AG531" s="242"/>
      <c r="AH531" s="242"/>
      <c r="AI531" s="242"/>
      <c r="AJ531" s="242"/>
      <c r="AK531" s="242"/>
      <c r="AL531" s="242"/>
      <c r="AM531" s="242"/>
      <c r="AO531" s="4"/>
    </row>
    <row r="532" spans="1:41" ht="24.75" customHeight="1" x14ac:dyDescent="0.75">
      <c r="A532" s="243"/>
      <c r="B532" s="244"/>
      <c r="C532" s="4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  <c r="Z532" s="242"/>
      <c r="AA532" s="242"/>
      <c r="AB532" s="242"/>
      <c r="AC532" s="242"/>
      <c r="AD532" s="242"/>
      <c r="AE532" s="242"/>
      <c r="AF532" s="242"/>
      <c r="AG532" s="242"/>
      <c r="AH532" s="242"/>
      <c r="AI532" s="242"/>
      <c r="AJ532" s="242"/>
      <c r="AK532" s="242"/>
      <c r="AL532" s="242"/>
      <c r="AM532" s="242"/>
      <c r="AO532" s="4"/>
    </row>
    <row r="533" spans="1:41" ht="24.75" customHeight="1" x14ac:dyDescent="0.75">
      <c r="A533" s="243"/>
      <c r="B533" s="244"/>
      <c r="C533" s="4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  <c r="Z533" s="242"/>
      <c r="AA533" s="242"/>
      <c r="AB533" s="242"/>
      <c r="AC533" s="242"/>
      <c r="AD533" s="242"/>
      <c r="AE533" s="242"/>
      <c r="AF533" s="242"/>
      <c r="AG533" s="242"/>
      <c r="AH533" s="242"/>
      <c r="AI533" s="242"/>
      <c r="AJ533" s="242"/>
      <c r="AK533" s="242"/>
      <c r="AL533" s="242"/>
      <c r="AM533" s="242"/>
      <c r="AO533" s="4"/>
    </row>
    <row r="534" spans="1:41" ht="24.75" customHeight="1" x14ac:dyDescent="0.75">
      <c r="A534" s="243"/>
      <c r="B534" s="244"/>
      <c r="C534" s="4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  <c r="Z534" s="242"/>
      <c r="AA534" s="242"/>
      <c r="AB534" s="242"/>
      <c r="AC534" s="242"/>
      <c r="AD534" s="242"/>
      <c r="AE534" s="242"/>
      <c r="AF534" s="242"/>
      <c r="AG534" s="242"/>
      <c r="AH534" s="242"/>
      <c r="AI534" s="242"/>
      <c r="AJ534" s="242"/>
      <c r="AK534" s="242"/>
      <c r="AL534" s="242"/>
      <c r="AM534" s="242"/>
      <c r="AO534" s="4"/>
    </row>
    <row r="535" spans="1:41" ht="24.75" customHeight="1" x14ac:dyDescent="0.75">
      <c r="A535" s="243"/>
      <c r="B535" s="244"/>
      <c r="C535" s="4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  <c r="Z535" s="242"/>
      <c r="AA535" s="242"/>
      <c r="AB535" s="242"/>
      <c r="AC535" s="242"/>
      <c r="AD535" s="242"/>
      <c r="AE535" s="242"/>
      <c r="AF535" s="242"/>
      <c r="AG535" s="242"/>
      <c r="AH535" s="242"/>
      <c r="AI535" s="242"/>
      <c r="AJ535" s="242"/>
      <c r="AK535" s="242"/>
      <c r="AL535" s="242"/>
      <c r="AM535" s="242"/>
      <c r="AO535" s="4"/>
    </row>
    <row r="536" spans="1:41" ht="24.75" customHeight="1" x14ac:dyDescent="0.75">
      <c r="A536" s="243"/>
      <c r="B536" s="244"/>
      <c r="C536" s="4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  <c r="Z536" s="242"/>
      <c r="AA536" s="242"/>
      <c r="AB536" s="242"/>
      <c r="AC536" s="242"/>
      <c r="AD536" s="242"/>
      <c r="AE536" s="242"/>
      <c r="AF536" s="242"/>
      <c r="AG536" s="242"/>
      <c r="AH536" s="242"/>
      <c r="AI536" s="242"/>
      <c r="AJ536" s="242"/>
      <c r="AK536" s="242"/>
      <c r="AL536" s="242"/>
      <c r="AM536" s="242"/>
      <c r="AO536" s="4"/>
    </row>
    <row r="537" spans="1:41" ht="24.75" customHeight="1" x14ac:dyDescent="0.75">
      <c r="A537" s="243"/>
      <c r="B537" s="244"/>
      <c r="C537" s="4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  <c r="Z537" s="242"/>
      <c r="AA537" s="242"/>
      <c r="AB537" s="242"/>
      <c r="AC537" s="242"/>
      <c r="AD537" s="242"/>
      <c r="AE537" s="242"/>
      <c r="AF537" s="242"/>
      <c r="AG537" s="242"/>
      <c r="AH537" s="242"/>
      <c r="AI537" s="242"/>
      <c r="AJ537" s="242"/>
      <c r="AK537" s="242"/>
      <c r="AL537" s="242"/>
      <c r="AM537" s="242"/>
      <c r="AO537" s="4"/>
    </row>
    <row r="538" spans="1:41" ht="24.75" customHeight="1" x14ac:dyDescent="0.75">
      <c r="A538" s="243"/>
      <c r="B538" s="244"/>
      <c r="C538" s="4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  <c r="Z538" s="242"/>
      <c r="AA538" s="242"/>
      <c r="AB538" s="242"/>
      <c r="AC538" s="242"/>
      <c r="AD538" s="242"/>
      <c r="AE538" s="242"/>
      <c r="AF538" s="242"/>
      <c r="AG538" s="242"/>
      <c r="AH538" s="242"/>
      <c r="AI538" s="242"/>
      <c r="AJ538" s="242"/>
      <c r="AK538" s="242"/>
      <c r="AL538" s="242"/>
      <c r="AM538" s="242"/>
      <c r="AO538" s="4"/>
    </row>
    <row r="539" spans="1:41" ht="24.75" customHeight="1" x14ac:dyDescent="0.75">
      <c r="A539" s="243"/>
      <c r="B539" s="244"/>
      <c r="C539" s="4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  <c r="Z539" s="242"/>
      <c r="AA539" s="242"/>
      <c r="AB539" s="242"/>
      <c r="AC539" s="242"/>
      <c r="AD539" s="242"/>
      <c r="AE539" s="242"/>
      <c r="AF539" s="242"/>
      <c r="AG539" s="242"/>
      <c r="AH539" s="242"/>
      <c r="AI539" s="242"/>
      <c r="AJ539" s="242"/>
      <c r="AK539" s="242"/>
      <c r="AL539" s="242"/>
      <c r="AM539" s="242"/>
      <c r="AO539" s="4"/>
    </row>
    <row r="540" spans="1:41" ht="24.75" customHeight="1" x14ac:dyDescent="0.75">
      <c r="A540" s="243"/>
      <c r="B540" s="244"/>
      <c r="C540" s="4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  <c r="Z540" s="242"/>
      <c r="AA540" s="242"/>
      <c r="AB540" s="242"/>
      <c r="AC540" s="242"/>
      <c r="AD540" s="242"/>
      <c r="AE540" s="242"/>
      <c r="AF540" s="242"/>
      <c r="AG540" s="242"/>
      <c r="AH540" s="242"/>
      <c r="AI540" s="242"/>
      <c r="AJ540" s="242"/>
      <c r="AK540" s="242"/>
      <c r="AL540" s="242"/>
      <c r="AM540" s="242"/>
      <c r="AO540" s="4"/>
    </row>
    <row r="541" spans="1:41" ht="24.75" customHeight="1" x14ac:dyDescent="0.75">
      <c r="A541" s="243"/>
      <c r="B541" s="244"/>
      <c r="C541" s="4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  <c r="Z541" s="242"/>
      <c r="AA541" s="242"/>
      <c r="AB541" s="242"/>
      <c r="AC541" s="242"/>
      <c r="AD541" s="242"/>
      <c r="AE541" s="242"/>
      <c r="AF541" s="242"/>
      <c r="AG541" s="242"/>
      <c r="AH541" s="242"/>
      <c r="AI541" s="242"/>
      <c r="AJ541" s="242"/>
      <c r="AK541" s="242"/>
      <c r="AL541" s="242"/>
      <c r="AM541" s="242"/>
      <c r="AO541" s="4"/>
    </row>
    <row r="542" spans="1:41" ht="24.75" customHeight="1" x14ac:dyDescent="0.75">
      <c r="A542" s="243"/>
      <c r="B542" s="244"/>
      <c r="C542" s="4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  <c r="Z542" s="242"/>
      <c r="AA542" s="242"/>
      <c r="AB542" s="242"/>
      <c r="AC542" s="242"/>
      <c r="AD542" s="242"/>
      <c r="AE542" s="242"/>
      <c r="AF542" s="242"/>
      <c r="AG542" s="242"/>
      <c r="AH542" s="242"/>
      <c r="AI542" s="242"/>
      <c r="AJ542" s="242"/>
      <c r="AK542" s="242"/>
      <c r="AL542" s="242"/>
      <c r="AM542" s="242"/>
      <c r="AO542" s="4"/>
    </row>
    <row r="543" spans="1:41" ht="24.75" customHeight="1" x14ac:dyDescent="0.75">
      <c r="A543" s="243"/>
      <c r="B543" s="244"/>
      <c r="C543" s="4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  <c r="Z543" s="242"/>
      <c r="AA543" s="242"/>
      <c r="AB543" s="242"/>
      <c r="AC543" s="242"/>
      <c r="AD543" s="242"/>
      <c r="AE543" s="242"/>
      <c r="AF543" s="242"/>
      <c r="AG543" s="242"/>
      <c r="AH543" s="242"/>
      <c r="AI543" s="242"/>
      <c r="AJ543" s="242"/>
      <c r="AK543" s="242"/>
      <c r="AL543" s="242"/>
      <c r="AM543" s="242"/>
      <c r="AO543" s="4"/>
    </row>
    <row r="544" spans="1:41" ht="24.75" customHeight="1" x14ac:dyDescent="0.75">
      <c r="A544" s="243"/>
      <c r="B544" s="244"/>
      <c r="C544" s="4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  <c r="AA544" s="242"/>
      <c r="AB544" s="242"/>
      <c r="AC544" s="242"/>
      <c r="AD544" s="242"/>
      <c r="AE544" s="242"/>
      <c r="AF544" s="242"/>
      <c r="AG544" s="242"/>
      <c r="AH544" s="242"/>
      <c r="AI544" s="242"/>
      <c r="AJ544" s="242"/>
      <c r="AK544" s="242"/>
      <c r="AL544" s="242"/>
      <c r="AM544" s="242"/>
      <c r="AO544" s="4"/>
    </row>
    <row r="545" spans="1:41" ht="24.75" customHeight="1" x14ac:dyDescent="0.75">
      <c r="A545" s="243"/>
      <c r="B545" s="244"/>
      <c r="C545" s="4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  <c r="Z545" s="242"/>
      <c r="AA545" s="242"/>
      <c r="AB545" s="242"/>
      <c r="AC545" s="242"/>
      <c r="AD545" s="242"/>
      <c r="AE545" s="242"/>
      <c r="AF545" s="242"/>
      <c r="AG545" s="242"/>
      <c r="AH545" s="242"/>
      <c r="AI545" s="242"/>
      <c r="AJ545" s="242"/>
      <c r="AK545" s="242"/>
      <c r="AL545" s="242"/>
      <c r="AM545" s="242"/>
      <c r="AO545" s="4"/>
    </row>
    <row r="546" spans="1:41" ht="24.75" customHeight="1" x14ac:dyDescent="0.75">
      <c r="A546" s="243"/>
      <c r="B546" s="244"/>
      <c r="C546" s="4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  <c r="Z546" s="242"/>
      <c r="AA546" s="242"/>
      <c r="AB546" s="242"/>
      <c r="AC546" s="242"/>
      <c r="AD546" s="242"/>
      <c r="AE546" s="242"/>
      <c r="AF546" s="242"/>
      <c r="AG546" s="242"/>
      <c r="AH546" s="242"/>
      <c r="AI546" s="242"/>
      <c r="AJ546" s="242"/>
      <c r="AK546" s="242"/>
      <c r="AL546" s="242"/>
      <c r="AM546" s="242"/>
      <c r="AO546" s="4"/>
    </row>
    <row r="547" spans="1:41" ht="24.75" customHeight="1" x14ac:dyDescent="0.75">
      <c r="A547" s="243"/>
      <c r="B547" s="244"/>
      <c r="C547" s="4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  <c r="Z547" s="242"/>
      <c r="AA547" s="242"/>
      <c r="AB547" s="242"/>
      <c r="AC547" s="242"/>
      <c r="AD547" s="242"/>
      <c r="AE547" s="242"/>
      <c r="AF547" s="242"/>
      <c r="AG547" s="242"/>
      <c r="AH547" s="242"/>
      <c r="AI547" s="242"/>
      <c r="AJ547" s="242"/>
      <c r="AK547" s="242"/>
      <c r="AL547" s="242"/>
      <c r="AM547" s="242"/>
      <c r="AO547" s="4"/>
    </row>
    <row r="548" spans="1:41" ht="24.75" customHeight="1" x14ac:dyDescent="0.75">
      <c r="A548" s="243"/>
      <c r="B548" s="244"/>
      <c r="C548" s="4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  <c r="Z548" s="242"/>
      <c r="AA548" s="242"/>
      <c r="AB548" s="242"/>
      <c r="AC548" s="242"/>
      <c r="AD548" s="242"/>
      <c r="AE548" s="242"/>
      <c r="AF548" s="242"/>
      <c r="AG548" s="242"/>
      <c r="AH548" s="242"/>
      <c r="AI548" s="242"/>
      <c r="AJ548" s="242"/>
      <c r="AK548" s="242"/>
      <c r="AL548" s="242"/>
      <c r="AM548" s="242"/>
      <c r="AO548" s="4"/>
    </row>
    <row r="549" spans="1:41" ht="24.75" customHeight="1" x14ac:dyDescent="0.75">
      <c r="A549" s="243"/>
      <c r="B549" s="244"/>
      <c r="C549" s="4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  <c r="Z549" s="242"/>
      <c r="AA549" s="242"/>
      <c r="AB549" s="242"/>
      <c r="AC549" s="242"/>
      <c r="AD549" s="242"/>
      <c r="AE549" s="242"/>
      <c r="AF549" s="242"/>
      <c r="AG549" s="242"/>
      <c r="AH549" s="242"/>
      <c r="AI549" s="242"/>
      <c r="AJ549" s="242"/>
      <c r="AK549" s="242"/>
      <c r="AL549" s="242"/>
      <c r="AM549" s="242"/>
      <c r="AO549" s="4"/>
    </row>
    <row r="550" spans="1:41" ht="24.75" customHeight="1" x14ac:dyDescent="0.75">
      <c r="A550" s="243"/>
      <c r="B550" s="244"/>
      <c r="C550" s="4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  <c r="Z550" s="242"/>
      <c r="AA550" s="242"/>
      <c r="AB550" s="242"/>
      <c r="AC550" s="242"/>
      <c r="AD550" s="242"/>
      <c r="AE550" s="242"/>
      <c r="AF550" s="242"/>
      <c r="AG550" s="242"/>
      <c r="AH550" s="242"/>
      <c r="AI550" s="242"/>
      <c r="AJ550" s="242"/>
      <c r="AK550" s="242"/>
      <c r="AL550" s="242"/>
      <c r="AM550" s="242"/>
      <c r="AO550" s="4"/>
    </row>
    <row r="551" spans="1:41" ht="24.75" customHeight="1" x14ac:dyDescent="0.75">
      <c r="A551" s="243"/>
      <c r="B551" s="244"/>
      <c r="C551" s="4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  <c r="Z551" s="242"/>
      <c r="AA551" s="242"/>
      <c r="AB551" s="242"/>
      <c r="AC551" s="242"/>
      <c r="AD551" s="242"/>
      <c r="AE551" s="242"/>
      <c r="AF551" s="242"/>
      <c r="AG551" s="242"/>
      <c r="AH551" s="242"/>
      <c r="AI551" s="242"/>
      <c r="AJ551" s="242"/>
      <c r="AK551" s="242"/>
      <c r="AL551" s="242"/>
      <c r="AM551" s="242"/>
      <c r="AO551" s="4"/>
    </row>
    <row r="552" spans="1:41" ht="24.75" customHeight="1" x14ac:dyDescent="0.75">
      <c r="A552" s="243"/>
      <c r="B552" s="244"/>
      <c r="C552" s="4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  <c r="Z552" s="242"/>
      <c r="AA552" s="242"/>
      <c r="AB552" s="242"/>
      <c r="AC552" s="242"/>
      <c r="AD552" s="242"/>
      <c r="AE552" s="242"/>
      <c r="AF552" s="242"/>
      <c r="AG552" s="242"/>
      <c r="AH552" s="242"/>
      <c r="AI552" s="242"/>
      <c r="AJ552" s="242"/>
      <c r="AK552" s="242"/>
      <c r="AL552" s="242"/>
      <c r="AM552" s="242"/>
      <c r="AO552" s="4"/>
    </row>
    <row r="553" spans="1:41" ht="24.75" customHeight="1" x14ac:dyDescent="0.75">
      <c r="A553" s="243"/>
      <c r="B553" s="244"/>
      <c r="C553" s="4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  <c r="Z553" s="242"/>
      <c r="AA553" s="242"/>
      <c r="AB553" s="242"/>
      <c r="AC553" s="242"/>
      <c r="AD553" s="242"/>
      <c r="AE553" s="242"/>
      <c r="AF553" s="242"/>
      <c r="AG553" s="242"/>
      <c r="AH553" s="242"/>
      <c r="AI553" s="242"/>
      <c r="AJ553" s="242"/>
      <c r="AK553" s="242"/>
      <c r="AL553" s="242"/>
      <c r="AM553" s="242"/>
      <c r="AO553" s="4"/>
    </row>
    <row r="554" spans="1:41" ht="24.75" customHeight="1" x14ac:dyDescent="0.75">
      <c r="A554" s="243"/>
      <c r="B554" s="244"/>
      <c r="C554" s="4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  <c r="Z554" s="242"/>
      <c r="AA554" s="242"/>
      <c r="AB554" s="242"/>
      <c r="AC554" s="242"/>
      <c r="AD554" s="242"/>
      <c r="AE554" s="242"/>
      <c r="AF554" s="242"/>
      <c r="AG554" s="242"/>
      <c r="AH554" s="242"/>
      <c r="AI554" s="242"/>
      <c r="AJ554" s="242"/>
      <c r="AK554" s="242"/>
      <c r="AL554" s="242"/>
      <c r="AM554" s="242"/>
      <c r="AO554" s="4"/>
    </row>
    <row r="555" spans="1:41" ht="24.75" customHeight="1" x14ac:dyDescent="0.75">
      <c r="A555" s="243"/>
      <c r="B555" s="244"/>
      <c r="C555" s="4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  <c r="Z555" s="242"/>
      <c r="AA555" s="242"/>
      <c r="AB555" s="242"/>
      <c r="AC555" s="242"/>
      <c r="AD555" s="242"/>
      <c r="AE555" s="242"/>
      <c r="AF555" s="242"/>
      <c r="AG555" s="242"/>
      <c r="AH555" s="242"/>
      <c r="AI555" s="242"/>
      <c r="AJ555" s="242"/>
      <c r="AK555" s="242"/>
      <c r="AL555" s="242"/>
      <c r="AM555" s="242"/>
      <c r="AO555" s="4"/>
    </row>
    <row r="556" spans="1:41" ht="24.75" customHeight="1" x14ac:dyDescent="0.75">
      <c r="A556" s="243"/>
      <c r="B556" s="244"/>
      <c r="C556" s="4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  <c r="Z556" s="242"/>
      <c r="AA556" s="242"/>
      <c r="AB556" s="242"/>
      <c r="AC556" s="242"/>
      <c r="AD556" s="242"/>
      <c r="AE556" s="242"/>
      <c r="AF556" s="242"/>
      <c r="AG556" s="242"/>
      <c r="AH556" s="242"/>
      <c r="AI556" s="242"/>
      <c r="AJ556" s="242"/>
      <c r="AK556" s="242"/>
      <c r="AL556" s="242"/>
      <c r="AM556" s="242"/>
      <c r="AO556" s="4"/>
    </row>
    <row r="557" spans="1:41" ht="24.75" customHeight="1" x14ac:dyDescent="0.75">
      <c r="A557" s="243"/>
      <c r="B557" s="244"/>
      <c r="C557" s="4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  <c r="Z557" s="242"/>
      <c r="AA557" s="242"/>
      <c r="AB557" s="242"/>
      <c r="AC557" s="242"/>
      <c r="AD557" s="242"/>
      <c r="AE557" s="242"/>
      <c r="AF557" s="242"/>
      <c r="AG557" s="242"/>
      <c r="AH557" s="242"/>
      <c r="AI557" s="242"/>
      <c r="AJ557" s="242"/>
      <c r="AK557" s="242"/>
      <c r="AL557" s="242"/>
      <c r="AM557" s="242"/>
      <c r="AO557" s="4"/>
    </row>
    <row r="558" spans="1:41" ht="24.75" customHeight="1" x14ac:dyDescent="0.75">
      <c r="A558" s="243"/>
      <c r="B558" s="244"/>
      <c r="C558" s="4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  <c r="Z558" s="242"/>
      <c r="AA558" s="242"/>
      <c r="AB558" s="242"/>
      <c r="AC558" s="242"/>
      <c r="AD558" s="242"/>
      <c r="AE558" s="242"/>
      <c r="AF558" s="242"/>
      <c r="AG558" s="242"/>
      <c r="AH558" s="242"/>
      <c r="AI558" s="242"/>
      <c r="AJ558" s="242"/>
      <c r="AK558" s="242"/>
      <c r="AL558" s="242"/>
      <c r="AM558" s="242"/>
      <c r="AO558" s="4"/>
    </row>
    <row r="559" spans="1:41" ht="24.75" customHeight="1" x14ac:dyDescent="0.75">
      <c r="A559" s="243"/>
      <c r="B559" s="244"/>
      <c r="C559" s="4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  <c r="Z559" s="242"/>
      <c r="AA559" s="242"/>
      <c r="AB559" s="242"/>
      <c r="AC559" s="242"/>
      <c r="AD559" s="242"/>
      <c r="AE559" s="242"/>
      <c r="AF559" s="242"/>
      <c r="AG559" s="242"/>
      <c r="AH559" s="242"/>
      <c r="AI559" s="242"/>
      <c r="AJ559" s="242"/>
      <c r="AK559" s="242"/>
      <c r="AL559" s="242"/>
      <c r="AM559" s="242"/>
      <c r="AO559" s="4"/>
    </row>
    <row r="560" spans="1:41" ht="24.75" customHeight="1" x14ac:dyDescent="0.75">
      <c r="A560" s="243"/>
      <c r="B560" s="244"/>
      <c r="C560" s="4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  <c r="Z560" s="242"/>
      <c r="AA560" s="242"/>
      <c r="AB560" s="242"/>
      <c r="AC560" s="242"/>
      <c r="AD560" s="242"/>
      <c r="AE560" s="242"/>
      <c r="AF560" s="242"/>
      <c r="AG560" s="242"/>
      <c r="AH560" s="242"/>
      <c r="AI560" s="242"/>
      <c r="AJ560" s="242"/>
      <c r="AK560" s="242"/>
      <c r="AL560" s="242"/>
      <c r="AM560" s="242"/>
      <c r="AO560" s="4"/>
    </row>
    <row r="561" spans="1:41" ht="24.75" customHeight="1" x14ac:dyDescent="0.75">
      <c r="A561" s="243"/>
      <c r="B561" s="244"/>
      <c r="C561" s="4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  <c r="Z561" s="242"/>
      <c r="AA561" s="242"/>
      <c r="AB561" s="242"/>
      <c r="AC561" s="242"/>
      <c r="AD561" s="242"/>
      <c r="AE561" s="242"/>
      <c r="AF561" s="242"/>
      <c r="AG561" s="242"/>
      <c r="AH561" s="242"/>
      <c r="AI561" s="242"/>
      <c r="AJ561" s="242"/>
      <c r="AK561" s="242"/>
      <c r="AL561" s="242"/>
      <c r="AM561" s="242"/>
      <c r="AO561" s="4"/>
    </row>
    <row r="562" spans="1:41" ht="24.75" customHeight="1" x14ac:dyDescent="0.75">
      <c r="A562" s="243"/>
      <c r="B562" s="244"/>
      <c r="C562" s="4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  <c r="Z562" s="242"/>
      <c r="AA562" s="242"/>
      <c r="AB562" s="242"/>
      <c r="AC562" s="242"/>
      <c r="AD562" s="242"/>
      <c r="AE562" s="242"/>
      <c r="AF562" s="242"/>
      <c r="AG562" s="242"/>
      <c r="AH562" s="242"/>
      <c r="AI562" s="242"/>
      <c r="AJ562" s="242"/>
      <c r="AK562" s="242"/>
      <c r="AL562" s="242"/>
      <c r="AM562" s="242"/>
      <c r="AO562" s="4"/>
    </row>
    <row r="563" spans="1:41" ht="24.75" customHeight="1" x14ac:dyDescent="0.75">
      <c r="A563" s="243"/>
      <c r="B563" s="244"/>
      <c r="C563" s="4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  <c r="Z563" s="242"/>
      <c r="AA563" s="242"/>
      <c r="AB563" s="242"/>
      <c r="AC563" s="242"/>
      <c r="AD563" s="242"/>
      <c r="AE563" s="242"/>
      <c r="AF563" s="242"/>
      <c r="AG563" s="242"/>
      <c r="AH563" s="242"/>
      <c r="AI563" s="242"/>
      <c r="AJ563" s="242"/>
      <c r="AK563" s="242"/>
      <c r="AL563" s="242"/>
      <c r="AM563" s="242"/>
      <c r="AO563" s="4"/>
    </row>
    <row r="564" spans="1:41" ht="24.75" customHeight="1" x14ac:dyDescent="0.75">
      <c r="A564" s="243"/>
      <c r="B564" s="244"/>
      <c r="C564" s="4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  <c r="Z564" s="242"/>
      <c r="AA564" s="242"/>
      <c r="AB564" s="242"/>
      <c r="AC564" s="242"/>
      <c r="AD564" s="242"/>
      <c r="AE564" s="242"/>
      <c r="AF564" s="242"/>
      <c r="AG564" s="242"/>
      <c r="AH564" s="242"/>
      <c r="AI564" s="242"/>
      <c r="AJ564" s="242"/>
      <c r="AK564" s="242"/>
      <c r="AL564" s="242"/>
      <c r="AM564" s="242"/>
      <c r="AO564" s="4"/>
    </row>
    <row r="565" spans="1:41" ht="24.75" customHeight="1" x14ac:dyDescent="0.75">
      <c r="A565" s="243"/>
      <c r="B565" s="244"/>
      <c r="C565" s="4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  <c r="Z565" s="242"/>
      <c r="AA565" s="242"/>
      <c r="AB565" s="242"/>
      <c r="AC565" s="242"/>
      <c r="AD565" s="242"/>
      <c r="AE565" s="242"/>
      <c r="AF565" s="242"/>
      <c r="AG565" s="242"/>
      <c r="AH565" s="242"/>
      <c r="AI565" s="242"/>
      <c r="AJ565" s="242"/>
      <c r="AK565" s="242"/>
      <c r="AL565" s="242"/>
      <c r="AM565" s="242"/>
      <c r="AO565" s="4"/>
    </row>
    <row r="566" spans="1:41" ht="24.75" customHeight="1" x14ac:dyDescent="0.75">
      <c r="A566" s="243"/>
      <c r="B566" s="244"/>
      <c r="C566" s="4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  <c r="Z566" s="242"/>
      <c r="AA566" s="242"/>
      <c r="AB566" s="242"/>
      <c r="AC566" s="242"/>
      <c r="AD566" s="242"/>
      <c r="AE566" s="242"/>
      <c r="AF566" s="242"/>
      <c r="AG566" s="242"/>
      <c r="AH566" s="242"/>
      <c r="AI566" s="242"/>
      <c r="AJ566" s="242"/>
      <c r="AK566" s="242"/>
      <c r="AL566" s="242"/>
      <c r="AM566" s="242"/>
      <c r="AO566" s="4"/>
    </row>
    <row r="567" spans="1:41" ht="24.75" customHeight="1" x14ac:dyDescent="0.75">
      <c r="A567" s="243"/>
      <c r="B567" s="244"/>
      <c r="C567" s="4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  <c r="Z567" s="242"/>
      <c r="AA567" s="242"/>
      <c r="AB567" s="242"/>
      <c r="AC567" s="242"/>
      <c r="AD567" s="242"/>
      <c r="AE567" s="242"/>
      <c r="AF567" s="242"/>
      <c r="AG567" s="242"/>
      <c r="AH567" s="242"/>
      <c r="AI567" s="242"/>
      <c r="AJ567" s="242"/>
      <c r="AK567" s="242"/>
      <c r="AL567" s="242"/>
      <c r="AM567" s="242"/>
      <c r="AO567" s="4"/>
    </row>
    <row r="568" spans="1:41" ht="24.75" customHeight="1" x14ac:dyDescent="0.75">
      <c r="A568" s="243"/>
      <c r="B568" s="244"/>
      <c r="C568" s="4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  <c r="Z568" s="242"/>
      <c r="AA568" s="242"/>
      <c r="AB568" s="242"/>
      <c r="AC568" s="242"/>
      <c r="AD568" s="242"/>
      <c r="AE568" s="242"/>
      <c r="AF568" s="242"/>
      <c r="AG568" s="242"/>
      <c r="AH568" s="242"/>
      <c r="AI568" s="242"/>
      <c r="AJ568" s="242"/>
      <c r="AK568" s="242"/>
      <c r="AL568" s="242"/>
      <c r="AM568" s="242"/>
      <c r="AO568" s="4"/>
    </row>
    <row r="569" spans="1:41" ht="24.75" customHeight="1" x14ac:dyDescent="0.75">
      <c r="A569" s="243"/>
      <c r="B569" s="244"/>
      <c r="C569" s="4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  <c r="Z569" s="242"/>
      <c r="AA569" s="242"/>
      <c r="AB569" s="242"/>
      <c r="AC569" s="242"/>
      <c r="AD569" s="242"/>
      <c r="AE569" s="242"/>
      <c r="AF569" s="242"/>
      <c r="AG569" s="242"/>
      <c r="AH569" s="242"/>
      <c r="AI569" s="242"/>
      <c r="AJ569" s="242"/>
      <c r="AK569" s="242"/>
      <c r="AL569" s="242"/>
      <c r="AM569" s="242"/>
      <c r="AO569" s="4"/>
    </row>
    <row r="570" spans="1:41" ht="24.75" customHeight="1" x14ac:dyDescent="0.75">
      <c r="A570" s="243"/>
      <c r="B570" s="244"/>
      <c r="C570" s="4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  <c r="Z570" s="242"/>
      <c r="AA570" s="242"/>
      <c r="AB570" s="242"/>
      <c r="AC570" s="242"/>
      <c r="AD570" s="242"/>
      <c r="AE570" s="242"/>
      <c r="AF570" s="242"/>
      <c r="AG570" s="242"/>
      <c r="AH570" s="242"/>
      <c r="AI570" s="242"/>
      <c r="AJ570" s="242"/>
      <c r="AK570" s="242"/>
      <c r="AL570" s="242"/>
      <c r="AM570" s="242"/>
      <c r="AO570" s="4"/>
    </row>
    <row r="571" spans="1:41" ht="24.75" customHeight="1" x14ac:dyDescent="0.75">
      <c r="A571" s="243"/>
      <c r="B571" s="244"/>
      <c r="C571" s="4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  <c r="Z571" s="242"/>
      <c r="AA571" s="242"/>
      <c r="AB571" s="242"/>
      <c r="AC571" s="242"/>
      <c r="AD571" s="242"/>
      <c r="AE571" s="242"/>
      <c r="AF571" s="242"/>
      <c r="AG571" s="242"/>
      <c r="AH571" s="242"/>
      <c r="AI571" s="242"/>
      <c r="AJ571" s="242"/>
      <c r="AK571" s="242"/>
      <c r="AL571" s="242"/>
      <c r="AM571" s="242"/>
      <c r="AO571" s="4"/>
    </row>
    <row r="572" spans="1:41" ht="24.75" customHeight="1" x14ac:dyDescent="0.75">
      <c r="A572" s="243"/>
      <c r="B572" s="244"/>
      <c r="C572" s="4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  <c r="Z572" s="242"/>
      <c r="AA572" s="242"/>
      <c r="AB572" s="242"/>
      <c r="AC572" s="242"/>
      <c r="AD572" s="242"/>
      <c r="AE572" s="242"/>
      <c r="AF572" s="242"/>
      <c r="AG572" s="242"/>
      <c r="AH572" s="242"/>
      <c r="AI572" s="242"/>
      <c r="AJ572" s="242"/>
      <c r="AK572" s="242"/>
      <c r="AL572" s="242"/>
      <c r="AM572" s="242"/>
      <c r="AO572" s="4"/>
    </row>
    <row r="573" spans="1:41" ht="24.75" customHeight="1" x14ac:dyDescent="0.75">
      <c r="A573" s="243"/>
      <c r="B573" s="244"/>
      <c r="C573" s="4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  <c r="Z573" s="242"/>
      <c r="AA573" s="242"/>
      <c r="AB573" s="242"/>
      <c r="AC573" s="242"/>
      <c r="AD573" s="242"/>
      <c r="AE573" s="242"/>
      <c r="AF573" s="242"/>
      <c r="AG573" s="242"/>
      <c r="AH573" s="242"/>
      <c r="AI573" s="242"/>
      <c r="AJ573" s="242"/>
      <c r="AK573" s="242"/>
      <c r="AL573" s="242"/>
      <c r="AM573" s="242"/>
      <c r="AO573" s="4"/>
    </row>
    <row r="574" spans="1:41" ht="24.75" customHeight="1" x14ac:dyDescent="0.75">
      <c r="A574" s="243"/>
      <c r="B574" s="244"/>
      <c r="C574" s="4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  <c r="Z574" s="242"/>
      <c r="AA574" s="242"/>
      <c r="AB574" s="242"/>
      <c r="AC574" s="242"/>
      <c r="AD574" s="242"/>
      <c r="AE574" s="242"/>
      <c r="AF574" s="242"/>
      <c r="AG574" s="242"/>
      <c r="AH574" s="242"/>
      <c r="AI574" s="242"/>
      <c r="AJ574" s="242"/>
      <c r="AK574" s="242"/>
      <c r="AL574" s="242"/>
      <c r="AM574" s="242"/>
      <c r="AO574" s="4"/>
    </row>
    <row r="575" spans="1:41" ht="24.75" customHeight="1" x14ac:dyDescent="0.75">
      <c r="A575" s="243"/>
      <c r="B575" s="244"/>
      <c r="C575" s="4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  <c r="Z575" s="242"/>
      <c r="AA575" s="242"/>
      <c r="AB575" s="242"/>
      <c r="AC575" s="242"/>
      <c r="AD575" s="242"/>
      <c r="AE575" s="242"/>
      <c r="AF575" s="242"/>
      <c r="AG575" s="242"/>
      <c r="AH575" s="242"/>
      <c r="AI575" s="242"/>
      <c r="AJ575" s="242"/>
      <c r="AK575" s="242"/>
      <c r="AL575" s="242"/>
      <c r="AM575" s="242"/>
      <c r="AO575" s="4"/>
    </row>
    <row r="576" spans="1:41" ht="24.75" customHeight="1" x14ac:dyDescent="0.75">
      <c r="A576" s="243"/>
      <c r="B576" s="244"/>
      <c r="C576" s="4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  <c r="Z576" s="242"/>
      <c r="AA576" s="242"/>
      <c r="AB576" s="242"/>
      <c r="AC576" s="242"/>
      <c r="AD576" s="242"/>
      <c r="AE576" s="242"/>
      <c r="AF576" s="242"/>
      <c r="AG576" s="242"/>
      <c r="AH576" s="242"/>
      <c r="AI576" s="242"/>
      <c r="AJ576" s="242"/>
      <c r="AK576" s="242"/>
      <c r="AL576" s="242"/>
      <c r="AM576" s="242"/>
      <c r="AO576" s="4"/>
    </row>
    <row r="577" spans="1:41" ht="24.75" customHeight="1" x14ac:dyDescent="0.75">
      <c r="A577" s="243"/>
      <c r="B577" s="244"/>
      <c r="C577" s="4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  <c r="Z577" s="242"/>
      <c r="AA577" s="242"/>
      <c r="AB577" s="242"/>
      <c r="AC577" s="242"/>
      <c r="AD577" s="242"/>
      <c r="AE577" s="242"/>
      <c r="AF577" s="242"/>
      <c r="AG577" s="242"/>
      <c r="AH577" s="242"/>
      <c r="AI577" s="242"/>
      <c r="AJ577" s="242"/>
      <c r="AK577" s="242"/>
      <c r="AL577" s="242"/>
      <c r="AM577" s="242"/>
      <c r="AO577" s="4"/>
    </row>
    <row r="578" spans="1:41" ht="24.75" customHeight="1" x14ac:dyDescent="0.75">
      <c r="A578" s="243"/>
      <c r="B578" s="244"/>
      <c r="C578" s="4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  <c r="Z578" s="242"/>
      <c r="AA578" s="242"/>
      <c r="AB578" s="242"/>
      <c r="AC578" s="242"/>
      <c r="AD578" s="242"/>
      <c r="AE578" s="242"/>
      <c r="AF578" s="242"/>
      <c r="AG578" s="242"/>
      <c r="AH578" s="242"/>
      <c r="AI578" s="242"/>
      <c r="AJ578" s="242"/>
      <c r="AK578" s="242"/>
      <c r="AL578" s="242"/>
      <c r="AM578" s="242"/>
      <c r="AO578" s="4"/>
    </row>
    <row r="579" spans="1:41" ht="24.75" customHeight="1" x14ac:dyDescent="0.75">
      <c r="A579" s="243"/>
      <c r="B579" s="244"/>
      <c r="C579" s="4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  <c r="Z579" s="242"/>
      <c r="AA579" s="242"/>
      <c r="AB579" s="242"/>
      <c r="AC579" s="242"/>
      <c r="AD579" s="242"/>
      <c r="AE579" s="242"/>
      <c r="AF579" s="242"/>
      <c r="AG579" s="242"/>
      <c r="AH579" s="242"/>
      <c r="AI579" s="242"/>
      <c r="AJ579" s="242"/>
      <c r="AK579" s="242"/>
      <c r="AL579" s="242"/>
      <c r="AM579" s="242"/>
      <c r="AO579" s="4"/>
    </row>
    <row r="580" spans="1:41" ht="24.75" customHeight="1" x14ac:dyDescent="0.75">
      <c r="A580" s="243"/>
      <c r="B580" s="244"/>
      <c r="C580" s="4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  <c r="Z580" s="242"/>
      <c r="AA580" s="242"/>
      <c r="AB580" s="242"/>
      <c r="AC580" s="242"/>
      <c r="AD580" s="242"/>
      <c r="AE580" s="242"/>
      <c r="AF580" s="242"/>
      <c r="AG580" s="242"/>
      <c r="AH580" s="242"/>
      <c r="AI580" s="242"/>
      <c r="AJ580" s="242"/>
      <c r="AK580" s="242"/>
      <c r="AL580" s="242"/>
      <c r="AM580" s="242"/>
      <c r="AO580" s="4"/>
    </row>
    <row r="581" spans="1:41" ht="24.75" customHeight="1" x14ac:dyDescent="0.75">
      <c r="A581" s="243"/>
      <c r="B581" s="244"/>
      <c r="C581" s="4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  <c r="Z581" s="242"/>
      <c r="AA581" s="242"/>
      <c r="AB581" s="242"/>
      <c r="AC581" s="242"/>
      <c r="AD581" s="242"/>
      <c r="AE581" s="242"/>
      <c r="AF581" s="242"/>
      <c r="AG581" s="242"/>
      <c r="AH581" s="242"/>
      <c r="AI581" s="242"/>
      <c r="AJ581" s="242"/>
      <c r="AK581" s="242"/>
      <c r="AL581" s="242"/>
      <c r="AM581" s="242"/>
      <c r="AO581" s="4"/>
    </row>
    <row r="582" spans="1:41" ht="24.75" customHeight="1" x14ac:dyDescent="0.75">
      <c r="A582" s="243"/>
      <c r="B582" s="244"/>
      <c r="C582" s="4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  <c r="Z582" s="242"/>
      <c r="AA582" s="242"/>
      <c r="AB582" s="242"/>
      <c r="AC582" s="242"/>
      <c r="AD582" s="242"/>
      <c r="AE582" s="242"/>
      <c r="AF582" s="242"/>
      <c r="AG582" s="242"/>
      <c r="AH582" s="242"/>
      <c r="AI582" s="242"/>
      <c r="AJ582" s="242"/>
      <c r="AK582" s="242"/>
      <c r="AL582" s="242"/>
      <c r="AM582" s="242"/>
      <c r="AO582" s="4"/>
    </row>
    <row r="583" spans="1:41" ht="24.75" customHeight="1" x14ac:dyDescent="0.75">
      <c r="A583" s="243"/>
      <c r="B583" s="244"/>
      <c r="C583" s="4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  <c r="Z583" s="242"/>
      <c r="AA583" s="242"/>
      <c r="AB583" s="242"/>
      <c r="AC583" s="242"/>
      <c r="AD583" s="242"/>
      <c r="AE583" s="242"/>
      <c r="AF583" s="242"/>
      <c r="AG583" s="242"/>
      <c r="AH583" s="242"/>
      <c r="AI583" s="242"/>
      <c r="AJ583" s="242"/>
      <c r="AK583" s="242"/>
      <c r="AL583" s="242"/>
      <c r="AM583" s="242"/>
      <c r="AO583" s="4"/>
    </row>
    <row r="584" spans="1:41" ht="24.75" customHeight="1" x14ac:dyDescent="0.75">
      <c r="A584" s="243"/>
      <c r="B584" s="244"/>
      <c r="C584" s="4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  <c r="Z584" s="242"/>
      <c r="AA584" s="242"/>
      <c r="AB584" s="242"/>
      <c r="AC584" s="242"/>
      <c r="AD584" s="242"/>
      <c r="AE584" s="242"/>
      <c r="AF584" s="242"/>
      <c r="AG584" s="242"/>
      <c r="AH584" s="242"/>
      <c r="AI584" s="242"/>
      <c r="AJ584" s="242"/>
      <c r="AK584" s="242"/>
      <c r="AL584" s="242"/>
      <c r="AM584" s="242"/>
      <c r="AO584" s="4"/>
    </row>
    <row r="585" spans="1:41" ht="24.75" customHeight="1" x14ac:dyDescent="0.75">
      <c r="A585" s="243"/>
      <c r="B585" s="244"/>
      <c r="C585" s="4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  <c r="Z585" s="242"/>
      <c r="AA585" s="242"/>
      <c r="AB585" s="242"/>
      <c r="AC585" s="242"/>
      <c r="AD585" s="242"/>
      <c r="AE585" s="242"/>
      <c r="AF585" s="242"/>
      <c r="AG585" s="242"/>
      <c r="AH585" s="242"/>
      <c r="AI585" s="242"/>
      <c r="AJ585" s="242"/>
      <c r="AK585" s="242"/>
      <c r="AL585" s="242"/>
      <c r="AM585" s="242"/>
      <c r="AO585" s="4"/>
    </row>
    <row r="586" spans="1:41" ht="24.75" customHeight="1" x14ac:dyDescent="0.75">
      <c r="A586" s="243"/>
      <c r="B586" s="244"/>
      <c r="C586" s="4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  <c r="Z586" s="242"/>
      <c r="AA586" s="242"/>
      <c r="AB586" s="242"/>
      <c r="AC586" s="242"/>
      <c r="AD586" s="242"/>
      <c r="AE586" s="242"/>
      <c r="AF586" s="242"/>
      <c r="AG586" s="242"/>
      <c r="AH586" s="242"/>
      <c r="AI586" s="242"/>
      <c r="AJ586" s="242"/>
      <c r="AK586" s="242"/>
      <c r="AL586" s="242"/>
      <c r="AM586" s="242"/>
      <c r="AO586" s="4"/>
    </row>
    <row r="587" spans="1:41" ht="24.75" customHeight="1" x14ac:dyDescent="0.75">
      <c r="A587" s="243"/>
      <c r="B587" s="244"/>
      <c r="C587" s="4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  <c r="Z587" s="242"/>
      <c r="AA587" s="242"/>
      <c r="AB587" s="242"/>
      <c r="AC587" s="242"/>
      <c r="AD587" s="242"/>
      <c r="AE587" s="242"/>
      <c r="AF587" s="242"/>
      <c r="AG587" s="242"/>
      <c r="AH587" s="242"/>
      <c r="AI587" s="242"/>
      <c r="AJ587" s="242"/>
      <c r="AK587" s="242"/>
      <c r="AL587" s="242"/>
      <c r="AM587" s="242"/>
      <c r="AO587" s="4"/>
    </row>
    <row r="588" spans="1:41" ht="24.75" customHeight="1" x14ac:dyDescent="0.75">
      <c r="A588" s="243"/>
      <c r="B588" s="244"/>
      <c r="C588" s="4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  <c r="Z588" s="242"/>
      <c r="AA588" s="242"/>
      <c r="AB588" s="242"/>
      <c r="AC588" s="242"/>
      <c r="AD588" s="242"/>
      <c r="AE588" s="242"/>
      <c r="AF588" s="242"/>
      <c r="AG588" s="242"/>
      <c r="AH588" s="242"/>
      <c r="AI588" s="242"/>
      <c r="AJ588" s="242"/>
      <c r="AK588" s="242"/>
      <c r="AL588" s="242"/>
      <c r="AM588" s="242"/>
      <c r="AO588" s="4"/>
    </row>
    <row r="589" spans="1:41" ht="24.75" customHeight="1" x14ac:dyDescent="0.75">
      <c r="A589" s="243"/>
      <c r="B589" s="244"/>
      <c r="C589" s="4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  <c r="Z589" s="242"/>
      <c r="AA589" s="242"/>
      <c r="AB589" s="242"/>
      <c r="AC589" s="242"/>
      <c r="AD589" s="242"/>
      <c r="AE589" s="242"/>
      <c r="AF589" s="242"/>
      <c r="AG589" s="242"/>
      <c r="AH589" s="242"/>
      <c r="AI589" s="242"/>
      <c r="AJ589" s="242"/>
      <c r="AK589" s="242"/>
      <c r="AL589" s="242"/>
      <c r="AM589" s="242"/>
      <c r="AO589" s="4"/>
    </row>
    <row r="590" spans="1:41" ht="24.75" customHeight="1" x14ac:dyDescent="0.75">
      <c r="A590" s="243"/>
      <c r="B590" s="244"/>
      <c r="C590" s="4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  <c r="Z590" s="242"/>
      <c r="AA590" s="242"/>
      <c r="AB590" s="242"/>
      <c r="AC590" s="242"/>
      <c r="AD590" s="242"/>
      <c r="AE590" s="242"/>
      <c r="AF590" s="242"/>
      <c r="AG590" s="242"/>
      <c r="AH590" s="242"/>
      <c r="AI590" s="242"/>
      <c r="AJ590" s="242"/>
      <c r="AK590" s="242"/>
      <c r="AL590" s="242"/>
      <c r="AM590" s="242"/>
      <c r="AO590" s="4"/>
    </row>
    <row r="591" spans="1:41" ht="24.75" customHeight="1" x14ac:dyDescent="0.75">
      <c r="A591" s="243"/>
      <c r="B591" s="244"/>
      <c r="C591" s="4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  <c r="Z591" s="242"/>
      <c r="AA591" s="242"/>
      <c r="AB591" s="242"/>
      <c r="AC591" s="242"/>
      <c r="AD591" s="242"/>
      <c r="AE591" s="242"/>
      <c r="AF591" s="242"/>
      <c r="AG591" s="242"/>
      <c r="AH591" s="242"/>
      <c r="AI591" s="242"/>
      <c r="AJ591" s="242"/>
      <c r="AK591" s="242"/>
      <c r="AL591" s="242"/>
      <c r="AM591" s="242"/>
      <c r="AO591" s="4"/>
    </row>
    <row r="592" spans="1:41" ht="24.75" customHeight="1" x14ac:dyDescent="0.75">
      <c r="A592" s="243"/>
      <c r="B592" s="244"/>
      <c r="C592" s="4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  <c r="Z592" s="242"/>
      <c r="AA592" s="242"/>
      <c r="AB592" s="242"/>
      <c r="AC592" s="242"/>
      <c r="AD592" s="242"/>
      <c r="AE592" s="242"/>
      <c r="AF592" s="242"/>
      <c r="AG592" s="242"/>
      <c r="AH592" s="242"/>
      <c r="AI592" s="242"/>
      <c r="AJ592" s="242"/>
      <c r="AK592" s="242"/>
      <c r="AL592" s="242"/>
      <c r="AM592" s="242"/>
      <c r="AO592" s="4"/>
    </row>
    <row r="593" spans="1:41" ht="24.75" customHeight="1" x14ac:dyDescent="0.75">
      <c r="A593" s="243"/>
      <c r="B593" s="244"/>
      <c r="C593" s="4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  <c r="Z593" s="242"/>
      <c r="AA593" s="242"/>
      <c r="AB593" s="242"/>
      <c r="AC593" s="242"/>
      <c r="AD593" s="242"/>
      <c r="AE593" s="242"/>
      <c r="AF593" s="242"/>
      <c r="AG593" s="242"/>
      <c r="AH593" s="242"/>
      <c r="AI593" s="242"/>
      <c r="AJ593" s="242"/>
      <c r="AK593" s="242"/>
      <c r="AL593" s="242"/>
      <c r="AM593" s="242"/>
      <c r="AO593" s="4"/>
    </row>
    <row r="594" spans="1:41" ht="24.75" customHeight="1" x14ac:dyDescent="0.75">
      <c r="A594" s="243"/>
      <c r="B594" s="244"/>
      <c r="C594" s="4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  <c r="Z594" s="242"/>
      <c r="AA594" s="242"/>
      <c r="AB594" s="242"/>
      <c r="AC594" s="242"/>
      <c r="AD594" s="242"/>
      <c r="AE594" s="242"/>
      <c r="AF594" s="242"/>
      <c r="AG594" s="242"/>
      <c r="AH594" s="242"/>
      <c r="AI594" s="242"/>
      <c r="AJ594" s="242"/>
      <c r="AK594" s="242"/>
      <c r="AL594" s="242"/>
      <c r="AM594" s="242"/>
      <c r="AO594" s="4"/>
    </row>
    <row r="595" spans="1:41" ht="24.75" customHeight="1" x14ac:dyDescent="0.75">
      <c r="A595" s="243"/>
      <c r="B595" s="244"/>
      <c r="C595" s="4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  <c r="Z595" s="242"/>
      <c r="AA595" s="242"/>
      <c r="AB595" s="242"/>
      <c r="AC595" s="242"/>
      <c r="AD595" s="242"/>
      <c r="AE595" s="242"/>
      <c r="AF595" s="242"/>
      <c r="AG595" s="242"/>
      <c r="AH595" s="242"/>
      <c r="AI595" s="242"/>
      <c r="AJ595" s="242"/>
      <c r="AK595" s="242"/>
      <c r="AL595" s="242"/>
      <c r="AM595" s="242"/>
      <c r="AO595" s="4"/>
    </row>
    <row r="596" spans="1:41" ht="24.75" customHeight="1" x14ac:dyDescent="0.75">
      <c r="A596" s="243"/>
      <c r="B596" s="244"/>
      <c r="C596" s="4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  <c r="Z596" s="242"/>
      <c r="AA596" s="242"/>
      <c r="AB596" s="242"/>
      <c r="AC596" s="242"/>
      <c r="AD596" s="242"/>
      <c r="AE596" s="242"/>
      <c r="AF596" s="242"/>
      <c r="AG596" s="242"/>
      <c r="AH596" s="242"/>
      <c r="AI596" s="242"/>
      <c r="AJ596" s="242"/>
      <c r="AK596" s="242"/>
      <c r="AL596" s="242"/>
      <c r="AM596" s="242"/>
      <c r="AO596" s="4"/>
    </row>
    <row r="597" spans="1:41" ht="24.75" customHeight="1" x14ac:dyDescent="0.75">
      <c r="A597" s="243"/>
      <c r="B597" s="244"/>
      <c r="C597" s="4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  <c r="Z597" s="242"/>
      <c r="AA597" s="242"/>
      <c r="AB597" s="242"/>
      <c r="AC597" s="242"/>
      <c r="AD597" s="242"/>
      <c r="AE597" s="242"/>
      <c r="AF597" s="242"/>
      <c r="AG597" s="242"/>
      <c r="AH597" s="242"/>
      <c r="AI597" s="242"/>
      <c r="AJ597" s="242"/>
      <c r="AK597" s="242"/>
      <c r="AL597" s="242"/>
      <c r="AM597" s="242"/>
      <c r="AO597" s="4"/>
    </row>
    <row r="598" spans="1:41" ht="24.75" customHeight="1" x14ac:dyDescent="0.75">
      <c r="A598" s="243"/>
      <c r="B598" s="244"/>
      <c r="C598" s="4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  <c r="Z598" s="242"/>
      <c r="AA598" s="242"/>
      <c r="AB598" s="242"/>
      <c r="AC598" s="242"/>
      <c r="AD598" s="242"/>
      <c r="AE598" s="242"/>
      <c r="AF598" s="242"/>
      <c r="AG598" s="242"/>
      <c r="AH598" s="242"/>
      <c r="AI598" s="242"/>
      <c r="AJ598" s="242"/>
      <c r="AK598" s="242"/>
      <c r="AL598" s="242"/>
      <c r="AM598" s="242"/>
      <c r="AO598" s="4"/>
    </row>
    <row r="599" spans="1:41" ht="24.75" customHeight="1" x14ac:dyDescent="0.75">
      <c r="A599" s="243"/>
      <c r="B599" s="244"/>
      <c r="C599" s="4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  <c r="Z599" s="242"/>
      <c r="AA599" s="242"/>
      <c r="AB599" s="242"/>
      <c r="AC599" s="242"/>
      <c r="AD599" s="242"/>
      <c r="AE599" s="242"/>
      <c r="AF599" s="242"/>
      <c r="AG599" s="242"/>
      <c r="AH599" s="242"/>
      <c r="AI599" s="242"/>
      <c r="AJ599" s="242"/>
      <c r="AK599" s="242"/>
      <c r="AL599" s="242"/>
      <c r="AM599" s="242"/>
      <c r="AO599" s="4"/>
    </row>
    <row r="600" spans="1:41" ht="24.75" customHeight="1" x14ac:dyDescent="0.75">
      <c r="A600" s="243"/>
      <c r="B600" s="244"/>
      <c r="C600" s="4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  <c r="Z600" s="242"/>
      <c r="AA600" s="242"/>
      <c r="AB600" s="242"/>
      <c r="AC600" s="242"/>
      <c r="AD600" s="242"/>
      <c r="AE600" s="242"/>
      <c r="AF600" s="242"/>
      <c r="AG600" s="242"/>
      <c r="AH600" s="242"/>
      <c r="AI600" s="242"/>
      <c r="AJ600" s="242"/>
      <c r="AK600" s="242"/>
      <c r="AL600" s="242"/>
      <c r="AM600" s="242"/>
      <c r="AO600" s="4"/>
    </row>
    <row r="601" spans="1:41" ht="24.75" customHeight="1" x14ac:dyDescent="0.75">
      <c r="A601" s="243"/>
      <c r="B601" s="244"/>
      <c r="C601" s="4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  <c r="Z601" s="242"/>
      <c r="AA601" s="242"/>
      <c r="AB601" s="242"/>
      <c r="AC601" s="242"/>
      <c r="AD601" s="242"/>
      <c r="AE601" s="242"/>
      <c r="AF601" s="242"/>
      <c r="AG601" s="242"/>
      <c r="AH601" s="242"/>
      <c r="AI601" s="242"/>
      <c r="AJ601" s="242"/>
      <c r="AK601" s="242"/>
      <c r="AL601" s="242"/>
      <c r="AM601" s="242"/>
      <c r="AO601" s="4"/>
    </row>
    <row r="602" spans="1:41" ht="24.75" customHeight="1" x14ac:dyDescent="0.75">
      <c r="A602" s="243"/>
      <c r="B602" s="244"/>
      <c r="C602" s="4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  <c r="Z602" s="242"/>
      <c r="AA602" s="242"/>
      <c r="AB602" s="242"/>
      <c r="AC602" s="242"/>
      <c r="AD602" s="242"/>
      <c r="AE602" s="242"/>
      <c r="AF602" s="242"/>
      <c r="AG602" s="242"/>
      <c r="AH602" s="242"/>
      <c r="AI602" s="242"/>
      <c r="AJ602" s="242"/>
      <c r="AK602" s="242"/>
      <c r="AL602" s="242"/>
      <c r="AM602" s="242"/>
      <c r="AO602" s="4"/>
    </row>
    <row r="603" spans="1:41" ht="24.75" customHeight="1" x14ac:dyDescent="0.75">
      <c r="A603" s="243"/>
      <c r="B603" s="244"/>
      <c r="C603" s="4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  <c r="Z603" s="242"/>
      <c r="AA603" s="242"/>
      <c r="AB603" s="242"/>
      <c r="AC603" s="242"/>
      <c r="AD603" s="242"/>
      <c r="AE603" s="242"/>
      <c r="AF603" s="242"/>
      <c r="AG603" s="242"/>
      <c r="AH603" s="242"/>
      <c r="AI603" s="242"/>
      <c r="AJ603" s="242"/>
      <c r="AK603" s="242"/>
      <c r="AL603" s="242"/>
      <c r="AM603" s="242"/>
      <c r="AO603" s="4"/>
    </row>
    <row r="604" spans="1:41" ht="24.75" customHeight="1" x14ac:dyDescent="0.75">
      <c r="A604" s="243"/>
      <c r="B604" s="244"/>
      <c r="C604" s="4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  <c r="Z604" s="242"/>
      <c r="AA604" s="242"/>
      <c r="AB604" s="242"/>
      <c r="AC604" s="242"/>
      <c r="AD604" s="242"/>
      <c r="AE604" s="242"/>
      <c r="AF604" s="242"/>
      <c r="AG604" s="242"/>
      <c r="AH604" s="242"/>
      <c r="AI604" s="242"/>
      <c r="AJ604" s="242"/>
      <c r="AK604" s="242"/>
      <c r="AL604" s="242"/>
      <c r="AM604" s="242"/>
      <c r="AO604" s="4"/>
    </row>
    <row r="605" spans="1:41" ht="24.75" customHeight="1" x14ac:dyDescent="0.75">
      <c r="A605" s="243"/>
      <c r="B605" s="244"/>
      <c r="C605" s="4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  <c r="Z605" s="242"/>
      <c r="AA605" s="242"/>
      <c r="AB605" s="242"/>
      <c r="AC605" s="242"/>
      <c r="AD605" s="242"/>
      <c r="AE605" s="242"/>
      <c r="AF605" s="242"/>
      <c r="AG605" s="242"/>
      <c r="AH605" s="242"/>
      <c r="AI605" s="242"/>
      <c r="AJ605" s="242"/>
      <c r="AK605" s="242"/>
      <c r="AL605" s="242"/>
      <c r="AM605" s="242"/>
      <c r="AO605" s="4"/>
    </row>
    <row r="606" spans="1:41" ht="24.75" customHeight="1" x14ac:dyDescent="0.75">
      <c r="A606" s="243"/>
      <c r="B606" s="244"/>
      <c r="C606" s="4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  <c r="Z606" s="242"/>
      <c r="AA606" s="242"/>
      <c r="AB606" s="242"/>
      <c r="AC606" s="242"/>
      <c r="AD606" s="242"/>
      <c r="AE606" s="242"/>
      <c r="AF606" s="242"/>
      <c r="AG606" s="242"/>
      <c r="AH606" s="242"/>
      <c r="AI606" s="242"/>
      <c r="AJ606" s="242"/>
      <c r="AK606" s="242"/>
      <c r="AL606" s="242"/>
      <c r="AM606" s="242"/>
      <c r="AO606" s="4"/>
    </row>
    <row r="607" spans="1:41" ht="24.75" customHeight="1" x14ac:dyDescent="0.75">
      <c r="A607" s="243"/>
      <c r="B607" s="244"/>
      <c r="C607" s="4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  <c r="Z607" s="242"/>
      <c r="AA607" s="242"/>
      <c r="AB607" s="242"/>
      <c r="AC607" s="242"/>
      <c r="AD607" s="242"/>
      <c r="AE607" s="242"/>
      <c r="AF607" s="242"/>
      <c r="AG607" s="242"/>
      <c r="AH607" s="242"/>
      <c r="AI607" s="242"/>
      <c r="AJ607" s="242"/>
      <c r="AK607" s="242"/>
      <c r="AL607" s="242"/>
      <c r="AM607" s="242"/>
      <c r="AO607" s="4"/>
    </row>
    <row r="608" spans="1:41" ht="24.75" customHeight="1" x14ac:dyDescent="0.75">
      <c r="A608" s="243"/>
      <c r="B608" s="244"/>
      <c r="C608" s="4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  <c r="Z608" s="242"/>
      <c r="AA608" s="242"/>
      <c r="AB608" s="242"/>
      <c r="AC608" s="242"/>
      <c r="AD608" s="242"/>
      <c r="AE608" s="242"/>
      <c r="AF608" s="242"/>
      <c r="AG608" s="242"/>
      <c r="AH608" s="242"/>
      <c r="AI608" s="242"/>
      <c r="AJ608" s="242"/>
      <c r="AK608" s="242"/>
      <c r="AL608" s="242"/>
      <c r="AM608" s="242"/>
      <c r="AO608" s="4"/>
    </row>
    <row r="609" spans="1:41" ht="24.75" customHeight="1" x14ac:dyDescent="0.75">
      <c r="A609" s="243"/>
      <c r="B609" s="244"/>
      <c r="C609" s="4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  <c r="Z609" s="242"/>
      <c r="AA609" s="242"/>
      <c r="AB609" s="242"/>
      <c r="AC609" s="242"/>
      <c r="AD609" s="242"/>
      <c r="AE609" s="242"/>
      <c r="AF609" s="242"/>
      <c r="AG609" s="242"/>
      <c r="AH609" s="242"/>
      <c r="AI609" s="242"/>
      <c r="AJ609" s="242"/>
      <c r="AK609" s="242"/>
      <c r="AL609" s="242"/>
      <c r="AM609" s="242"/>
      <c r="AO609" s="4"/>
    </row>
    <row r="610" spans="1:41" ht="24.75" customHeight="1" x14ac:dyDescent="0.75">
      <c r="A610" s="243"/>
      <c r="B610" s="244"/>
      <c r="C610" s="4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  <c r="Z610" s="242"/>
      <c r="AA610" s="242"/>
      <c r="AB610" s="242"/>
      <c r="AC610" s="242"/>
      <c r="AD610" s="242"/>
      <c r="AE610" s="242"/>
      <c r="AF610" s="242"/>
      <c r="AG610" s="242"/>
      <c r="AH610" s="242"/>
      <c r="AI610" s="242"/>
      <c r="AJ610" s="242"/>
      <c r="AK610" s="242"/>
      <c r="AL610" s="242"/>
      <c r="AM610" s="242"/>
      <c r="AO610" s="4"/>
    </row>
    <row r="611" spans="1:41" ht="24.75" customHeight="1" x14ac:dyDescent="0.75">
      <c r="A611" s="243"/>
      <c r="B611" s="244"/>
      <c r="C611" s="4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  <c r="Z611" s="242"/>
      <c r="AA611" s="242"/>
      <c r="AB611" s="242"/>
      <c r="AC611" s="242"/>
      <c r="AD611" s="242"/>
      <c r="AE611" s="242"/>
      <c r="AF611" s="242"/>
      <c r="AG611" s="242"/>
      <c r="AH611" s="242"/>
      <c r="AI611" s="242"/>
      <c r="AJ611" s="242"/>
      <c r="AK611" s="242"/>
      <c r="AL611" s="242"/>
      <c r="AM611" s="242"/>
      <c r="AO611" s="4"/>
    </row>
    <row r="612" spans="1:41" ht="24.75" customHeight="1" x14ac:dyDescent="0.75">
      <c r="A612" s="243"/>
      <c r="B612" s="244"/>
      <c r="C612" s="4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  <c r="Z612" s="242"/>
      <c r="AA612" s="242"/>
      <c r="AB612" s="242"/>
      <c r="AC612" s="242"/>
      <c r="AD612" s="242"/>
      <c r="AE612" s="242"/>
      <c r="AF612" s="242"/>
      <c r="AG612" s="242"/>
      <c r="AH612" s="242"/>
      <c r="AI612" s="242"/>
      <c r="AJ612" s="242"/>
      <c r="AK612" s="242"/>
      <c r="AL612" s="242"/>
      <c r="AM612" s="242"/>
      <c r="AO612" s="4"/>
    </row>
  </sheetData>
  <autoFilter ref="AO11:AO141" xr:uid="{00000000-0009-0000-0000-000001000000}">
    <filterColumn colId="0">
      <filters>
        <filter val="OK"/>
      </filters>
    </filterColumn>
  </autoFilter>
  <mergeCells count="21">
    <mergeCell ref="P10:S10"/>
    <mergeCell ref="T10:W10"/>
    <mergeCell ref="X10:AA10"/>
    <mergeCell ref="AB10:AE10"/>
    <mergeCell ref="AF10:AI10"/>
    <mergeCell ref="A6:AN6"/>
    <mergeCell ref="A7:AN7"/>
    <mergeCell ref="A9:A11"/>
    <mergeCell ref="B9:B11"/>
    <mergeCell ref="C9:C11"/>
    <mergeCell ref="D9:D11"/>
    <mergeCell ref="E9:E11"/>
    <mergeCell ref="F9:G10"/>
    <mergeCell ref="H9:O9"/>
    <mergeCell ref="P9:W9"/>
    <mergeCell ref="AJ10:AM10"/>
    <mergeCell ref="X9:AE9"/>
    <mergeCell ref="AF9:AM9"/>
    <mergeCell ref="AN9:AN11"/>
    <mergeCell ref="H10:K10"/>
    <mergeCell ref="L10:O10"/>
  </mergeCells>
  <printOptions horizontalCentered="1"/>
  <pageMargins left="0" right="0" top="0.25" bottom="0.5" header="0.25" footer="0.25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by Min.</vt:lpstr>
      <vt:lpstr>By Pro.</vt:lpstr>
      <vt:lpstr>'by Min.'!Print_Area</vt:lpstr>
      <vt:lpstr>'By Pro.'!Print_Area</vt:lpstr>
      <vt:lpstr>'by Min.'!Print_Titles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 sovandara</dc:creator>
  <cp:lastModifiedBy>Sineth-GSC</cp:lastModifiedBy>
  <dcterms:created xsi:type="dcterms:W3CDTF">2022-07-20T07:51:06Z</dcterms:created>
  <dcterms:modified xsi:type="dcterms:W3CDTF">2023-05-24T06:43:57Z</dcterms:modified>
</cp:coreProperties>
</file>
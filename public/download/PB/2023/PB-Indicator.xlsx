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EF-BPO\public\download\PB\2023\"/>
    </mc:Choice>
  </mc:AlternateContent>
  <xr:revisionPtr revIDLastSave="0" documentId="8_{F1CC84E7-8A88-4CD5-9353-3DD61B76E3E3}" xr6:coauthVersionLast="47" xr6:coauthVersionMax="47" xr10:uidLastSave="{00000000-0000-0000-0000-000000000000}"/>
  <bookViews>
    <workbookView xWindow="-90" yWindow="-90" windowWidth="19380" windowHeight="10260" xr2:uid="{4DB9169C-C1D7-41DD-A20B-DB48088592D5}"/>
  </bookViews>
  <sheets>
    <sheet name="PB5-PI" sheetId="2" r:id="rId1"/>
  </sheets>
  <externalReferences>
    <externalReference r:id="rId2"/>
    <externalReference r:id="rId3"/>
    <externalReference r:id="rId4"/>
  </externalReferences>
  <definedNames>
    <definedName name="_xlnm._FilterDatabase" localSheetId="0" hidden="1">'PB5-PI'!$K$13:$K$14</definedName>
    <definedName name="condition">[2]Data!$B:$C</definedName>
    <definedName name="Monthdata">[3]!Month_Table[Monthlist]</definedName>
    <definedName name="_xlnm.Print_Area" localSheetId="0">'PB5-PI'!$C$1:$J$132</definedName>
    <definedName name="_xlnm.Print_Titles" localSheetId="0">'PB5-PI'!$12:$14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3" i="2" l="1"/>
  <c r="K122" i="2"/>
  <c r="K121" i="2"/>
  <c r="K120" i="2"/>
  <c r="K119" i="2"/>
  <c r="K118" i="2"/>
  <c r="K116" i="2"/>
  <c r="K115" i="2"/>
  <c r="K114" i="2"/>
  <c r="K113" i="2"/>
  <c r="K112" i="2"/>
  <c r="K111" i="2"/>
  <c r="K109" i="2"/>
  <c r="K108" i="2"/>
  <c r="K107" i="2"/>
  <c r="K106" i="2"/>
  <c r="K105" i="2"/>
  <c r="K104" i="2"/>
  <c r="B103" i="2"/>
  <c r="E103" i="2" s="1"/>
  <c r="K103" i="2" s="1"/>
  <c r="K102" i="2"/>
  <c r="K101" i="2"/>
  <c r="K100" i="2"/>
  <c r="K99" i="2"/>
  <c r="K98" i="2"/>
  <c r="K97" i="2"/>
  <c r="B96" i="2"/>
  <c r="E96" i="2" s="1"/>
  <c r="K96" i="2" s="1"/>
  <c r="K95" i="2"/>
  <c r="K94" i="2"/>
  <c r="K93" i="2"/>
  <c r="K92" i="2"/>
  <c r="K91" i="2"/>
  <c r="K90" i="2"/>
  <c r="K88" i="2"/>
  <c r="K87" i="2"/>
  <c r="K86" i="2"/>
  <c r="K85" i="2"/>
  <c r="K84" i="2"/>
  <c r="K83" i="2"/>
  <c r="K81" i="2"/>
  <c r="K80" i="2"/>
  <c r="K79" i="2"/>
  <c r="K78" i="2"/>
  <c r="K77" i="2"/>
  <c r="K76" i="2"/>
  <c r="B75" i="2"/>
  <c r="E75" i="2" s="1"/>
  <c r="K75" i="2" s="1"/>
  <c r="K74" i="2"/>
  <c r="K73" i="2"/>
  <c r="K72" i="2"/>
  <c r="K71" i="2"/>
  <c r="K70" i="2"/>
  <c r="K69" i="2"/>
  <c r="B68" i="2"/>
  <c r="E68" i="2" s="1"/>
  <c r="K68" i="2" s="1"/>
  <c r="K67" i="2"/>
  <c r="K66" i="2"/>
  <c r="K65" i="2"/>
  <c r="K64" i="2"/>
  <c r="K63" i="2"/>
  <c r="K62" i="2"/>
  <c r="K59" i="2"/>
  <c r="K58" i="2"/>
  <c r="K57" i="2"/>
  <c r="K56" i="2"/>
  <c r="K55" i="2"/>
  <c r="K53" i="2"/>
  <c r="K52" i="2"/>
  <c r="K51" i="2"/>
  <c r="K50" i="2"/>
  <c r="K49" i="2"/>
  <c r="K48" i="2"/>
  <c r="K46" i="2"/>
  <c r="K45" i="2"/>
  <c r="K44" i="2"/>
  <c r="K43" i="2"/>
  <c r="K41" i="2"/>
  <c r="K40" i="2"/>
  <c r="K39" i="2"/>
  <c r="K38" i="2"/>
  <c r="K37" i="2"/>
  <c r="B36" i="2"/>
  <c r="E36" i="2" s="1"/>
  <c r="K36" i="2" s="1"/>
  <c r="K35" i="2"/>
  <c r="K34" i="2"/>
  <c r="K33" i="2"/>
  <c r="K32" i="2"/>
  <c r="K31" i="2"/>
  <c r="K30" i="2"/>
  <c r="B29" i="2"/>
  <c r="E29" i="2" s="1"/>
  <c r="K29" i="2" s="1"/>
  <c r="K28" i="2"/>
  <c r="K27" i="2"/>
  <c r="K26" i="2"/>
  <c r="K25" i="2"/>
  <c r="K24" i="2"/>
  <c r="K23" i="2"/>
  <c r="K21" i="2"/>
  <c r="K20" i="2"/>
  <c r="K19" i="2"/>
  <c r="K18" i="2"/>
  <c r="K17" i="2"/>
  <c r="K16" i="2"/>
  <c r="B15" i="2"/>
  <c r="B117" i="2" s="1"/>
  <c r="F10" i="2"/>
  <c r="F9" i="2"/>
  <c r="C7" i="2"/>
  <c r="C117" i="2" l="1"/>
  <c r="E117" i="2"/>
  <c r="K117" i="2" s="1"/>
  <c r="C29" i="2"/>
  <c r="C68" i="2"/>
  <c r="C96" i="2"/>
  <c r="C36" i="2"/>
  <c r="B42" i="2"/>
  <c r="B47" i="2"/>
  <c r="C75" i="2"/>
  <c r="C103" i="2"/>
  <c r="B82" i="2"/>
  <c r="B110" i="2"/>
  <c r="C15" i="2"/>
  <c r="B54" i="2"/>
  <c r="B22" i="2"/>
  <c r="B61" i="2"/>
  <c r="B89" i="2"/>
  <c r="E47" i="2" l="1"/>
  <c r="K47" i="2" s="1"/>
  <c r="C47" i="2"/>
  <c r="C22" i="2"/>
  <c r="E22" i="2"/>
  <c r="E42" i="2"/>
  <c r="K42" i="2" s="1"/>
  <c r="C42" i="2"/>
  <c r="C61" i="2"/>
  <c r="E61" i="2"/>
  <c r="K61" i="2" s="1"/>
  <c r="E54" i="2"/>
  <c r="K54" i="2" s="1"/>
  <c r="C54" i="2"/>
  <c r="E110" i="2"/>
  <c r="K110" i="2" s="1"/>
  <c r="C110" i="2"/>
  <c r="E82" i="2"/>
  <c r="K82" i="2" s="1"/>
  <c r="C82" i="2"/>
  <c r="C89" i="2"/>
  <c r="E89" i="2"/>
  <c r="K89" i="2" s="1"/>
  <c r="E15" i="2" l="1"/>
  <c r="K15" i="2" s="1"/>
  <c r="K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Daro</author>
  </authors>
  <commentList>
    <comment ref="D12" authorId="0" shapeId="0" xr:uid="{5EFB5FA1-2881-4175-A3AC-8021E7537F6D}">
      <text>
        <r>
          <rPr>
            <b/>
            <sz val="10"/>
            <color indexed="81"/>
            <rFont val="Khmer MEF1"/>
          </rPr>
          <t>សូចនាករអនុកម្មវិធី : PI-XXXX (4ខ្ទង់)</t>
        </r>
        <r>
          <rPr>
            <sz val="10"/>
            <color indexed="81"/>
            <rFont val="Khmer MEF1"/>
          </rPr>
          <t xml:space="preserve">
X=កម្មវិធី (1-5)
XX=អនុកម្មវិធី (01-09)
X=លេខរៀងសូចនាករ (1-9)
</t>
        </r>
        <r>
          <rPr>
            <b/>
            <sz val="10"/>
            <color indexed="81"/>
            <rFont val="Khmer MEF1"/>
          </rPr>
          <t>សូចនាករចង្កោមសកម្មភាព : PI-XXXXXX (6ខ្ទង់)</t>
        </r>
        <r>
          <rPr>
            <sz val="10"/>
            <color indexed="81"/>
            <rFont val="Khmer MEF1"/>
          </rPr>
          <t xml:space="preserve">
X=កម្មវិធី (1-5)
XX=អនុកម្មវិធី (01-09)
XX=ចង្កោមសកម្មភាព (01-15)
X=លេខរៀងសូចនាករ (1-9)</t>
        </r>
      </text>
    </comment>
  </commentList>
</comments>
</file>

<file path=xl/sharedStrings.xml><?xml version="1.0" encoding="utf-8"?>
<sst xmlns="http://schemas.openxmlformats.org/spreadsheetml/2006/main" count="228" uniqueCount="128">
  <si>
    <t>គម្រោងថវិកាឆ្នាំ២០២៣</t>
  </si>
  <si>
    <t>សូចនាករ និងគោលដៅសូចនាករ</t>
  </si>
  <si>
    <t>តារាងទី៥ (តារាង ៥"ក" ក្នុងសារាចររៀបចំគម្រោងថវិកាប្រចាំឆ្នាំ)</t>
  </si>
  <si>
    <t>កូដអនុកម្មវិធី</t>
  </si>
  <si>
    <r>
      <t xml:space="preserve">សេចក្ដីពណ៌នា
</t>
    </r>
    <r>
      <rPr>
        <sz val="10"/>
        <rFont val="Khmer MEF1"/>
      </rPr>
      <t>(បន្ថែមជួរដេកមួយសម្រាប់សូចនាករលទ្ធផលនីមួយៗ)</t>
    </r>
  </si>
  <si>
    <t>កូដ
សូចនាករ</t>
  </si>
  <si>
    <r>
      <t xml:space="preserve">ថវិកាគ្រោង
​ឆ្នាំ២០២៣
</t>
    </r>
    <r>
      <rPr>
        <sz val="10"/>
        <rFont val="Khmer MEF1"/>
      </rPr>
      <t>(លានរៀល)</t>
    </r>
  </si>
  <si>
    <t>គោលដៅសូចនាករសមិទ្ធកម្ម</t>
  </si>
  <si>
    <t>Check</t>
  </si>
  <si>
    <t>កូដកម្មវិធី</t>
  </si>
  <si>
    <r>
      <t xml:space="preserve">ឆ្នាំ២០២១
</t>
    </r>
    <r>
      <rPr>
        <sz val="10"/>
        <rFont val="Khmer MEF1"/>
      </rPr>
      <t>(អនុវត្តរួច)</t>
    </r>
  </si>
  <si>
    <r>
      <t xml:space="preserve">ឆ្នាំ២០២២
</t>
    </r>
    <r>
      <rPr>
        <sz val="10"/>
        <rFont val="Khmer MEF1"/>
      </rPr>
      <t>(កំពុងអនុវត្ត)</t>
    </r>
  </si>
  <si>
    <t>លទ្ធផលអនុវត្ត
ឆមាសទី១ ឆ្នាំ២០២២</t>
  </si>
  <si>
    <t>គ្រោងឆ្នាំ២០២៣</t>
  </si>
  <si>
    <t>គោលដៅ</t>
  </si>
  <si>
    <r>
      <t xml:space="preserve">មូលហេតុនៃការផ្លាស់ប្ដូរ </t>
    </r>
    <r>
      <rPr>
        <sz val="10"/>
        <rFont val="Khmer MEF1"/>
      </rPr>
      <t>(ធៀបឆ្នាំ២០២២)</t>
    </r>
  </si>
  <si>
    <t>-សូចនាករទី១ : គោលនយោបាយម៉ាក្រូសេដ្ឋកិច្ច និងសារពើពន្ធ និងលទ្ធផលការងារពាក់ព័ន្ធ</t>
  </si>
  <si>
    <t>PI-1011</t>
  </si>
  <si>
    <t xml:space="preserve">១. របាយការណ៍ពិនិត្យតាមដាន និងវាយតម្លៃស្ថានភាពសេដ្ឋកិច្ច និងហិរញ្ញវត្ថុសាធារណៈ ប្រចាំឆ្នាំ២០២០ និងពាក់កណ្តាលឆ្នាំ២០២១ ត្រូវបានរៀបចំ 
២.ក្របខ័ណ្ឌគោលនយោបាយម៉ាក្រូសេដ្ឋកិច្ច និងគោលនយោបាយហិរញ្ញវត្ថុសាធារណៈ សម្រាប់ការរៀបចំសេចក្ដីព្រាងច្បាប់ស្តីពីហិរញ្ញវត្ថុសម្រាប់ការគ្រប់គ្រងឆ្នាំ ២០២២ ត្រូវបានរៀបចំ ដោយមានការគិតគូរពីបរិកាណ៍ជំងឺកូវីដ-១៩ 
៣.ការសិក្សាស្រាវជ្រាវលើប្រធានបទ ០៣ ត្រូវបានបញ្ចប់រួមមាន៖ (១). ការជំរុញវិស័យកែច្នៃផលិតផលកសិកម្មនៅកម្ពុជា, (២). ការសិក្សាស្រាវជ្រាវស្តីពីការត្រួតពិនិត្យហានិភ័យលើវិស័យអចលនទ្រព្យនៅកម្ពុជា និង (៣).ក្របខណ្ឌវិធានការក្របខណ្ឌជំរុញវិស័យកសិកម្ម និងកសិ-ឧស្សាហកម្មនៅកម្ពុជា ២០២១-២០២៣ ខណៈឯកសារពាក់ព័ន្ធ ដើម្បីចុះប្រមូលទិន្នន័យសំខាន់ៗសម្រាប់ការសិក្សាស្រាវជ្រាវស្តីពី ការលើកកម្ពស់ដំណើរការផ្សារភ្ជាប់រវាងកសិផលកែច្នៃ និងវិស័យទេសចរណ៍នៅកម្ពុជា ត្រូវបានរៀបចំរួចរាល់ ។
៤.របាយការណ៍ស្តីពីការអនុវត្តគម្រោងមូលនិធិអភិវឌ្ឍន៍ជំនាញត្រូវបានរៀបចំ ។ 
៥.របាយការណ៍ស្តីពីការអនុវត្តគម្រោងមូលនិធិអភិវឌ្ឍន៍សហគ្រិន ភាពត្រូវបានរៀបចំ ។ </t>
  </si>
  <si>
    <t>១.១. ការសិក្សាលើប្រធានបទទាក់ទងវិស័យសេដ្ឋកិច្ច និងហិរញ្ញវត្ថុគន្លឹះ និងរបបលើកទឹកចិត្តពន្ធសម្រាប់វិស័យអាទិភាពចំនួន០៧ ដើម្បីជាធាតុចូលសម្រាប់ការរៀបចំគោលនយោបាយ។
១.២. ក្របខ័ណ្ឌហិរញ្ញវត្ថុសាធារណៈរយៈពេលមធ្យម (MTFF) ឆ្នាំ ២០២៣-២០២៥ ត្រូវបានរៀបចំ និងដាក់ឱ្យប្រើប្រាស់។
១.៣. របាយការណ៍វិភាគ, តាមដាន និងវាយតម្លៃការអនុវត្តគោលនយោបាយម៉ាក្រូសេដ្ឋកិច្ច និងហិរញ្ញវត្ថុសាធារណៈប្រចាំំឆ្នាំ២០២១ ប្រចាំត្រីមាសនិងពាក់កណ្តាលឆ្នាំ២០២២ត្រូវបានរៀបចំ។
១.៤.របាយការណ៍ត្រួតពិនិត្យការអនុវត្តយុទ្ធ
សាស្ត្រកៀរគរចំណូល២០១៩-២០២៣ប្រចាំឆ្នាំនិងពាក់កណ្តាលអាណត្តិ។
១.៥.របាយការណ៍ស្តីពីការអនុវត្តគម្រោង “មូលនិធិអភិវឌ្ឍន៍ជំនាញ (EDF)”, “មូលនិធិអភិវឌ្ឍជំនាញ (SDF)” និង “ផែនការមេអភិវឌ្ឍខេត្តព្រះសីហនុ” ត្រូវបានរៀបចំ។</t>
  </si>
  <si>
    <t xml:space="preserve"> ១. ឯកសារស្រាវជ្រាវឬរបាយការណ៍សិក្ខាសាលាស្តីពីកិច្ចពិភាក្សាលើប្រធានបទទាក់ទងវិស័យសេដ្ឋកិច្ច និងហិរញ្ញវត្ថុចំនួន ៣ ត្រូវបានរៀបចំ
២. ក្របខ័ណ្ឌហិរញ្ញវត្ថុសាធារណៈរយៈពេលមធ្យម ឆ្នាំ ២០២៤-២០២៦ ដែលមានការវាយតម្លៃពីហានិភ័យហិរញ្ញវត្ថុសាធារណៈ ត្រូវបានរៀបចំ
៣. របាយការណ៍ត្រួតពិនិត្យការអនុវត្តយុទ្ធសាស្រ្តកៀរគរចំណូល ២០១៩-២០២៣ ប្រចាំឆ្នាំ ២០២២ និងពាក់កណ្ដាលឆ្នាំ ២០២៣,
៤. របាយការណ៍ពិនិត្យតាមដាន និងវាយតម្លៃសេដ្ឋកិច្ច និងហិរញ្ញវត្ថុសាធារណៈ ប្រចាំឆ្នាំ ២០២២ និងពាក់កណ្តាលឆ្នាំ២០២៣ត្រូវបានរៀបចំ
៥. របាយការណ៍តាមដាន និងវាយតម្លៃសកម្មភាព ដែលបានកំណត់ក្នុងកម្មវិធីកែទម្រង់ការគ្រប់គ្រង ហិរញ្ញវត្ថុសាធារណៈ។
៦.របាយការណ៍វឌ្ឍនភាពស្តីការរៀបចំផែនការមេ​ ដើម្បីប្រែក្លាយខេត្តព្រះសីហនុទៅជាតំបន់សេដ្ឋកិច្ចពិសេសគំរូពហុបំណង ត្រូវបានរៀបចំ។
៧.របាយការណ៍ស្តីពីការអនុវត្តគម្រោងមូលនិធិអភិវឌ្ឍន៍ជំនាញ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២០២១ ត្រូវបានរៀបចំ ។</t>
  </si>
  <si>
    <t xml:space="preserve"> ១. ឯកសារស្រាវជ្រាវឬរបាយការណ៍សិក្ខាសាលាស្តីពីកិច្ចពិភាក្សាលើប្រធានបទទាក់ទងវិស័យសេដ្ឋកិច្ច និងហិរញ្ញវត្ថុចំនួន ៣ ត្រូវបានរៀបចំ
២. ក្របខ័ណ្ឌហិរញ្ញវត្ថុសាធារណៈរយៈពេលមធ្យម ឆ្នាំ ២០២៤-២០២៦ ដែលមានការវាយតម្លៃពីហានិភ័យហិរញ្ញវត្ថុសាធារណៈ ត្រូវបានរៀបចំ
៣. របាយការណ៍ត្រួតពិនិត្យការអនុវត្តយុទ្ធសាស្រ្តកៀរគរចំណូល ២០១៩-២០២៣ ប្រចាំឆ្នាំ ២០២២ និងពាក់កណ្ដាលឆ្នាំ ២០២៣,
៤. របាយការណ៍ពិនិត្យតាមដាន និងវាយតម្លៃសេដ្ឋកិច្ច និងហិរញ្ញវត្ថុសាធារណៈ ប្រចាំឆ្នាំ ២០២២ និងពាក់កណ្តាលឆ្នាំ២០២៣ត្រូវបានរៀបចំ
៥. របាយការណ៍តាមដាន និងវាយតម្លៃសកម្មភាព ដែលបានកំណត់ក្នុងកម្មវិធីកែទម្រង់ការគ្រប់គ្រង ហិរញ្ញវត្ថុសាធារណៈ។
</t>
  </si>
  <si>
    <t>ស្នើសុំដកចេញនូវសូចនាករលើផ្នែកៈ
១.របាយការណ៍វឌ្ឍនភាពស្តីការរៀបចំផែនការមេ​ ដើម្បីប្រែក្លាយខេត្តព្រះសីហនុទៅជាតំបន់សេដ្ឋកិច្ចពិសេសគំរូពហុបំណង ។
២.របាយការណ៍ស្តីពីការអនុវត្តគម្រោងមូលនិធិអភិវឌ្ឍន៍ជំនាញ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២០២១។
មូលហេតុៈ សកម្មភាពនេះ ជាលក្ខណៈ (one off) ដោយប្រើប្រាស់ថវិកាផ្ទេរពីជំពូក​៦៩មក ដូចនេះសុំដាក់ចំណុចទី១ តែសូចនាករក្នុងចង្កោមសកម្មភាពទី២ និងចំណុចទី២ ក្នុងចង្កោមសកម្មភាពទី ៥។</t>
  </si>
  <si>
    <t>-សូចនាករទី២ : លទ្ធផលការងារស្ថិតិ</t>
  </si>
  <si>
    <t xml:space="preserve">៦.របាយការណ៍តាមដាននិន្នាការសេដ្ឋកិច្ច និងហិរញ្ញវត្ថុ ចំនួន៣៣ និងកម្រងទិន្នន័យស្ថិតិចំនួន ១១៩ (សេដ្ឋកិច្ច និងហិរញ្ញវត្ថុ, និន្នាការថ្លៃទំនិញក្នុងស្រុកនិងអន្តរជាតិ,ទិន្នន័យថ្លៃប្រេងនាំចូលប្រេងលក់រាយ)ត្រូវបានរៀបចំ ។ </t>
  </si>
  <si>
    <t>២.របាយការណ៍ និង ផលិតផលស្ថិតិសេដ្ឋកិច្ច និង ហិរញ្ញវត្ថុ ប្រចាំឆ្នាំ២០២១ និងប្រចាំខែ,  ប្រចាំត្រីមាស ឆ្នាំ២០២២ ត្រូវបានរៀបចំ។</t>
  </si>
  <si>
    <t>២.របាយការណ៍ និង ផលិតផលស្ថិតិសេដ្ឋកិច្ច និង ហិរញ្ញវត្ថុ ប្រចាំឆ្នាំ២០២១ និងត្រឹមឆមាសទី ១ ឆ្នាំ២០២២ ត្រូវបានរៀបចំ។</t>
  </si>
  <si>
    <t>២.របាយការណ៍ និង ផលិតផលស្ថិតិសេដ្ឋកិច្ច និង ហិរញ្ញវត្ថុ ប្រចាំឆ្នាំ២០២២ និងប្រចាំខែ,  ប្រចាំត្រីមាស ឆ្នាំ២០២៣ ត្រូវបានរៀបចំ។</t>
  </si>
  <si>
    <t>-សូចនាករទី៣ : លទ្ធផលការងារសមាហរណកម្មសេដ្ឋកិច្ច និងសហប្រតិបត្តិហិរញ្ញវត្ថុ និងរូបិយវត្ថុ</t>
  </si>
  <si>
    <t xml:space="preserve">៧.របាយការណ៍ស្តីពីការតាមដាន សម្របសម្រួល និងអនុវត្តយន្តការសហប្រតិបត្តិការហិរញ្ញវត្ថុ និងរូបិយវត្ថុអាស៊ាននិងជាមួយប្រទេសដៃគូ, កិច្ចព្រមព្រៀងពាណិជ្ជកម្មសេរីអាស៊ាន និងជាមួយប្រទេសដៃគូ,គណៈកម្មាធិកាជាតិសម្រាប់វិធានការមិនមែនពន្ធ និងនិហិតដ្ឋានជាតិព័ត៌មានពាក់ព័ន្ធនឹងពាណិជ្ជកម្ម ត្រូវបានរៀប ចំរួចរាល់ ។ </t>
  </si>
  <si>
    <t>៣.របាយការណ៏ស្តីពីសមាហរណកម្មសេដ្ឋកិច្ចនិងសហប្រតិបត្តិហិរញ្ញវត្ថុ និងរូបិយវត្ថុប្រចាំឆ្នាំ ២០២២ ត្រូវបានរៀបចំ។</t>
  </si>
  <si>
    <t>៣.របាយការណ៏ស្តីពីសមាហរណកម្មសេដ្ឋកិច្ចនិងសហប្រតិបត្តិហិរញ្ញវត្ថុ និងរូបិយវត្ថុប្រចាំឆ្នាំ ២០២៣ ត្រូវបានរៀបចំ។</t>
  </si>
  <si>
    <t>-សូចនាករទី៤ : គោលនយោបាយលើវិស័យសេដ្ឋកិច្ចថ្មី និងលទ្ធផលការងារពាក់ព័ន្ធ</t>
  </si>
  <si>
    <t>គ្មាន</t>
  </si>
  <si>
    <t>១.  របាយការណ៍លទ្ធផលសិក្សាពាក់ព័ន្ធការកំណត់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
២. របាយការណ៍លទ្ធផលសិក្សាពាក់ព័ន្ធសេដ្ឋកិច្ចបៃតង និង ការលើកកម្ពស់ការប្រើប្រាស់ថាមពលបៃតង និងប្រសិទ្ធភាពថាមពល ត្រូវបានរៀបចំ
៣. របាយការណ៍លទ្ធផលសិក្សាពាក់ព័ន្ធនឹងសេដ្ឋកិច្ចឌីជីថល និងការជំរុញការអនុវត្ត​បរិវត្តកម្មឌីជីថល ត្រូវបានរៀបចំ
៤.របាយការណ៍ស្តីពី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ត្រូវបានរៀបចំ</t>
  </si>
  <si>
    <t>ការបង្កើតនាយកដ្ឋានថ្មី</t>
  </si>
  <si>
    <t>-សូចនាករទី៥៖ លទ្ធផលការងារពង្រឹងប្រសិទ្ធភាពចំណាយសាធារណៈ និងការងារពាក់ព័ន្ធ</t>
  </si>
  <si>
    <t>១.ស្តង់ដារថ្លៃទំនិញនិងសេវា សម្រាប់ប្រើប្រាស់ក្នុងចំណាយសាធារណៈ ត្រូវបាន ការរៀបចំ ចងក្រង តាមដាន វិភាគនិងផ្សព្វផ្សាយ ចំនួន ២ គឺ ១. កម្រងទិន្នន័យតាមដានថ្លៃទំនិញ និងសេវា នៅលើទីផ្សាររាជធានីភ្នំពេញប្រចាំត្រីមាស ចំនួន ០៣ ច្បាប់ និង ២. កម្រងទិន្នន័យតាមដានថ្លៃទំនិញនិងសេវាតាមខេត្ត (១២ខេត្ត) ប្រចាំឆមាសទី ១ ឆ្នាំ ២០២៣ ត្រូវបានរៀបចំ។  
២. ​ ក្របខណ្ឌតាមដាន និងវាយតម្លៃគម្រោងវិនិយោគសាធារណៈ ចំនួន ០១ ត្រូវបានរៀបចំ ដើម្បីធានាប្រសិទ្ធភាពចំណាយវិនិយោគ</t>
  </si>
  <si>
    <t xml:space="preserve">-សូចនាករទី៦ : ... </t>
  </si>
  <si>
    <t>-សូចនាករលទ្ធផលក្នុងឆ្នាំទី១ : កិច្ចការងារនានារបស់អគ្គនាយកដ្ឋានត្រូវបានពង្រឹង និងសម្របសម្រួលប្រកបដោយប្រសិទ្ធភាព។</t>
  </si>
  <si>
    <t>PI-101011</t>
  </si>
  <si>
    <t xml:space="preserve"> ១. បានរៀបចំកិច្ចប្រជុំសំខាន់ៗចំនួន៣ លើក រួមមាន៖ (១). កិច្ចប្រជុំត្រួតពិនិត្យ និងតាមដានចំណូលក្នុងបរិការណ៍កូវីដ-១៩, (២). កិច្ចប្រជុំថ្នាក់ដឹកនាំក្រសួងសេដ្ឋកិច្ច និងហិរញ្ញវត្ថុស្តីពីក្រប  ខ័ណ្ឌគោលនយោបាយម៉ាក្រូសេដ្ឋ-កិច្ចនិងគោលនយោបាយហិរញ្ញវត្ថុសាធារណៈឆ្នាំ២០២២។ </t>
  </si>
  <si>
    <t>១. របាយការណ៍កិច្ចប្រជុំគណៈកម្មាធិការគោលនយោបាយ និងរដ្ឋបាលប្រមូលចំណូល (ចំណូលសារពើពន្ធ និងចំណូលមិនមែនសារពើពន្ធ) នីមួយៗត្រូវបានរៀបចំ</t>
  </si>
  <si>
    <t>១. របាយការណ៍កិច្ចប្រជុំគណៈកម្មាធិការគោលនយោបាយ​ និងរដ្ឋបាលប្រមូលចំណូល (ចំណូលសារពើពន្ធ និងចំណូលមិនមែនសារពើពន្ធ) នីមួយៗត្រូវបានរៀបចំ</t>
  </si>
  <si>
    <t>-សូចនាករលទ្ធផលក្នុងឆ្នាំទី២ : កិច្ចប្រជុំផ្សេងៗ ក្នុងនិងក្រៅប្រទេសរបស់ឯកឧត្តមអគ្គនាយក ត្រូវបានសម្របសម្រួល</t>
  </si>
  <si>
    <t>២. របាយការណ៍ចូលរួមកិច្ចប្រជុំសេដ្ឋកិច្ច និង ហិរញ្ញវត្ថុសាធារណៈក្នុង និងក្រៅប្រទេសត្រូវបានរៀបចំ។</t>
  </si>
  <si>
    <t>២. របាយការណ៍ចូលរួមកិច្ចប្រជុំសេដ្ឋកិច្ច និង ហិរញ្ញវត្ថុសាធារណៈក្នុង និងក្រៅប្រទេស ត្រូវបានរៀបចំ។</t>
  </si>
  <si>
    <t xml:space="preserve">-សូចនាករទី៣ : ... </t>
  </si>
  <si>
    <t xml:space="preserve">-សូចនាករទី៤ : ... </t>
  </si>
  <si>
    <t xml:space="preserve">-សូចនាករទី៥ : ... </t>
  </si>
  <si>
    <t>-សូចនាករទី១ : ការសិក្សាស្រាវជ្រាវ ទៅលើឥរិយាបថ និន្នាការ កាលានុវត្តភាព និង​ទស្សនវិស័យពាក់ព័ន្ធវិស័យសំខាន់ៗដូចជាសេដ្ឋកិច្ច ហិរញ្ញវត្ថុ និងសង្គមត្រូវបានពង្រឹង</t>
  </si>
  <si>
    <t>១.ការសិក្សាស្រាវជ្រាវលើប្រធានបទ ០៣ ត្រូវបានបញ្ចប់រួមមាន៖ (១).ការ ជំរុញវិស័យកែច្នៃផលិតផលកសិកម្មនៅកម្ពុជា, (២). ការសិក្សាស្រាវជ្រាវស្តីពីការត្រួតពិនិត្យហានិភ័យលើវិស័យអចលនទ្រព្យនៅកម្ពុជា និង (៣).ក្របខណ្ឌវិធានការក្របខណ្ឌជំរុញវិស័យកសិកម្ម និងកសិ-ឧស្សាហកម្មនៅកម្ពុជា ២០២១-២០២៣ ខណៈឯកសារពាក់ព័ន្ធ ដើម្បីចុះប្រមូលទិន្នន័យសំខាន់ៗសម្រាប់ការសិក្សាស្រាវជ្រាវស្តីពី ការលើកកម្ពស់ដំណើរការផ្សារភ្ជាប់រវាងកសិផលកែច្នៃ និងវិស័យទេសចរណ៍នៅកម្ពុជា ត្រូវបានរៀបចំរួចរាល់។</t>
  </si>
  <si>
    <t xml:space="preserve"> ឯកសារស្រាវជ្រាវឬរបាយការណ៍សិក្ខាសាលាស្តីពីកិច្ចពិភាក្សាលើប្រធានបទទាក់ទងវិស័យសេដ្ឋកិច្ច និងហិរញ្ញវត្ថុចំនួន ៦ ត្រូវបានរៀបចំ៖
(១) ការត្រួតពិនិត្យហានិភ័យលើវិស័យអចលនទ្រព្យនៅកម្ពុជា, 
(២) ការលើកកម្ពស់ដំណើរការផ្សារភ្ជាប់រវាងកសិផលកែច្នៃ និងវិស័យទេសចរណ៍នៅកម្ពុជា 
(៣) ក្របខ័ណ្ឌជំរុញវិស័យកសិកម្ម និងកសិឧស្សាហកម្មកម្ពុជា ២០២១-២០២២
(៤) ការសិក្សាលម្អិតពីខ្សែច្រវាក់ផ្គត់ផ្គង់ត្រី:វិធានការរយៈពេលមធ្យម
(៥) ការសិក្សាលម្អិតពីខ្សែច្រវាក់ផ្គត់ផ្គង់សាច់ជ្រូក:វិធានការរយៈពេលមធ្យម
(៦) ការរៀបចំយន្តការពិនិត្យ តាមដាន និងវាយតម្លៃ: ការអនុវត្តគម្រោងសហហិរញ្ញប្បទានទ្រទ្រង់សហគ្រាសធុនតូច និងមធ្យមនៅកម្ពុជា (ដំណាក់កាលទី ២) និងការផ្តល់ហិរញ្ញប្បទានរបស់ធនាគារសហគ្រាសធុនតូច និងមធ្យមកម្ពុជា</t>
  </si>
  <si>
    <t>(១) បានធ្វើការប្រមូលទិន្នន័យ និងប្រជុំពិគ្រោះយោបល់ជាមួយភាគីពាក់ព័ន្ធ និងកំពុងរៀបចំរបាយការណ៍សិក្សា
(២) បានបញ្ចប់ឯកសារទស្សនាទាន និងកម្រងសំនួរសម្រាប់ការសិក្សា
(៣) បានរៀបចំក្របខ័ណ្ឌជំរុញវិស័យកសិកម្ម និងកសិ-ឧស្សាហកម្មកម្ពុជា ២០២១-២០២៣ ក្រោមក្របខ័ណ្ឌ "ក្រុមការងារអន្តរក្រសួង តាមដាន ត្រួតពិនិត្យ វាយតម្លៃ និងជំរុញការអនុវត្តគោលនយោបាយ និងផែនការសកម្មភាពពាក់ព័ន្ធនឹងការអភិវឌ្ឍវិស័យកសិកម្ម និងកសិ-ឧស្សាហកម្ម"
(៤) បានរៀបចំរបាយការណ៍នៃការសិក្សាខ្លីអំពីច្រវាក់ផ្គត់ផ្គង់ត្រី និងសំណើវិធានការរយៈពេលមធ្យម
(៥) បានរៀបចំរបាយការណ៍សិក្សាអំពីខ្សែច្រវាក់ផ្គត់ផ្គង់សាច់ជ្រូក និងបានរៀបចំយន្តការដេញថ្លៃនាំចូលសត្វជ្រូកសាច់រស់មកកម្ពុជា
(៦) បានបង្កើតគណៈកម្មការហិរញ្ញប្បទានគាំទ្រដល់សហគ្រាសធុនតូច និងមធ្យម</t>
  </si>
  <si>
    <t xml:space="preserve"> ឯកសារស្រាវជ្រាវឬរបាយការណ៍សិក្ខាសាលាស្តីពីកិច្ចពិភាក្សាលើប្រធានបទទាក់ទងវិស័យសេដ្ឋកិច្ច និងហិរញ្ញវត្ថុចំនួន ៣ ត្រូវបានរៀបចំ</t>
  </si>
  <si>
    <t>ការកំណត់ប្រធានបទអាទិភាពថ្មី</t>
  </si>
  <si>
    <t>-សូចនាករទី២ :  វឌ្ឍនភាពស្តីពីការតាមដាន ពិនិត្យ វាយតម្លៃការអនុវត្តគោលនយោបាយសារពើពន្ធ អនុលោមតាមគោលដៅយុទ្ធសាស្រ្តជាតិ</t>
  </si>
  <si>
    <t xml:space="preserve">១. របាយការណ៍ត្រួតពិនិត្យ និងវាយតម្លៃវឌ្ឍនភាពគោលនយោបាយសារពើពន្ធ ប្រចាំឆ្នាំ ២០២១ ត្រូវបានរៀបចំ ។
២.ក្របខ័ណ្ឌគោលនយោបាយហិរញ្ញវត្ថុសាធារណៈ សម្រាប់ការរៀបចំសេចក្តីព្រាងច្បាប់ស្តីពីហិរញ្ញវត្ថុសម្រាប់ការគ្រប់គ្រងឆ្នាំ ២០២២ ត្រូវបានរៀបចំ ។ 
៣. របាយការណ៍ពិនិត្យ និងវាយតម្លៃ ការអនុវត្តយុទ្ធសាស្ត្រកៀរគរចំណូល ២០១៩-២០២៣ ផ្នែកចំណូលមិនមែនសារពើពន្ធ ប្រចាំឆ្នាំ ត្រូវបានរៀបចំ ។ </t>
  </si>
  <si>
    <t>១. របាយការណ៍ពិនិត្យតាមដានការអនុវត្តនយោបាយសារពើពន្ធប្រកបដោយប្រសិទ្ធភាព និងស័ក្តិសិទ្ធិភាពត្រូវបានរៀបចំ
២. ក្របខ័ណ្ឌហិរញ្ញវត្ថុសារធារណៈរយៈពេលមធ្យម ២០២៣-២០២៥ប្រកបដោយប្រសិទ្ធភាព និងស័ក្តិសិទ្ធិភាពត្រូវបានរៀបចំ
៣. របាយការណ៍ពិនិត្យ និងវាយតម្លៃ ការអនុវត្តយុទ្ធសាស្ត្រកៀរគរចំណូល ២០១៩-២០២៣ ផ្នែកចំណូលមិនមែនសារពើពន្ធ ត្រូវបានរៀប។</t>
  </si>
  <si>
    <t>១. ការអនុវត្តចំណូលចរន្តប្រចាំខែ ត្រូវបានតាមដានជាប្រចាំ និងជាផ្នែកមួយនៃរបាយការណ៍ខ្លីស្ដីពីស្ថានភាពសេដ្ឋកិច្ចប្រចាំខែ (Monthly Economic Update) គោរពជូន ឯកឧត្ដមរដ្ឋមន្ត្រីប្រតិភូ និងជារដ្ឋលេខាធិការប្រចាំការ កសហវ ។
២. ក្របខណ្ឌហិរញ្ញវត្ថុសាធារណៈរយៈពេលមធ្យម (MTFF) ឆ្នាំ ២០២៣-២០២៥ និងគោរពជូនថ្នាក់ដឹកនាំ កសហវ ។
៣. ក្របខណ្ឌគោលនយោបាយម៉ាក្រូសេដ្ឋកិច្ច និងគោនយោបាយហិរញ្ញវត្ថុសាធារណៈសម្រាប់ឆ្នាំ ២០២៣ ត្រូវបានរៀបចំជំនួស MTFF វិញ ។
៤. បូកសរុបរបាយការណ៍វឌ្ឍនភាពពីក្រសួង-ស្ថាប័ន និងរៀបចំជាសេចក្ដីព្រាងរបាយការណ៍ពិនិត្យ និងវាយតម្លៃ ការអនុវត្តយុទ្ធសាស្ត្រកៀរគរចំណូល ២០១៩-២០២៣ ផ្នែកចំណូលមិនមែនសារពើពន្ធ ។</t>
  </si>
  <si>
    <t>១. ក្របខណ្ឌហិរញ្ញវត្ថុសារធារណៈរយៈពេលមធ្យម ២០២៤-២០២៦ ដែលមានការវាយតម្លៃពីហានិភ័យហិរញ្ញវត្ថុសាធារណៈ ត្រូវបានរៀបចំ,
២. របាយការណ៍វិភាគ និងវាយតម្លៃការអនុវត្តហិរញ្ញវត្ថុសាធារណៈពាក់កណ្ដាលឆ្នាំ ត្រូវបានរៀបចំ,
៣. របាយការណ៍តាមកម្រិតលម្អៀងការព្យាករចំណូលឆ្នាំ ២០២២ ត្រូវបានរៀបចំ, 
៤. របាយការណ៍វាយតម្លៃការអនុវត្តចំណាយសាធារណៈតាមវិស័យទាំង ៤ ឆ្នាំ ២០២២ ត្រូវបានរៀបចំ ។</t>
  </si>
  <si>
    <t>-សូចនាករទី៣ :  ការអនុវត្តយុទ្ធសាស្ត្រ និងគោលនយោបាយពាក់ព័ន្ធនឹងវិស័យសេដ្ឋកិច្ច-សង្គម ត្រូវបាន​ពិនិត្យ និងវាយតម្លៃឱ្យ អនុលោមតាមគោលដៅ​នៃយុទ្ធសាស្ត្រ និងគោលនយោបាយ</t>
  </si>
  <si>
    <t>១. យុទ្ធសាស្រ្តកៀរគរចំណូល២០១៩-២០២៣  ត្រូវបានរៀបចំរួចរាល់ និងដាក់ឱ្យអនុវត្ត,
២. របាយការណ៍ត្រួតពិនិត្យការអនុវត្តយុទ្ធសាស្រ្តកៀរគរចំណូល ២០១៩-២០២៣ ប្រចាំឆ្នាំ ២០២០ និងប្រចាំឆមាសទី១ ឆ្នាំ២០២១ ត្រូវបានរៀបចំ,
៣. សេចក្ដីព្រាងគោលនយោបាយស្តីពីការលើកទឹកចិត្តពន្ធលើការដំឡើងទោចក្រយាន និងត្រីចក្រយានត្រូវបានរៀបចំ
៤. របាយការណ៍វឌ្ឍនភាពនៃការអនុវត្តគម្រោងមូលនិធិអភិវឌ្ឍជំនាញ ប្រចាំឆ្នាំ២០២១ ត្រូវបានរៀបចំ</t>
  </si>
  <si>
    <t>១. របាយការណ៍ពិនិត្យប្រចាំឆ្នាំ និងពាក់កណ្ដាលអាណត្តិ នៃការអនុវត្តយុទ្ធសាស្រ្តកៀរគរចំណូល ២០១៩-២០២៣  ត្រូវបានរៀបចំ
២. ការសិក្សា​ និងរៀបចំរបបលើកទឹកពន្ធសម្រាប់វិស័យអាទិភាព ត្រូវបានរៀបចំ
៣. របាយការណ៍វឌ្ឍនភាពនៃការអនុវត្តគម្រោងមូលនិធិអភិវឌ្ឍជំនាញ ត្រូវបានរៀបចំ</t>
  </si>
  <si>
    <t>១. បានបញ្ចប់របាយការណ៍ ត្រួតពិនិត្យវឌ្ឍនភាពពាក់កណ្តាលអាណត្តិនៃការអនុវត្តផែនការសកម្មភាព RMS និងបានដាក់ជូនថ្នាក់ដឹកនាំក្រសួងសេដ្ឋកិច្ច និងហិរញ្ញវត្ថុ ពិនិត្យ និងសម្រេច និងកំពុងរៀបចំសេចក្តីព្រាងរបាយការណ៍ វាយតម្លៃពាក់កណ្តាលអាណត្តិ នៃការអនុវត្តយុទ្ធសាស្រ្តកៀរគរចំណូល ២០១៩-២០២៣។
២.បានដាក់ចេញគោលការណ៍ស្តីពីការលើកទឹកចិត្តចំពោះគម្រោងវិនិយោគផ្គុំ និងដំឡើងទោចក្រយានយន្តនិងត្រីចក្រយានយន្ត។
៣). បានរៀបចំរួចរាល់នូវរបាយការណ៍វឌ្ឍនភាពប្រចាំឆ្នាំ ២០២១ នៃការអនុវត្តគម្រោងមូលនិធិអភិវឌ្ឍន៍ជំនាញ និងបានដាក់ជួនថ្នាក់ដឹកនាំក្រសួងសេដ្ឋកិច្ច និងហិរញ្ញវត្ថុពិនិត្យ និងសម្រេច។
- បានរៀបចំរួចរាល់ និងទៀងទាត់នូវរបាយការណ៍សង្ខេប (Dashboard Report) ប្រចាំខែ សម្រាប់ប្រធានគ្រប់គ្រងគម្រោង និងចម្លងជូននាយកគម្រោង។</t>
  </si>
  <si>
    <t>១. របាយការណ៍ពិនិត្យប្រចាំឆ្នាំ ២០២២ និងពាក់កណ្តាលឆ្នាំ ២០២៣ នៃការអនុវត្តយុទ្ធសាស្រ្តកៀរគរចំណូល ២០១៩-២០២៣  ត្រូវបានរៀបចំ
២. ការសិក្សា​ និងរៀបចំរបបលើកទឹកពន្ធសម្រាប់វិស័យអាទិភាព ត្រូវបានរៀបចំ</t>
  </si>
  <si>
    <t>-សូចនាករទី៤ :  ស្ថានភាពសេដ្ឋកិច្ចត្រូវបានពិនិត្យ,តាមដាន និង វាយតម្លៃ, និងក្របខ័ណ្ឌម៉ាក្រូសេដ្ឋកិច្ចរយៈពេលមធ្យមត្រូវបានរៀបចំ</t>
  </si>
  <si>
    <t xml:space="preserve"> ១. របាយការណ៍ពិនិត្យតាមដាន និងវាយតម្លៃសេដ្ឋកិច្ចប្រចាំឆ្នាំ២០២០ និងពាក់កណ្តាលឆ្នាំ២០២១​ ត្រូវបានរៀបចំ
២. របាយការណ៍ និងលទ្ធផលនៃការព្យាករ និងក្របខ័ណ្ឌគោលនយោបាយម៉ាក្រូសេដ្ឋកិច្ចឆ្នាំ២០២២ និងរយៈពេលមធ្យម  ត្រូវបានរៀបចំ
៣. របាយកាណ៍ពិគ្រោះយោបល់ជាមួយអ្នកអនុវត្តផ្ទាល់ និងភាគីពាក់ព័ន្ឋសម្រាប់ធ្វើការវាយតម្លៃ និងព្យាករសេដ្ឋកិច្ច  ត្រូវបានរៀបចំ</t>
  </si>
  <si>
    <t>១.  ក្របខ័ណ្ឌគោលនយោបាយម៉ាក្រូសេដ្ឋកិច្ចដើម្បីដាក់បញ្ចូលក្នុងការ ក្របខ័ណ្ឌហិរញ្ញវត្ថុសាធារណៈរយៈពេលមធ្យម ឆ្នាំ ២០២៣-២០២៥ ត្រូវបានរៀបចំ
២.របាយការណ៍ពិនិត្យតាមដាន និងវាយតម្លៃសេដ្ឋកិច្ចប្រចាំឆ្នាំ ២០២១ និងពាក់កណ្តាលឆ្នាំ ២០២២ ត្រូវបានរៀបចំ
៣. របាយការណ៍ឃ្លាំមើលសេដ្ឋកិច្ចប្រចាំត្រីមាសត្រូវបានរៀបចំ
៤. របាយកាណ៍ពិគ្រោះយោបល់ជាមួយអ្នកអនុវត្តផ្ទាល់ និងភាគីពាក់ព័ន្ឋសម្រាប់ធ្វើការវាយតម្លៃ និងព្យាករសេដ្ឋកិច្ច ត្រូវបានរៀបចំ
៥. របាយការណ៍តាមដានសេដ្ឋកិច្ចប្រចាំខែត្រូវបានរៀបចំ</t>
  </si>
  <si>
    <t xml:space="preserve">១. ក្របខ័័ណ្ឌគោលម៉ាក្រូសេដ្ឋកិច្ច និងគោលនយោបាយហិរញ្ញវត្ថុសាធារណៈសម្រាប់ការរៀបចំសេចក្តីព្រាងច្បាប់ស្តីពីហិរញ្ញវត្ថុសម្រាប់ការគ្រប់គ្រងឆ្នាំ ២០២៣ បានរៀបចំ ជំនួសឱ្យការរៀបចំក្របខ័ណ្ឌគោលនយោបាយម៉ាក្រូសេដ្ឋកិច្ចដើម្បីដាក់បញ្ចូលក្នុងការ ក្របខ័ណ្ឌហិរញ្ញវត្ថុសាធារណៈរយៈពេលមធ្យម ឆ្នាំ ២០២៣-២០២៥ តាមការឯកភាពរបស់ថ្នាក់ដឹកនាំ។ 
២.របាយការណ៍ពិនិត្យតាមដាន និងវាយតម្លៃសេដ្ឋកិច្ចប្រចាំឆ្នាំ ២០២១ និងពាក់កណ្តាលឆ្នាំ ២០២២។ 
៣. របាយការណ៍ឃ្លាំមើលសេដ្ឋកិច្ចប្រចាំត្រីមាសទី ១ សម្រាប់ឆ្នាំ ២០២២     ៤. របាយការណ៍ពិគ្រោះជាមួយអ្នកអនុវត្តផ្ទាល់ និងភាគីពាក់ព័ន្ធសម្រាប់ការធ្វើការវាយតម្លៃ និងព្យាករសេដ្ឋកិច្ច។
៥. របាយការណ៍តាមដានសេដ្ឋកិច្ចប្រចាំខែ ចាប់ពីខែមករា-ឧសភា ឆ្នាំ ២០២២ ។ </t>
  </si>
  <si>
    <t>១.  ក្របខ័ណ្ឌគោលនយោបាយម៉ាក្រូសេដ្ឋកិច្ចដើម្បីដាក់បញ្ចូលក្នុង ក្របខ័ណ្ឌហិរញ្ញវត្ថុសាធារណៈរយៈពេលមធ្យម ឆ្នាំ ២០២៤-២០២៦ ត្រូវបានរៀបចំ
២.របាយការណ៍ពិនិត្យតាមដាន និងវាយតម្លៃសេដ្ឋកិច្ចប្រចាំឆ្នាំ ២០២២ និងពាក់កណ្តាលឆ្នាំ ២០២៣ ត្រូវបានរៀបចំ
៣. របាយការណ៍ឃ្លាំមើលសេដ្ឋកិច្ចប្រចាំត្រីមាសត្រូវបានរៀបចំ
៤. របាយកាណ៍ពិគ្រោះយោបល់ជាមួយអ្នកអនុវត្តផ្ទាល់ និងភាគីពាក់ព័ទ្ធសម្រាប់ធ្វើការវាយតម្លៃ និងព្យាករសេដ្ឋកិច្ច ត្រូវបានរៀបចំ
៥. របាយការណ៍តាមដានសេដ្ឋកិច្ចប្រចាំខែត្រូវបានរៀបចំ</t>
  </si>
  <si>
    <t xml:space="preserve">-សូចនាករទី៥ : គោលនយោបាយហិរញ្ញវត្ថុសាធារណៈត្រូវបានរៀបចំឡើងប្រកបដោយសង្គតិភាពនិងផ្សារភ្ជាប់ទៅនឹងគោលនយោបាយអាទិភាពរបស់រាជរដ្ឋាភិបាល។ </t>
  </si>
  <si>
    <t xml:space="preserve">១. របាយការណ៍ត្រួតពិនិត្យ និងវាយតម្លៃ ការអនុវត្តយុទ្ធសាស្រ្តកៀរគរចំណូល ២០១៩ -២០២៣  ឆ្នាំ ២០២០ និង ពាកើកណ្តាលឆ្នាំ ២០២១ ផ្នែក អ.គ.រ និង គោលនយោបាយសារពើពន្ធ ត្រូវបានរៀបចំ
២. របាយការណ៍តាមដាន និងវាយតម្លៃសកម្មភាពដែលបានកំណត់ក្នុងកម្មវិធីកែទម្រង់ការគ្រប់គ្រងហិរញ្ញវត្ថុសាធារណៈរបស់នាយកដ្ឋានគោលនយោបាយម៉ាក្រូសេដ្ឋកិច្ច និងសារពើពន្ធ
៣. ការសិក្សាលើធាតុចូលសម្រាប់ការវាយតម្លៃការផ្សារភ្ជាប់ថវិកាទៅនឹងគោលនយោបាយអាទិភាពរបស់រាជរដ្ឋាភិបាល សម្រាប់វិស័យអប់រំ និងសុខាភិបាល ត្រូវបានរៀបចំ
៤. សេចក្តីព្រាងគោលនយោបាយសារពើពន្ធជំរុញការប្រើប្រាស់រថយន្តភាគបរិស្ថាន ២០២១-២០៣០ ត្រូវបានរៀបចំ បន្ទាប់ពីទទួលបានមតិយោបល់អគ្គនាយកដ្ឋានពាក់ព័ន្ធ
៥. របាយការណ៍វឌ្ឍនភាព ស្តីពីការអនុវត្តការរៀបចំផែនការមេ​ ដើម្បីប្រែក្លាយខេត្តព្រះសីហនុទៅជាតំបន់សេដ្ឋកិច្ចពិសេសគំរូពហុបំណង 
៦. របាយការណ៍វឌ្ឍនភាពនៃការអនុវត្តគម្រោងមូលនិធិសហគ្រិនភាព (EDF) ប្រចាំឆ្នាំ ២០២០ ត្រូវបានរៀបចំ </t>
  </si>
  <si>
    <t xml:space="preserve">១. របាយការណ៍ត្រួតពិនិត្យ និងវាយតម្លៃ ការអនុវត្តយុទ្ធសាស្រ្តកៀរគរចំណូល ២០១៩ -២០២៣  ពាក់កណ្ដាលអាណត្តិ ផ្នែក អ.គ.រ ត្រូវបានរៀបចំ
២. របាយការណ៍តាមដាន និងវាយតម្លៃសកម្មភាពដែលបានកំណត់ក្នុងកម្មវិធីកែទម្រង់ការគ្រប់គ្រងហិរញ្ញវត្ថុសាធារណៈរបស់នាយកដ្ឋានគោលនយោបាយម៉ាក្រូសេដ្ឋកិច្ច និងសារពើពន្ធ
៣. ការសិក្សាលើធាតុចូលសម្រាប់ការវាយតម្លៃការផ្សារភ្ជាប់ថវិកា ទៅនឹងគោលនយោបាយអាទិភាពរបស់រាជរដ្ឋាភិបាល ត្រូវបានរៀបចំ
៤. របាយការណ៍សិក្សាស្រាវជ្រាវ​ ស្តីពីការរៀបចំ​ និងការអនុវត្តគោលនយោបាយ​សារពើពន្ធសំខាន់ ត្រូវបានរៀបចំ
៥. របាយការណ៍វឌ្ឍនភាព ស្តីពីការអនុវត្តការរៀបចំផែនការមេ​ ដើម្បីប្រែក្លាយខេត្តព្រះសីហនុទៅជាតំបន់សេដ្ឋកិច្ចពិសេសគំរូពហុបំណង 
៦. របាយការណ៍វឌ្ឍនភាពនៃការអនុវត្តគម្រោងមូលនិធិសហគ្រិនភាព (EDF) ប្រចាំឆ្នាំ ២០២១ ត្រូវបានរៀបចំ </t>
  </si>
  <si>
    <t>១. របាយការណ៍ត្រួតពិនិត្យ និងវាយតម្លៃ ការអនុវត្តយុទ្ធសាស្រ្តកៀរគរចំណូល ២០១៩ -២០២៣  ពាក់កណ្ដាលអាណត្តិ ផ្នែក អ.គ.រ និងផ្នែកគោនយោបាយពន្ធ ត្រូវបានរៀបចំ និងបានស្ទង់មតិជាមួយនឹងវិស័យឯកជនលើប្រសិទ្ធភាពក្នុងការអនុវត្តវិធានការនានា
២. បាយការណ៍តាមដាន និងវាយតម្លៃសកម្មភាពដែលបានកំណត់ក្នុងកម្មវិធីកែទម្រង់ការគ្រប់គ្រងហិរញ្ញវត្ថុសាធារណៈរបស់នាយកដ្ឋានគោលនយោបាយម៉ាក្រូសេដ្ឋកិច្ច និងសារពើពន្ធ ប្រចាំត្រីមាសទី ១ និង កំពុងត្រៀមត្រីមាសទី ២
៣. សិក្ខាសាលាពិគ្រោះយោបល់ និងឯកសារជំនួយស្មារតី សម្រាប់វិស័យអប់រំ និងវិស័យគាំពារសង្គម ត្រូវបានរៀបចំ ដើម្បីតម្រង់ទិសថវិកាឆ្នាំ ២០២៣ និងឆ្នាំបន្ទាប់
៤. របាយការណ៍ការសិក្សាលើការអនុវត្តអាករសម្រាប់បំភ្លឺសាធារណៈ  និងវិធានការគោលនយោបាយ,
៥. របាយការណ៍វឌ្ឍនភាព ស្តីពីការអនុវត្តការរៀបចំផែនការមេ ដើម្បីប្រែក្លាយខេត្តព្រះសីហនុទៅជាតំបន់សេដ្ឋកិច្ចពិសេសគំរូពហុបំណង ប្រចាំឆមាសទី ១ ត្រូវបានរៀបចំនឹងដាក់ជូនថ្នាក់ដឹកនាំ ។
៦. របាយការណ៍វឌ្ឍនភាពនៃការអនុវត្តគម្រោងមូលនិធិសហគ្រិនភាព (EDF) ប្រចាំឆ្នាំ ២០២១ ត្រូវបានរៀបចំ ។</t>
  </si>
  <si>
    <t xml:space="preserve">១. របាយការណ៍តាមដាន និងវាយតម្លៃសកម្មភាពដែលបានកំណត់ក្នុងកម្មវិធីកែទម្រង់ការគ្រប់គ្រងហិរញ្ញវត្ថុសាធារណៈរបស់នាយកដ្ឋានគោលនយោបាយម៉ាក្រូសេដ្ឋកិច្ច និងសារពើពន្ធ
២. ការសិក្សាលើធាតុចូលសម្រាប់ការវាយតម្លៃការផ្សារភ្ជាប់ថវិកា ទៅនឹងគោលនយោបាយអាទិភាពរបស់រាជរដ្ឋាភិបាល ត្រូវបានរៀបចំ
៣. របាយការណ៍សិក្សាស្រាវជ្រាវ​ ស្តីពីការរៀបចំ​ និងការអនុវត្តគោលនយោបាយ​សារពើពន្ធសំខាន់ ត្រូវបានរៀបចំ
៤. របាយការណ៍វឌ្ឍនភាព ស្តីពីការអនុវត្តការរៀបចំផែនការមេ​ ដើម្បីប្រែក្លាយខេត្តព្រះសីហនុទៅជាតំបន់សេដ្ឋកិច្ចពិសេសគំរូពហុបំណង </t>
  </si>
  <si>
    <t>-សកម្មភាពទី៦ :  ពង្រឹងសេវាគាំទ្រកិច្ចប្រតិបត្តិការ
 និងការងារសម្របសម្រួលសម្រាប់នាយកដ្ឋានគោលនយោបាយ
ម៉ាក្រូសេដ្ឋកិច្ច និងសារពើពន្ធ</t>
  </si>
  <si>
    <t>សេវាគាំទ្រកិច្ចប្រតិបត្តិការ និងការងារ សម្របសម្រួល សម្រាប់នាយកដ្ឋានគោលនយោបាយម៉ាក្រូសេដ្ឋកិច្ច និងសារពើពន្ធត្រូវបានពង្រឹង</t>
  </si>
  <si>
    <t>១.រៀបចំរបាយការណ៍លទ្ធផលការងាររបស់នាយកដ្ឋាន
២.រៀបចំផែនការសកម្មភាព និងថវិកា រួមជាមួយរបាយការណ៍វឌ្ឍភាពការអនុវត្តថវិកាកម្មវិធី
៣.រៀបចំ និងសម្របសម្រួលកិច្ចប្រជុំ និងសិក្ខាសាលាពាក់ព័ន្ធរបស់នាយកដ្ឋាន</t>
  </si>
  <si>
    <t>១.បានរៀបចំផែនការយុទ្ធសាស្រ្តចថិកា៣ឆ្នាំរំកិល ឆ្នាំ២០២៣-២០២៥ ក្នុងដំណាក់កាលទី១ និងដំណាក់ាលទី២
២.បានរៀបចំតាមដានបញ្ជីការិយបរិច្ជេទពាក់ព័ន្ធការងារគ្រប់គ្រងបុគ្គលិក
៣. បានសម្របសម្រួលបូកសរុបរបាយការណ៍វាយតម្លៃសមិទ្ធកម្មមន្រ្តីទទួលបានប្រាក់ឧបត្ថម្ភជីវភាពចំនួន២ត្រីមាស 
៤.បានរៀបចំទូទាត់ប្រាក់បៀវត្សប្រចាំខែជូនមន្រ្តីរាជការថ្នាក់ដឹកនាំ និងមន្រ្តីជាប់កិច្ចសន្យាដែលបម្រើការងារនៅអគ្គនាយកដ្ឋានគោលនយោបាយ
៥.បានសម្របសម្រួលកិច្ចការរដ្ឋបាលផ្សេងៗរបស់នាយកដ្ឋានប្រកបដោយគុណភាពនិងទាន់ពេលវេលា។</t>
  </si>
  <si>
    <t>១.រៀបចំសេវាគាំទ្រកិច្ចប្រតិបត្តិការ និងការងារ សម្របសម្រួល សម្រាប់នាយកដ្ឋានគោល
នយោបាយម៉ាក្រូសេដ្ឋកិច្ច និងសារពើពន្ធ
២.របាយការលទ្ធផលការងាររបស់នាយកដ្ឋានត្រូវរៀបចំ ប្រកបដោយតម្លាភាព និងគណនេយ្យភាព
៣.ផែនការសកម្មភាព និងថវិកាដើម្បីគាំទ្រ និងធានានូវប្រសិទ្ធភាពនៃប្រតិបត្តិការ រួមជាមួយ របាយការណ៍វឌ្ឍភាពការអនុវត្តថវិកាកម្មវិធីនឹងត្រូវរៀបចំ</t>
  </si>
  <si>
    <t>រៀបចំសកម្មភាពលម្អិតជាងមុន</t>
  </si>
  <si>
    <t>សូចនាករទី១៖ ការរៀបចំចងក្រងស្ថិតិ និងការតាមដានស្ថិតិត្រូវបានពង្រឹង</t>
  </si>
  <si>
    <t>១.របាយការណ៍តាមដាននិន្នាការសេដ្ឋកិច្ច និងហិរញ្ញវត្ថុសាធារណៈនិងកម្រងស្ថិតិចំនួន៦៧ ត្រូវបានរៀបចំនិងពង្រីកវិសាលភាព</t>
  </si>
  <si>
    <t>១. របាយការណ៍តាមដាននិន្នាការហិរញ្ញវត្ថុសាធារណៈ (រយៈពេលខ្លី)​  ចំនួន ២៨ ក្នុង១ឆ្នាំ​ ត្រូវបានរៀបចំ</t>
  </si>
  <si>
    <t>១. របាយការណ៍តាមដាននិន្នាការហិរញ្ញវត្ថុសាធារណៈ (រយៈពេលខ្លី)​  ចំនួន ១៤ ក្នុង១ឆ្នាំ​ ត្រូវបានរៀបចំ</t>
  </si>
  <si>
    <t>១. របាយការណ៍និងកម្រងស្ថិតិតាមដាននិន្នាការហិរញ្ញវត្ថុសាធារណៈ (រយៈពេលខ្លី)​  ចំនួន ២៨ ក្នុង១ឆ្នាំ​ ត្រូវបានរៀបចំ</t>
  </si>
  <si>
    <t>២.កម្រង/តារាងស្ថិតិតាមដាននិន្នាការថ្លៃទំនិញក្នុងស្រុកនិងអន្តរជាតិ ចំនួន៤ ត្រូវបានរៀបចំ</t>
  </si>
  <si>
    <t>២. របាយការណ៍​និងកម្រងស្ថិតិតាមដាននិន្នាការសេដ្ឋកិច្ចនិងពាណិជ្ជកម្ម (រយៈពេលខ្លី) ចំនួន ៣៩ ត្រូវបានរៀបចំ</t>
  </si>
  <si>
    <t>២. របាយការណ៍​និងកម្រងស្ថិតិតាមដាននិន្នាការសេដ្ឋកិច្ចនិងពាណិជ្ជកម្ម (រយៈពេលខ្លី) ចំនួន ២០ ត្រូវបានរៀបចំ</t>
  </si>
  <si>
    <t>៣. របាយការណ៍តាមដាននិន្នាការថ្លៃទំនិញ និងសេវាក្នុងស្រុក​ចំនួន៦ ( ប្រចាំត្រីមាស និងឆមាស) និង</t>
  </si>
  <si>
    <t xml:space="preserve">៣. របាយការណ៍តាមដាននិន្នាការថ្លៃទំនិញ និងសេវាក្នុងស្រុក​ចំនួន៣ ( ប្រចាំត្រីមាស និងឆមាស)   ត្រូវបានរៀបចំ </t>
  </si>
  <si>
    <t xml:space="preserve">៣. របាយការណ៍តាមដាននិន្នាការថ្លៃទំនិញ និងសេវាក្នុងស្រុក​ចំនួន៦ ( ប្រចាំត្រីមាស និងឆមាស) និងរបាយការណ៍អង្កេតថ្លៃសំបុត្រយន្តហោះ ចំនួន ៤  ត្រូវបានរៀបចំ </t>
  </si>
  <si>
    <t xml:space="preserve">៤. របាយការណ៍អង្កេតថ្លៃសំបុត្រយន្តហោះ ចំនួន ៤  ត្រូវបានរៀបចំ </t>
  </si>
  <si>
    <t>៤.ផលិតផលទិន្នន័យស្ថិតិសេដ្ឋកិច្ច,ហិរញ្ញវត្ថុ និងថ្លៃទំនិញ (តារាង/កម្រង/ព្រឹត្តប័ត្រ) ចំនួន ៩៤ ត្រូវបានរៀបចំ</t>
  </si>
  <si>
    <t>សូចនាករទី១៖ វឌ្ឍនភាពស្តីពីការតាមដាន សម្របសម្រួល និងអនុវត្តយន្តការសហប្រតិបត្តិការហិរញ្ញវត្ថុ និងរូបិយវត្ថុអាស៊ាន និងជាមួយប្រទេសដៃគូប្រចាំឆ្នាំ ត្រូវបានវាយតម្លៃ</t>
  </si>
  <si>
    <t>១. របាយការណ៏ស្តីពីសមាហរណកម្មសេដ្ឋកិច្ចនិងសហប្រតិបត្តិហិរញ្ញវត្ថុ និងរូបិយវត្ថុប្រចាំឆ្នាំ ២០២១ ត្រូវបានរៀបចំ</t>
  </si>
  <si>
    <t>១. របាយការណ៍ស្តីពីសហប្រតិបត្តិការហិរញ្ញវត្ថុនិងរូបិយវត្ថុអាស៊ាននិងជាមួយប្រទេសដៃគូសម្រាប់ឆមាសទី១ ត្រូវបានរៀបចំ</t>
  </si>
  <si>
    <t>១.របាយការណ៍រួមស្តីពីការតាមដាន សម្របសម្រួល និងអនុវត្តយន្តការសហប្រតិបត្តិការហិរញ្ញវត្ថុ និងរូបិយវត្ថុអាស៊ាន និងជាមួយប្រទេសដៃគូប្រចាំឆ្នាំ ២០២៣ ត្រូវបានរៀបចំ។</t>
  </si>
  <si>
    <t>២. របាយការណ៏រួមស្តីពីការតាមដាន សម្របសម្រួល និង
អនុវត្តកិច្ចព្រមព្រៀងពាណិជ្ជកម្មសេរីអាស៊ាននិងជាមួយប្រទេសដៃគូប្រចាំឆ្នាំ ២០២១ ត្រូវបានរៀបចំ</t>
  </si>
  <si>
    <t>២. របាយការណ៍ស្តីពីកិច្ចព្រមព្រៀងពាណិជ្ជកម្មសេរី អាស៊ាននិងជាមួយប្រទេសដៃគូសម្រាប់ឆមាសទី១ ត្រូវបានរៀបចំ</t>
  </si>
  <si>
    <t>២. របាយការណ៏រួមស្តីពីការតាមដាន សម្របសម្រួល និង
អនុវត្តកិច្ចព្រមព្រៀងពាណិជ្ជកម្មសេរីអាស៊ាននិងជាមួយប្រទេសដៃគូប្រចាំឆ្នាំ ២០២៣ ត្រូវបានរៀបចំ</t>
  </si>
  <si>
    <t>៣. របាយការណ៏រួមស្តីពីការតាមដាន សម្របសម្រួល និងអនុវត្តការងារពាក់ព័ន្ធនានាក្នុងនាមជាលេខាធិការ
ដ្ឋានរបស់គណៈកម្មាធិការជាតិសម្រាប់វិធានការមិនមែនពន្ធនិងនិហិតដ្ឋានជាតិ ពត៌មានពាក់ព័ន្ធនឹងពាណិជ្ជកម្មប្រចាំឆ្នាំ ២០២១ ត្រូវបានរៀបចំ</t>
  </si>
  <si>
    <t>៣. របាយការណ៍ស្តីពីការងារពាក់ព័ន្ធនានាក្នុងនាមជាលេខាធិការដ្ឋានរបស់គណៈកម្មាធិការជាតិសម្រាប់វិធានការមិនមែនពន្ធ និងនិហិតដ្ឋានជាតិពត៌មានពាក់ព័ន្ធនឹងពាណិជ្ជកម្មសម្រាប់ឆមាសទី១ បានបញ្ចប់សេចក្តីព្រាង</t>
  </si>
  <si>
    <t>៣. របាយការណ៏រួមស្តីពីការតាមដាន សម្របសម្រួល និងអនុវត្តការងារពាក់ព័ន្ធនានាក្នុងនាមជាលេខាធិការដ្ឋានរបស់គណៈកម្មាធិការជាតិសម្រាប់វិធានការមិនមែនពន្ធនិងនិហិត
ដ្ឋានជាតិ ពត៌មានពាក់ព័ន្ធនឹងពាណិជ្ជកម្មប្រចាំឆ្នាំ ២០២៣ ត្រូវបានរៀបចំ</t>
  </si>
  <si>
    <t>៤. របាយការណ៏ស្តីពី (១)សិក្ខាសាលាផ្សព្វផ្សាយ  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(២)សិក្ខាសាលាជាតិស្តីពីការងារពាក់ព័ន្ធនឹគណៈ  កម្មាធិការជាតិសម្រាប់វិធានការមិនមែនពន្ធនិងនិហិតដ្ឋានជាតិពត៌មានពាក់ព័ន្ធនឹងពាណិជ្ជកម្ម មិនត្រូវបានរៀបចំ</t>
  </si>
  <si>
    <t>៤. កិច្ចប្រជុំអនុគណៈកម្មាការវិធានអាស៊ានស្តីពីដើមកំណើត (SCA-ROO) និងសិក្ខាសាលាជាតិស្តីពីការងារពាក់ព័ន្ធនឹងគណៈកម្មាធិការជាតិសម្រាប់វិធានការមិនមែនពន្ធនិងនិហិតដ្ឋានជាតិព័ត៌មានពាក់ព័ន្ធនឹងពាណិជ្ជកម្ម សម្រាប់ឆមាសទី១ មិនទាន់ត្រូវបានរៀបចំ</t>
  </si>
  <si>
    <t>៤. បាយការណ៏ស្តីពី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(២)សិក្ខាសាលាជាតិស្តីពីការងារពាក់ព័ន្ធនឹគណៈ  កម្មាធិការជាតិសម្រាប់វិធានការមិនមែនពន្ធនិងនិហិតដ្ឋានជាតិពត៌មានពាក់ព័ន្ធនឹងពាណិជ្ជកម្ម ប្រចាំឆ្នាំ ២០២៣ ត្រូវបានរៀបចំ</t>
  </si>
  <si>
    <t>-សូចនាករទី១ :  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</t>
  </si>
  <si>
    <t>១.  របាយការណ៍លទ្ធផលសិក្សាពាក់ព័ន្ធការកំណត់ និងការលើកកម្ពស់ប្រភពកំណើនថ្មី និងការគិតគូរជាយុទ្ធសាស្ត្ររយៈពេលវែង ត្រូវបានរៀបចំ</t>
  </si>
  <si>
    <t>'-សូចនាករទី២ : លទ្ធផលសិក្សាពាក់ព័ន្ធសេដ្ឋកិច្ចបៃតង, ការលើកកម្ពស់ការប្រើប្រាស់ថាមពលបៃតង, សេដ្ឋកិច្ចឌីជីថល និងការជំរុញការអនុវត្ត​បរិវត្តកម្មឌីជីថល ត្រូវបានរៀបចំ</t>
  </si>
  <si>
    <t>១. របាយការណ៍លទ្ធផលសិក្សាពាក់ព័ន្ធសេដ្ឋកិច្ចបៃតង និង ការលើកកម្ពស់ការប្រើប្រាស់ថាមពលបៃតង និងប្រសិទ្ធភាពថាមពល ត្រូវបានរៀបចំ</t>
  </si>
  <si>
    <t>២. របាយការណ៍លទ្ធផលសិក្សាពាក់ព័ន្ធនឹងសេដ្ឋកិច្ចឌីជីថល និងការជំរុញការអនុវត្ត​បរិវត្តកម្មឌីជីថល ត្រូវបានរៀបចំ</t>
  </si>
  <si>
    <t>'-សូចនាករទី៣ : 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២០២២​ និងពាក់កណ្តាលឆ្នាំ ២០២៣ ត្រូវបានរៀបចំ</t>
  </si>
  <si>
    <t>១. របាយការណ៍ស្តីពីការអនុវត្តគម្រោងមូលនិធិអភិវឌ្ឍន៍ជំនាញ (SDF) និង “មូលនិធិអភិវឌ្ឍន៍សហគ្រិនភាព (EDF)” ប្រចាំឆ្នាំ ២០២២​ និងពាក់កណ្តាលឆ្នាំ ២០២៣ ត្រូវបានរៀបចំ</t>
  </si>
  <si>
    <t>'-សូចនាករទី៤ : 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ត្រូវបានពង្រឹង</t>
  </si>
  <si>
    <t>១. របាយការណ៍ស្តីពី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 ត្រូវបានរៀបចំ</t>
  </si>
  <si>
    <t>សូចនាករទី១៖ កិច្ចការទូទៅ ត្រូវបានគ្រប់គ្រង ណិងសម្របសម្រួល</t>
  </si>
  <si>
    <t>១.របាយការណ៍បូកសរុបការងារ,ការគ្រប់គ្រងរដ្ឋបាល, សម្របសម្រួលនិងទំនាក់ទំនងត្រូវបានរៀបចំ ចំនួន ១២ 
២. របាយការណ៍ការគ្រប់គ្រងបញ្ជីសារពើភណ្ឌ ប្រចាំឆ្នាំ ត្រូវបានរៀបចំ</t>
  </si>
  <si>
    <t>សូចនាករទី២៖ បញ្ជីថ្លៃទំនិញ និងសេវា ព្រមទាំងកំណត់ស្តង់ដារថ្លៃទំនិញនិងសេវា សម្រាប់ប្រើប្រាស់ក្នុងចំណាយសាធារណៈត្រូវបានរៀបចំ, ចងក្រង, តាមដាន វិភាគនិងផ្សព្វផ្សាយ</t>
  </si>
  <si>
    <t>១. ឯកសារទស្សនទានស្តីពីស្តង់ដារបច្ចេកទេសក្នុងការគណនាថ្លៃដើមសម្រាប់ប្រើប្រាស់ក្នុងការប៉ាន់ស្មានតម្លៃគម្រោងវិនិយោគសាធារណៈ  ចំនួន ១ ត្រូវបានរៀបចំ</t>
  </si>
  <si>
    <t>សូចនាករទី៣៖​ វិភាគ និងវាយតម្លៃលើសំណើគម្រោងវិនិយោគសាធារណៈ ត្រូវបានពង្រឹង</t>
  </si>
  <si>
    <t>១. ឯកសារទសន្សទានស្តីពីការរៀបចំស្តង់ដារបច្ចេកទេសក្នុងការគណនាផលចំណេញសេដ្ឋកិច្ច​ និងហិរញ្ញវត្ថុ ចំនួន ១ ត្រូវបានរៀបចំ
២. ទសន្សកិច្ចសិក្សាស្តីពីការគ្រប់គ្រងវិនិយោគសាធារណៈ នៅក្រៅប្រទេស</t>
  </si>
  <si>
    <t>សូចនាករទី៤៖ ការតាមដាន និងវាយតម្លៃ វិនិយោគសាធារណៈ ត្រូវបានពង្រឹង</t>
  </si>
  <si>
    <t xml:space="preserve">១. សេចក្តីព្រាងឯកសារទស្សនទានស្តីពីការរៀបចំ ក្របខណ្ឌតាមដាន និងវាយតម្លៃ ចំនួន ១ ត្រូវបានរៀបចំ </t>
  </si>
  <si>
    <t>១. ទសន្សកិច្ចសិក្សាស្តីពីការគ្រប់គ្រងវិនិយោគសាធារណៈ នៅក្រៅប្រទេស</t>
  </si>
  <si>
    <t xml:space="preserve">-សូចនាករទី១ : ... </t>
  </si>
  <si>
    <t xml:space="preserve">-សូចនាករទី២ : ...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</si>
</sst>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5" x14ac:knownFonts="1">
    <font>
      <sz val="11"/>
      <color theme="1"/>
      <name val="Calibri"/>
      <family val="2"/>
      <scheme val="minor"/>
    </font>
    <font>
      <sz val="14"/>
      <color theme="1"/>
      <name val="Khmer MEF2"/>
    </font>
    <font>
      <sz val="14"/>
      <color rgb="FF009900"/>
      <name val="Khmer MEF2"/>
    </font>
    <font>
      <sz val="10"/>
      <name val="Arial"/>
      <family val="2"/>
    </font>
    <font>
      <sz val="11"/>
      <name val="Khmer MEF2"/>
    </font>
    <font>
      <sz val="11"/>
      <color theme="0"/>
      <name val="Khmer MEF1"/>
    </font>
    <font>
      <sz val="11"/>
      <color theme="0"/>
      <name val="Arial"/>
      <family val="2"/>
    </font>
    <font>
      <sz val="10"/>
      <color theme="1"/>
      <name val="Khmer MEF1"/>
    </font>
    <font>
      <sz val="11"/>
      <color theme="1"/>
      <name val="Arial Narrow"/>
      <family val="2"/>
    </font>
    <font>
      <sz val="10"/>
      <color theme="1"/>
      <name val="Calibri"/>
      <family val="2"/>
      <scheme val="minor"/>
    </font>
    <font>
      <sz val="10"/>
      <name val="Khmer MEF2"/>
    </font>
    <font>
      <sz val="10"/>
      <name val="Khmer MEF1"/>
    </font>
    <font>
      <b/>
      <sz val="10"/>
      <name val="Khmer MEF1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sz val="10"/>
      <color theme="1"/>
      <name val="Arial Narrow"/>
      <family val="2"/>
    </font>
    <font>
      <sz val="10"/>
      <color theme="1"/>
      <name val="Khmer MEF2"/>
    </font>
    <font>
      <b/>
      <sz val="10"/>
      <color theme="1"/>
      <name val="Arial Narrow"/>
      <family val="2"/>
    </font>
    <font>
      <b/>
      <sz val="9"/>
      <color rgb="FF0000CC"/>
      <name val="Khmer MEF1"/>
    </font>
    <font>
      <b/>
      <sz val="10"/>
      <color rgb="FF0000CC"/>
      <name val="Arial Narrow"/>
      <family val="2"/>
    </font>
    <font>
      <b/>
      <sz val="9"/>
      <color rgb="FF00B050"/>
      <name val="Khmer MEF1"/>
    </font>
    <font>
      <b/>
      <sz val="10"/>
      <color rgb="FF00B050"/>
      <name val="Khmer MEF1"/>
    </font>
    <font>
      <sz val="9"/>
      <color rgb="FF00B050"/>
      <name val="Khmer MEF1"/>
    </font>
    <font>
      <sz val="9"/>
      <color rgb="FF0000CC"/>
      <name val="Khmer MEF1"/>
    </font>
    <font>
      <b/>
      <sz val="10"/>
      <color theme="1"/>
      <name val="Khmer MEF1"/>
    </font>
    <font>
      <sz val="9"/>
      <name val="Khmer MEF1"/>
    </font>
    <font>
      <sz val="9"/>
      <color theme="1"/>
      <name val="Khmer MEF1"/>
    </font>
    <font>
      <b/>
      <sz val="9"/>
      <color theme="1"/>
      <name val="Khmer MEF1"/>
    </font>
    <font>
      <sz val="9"/>
      <color rgb="FFFF0000"/>
      <name val="Khmer MEF1"/>
    </font>
    <font>
      <b/>
      <sz val="9"/>
      <name val="Khmer MEF1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b/>
      <sz val="10"/>
      <color indexed="81"/>
      <name val="Khmer MEF1"/>
    </font>
    <font>
      <sz val="10"/>
      <color indexed="81"/>
      <name val="Khmer MEF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FFF8E5"/>
        <bgColor indexed="64"/>
      </patternFill>
    </fill>
  </fills>
  <borders count="3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/>
      <diagonal style="thin">
        <color indexed="64"/>
      </diagonal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Continuous" vertical="center"/>
    </xf>
    <xf numFmtId="0" fontId="1" fillId="0" borderId="0" xfId="0" applyFont="1"/>
    <xf numFmtId="0" fontId="4" fillId="0" borderId="0" xfId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0" fontId="12" fillId="2" borderId="3" xfId="2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5" xfId="2" applyFont="1" applyBorder="1" applyAlignment="1">
      <alignment horizontal="center" vertical="center" wrapText="1"/>
    </xf>
    <xf numFmtId="0" fontId="12" fillId="0" borderId="6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2" fillId="0" borderId="10" xfId="2" applyFont="1" applyBorder="1" applyAlignment="1">
      <alignment horizontal="center" vertical="center" wrapText="1"/>
    </xf>
    <xf numFmtId="0" fontId="12" fillId="0" borderId="11" xfId="2" applyFont="1" applyBorder="1" applyAlignment="1">
      <alignment horizontal="center" vertical="center" wrapText="1"/>
    </xf>
    <xf numFmtId="0" fontId="12" fillId="0" borderId="11" xfId="2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7" fillId="3" borderId="13" xfId="0" applyFont="1" applyFill="1" applyBorder="1" applyAlignment="1">
      <alignment horizontal="left" vertical="top" wrapText="1"/>
    </xf>
    <xf numFmtId="164" fontId="18" fillId="3" borderId="13" xfId="0" applyNumberFormat="1" applyFont="1" applyFill="1" applyBorder="1" applyAlignment="1">
      <alignment horizontal="center" vertical="center"/>
    </xf>
    <xf numFmtId="164" fontId="18" fillId="3" borderId="13" xfId="0" applyNumberFormat="1" applyFont="1" applyFill="1" applyBorder="1" applyAlignment="1">
      <alignment vertical="center"/>
    </xf>
    <xf numFmtId="164" fontId="7" fillId="3" borderId="14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9" fillId="0" borderId="15" xfId="3" quotePrefix="1" applyFont="1" applyBorder="1" applyAlignment="1">
      <alignment vertical="top" wrapText="1"/>
    </xf>
    <xf numFmtId="164" fontId="20" fillId="0" borderId="15" xfId="0" applyNumberFormat="1" applyFont="1" applyBorder="1" applyAlignment="1">
      <alignment vertical="center"/>
    </xf>
    <xf numFmtId="164" fontId="20" fillId="0" borderId="16" xfId="0" applyNumberFormat="1" applyFont="1" applyBorder="1" applyAlignment="1">
      <alignment vertical="center"/>
    </xf>
    <xf numFmtId="164" fontId="19" fillId="0" borderId="15" xfId="0" applyNumberFormat="1" applyFont="1" applyBorder="1" applyAlignment="1">
      <alignment horizontal="left" vertical="top" wrapText="1"/>
    </xf>
    <xf numFmtId="164" fontId="19" fillId="0" borderId="15" xfId="0" applyNumberFormat="1" applyFont="1" applyBorder="1" applyAlignment="1">
      <alignment vertical="top" wrapText="1"/>
    </xf>
    <xf numFmtId="164" fontId="19" fillId="0" borderId="15" xfId="0" applyNumberFormat="1" applyFont="1" applyBorder="1" applyAlignment="1">
      <alignment horizontal="left" vertical="center" wrapText="1"/>
    </xf>
    <xf numFmtId="164" fontId="19" fillId="0" borderId="17" xfId="0" applyNumberFormat="1" applyFont="1" applyBorder="1" applyAlignment="1">
      <alignment horizontal="left" vertical="top" wrapText="1"/>
    </xf>
    <xf numFmtId="0" fontId="19" fillId="0" borderId="18" xfId="3" quotePrefix="1" applyFont="1" applyBorder="1" applyAlignment="1">
      <alignment horizontal="left" vertical="top" wrapText="1" indent="2"/>
    </xf>
    <xf numFmtId="164" fontId="20" fillId="0" borderId="17" xfId="0" applyNumberFormat="1" applyFont="1" applyBorder="1" applyAlignment="1">
      <alignment horizontal="center" vertical="center"/>
    </xf>
    <xf numFmtId="164" fontId="20" fillId="0" borderId="19" xfId="0" applyNumberFormat="1" applyFont="1" applyBorder="1" applyAlignment="1">
      <alignment vertical="center"/>
    </xf>
    <xf numFmtId="164" fontId="7" fillId="0" borderId="17" xfId="0" applyNumberFormat="1" applyFont="1" applyBorder="1" applyAlignment="1">
      <alignment horizontal="center" vertical="center"/>
    </xf>
    <xf numFmtId="164" fontId="16" fillId="0" borderId="17" xfId="0" applyNumberFormat="1" applyFont="1" applyBorder="1" applyAlignment="1">
      <alignment horizontal="center" vertical="center"/>
    </xf>
    <xf numFmtId="164" fontId="16" fillId="0" borderId="19" xfId="0" applyNumberFormat="1" applyFont="1" applyBorder="1" applyAlignment="1">
      <alignment vertical="center"/>
    </xf>
    <xf numFmtId="0" fontId="21" fillId="0" borderId="18" xfId="3" quotePrefix="1" applyFont="1" applyBorder="1" applyAlignment="1">
      <alignment horizontal="left" vertical="top" wrapText="1" indent="2"/>
    </xf>
    <xf numFmtId="164" fontId="18" fillId="0" borderId="19" xfId="0" applyNumberFormat="1" applyFont="1" applyBorder="1" applyAlignment="1">
      <alignment vertical="center"/>
    </xf>
    <xf numFmtId="164" fontId="21" fillId="0" borderId="17" xfId="0" applyNumberFormat="1" applyFont="1" applyBorder="1" applyAlignment="1">
      <alignment horizontal="left" vertical="top" wrapText="1"/>
    </xf>
    <xf numFmtId="164" fontId="22" fillId="0" borderId="17" xfId="0" applyNumberFormat="1" applyFont="1" applyBorder="1" applyAlignment="1">
      <alignment horizontal="left" vertical="top" wrapText="1"/>
    </xf>
    <xf numFmtId="164" fontId="23" fillId="0" borderId="17" xfId="0" quotePrefix="1" applyNumberFormat="1" applyFont="1" applyBorder="1" applyAlignment="1">
      <alignment horizontal="left" vertical="top" wrapText="1"/>
    </xf>
    <xf numFmtId="164" fontId="24" fillId="0" borderId="17" xfId="0" applyNumberFormat="1" applyFont="1" applyBorder="1" applyAlignment="1">
      <alignment horizontal="left" vertical="top" wrapText="1"/>
    </xf>
    <xf numFmtId="164" fontId="16" fillId="0" borderId="20" xfId="0" applyNumberFormat="1" applyFont="1" applyBorder="1" applyAlignment="1">
      <alignment horizontal="center" vertical="center"/>
    </xf>
    <xf numFmtId="164" fontId="16" fillId="0" borderId="21" xfId="0" applyNumberFormat="1" applyFont="1" applyBorder="1" applyAlignment="1">
      <alignment vertical="center"/>
    </xf>
    <xf numFmtId="0" fontId="16" fillId="4" borderId="0" xfId="0" applyFont="1" applyFill="1" applyAlignment="1">
      <alignment horizontal="center" vertical="center"/>
    </xf>
    <xf numFmtId="0" fontId="25" fillId="4" borderId="22" xfId="0" applyFont="1" applyFill="1" applyBorder="1" applyAlignment="1">
      <alignment horizontal="left" vertical="top" wrapText="1"/>
    </xf>
    <xf numFmtId="164" fontId="18" fillId="4" borderId="22" xfId="0" applyNumberFormat="1" applyFont="1" applyFill="1" applyBorder="1" applyAlignment="1">
      <alignment horizontal="center" vertical="center"/>
    </xf>
    <xf numFmtId="164" fontId="18" fillId="4" borderId="22" xfId="0" applyNumberFormat="1" applyFont="1" applyFill="1" applyBorder="1" applyAlignment="1">
      <alignment vertical="center"/>
    </xf>
    <xf numFmtId="164" fontId="7" fillId="4" borderId="23" xfId="0" applyNumberFormat="1" applyFont="1" applyFill="1" applyBorder="1" applyAlignment="1">
      <alignment horizontal="center" vertical="center"/>
    </xf>
    <xf numFmtId="0" fontId="26" fillId="0" borderId="18" xfId="3" quotePrefix="1" applyFont="1" applyBorder="1" applyAlignment="1">
      <alignment horizontal="left" vertical="top" wrapText="1" indent="2"/>
    </xf>
    <xf numFmtId="164" fontId="16" fillId="0" borderId="18" xfId="0" applyNumberFormat="1" applyFont="1" applyBorder="1" applyAlignment="1">
      <alignment horizontal="center" vertical="center"/>
    </xf>
    <xf numFmtId="164" fontId="18" fillId="0" borderId="16" xfId="0" applyNumberFormat="1" applyFont="1" applyBorder="1" applyAlignment="1">
      <alignment vertical="center"/>
    </xf>
    <xf numFmtId="164" fontId="27" fillId="0" borderId="17" xfId="0" quotePrefix="1" applyNumberFormat="1" applyFont="1" applyBorder="1" applyAlignment="1">
      <alignment horizontal="left" vertical="top" wrapText="1"/>
    </xf>
    <xf numFmtId="164" fontId="27" fillId="0" borderId="17" xfId="0" applyNumberFormat="1" applyFont="1" applyBorder="1" applyAlignment="1">
      <alignment horizontal="left" vertical="top" wrapText="1"/>
    </xf>
    <xf numFmtId="0" fontId="11" fillId="0" borderId="18" xfId="3" quotePrefix="1" applyFont="1" applyBorder="1" applyAlignment="1">
      <alignment horizontal="left" vertical="center" indent="2"/>
    </xf>
    <xf numFmtId="164" fontId="7" fillId="0" borderId="17" xfId="0" applyNumberFormat="1" applyFont="1" applyBorder="1" applyAlignment="1">
      <alignment horizontal="left" vertical="top"/>
    </xf>
    <xf numFmtId="0" fontId="26" fillId="0" borderId="15" xfId="3" quotePrefix="1" applyFont="1" applyBorder="1" applyAlignment="1">
      <alignment horizontal="left" vertical="top" wrapText="1"/>
    </xf>
    <xf numFmtId="164" fontId="16" fillId="0" borderId="15" xfId="0" applyNumberFormat="1" applyFont="1" applyBorder="1" applyAlignment="1">
      <alignment horizontal="left" vertical="center"/>
    </xf>
    <xf numFmtId="164" fontId="27" fillId="0" borderId="15" xfId="0" applyNumberFormat="1" applyFont="1" applyBorder="1" applyAlignment="1">
      <alignment horizontal="left" vertical="top" wrapText="1"/>
    </xf>
    <xf numFmtId="164" fontId="7" fillId="0" borderId="15" xfId="0" applyNumberFormat="1" applyFont="1" applyBorder="1" applyAlignment="1">
      <alignment horizontal="left" vertical="center"/>
    </xf>
    <xf numFmtId="164" fontId="16" fillId="0" borderId="15" xfId="0" applyNumberFormat="1" applyFont="1" applyBorder="1" applyAlignment="1">
      <alignment horizontal="center" vertical="center"/>
    </xf>
    <xf numFmtId="164" fontId="16" fillId="0" borderId="24" xfId="0" applyNumberFormat="1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0" fontId="28" fillId="4" borderId="22" xfId="0" applyFont="1" applyFill="1" applyBorder="1" applyAlignment="1">
      <alignment horizontal="left" vertical="top" wrapText="1"/>
    </xf>
    <xf numFmtId="0" fontId="26" fillId="0" borderId="15" xfId="4" applyFont="1" applyBorder="1" applyAlignment="1">
      <alignment horizontal="left" vertical="top" wrapText="1"/>
    </xf>
    <xf numFmtId="164" fontId="27" fillId="0" borderId="17" xfId="0" applyNumberFormat="1" applyFont="1" applyBorder="1" applyAlignment="1">
      <alignment horizontal="left" vertical="center" wrapText="1"/>
    </xf>
    <xf numFmtId="164" fontId="7" fillId="0" borderId="17" xfId="0" applyNumberFormat="1" applyFont="1" applyBorder="1" applyAlignment="1">
      <alignment horizontal="left" vertical="center" wrapText="1"/>
    </xf>
    <xf numFmtId="0" fontId="26" fillId="0" borderId="6" xfId="4" applyFont="1" applyBorder="1" applyAlignment="1">
      <alignment horizontal="left" vertical="top" wrapText="1"/>
    </xf>
    <xf numFmtId="0" fontId="26" fillId="0" borderId="18" xfId="3" quotePrefix="1" applyFont="1" applyBorder="1" applyAlignment="1">
      <alignment horizontal="left" vertical="center" indent="2"/>
    </xf>
    <xf numFmtId="164" fontId="27" fillId="0" borderId="17" xfId="0" applyNumberFormat="1" applyFont="1" applyBorder="1" applyAlignment="1">
      <alignment horizontal="center" vertical="center"/>
    </xf>
    <xf numFmtId="164" fontId="27" fillId="4" borderId="23" xfId="0" applyNumberFormat="1" applyFont="1" applyFill="1" applyBorder="1" applyAlignment="1">
      <alignment horizontal="center" vertical="center"/>
    </xf>
    <xf numFmtId="164" fontId="27" fillId="0" borderId="15" xfId="0" applyNumberFormat="1" applyFont="1" applyBorder="1" applyAlignment="1">
      <alignment horizontal="left" vertical="top" wrapText="1"/>
    </xf>
    <xf numFmtId="164" fontId="27" fillId="0" borderId="6" xfId="0" applyNumberFormat="1" applyFont="1" applyBorder="1" applyAlignment="1">
      <alignment horizontal="left" vertical="top" wrapText="1"/>
    </xf>
    <xf numFmtId="164" fontId="7" fillId="0" borderId="6" xfId="0" applyNumberFormat="1" applyFont="1" applyBorder="1" applyAlignment="1">
      <alignment horizontal="left" vertical="top" wrapText="1"/>
    </xf>
    <xf numFmtId="164" fontId="7" fillId="0" borderId="6" xfId="0" applyNumberFormat="1" applyFont="1" applyBorder="1" applyAlignment="1">
      <alignment horizontal="left" vertical="center" wrapText="1"/>
    </xf>
    <xf numFmtId="164" fontId="7" fillId="0" borderId="15" xfId="0" applyNumberFormat="1" applyFont="1" applyBorder="1" applyAlignment="1">
      <alignment horizontal="left" vertical="top" wrapText="1"/>
    </xf>
    <xf numFmtId="164" fontId="7" fillId="0" borderId="15" xfId="0" applyNumberFormat="1" applyFont="1" applyBorder="1" applyAlignment="1">
      <alignment horizontal="left" vertical="center" wrapText="1"/>
    </xf>
    <xf numFmtId="164" fontId="27" fillId="0" borderId="17" xfId="0" applyNumberFormat="1" applyFont="1" applyBorder="1" applyAlignment="1">
      <alignment horizontal="left" vertical="top" wrapText="1"/>
    </xf>
    <xf numFmtId="164" fontId="7" fillId="0" borderId="22" xfId="0" applyNumberFormat="1" applyFont="1" applyBorder="1" applyAlignment="1">
      <alignment horizontal="left" vertical="top" wrapText="1"/>
    </xf>
    <xf numFmtId="164" fontId="7" fillId="0" borderId="22" xfId="0" applyNumberFormat="1" applyFont="1" applyBorder="1" applyAlignment="1">
      <alignment horizontal="left" vertical="center" wrapText="1"/>
    </xf>
    <xf numFmtId="0" fontId="23" fillId="0" borderId="18" xfId="3" quotePrefix="1" applyFont="1" applyBorder="1" applyAlignment="1">
      <alignment horizontal="left" vertical="top" wrapText="1"/>
    </xf>
    <xf numFmtId="164" fontId="23" fillId="0" borderId="17" xfId="0" applyNumberFormat="1" applyFont="1" applyBorder="1" applyAlignment="1">
      <alignment horizontal="left" vertical="top" wrapText="1"/>
    </xf>
    <xf numFmtId="164" fontId="29" fillId="0" borderId="17" xfId="0" applyNumberFormat="1" applyFont="1" applyBorder="1" applyAlignment="1">
      <alignment horizontal="center" vertical="center"/>
    </xf>
    <xf numFmtId="0" fontId="23" fillId="0" borderId="15" xfId="3" quotePrefix="1" applyFont="1" applyBorder="1" applyAlignment="1">
      <alignment horizontal="left" vertical="top" wrapText="1"/>
    </xf>
    <xf numFmtId="0" fontId="23" fillId="0" borderId="17" xfId="3" quotePrefix="1" applyFont="1" applyBorder="1" applyAlignment="1">
      <alignment horizontal="left" vertical="top" wrapText="1"/>
    </xf>
    <xf numFmtId="0" fontId="30" fillId="0" borderId="25" xfId="0" applyFont="1" applyBorder="1" applyAlignment="1">
      <alignment horizontal="left" vertical="top" wrapText="1"/>
    </xf>
    <xf numFmtId="164" fontId="31" fillId="0" borderId="18" xfId="0" applyNumberFormat="1" applyFont="1" applyBorder="1" applyAlignment="1">
      <alignment horizontal="center" vertical="top"/>
    </xf>
    <xf numFmtId="164" fontId="32" fillId="0" borderId="16" xfId="0" applyNumberFormat="1" applyFont="1" applyBorder="1" applyAlignment="1">
      <alignment vertical="top"/>
    </xf>
    <xf numFmtId="164" fontId="26" fillId="0" borderId="17" xfId="0" applyNumberFormat="1" applyFont="1" applyBorder="1" applyAlignment="1">
      <alignment horizontal="left" vertical="top" wrapText="1"/>
    </xf>
    <xf numFmtId="164" fontId="26" fillId="0" borderId="17" xfId="0" applyNumberFormat="1" applyFont="1" applyBorder="1" applyAlignment="1">
      <alignment horizontal="center" vertical="center"/>
    </xf>
    <xf numFmtId="0" fontId="30" fillId="0" borderId="26" xfId="0" applyFont="1" applyBorder="1" applyAlignment="1">
      <alignment horizontal="left" vertical="top" wrapText="1"/>
    </xf>
    <xf numFmtId="164" fontId="31" fillId="0" borderId="17" xfId="0" applyNumberFormat="1" applyFont="1" applyBorder="1" applyAlignment="1">
      <alignment horizontal="center" vertical="top"/>
    </xf>
    <xf numFmtId="164" fontId="32" fillId="0" borderId="19" xfId="0" applyNumberFormat="1" applyFont="1" applyBorder="1" applyAlignment="1">
      <alignment vertical="top"/>
    </xf>
    <xf numFmtId="0" fontId="30" fillId="0" borderId="27" xfId="0" applyFont="1" applyBorder="1" applyAlignment="1">
      <alignment vertical="top" wrapText="1"/>
    </xf>
    <xf numFmtId="164" fontId="31" fillId="0" borderId="19" xfId="0" applyNumberFormat="1" applyFont="1" applyBorder="1" applyAlignment="1">
      <alignment vertical="top"/>
    </xf>
    <xf numFmtId="0" fontId="30" fillId="0" borderId="27" xfId="0" applyFont="1" applyBorder="1" applyAlignment="1">
      <alignment horizontal="left" vertical="top" wrapText="1"/>
    </xf>
    <xf numFmtId="0" fontId="30" fillId="0" borderId="28" xfId="0" applyFont="1" applyBorder="1" applyAlignment="1">
      <alignment horizontal="left" vertical="top" wrapText="1"/>
    </xf>
    <xf numFmtId="164" fontId="31" fillId="0" borderId="29" xfId="0" applyNumberFormat="1" applyFont="1" applyBorder="1" applyAlignment="1">
      <alignment horizontal="center" vertical="top"/>
    </xf>
    <xf numFmtId="164" fontId="31" fillId="0" borderId="30" xfId="0" applyNumberFormat="1" applyFont="1" applyBorder="1" applyAlignment="1">
      <alignment vertical="top"/>
    </xf>
    <xf numFmtId="0" fontId="26" fillId="0" borderId="17" xfId="3" quotePrefix="1" applyFont="1" applyBorder="1" applyAlignment="1">
      <alignment horizontal="left" vertical="top"/>
    </xf>
    <xf numFmtId="164" fontId="31" fillId="0" borderId="20" xfId="0" applyNumberFormat="1" applyFont="1" applyBorder="1" applyAlignment="1">
      <alignment horizontal="center" vertical="top"/>
    </xf>
    <xf numFmtId="164" fontId="31" fillId="0" borderId="21" xfId="0" applyNumberFormat="1" applyFont="1" applyBorder="1" applyAlignment="1">
      <alignment vertical="top"/>
    </xf>
    <xf numFmtId="164" fontId="27" fillId="0" borderId="17" xfId="0" applyNumberFormat="1" applyFont="1" applyBorder="1" applyAlignment="1">
      <alignment horizontal="center" vertical="top"/>
    </xf>
    <xf numFmtId="0" fontId="11" fillId="0" borderId="29" xfId="3" quotePrefix="1" applyFont="1" applyBorder="1" applyAlignment="1">
      <alignment horizontal="left" vertical="center" indent="2"/>
    </xf>
    <xf numFmtId="164" fontId="16" fillId="0" borderId="29" xfId="0" applyNumberFormat="1" applyFont="1" applyBorder="1" applyAlignment="1">
      <alignment horizontal="center" vertical="center"/>
    </xf>
    <xf numFmtId="164" fontId="16" fillId="0" borderId="30" xfId="0" applyNumberFormat="1" applyFont="1" applyBorder="1" applyAlignment="1">
      <alignment vertical="center"/>
    </xf>
    <xf numFmtId="164" fontId="7" fillId="0" borderId="29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5">
    <cellStyle name="Normal" xfId="0" builtinId="0"/>
    <cellStyle name="Normal 10 2" xfId="4" xr:uid="{6F0A80CC-676D-4F9A-A02C-FA235513D3F1}"/>
    <cellStyle name="Normal 2" xfId="1" xr:uid="{2C55F35C-1F3F-43BB-BCE7-A91E42B84DD5}"/>
    <cellStyle name="Normal 3 2 2" xfId="2" xr:uid="{8E1C2FE4-DD25-4D75-AEF0-3A667D14B7EC}"/>
    <cellStyle name="Normal 4" xfId="3" xr:uid="{79D15F62-BB50-430B-89A1-070F2B8333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0</xdr:row>
      <xdr:rowOff>47625</xdr:rowOff>
    </xdr:from>
    <xdr:to>
      <xdr:col>2</xdr:col>
      <xdr:colOff>2243666</xdr:colOff>
      <xdr:row>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2BE4F1-515F-44BD-8421-BCBFB6528559}"/>
            </a:ext>
          </a:extLst>
        </xdr:cNvPr>
        <xdr:cNvSpPr txBox="1"/>
      </xdr:nvSpPr>
      <xdr:spPr>
        <a:xfrm>
          <a:off x="38100" y="47625"/>
          <a:ext cx="2205566" cy="828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អគ្គនាយកដ្ឋានគោលនយោបាយ</a:t>
          </a:r>
        </a:p>
      </xdr:txBody>
    </xdr:sp>
    <xdr:clientData/>
  </xdr:twoCellAnchor>
  <xdr:twoCellAnchor>
    <xdr:from>
      <xdr:col>9</xdr:col>
      <xdr:colOff>810948</xdr:colOff>
      <xdr:row>0</xdr:row>
      <xdr:rowOff>0</xdr:rowOff>
    </xdr:from>
    <xdr:to>
      <xdr:col>9</xdr:col>
      <xdr:colOff>2607471</xdr:colOff>
      <xdr:row>6</xdr:row>
      <xdr:rowOff>23812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177948A-2503-4494-9C66-CBF83342855B}"/>
            </a:ext>
          </a:extLst>
        </xdr:cNvPr>
        <xdr:cNvSpPr txBox="1"/>
      </xdr:nvSpPr>
      <xdr:spPr>
        <a:xfrm>
          <a:off x="20283223" y="0"/>
          <a:ext cx="1796523" cy="12811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3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ct val="80000"/>
            </a:lnSpc>
          </a:pPr>
          <a:r>
            <a:rPr lang="km-KH" sz="1100">
              <a:latin typeface="Khmer MEF1" panose="02000506000000020004" pitchFamily="2" charset="0"/>
              <a:cs typeface="Khmer MEF1" panose="02000506000000020004" pitchFamily="2" charset="0"/>
            </a:rPr>
            <a:t>ជាតិ</a:t>
          </a:r>
          <a:r>
            <a:rPr lang="km-KH" sz="1100" baseline="0">
              <a:latin typeface="Khmer MEF1" panose="02000506000000020004" pitchFamily="2" charset="0"/>
              <a:cs typeface="Khmer MEF1" panose="02000506000000020004" pitchFamily="2" charset="0"/>
            </a:rPr>
            <a:t> សាសនា ព្រះមហាក្សត្រ</a:t>
          </a:r>
        </a:p>
        <a:p>
          <a:pPr algn="ctr">
            <a:lnSpc>
              <a:spcPct val="80000"/>
            </a:lnSpc>
          </a:pPr>
          <a:r>
            <a:rPr lang="en-AU" sz="3200" baseline="0">
              <a:latin typeface="Tacteing" pitchFamily="2" charset="0"/>
              <a:cs typeface="Khmer MEF1" panose="02000506000000020004" pitchFamily="2" charset="0"/>
            </a:rPr>
            <a:t>6</a:t>
          </a:r>
          <a:endParaRPr lang="en-US" sz="1100">
            <a:latin typeface="Tacteing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2</xdr:col>
      <xdr:colOff>297656</xdr:colOff>
      <xdr:row>124</xdr:row>
      <xdr:rowOff>123042</xdr:rowOff>
    </xdr:from>
    <xdr:to>
      <xdr:col>3</xdr:col>
      <xdr:colOff>218281</xdr:colOff>
      <xdr:row>131</xdr:row>
      <xdr:rowOff>88030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4518F08-EFF5-405E-8D7E-84A82BF20A82}"/>
            </a:ext>
          </a:extLst>
        </xdr:cNvPr>
        <xdr:cNvSpPr/>
      </xdr:nvSpPr>
      <xdr:spPr>
        <a:xfrm>
          <a:off x="297656" y="63629392"/>
          <a:ext cx="3822700" cy="1342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និងឯកភាព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អគ្គនាយក</a:t>
          </a:r>
          <a:endParaRPr lang="km-KH" sz="1400">
            <a:solidFill>
              <a:sysClr val="windowText" lastClr="000000"/>
            </a:solidFill>
            <a:latin typeface="Khmer MEF2" pitchFamily="2" charset="0"/>
            <a:cs typeface="Khmer MEF2" pitchFamily="2" charset="0"/>
          </a:endParaRPr>
        </a:p>
      </xdr:txBody>
    </xdr:sp>
    <xdr:clientData/>
  </xdr:twoCellAnchor>
  <xdr:twoCellAnchor>
    <xdr:from>
      <xdr:col>4</xdr:col>
      <xdr:colOff>810843</xdr:colOff>
      <xdr:row>123</xdr:row>
      <xdr:rowOff>125507</xdr:rowOff>
    </xdr:from>
    <xdr:to>
      <xdr:col>7</xdr:col>
      <xdr:colOff>582244</xdr:colOff>
      <xdr:row>131</xdr:row>
      <xdr:rowOff>34464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4D1A93D-EA35-4692-AB35-877687104BF1}"/>
            </a:ext>
          </a:extLst>
        </xdr:cNvPr>
        <xdr:cNvSpPr/>
      </xdr:nvSpPr>
      <xdr:spPr>
        <a:xfrm>
          <a:off x="5401893" y="63435007"/>
          <a:ext cx="7731126" cy="14837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បានឃើញ និងពិនិត្យត្រឹមត្រូវ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                    ខែ          ឆ្នាំខាល ចត្វាស័ក ព.ស.២៥៦៦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ប្រធាននាយកដ្ឋាន</a:t>
          </a:r>
        </a:p>
      </xdr:txBody>
    </xdr:sp>
    <xdr:clientData/>
  </xdr:twoCellAnchor>
  <xdr:twoCellAnchor>
    <xdr:from>
      <xdr:col>7</xdr:col>
      <xdr:colOff>1410654</xdr:colOff>
      <xdr:row>123</xdr:row>
      <xdr:rowOff>35719</xdr:rowOff>
    </xdr:from>
    <xdr:to>
      <xdr:col>9</xdr:col>
      <xdr:colOff>2101215</xdr:colOff>
      <xdr:row>130</xdr:row>
      <xdr:rowOff>26753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BED335B-C5AE-4083-AFED-AAAA23200F98}"/>
            </a:ext>
          </a:extLst>
        </xdr:cNvPr>
        <xdr:cNvSpPr/>
      </xdr:nvSpPr>
      <xdr:spPr>
        <a:xfrm>
          <a:off x="13961429" y="63345219"/>
          <a:ext cx="7612061" cy="13689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ថ្ងៃ</a:t>
          </a:r>
          <a:r>
            <a:rPr lang="km-KH" sz="1200" baseline="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               ខែ          ឆ្នាំខាល ចត្វាស័ក ព.ស.២៥៦៦</a:t>
          </a:r>
          <a:endParaRPr lang="en-AU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រាជធានីភ្នំពេញ ថ្ងៃទី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ខែ    </a:t>
          </a:r>
          <a:r>
            <a:rPr lang="en-US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</a:t>
          </a:r>
          <a:r>
            <a:rPr lang="km-KH" sz="1200">
              <a:solidFill>
                <a:sysClr val="windowText" lastClr="000000"/>
              </a:solidFill>
              <a:latin typeface="Khmer MEF1" pitchFamily="2" charset="0"/>
              <a:cs typeface="Khmer MEF1" pitchFamily="2" charset="0"/>
            </a:rPr>
            <a:t>     ឆ្នាំ២០២២</a:t>
          </a:r>
        </a:p>
        <a:p>
          <a:pPr algn="ctr">
            <a:lnSpc>
              <a:spcPct val="90000"/>
            </a:lnSpc>
          </a:pPr>
          <a:r>
            <a:rPr lang="km-KH" sz="1200">
              <a:solidFill>
                <a:sysClr val="windowText" lastClr="000000"/>
              </a:solidFill>
              <a:latin typeface="Khmer MEF2" pitchFamily="2" charset="0"/>
              <a:cs typeface="Khmer MEF2" pitchFamily="2" charset="0"/>
            </a:rPr>
            <a:t>អ្នករៀបចំ</a:t>
          </a:r>
          <a:endParaRPr lang="km-KH" sz="1200">
            <a:solidFill>
              <a:sysClr val="windowText" lastClr="000000"/>
            </a:solidFill>
            <a:latin typeface="Khmer MEF1" pitchFamily="2" charset="0"/>
            <a:cs typeface="Khmer MEF1" pitchFamily="2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C\Downloads\Telegram%20Desktop\1_1_GDP_BSP_PB2023_GD_consolidation_final%20submision%20to%20dar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Work\&#6053;&#6030;&#6033;&#6070;&#6035;%202018\Salary_&#6050;&#6018;&#6098;&#6018;&#6043;&#6081;&#6017;&#6070;&#6034;&#6071;&#6016;&#6070;&#6042;&#6026;&#6098;&#6027;&#6070;&#603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64-20072020\from%20BEs\pd\leak\Salary_&#6016;&#6098;&#6042;&#6047;&#6077;&#6020;&#6047;&#6081;&#6026;&#6098;&#6027;&#6016;&#6071;&#6021;&#6098;&#6021;_&#6035;&#6071;&#6020;&#6048;&#6071;&#6042;&#6025;&#6098;&#6025;&#6044;&#6031;&#6098;&#6032;&#60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P1"/>
      <sheetName val="BSP3"/>
      <sheetName val="BSP4"/>
      <sheetName val="BSP4B"/>
      <sheetName val="PB1-Rev"/>
      <sheetName val="PB2-Exp"/>
      <sheetName val="PB3-Payroll"/>
      <sheetName val="PB4-64 (2)"/>
      <sheetName val="Prog"/>
      <sheetName val="PB6"/>
      <sheetName val="PB7"/>
      <sheetName val="PB8"/>
      <sheetName val="PB9"/>
      <sheetName val="5X"/>
      <sheetName val="Costing"/>
      <sheetName val="DeciCheck"/>
      <sheetName val="Table11A-Full"/>
    </sheetNames>
    <sheetDataSet>
      <sheetData sheetId="0">
        <row r="12">
          <cell r="B12">
            <v>10101</v>
          </cell>
        </row>
      </sheetData>
      <sheetData sheetId="1" refreshError="1"/>
      <sheetData sheetId="2">
        <row r="12">
          <cell r="B12">
            <v>10101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4">
          <cell r="B14">
            <v>10101</v>
          </cell>
          <cell r="C14" t="str">
    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    </cell>
        </row>
        <row r="15">
          <cell r="B15" t="str">
            <v>1010101</v>
          </cell>
          <cell r="C15" t="str">
            <v>១.១.១. ចង្កោមសកម្មភាពទី១ : គាំទ្រ សម្របសម្រួល និងគ្រប់គ្រងការងាររដ្ឋបាលរបស់អគ្គនាយកដ្ឋាន</v>
          </cell>
        </row>
        <row r="16">
          <cell r="B16" t="str">
            <v>101010101</v>
          </cell>
          <cell r="C16" t="str">
            <v>១.១.១.១. សកម្មភាពទី១ : បំពេញមុខជាលេខាធិការដ្ឋាន</v>
          </cell>
        </row>
        <row r="17">
          <cell r="B17" t="str">
            <v>101010102</v>
          </cell>
          <cell r="C17" t="str">
            <v>១.១.១.២. សកម្មភាពទី២ : ​ចូលរួមកិច្ចប្រជុំផ្សេងៗ ក្នុងនិងក្រៅប្រទេសរបស់ឯកឧត្តមអគ្គនាយក</v>
          </cell>
        </row>
        <row r="18">
          <cell r="B18" t="str">
            <v>101010103</v>
          </cell>
          <cell r="C18" t="str">
            <v xml:space="preserve">១.១.១.៣. សកម្មភាពទី៣ : </v>
          </cell>
        </row>
        <row r="19">
          <cell r="B19" t="str">
            <v>101010104</v>
          </cell>
          <cell r="C19" t="str">
            <v xml:space="preserve">១.១.១.៤. សកម្មភាពទី៤ : </v>
          </cell>
        </row>
        <row r="20">
          <cell r="B20" t="str">
            <v>101010105</v>
          </cell>
          <cell r="C20" t="str">
            <v>១.១.១.៥. សកម្មភាពទី៥ :</v>
          </cell>
        </row>
        <row r="21">
          <cell r="B21" t="str">
            <v>101010106</v>
          </cell>
          <cell r="C21" t="str">
            <v xml:space="preserve">១.១.១.៦. សកម្មភាពទី៦ : </v>
          </cell>
        </row>
        <row r="22">
          <cell r="B22" t="str">
            <v>101010107</v>
          </cell>
          <cell r="C22" t="str">
            <v xml:space="preserve">១.១.១.៧. សកម្មភាពទី៧ : </v>
          </cell>
        </row>
        <row r="23">
          <cell r="B23" t="str">
            <v>101010108</v>
          </cell>
          <cell r="C23" t="str">
            <v>១.១.១.៨. សកម្មភាពទី៨ : ​</v>
          </cell>
        </row>
        <row r="24">
          <cell r="B24" t="str">
            <v>101010109</v>
          </cell>
          <cell r="C24" t="str">
            <v xml:space="preserve">១.១.១.៩. សកម្មភាពទី៩ : </v>
          </cell>
        </row>
        <row r="25">
          <cell r="B25" t="str">
            <v>101010110</v>
          </cell>
          <cell r="C25" t="str">
            <v>១.១.១.១០. សកម្មភាពទី១០ : ​</v>
          </cell>
        </row>
        <row r="26">
          <cell r="B26" t="str">
            <v>101010111</v>
          </cell>
          <cell r="C26" t="str">
            <v xml:space="preserve">១.១.១.១១. សកម្មភាពទី១១ : </v>
          </cell>
        </row>
        <row r="27">
          <cell r="B27" t="str">
            <v>101010112</v>
          </cell>
          <cell r="C27" t="str">
            <v>១.១.១.១២. សកម្មភាពទី១២ : ​</v>
          </cell>
        </row>
        <row r="28">
          <cell r="B28" t="str">
            <v>1010102</v>
          </cell>
          <cell r="C28" t="str">
    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    </cell>
        </row>
        <row r="29">
          <cell r="B29" t="str">
            <v>101010201</v>
          </cell>
          <cell r="C29" t="str">
            <v>១.១.២.១. សកម្មភាពទី១ : ធ្វើការស្រាវជ្រាវលើវឌ្ឍនភាព និងបញ្ហា អភិវឌ្ឍន៍សេដ្ឋកិច្ច ហិរញ្ញវត្ថុ និងវិស័យសំខាន់ៗ</v>
          </cell>
        </row>
        <row r="30">
          <cell r="B30" t="str">
            <v>101010202</v>
          </cell>
          <cell r="C30" t="str">
            <v>១.១.២.២. សកម្មភាពទី២ : តាមដាន និងវាយតម្លៃការអនុវត្តគោលនយោបាយសារពើពន្ធ អនុលោមតាមគោលដៅយុទ្ធសាស្រ្តជាតិ</v>
          </cell>
        </row>
        <row r="31">
          <cell r="B31" t="str">
            <v>101010203</v>
          </cell>
          <cell r="C31" t="str">
            <v xml:space="preserve">១.១.២.៣. សកម្មភាពទី៣ : តាមដាន និងវាយតម្លៃការអនុវត្តយុទ្ធសាស្រ្ត និងគោលនយោបាយពាក់ព័ន្ធនឹងវិស័យសេដ្ឋកិច្ច-សង្គម </v>
          </cell>
        </row>
        <row r="32">
          <cell r="B32" t="str">
            <v>101010204</v>
          </cell>
          <cell r="C32" t="str">
            <v>១.១.២.៤. សកម្មភាពទី៤ : ពិនិត្យ តាមដាន និងវាយតម្លៃស្ថានភាពសេដ្ឋកិច្ច និងក្របខ័ណ្ឌម៉ាក្រូសេដ្ឋកិច្ចរយៈពេលមធ្យម</v>
          </cell>
        </row>
        <row r="33">
          <cell r="B33" t="str">
            <v>101010205</v>
          </cell>
          <cell r="C33" t="str">
            <v>១.១.២.៥. សកម្មភាពទី៥ : តាមដាន និងវិភាគគោលនយោបាយហិរញ្ញវត្ថុសាធារណៈ</v>
          </cell>
        </row>
        <row r="34">
          <cell r="B34" t="str">
            <v>101010206</v>
          </cell>
          <cell r="C34" t="str">
            <v>១.១.២.៦. សកម្មភាពទី៦ : ពង្រឹងសេវាគាំទ្រកិច្ចប្រតិបត្តិការ និងការងារសម្របសម្រួលសម្រាប់នាយកដ្ឋានគោលនយោបាយម៉ាក្រូសេដ្ឋកិច្ច និងសារពើពន្ធ</v>
          </cell>
        </row>
        <row r="35">
          <cell r="B35" t="str">
            <v>101010207</v>
          </cell>
          <cell r="C35" t="str">
            <v xml:space="preserve">១.១.២.៧. សកម្មភាពទី៧ : </v>
          </cell>
        </row>
        <row r="36">
          <cell r="B36" t="str">
            <v>101010208</v>
          </cell>
          <cell r="C36" t="str">
            <v>១.១.២.៨. សកម្មភាពទី៨ : ​</v>
          </cell>
        </row>
        <row r="37">
          <cell r="B37" t="str">
            <v>101010209</v>
          </cell>
          <cell r="C37" t="str">
            <v xml:space="preserve">១.១.២.៩. សកម្មភាពទី៩ : </v>
          </cell>
        </row>
        <row r="38">
          <cell r="B38" t="str">
            <v>101010210</v>
          </cell>
          <cell r="C38" t="str">
            <v>១.១.២.១០. សកម្មភាពទី១០ : ​</v>
          </cell>
        </row>
        <row r="39">
          <cell r="B39" t="str">
            <v>101010211</v>
          </cell>
          <cell r="C39" t="str">
            <v xml:space="preserve">១.១.២.១១. សកម្មភាពទី១១ : </v>
          </cell>
        </row>
        <row r="40">
          <cell r="B40" t="str">
            <v>101010212</v>
          </cell>
          <cell r="C40" t="str">
            <v>១.១.២.១២. សកម្មភាពទី១២ : ​</v>
          </cell>
        </row>
        <row r="41">
          <cell r="B41" t="str">
            <v>1010103</v>
          </cell>
          <cell r="C41" t="str">
            <v>១.១.៣. ចង្កោមសកម្មភាពទី៣ : លើកកម្ពស់ការងារស្ថិតិសេដ្ឋកិច្ចនិងហិរញ្ញវត្ថុសាធារណៈ</v>
          </cell>
        </row>
        <row r="42">
          <cell r="B42" t="str">
            <v>101010301</v>
          </cell>
          <cell r="C42" t="str">
            <v>១.‌១.៣.១.សកម្មភាពទី១៖ពង្រឹងការគ្រប់គ្រងកិច្ចការទូទៅ និងការសម្របសម្រួលផ្ទៃក្នុងនិងអន្តរទំនាក់ទំនង ដើម្បីបុរេសកម្មការងារ</v>
          </cell>
        </row>
        <row r="43">
          <cell r="B43" t="str">
            <v>101010302</v>
          </cell>
          <cell r="C43" t="str">
            <v>១.‌១.៣.២.សកម្មភាពទី២៖ ពង្រឹងការរៀបចំចងក្រង តាមដាន វិភាគនិងផ្សព្វផ្សាយស្ថិតិប្រតិបត្តិការហិរញ្ញវត្ថុ (TOFE) និងស្តង់ដារស្ថិតិហិរញ្ញវត្ថុរដ្ឋាភិបាល (GFS)</v>
          </cell>
        </row>
        <row r="44">
          <cell r="B44" t="str">
            <v>101010303</v>
          </cell>
          <cell r="C44" t="str">
            <v xml:space="preserve">១.១.៣.៣.សកម្មភាពទី៣៖​ ពង្រឹងការរៀបចំចងក្រង តាមដាន វិភាគនិងផ្សព្វផ្សាយស្ថិតិម៉ាក្រូសេដ្ឋកិច្ច </v>
          </cell>
        </row>
        <row r="45">
          <cell r="B45" t="str">
            <v>101010304</v>
          </cell>
          <cell r="C45" t="str">
            <v>១.‌១.៣.៤.សកម្មភាពទី៤៖ ពង្រឹងការរៀបចំចងក្រង តាមដាន វិភាគនិងផ្សព្វផ្សាយស្ថិតិសេដ្ឋកិច្ចតាមវិស័យ</v>
          </cell>
        </row>
        <row r="46">
          <cell r="B46" t="str">
            <v>101010305</v>
          </cell>
          <cell r="C46" t="str">
            <v>១.១.៣.៥.សកម្មភាពទី៥៖​ ពង្រឹងការរៀបចំចងក្រង តាមដាន វិភាគនិងផ្សព្វផ្សាយស្ថិតិថ្លៃទំនិញនិងសេវា</v>
          </cell>
        </row>
        <row r="47">
          <cell r="B47" t="str">
            <v>101010306</v>
          </cell>
          <cell r="C47" t="str">
            <v>១.‌១.៣.៦.សកម្មភាពទី៦៖ ពង្រឹងការតាមដាន និងវិភាគនិន្នាការសេដ្ឋកិច្ច</v>
          </cell>
        </row>
        <row r="48">
          <cell r="B48" t="str">
            <v>101010307</v>
          </cell>
          <cell r="C48" t="str">
            <v xml:space="preserve">១.១.៣.៧. សកម្មភាពទី៧ : </v>
          </cell>
        </row>
        <row r="49">
          <cell r="B49" t="str">
            <v>101010308</v>
          </cell>
          <cell r="C49" t="str">
            <v>១.១.៣.៨. សកម្មភាពទី៨ : ​</v>
          </cell>
        </row>
        <row r="50">
          <cell r="B50" t="str">
            <v>101010309</v>
          </cell>
          <cell r="C50" t="str">
            <v xml:space="preserve">១.១.៣.៩. សកម្មភាពទី៩ : </v>
          </cell>
        </row>
        <row r="51">
          <cell r="B51" t="str">
            <v>101010310</v>
          </cell>
          <cell r="C51" t="str">
            <v>១.១.៣.១០. សកម្មភាពទី១០ : ​</v>
          </cell>
        </row>
        <row r="52">
          <cell r="B52" t="str">
            <v>101010311</v>
          </cell>
          <cell r="C52" t="str">
            <v xml:space="preserve">១.១.៣.១១. សកម្មភាពទី១១ : </v>
          </cell>
        </row>
        <row r="53">
          <cell r="B53" t="str">
            <v>101010312</v>
          </cell>
          <cell r="C53" t="str">
            <v>១.១.៣.១២. សកម្មភាពទី១២ : ​</v>
          </cell>
        </row>
        <row r="54">
          <cell r="B54" t="str">
            <v>1010104</v>
          </cell>
          <cell r="C54" t="str">
    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    </cell>
        </row>
        <row r="55">
          <cell r="B55" t="str">
            <v>101010401</v>
          </cell>
          <cell r="C55" t="str">
            <v>១.១.៤.១. សកម្មភាពទី១ : តាមដាន សម្របសម្រួល និងអនុវត្តយន្តការសហប្រតិបត្តិការហិរញ្ញវត្ថុ និងរូបិយវត្ថុអាស៊ាន និងជាមួយប្រទេសដៃគូ</v>
          </cell>
        </row>
        <row r="56">
          <cell r="B56" t="str">
            <v>101010402</v>
          </cell>
          <cell r="C56" t="str">
            <v xml:space="preserve">១.១.៤.២. សកម្មភាពទី២ : តាមដាន សម្របសម្រួល និងអនុវត្តកិច្ចព្រមព្រៀងពាណិជ្ជកម្មសេរី អាស៊ាន និងជាមួយប្រទេសដៃគូ </v>
          </cell>
        </row>
        <row r="57">
          <cell r="B57" t="str">
            <v>101010403</v>
          </cell>
          <cell r="C57" t="str">
            <v>១.១.៤.៣. សកម្មភាពទី៣ : តាមដាន សម្របសម្រួល និងអនុវត្តការងារពាក់ព័ន្ធនានាក្នុងនាមជាលេខាធិការដ្ឋានរបស់គណៈកម្មាធិការជាតិសម្រាប់វិធានការមិនមែនពន្ធនិងនិហិតដ្ឋានជាតិព័ត៌មានពាក់ព័ន្ធនឹងពាណិជ្ជកម្ម</v>
          </cell>
        </row>
        <row r="58">
          <cell r="B58" t="str">
            <v>101010404</v>
          </cell>
          <cell r="C58" t="str">
            <v>១.១.៤.៤. សកម្មភាពទី៤ : រៀបចំ (១)សិក្ខាសាលាផ្សព្វផ្សាយស្តីពីការអនុវត្តកិច្ចព្រមព្រៀងពាណិជ្ជកម្មសេរីអាស៊ាន និងអាស៊ានជាមួយដៃគូ និង (២)សិក្ខាសាលាជាតិស្តីពីការងារពាក់ព័ន្ធនឹងគណៈកម្មាធិការជាតិសម្រាប់វិធានការមិនមែនពន្ធ និងនិហិតដ្ឋានជាតិព័ត៌មានពាក់ព័ន្ធនឹងពាណិជ្ជកម្ម</v>
          </cell>
        </row>
        <row r="59">
          <cell r="B59" t="str">
            <v>101010405</v>
          </cell>
          <cell r="C59" t="str">
            <v>១.១.៤.៥. សកម្មភាពទី៥ :</v>
          </cell>
        </row>
        <row r="60">
          <cell r="B60" t="str">
            <v>101010406</v>
          </cell>
          <cell r="C60" t="str">
            <v xml:space="preserve">១.១.៤.៦. សកម្មភាពទី៦ : </v>
          </cell>
        </row>
        <row r="61">
          <cell r="B61" t="str">
            <v>101010407</v>
          </cell>
          <cell r="C61" t="str">
            <v xml:space="preserve">១.១.៤.៧. សកម្មភាពទី៧ : </v>
          </cell>
        </row>
        <row r="62">
          <cell r="B62" t="str">
            <v>101010408</v>
          </cell>
          <cell r="C62" t="str">
            <v>១.១.៤.៨. សកម្មភាពទី៨ : ​</v>
          </cell>
        </row>
        <row r="63">
          <cell r="B63" t="str">
            <v>101010409</v>
          </cell>
          <cell r="C63" t="str">
            <v xml:space="preserve">១.១.៤.៩. សកម្មភាពទី៩ : </v>
          </cell>
        </row>
        <row r="64">
          <cell r="B64" t="str">
            <v>101010410</v>
          </cell>
          <cell r="C64" t="str">
            <v>១.១.៤.១០. សកម្មភាពទី១០ : ​</v>
          </cell>
        </row>
        <row r="65">
          <cell r="B65" t="str">
            <v>101010411</v>
          </cell>
          <cell r="C65" t="str">
            <v xml:space="preserve">១.១.៤.១១. សកម្មភាពទី១១ : </v>
          </cell>
        </row>
        <row r="66">
          <cell r="B66" t="str">
            <v>101010412</v>
          </cell>
          <cell r="C66" t="str">
            <v>១.១.៤.១២. សកម្មភាពទី១២ : ​</v>
          </cell>
        </row>
        <row r="67">
          <cell r="B67" t="str">
            <v>1010105</v>
          </cell>
          <cell r="C67" t="str">
            <v>១.១.៥. ចង្កោមសកម្មភាពទី ៥ : លើកកម្ពស់គោលនយោបាយលើវិស័យសេដ្ឋកិច្ចថ្មី</v>
          </cell>
        </row>
        <row r="68">
          <cell r="B68" t="str">
            <v>101010501</v>
          </cell>
          <cell r="C68" t="str">
            <v xml:space="preserve">១.១.៥.១. សកម្មភាពទី១ :សិក្សាពាក់ព័ន្ធការកំណត់ និងការលើកកម្ពស់ប្រភពកំណើនថ្មី និងការគិតគូរជាយុទ្ធសាស្ត្ររយៈពេលវែង </v>
          </cell>
        </row>
        <row r="69">
          <cell r="B69" t="str">
            <v>101010502</v>
          </cell>
          <cell r="C69" t="str">
            <v xml:space="preserve">១.១.៥.២. សកម្មភាពទី២ : សិក្សាពាក់ព័ន្ធសេដ្ឋកិច្ចបៃតង និង ការលើកកម្ពស់ការប្រើប្រាស់ថាមពលបៃតង និងប្រសិទ្ធភាពថាមពល </v>
          </cell>
        </row>
        <row r="70">
          <cell r="B70" t="str">
            <v>101010503</v>
          </cell>
          <cell r="C70" t="str">
            <v>១.១.៥.៣. សកម្មភាពទី៣ : សិក្សាពាក់ព័ន្ធនឹងសេដ្ឋកិច្ចឌីជីថល និងការជំរុញការអនុវត្ត​បរិវត្តកម្មឌីជីថល</v>
          </cell>
        </row>
        <row r="71">
          <cell r="B71" t="str">
            <v>101010504</v>
          </cell>
          <cell r="C71" t="str">
            <v xml:space="preserve">១.១.៥.៤. សកម្មភាពទី៤ :ការអនុវត្តគម្រោងមូលនិធិអភិវឌ្ឍន៍ជំនាញ (SDF)និង “មូលនិធិអភិវឌ្ឍន៍សហគ្រិនភាព (EDF)” </v>
          </cell>
        </row>
        <row r="72">
          <cell r="B72" t="str">
            <v>101010505</v>
          </cell>
          <cell r="C72" t="str">
            <v>១.១.៥.៥. សកម្មភាពទី៥ :ការតាមដានការអនុវត្តគោលនយោបាយនិងយុទ្ធសាស្ត្រពាក់ព័ន្ធ​​នឹងការលើកទឹកចិត្តសារពើពន្ធ និងមិនមែនសារពើពន្ធដើម្បីជំរុញកំណើនសេដ្ឋកិច្ច</v>
          </cell>
        </row>
        <row r="73">
          <cell r="B73" t="str">
            <v>101010506</v>
          </cell>
          <cell r="C73" t="str">
            <v>១.១.៥.៦. សកម្មភាពទី៦ : ពង្រឹងសេវាគាំទ្រកិច្ចប្រតិបត្តិការ និងការងារសម្របសម្រួល</v>
          </cell>
        </row>
        <row r="74">
          <cell r="B74" t="str">
            <v>101010507</v>
          </cell>
          <cell r="C74" t="str">
            <v xml:space="preserve">១.១.៥.៧. សកម្មភាពទី៧ : </v>
          </cell>
        </row>
        <row r="75">
          <cell r="B75" t="str">
            <v>101010508</v>
          </cell>
          <cell r="C75" t="str">
            <v>១.១.៥.៨. សកម្មភាពទី៨ : ​</v>
          </cell>
        </row>
        <row r="76">
          <cell r="B76" t="str">
            <v>101010509</v>
          </cell>
          <cell r="C76" t="str">
            <v xml:space="preserve">១.១.៥.៩. សកម្មភាពទី៩ : </v>
          </cell>
        </row>
        <row r="77">
          <cell r="B77" t="str">
            <v>101010510</v>
          </cell>
          <cell r="C77" t="str">
            <v>១.១.៥.១០. សកម្មភាពទី១០ : ​</v>
          </cell>
        </row>
        <row r="78">
          <cell r="B78" t="str">
            <v>101010511</v>
          </cell>
          <cell r="C78" t="str">
            <v xml:space="preserve">១.១.៥.១១. សកម្មភាពទី១១ : </v>
          </cell>
        </row>
        <row r="79">
          <cell r="B79" t="str">
            <v>101010512</v>
          </cell>
          <cell r="C79" t="str">
            <v>១.១.៥.១២. សកម្មភាពទី១២ : ​</v>
          </cell>
        </row>
        <row r="80">
          <cell r="B80" t="str">
            <v>1010106</v>
          </cell>
          <cell r="C80" t="str">
            <v>១.១.៦. ចង្កោមសកម្មភាពទី ៦ : រៀបចំ តាមដាន និងវាយតម្លៃ គោលនយោបាយពាក់ព័ន្ធនឹងប្រសិទ្ធភាពចំណាយ</v>
          </cell>
        </row>
        <row r="81">
          <cell r="B81" t="str">
            <v>101010601</v>
          </cell>
          <cell r="C81" t="str">
            <v>១.‌១.៦.១.សកម្មភាពទី១៖ការគ្រប់គ្រងកិច្ចការទូទៅ និងសម្របសម្រួល</v>
          </cell>
        </row>
        <row r="82">
          <cell r="B82" t="str">
            <v>101010602</v>
          </cell>
          <cell r="C82" t="str">
            <v>១.‌១.៥.២.សកម្មភាពទី២៖ ការរៀបចំ ចងក្រង តាមដាន វិភាគនិងផ្សព្វផ្សាយបញ្ជីថ្លៃទំនិញ និងសេវា ព្រមទាំងកំណត់ស្តង់ដារថ្លៃទំនិញនិងសេវា សម្រាប់ប្រើប្រាស់ក្នុងចំណាយសាធារណៈ</v>
          </cell>
        </row>
        <row r="83">
          <cell r="B83" t="str">
            <v>101010603</v>
          </cell>
          <cell r="C83" t="str">
            <v>១.១.៦.៣.សកម្មភាពទី៣៖ការវិភាគ និងវាយតម្លៃ លើសំណើគម្រោង</v>
          </cell>
        </row>
        <row r="84">
          <cell r="B84" t="str">
            <v>101010604</v>
          </cell>
          <cell r="C84" t="str">
            <v xml:space="preserve">១.‌១.៦.៤.សកម្មភាពទី៤៖ ការតាមដាន និងវាយតម្លៃ ការវិនិយោគសាធារណៈ </v>
          </cell>
        </row>
        <row r="85">
          <cell r="B85" t="str">
            <v>101010605</v>
          </cell>
          <cell r="C85" t="str">
            <v>១.‌១.៦.៥.សកម្មភាពទី៥៖ ការរៀបចំគោលនយោបាយ និងយុទ្ធសាស្រ្តវិនិយោគសាធារណៈ</v>
          </cell>
        </row>
        <row r="86">
          <cell r="B86" t="str">
            <v>101010606</v>
          </cell>
          <cell r="C86" t="str">
            <v xml:space="preserve">១.‌១.៦.៤.សកម្មភាពទី៤៖ ការតាមដាន និងវាយតម្លៃ ការវិនិយោគសាធារណៈ </v>
          </cell>
        </row>
        <row r="87">
          <cell r="B87" t="str">
            <v>101010607</v>
          </cell>
          <cell r="C87" t="str">
            <v xml:space="preserve">១.‌១.៦.៤.សកម្មភាពទី៤៖ ការតាមដាន និងវាយតម្លៃ ការវិនិយោគសាធារណៈ </v>
          </cell>
        </row>
        <row r="88">
          <cell r="B88" t="str">
            <v>101010608</v>
          </cell>
          <cell r="C88" t="str">
            <v xml:space="preserve">១.‌១.៦.៤.សកម្មភាពទី៤៖ ការតាមដាន និងវាយតម្លៃ ការវិនិយោគសាធារណៈ </v>
          </cell>
        </row>
        <row r="89">
          <cell r="B89" t="str">
            <v>101010609</v>
          </cell>
          <cell r="C89" t="str">
            <v xml:space="preserve">១.‌១.៦.៤.សកម្មភាពទី៤៖ ការតាមដាន និងវាយតម្លៃ ការវិនិយោគសាធារណៈ </v>
          </cell>
        </row>
        <row r="90">
          <cell r="B90" t="str">
            <v>101010610</v>
          </cell>
          <cell r="C90" t="str">
            <v xml:space="preserve">១.‌១.៦.៤.សកម្មភាពទី៤៖ ការតាមដាន និងវាយតម្លៃ ការវិនិយោគសាធារណៈ </v>
          </cell>
        </row>
        <row r="91">
          <cell r="B91" t="str">
            <v>101010611</v>
          </cell>
          <cell r="C91" t="str">
            <v xml:space="preserve">១.‌១.៦.៤.សកម្មភាពទី៤៖ ការតាមដាន និងវាយតម្លៃ ការវិនិយោគសាធារណៈ </v>
          </cell>
        </row>
        <row r="92">
          <cell r="B92" t="str">
            <v>101010612</v>
          </cell>
          <cell r="C92" t="str">
            <v xml:space="preserve">១.‌១.៦.៤.សកម្មភាពទី៤៖ ការតាមដាន និងវាយតម្លៃ ការវិនិយោគសាធារណៈ </v>
          </cell>
        </row>
        <row r="93">
          <cell r="B93" t="str">
            <v>1010107</v>
          </cell>
          <cell r="C93" t="str">
            <v xml:space="preserve">១.‌១.៦.៤.សកម្មភាពទី៤៖ ការតាមដាន និងវាយតម្លៃ ការវិនិយោគសាធារណៈ </v>
          </cell>
        </row>
        <row r="94">
          <cell r="B94" t="str">
            <v>101010701</v>
          </cell>
          <cell r="C94" t="str">
            <v xml:space="preserve">១.‌១.៦.៤.សកម្មភាពទី៤៖ ការតាមដាន និងវាយតម្លៃ ការវិនិយោគសាធារណៈ </v>
          </cell>
        </row>
        <row r="95">
          <cell r="B95" t="str">
            <v>101010702</v>
          </cell>
          <cell r="C95" t="str">
            <v xml:space="preserve">១.‌១.៦.៤.សកម្មភាពទី៤៖ ការតាមដាន និងវាយតម្លៃ ការវិនិយោគសាធារណៈ </v>
          </cell>
        </row>
        <row r="96">
          <cell r="B96" t="str">
            <v>101010703</v>
          </cell>
          <cell r="C96" t="str">
            <v xml:space="preserve">១.‌១.៦.៤.សកម្មភាពទី៤៖ ការតាមដាន និងវាយតម្លៃ ការវិនិយោគសាធារណៈ </v>
          </cell>
        </row>
        <row r="97">
          <cell r="B97" t="str">
            <v>101010704</v>
          </cell>
          <cell r="C97" t="str">
            <v xml:space="preserve">១.‌១.៦.៤.សកម្មភាពទី៤៖ ការតាមដាន និងវាយតម្លៃ ការវិនិយោគសាធារណៈ </v>
          </cell>
        </row>
        <row r="98">
          <cell r="B98" t="str">
            <v>101010705</v>
          </cell>
          <cell r="C98" t="str">
            <v xml:space="preserve">១.‌១.៦.៤.សកម្មភាពទី៤៖ ការតាមដាន និងវាយតម្លៃ ការវិនិយោគសាធារណៈ </v>
          </cell>
        </row>
        <row r="99">
          <cell r="B99" t="str">
            <v>101010706</v>
          </cell>
          <cell r="C99" t="str">
            <v xml:space="preserve">១.‌១.៦.៤.សកម្មភាពទី៤៖ ការតាមដាន និងវាយតម្លៃ ការវិនិយោគសាធារណៈ </v>
          </cell>
        </row>
        <row r="100">
          <cell r="B100" t="str">
            <v>101010707</v>
          </cell>
          <cell r="C100" t="str">
            <v xml:space="preserve">១.‌១.៦.៤.សកម្មភាពទី៤៖ ការតាមដាន និងវាយតម្លៃ ការវិនិយោគសាធារណៈ </v>
          </cell>
        </row>
        <row r="101">
          <cell r="B101" t="str">
            <v>101010708</v>
          </cell>
          <cell r="C101" t="str">
            <v xml:space="preserve">១.‌១.៦.៤.សកម្មភាពទី៤៖ ការតាមដាន និងវាយតម្លៃ ការវិនិយោគសាធារណៈ </v>
          </cell>
        </row>
        <row r="102">
          <cell r="B102" t="str">
            <v>101010709</v>
          </cell>
          <cell r="C102" t="str">
            <v xml:space="preserve">១.‌១.៦.៤.សកម្មភាពទី៤៖ ការតាមដាន និងវាយតម្លៃ ការវិនិយោគសាធារណៈ </v>
          </cell>
        </row>
        <row r="103">
          <cell r="B103" t="str">
            <v>101010710</v>
          </cell>
          <cell r="C103" t="str">
            <v xml:space="preserve">១.‌១.៦.៤.សកម្មភាពទី៤៖ ការតាមដាន និងវាយតម្លៃ ការវិនិយោគសាធារណៈ </v>
          </cell>
        </row>
        <row r="104">
          <cell r="B104" t="str">
            <v>101010711</v>
          </cell>
          <cell r="C104" t="str">
            <v xml:space="preserve">១.‌១.៦.៤.សកម្មភាពទី៤៖ ការតាមដាន និងវាយតម្លៃ ការវិនិយោគសាធារណៈ </v>
          </cell>
        </row>
        <row r="105">
          <cell r="B105" t="str">
            <v>101010712</v>
          </cell>
          <cell r="C105" t="str">
            <v xml:space="preserve">១.‌១.៦.៤.សកម្មភាពទី៤៖ ការតាមដាន និងវាយតម្លៃ ការវិនិយោគសាធារណៈ </v>
          </cell>
        </row>
        <row r="106">
          <cell r="B106" t="str">
            <v>1010108</v>
          </cell>
          <cell r="C106" t="str">
            <v xml:space="preserve">១.‌១.៦.៤.សកម្មភាពទី៤៖ ការតាមដាន និងវាយតម្លៃ ការវិនិយោគសាធារណៈ </v>
          </cell>
        </row>
        <row r="107">
          <cell r="B107" t="str">
            <v>101010801</v>
          </cell>
          <cell r="C107" t="str">
            <v xml:space="preserve">១.‌១.៦.៤.សកម្មភាពទី៤៖ ការតាមដាន និងវាយតម្លៃ ការវិនិយោគសាធារណៈ </v>
          </cell>
        </row>
        <row r="108">
          <cell r="B108" t="str">
            <v>101010802</v>
          </cell>
          <cell r="C108" t="str">
            <v xml:space="preserve">១.‌១.៦.៤.សកម្មភាពទី៤៖ ការតាមដាន និងវាយតម្លៃ ការវិនិយោគសាធារណៈ </v>
          </cell>
        </row>
        <row r="109">
          <cell r="B109" t="str">
            <v>101010803</v>
          </cell>
          <cell r="C109" t="str">
            <v xml:space="preserve">១.‌១.៦.៤.សកម្មភាពទី៤៖ ការតាមដាន និងវាយតម្លៃ ការវិនិយោគសាធារណៈ </v>
          </cell>
        </row>
        <row r="110">
          <cell r="B110" t="str">
            <v>101010804</v>
          </cell>
          <cell r="C110" t="str">
            <v xml:space="preserve">១.‌១.៦.៤.សកម្មភាពទី៤៖ ការតាមដាន និងវាយតម្លៃ ការវិនិយោគសាធារណៈ </v>
          </cell>
        </row>
        <row r="111">
          <cell r="B111" t="str">
            <v>101010805</v>
          </cell>
          <cell r="C111" t="str">
            <v xml:space="preserve">១.‌១.៦.៤.សកម្មភាពទី៤៖ ការតាមដាន និងវាយតម្លៃ ការវិនិយោគសាធារណៈ </v>
          </cell>
        </row>
        <row r="112">
          <cell r="B112" t="str">
            <v>101010806</v>
          </cell>
          <cell r="C112" t="str">
            <v xml:space="preserve">១.‌១.៦.៤.សកម្មភាពទី៤៖ ការតាមដាន និងវាយតម្លៃ ការវិនិយោគសាធារណៈ </v>
          </cell>
        </row>
        <row r="113">
          <cell r="B113" t="str">
            <v>101010807</v>
          </cell>
          <cell r="C113" t="str">
            <v xml:space="preserve">១.‌១.៦.៤.សកម្មភាពទី៤៖ ការតាមដាន និងវាយតម្លៃ ការវិនិយោគសាធារណៈ </v>
          </cell>
        </row>
        <row r="114">
          <cell r="B114" t="str">
            <v>101010808</v>
          </cell>
          <cell r="C114" t="str">
            <v xml:space="preserve">១.‌១.៦.៤.សកម្មភាពទី៤៖ ការតាមដាន និងវាយតម្លៃ ការវិនិយោគសាធារណៈ </v>
          </cell>
        </row>
        <row r="115">
          <cell r="B115" t="str">
            <v>101010809</v>
          </cell>
          <cell r="C115" t="str">
            <v xml:space="preserve">១.‌១.៦.៤.សកម្មភាពទី៤៖ ការតាមដាន និងវាយតម្លៃ ការវិនិយោគសាធារណៈ </v>
          </cell>
        </row>
        <row r="116">
          <cell r="B116" t="str">
            <v>101010810</v>
          </cell>
          <cell r="C116" t="str">
            <v xml:space="preserve">១.‌១.៦.៤.សកម្មភាពទី៤៖ ការតាមដាន និងវាយតម្លៃ ការវិនិយោគសាធារណៈ </v>
          </cell>
        </row>
        <row r="117">
          <cell r="B117" t="str">
            <v>101010811</v>
          </cell>
          <cell r="C117" t="str">
            <v xml:space="preserve">១.‌១.៦.៤.សកម្មភាពទី៤៖ ការតាមដាន និងវាយតម្លៃ ការវិនិយោគសាធារណៈ </v>
          </cell>
        </row>
        <row r="118">
          <cell r="B118" t="str">
            <v>101010812</v>
          </cell>
          <cell r="C118" t="str">
            <v xml:space="preserve">១.‌១.៦.៤.សកម្មភាពទី៤៖ ការតាមដាន និងវាយតម្លៃ ការវិនិយោគសាធារណៈ </v>
          </cell>
        </row>
        <row r="119">
          <cell r="B119" t="str">
            <v>1010109</v>
          </cell>
          <cell r="C119" t="str">
            <v xml:space="preserve">១.‌១.៦.៤.សកម្មភាពទី៤៖ ការតាមដាន និងវាយតម្លៃ ការវិនិយោគសាធារណៈ </v>
          </cell>
        </row>
        <row r="120">
          <cell r="B120" t="str">
            <v>101010901</v>
          </cell>
          <cell r="C120" t="str">
            <v xml:space="preserve">១.‌១.៦.៤.សកម្មភាពទី៤៖ ការតាមដាន និងវាយតម្លៃ ការវិនិយោគសាធារណៈ </v>
          </cell>
        </row>
        <row r="121">
          <cell r="B121" t="str">
            <v>101010902</v>
          </cell>
          <cell r="C121" t="str">
            <v xml:space="preserve">១.‌១.៦.៤.សកម្មភាពទី៤៖ ការតាមដាន និងវាយតម្លៃ ការវិនិយោគសាធារណៈ </v>
          </cell>
        </row>
        <row r="122">
          <cell r="B122" t="str">
            <v>101010903</v>
          </cell>
          <cell r="C122" t="str">
            <v xml:space="preserve">១.‌១.៦.៤.សកម្មភាពទី៤៖ ការតាមដាន និងវាយតម្លៃ ការវិនិយោគសាធារណៈ </v>
          </cell>
        </row>
        <row r="123">
          <cell r="B123" t="str">
            <v>101010904</v>
          </cell>
          <cell r="C123" t="str">
            <v xml:space="preserve">១.‌១.៦.៤.សកម្មភាពទី៤៖ ការតាមដាន និងវាយតម្លៃ ការវិនិយោគសាធារណៈ </v>
          </cell>
        </row>
        <row r="124">
          <cell r="B124" t="str">
            <v>101010905</v>
          </cell>
          <cell r="C124" t="str">
            <v xml:space="preserve">១.‌១.៦.៤.សកម្មភាពទី៤៖ ការតាមដាន និងវាយតម្លៃ ការវិនិយោគសាធារណៈ </v>
          </cell>
        </row>
        <row r="125">
          <cell r="B125" t="str">
            <v>101010906</v>
          </cell>
          <cell r="C125" t="str">
            <v xml:space="preserve">១.‌១.៦.៤.សកម្មភាពទី៤៖ ការតាមដាន និងវាយតម្លៃ ការវិនិយោគសាធារណៈ </v>
          </cell>
        </row>
        <row r="126">
          <cell r="B126" t="str">
            <v>101010907</v>
          </cell>
          <cell r="C126" t="str">
            <v xml:space="preserve">១.‌១.៦.៤.សកម្មភាពទី៤៖ ការតាមដាន និងវាយតម្លៃ ការវិនិយោគសាធារណៈ </v>
          </cell>
        </row>
        <row r="127">
          <cell r="B127" t="str">
            <v>101010908</v>
          </cell>
          <cell r="C127" t="str">
            <v xml:space="preserve">១.‌១.៦.៤.សកម្មភាពទី៤៖ ការតាមដាន និងវាយតម្លៃ ការវិនិយោគសាធារណៈ </v>
          </cell>
        </row>
        <row r="128">
          <cell r="B128" t="str">
            <v>101010909</v>
          </cell>
          <cell r="C128" t="str">
            <v xml:space="preserve">១.‌១.៦.៤.សកម្មភាពទី៤៖ ការតាមដាន និងវាយតម្លៃ ការវិនិយោគសាធារណៈ </v>
          </cell>
        </row>
        <row r="129">
          <cell r="B129" t="str">
            <v>101010910</v>
          </cell>
          <cell r="C129" t="str">
            <v xml:space="preserve">១.‌១.៦.៤.សកម្មភាពទី៤៖ ការតាមដាន និងវាយតម្លៃ ការវិនិយោគសាធារណៈ </v>
          </cell>
        </row>
        <row r="130">
          <cell r="B130" t="str">
            <v>101010911</v>
          </cell>
          <cell r="C130" t="str">
            <v xml:space="preserve">១.‌១.៦.៤.សកម្មភាពទី៤៖ ការតាមដាន និងវាយតម្លៃ ការវិនិយោគសាធារណៈ </v>
          </cell>
        </row>
        <row r="131">
          <cell r="B131" t="str">
            <v>101010912</v>
          </cell>
          <cell r="C131" t="str">
            <v xml:space="preserve">១.‌១.៦.៤.សកម្មភាពទី៤៖ ការតាមដាន និងវាយតម្លៃ ការវិនិយោគសាធារណៈ </v>
          </cell>
        </row>
        <row r="132">
          <cell r="B132" t="str">
            <v>1010110</v>
          </cell>
          <cell r="C132" t="str">
            <v xml:space="preserve">១.‌១.៦.៤.សកម្មភាពទី៤៖ ការតាមដាន និងវាយតម្លៃ ការវិនិយោគសាធារណៈ </v>
          </cell>
        </row>
        <row r="133">
          <cell r="B133" t="str">
            <v>101011001</v>
          </cell>
          <cell r="C133" t="str">
            <v xml:space="preserve">១.‌១.៦.៤.សកម្មភាពទី៤៖ ការតាមដាន និងវាយតម្លៃ ការវិនិយោគសាធារណៈ </v>
          </cell>
        </row>
        <row r="134">
          <cell r="B134" t="str">
            <v>101011002</v>
          </cell>
          <cell r="C134" t="str">
            <v xml:space="preserve">១.‌១.៦.៤.សកម្មភាពទី៤៖ ការតាមដាន និងវាយតម្លៃ ការវិនិយោគសាធារណៈ </v>
          </cell>
        </row>
        <row r="135">
          <cell r="B135" t="str">
            <v>101011003</v>
          </cell>
          <cell r="C135" t="str">
            <v xml:space="preserve">១.‌១.៦.៤.សកម្មភាពទី៤៖ ការតាមដាន និងវាយតម្លៃ ការវិនិយោគសាធារណៈ </v>
          </cell>
        </row>
        <row r="136">
          <cell r="B136" t="str">
            <v>101011004</v>
          </cell>
          <cell r="C136" t="str">
            <v xml:space="preserve">១.‌១.៦.៤.សកម្មភាពទី៤៖ ការតាមដាន និងវាយតម្លៃ ការវិនិយោគសាធារណៈ </v>
          </cell>
        </row>
        <row r="137">
          <cell r="B137" t="str">
            <v>101011005</v>
          </cell>
          <cell r="C137" t="str">
            <v xml:space="preserve">១.‌១.៦.៤.សកម្មភាពទី៤៖ ការតាមដាន និងវាយតម្លៃ ការវិនិយោគសាធារណៈ </v>
          </cell>
        </row>
        <row r="138">
          <cell r="B138" t="str">
            <v>101011006</v>
          </cell>
          <cell r="C138" t="str">
            <v xml:space="preserve">១.‌១.៦.៤.សកម្មភាពទី៤៖ ការតាមដាន និងវាយតម្លៃ ការវិនិយោគសាធារណៈ </v>
          </cell>
        </row>
        <row r="139">
          <cell r="B139" t="str">
            <v>101011007</v>
          </cell>
          <cell r="C139" t="str">
            <v xml:space="preserve">១.‌១.៦.៤.សកម្មភាពទី៤៖ ការតាមដាន និងវាយតម្លៃ ការវិនិយោគសាធារណៈ </v>
          </cell>
        </row>
        <row r="140">
          <cell r="B140" t="str">
            <v>101011008</v>
          </cell>
          <cell r="C140" t="str">
            <v xml:space="preserve">១.‌១.៦.៤.សកម្មភាពទី៤៖ ការតាមដាន និងវាយតម្លៃ ការវិនិយោគសាធារណៈ </v>
          </cell>
        </row>
        <row r="141">
          <cell r="B141" t="str">
            <v>101011009</v>
          </cell>
          <cell r="C141" t="str">
            <v xml:space="preserve">១.‌១.៦.៤.សកម្មភាពទី៤៖ ការតាមដាន និងវាយតម្លៃ ការវិនិយោគសាធារណៈ </v>
          </cell>
        </row>
        <row r="142">
          <cell r="B142" t="str">
            <v>101011010</v>
          </cell>
          <cell r="C142" t="str">
            <v xml:space="preserve">១.‌១.៦.៤.សកម្មភាពទី៤៖ ការតាមដាន និងវាយតម្លៃ ការវិនិយោគសាធារណៈ </v>
          </cell>
        </row>
        <row r="143">
          <cell r="B143" t="str">
            <v>101011011</v>
          </cell>
          <cell r="C143" t="str">
            <v xml:space="preserve">១.‌១.៦.៤.សកម្មភាពទី៤៖ ការតាមដាន និងវាយតម្លៃ ការវិនិយោគសាធារណៈ </v>
          </cell>
        </row>
        <row r="144">
          <cell r="B144" t="str">
            <v>101011012</v>
          </cell>
          <cell r="C144" t="str">
            <v xml:space="preserve">១.‌១.៦.៤.សកម្មភាពទី៤៖ ការតាមដាន និងវាយតម្លៃ ការវិនិយោគសាធារណៈ </v>
          </cell>
        </row>
        <row r="145">
          <cell r="B145" t="str">
            <v>1010111</v>
          </cell>
          <cell r="C145" t="str">
            <v xml:space="preserve">១.‌១.៦.៤.សកម្មភាពទី៤៖ ការតាមដាន និងវាយតម្លៃ ការវិនិយោគសាធារណៈ </v>
          </cell>
        </row>
        <row r="146">
          <cell r="B146" t="str">
            <v>101011101</v>
          </cell>
          <cell r="C146" t="str">
            <v xml:space="preserve">១.‌១.៦.៤.សកម្មភាពទី៤៖ ការតាមដាន និងវាយតម្លៃ ការវិនិយោគសាធារណៈ </v>
          </cell>
        </row>
        <row r="147">
          <cell r="B147" t="str">
            <v>101011102</v>
          </cell>
          <cell r="C147" t="str">
            <v xml:space="preserve">១.‌១.៦.៤.សកម្មភាពទី៤៖ ការតាមដាន និងវាយតម្លៃ ការវិនិយោគសាធារណៈ </v>
          </cell>
        </row>
        <row r="148">
          <cell r="B148" t="str">
            <v>101011103</v>
          </cell>
          <cell r="C148" t="str">
            <v xml:space="preserve">១.‌១.៦.៤.សកម្មភាពទី៤៖ ការតាមដាន និងវាយតម្លៃ ការវិនិយោគសាធារណៈ </v>
          </cell>
        </row>
        <row r="149">
          <cell r="B149" t="str">
            <v>101011104</v>
          </cell>
          <cell r="C149" t="str">
            <v xml:space="preserve">១.‌១.៦.៤.សកម្មភាពទី៤៖ ការតាមដាន និងវាយតម្លៃ ការវិនិយោគសាធារណៈ </v>
          </cell>
        </row>
        <row r="150">
          <cell r="B150" t="str">
            <v>101011105</v>
          </cell>
          <cell r="C150" t="str">
            <v xml:space="preserve">១.‌១.៦.៤.សកម្មភាពទី៤៖ ការតាមដាន និងវាយតម្លៃ ការវិនិយោគសាធារណៈ </v>
          </cell>
        </row>
        <row r="151">
          <cell r="B151" t="str">
            <v>101011106</v>
          </cell>
          <cell r="C151" t="str">
            <v xml:space="preserve">១.‌១.៦.៤.សកម្មភាពទី៤៖ ការតាមដាន និងវាយតម្លៃ ការវិនិយោគសាធារណៈ </v>
          </cell>
        </row>
        <row r="152">
          <cell r="B152" t="str">
            <v>101011107</v>
          </cell>
          <cell r="C152" t="str">
            <v xml:space="preserve">១.‌១.៦.៤.សកម្មភាពទី៤៖ ការតាមដាន និងវាយតម្លៃ ការវិនិយោគសាធារណៈ </v>
          </cell>
        </row>
        <row r="153">
          <cell r="B153" t="str">
            <v>101011108</v>
          </cell>
          <cell r="C153" t="str">
            <v xml:space="preserve">១.‌១.៦.៤.សកម្មភាពទី៤៖ ការតាមដាន និងវាយតម្លៃ ការវិនិយោគសាធារណៈ </v>
          </cell>
        </row>
        <row r="154">
          <cell r="B154" t="str">
            <v>101011109</v>
          </cell>
          <cell r="C154" t="str">
            <v xml:space="preserve">១.‌១.៦.៤.សកម្មភាពទី៤៖ ការតាមដាន និងវាយតម្លៃ ការវិនិយោគសាធារណៈ </v>
          </cell>
        </row>
        <row r="155">
          <cell r="B155" t="str">
            <v>101011110</v>
          </cell>
          <cell r="C155" t="str">
            <v xml:space="preserve">១.‌១.៦.៤.សកម្មភាពទី៤៖ ការតាមដាន និងវាយតម្លៃ ការវិនិយោគសាធារណៈ </v>
          </cell>
        </row>
        <row r="156">
          <cell r="B156" t="str">
            <v>101011111</v>
          </cell>
          <cell r="C156" t="str">
            <v xml:space="preserve">១.‌១.៦.៤.សកម្មភាពទី៤៖ ការតាមដាន និងវាយតម្លៃ ការវិនិយោគសាធារណៈ </v>
          </cell>
        </row>
        <row r="157">
          <cell r="B157" t="str">
            <v>101011112</v>
          </cell>
          <cell r="C157" t="str">
            <v xml:space="preserve">១.‌១.៦.៤.សកម្មភាពទី៤៖ ការតាមដាន និងវាយតម្លៃ ការវិនិយោគសាធារណៈ </v>
          </cell>
        </row>
        <row r="158">
          <cell r="B158" t="str">
            <v>1010112</v>
          </cell>
          <cell r="C158" t="str">
            <v xml:space="preserve">១.‌១.៦.៤.សកម្មភាពទី៤៖ ការតាមដាន និងវាយតម្លៃ ការវិនិយោគសាធារណៈ </v>
          </cell>
        </row>
        <row r="159">
          <cell r="B159" t="str">
            <v>101011201</v>
          </cell>
          <cell r="C159" t="str">
            <v xml:space="preserve">១.‌១.៦.៤.សកម្មភាពទី៤៖ ការតាមដាន និងវាយតម្លៃ ការវិនិយោគសាធារណៈ </v>
          </cell>
        </row>
        <row r="160">
          <cell r="B160" t="str">
            <v>101011202</v>
          </cell>
          <cell r="C160" t="str">
            <v xml:space="preserve">១.‌១.៦.៤.សកម្មភាពទី៤៖ ការតាមដាន និងវាយតម្លៃ ការវិនិយោគសាធារណៈ </v>
          </cell>
        </row>
        <row r="161">
          <cell r="B161" t="str">
            <v>101011203</v>
          </cell>
          <cell r="C161" t="str">
            <v xml:space="preserve">១.‌១.៦.៤.សកម្មភាពទី៤៖ ការតាមដាន និងវាយតម្លៃ ការវិនិយោគសាធារណៈ </v>
          </cell>
        </row>
        <row r="162">
          <cell r="B162" t="str">
            <v>101011204</v>
          </cell>
          <cell r="C162" t="str">
            <v xml:space="preserve">១.‌១.៦.៤.សកម្មភាពទី៤៖ ការតាមដាន និងវាយតម្លៃ ការវិនិយោគសាធារណៈ </v>
          </cell>
        </row>
        <row r="163">
          <cell r="B163" t="str">
            <v>101011205</v>
          </cell>
          <cell r="C163" t="str">
            <v xml:space="preserve">១.‌១.៦.៤.សកម្មភាពទី៤៖ ការតាមដាន និងវាយតម្លៃ ការវិនិយោគសាធារណៈ </v>
          </cell>
        </row>
        <row r="164">
          <cell r="B164" t="str">
            <v>101011206</v>
          </cell>
          <cell r="C164" t="str">
            <v xml:space="preserve">១.‌១.៦.៤.សកម្មភាពទី៤៖ ការតាមដាន និងវាយតម្លៃ ការវិនិយោគសាធារណៈ </v>
          </cell>
        </row>
        <row r="165">
          <cell r="B165" t="str">
            <v>101011207</v>
          </cell>
          <cell r="C165" t="str">
            <v xml:space="preserve">១.‌១.៦.៤.សកម្មភាពទី៤៖ ការតាមដាន និងវាយតម្លៃ ការវិនិយោគសាធារណៈ </v>
          </cell>
        </row>
        <row r="166">
          <cell r="B166" t="str">
            <v>101011208</v>
          </cell>
          <cell r="C166" t="str">
            <v xml:space="preserve">១.‌១.៦.៤.សកម្មភាពទី៤៖ ការតាមដាន និងវាយតម្លៃ ការវិនិយោគសាធារណៈ </v>
          </cell>
        </row>
        <row r="167">
          <cell r="B167" t="str">
            <v>101011209</v>
          </cell>
          <cell r="C167" t="str">
            <v xml:space="preserve">១.‌១.៦.៤.សកម្មភាពទី៤៖ ការតាមដាន និងវាយតម្លៃ ការវិនិយោគសាធារណៈ </v>
          </cell>
        </row>
        <row r="168">
          <cell r="B168" t="str">
            <v>101011210</v>
          </cell>
          <cell r="C168" t="str">
            <v xml:space="preserve">១.‌១.៦.៤.សកម្មភាពទី៤៖ ការតាមដាន និងវាយតម្លៃ ការវិនិយោគសាធារណៈ </v>
          </cell>
        </row>
        <row r="169">
          <cell r="B169" t="str">
            <v>101011211</v>
          </cell>
          <cell r="C169" t="str">
            <v xml:space="preserve">១.‌១.៦.៤.សកម្មភាពទី៤៖ ការតាមដាន និងវាយតម្លៃ ការវិនិយោគសាធារណៈ </v>
          </cell>
        </row>
        <row r="170">
          <cell r="B170" t="str">
            <v>101011212</v>
          </cell>
          <cell r="C170" t="str">
            <v xml:space="preserve">១.‌១.៦.៤.សកម្មភាពទី៤៖ ការតាមដាន និងវាយតម្លៃ ការវិនិយោគសាធារណៈ </v>
          </cell>
        </row>
        <row r="171">
          <cell r="B171" t="str">
            <v>1010113</v>
          </cell>
          <cell r="C171" t="str">
            <v xml:space="preserve">១.‌១.៦.៤.សកម្មភាពទី៤៖ ការតាមដាន និងវាយតម្លៃ ការវិនិយោគសាធារណៈ </v>
          </cell>
        </row>
        <row r="172">
          <cell r="B172" t="str">
            <v>101011301</v>
          </cell>
          <cell r="C172" t="str">
            <v xml:space="preserve">១.‌១.៦.៤.សកម្មភាពទី៤៖ ការតាមដាន និងវាយតម្លៃ ការវិនិយោគសាធារណៈ </v>
          </cell>
        </row>
        <row r="173">
          <cell r="B173" t="str">
            <v>101011302</v>
          </cell>
          <cell r="C173" t="str">
            <v xml:space="preserve">១.‌១.៦.៤.សកម្មភាពទី៤៖ ការតាមដាន និងវាយតម្លៃ ការវិនិយោគសាធារណៈ </v>
          </cell>
        </row>
        <row r="174">
          <cell r="B174" t="str">
            <v>101011303</v>
          </cell>
          <cell r="C174" t="str">
            <v xml:space="preserve">១.‌១.៦.៤.សកម្មភាពទី៤៖ ការតាមដាន និងវាយតម្លៃ ការវិនិយោគសាធារណៈ </v>
          </cell>
        </row>
        <row r="175">
          <cell r="B175" t="str">
            <v>101011304</v>
          </cell>
          <cell r="C175" t="str">
            <v xml:space="preserve">១.‌១.៦.៤.សកម្មភាពទី៤៖ ការតាមដាន និងវាយតម្លៃ ការវិនិយោគសាធារណៈ </v>
          </cell>
        </row>
        <row r="176">
          <cell r="B176" t="str">
            <v>101011305</v>
          </cell>
          <cell r="C176" t="str">
            <v xml:space="preserve">១.‌១.៦.៤.សកម្មភាពទី៤៖ ការតាមដាន និងវាយតម្លៃ ការវិនិយោគសាធារណៈ </v>
          </cell>
        </row>
        <row r="177">
          <cell r="B177" t="str">
            <v>101011306</v>
          </cell>
          <cell r="C177" t="str">
            <v xml:space="preserve">១.‌១.៦.៤.សកម្មភាពទី៤៖ ការតាមដាន និងវាយតម្លៃ ការវិនិយោគសាធារណៈ </v>
          </cell>
        </row>
        <row r="178">
          <cell r="B178" t="str">
            <v>101011307</v>
          </cell>
          <cell r="C178" t="str">
            <v xml:space="preserve">១.‌១.៦.៤.សកម្មភាពទី៤៖ ការតាមដាន និងវាយតម្លៃ ការវិនិយោគសាធារណៈ </v>
          </cell>
        </row>
        <row r="179">
          <cell r="B179" t="str">
            <v>101011308</v>
          </cell>
          <cell r="C179" t="str">
            <v xml:space="preserve">១.‌១.៦.៤.សកម្មភាពទី៤៖ ការតាមដាន និងវាយតម្លៃ ការវិនិយោគសាធារណៈ </v>
          </cell>
        </row>
        <row r="180">
          <cell r="B180" t="str">
            <v>101011309</v>
          </cell>
          <cell r="C180" t="str">
            <v xml:space="preserve">១.‌១.៦.៤.សកម្មភាពទី៤៖ ការតាមដាន និងវាយតម្លៃ ការវិនិយោគសាធារណៈ </v>
          </cell>
        </row>
        <row r="181">
          <cell r="B181" t="str">
            <v>101011310</v>
          </cell>
          <cell r="C181" t="str">
            <v xml:space="preserve">១.‌១.៦.៤.សកម្មភាពទី៤៖ ការតាមដាន និងវាយតម្លៃ ការវិនិយោគសាធារណៈ </v>
          </cell>
        </row>
        <row r="182">
          <cell r="B182" t="str">
            <v>101011311</v>
          </cell>
          <cell r="C182" t="str">
            <v xml:space="preserve">១.‌១.៦.៤.សកម្មភាពទី៤៖ ការតាមដាន និងវាយតម្លៃ ការវិនិយោគសាធារណៈ </v>
          </cell>
        </row>
        <row r="183">
          <cell r="B183" t="str">
            <v>101011312</v>
          </cell>
          <cell r="C183" t="str">
            <v xml:space="preserve">១.‌១.៦.៤.សកម្មភាពទី៤៖ ការតាមដាន និងវាយតម្លៃ ការវិនិយោគសាធារណៈ </v>
          </cell>
        </row>
        <row r="184">
          <cell r="B184" t="str">
            <v>1010114</v>
          </cell>
          <cell r="C184" t="str">
            <v xml:space="preserve">១.‌១.៦.៤.សកម្មភាពទី៤៖ ការតាមដាន និងវាយតម្លៃ ការវិនិយោគសាធារណៈ </v>
          </cell>
        </row>
        <row r="185">
          <cell r="B185" t="str">
            <v>101011401</v>
          </cell>
          <cell r="C185" t="str">
            <v xml:space="preserve">១.‌១.៦.៤.សកម្មភាពទី៤៖ ការតាមដាន និងវាយតម្លៃ ការវិនិយោគសាធារណៈ </v>
          </cell>
        </row>
        <row r="186">
          <cell r="B186" t="str">
            <v>101011402</v>
          </cell>
          <cell r="C186" t="str">
            <v xml:space="preserve">១.‌១.៦.៤.សកម្មភាពទី៤៖ ការតាមដាន និងវាយតម្លៃ ការវិនិយោគសាធារណៈ </v>
          </cell>
        </row>
        <row r="187">
          <cell r="B187" t="str">
            <v>101011403</v>
          </cell>
          <cell r="C187" t="str">
            <v xml:space="preserve">១.‌១.៦.៤.សកម្មភាពទី៤៖ ការតាមដាន និងវាយតម្លៃ ការវិនិយោគសាធារណៈ </v>
          </cell>
        </row>
        <row r="188">
          <cell r="B188" t="str">
            <v>101011404</v>
          </cell>
          <cell r="C188" t="str">
            <v xml:space="preserve">១.‌១.៦.៤.សកម្មភាពទី៤៖ ការតាមដាន និងវាយតម្លៃ ការវិនិយោគសាធារណៈ </v>
          </cell>
        </row>
        <row r="189">
          <cell r="B189" t="str">
            <v>101011405</v>
          </cell>
          <cell r="C189" t="str">
            <v xml:space="preserve">១.‌១.៦.៤.សកម្មភាពទី៤៖ ការតាមដាន និងវាយតម្លៃ ការវិនិយោគសាធារណៈ </v>
          </cell>
        </row>
        <row r="190">
          <cell r="B190" t="str">
            <v>101011406</v>
          </cell>
          <cell r="C190" t="str">
            <v xml:space="preserve">១.‌១.៦.៤.សកម្មភាពទី៤៖ ការតាមដាន និងវាយតម្លៃ ការវិនិយោគសាធារណៈ </v>
          </cell>
        </row>
        <row r="191">
          <cell r="B191" t="str">
            <v>101011407</v>
          </cell>
          <cell r="C191" t="str">
            <v xml:space="preserve">១.‌១.៦.៤.សកម្មភាពទី៤៖ ការតាមដាន និងវាយតម្លៃ ការវិនិយោគសាធារណៈ </v>
          </cell>
        </row>
        <row r="192">
          <cell r="B192" t="str">
            <v>101011408</v>
          </cell>
          <cell r="C192" t="str">
            <v xml:space="preserve">១.‌១.៦.៤.សកម្មភាពទី៤៖ ការតាមដាន និងវាយតម្លៃ ការវិនិយោគសាធារណៈ </v>
          </cell>
        </row>
        <row r="193">
          <cell r="B193" t="str">
            <v>101011409</v>
          </cell>
          <cell r="C193" t="str">
            <v xml:space="preserve">១.‌១.៦.៤.សកម្មភាពទី៤៖ ការតាមដាន និងវាយតម្លៃ ការវិនិយោគសាធារណៈ </v>
          </cell>
        </row>
        <row r="194">
          <cell r="B194" t="str">
            <v>101011410</v>
          </cell>
          <cell r="C194" t="str">
            <v xml:space="preserve">១.‌១.៦.៤.សកម្មភាពទី៤៖ ការតាមដាន និងវាយតម្លៃ ការវិនិយោគសាធារណៈ </v>
          </cell>
        </row>
        <row r="195">
          <cell r="B195" t="str">
            <v>101011411</v>
          </cell>
          <cell r="C195" t="str">
            <v xml:space="preserve">១.‌១.៦.៤.សកម្មភាពទី៤៖ ការតាមដាន និងវាយតម្លៃ ការវិនិយោគសាធារណៈ </v>
          </cell>
        </row>
        <row r="196">
          <cell r="B196" t="str">
            <v>101011412</v>
          </cell>
          <cell r="C196" t="str">
            <v xml:space="preserve">១.‌១.៦.៤.សកម្មភាពទី៤៖ ការតាមដាន និងវាយតម្លៃ ការវិនិយោគសាធារណៈ </v>
          </cell>
        </row>
        <row r="197">
          <cell r="B197" t="str">
            <v>1010115</v>
          </cell>
          <cell r="C197" t="str">
            <v xml:space="preserve">១.‌១.៦.៤.សកម្មភាពទី៤៖ ការតាមដាន និងវាយតម្លៃ ការវិនិយោគសាធារណៈ </v>
          </cell>
        </row>
        <row r="198">
          <cell r="B198" t="str">
            <v>101011501</v>
          </cell>
          <cell r="C198" t="str">
            <v xml:space="preserve">១.‌១.៦.៤.សកម្មភាពទី៤៖ ការតាមដាន និងវាយតម្លៃ ការវិនិយោគសាធារណៈ </v>
          </cell>
        </row>
        <row r="199">
          <cell r="B199" t="str">
            <v>101011502</v>
          </cell>
          <cell r="C199" t="str">
            <v xml:space="preserve">១.‌១.៦.៤.សកម្មភាពទី៤៖ ការតាមដាន និងវាយតម្លៃ ការវិនិយោគសាធារណៈ </v>
          </cell>
        </row>
        <row r="200">
          <cell r="B200" t="str">
            <v>101011503</v>
          </cell>
          <cell r="C200" t="str">
            <v xml:space="preserve">១.‌១.៦.៤.សកម្មភាពទី៤៖ ការតាមដាន និងវាយតម្លៃ ការវិនិយោគសាធារណៈ </v>
          </cell>
        </row>
        <row r="201">
          <cell r="B201" t="str">
            <v>101011504</v>
          </cell>
          <cell r="C201" t="str">
            <v xml:space="preserve">១.‌១.៦.៤.សកម្មភាពទី៤៖ ការតាមដាន និងវាយតម្លៃ ការវិនិយោគសាធារណៈ </v>
          </cell>
        </row>
        <row r="202">
          <cell r="B202" t="str">
            <v>101011505</v>
          </cell>
          <cell r="C202" t="str">
            <v xml:space="preserve">១.‌១.៦.៤.សកម្មភាពទី៤៖ ការតាមដាន និងវាយតម្លៃ ការវិនិយោគសាធារណៈ </v>
          </cell>
        </row>
        <row r="203">
          <cell r="B203" t="str">
            <v>101011506</v>
          </cell>
          <cell r="C203" t="str">
            <v xml:space="preserve">១.‌១.៦.៤.សកម្មភាពទី៤៖ ការតាមដាន និងវាយតម្លៃ ការវិនិយោគសាធារណៈ </v>
          </cell>
        </row>
        <row r="204">
          <cell r="B204" t="str">
            <v>101011507</v>
          </cell>
          <cell r="C204" t="str">
            <v xml:space="preserve">១.‌១.៦.៤.សកម្មភាពទី៤៖ ការតាមដាន និងវាយតម្លៃ ការវិនិយោគសាធារណៈ </v>
          </cell>
        </row>
        <row r="205">
          <cell r="B205" t="str">
            <v>101011508</v>
          </cell>
          <cell r="C205" t="str">
            <v xml:space="preserve">១.‌១.៦.៤.សកម្មភាពទី៤៖ ការតាមដាន និងវាយតម្លៃ ការវិនិយោគសាធារណៈ </v>
          </cell>
        </row>
        <row r="206">
          <cell r="B206" t="str">
            <v>101011509</v>
          </cell>
          <cell r="C206" t="str">
            <v xml:space="preserve">១.‌១.៦.៤.សកម្មភាពទី៤៖ ការតាមដាន និងវាយតម្លៃ ការវិនិយោគសាធារណៈ </v>
          </cell>
        </row>
        <row r="207">
          <cell r="B207" t="str">
            <v>101011510</v>
          </cell>
          <cell r="C207" t="str">
            <v xml:space="preserve">១.‌១.៦.៤.សកម្មភាពទី៤៖ ការតាមដាន និងវាយតម្លៃ ការវិនិយោគសាធារណៈ </v>
          </cell>
        </row>
        <row r="208">
          <cell r="B208" t="str">
            <v>101011511</v>
          </cell>
          <cell r="C208" t="str">
            <v xml:space="preserve">១.‌១.៦.៤.សកម្មភាពទី៤៖ ការតាមដាន និងវាយតម្លៃ ការវិនិយោគសាធារណៈ </v>
          </cell>
        </row>
        <row r="209">
          <cell r="B209" t="str">
            <v>101011512</v>
          </cell>
          <cell r="C209" t="str">
            <v xml:space="preserve">១.‌១.៦.៤.សកម្មភាពទី៤៖ ការតាមដាន និងវាយតម្លៃ ការវិនិយោគសាធារណៈ </v>
          </cell>
        </row>
      </sheetData>
      <sheetData sheetId="9" refreshError="1"/>
      <sheetData sheetId="10" refreshError="1"/>
      <sheetData sheetId="11">
        <row r="10">
          <cell r="E10">
            <v>10101</v>
          </cell>
          <cell r="F10" t="str">
            <v>1010101</v>
          </cell>
          <cell r="G10" t="str">
            <v>1010102</v>
          </cell>
          <cell r="H10" t="str">
            <v>1010103</v>
          </cell>
          <cell r="I10" t="str">
            <v>1010104</v>
          </cell>
          <cell r="J10" t="str">
            <v>1010105</v>
          </cell>
          <cell r="K10" t="str">
            <v>1010106</v>
          </cell>
          <cell r="L10" t="str">
            <v>1010107</v>
          </cell>
          <cell r="M10" t="str">
            <v>1010108</v>
          </cell>
          <cell r="N10" t="str">
            <v>1010109</v>
          </cell>
          <cell r="O10" t="str">
            <v>1010110</v>
          </cell>
          <cell r="P10" t="str">
            <v>1010111</v>
          </cell>
          <cell r="Q10" t="str">
            <v>1010112</v>
          </cell>
          <cell r="R10" t="str">
            <v>1010113</v>
          </cell>
          <cell r="S10" t="str">
            <v>1010114</v>
          </cell>
          <cell r="T10" t="str">
            <v>1010115</v>
          </cell>
        </row>
        <row r="15">
          <cell r="E15">
            <v>3639</v>
          </cell>
          <cell r="F15">
            <v>1341.6000000000001</v>
          </cell>
          <cell r="G15">
            <v>405.6</v>
          </cell>
          <cell r="H15">
            <v>492.19999999999993</v>
          </cell>
          <cell r="I15">
            <v>899.59999999999991</v>
          </cell>
          <cell r="J15">
            <v>250</v>
          </cell>
          <cell r="K15">
            <v>250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</row>
      </sheetData>
      <sheetData sheetId="12" refreshError="1"/>
      <sheetData sheetId="13" refreshError="1"/>
      <sheetData sheetId="14">
        <row r="11">
          <cell r="G11">
            <v>10101</v>
          </cell>
          <cell r="K11" t="str">
            <v>អគ្គនាយកដ្ឋានគោលនយោបាយ</v>
          </cell>
        </row>
      </sheetData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ក្របខណ្ឌ១២ខែ"/>
      <sheetName val="តារាងគ្រោងមុខចំណាយ (n-1)"/>
      <sheetName val="Monthdata"/>
      <sheetName val="ទិដ្ឋាការ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B1" t="str">
            <v>ទឹកប្រាក់</v>
          </cell>
          <cell r="C1" t="str">
            <v>ក្របខណ្ឌ</v>
          </cell>
        </row>
        <row r="2">
          <cell r="B2">
            <v>1045</v>
          </cell>
          <cell r="C2" t="str">
            <v>ក1.1</v>
          </cell>
        </row>
        <row r="3">
          <cell r="B3">
            <v>1008.9</v>
          </cell>
          <cell r="C3" t="str">
            <v>ក1.2</v>
          </cell>
        </row>
        <row r="4">
          <cell r="B4">
            <v>974.7</v>
          </cell>
          <cell r="C4" t="str">
            <v>ក1.3</v>
          </cell>
        </row>
        <row r="5">
          <cell r="B5">
            <v>942.4</v>
          </cell>
          <cell r="C5" t="str">
            <v>ក1.4</v>
          </cell>
        </row>
        <row r="6">
          <cell r="B6">
            <v>910.1</v>
          </cell>
          <cell r="C6" t="str">
            <v>ក1.5</v>
          </cell>
        </row>
        <row r="7">
          <cell r="B7">
            <v>875.9</v>
          </cell>
          <cell r="C7" t="str">
            <v>ក1.6</v>
          </cell>
        </row>
        <row r="8">
          <cell r="B8">
            <v>841.7</v>
          </cell>
          <cell r="C8" t="str">
            <v>ក2.1</v>
          </cell>
        </row>
        <row r="9">
          <cell r="B9">
            <v>809.4</v>
          </cell>
          <cell r="C9" t="str">
            <v>ក2.2</v>
          </cell>
        </row>
        <row r="10">
          <cell r="B10">
            <v>779</v>
          </cell>
          <cell r="C10" t="str">
            <v>ក2.3</v>
          </cell>
        </row>
        <row r="11">
          <cell r="B11">
            <v>748.6</v>
          </cell>
          <cell r="C11" t="str">
            <v>ក2.4</v>
          </cell>
        </row>
        <row r="12">
          <cell r="B12">
            <v>720.1</v>
          </cell>
          <cell r="C12" t="str">
            <v>ក3.1</v>
          </cell>
        </row>
        <row r="13">
          <cell r="B13">
            <v>691.6</v>
          </cell>
          <cell r="C13" t="str">
            <v>ក3.2</v>
          </cell>
        </row>
        <row r="14">
          <cell r="B14">
            <v>672.6</v>
          </cell>
          <cell r="C14" t="str">
            <v>ក3.3</v>
          </cell>
        </row>
        <row r="15">
          <cell r="B15">
            <v>655.5</v>
          </cell>
          <cell r="C15" t="str">
            <v>ក3.4</v>
          </cell>
        </row>
        <row r="16">
          <cell r="B16">
            <v>893</v>
          </cell>
          <cell r="C16" t="str">
            <v>ខ1.1</v>
          </cell>
        </row>
        <row r="17">
          <cell r="B17">
            <v>860.7</v>
          </cell>
          <cell r="C17" t="str">
            <v>ខ1.2</v>
          </cell>
        </row>
        <row r="18">
          <cell r="B18">
            <v>828.4</v>
          </cell>
          <cell r="C18" t="str">
            <v>ខ1.3</v>
          </cell>
        </row>
        <row r="19">
          <cell r="B19">
            <v>799.9</v>
          </cell>
          <cell r="C19" t="str">
            <v>ខ1.4</v>
          </cell>
        </row>
        <row r="20">
          <cell r="B20">
            <v>773.3</v>
          </cell>
          <cell r="C20" t="str">
            <v>ខ1.5</v>
          </cell>
        </row>
        <row r="21">
          <cell r="B21">
            <v>746.7</v>
          </cell>
          <cell r="C21" t="str">
            <v>ខ1.6</v>
          </cell>
        </row>
        <row r="22">
          <cell r="B22">
            <v>722</v>
          </cell>
          <cell r="C22" t="str">
            <v>ខ2.1</v>
          </cell>
        </row>
        <row r="23">
          <cell r="B23">
            <v>701.1</v>
          </cell>
          <cell r="C23" t="str">
            <v>ខ2.2</v>
          </cell>
        </row>
        <row r="24">
          <cell r="B24">
            <v>680.2</v>
          </cell>
          <cell r="C24" t="str">
            <v>ខ2.3</v>
          </cell>
        </row>
        <row r="25">
          <cell r="B25">
            <v>653.6</v>
          </cell>
          <cell r="C25" t="str">
            <v>ខ2.4</v>
          </cell>
        </row>
        <row r="26">
          <cell r="B26">
            <v>628.9</v>
          </cell>
          <cell r="C26" t="str">
            <v>ខ3.1</v>
          </cell>
        </row>
        <row r="27">
          <cell r="B27">
            <v>604.20000000000005</v>
          </cell>
          <cell r="C27" t="str">
            <v>ខ3.2</v>
          </cell>
        </row>
        <row r="28">
          <cell r="B28">
            <v>585.20000000000005</v>
          </cell>
          <cell r="C28" t="str">
            <v>ខ3.3</v>
          </cell>
        </row>
        <row r="29">
          <cell r="B29">
            <v>570</v>
          </cell>
          <cell r="C29" t="str">
            <v>ខ3.4</v>
          </cell>
        </row>
        <row r="30">
          <cell r="B30">
            <v>741</v>
          </cell>
          <cell r="C30" t="str">
            <v>គ1</v>
          </cell>
        </row>
        <row r="31">
          <cell r="B31">
            <v>703</v>
          </cell>
          <cell r="C31" t="str">
            <v>គ2</v>
          </cell>
        </row>
        <row r="32">
          <cell r="B32">
            <v>668.8</v>
          </cell>
          <cell r="C32" t="str">
            <v>គ3</v>
          </cell>
        </row>
        <row r="33">
          <cell r="B33">
            <v>636.5</v>
          </cell>
          <cell r="C33" t="str">
            <v>គ4</v>
          </cell>
        </row>
        <row r="34">
          <cell r="B34">
            <v>609.9</v>
          </cell>
          <cell r="C34" t="str">
            <v>គ5</v>
          </cell>
        </row>
        <row r="35">
          <cell r="B35">
            <v>583.29999999999995</v>
          </cell>
          <cell r="C35" t="str">
            <v>គ6</v>
          </cell>
        </row>
        <row r="36">
          <cell r="B36">
            <v>560.5</v>
          </cell>
          <cell r="C36" t="str">
            <v>គ7</v>
          </cell>
        </row>
        <row r="37">
          <cell r="B37">
            <v>539.6</v>
          </cell>
          <cell r="C37" t="str">
            <v>គ8</v>
          </cell>
        </row>
        <row r="38">
          <cell r="B38">
            <v>520.6</v>
          </cell>
          <cell r="C38" t="str">
            <v>គ9</v>
          </cell>
        </row>
        <row r="39">
          <cell r="B39">
            <v>503.5</v>
          </cell>
          <cell r="C39" t="str">
            <v>គ10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តារាងគ្រោងមុខចំណាយ"/>
      <sheetName val="តារាងគ្រោងមុខចំណាយ (n-1)"/>
      <sheetName val="Monthdata"/>
      <sheetName val="ក្របខណ្ឌ១២ខែ"/>
      <sheetName val="ទិដ្ឋាការ"/>
      <sheetName val="Sheet1"/>
      <sheetName val="ខែ០១"/>
      <sheetName val="ខែ០២"/>
      <sheetName val="ខែ០៣"/>
      <sheetName val="ខែ០៤"/>
      <sheetName val="ខែ០៥"/>
      <sheetName val="ខែ០៦"/>
      <sheetName val="ខែ០៧"/>
      <sheetName val="ខែ០៨"/>
      <sheetName val="ខែ០៩"/>
      <sheetName val="ខែ១០"/>
      <sheetName val="ខែ១១"/>
      <sheetName val="ខែ១២"/>
      <sheetName val="Total12ខែ"/>
      <sheetName val="Total 4ខែBSP"/>
      <sheetName val="Total 6ខែPB"/>
      <sheetName val="Data"/>
      <sheetName val="Salary_ក្រសួងសេដ្ឋកិច្ច_និងហិរញ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1B3A7-90B0-43A3-AA60-DD6743A3B33B}">
  <sheetPr>
    <tabColor rgb="FFB9EDFF"/>
    <pageSetUpPr fitToPage="1"/>
  </sheetPr>
  <dimension ref="A1:L133"/>
  <sheetViews>
    <sheetView tabSelected="1" topLeftCell="A12" zoomScale="70" zoomScaleNormal="70" workbookViewId="0">
      <pane ySplit="3" topLeftCell="A15" activePane="bottomLeft" state="frozen"/>
      <selection activeCell="C12" sqref="C12"/>
      <selection pane="bottomLeft" activeCell="M16" sqref="M16"/>
    </sheetView>
  </sheetViews>
  <sheetFormatPr defaultRowHeight="14.75" outlineLevelRow="1" x14ac:dyDescent="0.75"/>
  <cols>
    <col min="1" max="1" width="5.86328125" style="1" hidden="1" customWidth="1"/>
    <col min="2" max="2" width="10.86328125" style="1" hidden="1" customWidth="1"/>
    <col min="3" max="3" width="55.86328125" customWidth="1"/>
    <col min="4" max="4" width="9.86328125" customWidth="1"/>
    <col min="5" max="5" width="13.86328125" customWidth="1"/>
    <col min="6" max="6" width="55.54296875" customWidth="1"/>
    <col min="7" max="7" width="44.54296875" customWidth="1"/>
    <col min="8" max="8" width="50.54296875" customWidth="1"/>
    <col min="9" max="9" width="48.54296875" customWidth="1"/>
    <col min="10" max="10" width="39.86328125" customWidth="1"/>
  </cols>
  <sheetData>
    <row r="1" spans="1:11" ht="9.9499999999999993" customHeight="1" x14ac:dyDescent="0.75"/>
    <row r="2" spans="1:11" ht="9.9499999999999993" customHeight="1" x14ac:dyDescent="0.75"/>
    <row r="3" spans="1:11" ht="9.9499999999999993" customHeight="1" x14ac:dyDescent="0.75"/>
    <row r="4" spans="1:11" ht="9.9499999999999993" customHeight="1" x14ac:dyDescent="0.75"/>
    <row r="5" spans="1:11" s="4" customFormat="1" ht="30" customHeight="1" x14ac:dyDescent="3.2">
      <c r="A5" s="2"/>
      <c r="B5" s="2"/>
      <c r="C5" s="3" t="s">
        <v>0</v>
      </c>
      <c r="D5" s="3"/>
      <c r="E5" s="3"/>
      <c r="F5" s="3"/>
      <c r="G5" s="3"/>
      <c r="H5" s="3"/>
      <c r="I5" s="3"/>
      <c r="J5" s="3"/>
    </row>
    <row r="6" spans="1:11" s="4" customFormat="1" ht="30" customHeight="1" x14ac:dyDescent="3.2">
      <c r="A6" s="2"/>
      <c r="B6" s="2"/>
      <c r="C6" s="3" t="s">
        <v>1</v>
      </c>
      <c r="D6" s="3"/>
      <c r="E6" s="3"/>
      <c r="F6" s="3"/>
      <c r="G6" s="3"/>
      <c r="H6" s="3"/>
      <c r="I6" s="3"/>
      <c r="J6" s="3"/>
    </row>
    <row r="7" spans="1:11" s="4" customFormat="1" ht="30" customHeight="1" x14ac:dyDescent="3.2">
      <c r="A7" s="2"/>
      <c r="B7" s="2"/>
      <c r="C7" s="3" t="str">
        <f>[1]Costing!$K$11</f>
        <v>អគ្គនាយកដ្ឋានគោលនយោបាយ</v>
      </c>
      <c r="D7" s="3"/>
      <c r="E7" s="3"/>
      <c r="F7" s="3"/>
      <c r="G7" s="3"/>
      <c r="H7" s="3"/>
      <c r="I7" s="3"/>
      <c r="J7" s="3"/>
    </row>
    <row r="8" spans="1:11" ht="21.75" customHeight="1" thickBot="1" x14ac:dyDescent="0.9">
      <c r="J8" s="5" t="s">
        <v>2</v>
      </c>
    </row>
    <row r="9" spans="1:11" ht="21.75" hidden="1" customHeight="1" x14ac:dyDescent="0.75">
      <c r="D9" s="6" t="s">
        <v>3</v>
      </c>
      <c r="E9" s="6" t="s">
        <v>3</v>
      </c>
      <c r="F9" s="7">
        <f>[1]Costing!$G$11</f>
        <v>10101</v>
      </c>
    </row>
    <row r="10" spans="1:11" ht="21.75" hidden="1" customHeight="1" x14ac:dyDescent="0.75">
      <c r="D10" s="6" t="s">
        <v>3</v>
      </c>
      <c r="E10" s="6" t="s">
        <v>3</v>
      </c>
      <c r="F10" s="7">
        <f>[1]Costing!$G$11</f>
        <v>10101</v>
      </c>
    </row>
    <row r="11" spans="1:11" s="10" customFormat="1" ht="21.75" hidden="1" customHeight="1" thickBot="1" x14ac:dyDescent="0.9">
      <c r="A11" s="8"/>
      <c r="B11" s="8"/>
      <c r="C11" s="9"/>
      <c r="G11" s="11"/>
      <c r="H11" s="11"/>
      <c r="I11" s="11"/>
      <c r="J11" s="11"/>
    </row>
    <row r="12" spans="1:11" s="8" customFormat="1" ht="30" customHeight="1" thickTop="1" x14ac:dyDescent="0.75">
      <c r="A12" s="12"/>
      <c r="B12" s="12"/>
      <c r="C12" s="13" t="s">
        <v>4</v>
      </c>
      <c r="D12" s="14" t="s">
        <v>5</v>
      </c>
      <c r="E12" s="15" t="s">
        <v>6</v>
      </c>
      <c r="F12" s="16" t="s">
        <v>7</v>
      </c>
      <c r="G12" s="16"/>
      <c r="H12" s="16"/>
      <c r="I12" s="16"/>
      <c r="J12" s="17"/>
      <c r="K12" s="12"/>
    </row>
    <row r="13" spans="1:11" s="25" customFormat="1" ht="29.25" customHeight="1" x14ac:dyDescent="0.75">
      <c r="A13" s="18" t="s">
        <v>8</v>
      </c>
      <c r="B13" s="18" t="s">
        <v>9</v>
      </c>
      <c r="C13" s="19"/>
      <c r="D13" s="20"/>
      <c r="E13" s="21"/>
      <c r="F13" s="21" t="s">
        <v>10</v>
      </c>
      <c r="G13" s="21" t="s">
        <v>11</v>
      </c>
      <c r="H13" s="21" t="s">
        <v>12</v>
      </c>
      <c r="I13" s="22" t="s">
        <v>13</v>
      </c>
      <c r="J13" s="23"/>
      <c r="K13" s="24"/>
    </row>
    <row r="14" spans="1:11" s="25" customFormat="1" ht="29.25" customHeight="1" thickBot="1" x14ac:dyDescent="0.9">
      <c r="A14" s="26"/>
      <c r="B14" s="26"/>
      <c r="C14" s="27"/>
      <c r="D14" s="28"/>
      <c r="E14" s="29"/>
      <c r="F14" s="29"/>
      <c r="G14" s="29"/>
      <c r="H14" s="29"/>
      <c r="I14" s="30" t="s">
        <v>14</v>
      </c>
      <c r="J14" s="31" t="s">
        <v>15</v>
      </c>
      <c r="K14" s="24"/>
    </row>
    <row r="15" spans="1:11" s="10" customFormat="1" ht="60" customHeight="1" thickTop="1" x14ac:dyDescent="0.75">
      <c r="A15" s="32"/>
      <c r="B15" s="33">
        <f>[1]Costing!$G$11</f>
        <v>10101</v>
      </c>
      <c r="C15" s="34" t="str">
        <f>VLOOKUP($B15,[1]Prog!$B$14:$C$209,2)</f>
        <v>១.១. អនុកម្មវិធីទី១.១ : ការគ្រប់គ្រងគោលនយោបាយសេដ្ឋកិច្ច ហិរញ្ញវត្ថុ និងគោលនយោបាយតាមវិស័យផ្សេងៗ</v>
      </c>
      <c r="D15" s="35"/>
      <c r="E15" s="36" t="e">
        <f>E22+E29+E36+E42+E47+E54+E61+E68+E75+E82+E89+E96+E103+E110+E117</f>
        <v>#VALUE!</v>
      </c>
      <c r="F15" s="37"/>
      <c r="G15" s="37"/>
      <c r="H15" s="37"/>
      <c r="I15" s="37"/>
      <c r="J15" s="37"/>
      <c r="K15" s="38" t="e">
        <f t="shared" ref="K15:K30" si="0">IF(OR(E15&gt;0,F15&lt;&gt;0,G15&lt;&gt;0,I15&lt;&gt;0),"ok","-")</f>
        <v>#VALUE!</v>
      </c>
    </row>
    <row r="16" spans="1:11" s="10" customFormat="1" ht="409.5" customHeight="1" x14ac:dyDescent="0.75">
      <c r="A16" s="32"/>
      <c r="B16" s="32"/>
      <c r="C16" s="39" t="s">
        <v>16</v>
      </c>
      <c r="D16" s="40" t="s">
        <v>17</v>
      </c>
      <c r="E16" s="41"/>
      <c r="F16" s="42" t="s">
        <v>18</v>
      </c>
      <c r="G16" s="43" t="s">
        <v>19</v>
      </c>
      <c r="H16" s="44" t="s">
        <v>20</v>
      </c>
      <c r="I16" s="45" t="s">
        <v>21</v>
      </c>
      <c r="J16" s="45" t="s">
        <v>22</v>
      </c>
      <c r="K16" s="38" t="str">
        <f t="shared" si="0"/>
        <v>ok</v>
      </c>
    </row>
    <row r="17" spans="1:11" s="10" customFormat="1" ht="222.95" customHeight="1" x14ac:dyDescent="0.75">
      <c r="A17" s="32"/>
      <c r="B17" s="32"/>
      <c r="C17" s="46" t="s">
        <v>23</v>
      </c>
      <c r="D17" s="47"/>
      <c r="E17" s="48"/>
      <c r="F17" s="45" t="s">
        <v>24</v>
      </c>
      <c r="G17" s="45" t="s">
        <v>25</v>
      </c>
      <c r="H17" s="45" t="s">
        <v>26</v>
      </c>
      <c r="I17" s="45" t="s">
        <v>27</v>
      </c>
      <c r="J17" s="49"/>
      <c r="K17" s="38" t="str">
        <f t="shared" si="0"/>
        <v>ok</v>
      </c>
    </row>
    <row r="18" spans="1:11" s="10" customFormat="1" ht="270" customHeight="1" x14ac:dyDescent="0.75">
      <c r="A18" s="32"/>
      <c r="B18" s="32"/>
      <c r="C18" s="46" t="s">
        <v>28</v>
      </c>
      <c r="D18" s="50"/>
      <c r="E18" s="51"/>
      <c r="F18" s="45" t="s">
        <v>29</v>
      </c>
      <c r="G18" s="45" t="s">
        <v>30</v>
      </c>
      <c r="H18" s="45" t="s">
        <v>30</v>
      </c>
      <c r="I18" s="45" t="s">
        <v>31</v>
      </c>
      <c r="J18" s="49"/>
      <c r="K18" s="38" t="str">
        <f t="shared" si="0"/>
        <v>ok</v>
      </c>
    </row>
    <row r="19" spans="1:11" s="10" customFormat="1" ht="202.5" x14ac:dyDescent="0.75">
      <c r="A19" s="32"/>
      <c r="B19" s="32"/>
      <c r="C19" s="52" t="s">
        <v>32</v>
      </c>
      <c r="D19" s="50"/>
      <c r="E19" s="53"/>
      <c r="F19" s="54" t="s">
        <v>33</v>
      </c>
      <c r="G19" s="54" t="s">
        <v>33</v>
      </c>
      <c r="H19" s="55" t="s">
        <v>33</v>
      </c>
      <c r="I19" s="56" t="s">
        <v>34</v>
      </c>
      <c r="J19" s="49" t="s">
        <v>35</v>
      </c>
      <c r="K19" s="38" t="str">
        <f t="shared" si="0"/>
        <v>ok</v>
      </c>
    </row>
    <row r="20" spans="1:11" s="10" customFormat="1" ht="180" x14ac:dyDescent="0.75">
      <c r="A20" s="32"/>
      <c r="B20" s="32"/>
      <c r="C20" s="46" t="s">
        <v>36</v>
      </c>
      <c r="D20" s="50"/>
      <c r="E20" s="51"/>
      <c r="F20" s="45" t="s">
        <v>33</v>
      </c>
      <c r="G20" s="45" t="s">
        <v>33</v>
      </c>
      <c r="H20" s="55" t="s">
        <v>33</v>
      </c>
      <c r="I20" s="57" t="s">
        <v>37</v>
      </c>
      <c r="J20" s="49" t="s">
        <v>35</v>
      </c>
      <c r="K20" s="38" t="str">
        <f t="shared" si="0"/>
        <v>ok</v>
      </c>
    </row>
    <row r="21" spans="1:11" s="10" customFormat="1" ht="24.95" customHeight="1" x14ac:dyDescent="0.75">
      <c r="A21" s="32"/>
      <c r="B21" s="32"/>
      <c r="C21" s="46" t="s">
        <v>38</v>
      </c>
      <c r="D21" s="58"/>
      <c r="E21" s="59"/>
      <c r="F21" s="49"/>
      <c r="G21" s="49"/>
      <c r="H21" s="49"/>
      <c r="I21" s="49"/>
      <c r="J21" s="49"/>
      <c r="K21" s="38" t="str">
        <f t="shared" si="0"/>
        <v>-</v>
      </c>
    </row>
    <row r="22" spans="1:11" s="10" customFormat="1" ht="50.5" x14ac:dyDescent="0.75">
      <c r="A22" s="32"/>
      <c r="B22" s="60" t="str">
        <f>$B$15&amp;"01"</f>
        <v>1010101</v>
      </c>
      <c r="C22" s="61" t="str">
        <f>VLOOKUP($B22,[1]Prog!$B$14:$C$209,2)</f>
        <v>១.១.១. ចង្កោមសកម្មភាពទី១ : គាំទ្រ សម្របសម្រួល និងគ្រប់គ្រងការងាររដ្ឋបាលរបស់អគ្គនាយកដ្ឋាន</v>
      </c>
      <c r="D22" s="62"/>
      <c r="E22" s="63" t="e">
        <f>SUMIF([1]PB8!$E$10:$T$10,$B22,[1]PB8!$E$15:$T$15)</f>
        <v>#VALUE!</v>
      </c>
      <c r="F22" s="64"/>
      <c r="G22" s="64"/>
      <c r="H22" s="64"/>
      <c r="I22" s="64"/>
      <c r="J22" s="64"/>
      <c r="K22" s="38" t="e">
        <f t="shared" si="0"/>
        <v>#VALUE!</v>
      </c>
    </row>
    <row r="23" spans="1:11" s="10" customFormat="1" ht="119.15" customHeight="1" x14ac:dyDescent="0.75">
      <c r="A23" s="32"/>
      <c r="B23" s="32"/>
      <c r="C23" s="65" t="s">
        <v>39</v>
      </c>
      <c r="D23" s="66" t="s">
        <v>40</v>
      </c>
      <c r="E23" s="67"/>
      <c r="F23" s="68" t="s">
        <v>41</v>
      </c>
      <c r="G23" s="68" t="s">
        <v>42</v>
      </c>
      <c r="H23" s="49"/>
      <c r="I23" s="68" t="s">
        <v>43</v>
      </c>
      <c r="J23" s="49"/>
      <c r="K23" s="38" t="str">
        <f t="shared" si="0"/>
        <v>ok</v>
      </c>
    </row>
    <row r="24" spans="1:11" s="10" customFormat="1" ht="65.45" customHeight="1" x14ac:dyDescent="0.75">
      <c r="A24" s="32"/>
      <c r="B24" s="32"/>
      <c r="C24" s="65" t="s">
        <v>44</v>
      </c>
      <c r="D24" s="50"/>
      <c r="E24" s="53"/>
      <c r="F24" s="69" t="s">
        <v>45</v>
      </c>
      <c r="G24" s="69" t="s">
        <v>46</v>
      </c>
      <c r="H24" s="49"/>
      <c r="I24" s="69" t="s">
        <v>45</v>
      </c>
      <c r="J24" s="49"/>
      <c r="K24" s="38" t="str">
        <f t="shared" si="0"/>
        <v>ok</v>
      </c>
    </row>
    <row r="25" spans="1:11" s="10" customFormat="1" ht="24.95" hidden="1" customHeight="1" outlineLevel="1" x14ac:dyDescent="0.75">
      <c r="A25" s="32"/>
      <c r="B25" s="32"/>
      <c r="C25" s="70" t="s">
        <v>47</v>
      </c>
      <c r="D25" s="50"/>
      <c r="E25" s="51"/>
      <c r="F25" s="49"/>
      <c r="G25" s="49"/>
      <c r="H25" s="49"/>
      <c r="I25" s="49"/>
      <c r="J25" s="49"/>
      <c r="K25" s="38" t="str">
        <f t="shared" si="0"/>
        <v>-</v>
      </c>
    </row>
    <row r="26" spans="1:11" s="10" customFormat="1" ht="24.95" hidden="1" customHeight="1" outlineLevel="1" x14ac:dyDescent="0.75">
      <c r="A26" s="32"/>
      <c r="B26" s="32"/>
      <c r="C26" s="70" t="s">
        <v>48</v>
      </c>
      <c r="D26" s="50"/>
      <c r="E26" s="53"/>
      <c r="F26" s="49"/>
      <c r="G26" s="49"/>
      <c r="H26" s="49"/>
      <c r="I26" s="49"/>
      <c r="J26" s="49"/>
      <c r="K26" s="38" t="str">
        <f t="shared" si="0"/>
        <v>-</v>
      </c>
    </row>
    <row r="27" spans="1:11" s="10" customFormat="1" ht="24.95" hidden="1" customHeight="1" outlineLevel="1" x14ac:dyDescent="0.75">
      <c r="A27" s="32"/>
      <c r="B27" s="32"/>
      <c r="C27" s="70" t="s">
        <v>49</v>
      </c>
      <c r="D27" s="50"/>
      <c r="E27" s="51"/>
      <c r="F27" s="49"/>
      <c r="G27" s="49"/>
      <c r="H27" s="49"/>
      <c r="I27" s="49"/>
      <c r="J27" s="49"/>
      <c r="K27" s="38" t="str">
        <f t="shared" si="0"/>
        <v>-</v>
      </c>
    </row>
    <row r="28" spans="1:11" s="10" customFormat="1" ht="24.95" hidden="1" customHeight="1" outlineLevel="1" x14ac:dyDescent="0.75">
      <c r="A28" s="32"/>
      <c r="B28" s="32"/>
      <c r="C28" s="70" t="s">
        <v>38</v>
      </c>
      <c r="D28" s="58"/>
      <c r="E28" s="59"/>
      <c r="F28" s="49"/>
      <c r="G28" s="71"/>
      <c r="H28" s="49"/>
      <c r="I28" s="49"/>
      <c r="J28" s="49"/>
      <c r="K28" s="38" t="str">
        <f t="shared" si="0"/>
        <v>-</v>
      </c>
    </row>
    <row r="29" spans="1:11" s="10" customFormat="1" ht="50.5" collapsed="1" x14ac:dyDescent="0.75">
      <c r="A29" s="32"/>
      <c r="B29" s="60" t="str">
        <f>$B$15&amp;"02"</f>
        <v>1010102</v>
      </c>
      <c r="C29" s="61" t="str">
        <f>VLOOKUP($B29,[1]Prog!$B$14:$C$209,2)</f>
        <v xml:space="preserve">១.១.២. ចង្កោមសកម្មភាពទី២ : រៀបចំ កែលម្អ ត្រួតពិនិត្យ និងវាយតម្លៃគោលនយោបាយម៉ាក្រូសេដ្ឋកិច្ច និងសារពើពន្ធ    </v>
      </c>
      <c r="D29" s="62"/>
      <c r="E29" s="63" t="e">
        <f>SUMIF([1]PB8!$E$10:$T$10,$B29,[1]PB8!$E$15:$T$15)</f>
        <v>#VALUE!</v>
      </c>
      <c r="F29" s="64"/>
      <c r="G29" s="64"/>
      <c r="H29" s="64"/>
      <c r="I29" s="64"/>
      <c r="J29" s="64"/>
      <c r="K29" s="38" t="e">
        <f t="shared" si="0"/>
        <v>#VALUE!</v>
      </c>
    </row>
    <row r="30" spans="1:11" s="10" customFormat="1" ht="339.75" customHeight="1" x14ac:dyDescent="0.75">
      <c r="A30" s="32"/>
      <c r="B30" s="32"/>
      <c r="C30" s="72" t="s">
        <v>50</v>
      </c>
      <c r="D30" s="73"/>
      <c r="E30" s="67"/>
      <c r="F30" s="74" t="s">
        <v>51</v>
      </c>
      <c r="G30" s="74" t="s">
        <v>52</v>
      </c>
      <c r="H30" s="74" t="s">
        <v>53</v>
      </c>
      <c r="I30" s="74" t="s">
        <v>54</v>
      </c>
      <c r="J30" s="75" t="s">
        <v>55</v>
      </c>
      <c r="K30" s="38" t="str">
        <f t="shared" si="0"/>
        <v>ok</v>
      </c>
    </row>
    <row r="31" spans="1:11" s="10" customFormat="1" ht="238.5" customHeight="1" x14ac:dyDescent="0.75">
      <c r="A31" s="32"/>
      <c r="B31" s="32"/>
      <c r="C31" s="65" t="s">
        <v>56</v>
      </c>
      <c r="D31" s="50"/>
      <c r="E31" s="53"/>
      <c r="F31" s="69" t="s">
        <v>57</v>
      </c>
      <c r="G31" s="69" t="s">
        <v>58</v>
      </c>
      <c r="H31" s="69" t="s">
        <v>59</v>
      </c>
      <c r="I31" s="69" t="s">
        <v>60</v>
      </c>
      <c r="J31" s="49"/>
      <c r="K31" s="38" t="str">
        <f>IF(OR(E31&gt;0,F31&lt;&gt;0,G31&lt;&gt;0,I31&lt;&gt;0),"ok","-")</f>
        <v>ok</v>
      </c>
    </row>
    <row r="32" spans="1:11" s="10" customFormat="1" ht="280.5" customHeight="1" x14ac:dyDescent="0.75">
      <c r="A32" s="32"/>
      <c r="B32" s="32"/>
      <c r="C32" s="65" t="s">
        <v>61</v>
      </c>
      <c r="D32" s="50"/>
      <c r="E32" s="51"/>
      <c r="F32" s="69" t="s">
        <v>62</v>
      </c>
      <c r="G32" s="69" t="s">
        <v>63</v>
      </c>
      <c r="H32" s="69" t="s">
        <v>64</v>
      </c>
      <c r="I32" s="69" t="s">
        <v>65</v>
      </c>
      <c r="J32" s="49"/>
      <c r="K32" s="38" t="str">
        <f>IF(OR(E32&gt;0,F32&lt;&gt;0,G32&lt;&gt;0,I32&lt;&gt;0),"ok","-")</f>
        <v>ok</v>
      </c>
    </row>
    <row r="33" spans="1:11" s="10" customFormat="1" ht="277.5" customHeight="1" x14ac:dyDescent="0.75">
      <c r="A33" s="32"/>
      <c r="B33" s="32"/>
      <c r="C33" s="65" t="s">
        <v>66</v>
      </c>
      <c r="D33" s="50"/>
      <c r="E33" s="53"/>
      <c r="F33" s="69" t="s">
        <v>67</v>
      </c>
      <c r="G33" s="69" t="s">
        <v>68</v>
      </c>
      <c r="H33" s="69" t="s">
        <v>69</v>
      </c>
      <c r="I33" s="69" t="s">
        <v>70</v>
      </c>
      <c r="J33" s="49"/>
      <c r="K33" s="38" t="str">
        <f>IF(OR(E33&gt;0,F33&lt;&gt;0,G33&lt;&gt;0,I33&lt;&gt;0),"ok","-")</f>
        <v>ok</v>
      </c>
    </row>
    <row r="34" spans="1:11" s="10" customFormat="1" ht="382.5" x14ac:dyDescent="0.75">
      <c r="A34" s="32"/>
      <c r="B34" s="32"/>
      <c r="C34" s="72" t="s">
        <v>71</v>
      </c>
      <c r="D34" s="76"/>
      <c r="E34" s="77"/>
      <c r="F34" s="74" t="s">
        <v>72</v>
      </c>
      <c r="G34" s="74" t="s">
        <v>73</v>
      </c>
      <c r="H34" s="74" t="s">
        <v>74</v>
      </c>
      <c r="I34" s="74" t="s">
        <v>75</v>
      </c>
      <c r="J34" s="78"/>
      <c r="K34" s="38" t="str">
        <f>IF(OR(E34&gt;0,F34&lt;&gt;0,G34&lt;&gt;0,I34&lt;&gt;0),"ok","-")</f>
        <v>ok</v>
      </c>
    </row>
    <row r="35" spans="1:11" s="10" customFormat="1" ht="253.5" customHeight="1" x14ac:dyDescent="0.75">
      <c r="A35" s="32"/>
      <c r="B35" s="32"/>
      <c r="C35" s="65" t="s">
        <v>76</v>
      </c>
      <c r="D35" s="58"/>
      <c r="E35" s="59"/>
      <c r="F35" s="69" t="s">
        <v>77</v>
      </c>
      <c r="G35" s="69" t="s">
        <v>78</v>
      </c>
      <c r="H35" s="69" t="s">
        <v>79</v>
      </c>
      <c r="I35" s="69" t="s">
        <v>80</v>
      </c>
      <c r="J35" s="49" t="s">
        <v>81</v>
      </c>
      <c r="K35" s="38" t="str">
        <f t="shared" ref="K35:K59" si="1">IF(OR(E35&gt;0,F35&lt;&gt;0,G35&lt;&gt;0,I35&lt;&gt;0),"ok","-")</f>
        <v>ok</v>
      </c>
    </row>
    <row r="36" spans="1:11" s="10" customFormat="1" ht="45" x14ac:dyDescent="0.75">
      <c r="A36" s="32"/>
      <c r="B36" s="60" t="str">
        <f>$B$15&amp;"03"</f>
        <v>1010103</v>
      </c>
      <c r="C36" s="79" t="str">
        <f>VLOOKUP($B36,[1]Prog!$B$14:$C$209,2)</f>
        <v>១.១.៣. ចង្កោមសកម្មភាពទី៣ : លើកកម្ពស់ការងារស្ថិតិសេដ្ឋកិច្ចនិងហិរញ្ញវត្ថុសាធារណៈ</v>
      </c>
      <c r="D36" s="62"/>
      <c r="E36" s="63" t="e">
        <f>SUMIF([1]PB8!$E$10:$T$10,$B36,[1]PB8!$E$15:$T$15)</f>
        <v>#VALUE!</v>
      </c>
      <c r="F36" s="64"/>
      <c r="G36" s="64"/>
      <c r="H36" s="64"/>
      <c r="I36" s="64"/>
      <c r="J36" s="64"/>
      <c r="K36" s="38" t="e">
        <f t="shared" si="1"/>
        <v>#VALUE!</v>
      </c>
    </row>
    <row r="37" spans="1:11" s="10" customFormat="1" ht="45" x14ac:dyDescent="0.75">
      <c r="A37" s="32"/>
      <c r="B37" s="32"/>
      <c r="C37" s="80" t="s">
        <v>82</v>
      </c>
      <c r="D37" s="66"/>
      <c r="E37" s="67"/>
      <c r="F37" s="81" t="s">
        <v>83</v>
      </c>
      <c r="G37" s="81" t="s">
        <v>84</v>
      </c>
      <c r="H37" s="81" t="s">
        <v>85</v>
      </c>
      <c r="I37" s="81" t="s">
        <v>86</v>
      </c>
      <c r="J37" s="82"/>
      <c r="K37" s="38" t="str">
        <f t="shared" si="1"/>
        <v>ok</v>
      </c>
    </row>
    <row r="38" spans="1:11" s="10" customFormat="1" ht="45" x14ac:dyDescent="0.75">
      <c r="A38" s="32"/>
      <c r="B38" s="32"/>
      <c r="C38" s="83"/>
      <c r="D38" s="50"/>
      <c r="E38" s="53"/>
      <c r="F38" s="81" t="s">
        <v>87</v>
      </c>
      <c r="G38" s="81" t="s">
        <v>88</v>
      </c>
      <c r="H38" s="81" t="s">
        <v>89</v>
      </c>
      <c r="I38" s="81" t="s">
        <v>88</v>
      </c>
      <c r="J38" s="82"/>
      <c r="K38" s="38" t="str">
        <f t="shared" si="1"/>
        <v>ok</v>
      </c>
    </row>
    <row r="39" spans="1:11" s="10" customFormat="1" ht="67.5" x14ac:dyDescent="0.75">
      <c r="A39" s="32"/>
      <c r="B39" s="32"/>
      <c r="C39" s="83"/>
      <c r="D39" s="50"/>
      <c r="E39" s="51"/>
      <c r="F39" s="81"/>
      <c r="G39" s="81" t="s">
        <v>90</v>
      </c>
      <c r="H39" s="81" t="s">
        <v>91</v>
      </c>
      <c r="I39" s="81" t="s">
        <v>92</v>
      </c>
      <c r="J39" s="82"/>
      <c r="K39" s="38" t="str">
        <f t="shared" si="1"/>
        <v>ok</v>
      </c>
    </row>
    <row r="40" spans="1:11" s="10" customFormat="1" ht="45" x14ac:dyDescent="0.75">
      <c r="A40" s="32"/>
      <c r="B40" s="32"/>
      <c r="C40" s="83"/>
      <c r="D40" s="50"/>
      <c r="E40" s="53"/>
      <c r="F40" s="81"/>
      <c r="G40" s="81" t="s">
        <v>93</v>
      </c>
      <c r="H40" s="81"/>
      <c r="I40" s="81" t="s">
        <v>94</v>
      </c>
      <c r="J40" s="82"/>
      <c r="K40" s="38" t="str">
        <f t="shared" si="1"/>
        <v>ok</v>
      </c>
    </row>
    <row r="41" spans="1:11" s="10" customFormat="1" ht="24.95" hidden="1" customHeight="1" x14ac:dyDescent="0.75">
      <c r="A41" s="32"/>
      <c r="B41" s="32"/>
      <c r="C41" s="84" t="s">
        <v>38</v>
      </c>
      <c r="D41" s="58"/>
      <c r="E41" s="59"/>
      <c r="F41" s="85"/>
      <c r="G41" s="85"/>
      <c r="H41" s="85"/>
      <c r="I41" s="85"/>
      <c r="J41" s="49"/>
      <c r="K41" s="38" t="str">
        <f t="shared" si="1"/>
        <v>-</v>
      </c>
    </row>
    <row r="42" spans="1:11" s="10" customFormat="1" ht="45" x14ac:dyDescent="0.75">
      <c r="A42" s="32"/>
      <c r="B42" s="60" t="str">
        <f>$B$15&amp;"04"</f>
        <v>1010104</v>
      </c>
      <c r="C42" s="79" t="str">
        <f>VLOOKUP($B42,[1]Prog!$B$14:$C$209,2)</f>
        <v>១.១.៤. ចង្កោមសកម្មភាពទី៤ : លើកកម្ពស់កិច្ចការសមាហរណកម្មសេដ្ឋកិច្ច និងសហប្រតិបត្តិការហិរញ្ញវត្ថុនិងរូបិយវត្ថុ</v>
      </c>
      <c r="D42" s="62"/>
      <c r="E42" s="63" t="e">
        <f>SUMIF([1]PB8!$E$10:$T$10,$B42,[1]PB8!$E$15:$T$15)</f>
        <v>#VALUE!</v>
      </c>
      <c r="F42" s="86"/>
      <c r="G42" s="86"/>
      <c r="H42" s="86"/>
      <c r="I42" s="86"/>
      <c r="J42" s="64"/>
      <c r="K42" s="38" t="e">
        <f t="shared" si="1"/>
        <v>#VALUE!</v>
      </c>
    </row>
    <row r="43" spans="1:11" s="10" customFormat="1" ht="67.5" x14ac:dyDescent="0.75">
      <c r="A43" s="32"/>
      <c r="B43" s="32"/>
      <c r="C43" s="87" t="s">
        <v>95</v>
      </c>
      <c r="D43" s="66"/>
      <c r="E43" s="67"/>
      <c r="F43" s="81" t="s">
        <v>96</v>
      </c>
      <c r="G43" s="81" t="s">
        <v>97</v>
      </c>
      <c r="H43" s="81" t="s">
        <v>97</v>
      </c>
      <c r="I43" s="69" t="s">
        <v>98</v>
      </c>
      <c r="J43" s="81"/>
      <c r="K43" s="38" t="str">
        <f t="shared" si="1"/>
        <v>ok</v>
      </c>
    </row>
    <row r="44" spans="1:11" s="10" customFormat="1" ht="75.75" x14ac:dyDescent="0.75">
      <c r="A44" s="32"/>
      <c r="B44" s="32"/>
      <c r="C44" s="88"/>
      <c r="D44" s="50"/>
      <c r="E44" s="53"/>
      <c r="F44" s="81" t="s">
        <v>99</v>
      </c>
      <c r="G44" s="81" t="s">
        <v>100</v>
      </c>
      <c r="H44" s="81" t="s">
        <v>100</v>
      </c>
      <c r="I44" s="89" t="s">
        <v>101</v>
      </c>
      <c r="J44" s="90"/>
      <c r="K44" s="38" t="str">
        <f t="shared" si="1"/>
        <v>ok</v>
      </c>
    </row>
    <row r="45" spans="1:11" s="10" customFormat="1" ht="126.25" x14ac:dyDescent="0.75">
      <c r="A45" s="32"/>
      <c r="B45" s="32"/>
      <c r="C45" s="88"/>
      <c r="D45" s="50"/>
      <c r="E45" s="51"/>
      <c r="F45" s="81" t="s">
        <v>102</v>
      </c>
      <c r="G45" s="81" t="s">
        <v>103</v>
      </c>
      <c r="H45" s="81" t="s">
        <v>103</v>
      </c>
      <c r="I45" s="91" t="s">
        <v>104</v>
      </c>
      <c r="J45" s="92"/>
      <c r="K45" s="38" t="str">
        <f t="shared" si="1"/>
        <v>ok</v>
      </c>
    </row>
    <row r="46" spans="1:11" s="10" customFormat="1" ht="126.25" x14ac:dyDescent="0.75">
      <c r="A46" s="32"/>
      <c r="B46" s="32"/>
      <c r="C46" s="93"/>
      <c r="D46" s="50"/>
      <c r="E46" s="53"/>
      <c r="F46" s="81" t="s">
        <v>105</v>
      </c>
      <c r="G46" s="81" t="s">
        <v>106</v>
      </c>
      <c r="H46" s="81" t="s">
        <v>106</v>
      </c>
      <c r="I46" s="94" t="s">
        <v>107</v>
      </c>
      <c r="J46" s="95"/>
      <c r="K46" s="38" t="str">
        <f t="shared" si="1"/>
        <v>ok</v>
      </c>
    </row>
    <row r="47" spans="1:11" s="10" customFormat="1" ht="25.25" x14ac:dyDescent="0.75">
      <c r="A47" s="32"/>
      <c r="B47" s="60" t="str">
        <f>$B$15&amp;"05"</f>
        <v>1010105</v>
      </c>
      <c r="C47" s="79" t="str">
        <f>VLOOKUP($B47,[1]Prog!$B$14:$C$209,2)</f>
        <v>១.១.៥. ចង្កោមសកម្មភាពទី ៥ : លើកកម្ពស់គោលនយោបាយលើវិស័យសេដ្ឋកិច្ចថ្មី</v>
      </c>
      <c r="D47" s="62"/>
      <c r="E47" s="63" t="e">
        <f>SUMIF([1]PB8!$E$10:$T$10,$B47,[1]PB8!$E$15:$T$15)</f>
        <v>#VALUE!</v>
      </c>
      <c r="F47" s="64"/>
      <c r="G47" s="64"/>
      <c r="H47" s="64"/>
      <c r="I47" s="64"/>
      <c r="J47" s="64"/>
      <c r="K47" s="38" t="e">
        <f t="shared" si="1"/>
        <v>#VALUE!</v>
      </c>
    </row>
    <row r="48" spans="1:11" s="10" customFormat="1" ht="45" x14ac:dyDescent="0.75">
      <c r="A48" s="32"/>
      <c r="B48" s="32"/>
      <c r="C48" s="96" t="s">
        <v>108</v>
      </c>
      <c r="D48" s="66"/>
      <c r="E48" s="67"/>
      <c r="F48" s="85" t="s">
        <v>33</v>
      </c>
      <c r="G48" s="85" t="s">
        <v>33</v>
      </c>
      <c r="H48" s="85" t="s">
        <v>33</v>
      </c>
      <c r="I48" s="97" t="s">
        <v>109</v>
      </c>
      <c r="J48" s="98"/>
      <c r="K48" s="38" t="str">
        <f t="shared" si="1"/>
        <v>ok</v>
      </c>
    </row>
    <row r="49" spans="1:11" s="10" customFormat="1" ht="45" x14ac:dyDescent="0.75">
      <c r="A49" s="32"/>
      <c r="B49" s="32"/>
      <c r="C49" s="99" t="s">
        <v>110</v>
      </c>
      <c r="D49" s="50"/>
      <c r="E49" s="53"/>
      <c r="F49" s="85" t="s">
        <v>33</v>
      </c>
      <c r="G49" s="85" t="s">
        <v>33</v>
      </c>
      <c r="H49" s="85" t="s">
        <v>33</v>
      </c>
      <c r="I49" s="97" t="s">
        <v>111</v>
      </c>
      <c r="J49" s="98"/>
      <c r="K49" s="38" t="str">
        <f t="shared" si="1"/>
        <v>ok</v>
      </c>
    </row>
    <row r="50" spans="1:11" s="10" customFormat="1" ht="45" x14ac:dyDescent="0.75">
      <c r="A50" s="32"/>
      <c r="B50" s="32"/>
      <c r="C50" s="100"/>
      <c r="D50" s="50"/>
      <c r="E50" s="51"/>
      <c r="F50" s="85" t="s">
        <v>33</v>
      </c>
      <c r="G50" s="85" t="s">
        <v>33</v>
      </c>
      <c r="H50" s="85" t="s">
        <v>33</v>
      </c>
      <c r="I50" s="97" t="s">
        <v>112</v>
      </c>
      <c r="J50" s="98"/>
      <c r="K50" s="38" t="str">
        <f t="shared" si="1"/>
        <v>ok</v>
      </c>
    </row>
    <row r="51" spans="1:11" s="10" customFormat="1" ht="67.5" x14ac:dyDescent="0.75">
      <c r="A51" s="32"/>
      <c r="B51" s="32"/>
      <c r="C51" s="96" t="s">
        <v>113</v>
      </c>
      <c r="D51" s="50"/>
      <c r="E51" s="53"/>
      <c r="F51" s="85" t="s">
        <v>33</v>
      </c>
      <c r="G51" s="85" t="s">
        <v>33</v>
      </c>
      <c r="H51" s="85" t="s">
        <v>33</v>
      </c>
      <c r="I51" s="97" t="s">
        <v>114</v>
      </c>
      <c r="J51" s="98"/>
      <c r="K51" s="38" t="str">
        <f t="shared" si="1"/>
        <v>ok</v>
      </c>
    </row>
    <row r="52" spans="1:11" s="10" customFormat="1" ht="65.45" customHeight="1" x14ac:dyDescent="0.75">
      <c r="A52" s="32"/>
      <c r="B52" s="32"/>
      <c r="C52" s="96" t="s">
        <v>115</v>
      </c>
      <c r="D52" s="50"/>
      <c r="E52" s="51"/>
      <c r="F52" s="85" t="s">
        <v>33</v>
      </c>
      <c r="G52" s="85" t="s">
        <v>33</v>
      </c>
      <c r="H52" s="85" t="s">
        <v>33</v>
      </c>
      <c r="I52" s="97" t="s">
        <v>116</v>
      </c>
      <c r="J52" s="49"/>
      <c r="K52" s="38" t="str">
        <f t="shared" si="1"/>
        <v>ok</v>
      </c>
    </row>
    <row r="53" spans="1:11" s="10" customFormat="1" ht="6" hidden="1" customHeight="1" x14ac:dyDescent="0.75">
      <c r="A53" s="32"/>
      <c r="B53" s="32"/>
      <c r="C53" s="84"/>
      <c r="D53" s="58"/>
      <c r="E53" s="59"/>
      <c r="F53" s="49"/>
      <c r="G53" s="49"/>
      <c r="H53" s="49"/>
      <c r="I53" s="49"/>
      <c r="J53" s="49"/>
      <c r="K53" s="38" t="str">
        <f t="shared" si="1"/>
        <v>-</v>
      </c>
    </row>
    <row r="54" spans="1:11" s="10" customFormat="1" ht="45" x14ac:dyDescent="0.75">
      <c r="A54" s="32"/>
      <c r="B54" s="60" t="str">
        <f>$B$15&amp;"06"</f>
        <v>1010106</v>
      </c>
      <c r="C54" s="79" t="str">
        <f>VLOOKUP($B54,[1]Prog!$B$14:$C$209,2)</f>
        <v>១.១.៦. ចង្កោមសកម្មភាពទី ៦ : រៀបចំ តាមដាន និងវាយតម្លៃ គោលនយោបាយពាក់ព័ន្ធនឹងប្រសិទ្ធភាពចំណាយ</v>
      </c>
      <c r="D54" s="62"/>
      <c r="E54" s="63" t="e">
        <f>SUMIF([1]PB8!$E$10:$T$10,$B54,[1]PB8!$E$15:$T$15)</f>
        <v>#VALUE!</v>
      </c>
      <c r="F54" s="64"/>
      <c r="G54" s="64"/>
      <c r="H54" s="64"/>
      <c r="I54" s="64"/>
      <c r="J54" s="64"/>
      <c r="K54" s="38" t="e">
        <f t="shared" si="1"/>
        <v>#VALUE!</v>
      </c>
    </row>
    <row r="55" spans="1:11" s="10" customFormat="1" ht="67.5" x14ac:dyDescent="0.75">
      <c r="A55" s="32"/>
      <c r="B55" s="32"/>
      <c r="C55" s="101" t="s">
        <v>117</v>
      </c>
      <c r="D55" s="102"/>
      <c r="E55" s="103"/>
      <c r="F55" s="85" t="s">
        <v>33</v>
      </c>
      <c r="G55" s="85" t="s">
        <v>33</v>
      </c>
      <c r="H55" s="85" t="s">
        <v>33</v>
      </c>
      <c r="I55" s="104" t="s">
        <v>118</v>
      </c>
      <c r="J55" s="105"/>
      <c r="K55" s="38" t="str">
        <f t="shared" si="1"/>
        <v>ok</v>
      </c>
    </row>
    <row r="56" spans="1:11" s="10" customFormat="1" ht="67.5" x14ac:dyDescent="0.75">
      <c r="A56" s="32"/>
      <c r="B56" s="32"/>
      <c r="C56" s="106" t="s">
        <v>119</v>
      </c>
      <c r="D56" s="107"/>
      <c r="E56" s="108"/>
      <c r="F56" s="85" t="s">
        <v>33</v>
      </c>
      <c r="G56" s="85" t="s">
        <v>33</v>
      </c>
      <c r="H56" s="85" t="s">
        <v>33</v>
      </c>
      <c r="I56" s="69" t="s">
        <v>120</v>
      </c>
      <c r="J56" s="85"/>
      <c r="K56" s="38" t="str">
        <f t="shared" si="1"/>
        <v>ok</v>
      </c>
    </row>
    <row r="57" spans="1:11" s="10" customFormat="1" ht="67.5" x14ac:dyDescent="0.75">
      <c r="A57" s="32"/>
      <c r="B57" s="32"/>
      <c r="C57" s="109" t="s">
        <v>121</v>
      </c>
      <c r="D57" s="107"/>
      <c r="E57" s="110"/>
      <c r="F57" s="85" t="s">
        <v>33</v>
      </c>
      <c r="G57" s="85" t="s">
        <v>33</v>
      </c>
      <c r="H57" s="85" t="s">
        <v>33</v>
      </c>
      <c r="I57" s="69" t="s">
        <v>122</v>
      </c>
      <c r="J57" s="85"/>
      <c r="K57" s="38" t="str">
        <f t="shared" si="1"/>
        <v>ok</v>
      </c>
    </row>
    <row r="58" spans="1:11" s="10" customFormat="1" ht="45" x14ac:dyDescent="0.75">
      <c r="A58" s="32"/>
      <c r="B58" s="32"/>
      <c r="C58" s="111" t="s">
        <v>123</v>
      </c>
      <c r="D58" s="107"/>
      <c r="E58" s="108"/>
      <c r="F58" s="85" t="s">
        <v>33</v>
      </c>
      <c r="G58" s="85" t="s">
        <v>33</v>
      </c>
      <c r="H58" s="85" t="s">
        <v>33</v>
      </c>
      <c r="I58" s="81" t="s">
        <v>124</v>
      </c>
      <c r="J58" s="81"/>
      <c r="K58" s="38" t="str">
        <f t="shared" si="1"/>
        <v>ok</v>
      </c>
    </row>
    <row r="59" spans="1:11" s="10" customFormat="1" ht="45" customHeight="1" x14ac:dyDescent="0.75">
      <c r="A59" s="32"/>
      <c r="B59" s="32"/>
      <c r="C59" s="112"/>
      <c r="D59" s="113"/>
      <c r="E59" s="114"/>
      <c r="F59" s="85" t="s">
        <v>33</v>
      </c>
      <c r="G59" s="85" t="s">
        <v>33</v>
      </c>
      <c r="H59" s="85" t="s">
        <v>33</v>
      </c>
      <c r="I59" s="81" t="s">
        <v>125</v>
      </c>
      <c r="J59" s="81"/>
      <c r="K59" s="38" t="str">
        <f t="shared" si="1"/>
        <v>ok</v>
      </c>
    </row>
    <row r="60" spans="1:11" s="10" customFormat="1" ht="24.95" hidden="1" customHeight="1" x14ac:dyDescent="0.75">
      <c r="A60" s="32"/>
      <c r="B60" s="32"/>
      <c r="C60" s="115"/>
      <c r="D60" s="116"/>
      <c r="E60" s="117"/>
      <c r="F60" s="118"/>
      <c r="G60" s="118"/>
      <c r="H60" s="118"/>
      <c r="I60" s="118"/>
      <c r="J60" s="118"/>
      <c r="K60" s="38"/>
    </row>
    <row r="61" spans="1:11" s="10" customFormat="1" ht="29.25" hidden="1" customHeight="1" x14ac:dyDescent="0.75">
      <c r="A61" s="32"/>
      <c r="B61" s="60" t="str">
        <f>$B$15&amp;"07"</f>
        <v>1010107</v>
      </c>
      <c r="C61" s="61" t="str">
        <f>VLOOKUP($B61,[1]Prog!$B$14:$C$209,2)</f>
        <v xml:space="preserve">១.‌១.៦.៤.សកម្មភាពទី៤៖ ការតាមដាន និងវាយតម្លៃ ការវិនិយោគសាធារណៈ </v>
      </c>
      <c r="D61" s="62"/>
      <c r="E61" s="63" t="e">
        <f>SUMIF([1]PB8!$E$10:$T$10,$B61,[1]PB8!$E$15:$T$15)</f>
        <v>#VALUE!</v>
      </c>
      <c r="F61" s="64"/>
      <c r="G61" s="64"/>
      <c r="H61" s="64"/>
      <c r="I61" s="64"/>
      <c r="J61" s="64"/>
      <c r="K61" s="38" t="e">
        <f t="shared" ref="K61:K123" si="2">IF(OR(E61&gt;0,F61&lt;&gt;0,G61&lt;&gt;0,I61&lt;&gt;0),"ok","-")</f>
        <v>#VALUE!</v>
      </c>
    </row>
    <row r="62" spans="1:11" s="10" customFormat="1" ht="24.95" hidden="1" customHeight="1" x14ac:dyDescent="0.75">
      <c r="A62" s="32"/>
      <c r="B62" s="32"/>
      <c r="C62" s="70" t="s">
        <v>126</v>
      </c>
      <c r="D62" s="66"/>
      <c r="E62" s="67"/>
      <c r="F62" s="49"/>
      <c r="G62" s="49"/>
      <c r="H62" s="49"/>
      <c r="I62" s="49"/>
      <c r="J62" s="49"/>
      <c r="K62" s="38" t="str">
        <f t="shared" si="2"/>
        <v>-</v>
      </c>
    </row>
    <row r="63" spans="1:11" s="10" customFormat="1" ht="24.95" hidden="1" customHeight="1" x14ac:dyDescent="0.75">
      <c r="A63" s="32"/>
      <c r="B63" s="32"/>
      <c r="C63" s="70" t="s">
        <v>127</v>
      </c>
      <c r="D63" s="50"/>
      <c r="E63" s="53"/>
      <c r="F63" s="49"/>
      <c r="G63" s="49"/>
      <c r="H63" s="49"/>
      <c r="I63" s="49"/>
      <c r="J63" s="49"/>
      <c r="K63" s="38" t="str">
        <f t="shared" si="2"/>
        <v>-</v>
      </c>
    </row>
    <row r="64" spans="1:11" s="10" customFormat="1" ht="24.95" hidden="1" customHeight="1" x14ac:dyDescent="0.75">
      <c r="A64" s="32"/>
      <c r="B64" s="32"/>
      <c r="C64" s="70" t="s">
        <v>47</v>
      </c>
      <c r="D64" s="50"/>
      <c r="E64" s="51"/>
      <c r="F64" s="49"/>
      <c r="G64" s="49"/>
      <c r="H64" s="49"/>
      <c r="I64" s="49"/>
      <c r="J64" s="49"/>
      <c r="K64" s="38" t="str">
        <f t="shared" si="2"/>
        <v>-</v>
      </c>
    </row>
    <row r="65" spans="1:11" s="10" customFormat="1" ht="24.95" hidden="1" customHeight="1" x14ac:dyDescent="0.75">
      <c r="A65" s="32"/>
      <c r="B65" s="32"/>
      <c r="C65" s="70" t="s">
        <v>48</v>
      </c>
      <c r="D65" s="50"/>
      <c r="E65" s="53"/>
      <c r="F65" s="49"/>
      <c r="G65" s="49"/>
      <c r="H65" s="49"/>
      <c r="I65" s="49"/>
      <c r="J65" s="49"/>
      <c r="K65" s="38" t="str">
        <f t="shared" si="2"/>
        <v>-</v>
      </c>
    </row>
    <row r="66" spans="1:11" s="10" customFormat="1" ht="24.95" hidden="1" customHeight="1" x14ac:dyDescent="0.75">
      <c r="A66" s="32"/>
      <c r="B66" s="32"/>
      <c r="C66" s="70" t="s">
        <v>49</v>
      </c>
      <c r="D66" s="50"/>
      <c r="E66" s="51"/>
      <c r="F66" s="49"/>
      <c r="G66" s="49"/>
      <c r="H66" s="49"/>
      <c r="I66" s="49"/>
      <c r="J66" s="49"/>
      <c r="K66" s="38" t="str">
        <f t="shared" si="2"/>
        <v>-</v>
      </c>
    </row>
    <row r="67" spans="1:11" s="10" customFormat="1" ht="24.95" hidden="1" customHeight="1" x14ac:dyDescent="0.75">
      <c r="A67" s="32"/>
      <c r="B67" s="32"/>
      <c r="C67" s="70" t="s">
        <v>38</v>
      </c>
      <c r="D67" s="58"/>
      <c r="E67" s="59"/>
      <c r="F67" s="49"/>
      <c r="G67" s="49"/>
      <c r="H67" s="49"/>
      <c r="I67" s="49"/>
      <c r="J67" s="49"/>
      <c r="K67" s="38" t="str">
        <f t="shared" si="2"/>
        <v>-</v>
      </c>
    </row>
    <row r="68" spans="1:11" s="10" customFormat="1" ht="29.25" hidden="1" customHeight="1" x14ac:dyDescent="0.75">
      <c r="A68" s="32"/>
      <c r="B68" s="60" t="str">
        <f>$B$15&amp;"08"</f>
        <v>1010108</v>
      </c>
      <c r="C68" s="61" t="str">
        <f>VLOOKUP($B68,[1]Prog!$B$14:$C$209,2)</f>
        <v xml:space="preserve">១.‌១.៦.៤.សកម្មភាពទី៤៖ ការតាមដាន និងវាយតម្លៃ ការវិនិយោគសាធារណៈ </v>
      </c>
      <c r="D68" s="62"/>
      <c r="E68" s="63" t="e">
        <f>SUMIF([1]PB8!$E$10:$T$10,$B68,[1]PB8!$E$15:$T$15)</f>
        <v>#VALUE!</v>
      </c>
      <c r="F68" s="64"/>
      <c r="G68" s="64"/>
      <c r="H68" s="64"/>
      <c r="I68" s="64"/>
      <c r="J68" s="64"/>
      <c r="K68" s="38" t="e">
        <f t="shared" si="2"/>
        <v>#VALUE!</v>
      </c>
    </row>
    <row r="69" spans="1:11" s="10" customFormat="1" ht="24.95" hidden="1" customHeight="1" x14ac:dyDescent="0.75">
      <c r="A69" s="32"/>
      <c r="B69" s="32"/>
      <c r="C69" s="70" t="s">
        <v>126</v>
      </c>
      <c r="D69" s="66"/>
      <c r="E69" s="67"/>
      <c r="F69" s="49"/>
      <c r="G69" s="49"/>
      <c r="H69" s="49"/>
      <c r="I69" s="49"/>
      <c r="J69" s="49"/>
      <c r="K69" s="38" t="str">
        <f t="shared" si="2"/>
        <v>-</v>
      </c>
    </row>
    <row r="70" spans="1:11" s="10" customFormat="1" ht="24.95" hidden="1" customHeight="1" x14ac:dyDescent="0.75">
      <c r="A70" s="32"/>
      <c r="B70" s="32"/>
      <c r="C70" s="70" t="s">
        <v>127</v>
      </c>
      <c r="D70" s="50"/>
      <c r="E70" s="53"/>
      <c r="F70" s="49"/>
      <c r="G70" s="49"/>
      <c r="H70" s="49"/>
      <c r="I70" s="49"/>
      <c r="J70" s="49"/>
      <c r="K70" s="38" t="str">
        <f t="shared" si="2"/>
        <v>-</v>
      </c>
    </row>
    <row r="71" spans="1:11" s="10" customFormat="1" ht="24.95" hidden="1" customHeight="1" x14ac:dyDescent="0.75">
      <c r="A71" s="32"/>
      <c r="B71" s="32"/>
      <c r="C71" s="70" t="s">
        <v>47</v>
      </c>
      <c r="D71" s="50"/>
      <c r="E71" s="51"/>
      <c r="F71" s="49"/>
      <c r="G71" s="49"/>
      <c r="H71" s="49"/>
      <c r="I71" s="49"/>
      <c r="J71" s="49"/>
      <c r="K71" s="38" t="str">
        <f t="shared" si="2"/>
        <v>-</v>
      </c>
    </row>
    <row r="72" spans="1:11" s="10" customFormat="1" ht="24.95" hidden="1" customHeight="1" x14ac:dyDescent="0.75">
      <c r="A72" s="32"/>
      <c r="B72" s="32"/>
      <c r="C72" s="70" t="s">
        <v>48</v>
      </c>
      <c r="D72" s="50"/>
      <c r="E72" s="53"/>
      <c r="F72" s="49"/>
      <c r="G72" s="49"/>
      <c r="H72" s="49"/>
      <c r="I72" s="49"/>
      <c r="J72" s="49"/>
      <c r="K72" s="38" t="str">
        <f t="shared" si="2"/>
        <v>-</v>
      </c>
    </row>
    <row r="73" spans="1:11" s="10" customFormat="1" ht="24.95" hidden="1" customHeight="1" x14ac:dyDescent="0.75">
      <c r="A73" s="32"/>
      <c r="B73" s="32"/>
      <c r="C73" s="70" t="s">
        <v>49</v>
      </c>
      <c r="D73" s="50"/>
      <c r="E73" s="51"/>
      <c r="F73" s="49"/>
      <c r="G73" s="49"/>
      <c r="H73" s="49"/>
      <c r="I73" s="49"/>
      <c r="J73" s="49"/>
      <c r="K73" s="38" t="str">
        <f t="shared" si="2"/>
        <v>-</v>
      </c>
    </row>
    <row r="74" spans="1:11" s="10" customFormat="1" ht="24.95" hidden="1" customHeight="1" x14ac:dyDescent="0.75">
      <c r="A74" s="32"/>
      <c r="B74" s="32"/>
      <c r="C74" s="70" t="s">
        <v>38</v>
      </c>
      <c r="D74" s="58"/>
      <c r="E74" s="59"/>
      <c r="F74" s="49"/>
      <c r="G74" s="49"/>
      <c r="H74" s="49"/>
      <c r="I74" s="49"/>
      <c r="J74" s="49"/>
      <c r="K74" s="38" t="str">
        <f t="shared" si="2"/>
        <v>-</v>
      </c>
    </row>
    <row r="75" spans="1:11" s="10" customFormat="1" ht="29.25" hidden="1" customHeight="1" x14ac:dyDescent="0.75">
      <c r="A75" s="32"/>
      <c r="B75" s="60" t="str">
        <f>$B$15&amp;"09"</f>
        <v>1010109</v>
      </c>
      <c r="C75" s="61" t="str">
        <f>VLOOKUP($B75,[1]Prog!$B$14:$C$209,2)</f>
        <v xml:space="preserve">១.‌១.៦.៤.សកម្មភាពទី៤៖ ការតាមដាន និងវាយតម្លៃ ការវិនិយោគសាធារណៈ </v>
      </c>
      <c r="D75" s="62"/>
      <c r="E75" s="63" t="e">
        <f>SUMIF([1]PB8!$E$10:$T$10,$B75,[1]PB8!$E$15:$T$15)</f>
        <v>#VALUE!</v>
      </c>
      <c r="F75" s="64"/>
      <c r="G75" s="64"/>
      <c r="H75" s="64"/>
      <c r="I75" s="64"/>
      <c r="J75" s="64"/>
      <c r="K75" s="38" t="e">
        <f t="shared" si="2"/>
        <v>#VALUE!</v>
      </c>
    </row>
    <row r="76" spans="1:11" s="10" customFormat="1" ht="24.95" hidden="1" customHeight="1" x14ac:dyDescent="0.75">
      <c r="A76" s="32"/>
      <c r="B76" s="32"/>
      <c r="C76" s="70" t="s">
        <v>126</v>
      </c>
      <c r="D76" s="66"/>
      <c r="E76" s="67"/>
      <c r="F76" s="49"/>
      <c r="G76" s="49"/>
      <c r="H76" s="49"/>
      <c r="I76" s="49"/>
      <c r="J76" s="49"/>
      <c r="K76" s="38" t="str">
        <f t="shared" si="2"/>
        <v>-</v>
      </c>
    </row>
    <row r="77" spans="1:11" s="10" customFormat="1" ht="24.95" hidden="1" customHeight="1" x14ac:dyDescent="0.75">
      <c r="A77" s="32"/>
      <c r="B77" s="32"/>
      <c r="C77" s="70" t="s">
        <v>127</v>
      </c>
      <c r="D77" s="50"/>
      <c r="E77" s="53"/>
      <c r="F77" s="49"/>
      <c r="G77" s="49"/>
      <c r="H77" s="49"/>
      <c r="I77" s="49"/>
      <c r="J77" s="49"/>
      <c r="K77" s="38" t="str">
        <f t="shared" si="2"/>
        <v>-</v>
      </c>
    </row>
    <row r="78" spans="1:11" s="10" customFormat="1" ht="24.95" hidden="1" customHeight="1" x14ac:dyDescent="0.75">
      <c r="A78" s="32"/>
      <c r="B78" s="32"/>
      <c r="C78" s="70" t="s">
        <v>47</v>
      </c>
      <c r="D78" s="50"/>
      <c r="E78" s="51"/>
      <c r="F78" s="49"/>
      <c r="G78" s="49"/>
      <c r="H78" s="49"/>
      <c r="I78" s="49"/>
      <c r="J78" s="49"/>
      <c r="K78" s="38" t="str">
        <f t="shared" si="2"/>
        <v>-</v>
      </c>
    </row>
    <row r="79" spans="1:11" s="10" customFormat="1" ht="24.95" hidden="1" customHeight="1" x14ac:dyDescent="0.75">
      <c r="A79" s="32"/>
      <c r="B79" s="32"/>
      <c r="C79" s="70" t="s">
        <v>48</v>
      </c>
      <c r="D79" s="50"/>
      <c r="E79" s="53"/>
      <c r="F79" s="49"/>
      <c r="G79" s="49"/>
      <c r="H79" s="49"/>
      <c r="I79" s="49"/>
      <c r="J79" s="49"/>
      <c r="K79" s="38" t="str">
        <f t="shared" si="2"/>
        <v>-</v>
      </c>
    </row>
    <row r="80" spans="1:11" s="10" customFormat="1" ht="24.95" hidden="1" customHeight="1" x14ac:dyDescent="0.75">
      <c r="A80" s="32"/>
      <c r="B80" s="32"/>
      <c r="C80" s="70" t="s">
        <v>49</v>
      </c>
      <c r="D80" s="50"/>
      <c r="E80" s="51"/>
      <c r="F80" s="49"/>
      <c r="G80" s="49"/>
      <c r="H80" s="49"/>
      <c r="I80" s="49"/>
      <c r="J80" s="49"/>
      <c r="K80" s="38" t="str">
        <f t="shared" si="2"/>
        <v>-</v>
      </c>
    </row>
    <row r="81" spans="1:11" s="10" customFormat="1" ht="24.95" hidden="1" customHeight="1" x14ac:dyDescent="0.75">
      <c r="A81" s="32"/>
      <c r="B81" s="32"/>
      <c r="C81" s="70" t="s">
        <v>38</v>
      </c>
      <c r="D81" s="58"/>
      <c r="E81" s="59"/>
      <c r="F81" s="49"/>
      <c r="G81" s="49"/>
      <c r="H81" s="49"/>
      <c r="I81" s="49"/>
      <c r="J81" s="49"/>
      <c r="K81" s="38" t="str">
        <f t="shared" si="2"/>
        <v>-</v>
      </c>
    </row>
    <row r="82" spans="1:11" s="10" customFormat="1" ht="29.25" hidden="1" customHeight="1" x14ac:dyDescent="0.75">
      <c r="A82" s="32"/>
      <c r="B82" s="60" t="str">
        <f>$B$15&amp;"10"</f>
        <v>1010110</v>
      </c>
      <c r="C82" s="61" t="str">
        <f>VLOOKUP($B82,[1]Prog!$B$14:$C$209,2)</f>
        <v xml:space="preserve">១.‌១.៦.៤.សកម្មភាពទី៤៖ ការតាមដាន និងវាយតម្លៃ ការវិនិយោគសាធារណៈ </v>
      </c>
      <c r="D82" s="62"/>
      <c r="E82" s="63" t="e">
        <f>SUMIF([1]PB8!$E$10:$T$10,$B82,[1]PB8!$E$15:$T$15)</f>
        <v>#VALUE!</v>
      </c>
      <c r="F82" s="64"/>
      <c r="G82" s="64"/>
      <c r="H82" s="64"/>
      <c r="I82" s="64"/>
      <c r="J82" s="64"/>
      <c r="K82" s="38" t="e">
        <f t="shared" si="2"/>
        <v>#VALUE!</v>
      </c>
    </row>
    <row r="83" spans="1:11" s="10" customFormat="1" ht="24.95" hidden="1" customHeight="1" x14ac:dyDescent="0.75">
      <c r="A83" s="32"/>
      <c r="B83" s="32"/>
      <c r="C83" s="70" t="s">
        <v>126</v>
      </c>
      <c r="D83" s="66"/>
      <c r="E83" s="67"/>
      <c r="F83" s="49"/>
      <c r="G83" s="49"/>
      <c r="H83" s="49"/>
      <c r="I83" s="49"/>
      <c r="J83" s="49"/>
      <c r="K83" s="38" t="str">
        <f t="shared" si="2"/>
        <v>-</v>
      </c>
    </row>
    <row r="84" spans="1:11" s="10" customFormat="1" ht="24.95" hidden="1" customHeight="1" x14ac:dyDescent="0.75">
      <c r="A84" s="32"/>
      <c r="B84" s="32"/>
      <c r="C84" s="70" t="s">
        <v>127</v>
      </c>
      <c r="D84" s="50"/>
      <c r="E84" s="53"/>
      <c r="F84" s="49"/>
      <c r="G84" s="49"/>
      <c r="H84" s="49"/>
      <c r="I84" s="49"/>
      <c r="J84" s="49"/>
      <c r="K84" s="38" t="str">
        <f t="shared" si="2"/>
        <v>-</v>
      </c>
    </row>
    <row r="85" spans="1:11" s="10" customFormat="1" ht="24.95" hidden="1" customHeight="1" x14ac:dyDescent="0.75">
      <c r="A85" s="32"/>
      <c r="B85" s="32"/>
      <c r="C85" s="70" t="s">
        <v>47</v>
      </c>
      <c r="D85" s="50"/>
      <c r="E85" s="51"/>
      <c r="F85" s="49"/>
      <c r="G85" s="49"/>
      <c r="H85" s="49"/>
      <c r="I85" s="49"/>
      <c r="J85" s="49"/>
      <c r="K85" s="38" t="str">
        <f t="shared" si="2"/>
        <v>-</v>
      </c>
    </row>
    <row r="86" spans="1:11" s="10" customFormat="1" ht="24.95" hidden="1" customHeight="1" x14ac:dyDescent="0.75">
      <c r="A86" s="32"/>
      <c r="B86" s="32"/>
      <c r="C86" s="70" t="s">
        <v>48</v>
      </c>
      <c r="D86" s="50"/>
      <c r="E86" s="53"/>
      <c r="F86" s="49"/>
      <c r="G86" s="49"/>
      <c r="H86" s="49"/>
      <c r="I86" s="49"/>
      <c r="J86" s="49"/>
      <c r="K86" s="38" t="str">
        <f t="shared" si="2"/>
        <v>-</v>
      </c>
    </row>
    <row r="87" spans="1:11" s="10" customFormat="1" ht="24.95" hidden="1" customHeight="1" x14ac:dyDescent="0.75">
      <c r="A87" s="32"/>
      <c r="B87" s="32"/>
      <c r="C87" s="70" t="s">
        <v>49</v>
      </c>
      <c r="D87" s="50"/>
      <c r="E87" s="51"/>
      <c r="F87" s="49"/>
      <c r="G87" s="49"/>
      <c r="H87" s="49"/>
      <c r="I87" s="49"/>
      <c r="J87" s="49"/>
      <c r="K87" s="38" t="str">
        <f t="shared" si="2"/>
        <v>-</v>
      </c>
    </row>
    <row r="88" spans="1:11" s="10" customFormat="1" ht="24.95" hidden="1" customHeight="1" x14ac:dyDescent="0.75">
      <c r="A88" s="32"/>
      <c r="B88" s="32"/>
      <c r="C88" s="70" t="s">
        <v>38</v>
      </c>
      <c r="D88" s="58"/>
      <c r="E88" s="59"/>
      <c r="F88" s="49"/>
      <c r="G88" s="49"/>
      <c r="H88" s="49"/>
      <c r="I88" s="49"/>
      <c r="J88" s="49"/>
      <c r="K88" s="38" t="str">
        <f t="shared" si="2"/>
        <v>-</v>
      </c>
    </row>
    <row r="89" spans="1:11" s="10" customFormat="1" ht="29.25" hidden="1" customHeight="1" x14ac:dyDescent="0.75">
      <c r="A89" s="32"/>
      <c r="B89" s="60" t="str">
        <f>$B$15&amp;"11"</f>
        <v>1010111</v>
      </c>
      <c r="C89" s="61" t="str">
        <f>VLOOKUP($B89,[1]Prog!$B$14:$C$209,2)</f>
        <v xml:space="preserve">១.‌១.៦.៤.សកម្មភាពទី៤៖ ការតាមដាន និងវាយតម្លៃ ការវិនិយោគសាធារណៈ </v>
      </c>
      <c r="D89" s="62"/>
      <c r="E89" s="63" t="e">
        <f>SUMIF([1]PB8!$E$10:$T$10,$B89,[1]PB8!$E$15:$T$15)</f>
        <v>#VALUE!</v>
      </c>
      <c r="F89" s="64"/>
      <c r="G89" s="64"/>
      <c r="H89" s="64"/>
      <c r="I89" s="64"/>
      <c r="J89" s="64"/>
      <c r="K89" s="38" t="e">
        <f t="shared" si="2"/>
        <v>#VALUE!</v>
      </c>
    </row>
    <row r="90" spans="1:11" s="10" customFormat="1" ht="24.95" hidden="1" customHeight="1" x14ac:dyDescent="0.75">
      <c r="A90" s="32"/>
      <c r="B90" s="32"/>
      <c r="C90" s="70" t="s">
        <v>126</v>
      </c>
      <c r="D90" s="66"/>
      <c r="E90" s="67"/>
      <c r="F90" s="49"/>
      <c r="G90" s="49"/>
      <c r="H90" s="49"/>
      <c r="I90" s="49"/>
      <c r="J90" s="49"/>
      <c r="K90" s="38" t="str">
        <f t="shared" si="2"/>
        <v>-</v>
      </c>
    </row>
    <row r="91" spans="1:11" s="10" customFormat="1" ht="24.95" hidden="1" customHeight="1" x14ac:dyDescent="0.75">
      <c r="A91" s="32"/>
      <c r="B91" s="32"/>
      <c r="C91" s="70" t="s">
        <v>127</v>
      </c>
      <c r="D91" s="50"/>
      <c r="E91" s="53"/>
      <c r="F91" s="49"/>
      <c r="G91" s="49"/>
      <c r="H91" s="49"/>
      <c r="I91" s="49"/>
      <c r="J91" s="49"/>
      <c r="K91" s="38" t="str">
        <f t="shared" si="2"/>
        <v>-</v>
      </c>
    </row>
    <row r="92" spans="1:11" s="10" customFormat="1" ht="24.95" hidden="1" customHeight="1" x14ac:dyDescent="0.75">
      <c r="A92" s="32"/>
      <c r="B92" s="32"/>
      <c r="C92" s="70" t="s">
        <v>47</v>
      </c>
      <c r="D92" s="50"/>
      <c r="E92" s="51"/>
      <c r="F92" s="49"/>
      <c r="G92" s="49"/>
      <c r="H92" s="49"/>
      <c r="I92" s="49"/>
      <c r="J92" s="49"/>
      <c r="K92" s="38" t="str">
        <f t="shared" si="2"/>
        <v>-</v>
      </c>
    </row>
    <row r="93" spans="1:11" s="10" customFormat="1" ht="24.95" hidden="1" customHeight="1" x14ac:dyDescent="0.75">
      <c r="A93" s="32"/>
      <c r="B93" s="32"/>
      <c r="C93" s="70" t="s">
        <v>48</v>
      </c>
      <c r="D93" s="50"/>
      <c r="E93" s="53"/>
      <c r="F93" s="49"/>
      <c r="G93" s="49"/>
      <c r="H93" s="49"/>
      <c r="I93" s="49"/>
      <c r="J93" s="49"/>
      <c r="K93" s="38" t="str">
        <f t="shared" si="2"/>
        <v>-</v>
      </c>
    </row>
    <row r="94" spans="1:11" s="10" customFormat="1" ht="24.95" hidden="1" customHeight="1" x14ac:dyDescent="0.75">
      <c r="A94" s="32"/>
      <c r="B94" s="32"/>
      <c r="C94" s="70" t="s">
        <v>49</v>
      </c>
      <c r="D94" s="50"/>
      <c r="E94" s="51"/>
      <c r="F94" s="49"/>
      <c r="G94" s="49"/>
      <c r="H94" s="49"/>
      <c r="I94" s="49"/>
      <c r="J94" s="49"/>
      <c r="K94" s="38" t="str">
        <f t="shared" si="2"/>
        <v>-</v>
      </c>
    </row>
    <row r="95" spans="1:11" s="10" customFormat="1" ht="24.95" hidden="1" customHeight="1" x14ac:dyDescent="0.75">
      <c r="A95" s="32"/>
      <c r="B95" s="32"/>
      <c r="C95" s="70" t="s">
        <v>38</v>
      </c>
      <c r="D95" s="58"/>
      <c r="E95" s="59"/>
      <c r="F95" s="49"/>
      <c r="G95" s="49"/>
      <c r="H95" s="49"/>
      <c r="I95" s="49"/>
      <c r="J95" s="49"/>
      <c r="K95" s="38" t="str">
        <f t="shared" si="2"/>
        <v>-</v>
      </c>
    </row>
    <row r="96" spans="1:11" s="10" customFormat="1" ht="29.25" hidden="1" customHeight="1" x14ac:dyDescent="0.75">
      <c r="A96" s="32"/>
      <c r="B96" s="60" t="str">
        <f>$B$15&amp;"12"</f>
        <v>1010112</v>
      </c>
      <c r="C96" s="61" t="str">
        <f>VLOOKUP($B96,[1]Prog!$B$14:$C$209,2)</f>
        <v xml:space="preserve">១.‌១.៦.៤.សកម្មភាពទី៤៖ ការតាមដាន និងវាយតម្លៃ ការវិនិយោគសាធារណៈ </v>
      </c>
      <c r="D96" s="62"/>
      <c r="E96" s="63" t="e">
        <f>SUMIF([1]PB8!$E$10:$T$10,$B96,[1]PB8!$E$15:$T$15)</f>
        <v>#VALUE!</v>
      </c>
      <c r="F96" s="64"/>
      <c r="G96" s="64"/>
      <c r="H96" s="64"/>
      <c r="I96" s="64"/>
      <c r="J96" s="64"/>
      <c r="K96" s="38" t="e">
        <f t="shared" si="2"/>
        <v>#VALUE!</v>
      </c>
    </row>
    <row r="97" spans="1:11" s="10" customFormat="1" ht="24.95" hidden="1" customHeight="1" x14ac:dyDescent="0.75">
      <c r="A97" s="32"/>
      <c r="B97" s="32"/>
      <c r="C97" s="70" t="s">
        <v>126</v>
      </c>
      <c r="D97" s="66"/>
      <c r="E97" s="67"/>
      <c r="F97" s="49"/>
      <c r="G97" s="49"/>
      <c r="H97" s="49"/>
      <c r="I97" s="49"/>
      <c r="J97" s="49"/>
      <c r="K97" s="38" t="str">
        <f t="shared" si="2"/>
        <v>-</v>
      </c>
    </row>
    <row r="98" spans="1:11" s="10" customFormat="1" ht="24.95" hidden="1" customHeight="1" x14ac:dyDescent="0.75">
      <c r="A98" s="32"/>
      <c r="B98" s="32"/>
      <c r="C98" s="70" t="s">
        <v>127</v>
      </c>
      <c r="D98" s="50"/>
      <c r="E98" s="53"/>
      <c r="F98" s="49"/>
      <c r="G98" s="49"/>
      <c r="H98" s="49"/>
      <c r="I98" s="49"/>
      <c r="J98" s="49"/>
      <c r="K98" s="38" t="str">
        <f t="shared" si="2"/>
        <v>-</v>
      </c>
    </row>
    <row r="99" spans="1:11" s="10" customFormat="1" ht="24.95" hidden="1" customHeight="1" x14ac:dyDescent="0.75">
      <c r="A99" s="32"/>
      <c r="B99" s="32"/>
      <c r="C99" s="70" t="s">
        <v>47</v>
      </c>
      <c r="D99" s="50"/>
      <c r="E99" s="51"/>
      <c r="F99" s="49"/>
      <c r="G99" s="49"/>
      <c r="H99" s="49"/>
      <c r="I99" s="49"/>
      <c r="J99" s="49"/>
      <c r="K99" s="38" t="str">
        <f t="shared" si="2"/>
        <v>-</v>
      </c>
    </row>
    <row r="100" spans="1:11" s="10" customFormat="1" ht="24.95" hidden="1" customHeight="1" x14ac:dyDescent="0.75">
      <c r="A100" s="32"/>
      <c r="B100" s="32"/>
      <c r="C100" s="70" t="s">
        <v>48</v>
      </c>
      <c r="D100" s="50"/>
      <c r="E100" s="53"/>
      <c r="F100" s="49"/>
      <c r="G100" s="49"/>
      <c r="H100" s="49"/>
      <c r="I100" s="49"/>
      <c r="J100" s="49"/>
      <c r="K100" s="38" t="str">
        <f t="shared" si="2"/>
        <v>-</v>
      </c>
    </row>
    <row r="101" spans="1:11" s="10" customFormat="1" ht="24.95" hidden="1" customHeight="1" x14ac:dyDescent="0.75">
      <c r="A101" s="32"/>
      <c r="B101" s="32"/>
      <c r="C101" s="70" t="s">
        <v>49</v>
      </c>
      <c r="D101" s="50"/>
      <c r="E101" s="51"/>
      <c r="F101" s="49"/>
      <c r="G101" s="49"/>
      <c r="H101" s="49"/>
      <c r="I101" s="49"/>
      <c r="J101" s="49"/>
      <c r="K101" s="38" t="str">
        <f t="shared" si="2"/>
        <v>-</v>
      </c>
    </row>
    <row r="102" spans="1:11" s="10" customFormat="1" ht="24.95" hidden="1" customHeight="1" x14ac:dyDescent="0.75">
      <c r="A102" s="32"/>
      <c r="B102" s="32"/>
      <c r="C102" s="70" t="s">
        <v>38</v>
      </c>
      <c r="D102" s="58"/>
      <c r="E102" s="59"/>
      <c r="F102" s="49"/>
      <c r="G102" s="49"/>
      <c r="H102" s="49"/>
      <c r="I102" s="49"/>
      <c r="J102" s="49"/>
      <c r="K102" s="38" t="str">
        <f t="shared" si="2"/>
        <v>-</v>
      </c>
    </row>
    <row r="103" spans="1:11" s="10" customFormat="1" ht="29.25" hidden="1" customHeight="1" x14ac:dyDescent="0.75">
      <c r="A103" s="32"/>
      <c r="B103" s="60" t="str">
        <f>$B$15&amp;"13"</f>
        <v>1010113</v>
      </c>
      <c r="C103" s="61" t="str">
        <f>VLOOKUP($B103,[1]Prog!$B$14:$C$209,2)</f>
        <v xml:space="preserve">១.‌១.៦.៤.សកម្មភាពទី៤៖ ការតាមដាន និងវាយតម្លៃ ការវិនិយោគសាធារណៈ </v>
      </c>
      <c r="D103" s="62"/>
      <c r="E103" s="63" t="e">
        <f>SUMIF([1]PB8!$E$10:$T$10,$B103,[1]PB8!$E$15:$T$15)</f>
        <v>#VALUE!</v>
      </c>
      <c r="F103" s="64"/>
      <c r="G103" s="64"/>
      <c r="H103" s="64"/>
      <c r="I103" s="64"/>
      <c r="J103" s="64"/>
      <c r="K103" s="38" t="e">
        <f t="shared" si="2"/>
        <v>#VALUE!</v>
      </c>
    </row>
    <row r="104" spans="1:11" s="10" customFormat="1" ht="24.95" hidden="1" customHeight="1" x14ac:dyDescent="0.75">
      <c r="A104" s="32"/>
      <c r="B104" s="32"/>
      <c r="C104" s="70" t="s">
        <v>126</v>
      </c>
      <c r="D104" s="66"/>
      <c r="E104" s="67"/>
      <c r="F104" s="49"/>
      <c r="G104" s="49"/>
      <c r="H104" s="49"/>
      <c r="I104" s="49"/>
      <c r="J104" s="49"/>
      <c r="K104" s="38" t="str">
        <f t="shared" si="2"/>
        <v>-</v>
      </c>
    </row>
    <row r="105" spans="1:11" s="10" customFormat="1" ht="24.95" hidden="1" customHeight="1" x14ac:dyDescent="0.75">
      <c r="A105" s="32"/>
      <c r="B105" s="32"/>
      <c r="C105" s="70" t="s">
        <v>127</v>
      </c>
      <c r="D105" s="50"/>
      <c r="E105" s="53"/>
      <c r="F105" s="49"/>
      <c r="G105" s="49"/>
      <c r="H105" s="49"/>
      <c r="I105" s="49"/>
      <c r="J105" s="49"/>
      <c r="K105" s="38" t="str">
        <f t="shared" si="2"/>
        <v>-</v>
      </c>
    </row>
    <row r="106" spans="1:11" s="10" customFormat="1" ht="24.95" hidden="1" customHeight="1" x14ac:dyDescent="0.75">
      <c r="A106" s="32"/>
      <c r="B106" s="32"/>
      <c r="C106" s="70" t="s">
        <v>47</v>
      </c>
      <c r="D106" s="50"/>
      <c r="E106" s="51"/>
      <c r="F106" s="49"/>
      <c r="G106" s="49"/>
      <c r="H106" s="49"/>
      <c r="I106" s="49"/>
      <c r="J106" s="49"/>
      <c r="K106" s="38" t="str">
        <f t="shared" si="2"/>
        <v>-</v>
      </c>
    </row>
    <row r="107" spans="1:11" s="10" customFormat="1" ht="24.95" hidden="1" customHeight="1" x14ac:dyDescent="0.75">
      <c r="A107" s="32"/>
      <c r="B107" s="32"/>
      <c r="C107" s="70" t="s">
        <v>48</v>
      </c>
      <c r="D107" s="50"/>
      <c r="E107" s="53"/>
      <c r="F107" s="49"/>
      <c r="G107" s="49"/>
      <c r="H107" s="49"/>
      <c r="I107" s="49"/>
      <c r="J107" s="49"/>
      <c r="K107" s="38" t="str">
        <f t="shared" si="2"/>
        <v>-</v>
      </c>
    </row>
    <row r="108" spans="1:11" s="10" customFormat="1" ht="24.95" hidden="1" customHeight="1" x14ac:dyDescent="0.75">
      <c r="A108" s="32"/>
      <c r="B108" s="32"/>
      <c r="C108" s="70" t="s">
        <v>49</v>
      </c>
      <c r="D108" s="50"/>
      <c r="E108" s="51"/>
      <c r="F108" s="49"/>
      <c r="G108" s="49"/>
      <c r="H108" s="49"/>
      <c r="I108" s="49"/>
      <c r="J108" s="49"/>
      <c r="K108" s="38" t="str">
        <f t="shared" si="2"/>
        <v>-</v>
      </c>
    </row>
    <row r="109" spans="1:11" s="10" customFormat="1" ht="24.95" hidden="1" customHeight="1" x14ac:dyDescent="0.75">
      <c r="A109" s="32"/>
      <c r="B109" s="32"/>
      <c r="C109" s="70" t="s">
        <v>38</v>
      </c>
      <c r="D109" s="58"/>
      <c r="E109" s="59"/>
      <c r="F109" s="49"/>
      <c r="G109" s="49"/>
      <c r="H109" s="49"/>
      <c r="I109" s="49"/>
      <c r="J109" s="49"/>
      <c r="K109" s="38" t="str">
        <f t="shared" si="2"/>
        <v>-</v>
      </c>
    </row>
    <row r="110" spans="1:11" s="10" customFormat="1" ht="29.25" hidden="1" customHeight="1" x14ac:dyDescent="0.75">
      <c r="A110" s="32"/>
      <c r="B110" s="60" t="str">
        <f>$B$15&amp;"14"</f>
        <v>1010114</v>
      </c>
      <c r="C110" s="61" t="str">
        <f>VLOOKUP($B110,[1]Prog!$B$14:$C$209,2)</f>
        <v xml:space="preserve">១.‌១.៦.៤.សកម្មភាពទី៤៖ ការតាមដាន និងវាយតម្លៃ ការវិនិយោគសាធារណៈ </v>
      </c>
      <c r="D110" s="62"/>
      <c r="E110" s="63" t="e">
        <f>SUMIF([1]PB8!$E$10:$T$10,$B110,[1]PB8!$E$15:$T$15)</f>
        <v>#VALUE!</v>
      </c>
      <c r="F110" s="64"/>
      <c r="G110" s="64"/>
      <c r="H110" s="64"/>
      <c r="I110" s="64"/>
      <c r="J110" s="64"/>
      <c r="K110" s="38" t="e">
        <f t="shared" si="2"/>
        <v>#VALUE!</v>
      </c>
    </row>
    <row r="111" spans="1:11" s="10" customFormat="1" ht="24.95" hidden="1" customHeight="1" x14ac:dyDescent="0.75">
      <c r="A111" s="32"/>
      <c r="B111" s="32"/>
      <c r="C111" s="70" t="s">
        <v>126</v>
      </c>
      <c r="D111" s="66"/>
      <c r="E111" s="67"/>
      <c r="F111" s="49"/>
      <c r="G111" s="49"/>
      <c r="H111" s="49"/>
      <c r="I111" s="49"/>
      <c r="J111" s="49"/>
      <c r="K111" s="38" t="str">
        <f t="shared" si="2"/>
        <v>-</v>
      </c>
    </row>
    <row r="112" spans="1:11" s="10" customFormat="1" ht="24.95" hidden="1" customHeight="1" x14ac:dyDescent="0.75">
      <c r="A112" s="32"/>
      <c r="B112" s="32"/>
      <c r="C112" s="70" t="s">
        <v>127</v>
      </c>
      <c r="D112" s="50"/>
      <c r="E112" s="53"/>
      <c r="F112" s="49"/>
      <c r="G112" s="49"/>
      <c r="H112" s="49"/>
      <c r="I112" s="49"/>
      <c r="J112" s="49"/>
      <c r="K112" s="38" t="str">
        <f t="shared" si="2"/>
        <v>-</v>
      </c>
    </row>
    <row r="113" spans="1:11" s="10" customFormat="1" ht="24.95" hidden="1" customHeight="1" x14ac:dyDescent="0.75">
      <c r="A113" s="32"/>
      <c r="B113" s="32"/>
      <c r="C113" s="70" t="s">
        <v>47</v>
      </c>
      <c r="D113" s="50"/>
      <c r="E113" s="51"/>
      <c r="F113" s="49"/>
      <c r="G113" s="49"/>
      <c r="H113" s="49"/>
      <c r="I113" s="49"/>
      <c r="J113" s="49"/>
      <c r="K113" s="38" t="str">
        <f t="shared" si="2"/>
        <v>-</v>
      </c>
    </row>
    <row r="114" spans="1:11" s="10" customFormat="1" ht="24.95" hidden="1" customHeight="1" x14ac:dyDescent="0.75">
      <c r="A114" s="32"/>
      <c r="B114" s="32"/>
      <c r="C114" s="70" t="s">
        <v>48</v>
      </c>
      <c r="D114" s="50"/>
      <c r="E114" s="53"/>
      <c r="F114" s="49"/>
      <c r="G114" s="49"/>
      <c r="H114" s="49"/>
      <c r="I114" s="49"/>
      <c r="J114" s="49"/>
      <c r="K114" s="38" t="str">
        <f t="shared" si="2"/>
        <v>-</v>
      </c>
    </row>
    <row r="115" spans="1:11" s="10" customFormat="1" ht="24.95" hidden="1" customHeight="1" x14ac:dyDescent="0.75">
      <c r="A115" s="32"/>
      <c r="B115" s="32"/>
      <c r="C115" s="70" t="s">
        <v>49</v>
      </c>
      <c r="D115" s="50"/>
      <c r="E115" s="51"/>
      <c r="F115" s="49"/>
      <c r="G115" s="49"/>
      <c r="H115" s="49"/>
      <c r="I115" s="49"/>
      <c r="J115" s="49"/>
      <c r="K115" s="38" t="str">
        <f t="shared" si="2"/>
        <v>-</v>
      </c>
    </row>
    <row r="116" spans="1:11" s="10" customFormat="1" ht="24.95" hidden="1" customHeight="1" x14ac:dyDescent="0.75">
      <c r="A116" s="32"/>
      <c r="B116" s="32"/>
      <c r="C116" s="70" t="s">
        <v>38</v>
      </c>
      <c r="D116" s="58"/>
      <c r="E116" s="59"/>
      <c r="F116" s="49"/>
      <c r="G116" s="49"/>
      <c r="H116" s="49"/>
      <c r="I116" s="49"/>
      <c r="J116" s="49"/>
      <c r="K116" s="38" t="str">
        <f t="shared" si="2"/>
        <v>-</v>
      </c>
    </row>
    <row r="117" spans="1:11" s="10" customFormat="1" ht="29.25" hidden="1" customHeight="1" x14ac:dyDescent="0.75">
      <c r="A117" s="32"/>
      <c r="B117" s="60" t="str">
        <f>$B$15&amp;"15"</f>
        <v>1010115</v>
      </c>
      <c r="C117" s="61" t="str">
        <f>VLOOKUP($B117,[1]Prog!$B$14:$C$209,2)</f>
        <v xml:space="preserve">១.‌១.៦.៤.សកម្មភាពទី៤៖ ការតាមដាន និងវាយតម្លៃ ការវិនិយោគសាធារណៈ </v>
      </c>
      <c r="D117" s="62"/>
      <c r="E117" s="63" t="e">
        <f>SUMIF([1]PB8!$E$10:$T$10,$B117,[1]PB8!$E$15:$T$15)</f>
        <v>#VALUE!</v>
      </c>
      <c r="F117" s="64"/>
      <c r="G117" s="64"/>
      <c r="H117" s="64"/>
      <c r="I117" s="64"/>
      <c r="J117" s="64"/>
      <c r="K117" s="38" t="e">
        <f t="shared" si="2"/>
        <v>#VALUE!</v>
      </c>
    </row>
    <row r="118" spans="1:11" s="10" customFormat="1" ht="24.95" hidden="1" customHeight="1" x14ac:dyDescent="0.75">
      <c r="A118" s="32"/>
      <c r="B118" s="32"/>
      <c r="C118" s="70" t="s">
        <v>126</v>
      </c>
      <c r="D118" s="66"/>
      <c r="E118" s="67"/>
      <c r="F118" s="49"/>
      <c r="G118" s="49"/>
      <c r="H118" s="49"/>
      <c r="I118" s="49"/>
      <c r="J118" s="49"/>
      <c r="K118" s="38" t="str">
        <f t="shared" si="2"/>
        <v>-</v>
      </c>
    </row>
    <row r="119" spans="1:11" s="10" customFormat="1" ht="24.95" hidden="1" customHeight="1" x14ac:dyDescent="0.75">
      <c r="A119" s="32"/>
      <c r="B119" s="32"/>
      <c r="C119" s="70" t="s">
        <v>127</v>
      </c>
      <c r="D119" s="50"/>
      <c r="E119" s="53"/>
      <c r="F119" s="49"/>
      <c r="G119" s="49"/>
      <c r="H119" s="49"/>
      <c r="I119" s="49"/>
      <c r="J119" s="49"/>
      <c r="K119" s="38" t="str">
        <f t="shared" si="2"/>
        <v>-</v>
      </c>
    </row>
    <row r="120" spans="1:11" s="10" customFormat="1" ht="24.95" hidden="1" customHeight="1" x14ac:dyDescent="0.75">
      <c r="A120" s="32"/>
      <c r="B120" s="32"/>
      <c r="C120" s="70" t="s">
        <v>47</v>
      </c>
      <c r="D120" s="50"/>
      <c r="E120" s="51"/>
      <c r="F120" s="49"/>
      <c r="G120" s="49"/>
      <c r="H120" s="49"/>
      <c r="I120" s="49"/>
      <c r="J120" s="49"/>
      <c r="K120" s="38" t="str">
        <f t="shared" si="2"/>
        <v>-</v>
      </c>
    </row>
    <row r="121" spans="1:11" s="10" customFormat="1" ht="24.95" hidden="1" customHeight="1" x14ac:dyDescent="0.75">
      <c r="A121" s="32"/>
      <c r="B121" s="32"/>
      <c r="C121" s="70" t="s">
        <v>48</v>
      </c>
      <c r="D121" s="50"/>
      <c r="E121" s="53"/>
      <c r="F121" s="49"/>
      <c r="G121" s="49"/>
      <c r="H121" s="49"/>
      <c r="I121" s="49"/>
      <c r="J121" s="49"/>
      <c r="K121" s="38" t="str">
        <f t="shared" si="2"/>
        <v>-</v>
      </c>
    </row>
    <row r="122" spans="1:11" s="10" customFormat="1" ht="24.95" hidden="1" customHeight="1" x14ac:dyDescent="0.75">
      <c r="A122" s="32"/>
      <c r="B122" s="32"/>
      <c r="C122" s="70" t="s">
        <v>49</v>
      </c>
      <c r="D122" s="50"/>
      <c r="E122" s="51"/>
      <c r="F122" s="49"/>
      <c r="G122" s="49"/>
      <c r="H122" s="49"/>
      <c r="I122" s="49"/>
      <c r="J122" s="49"/>
      <c r="K122" s="38" t="str">
        <f t="shared" si="2"/>
        <v>-</v>
      </c>
    </row>
    <row r="123" spans="1:11" s="10" customFormat="1" ht="24.95" hidden="1" customHeight="1" x14ac:dyDescent="0.75">
      <c r="A123" s="32"/>
      <c r="B123" s="32"/>
      <c r="C123" s="119" t="s">
        <v>38</v>
      </c>
      <c r="D123" s="120"/>
      <c r="E123" s="121"/>
      <c r="F123" s="122"/>
      <c r="G123" s="122"/>
      <c r="H123" s="122"/>
      <c r="I123" s="122"/>
      <c r="J123" s="122"/>
      <c r="K123" s="38" t="str">
        <f t="shared" si="2"/>
        <v>-</v>
      </c>
    </row>
    <row r="124" spans="1:11" ht="15.65" customHeight="1" x14ac:dyDescent="0.75">
      <c r="C124" s="123"/>
      <c r="D124" s="123"/>
      <c r="E124" s="123"/>
      <c r="F124" s="123"/>
      <c r="G124" s="123"/>
      <c r="H124" s="123"/>
      <c r="I124" s="123"/>
      <c r="J124" s="123"/>
    </row>
    <row r="125" spans="1:11" ht="15.65" customHeight="1" x14ac:dyDescent="0.75"/>
    <row r="126" spans="1:11" ht="15.65" customHeight="1" x14ac:dyDescent="0.75"/>
    <row r="127" spans="1:11" ht="15.65" customHeight="1" x14ac:dyDescent="0.75"/>
    <row r="128" spans="1:11" ht="15.65" customHeight="1" x14ac:dyDescent="0.75"/>
    <row r="129" spans="3:12" s="1" customFormat="1" ht="15.65" customHeight="1" x14ac:dyDescent="0.75">
      <c r="C129"/>
      <c r="D129"/>
      <c r="E129"/>
      <c r="F129"/>
      <c r="G129"/>
      <c r="H129"/>
      <c r="I129"/>
      <c r="J129"/>
      <c r="K129"/>
      <c r="L129"/>
    </row>
    <row r="130" spans="3:12" s="1" customFormat="1" ht="15.65" customHeight="1" x14ac:dyDescent="0.75">
      <c r="C130"/>
      <c r="D130"/>
      <c r="E130"/>
      <c r="F130"/>
      <c r="G130"/>
      <c r="H130"/>
      <c r="I130"/>
      <c r="J130"/>
      <c r="K130"/>
      <c r="L130"/>
    </row>
    <row r="131" spans="3:12" s="1" customFormat="1" ht="15.65" customHeight="1" x14ac:dyDescent="0.75">
      <c r="C131"/>
      <c r="D131"/>
      <c r="E131"/>
      <c r="F131"/>
      <c r="G131"/>
      <c r="H131"/>
      <c r="I131"/>
      <c r="J131"/>
      <c r="K131"/>
      <c r="L131"/>
    </row>
    <row r="132" spans="3:12" s="1" customFormat="1" ht="15.65" customHeight="1" x14ac:dyDescent="0.75">
      <c r="C132"/>
      <c r="D132"/>
      <c r="E132"/>
      <c r="F132"/>
      <c r="G132"/>
      <c r="H132"/>
      <c r="I132"/>
      <c r="J132"/>
      <c r="K132"/>
      <c r="L132"/>
    </row>
    <row r="133" spans="3:12" s="1" customFormat="1" ht="15.65" customHeight="1" x14ac:dyDescent="0.75">
      <c r="C133"/>
      <c r="D133"/>
      <c r="E133"/>
      <c r="F133"/>
      <c r="G133"/>
      <c r="H133"/>
      <c r="I133"/>
      <c r="J133"/>
      <c r="K133"/>
      <c r="L133"/>
    </row>
  </sheetData>
  <autoFilter ref="K13:K14" xr:uid="{00000000-0009-0000-0000-00000B000000}"/>
  <mergeCells count="12">
    <mergeCell ref="C37:C40"/>
    <mergeCell ref="C43:C46"/>
    <mergeCell ref="C49:C50"/>
    <mergeCell ref="C58:C59"/>
    <mergeCell ref="C12:C14"/>
    <mergeCell ref="D12:D14"/>
    <mergeCell ref="E12:E14"/>
    <mergeCell ref="F12:J12"/>
    <mergeCell ref="F13:F14"/>
    <mergeCell ref="G13:G14"/>
    <mergeCell ref="H13:H14"/>
    <mergeCell ref="I13:J13"/>
  </mergeCells>
  <printOptions horizontalCentered="1"/>
  <pageMargins left="0.23622047244094491" right="0.23622047244094491" top="0.23622047244094491" bottom="0.39370078740157483" header="0.15748031496062992" footer="0.15748031496062992"/>
  <pageSetup paperSize="8" scale="64" fitToHeight="0" orientation="landscape" r:id="rId1"/>
  <headerFooter>
    <oddFooter>&amp;C&amp;"Khmer MEF1,Regular"&amp;10ទំព័រ&amp;"Limon S1,Normal"&amp;20 &amp;P&amp;"-,Regular"&amp;11 &amp;"Khmer MEF1,Regular"&amp;10នៃ&amp;"-,Regular"&amp;11 &amp;"Limon S1,Normal"&amp;20&amp;N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PB5-PI</vt:lpstr>
      <vt:lpstr>'PB5-PI'!Print_Area</vt:lpstr>
      <vt:lpstr>'PB5-PI'!Print_Titles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sineth sim</dc:creator>
  <cp:lastModifiedBy>sineth sim</cp:lastModifiedBy>
  <dcterms:created xsi:type="dcterms:W3CDTF">2024-02-05T02:39:28Z</dcterms:created>
  <dcterms:modified xsi:type="dcterms:W3CDTF">2024-02-05T02:40:01Z</dcterms:modified>
</cp:coreProperties>
</file>
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\MEF-BPO\public\download\IncomeExpensePro\"/>
    </mc:Choice>
  </mc:AlternateContent>
  <xr:revisionPtr revIDLastSave="0" documentId="13_ncr:1_{D2602ABA-09FD-42B8-A898-36AD3CEC978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PB1-Rev" sheetId="2" r:id="rId1"/>
    <sheet name="PB2-Exp" sheetId="3" r:id="rId2"/>
    <sheet name="Sheet1" sheetId="1" r:id="rId3"/>
  </sheets>
  <externalReferences>
    <externalReference r:id="rId4"/>
    <externalReference r:id="rId5"/>
    <externalReference r:id="rId6"/>
  </externalReferences>
  <definedNames>
    <definedName name="_xlnm._FilterDatabase" localSheetId="0" hidden="1">'PB1-Rev'!$Q$12:$Q$329</definedName>
    <definedName name="_xlnm._FilterDatabase" localSheetId="1" hidden="1">'PB2-Exp'!$U$12:$U$14</definedName>
    <definedName name="condition">[2]Data!$B:$C</definedName>
    <definedName name="Monthdata">[3]!Month_Table[Monthlist]</definedName>
    <definedName name="_xlnm.Print_Area" localSheetId="0">'PB1-Rev'!$A$1:$P$340</definedName>
    <definedName name="_xlnm.Print_Area" localSheetId="1">'PB2-Exp'!$A$1:$T$472</definedName>
    <definedName name="_xlnm.Print_Titles" localSheetId="0">'PB1-Rev'!$12:$14</definedName>
    <definedName name="_xlnm.Print_Titles" localSheetId="1">'PB2-Exp'!$12:$14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61" i="3" l="1"/>
  <c r="R461" i="3"/>
  <c r="P461" i="3"/>
  <c r="O461" i="3"/>
  <c r="M461" i="3"/>
  <c r="L461" i="3"/>
  <c r="S460" i="3"/>
  <c r="R460" i="3"/>
  <c r="Q460" i="3"/>
  <c r="P460" i="3"/>
  <c r="N460" i="3"/>
  <c r="O460" i="3" s="1"/>
  <c r="M460" i="3"/>
  <c r="K460" i="3"/>
  <c r="J460" i="3"/>
  <c r="I460" i="3"/>
  <c r="H460" i="3"/>
  <c r="G460" i="3"/>
  <c r="F460" i="3"/>
  <c r="U460" i="3" s="1"/>
  <c r="E460" i="3"/>
  <c r="S459" i="3"/>
  <c r="P459" i="3"/>
  <c r="N459" i="3"/>
  <c r="Q459" i="3" s="1"/>
  <c r="M459" i="3"/>
  <c r="L459" i="3"/>
  <c r="K459" i="3"/>
  <c r="U458" i="3"/>
  <c r="S458" i="3"/>
  <c r="R458" i="3"/>
  <c r="Q458" i="3"/>
  <c r="P458" i="3"/>
  <c r="O458" i="3"/>
  <c r="N458" i="3"/>
  <c r="M458" i="3"/>
  <c r="L458" i="3"/>
  <c r="K458" i="3"/>
  <c r="S457" i="3"/>
  <c r="O457" i="3"/>
  <c r="N457" i="3"/>
  <c r="P457" i="3" s="1"/>
  <c r="K457" i="3"/>
  <c r="M457" i="3" s="1"/>
  <c r="J457" i="3"/>
  <c r="I457" i="3"/>
  <c r="H457" i="3"/>
  <c r="G457" i="3"/>
  <c r="F457" i="3"/>
  <c r="U457" i="3" s="1"/>
  <c r="E457" i="3"/>
  <c r="S456" i="3"/>
  <c r="O456" i="3"/>
  <c r="N456" i="3"/>
  <c r="U456" i="3" s="1"/>
  <c r="M456" i="3"/>
  <c r="L456" i="3"/>
  <c r="K456" i="3"/>
  <c r="U455" i="3"/>
  <c r="S455" i="3"/>
  <c r="Q455" i="3"/>
  <c r="R455" i="3" s="1"/>
  <c r="P455" i="3"/>
  <c r="O455" i="3"/>
  <c r="N455" i="3"/>
  <c r="L455" i="3"/>
  <c r="K455" i="3"/>
  <c r="M455" i="3" s="1"/>
  <c r="S454" i="3"/>
  <c r="S452" i="3" s="1"/>
  <c r="S451" i="3" s="1"/>
  <c r="P454" i="3"/>
  <c r="N454" i="3"/>
  <c r="Q454" i="3" s="1"/>
  <c r="K454" i="3"/>
  <c r="U453" i="3"/>
  <c r="S453" i="3"/>
  <c r="R453" i="3"/>
  <c r="Q453" i="3"/>
  <c r="P453" i="3"/>
  <c r="O453" i="3"/>
  <c r="N453" i="3"/>
  <c r="M453" i="3"/>
  <c r="L453" i="3"/>
  <c r="K453" i="3"/>
  <c r="N452" i="3"/>
  <c r="P452" i="3" s="1"/>
  <c r="J452" i="3"/>
  <c r="I452" i="3"/>
  <c r="H452" i="3"/>
  <c r="G452" i="3"/>
  <c r="F452" i="3"/>
  <c r="E452" i="3"/>
  <c r="N451" i="3"/>
  <c r="P451" i="3" s="1"/>
  <c r="J451" i="3"/>
  <c r="I451" i="3"/>
  <c r="H451" i="3"/>
  <c r="G451" i="3"/>
  <c r="E451" i="3"/>
  <c r="S450" i="3"/>
  <c r="O450" i="3"/>
  <c r="N450" i="3"/>
  <c r="M450" i="3"/>
  <c r="L450" i="3"/>
  <c r="K450" i="3"/>
  <c r="U449" i="3"/>
  <c r="S449" i="3"/>
  <c r="Q449" i="3"/>
  <c r="R449" i="3" s="1"/>
  <c r="P449" i="3"/>
  <c r="O449" i="3"/>
  <c r="N449" i="3"/>
  <c r="L449" i="3"/>
  <c r="K449" i="3"/>
  <c r="M449" i="3" s="1"/>
  <c r="S448" i="3"/>
  <c r="S447" i="3" s="1"/>
  <c r="S442" i="3" s="1"/>
  <c r="R448" i="3"/>
  <c r="P448" i="3"/>
  <c r="N448" i="3"/>
  <c r="Q448" i="3" s="1"/>
  <c r="K448" i="3"/>
  <c r="J447" i="3"/>
  <c r="I447" i="3"/>
  <c r="H447" i="3"/>
  <c r="G447" i="3"/>
  <c r="G442" i="3" s="1"/>
  <c r="F447" i="3"/>
  <c r="E447" i="3"/>
  <c r="E442" i="3" s="1"/>
  <c r="U446" i="3"/>
  <c r="S446" i="3"/>
  <c r="R446" i="3"/>
  <c r="Q446" i="3"/>
  <c r="P446" i="3"/>
  <c r="O446" i="3"/>
  <c r="N446" i="3"/>
  <c r="M446" i="3"/>
  <c r="L446" i="3"/>
  <c r="K446" i="3"/>
  <c r="S445" i="3"/>
  <c r="O445" i="3"/>
  <c r="N445" i="3"/>
  <c r="M445" i="3"/>
  <c r="L445" i="3"/>
  <c r="K445" i="3"/>
  <c r="S444" i="3"/>
  <c r="Q444" i="3"/>
  <c r="P444" i="3"/>
  <c r="N444" i="3"/>
  <c r="O444" i="3" s="1"/>
  <c r="L444" i="3"/>
  <c r="K444" i="3"/>
  <c r="M444" i="3" s="1"/>
  <c r="S443" i="3"/>
  <c r="K443" i="3"/>
  <c r="J443" i="3"/>
  <c r="J442" i="3" s="1"/>
  <c r="I443" i="3"/>
  <c r="H443" i="3"/>
  <c r="G443" i="3"/>
  <c r="F443" i="3"/>
  <c r="E443" i="3"/>
  <c r="I442" i="3"/>
  <c r="H442" i="3"/>
  <c r="F442" i="3"/>
  <c r="S441" i="3"/>
  <c r="S437" i="3" s="1"/>
  <c r="P441" i="3"/>
  <c r="N441" i="3"/>
  <c r="Q441" i="3" s="1"/>
  <c r="R441" i="3" s="1"/>
  <c r="K441" i="3"/>
  <c r="U440" i="3"/>
  <c r="S440" i="3"/>
  <c r="R440" i="3"/>
  <c r="Q440" i="3"/>
  <c r="P440" i="3"/>
  <c r="O440" i="3"/>
  <c r="N440" i="3"/>
  <c r="M440" i="3"/>
  <c r="L440" i="3"/>
  <c r="K440" i="3"/>
  <c r="S439" i="3"/>
  <c r="N439" i="3"/>
  <c r="U439" i="3" s="1"/>
  <c r="M439" i="3"/>
  <c r="L439" i="3"/>
  <c r="K439" i="3"/>
  <c r="S438" i="3"/>
  <c r="Q438" i="3"/>
  <c r="P438" i="3"/>
  <c r="N438" i="3"/>
  <c r="L438" i="3"/>
  <c r="K438" i="3"/>
  <c r="M438" i="3" s="1"/>
  <c r="K437" i="3"/>
  <c r="J437" i="3"/>
  <c r="I437" i="3"/>
  <c r="H437" i="3"/>
  <c r="G437" i="3"/>
  <c r="F437" i="3"/>
  <c r="E437" i="3"/>
  <c r="S436" i="3"/>
  <c r="R436" i="3"/>
  <c r="P436" i="3"/>
  <c r="N436" i="3"/>
  <c r="Q436" i="3" s="1"/>
  <c r="K436" i="3"/>
  <c r="U435" i="3"/>
  <c r="S435" i="3"/>
  <c r="R435" i="3"/>
  <c r="Q435" i="3"/>
  <c r="P435" i="3"/>
  <c r="O435" i="3"/>
  <c r="N435" i="3"/>
  <c r="M435" i="3"/>
  <c r="L435" i="3"/>
  <c r="K435" i="3"/>
  <c r="S434" i="3"/>
  <c r="N434" i="3"/>
  <c r="M434" i="3"/>
  <c r="L434" i="3"/>
  <c r="K434" i="3"/>
  <c r="S433" i="3"/>
  <c r="N433" i="3"/>
  <c r="L433" i="3"/>
  <c r="K433" i="3"/>
  <c r="M433" i="3" s="1"/>
  <c r="S432" i="3"/>
  <c r="S428" i="3" s="1"/>
  <c r="R432" i="3"/>
  <c r="P432" i="3"/>
  <c r="N432" i="3"/>
  <c r="Q432" i="3" s="1"/>
  <c r="K432" i="3"/>
  <c r="U431" i="3"/>
  <c r="S431" i="3"/>
  <c r="R431" i="3"/>
  <c r="Q431" i="3"/>
  <c r="P431" i="3"/>
  <c r="O431" i="3"/>
  <c r="N431" i="3"/>
  <c r="M431" i="3"/>
  <c r="L431" i="3"/>
  <c r="K431" i="3"/>
  <c r="U430" i="3"/>
  <c r="S430" i="3"/>
  <c r="O430" i="3"/>
  <c r="N430" i="3"/>
  <c r="M430" i="3"/>
  <c r="L430" i="3"/>
  <c r="K430" i="3"/>
  <c r="S429" i="3"/>
  <c r="P429" i="3"/>
  <c r="N429" i="3"/>
  <c r="L429" i="3"/>
  <c r="K429" i="3"/>
  <c r="M429" i="3" s="1"/>
  <c r="J428" i="3"/>
  <c r="I428" i="3"/>
  <c r="H428" i="3"/>
  <c r="G428" i="3"/>
  <c r="F428" i="3"/>
  <c r="E428" i="3"/>
  <c r="S427" i="3"/>
  <c r="S424" i="3" s="1"/>
  <c r="P427" i="3"/>
  <c r="N427" i="3"/>
  <c r="Q427" i="3" s="1"/>
  <c r="R427" i="3" s="1"/>
  <c r="K427" i="3"/>
  <c r="U426" i="3"/>
  <c r="S426" i="3"/>
  <c r="R426" i="3"/>
  <c r="Q426" i="3"/>
  <c r="P426" i="3"/>
  <c r="O426" i="3"/>
  <c r="N426" i="3"/>
  <c r="M426" i="3"/>
  <c r="L426" i="3"/>
  <c r="K426" i="3"/>
  <c r="S425" i="3"/>
  <c r="N425" i="3"/>
  <c r="M425" i="3"/>
  <c r="L425" i="3"/>
  <c r="K425" i="3"/>
  <c r="J424" i="3"/>
  <c r="I424" i="3"/>
  <c r="H424" i="3"/>
  <c r="G424" i="3"/>
  <c r="F424" i="3"/>
  <c r="E424" i="3"/>
  <c r="S423" i="3"/>
  <c r="Q423" i="3"/>
  <c r="R423" i="3" s="1"/>
  <c r="N423" i="3"/>
  <c r="L423" i="3"/>
  <c r="K423" i="3"/>
  <c r="M423" i="3" s="1"/>
  <c r="S422" i="3"/>
  <c r="S420" i="3" s="1"/>
  <c r="P422" i="3"/>
  <c r="N422" i="3"/>
  <c r="Q422" i="3" s="1"/>
  <c r="K422" i="3"/>
  <c r="U421" i="3"/>
  <c r="S421" i="3"/>
  <c r="R421" i="3"/>
  <c r="Q421" i="3"/>
  <c r="P421" i="3"/>
  <c r="O421" i="3"/>
  <c r="N421" i="3"/>
  <c r="M421" i="3"/>
  <c r="L421" i="3"/>
  <c r="K421" i="3"/>
  <c r="J420" i="3"/>
  <c r="I420" i="3"/>
  <c r="H420" i="3"/>
  <c r="G420" i="3"/>
  <c r="G416" i="3" s="1"/>
  <c r="F420" i="3"/>
  <c r="E420" i="3"/>
  <c r="S419" i="3"/>
  <c r="O419" i="3"/>
  <c r="N419" i="3"/>
  <c r="U419" i="3" s="1"/>
  <c r="M419" i="3"/>
  <c r="L419" i="3"/>
  <c r="K419" i="3"/>
  <c r="S418" i="3"/>
  <c r="P418" i="3"/>
  <c r="N418" i="3"/>
  <c r="L418" i="3"/>
  <c r="K418" i="3"/>
  <c r="M418" i="3" s="1"/>
  <c r="S417" i="3"/>
  <c r="K417" i="3"/>
  <c r="J417" i="3"/>
  <c r="I417" i="3"/>
  <c r="H417" i="3"/>
  <c r="G417" i="3"/>
  <c r="F417" i="3"/>
  <c r="E417" i="3"/>
  <c r="H416" i="3"/>
  <c r="E416" i="3"/>
  <c r="S415" i="3"/>
  <c r="S413" i="3" s="1"/>
  <c r="S412" i="3" s="1"/>
  <c r="P415" i="3"/>
  <c r="N415" i="3"/>
  <c r="Q415" i="3" s="1"/>
  <c r="K415" i="3"/>
  <c r="U414" i="3"/>
  <c r="S414" i="3"/>
  <c r="R414" i="3"/>
  <c r="Q414" i="3"/>
  <c r="P414" i="3"/>
  <c r="O414" i="3"/>
  <c r="N414" i="3"/>
  <c r="M414" i="3"/>
  <c r="L414" i="3"/>
  <c r="K414" i="3"/>
  <c r="U413" i="3"/>
  <c r="N413" i="3"/>
  <c r="P413" i="3" s="1"/>
  <c r="J413" i="3"/>
  <c r="J412" i="3" s="1"/>
  <c r="I413" i="3"/>
  <c r="H413" i="3"/>
  <c r="G413" i="3"/>
  <c r="G412" i="3" s="1"/>
  <c r="F413" i="3"/>
  <c r="F412" i="3" s="1"/>
  <c r="E413" i="3"/>
  <c r="O412" i="3"/>
  <c r="N412" i="3"/>
  <c r="P412" i="3" s="1"/>
  <c r="I412" i="3"/>
  <c r="H412" i="3"/>
  <c r="E412" i="3"/>
  <c r="U411" i="3"/>
  <c r="S411" i="3"/>
  <c r="O411" i="3"/>
  <c r="N411" i="3"/>
  <c r="M411" i="3"/>
  <c r="L411" i="3"/>
  <c r="K411" i="3"/>
  <c r="U410" i="3"/>
  <c r="S410" i="3"/>
  <c r="Q410" i="3"/>
  <c r="R410" i="3" s="1"/>
  <c r="P410" i="3"/>
  <c r="N410" i="3"/>
  <c r="O410" i="3" s="1"/>
  <c r="L410" i="3"/>
  <c r="K410" i="3"/>
  <c r="M410" i="3" s="1"/>
  <c r="S409" i="3"/>
  <c r="P409" i="3"/>
  <c r="N409" i="3"/>
  <c r="K409" i="3"/>
  <c r="U408" i="3"/>
  <c r="S408" i="3"/>
  <c r="R408" i="3"/>
  <c r="Q408" i="3"/>
  <c r="P408" i="3"/>
  <c r="O408" i="3"/>
  <c r="N408" i="3"/>
  <c r="M408" i="3"/>
  <c r="L408" i="3"/>
  <c r="K408" i="3"/>
  <c r="S407" i="3"/>
  <c r="O407" i="3"/>
  <c r="N407" i="3"/>
  <c r="M407" i="3"/>
  <c r="L407" i="3"/>
  <c r="K407" i="3"/>
  <c r="S406" i="3"/>
  <c r="N406" i="3"/>
  <c r="L406" i="3"/>
  <c r="K406" i="3"/>
  <c r="M406" i="3" s="1"/>
  <c r="S405" i="3"/>
  <c r="P405" i="3"/>
  <c r="N405" i="3"/>
  <c r="K405" i="3"/>
  <c r="U404" i="3"/>
  <c r="S404" i="3"/>
  <c r="R404" i="3"/>
  <c r="Q404" i="3"/>
  <c r="P404" i="3"/>
  <c r="O404" i="3"/>
  <c r="N404" i="3"/>
  <c r="M404" i="3"/>
  <c r="L404" i="3"/>
  <c r="K404" i="3"/>
  <c r="J403" i="3"/>
  <c r="I403" i="3"/>
  <c r="H403" i="3"/>
  <c r="G403" i="3"/>
  <c r="F403" i="3"/>
  <c r="E403" i="3"/>
  <c r="U402" i="3"/>
  <c r="S402" i="3"/>
  <c r="O402" i="3"/>
  <c r="N402" i="3"/>
  <c r="M402" i="3"/>
  <c r="L402" i="3"/>
  <c r="K402" i="3"/>
  <c r="U401" i="3"/>
  <c r="S401" i="3"/>
  <c r="Q401" i="3"/>
  <c r="R401" i="3" s="1"/>
  <c r="P401" i="3"/>
  <c r="N401" i="3"/>
  <c r="O401" i="3" s="1"/>
  <c r="K401" i="3"/>
  <c r="M401" i="3" s="1"/>
  <c r="S400" i="3"/>
  <c r="P400" i="3"/>
  <c r="N400" i="3"/>
  <c r="M400" i="3"/>
  <c r="K400" i="3"/>
  <c r="U399" i="3"/>
  <c r="S399" i="3"/>
  <c r="R399" i="3"/>
  <c r="Q399" i="3"/>
  <c r="P399" i="3"/>
  <c r="O399" i="3"/>
  <c r="N399" i="3"/>
  <c r="M399" i="3"/>
  <c r="L399" i="3"/>
  <c r="K399" i="3"/>
  <c r="S398" i="3"/>
  <c r="N398" i="3"/>
  <c r="M398" i="3"/>
  <c r="L398" i="3"/>
  <c r="K398" i="3"/>
  <c r="S397" i="3"/>
  <c r="N397" i="3"/>
  <c r="J397" i="3"/>
  <c r="I397" i="3"/>
  <c r="H397" i="3"/>
  <c r="G397" i="3"/>
  <c r="F397" i="3"/>
  <c r="U397" i="3" s="1"/>
  <c r="E397" i="3"/>
  <c r="S396" i="3"/>
  <c r="P396" i="3"/>
  <c r="N396" i="3"/>
  <c r="K396" i="3"/>
  <c r="M396" i="3" s="1"/>
  <c r="S395" i="3"/>
  <c r="M395" i="3"/>
  <c r="K395" i="3"/>
  <c r="L395" i="3" s="1"/>
  <c r="J395" i="3"/>
  <c r="I395" i="3"/>
  <c r="H395" i="3"/>
  <c r="G395" i="3"/>
  <c r="F395" i="3"/>
  <c r="E395" i="3"/>
  <c r="S394" i="3"/>
  <c r="S390" i="3" s="1"/>
  <c r="N394" i="3"/>
  <c r="M394" i="3"/>
  <c r="K394" i="3"/>
  <c r="L394" i="3" s="1"/>
  <c r="U393" i="3"/>
  <c r="S393" i="3"/>
  <c r="R393" i="3"/>
  <c r="Q393" i="3"/>
  <c r="P393" i="3"/>
  <c r="O393" i="3"/>
  <c r="N393" i="3"/>
  <c r="M393" i="3"/>
  <c r="L393" i="3"/>
  <c r="K393" i="3"/>
  <c r="U392" i="3"/>
  <c r="S392" i="3"/>
  <c r="Q392" i="3"/>
  <c r="R392" i="3" s="1"/>
  <c r="O392" i="3"/>
  <c r="N392" i="3"/>
  <c r="P392" i="3" s="1"/>
  <c r="M392" i="3"/>
  <c r="L392" i="3"/>
  <c r="K392" i="3"/>
  <c r="U391" i="3"/>
  <c r="S391" i="3"/>
  <c r="Q391" i="3"/>
  <c r="P391" i="3"/>
  <c r="N391" i="3"/>
  <c r="O391" i="3" s="1"/>
  <c r="L391" i="3"/>
  <c r="K391" i="3"/>
  <c r="M391" i="3" s="1"/>
  <c r="N390" i="3"/>
  <c r="O390" i="3" s="1"/>
  <c r="K390" i="3"/>
  <c r="J390" i="3"/>
  <c r="I390" i="3"/>
  <c r="H390" i="3"/>
  <c r="M390" i="3" s="1"/>
  <c r="G390" i="3"/>
  <c r="F390" i="3"/>
  <c r="E390" i="3"/>
  <c r="E368" i="3" s="1"/>
  <c r="S389" i="3"/>
  <c r="P389" i="3"/>
  <c r="N389" i="3"/>
  <c r="K389" i="3"/>
  <c r="U388" i="3"/>
  <c r="S388" i="3"/>
  <c r="R388" i="3"/>
  <c r="Q388" i="3"/>
  <c r="P388" i="3"/>
  <c r="O388" i="3"/>
  <c r="N388" i="3"/>
  <c r="M388" i="3"/>
  <c r="L388" i="3"/>
  <c r="K388" i="3"/>
  <c r="U387" i="3"/>
  <c r="S387" i="3"/>
  <c r="N387" i="3"/>
  <c r="M387" i="3"/>
  <c r="L387" i="3"/>
  <c r="K387" i="3"/>
  <c r="S386" i="3"/>
  <c r="P386" i="3"/>
  <c r="N386" i="3"/>
  <c r="K386" i="3"/>
  <c r="M386" i="3" s="1"/>
  <c r="S385" i="3"/>
  <c r="P385" i="3"/>
  <c r="N385" i="3"/>
  <c r="K385" i="3"/>
  <c r="L385" i="3" s="1"/>
  <c r="U384" i="3"/>
  <c r="S384" i="3"/>
  <c r="R384" i="3"/>
  <c r="Q384" i="3"/>
  <c r="P384" i="3"/>
  <c r="O384" i="3"/>
  <c r="N384" i="3"/>
  <c r="M384" i="3"/>
  <c r="L384" i="3"/>
  <c r="K384" i="3"/>
  <c r="S383" i="3"/>
  <c r="O383" i="3"/>
  <c r="N383" i="3"/>
  <c r="U383" i="3" s="1"/>
  <c r="M383" i="3"/>
  <c r="L383" i="3"/>
  <c r="K383" i="3"/>
  <c r="S382" i="3"/>
  <c r="P382" i="3"/>
  <c r="N382" i="3"/>
  <c r="L382" i="3"/>
  <c r="K382" i="3"/>
  <c r="M382" i="3" s="1"/>
  <c r="S381" i="3"/>
  <c r="J381" i="3"/>
  <c r="I381" i="3"/>
  <c r="H381" i="3"/>
  <c r="G381" i="3"/>
  <c r="F381" i="3"/>
  <c r="E381" i="3"/>
  <c r="S380" i="3"/>
  <c r="S377" i="3" s="1"/>
  <c r="N380" i="3"/>
  <c r="M380" i="3"/>
  <c r="K380" i="3"/>
  <c r="L380" i="3" s="1"/>
  <c r="U379" i="3"/>
  <c r="S379" i="3"/>
  <c r="R379" i="3"/>
  <c r="Q379" i="3"/>
  <c r="P379" i="3"/>
  <c r="O379" i="3"/>
  <c r="N379" i="3"/>
  <c r="M379" i="3"/>
  <c r="L379" i="3"/>
  <c r="K379" i="3"/>
  <c r="U378" i="3"/>
  <c r="S378" i="3"/>
  <c r="Q378" i="3"/>
  <c r="R378" i="3" s="1"/>
  <c r="O378" i="3"/>
  <c r="N378" i="3"/>
  <c r="P378" i="3" s="1"/>
  <c r="M378" i="3"/>
  <c r="L378" i="3"/>
  <c r="K378" i="3"/>
  <c r="J377" i="3"/>
  <c r="I377" i="3"/>
  <c r="H377" i="3"/>
  <c r="H368" i="3" s="1"/>
  <c r="G377" i="3"/>
  <c r="F377" i="3"/>
  <c r="E377" i="3"/>
  <c r="S376" i="3"/>
  <c r="P376" i="3"/>
  <c r="N376" i="3"/>
  <c r="Q376" i="3" s="1"/>
  <c r="R376" i="3" s="1"/>
  <c r="K376" i="3"/>
  <c r="M376" i="3" s="1"/>
  <c r="S375" i="3"/>
  <c r="N375" i="3"/>
  <c r="M375" i="3"/>
  <c r="K375" i="3"/>
  <c r="L375" i="3" s="1"/>
  <c r="U374" i="3"/>
  <c r="S374" i="3"/>
  <c r="S373" i="3" s="1"/>
  <c r="R374" i="3"/>
  <c r="Q374" i="3"/>
  <c r="P374" i="3"/>
  <c r="O374" i="3"/>
  <c r="N374" i="3"/>
  <c r="M374" i="3"/>
  <c r="L374" i="3"/>
  <c r="K374" i="3"/>
  <c r="N373" i="3"/>
  <c r="J373" i="3"/>
  <c r="I373" i="3"/>
  <c r="H373" i="3"/>
  <c r="G373" i="3"/>
  <c r="F373" i="3"/>
  <c r="E373" i="3"/>
  <c r="U372" i="3"/>
  <c r="S372" i="3"/>
  <c r="Q372" i="3"/>
  <c r="R372" i="3" s="1"/>
  <c r="N372" i="3"/>
  <c r="P372" i="3" s="1"/>
  <c r="M372" i="3"/>
  <c r="L372" i="3"/>
  <c r="K372" i="3"/>
  <c r="U371" i="3"/>
  <c r="S371" i="3"/>
  <c r="Q371" i="3"/>
  <c r="R371" i="3" s="1"/>
  <c r="N371" i="3"/>
  <c r="O371" i="3" s="1"/>
  <c r="K371" i="3"/>
  <c r="S370" i="3"/>
  <c r="S369" i="3" s="1"/>
  <c r="N370" i="3"/>
  <c r="K370" i="3"/>
  <c r="J369" i="3"/>
  <c r="I369" i="3"/>
  <c r="H369" i="3"/>
  <c r="G369" i="3"/>
  <c r="F369" i="3"/>
  <c r="E369" i="3"/>
  <c r="J368" i="3"/>
  <c r="G368" i="3"/>
  <c r="U367" i="3"/>
  <c r="S367" i="3"/>
  <c r="P367" i="3"/>
  <c r="O367" i="3"/>
  <c r="N367" i="3"/>
  <c r="Q367" i="3" s="1"/>
  <c r="R367" i="3" s="1"/>
  <c r="M367" i="3"/>
  <c r="L367" i="3"/>
  <c r="K367" i="3"/>
  <c r="S366" i="3"/>
  <c r="N366" i="3"/>
  <c r="M366" i="3"/>
  <c r="L366" i="3"/>
  <c r="K366" i="3"/>
  <c r="S365" i="3"/>
  <c r="Q365" i="3"/>
  <c r="R365" i="3" s="1"/>
  <c r="N365" i="3"/>
  <c r="U365" i="3" s="1"/>
  <c r="K365" i="3"/>
  <c r="M365" i="3" s="1"/>
  <c r="S364" i="3"/>
  <c r="P364" i="3"/>
  <c r="N364" i="3"/>
  <c r="Q364" i="3" s="1"/>
  <c r="R364" i="3" s="1"/>
  <c r="M364" i="3"/>
  <c r="K364" i="3"/>
  <c r="L364" i="3" s="1"/>
  <c r="U363" i="3"/>
  <c r="S363" i="3"/>
  <c r="P363" i="3"/>
  <c r="O363" i="3"/>
  <c r="N363" i="3"/>
  <c r="Q363" i="3" s="1"/>
  <c r="M363" i="3"/>
  <c r="K363" i="3"/>
  <c r="K362" i="3" s="1"/>
  <c r="L362" i="3" s="1"/>
  <c r="M362" i="3"/>
  <c r="J362" i="3"/>
  <c r="I362" i="3"/>
  <c r="H362" i="3"/>
  <c r="G362" i="3"/>
  <c r="G358" i="3" s="1"/>
  <c r="F362" i="3"/>
  <c r="E362" i="3"/>
  <c r="S361" i="3"/>
  <c r="O361" i="3"/>
  <c r="N361" i="3"/>
  <c r="U361" i="3" s="1"/>
  <c r="M361" i="3"/>
  <c r="L361" i="3"/>
  <c r="K361" i="3"/>
  <c r="S360" i="3"/>
  <c r="S359" i="3" s="1"/>
  <c r="O360" i="3"/>
  <c r="N360" i="3"/>
  <c r="N359" i="3" s="1"/>
  <c r="K360" i="3"/>
  <c r="M360" i="3" s="1"/>
  <c r="J359" i="3"/>
  <c r="J358" i="3" s="1"/>
  <c r="I359" i="3"/>
  <c r="H359" i="3"/>
  <c r="G359" i="3"/>
  <c r="F359" i="3"/>
  <c r="F358" i="3" s="1"/>
  <c r="E359" i="3"/>
  <c r="I358" i="3"/>
  <c r="H358" i="3"/>
  <c r="S356" i="3"/>
  <c r="R356" i="3"/>
  <c r="Q356" i="3"/>
  <c r="N356" i="3"/>
  <c r="K356" i="3"/>
  <c r="U355" i="3"/>
  <c r="S355" i="3"/>
  <c r="S354" i="3" s="1"/>
  <c r="R355" i="3"/>
  <c r="P355" i="3"/>
  <c r="O355" i="3"/>
  <c r="N355" i="3"/>
  <c r="Q355" i="3" s="1"/>
  <c r="L355" i="3"/>
  <c r="K355" i="3"/>
  <c r="M355" i="3" s="1"/>
  <c r="U354" i="3"/>
  <c r="R354" i="3"/>
  <c r="Q354" i="3"/>
  <c r="N354" i="3"/>
  <c r="P354" i="3" s="1"/>
  <c r="J354" i="3"/>
  <c r="I354" i="3"/>
  <c r="I346" i="3" s="1"/>
  <c r="I345" i="3" s="1"/>
  <c r="H354" i="3"/>
  <c r="G354" i="3"/>
  <c r="F354" i="3"/>
  <c r="E354" i="3"/>
  <c r="U353" i="3"/>
  <c r="S353" i="3"/>
  <c r="R353" i="3"/>
  <c r="Q353" i="3"/>
  <c r="P353" i="3"/>
  <c r="N353" i="3"/>
  <c r="O353" i="3" s="1"/>
  <c r="L353" i="3"/>
  <c r="K353" i="3"/>
  <c r="M353" i="3" s="1"/>
  <c r="S352" i="3"/>
  <c r="S351" i="3" s="1"/>
  <c r="N352" i="3"/>
  <c r="U352" i="3" s="1"/>
  <c r="M352" i="3"/>
  <c r="L352" i="3"/>
  <c r="K352" i="3"/>
  <c r="K351" i="3" s="1"/>
  <c r="N351" i="3"/>
  <c r="M351" i="3"/>
  <c r="L351" i="3"/>
  <c r="J351" i="3"/>
  <c r="I351" i="3"/>
  <c r="H351" i="3"/>
  <c r="H346" i="3" s="1"/>
  <c r="H345" i="3" s="1"/>
  <c r="G351" i="3"/>
  <c r="G346" i="3" s="1"/>
  <c r="G345" i="3" s="1"/>
  <c r="F351" i="3"/>
  <c r="U351" i="3" s="1"/>
  <c r="E351" i="3"/>
  <c r="U350" i="3"/>
  <c r="S350" i="3"/>
  <c r="P350" i="3"/>
  <c r="O350" i="3"/>
  <c r="N350" i="3"/>
  <c r="Q350" i="3" s="1"/>
  <c r="R350" i="3" s="1"/>
  <c r="M350" i="3"/>
  <c r="L350" i="3"/>
  <c r="K350" i="3"/>
  <c r="S349" i="3"/>
  <c r="Q349" i="3"/>
  <c r="R349" i="3" s="1"/>
  <c r="N349" i="3"/>
  <c r="U349" i="3" s="1"/>
  <c r="M349" i="3"/>
  <c r="L349" i="3"/>
  <c r="K349" i="3"/>
  <c r="U348" i="3"/>
  <c r="S348" i="3"/>
  <c r="R348" i="3"/>
  <c r="Q348" i="3"/>
  <c r="P348" i="3"/>
  <c r="N348" i="3"/>
  <c r="O348" i="3" s="1"/>
  <c r="L348" i="3"/>
  <c r="K348" i="3"/>
  <c r="M348" i="3" s="1"/>
  <c r="S347" i="3"/>
  <c r="K347" i="3"/>
  <c r="J347" i="3"/>
  <c r="I347" i="3"/>
  <c r="H347" i="3"/>
  <c r="G347" i="3"/>
  <c r="F347" i="3"/>
  <c r="E347" i="3"/>
  <c r="S346" i="3"/>
  <c r="S345" i="3" s="1"/>
  <c r="F346" i="3"/>
  <c r="E346" i="3"/>
  <c r="E345" i="3" s="1"/>
  <c r="F345" i="3"/>
  <c r="S342" i="3"/>
  <c r="S341" i="3" s="1"/>
  <c r="N342" i="3"/>
  <c r="U342" i="3" s="1"/>
  <c r="M342" i="3"/>
  <c r="L342" i="3"/>
  <c r="K342" i="3"/>
  <c r="K341" i="3" s="1"/>
  <c r="O341" i="3"/>
  <c r="N341" i="3"/>
  <c r="P341" i="3" s="1"/>
  <c r="L341" i="3"/>
  <c r="J341" i="3"/>
  <c r="I341" i="3"/>
  <c r="H341" i="3"/>
  <c r="M341" i="3" s="1"/>
  <c r="G341" i="3"/>
  <c r="F341" i="3"/>
  <c r="U341" i="3" s="1"/>
  <c r="E341" i="3"/>
  <c r="S340" i="3"/>
  <c r="S339" i="3" s="1"/>
  <c r="N340" i="3"/>
  <c r="Q340" i="3" s="1"/>
  <c r="R340" i="3" s="1"/>
  <c r="M340" i="3"/>
  <c r="L340" i="3"/>
  <c r="K340" i="3"/>
  <c r="K339" i="3" s="1"/>
  <c r="Q339" i="3"/>
  <c r="N339" i="3"/>
  <c r="P339" i="3" s="1"/>
  <c r="J339" i="3"/>
  <c r="I339" i="3"/>
  <c r="H339" i="3"/>
  <c r="H336" i="3" s="1"/>
  <c r="H335" i="3" s="1"/>
  <c r="G339" i="3"/>
  <c r="G336" i="3" s="1"/>
  <c r="G335" i="3" s="1"/>
  <c r="F339" i="3"/>
  <c r="E339" i="3"/>
  <c r="S338" i="3"/>
  <c r="P338" i="3"/>
  <c r="O338" i="3"/>
  <c r="N338" i="3"/>
  <c r="Q338" i="3" s="1"/>
  <c r="M338" i="3"/>
  <c r="L338" i="3"/>
  <c r="K338" i="3"/>
  <c r="S337" i="3"/>
  <c r="L337" i="3"/>
  <c r="K337" i="3"/>
  <c r="M337" i="3" s="1"/>
  <c r="J337" i="3"/>
  <c r="I337" i="3"/>
  <c r="H337" i="3"/>
  <c r="G337" i="3"/>
  <c r="F337" i="3"/>
  <c r="E337" i="3"/>
  <c r="K336" i="3"/>
  <c r="J336" i="3"/>
  <c r="J335" i="3" s="1"/>
  <c r="I336" i="3"/>
  <c r="I335" i="3" s="1"/>
  <c r="K335" i="3"/>
  <c r="U334" i="3"/>
  <c r="S334" i="3"/>
  <c r="R334" i="3"/>
  <c r="Q334" i="3"/>
  <c r="P334" i="3"/>
  <c r="N334" i="3"/>
  <c r="O334" i="3" s="1"/>
  <c r="K334" i="3"/>
  <c r="M334" i="3" s="1"/>
  <c r="S333" i="3"/>
  <c r="N333" i="3"/>
  <c r="U333" i="3" s="1"/>
  <c r="M333" i="3"/>
  <c r="L333" i="3"/>
  <c r="K333" i="3"/>
  <c r="O332" i="3"/>
  <c r="N332" i="3"/>
  <c r="N331" i="3" s="1"/>
  <c r="J332" i="3"/>
  <c r="I332" i="3"/>
  <c r="H332" i="3"/>
  <c r="H331" i="3" s="1"/>
  <c r="G332" i="3"/>
  <c r="F332" i="3"/>
  <c r="E332" i="3"/>
  <c r="E331" i="3" s="1"/>
  <c r="P331" i="3"/>
  <c r="J331" i="3"/>
  <c r="I331" i="3"/>
  <c r="G331" i="3"/>
  <c r="U330" i="3"/>
  <c r="S330" i="3"/>
  <c r="S329" i="3" s="1"/>
  <c r="P330" i="3"/>
  <c r="O330" i="3"/>
  <c r="N330" i="3"/>
  <c r="Q330" i="3" s="1"/>
  <c r="R330" i="3" s="1"/>
  <c r="M330" i="3"/>
  <c r="L330" i="3"/>
  <c r="K330" i="3"/>
  <c r="K329" i="3" s="1"/>
  <c r="P329" i="3"/>
  <c r="O329" i="3"/>
  <c r="N329" i="3"/>
  <c r="J329" i="3"/>
  <c r="I329" i="3"/>
  <c r="H329" i="3"/>
  <c r="G329" i="3"/>
  <c r="G326" i="3" s="1"/>
  <c r="F329" i="3"/>
  <c r="E329" i="3"/>
  <c r="E326" i="3" s="1"/>
  <c r="S328" i="3"/>
  <c r="Q328" i="3"/>
  <c r="N328" i="3"/>
  <c r="M328" i="3"/>
  <c r="L328" i="3"/>
  <c r="K328" i="3"/>
  <c r="S327" i="3"/>
  <c r="K327" i="3"/>
  <c r="J327" i="3"/>
  <c r="I327" i="3"/>
  <c r="I326" i="3" s="1"/>
  <c r="I325" i="3" s="1"/>
  <c r="H327" i="3"/>
  <c r="G327" i="3"/>
  <c r="F327" i="3"/>
  <c r="E327" i="3"/>
  <c r="S326" i="3"/>
  <c r="U323" i="3"/>
  <c r="S323" i="3"/>
  <c r="Q323" i="3"/>
  <c r="R323" i="3" s="1"/>
  <c r="P323" i="3"/>
  <c r="O323" i="3"/>
  <c r="N323" i="3"/>
  <c r="L323" i="3"/>
  <c r="K323" i="3"/>
  <c r="M323" i="3" s="1"/>
  <c r="S322" i="3"/>
  <c r="N322" i="3"/>
  <c r="U322" i="3" s="1"/>
  <c r="M322" i="3"/>
  <c r="L322" i="3"/>
  <c r="K322" i="3"/>
  <c r="K321" i="3" s="1"/>
  <c r="N321" i="3"/>
  <c r="M321" i="3"/>
  <c r="L321" i="3"/>
  <c r="J321" i="3"/>
  <c r="I321" i="3"/>
  <c r="H321" i="3"/>
  <c r="G321" i="3"/>
  <c r="F321" i="3"/>
  <c r="E321" i="3"/>
  <c r="U320" i="3"/>
  <c r="S320" i="3"/>
  <c r="S319" i="3" s="1"/>
  <c r="P320" i="3"/>
  <c r="O320" i="3"/>
  <c r="N320" i="3"/>
  <c r="Q320" i="3" s="1"/>
  <c r="R320" i="3" s="1"/>
  <c r="M320" i="3"/>
  <c r="L320" i="3"/>
  <c r="K320" i="3"/>
  <c r="K319" i="3" s="1"/>
  <c r="R319" i="3"/>
  <c r="Q319" i="3"/>
  <c r="P319" i="3"/>
  <c r="N319" i="3"/>
  <c r="J319" i="3"/>
  <c r="I319" i="3"/>
  <c r="H319" i="3"/>
  <c r="G319" i="3"/>
  <c r="F319" i="3"/>
  <c r="O319" i="3" s="1"/>
  <c r="E319" i="3"/>
  <c r="S318" i="3"/>
  <c r="O318" i="3"/>
  <c r="N318" i="3"/>
  <c r="M318" i="3"/>
  <c r="L318" i="3"/>
  <c r="K318" i="3"/>
  <c r="U317" i="3"/>
  <c r="S317" i="3"/>
  <c r="Q317" i="3"/>
  <c r="R317" i="3" s="1"/>
  <c r="P317" i="3"/>
  <c r="O317" i="3"/>
  <c r="N317" i="3"/>
  <c r="L317" i="3"/>
  <c r="K317" i="3"/>
  <c r="M317" i="3" s="1"/>
  <c r="S316" i="3"/>
  <c r="N316" i="3"/>
  <c r="M316" i="3"/>
  <c r="L316" i="3"/>
  <c r="K316" i="3"/>
  <c r="S315" i="3"/>
  <c r="S314" i="3" s="1"/>
  <c r="O315" i="3"/>
  <c r="N315" i="3"/>
  <c r="M315" i="3"/>
  <c r="L315" i="3"/>
  <c r="K315" i="3"/>
  <c r="K314" i="3" s="1"/>
  <c r="L314" i="3" s="1"/>
  <c r="N314" i="3"/>
  <c r="M314" i="3"/>
  <c r="J314" i="3"/>
  <c r="I314" i="3"/>
  <c r="H314" i="3"/>
  <c r="G314" i="3"/>
  <c r="F314" i="3"/>
  <c r="E314" i="3"/>
  <c r="S313" i="3"/>
  <c r="Q313" i="3"/>
  <c r="R313" i="3" s="1"/>
  <c r="N313" i="3"/>
  <c r="M313" i="3"/>
  <c r="L313" i="3"/>
  <c r="K313" i="3"/>
  <c r="U312" i="3"/>
  <c r="S312" i="3"/>
  <c r="S310" i="3" s="1"/>
  <c r="R312" i="3"/>
  <c r="Q312" i="3"/>
  <c r="P312" i="3"/>
  <c r="O312" i="3"/>
  <c r="N312" i="3"/>
  <c r="L312" i="3"/>
  <c r="K312" i="3"/>
  <c r="M312" i="3" s="1"/>
  <c r="U311" i="3"/>
  <c r="S311" i="3"/>
  <c r="Q311" i="3"/>
  <c r="N311" i="3"/>
  <c r="M311" i="3"/>
  <c r="L311" i="3"/>
  <c r="K311" i="3"/>
  <c r="M310" i="3"/>
  <c r="L310" i="3"/>
  <c r="K310" i="3"/>
  <c r="J310" i="3"/>
  <c r="I310" i="3"/>
  <c r="H310" i="3"/>
  <c r="G310" i="3"/>
  <c r="F310" i="3"/>
  <c r="E310" i="3"/>
  <c r="E296" i="3" s="1"/>
  <c r="E295" i="3" s="1"/>
  <c r="U309" i="3"/>
  <c r="S309" i="3"/>
  <c r="S308" i="3" s="1"/>
  <c r="P309" i="3"/>
  <c r="O309" i="3"/>
  <c r="N309" i="3"/>
  <c r="Q309" i="3" s="1"/>
  <c r="R309" i="3" s="1"/>
  <c r="M309" i="3"/>
  <c r="K309" i="3"/>
  <c r="R308" i="3"/>
  <c r="Q308" i="3"/>
  <c r="P308" i="3"/>
  <c r="N308" i="3"/>
  <c r="J308" i="3"/>
  <c r="I308" i="3"/>
  <c r="I296" i="3" s="1"/>
  <c r="I295" i="3" s="1"/>
  <c r="H308" i="3"/>
  <c r="G308" i="3"/>
  <c r="F308" i="3"/>
  <c r="E308" i="3"/>
  <c r="U307" i="3"/>
  <c r="S307" i="3"/>
  <c r="Q307" i="3"/>
  <c r="R307" i="3" s="1"/>
  <c r="P307" i="3"/>
  <c r="O307" i="3"/>
  <c r="N307" i="3"/>
  <c r="M307" i="3"/>
  <c r="L307" i="3"/>
  <c r="K307" i="3"/>
  <c r="S306" i="3"/>
  <c r="N306" i="3"/>
  <c r="K306" i="3"/>
  <c r="U305" i="3"/>
  <c r="S305" i="3"/>
  <c r="N305" i="3"/>
  <c r="L305" i="3"/>
  <c r="K305" i="3"/>
  <c r="M305" i="3" s="1"/>
  <c r="S304" i="3"/>
  <c r="K304" i="3"/>
  <c r="J304" i="3"/>
  <c r="I304" i="3"/>
  <c r="H304" i="3"/>
  <c r="G304" i="3"/>
  <c r="F304" i="3"/>
  <c r="E304" i="3"/>
  <c r="S303" i="3"/>
  <c r="N303" i="3"/>
  <c r="L303" i="3"/>
  <c r="K303" i="3"/>
  <c r="S302" i="3"/>
  <c r="N302" i="3"/>
  <c r="M302" i="3"/>
  <c r="L302" i="3"/>
  <c r="K302" i="3"/>
  <c r="S301" i="3"/>
  <c r="N301" i="3"/>
  <c r="L301" i="3"/>
  <c r="K301" i="3"/>
  <c r="M301" i="3" s="1"/>
  <c r="S300" i="3"/>
  <c r="S299" i="3" s="1"/>
  <c r="Q300" i="3"/>
  <c r="P300" i="3"/>
  <c r="N300" i="3"/>
  <c r="M300" i="3"/>
  <c r="L300" i="3"/>
  <c r="K300" i="3"/>
  <c r="J299" i="3"/>
  <c r="I299" i="3"/>
  <c r="H299" i="3"/>
  <c r="G299" i="3"/>
  <c r="F299" i="3"/>
  <c r="E299" i="3"/>
  <c r="S298" i="3"/>
  <c r="S297" i="3" s="1"/>
  <c r="O298" i="3"/>
  <c r="N298" i="3"/>
  <c r="N297" i="3" s="1"/>
  <c r="M298" i="3"/>
  <c r="L298" i="3"/>
  <c r="K298" i="3"/>
  <c r="K297" i="3" s="1"/>
  <c r="J297" i="3"/>
  <c r="I297" i="3"/>
  <c r="H297" i="3"/>
  <c r="M297" i="3" s="1"/>
  <c r="G297" i="3"/>
  <c r="F297" i="3"/>
  <c r="L297" i="3" s="1"/>
  <c r="E297" i="3"/>
  <c r="H296" i="3"/>
  <c r="H295" i="3" s="1"/>
  <c r="U294" i="3"/>
  <c r="S294" i="3"/>
  <c r="Q294" i="3"/>
  <c r="N294" i="3"/>
  <c r="M294" i="3"/>
  <c r="L294" i="3"/>
  <c r="K294" i="3"/>
  <c r="S293" i="3"/>
  <c r="N293" i="3"/>
  <c r="U293" i="3" s="1"/>
  <c r="L293" i="3"/>
  <c r="K293" i="3"/>
  <c r="M293" i="3" s="1"/>
  <c r="J293" i="3"/>
  <c r="I293" i="3"/>
  <c r="H293" i="3"/>
  <c r="G293" i="3"/>
  <c r="F293" i="3"/>
  <c r="E293" i="3"/>
  <c r="U292" i="3"/>
  <c r="S292" i="3"/>
  <c r="R292" i="3"/>
  <c r="Q292" i="3"/>
  <c r="P292" i="3"/>
  <c r="O292" i="3"/>
  <c r="N292" i="3"/>
  <c r="K292" i="3"/>
  <c r="M292" i="3" s="1"/>
  <c r="U291" i="3"/>
  <c r="S291" i="3"/>
  <c r="R291" i="3"/>
  <c r="Q291" i="3"/>
  <c r="P291" i="3"/>
  <c r="N291" i="3"/>
  <c r="O291" i="3" s="1"/>
  <c r="M291" i="3"/>
  <c r="L291" i="3"/>
  <c r="K291" i="3"/>
  <c r="S290" i="3"/>
  <c r="N290" i="3"/>
  <c r="K290" i="3"/>
  <c r="J289" i="3"/>
  <c r="I289" i="3"/>
  <c r="H289" i="3"/>
  <c r="G289" i="3"/>
  <c r="F289" i="3"/>
  <c r="E289" i="3"/>
  <c r="U288" i="3"/>
  <c r="S288" i="3"/>
  <c r="N288" i="3"/>
  <c r="M288" i="3"/>
  <c r="L288" i="3"/>
  <c r="K288" i="3"/>
  <c r="K286" i="3" s="1"/>
  <c r="M286" i="3" s="1"/>
  <c r="S287" i="3"/>
  <c r="S286" i="3" s="1"/>
  <c r="P287" i="3"/>
  <c r="N287" i="3"/>
  <c r="M287" i="3"/>
  <c r="L287" i="3"/>
  <c r="K287" i="3"/>
  <c r="L286" i="3"/>
  <c r="J286" i="3"/>
  <c r="I286" i="3"/>
  <c r="H286" i="3"/>
  <c r="G286" i="3"/>
  <c r="F286" i="3"/>
  <c r="E286" i="3"/>
  <c r="U285" i="3"/>
  <c r="S285" i="3"/>
  <c r="R285" i="3"/>
  <c r="Q285" i="3"/>
  <c r="P285" i="3"/>
  <c r="O285" i="3"/>
  <c r="N285" i="3"/>
  <c r="L285" i="3"/>
  <c r="K285" i="3"/>
  <c r="M285" i="3" s="1"/>
  <c r="U284" i="3"/>
  <c r="S284" i="3"/>
  <c r="N284" i="3"/>
  <c r="L284" i="3"/>
  <c r="K284" i="3"/>
  <c r="M284" i="3" s="1"/>
  <c r="S283" i="3"/>
  <c r="L283" i="3"/>
  <c r="K283" i="3"/>
  <c r="J283" i="3"/>
  <c r="I283" i="3"/>
  <c r="H283" i="3"/>
  <c r="G283" i="3"/>
  <c r="F283" i="3"/>
  <c r="E283" i="3"/>
  <c r="U282" i="3"/>
  <c r="S282" i="3"/>
  <c r="N282" i="3"/>
  <c r="M282" i="3"/>
  <c r="L282" i="3"/>
  <c r="K282" i="3"/>
  <c r="S281" i="3"/>
  <c r="P281" i="3"/>
  <c r="N281" i="3"/>
  <c r="M281" i="3"/>
  <c r="L281" i="3"/>
  <c r="K281" i="3"/>
  <c r="U280" i="3"/>
  <c r="S280" i="3"/>
  <c r="R280" i="3"/>
  <c r="Q280" i="3"/>
  <c r="P280" i="3"/>
  <c r="O280" i="3"/>
  <c r="N280" i="3"/>
  <c r="M280" i="3"/>
  <c r="L280" i="3"/>
  <c r="K280" i="3"/>
  <c r="U279" i="3"/>
  <c r="S279" i="3"/>
  <c r="N279" i="3"/>
  <c r="L279" i="3"/>
  <c r="K279" i="3"/>
  <c r="M279" i="3" s="1"/>
  <c r="U278" i="3"/>
  <c r="S278" i="3"/>
  <c r="N278" i="3"/>
  <c r="M278" i="3"/>
  <c r="L278" i="3"/>
  <c r="K278" i="3"/>
  <c r="S277" i="3"/>
  <c r="P277" i="3"/>
  <c r="N277" i="3"/>
  <c r="M277" i="3"/>
  <c r="L277" i="3"/>
  <c r="K277" i="3"/>
  <c r="K276" i="3" s="1"/>
  <c r="M276" i="3" s="1"/>
  <c r="L276" i="3"/>
  <c r="J276" i="3"/>
  <c r="I276" i="3"/>
  <c r="H276" i="3"/>
  <c r="G276" i="3"/>
  <c r="F276" i="3"/>
  <c r="E276" i="3"/>
  <c r="U275" i="3"/>
  <c r="S275" i="3"/>
  <c r="R275" i="3"/>
  <c r="Q275" i="3"/>
  <c r="P275" i="3"/>
  <c r="O275" i="3"/>
  <c r="N275" i="3"/>
  <c r="M275" i="3"/>
  <c r="L275" i="3"/>
  <c r="K275" i="3"/>
  <c r="U274" i="3"/>
  <c r="S274" i="3"/>
  <c r="Q274" i="3"/>
  <c r="N274" i="3"/>
  <c r="K274" i="3"/>
  <c r="S273" i="3"/>
  <c r="J273" i="3"/>
  <c r="I273" i="3"/>
  <c r="H273" i="3"/>
  <c r="G273" i="3"/>
  <c r="F273" i="3"/>
  <c r="E273" i="3"/>
  <c r="U272" i="3"/>
  <c r="S272" i="3"/>
  <c r="P272" i="3"/>
  <c r="N272" i="3"/>
  <c r="M272" i="3"/>
  <c r="L272" i="3"/>
  <c r="K272" i="3"/>
  <c r="S271" i="3"/>
  <c r="N271" i="3"/>
  <c r="M271" i="3"/>
  <c r="L271" i="3"/>
  <c r="K271" i="3"/>
  <c r="U270" i="3"/>
  <c r="S270" i="3"/>
  <c r="Q270" i="3"/>
  <c r="R270" i="3" s="1"/>
  <c r="P270" i="3"/>
  <c r="O270" i="3"/>
  <c r="N270" i="3"/>
  <c r="M270" i="3"/>
  <c r="L270" i="3"/>
  <c r="K270" i="3"/>
  <c r="U269" i="3"/>
  <c r="S269" i="3"/>
  <c r="Q269" i="3"/>
  <c r="R269" i="3" s="1"/>
  <c r="N269" i="3"/>
  <c r="K269" i="3"/>
  <c r="S268" i="3"/>
  <c r="N268" i="3"/>
  <c r="M268" i="3"/>
  <c r="L268" i="3"/>
  <c r="K268" i="3"/>
  <c r="J267" i="3"/>
  <c r="I267" i="3"/>
  <c r="H267" i="3"/>
  <c r="G267" i="3"/>
  <c r="F267" i="3"/>
  <c r="E267" i="3"/>
  <c r="S266" i="3"/>
  <c r="P266" i="3"/>
  <c r="O266" i="3"/>
  <c r="N266" i="3"/>
  <c r="M266" i="3"/>
  <c r="L266" i="3"/>
  <c r="K266" i="3"/>
  <c r="S265" i="3"/>
  <c r="N265" i="3"/>
  <c r="U265" i="3" s="1"/>
  <c r="M265" i="3"/>
  <c r="L265" i="3"/>
  <c r="K265" i="3"/>
  <c r="S264" i="3"/>
  <c r="K264" i="3"/>
  <c r="M264" i="3" s="1"/>
  <c r="J264" i="3"/>
  <c r="I264" i="3"/>
  <c r="H264" i="3"/>
  <c r="G264" i="3"/>
  <c r="F264" i="3"/>
  <c r="E264" i="3"/>
  <c r="U263" i="3"/>
  <c r="S263" i="3"/>
  <c r="N263" i="3"/>
  <c r="L263" i="3"/>
  <c r="K263" i="3"/>
  <c r="M263" i="3" s="1"/>
  <c r="U262" i="3"/>
  <c r="S262" i="3"/>
  <c r="N262" i="3"/>
  <c r="K262" i="3"/>
  <c r="L262" i="3" s="1"/>
  <c r="S261" i="3"/>
  <c r="O261" i="3"/>
  <c r="N261" i="3"/>
  <c r="U261" i="3" s="1"/>
  <c r="K261" i="3"/>
  <c r="M261" i="3" s="1"/>
  <c r="S260" i="3"/>
  <c r="N260" i="3"/>
  <c r="M260" i="3"/>
  <c r="L260" i="3"/>
  <c r="K260" i="3"/>
  <c r="S259" i="3"/>
  <c r="N259" i="3"/>
  <c r="K259" i="3"/>
  <c r="U258" i="3"/>
  <c r="S258" i="3"/>
  <c r="Q258" i="3"/>
  <c r="R258" i="3" s="1"/>
  <c r="P258" i="3"/>
  <c r="O258" i="3"/>
  <c r="N258" i="3"/>
  <c r="M258" i="3"/>
  <c r="L258" i="3"/>
  <c r="K258" i="3"/>
  <c r="S257" i="3"/>
  <c r="N257" i="3"/>
  <c r="K257" i="3"/>
  <c r="M257" i="3" s="1"/>
  <c r="U256" i="3"/>
  <c r="S256" i="3"/>
  <c r="Q256" i="3"/>
  <c r="P256" i="3"/>
  <c r="N256" i="3"/>
  <c r="O256" i="3" s="1"/>
  <c r="M256" i="3"/>
  <c r="L256" i="3"/>
  <c r="K256" i="3"/>
  <c r="S255" i="3"/>
  <c r="K255" i="3"/>
  <c r="J255" i="3"/>
  <c r="I255" i="3"/>
  <c r="H255" i="3"/>
  <c r="G255" i="3"/>
  <c r="F255" i="3"/>
  <c r="E255" i="3"/>
  <c r="S254" i="3"/>
  <c r="N254" i="3"/>
  <c r="K254" i="3"/>
  <c r="U253" i="3"/>
  <c r="S253" i="3"/>
  <c r="Q253" i="3"/>
  <c r="R253" i="3" s="1"/>
  <c r="P253" i="3"/>
  <c r="O253" i="3"/>
  <c r="N253" i="3"/>
  <c r="M253" i="3"/>
  <c r="L253" i="3"/>
  <c r="K253" i="3"/>
  <c r="S252" i="3"/>
  <c r="N252" i="3"/>
  <c r="U252" i="3" s="1"/>
  <c r="K252" i="3"/>
  <c r="M252" i="3" s="1"/>
  <c r="S251" i="3"/>
  <c r="Q251" i="3"/>
  <c r="R251" i="3" s="1"/>
  <c r="N251" i="3"/>
  <c r="O251" i="3" s="1"/>
  <c r="M251" i="3"/>
  <c r="L251" i="3"/>
  <c r="K251" i="3"/>
  <c r="S250" i="3"/>
  <c r="P250" i="3"/>
  <c r="N250" i="3"/>
  <c r="K250" i="3"/>
  <c r="J249" i="3"/>
  <c r="J248" i="3" s="1"/>
  <c r="I249" i="3"/>
  <c r="I248" i="3" s="1"/>
  <c r="H249" i="3"/>
  <c r="G249" i="3"/>
  <c r="F249" i="3"/>
  <c r="E249" i="3"/>
  <c r="H248" i="3"/>
  <c r="E248" i="3"/>
  <c r="U247" i="3"/>
  <c r="S247" i="3"/>
  <c r="Q247" i="3"/>
  <c r="Q246" i="3" s="1"/>
  <c r="R246" i="3" s="1"/>
  <c r="P247" i="3"/>
  <c r="O247" i="3"/>
  <c r="N247" i="3"/>
  <c r="M247" i="3"/>
  <c r="L247" i="3"/>
  <c r="K247" i="3"/>
  <c r="S246" i="3"/>
  <c r="N246" i="3"/>
  <c r="K246" i="3"/>
  <c r="J246" i="3"/>
  <c r="I246" i="3"/>
  <c r="H246" i="3"/>
  <c r="G246" i="3"/>
  <c r="F246" i="3"/>
  <c r="E246" i="3"/>
  <c r="U245" i="3"/>
  <c r="S245" i="3"/>
  <c r="N245" i="3"/>
  <c r="L245" i="3"/>
  <c r="K245" i="3"/>
  <c r="M245" i="3" s="1"/>
  <c r="U244" i="3"/>
  <c r="S244" i="3"/>
  <c r="Q244" i="3"/>
  <c r="P244" i="3"/>
  <c r="N244" i="3"/>
  <c r="O244" i="3" s="1"/>
  <c r="M244" i="3"/>
  <c r="L244" i="3"/>
  <c r="K244" i="3"/>
  <c r="S243" i="3"/>
  <c r="K243" i="3"/>
  <c r="J243" i="3"/>
  <c r="I243" i="3"/>
  <c r="H243" i="3"/>
  <c r="G243" i="3"/>
  <c r="F243" i="3"/>
  <c r="E243" i="3"/>
  <c r="S242" i="3"/>
  <c r="S241" i="3" s="1"/>
  <c r="N242" i="3"/>
  <c r="K242" i="3"/>
  <c r="J241" i="3"/>
  <c r="I241" i="3"/>
  <c r="H241" i="3"/>
  <c r="G241" i="3"/>
  <c r="F241" i="3"/>
  <c r="E241" i="3"/>
  <c r="U240" i="3"/>
  <c r="S240" i="3"/>
  <c r="R240" i="3"/>
  <c r="Q240" i="3"/>
  <c r="Q239" i="3" s="1"/>
  <c r="P240" i="3"/>
  <c r="O240" i="3"/>
  <c r="N240" i="3"/>
  <c r="M240" i="3"/>
  <c r="L240" i="3"/>
  <c r="K240" i="3"/>
  <c r="U239" i="3"/>
  <c r="S239" i="3"/>
  <c r="R239" i="3"/>
  <c r="N239" i="3"/>
  <c r="P239" i="3" s="1"/>
  <c r="K239" i="3"/>
  <c r="M239" i="3" s="1"/>
  <c r="J239" i="3"/>
  <c r="I239" i="3"/>
  <c r="H239" i="3"/>
  <c r="G239" i="3"/>
  <c r="F239" i="3"/>
  <c r="O239" i="3" s="1"/>
  <c r="E239" i="3"/>
  <c r="S238" i="3"/>
  <c r="O238" i="3"/>
  <c r="N238" i="3"/>
  <c r="U238" i="3" s="1"/>
  <c r="L238" i="3"/>
  <c r="K238" i="3"/>
  <c r="M238" i="3" s="1"/>
  <c r="S237" i="3"/>
  <c r="N237" i="3"/>
  <c r="M237" i="3"/>
  <c r="L237" i="3"/>
  <c r="K237" i="3"/>
  <c r="S236" i="3"/>
  <c r="N236" i="3"/>
  <c r="K236" i="3"/>
  <c r="U235" i="3"/>
  <c r="S235" i="3"/>
  <c r="Q235" i="3"/>
  <c r="R235" i="3" s="1"/>
  <c r="P235" i="3"/>
  <c r="O235" i="3"/>
  <c r="N235" i="3"/>
  <c r="M235" i="3"/>
  <c r="L235" i="3"/>
  <c r="K235" i="3"/>
  <c r="S234" i="3"/>
  <c r="N234" i="3"/>
  <c r="K234" i="3"/>
  <c r="U233" i="3"/>
  <c r="S233" i="3"/>
  <c r="Q233" i="3"/>
  <c r="R233" i="3" s="1"/>
  <c r="P233" i="3"/>
  <c r="N233" i="3"/>
  <c r="O233" i="3" s="1"/>
  <c r="M233" i="3"/>
  <c r="L233" i="3"/>
  <c r="K233" i="3"/>
  <c r="S232" i="3"/>
  <c r="S230" i="3" s="1"/>
  <c r="P232" i="3"/>
  <c r="O232" i="3"/>
  <c r="N232" i="3"/>
  <c r="K232" i="3"/>
  <c r="U231" i="3"/>
  <c r="S231" i="3"/>
  <c r="R231" i="3"/>
  <c r="Q231" i="3"/>
  <c r="P231" i="3"/>
  <c r="O231" i="3"/>
  <c r="N231" i="3"/>
  <c r="M231" i="3"/>
  <c r="L231" i="3"/>
  <c r="K231" i="3"/>
  <c r="J230" i="3"/>
  <c r="I230" i="3"/>
  <c r="H230" i="3"/>
  <c r="G230" i="3"/>
  <c r="F230" i="3"/>
  <c r="E230" i="3"/>
  <c r="U229" i="3"/>
  <c r="S229" i="3"/>
  <c r="O229" i="3"/>
  <c r="N229" i="3"/>
  <c r="K229" i="3"/>
  <c r="M229" i="3" s="1"/>
  <c r="S228" i="3"/>
  <c r="P228" i="3"/>
  <c r="N228" i="3"/>
  <c r="O228" i="3" s="1"/>
  <c r="M228" i="3"/>
  <c r="L228" i="3"/>
  <c r="K228" i="3"/>
  <c r="S227" i="3"/>
  <c r="O227" i="3"/>
  <c r="N227" i="3"/>
  <c r="K227" i="3"/>
  <c r="U226" i="3"/>
  <c r="S226" i="3"/>
  <c r="Q226" i="3"/>
  <c r="R226" i="3" s="1"/>
  <c r="P226" i="3"/>
  <c r="O226" i="3"/>
  <c r="N226" i="3"/>
  <c r="M226" i="3"/>
  <c r="L226" i="3"/>
  <c r="K226" i="3"/>
  <c r="S225" i="3"/>
  <c r="S221" i="3" s="1"/>
  <c r="O225" i="3"/>
  <c r="N225" i="3"/>
  <c r="U225" i="3" s="1"/>
  <c r="K225" i="3"/>
  <c r="M225" i="3" s="1"/>
  <c r="S224" i="3"/>
  <c r="Q224" i="3"/>
  <c r="R224" i="3" s="1"/>
  <c r="N224" i="3"/>
  <c r="M224" i="3"/>
  <c r="K224" i="3"/>
  <c r="L224" i="3" s="1"/>
  <c r="S223" i="3"/>
  <c r="P223" i="3"/>
  <c r="N223" i="3"/>
  <c r="M223" i="3"/>
  <c r="K223" i="3"/>
  <c r="L223" i="3" s="1"/>
  <c r="U222" i="3"/>
  <c r="S222" i="3"/>
  <c r="Q222" i="3"/>
  <c r="R222" i="3" s="1"/>
  <c r="P222" i="3"/>
  <c r="O222" i="3"/>
  <c r="N222" i="3"/>
  <c r="M222" i="3"/>
  <c r="L222" i="3"/>
  <c r="K222" i="3"/>
  <c r="J221" i="3"/>
  <c r="I221" i="3"/>
  <c r="I216" i="3" s="1"/>
  <c r="I215" i="3" s="1"/>
  <c r="H221" i="3"/>
  <c r="G221" i="3"/>
  <c r="F221" i="3"/>
  <c r="E221" i="3"/>
  <c r="S220" i="3"/>
  <c r="Q220" i="3"/>
  <c r="R220" i="3" s="1"/>
  <c r="N220" i="3"/>
  <c r="M220" i="3"/>
  <c r="K220" i="3"/>
  <c r="L220" i="3" s="1"/>
  <c r="S219" i="3"/>
  <c r="Q219" i="3"/>
  <c r="O219" i="3"/>
  <c r="N219" i="3"/>
  <c r="L219" i="3"/>
  <c r="K219" i="3"/>
  <c r="M219" i="3" s="1"/>
  <c r="S218" i="3"/>
  <c r="R218" i="3"/>
  <c r="Q218" i="3"/>
  <c r="P218" i="3"/>
  <c r="O218" i="3"/>
  <c r="N218" i="3"/>
  <c r="M218" i="3"/>
  <c r="K218" i="3"/>
  <c r="L218" i="3" s="1"/>
  <c r="S217" i="3"/>
  <c r="J217" i="3"/>
  <c r="J216" i="3" s="1"/>
  <c r="J215" i="3" s="1"/>
  <c r="I217" i="3"/>
  <c r="H217" i="3"/>
  <c r="G217" i="3"/>
  <c r="G216" i="3" s="1"/>
  <c r="F217" i="3"/>
  <c r="E217" i="3"/>
  <c r="E216" i="3"/>
  <c r="E215" i="3" s="1"/>
  <c r="U214" i="3"/>
  <c r="S214" i="3"/>
  <c r="N214" i="3"/>
  <c r="L214" i="3"/>
  <c r="K214" i="3"/>
  <c r="M214" i="3" s="1"/>
  <c r="S213" i="3"/>
  <c r="S212" i="3" s="1"/>
  <c r="N213" i="3"/>
  <c r="M213" i="3"/>
  <c r="K213" i="3"/>
  <c r="L213" i="3" s="1"/>
  <c r="J212" i="3"/>
  <c r="J202" i="3" s="1"/>
  <c r="J201" i="3" s="1"/>
  <c r="I212" i="3"/>
  <c r="H212" i="3"/>
  <c r="G212" i="3"/>
  <c r="G202" i="3" s="1"/>
  <c r="G201" i="3" s="1"/>
  <c r="F212" i="3"/>
  <c r="E212" i="3"/>
  <c r="U211" i="3"/>
  <c r="S211" i="3"/>
  <c r="R211" i="3"/>
  <c r="Q211" i="3"/>
  <c r="P211" i="3"/>
  <c r="O211" i="3"/>
  <c r="N211" i="3"/>
  <c r="M211" i="3"/>
  <c r="L211" i="3"/>
  <c r="K211" i="3"/>
  <c r="U210" i="3"/>
  <c r="S210" i="3"/>
  <c r="Q210" i="3"/>
  <c r="O210" i="3"/>
  <c r="N210" i="3"/>
  <c r="P210" i="3" s="1"/>
  <c r="L210" i="3"/>
  <c r="K210" i="3"/>
  <c r="M210" i="3" s="1"/>
  <c r="U209" i="3"/>
  <c r="S209" i="3"/>
  <c r="N209" i="3"/>
  <c r="L209" i="3"/>
  <c r="K209" i="3"/>
  <c r="M209" i="3" s="1"/>
  <c r="J209" i="3"/>
  <c r="I209" i="3"/>
  <c r="I202" i="3" s="1"/>
  <c r="I201" i="3" s="1"/>
  <c r="H209" i="3"/>
  <c r="G209" i="3"/>
  <c r="F209" i="3"/>
  <c r="E209" i="3"/>
  <c r="U208" i="3"/>
  <c r="S208" i="3"/>
  <c r="N208" i="3"/>
  <c r="L208" i="3"/>
  <c r="K208" i="3"/>
  <c r="M208" i="3" s="1"/>
  <c r="S207" i="3"/>
  <c r="N207" i="3"/>
  <c r="M207" i="3"/>
  <c r="K207" i="3"/>
  <c r="L207" i="3" s="1"/>
  <c r="U206" i="3"/>
  <c r="S206" i="3"/>
  <c r="R206" i="3"/>
  <c r="Q206" i="3"/>
  <c r="P206" i="3"/>
  <c r="O206" i="3"/>
  <c r="N206" i="3"/>
  <c r="M206" i="3"/>
  <c r="L206" i="3"/>
  <c r="K206" i="3"/>
  <c r="U205" i="3"/>
  <c r="S205" i="3"/>
  <c r="Q205" i="3"/>
  <c r="R205" i="3" s="1"/>
  <c r="O205" i="3"/>
  <c r="N205" i="3"/>
  <c r="P205" i="3" s="1"/>
  <c r="L205" i="3"/>
  <c r="K205" i="3"/>
  <c r="M205" i="3" s="1"/>
  <c r="U204" i="3"/>
  <c r="S204" i="3"/>
  <c r="S203" i="3" s="1"/>
  <c r="S202" i="3" s="1"/>
  <c r="S201" i="3" s="1"/>
  <c r="N204" i="3"/>
  <c r="K204" i="3"/>
  <c r="J203" i="3"/>
  <c r="I203" i="3"/>
  <c r="H203" i="3"/>
  <c r="G203" i="3"/>
  <c r="F203" i="3"/>
  <c r="E203" i="3"/>
  <c r="H202" i="3"/>
  <c r="H201" i="3" s="1"/>
  <c r="E202" i="3"/>
  <c r="E201" i="3"/>
  <c r="S200" i="3"/>
  <c r="N200" i="3"/>
  <c r="M200" i="3"/>
  <c r="K200" i="3"/>
  <c r="L200" i="3" s="1"/>
  <c r="J200" i="3"/>
  <c r="S199" i="3"/>
  <c r="K199" i="3"/>
  <c r="J199" i="3"/>
  <c r="I199" i="3"/>
  <c r="H199" i="3"/>
  <c r="G199" i="3"/>
  <c r="F199" i="3"/>
  <c r="E199" i="3"/>
  <c r="S198" i="3"/>
  <c r="Q198" i="3"/>
  <c r="R198" i="3" s="1"/>
  <c r="P198" i="3"/>
  <c r="N198" i="3"/>
  <c r="O198" i="3" s="1"/>
  <c r="K198" i="3"/>
  <c r="U197" i="3"/>
  <c r="S197" i="3"/>
  <c r="P197" i="3"/>
  <c r="O197" i="3"/>
  <c r="N197" i="3"/>
  <c r="Q197" i="3" s="1"/>
  <c r="R197" i="3" s="1"/>
  <c r="K197" i="3"/>
  <c r="M197" i="3" s="1"/>
  <c r="S196" i="3"/>
  <c r="N196" i="3"/>
  <c r="M196" i="3"/>
  <c r="L196" i="3"/>
  <c r="K196" i="3"/>
  <c r="S195" i="3"/>
  <c r="O195" i="3"/>
  <c r="N195" i="3"/>
  <c r="U195" i="3" s="1"/>
  <c r="K195" i="3"/>
  <c r="M195" i="3" s="1"/>
  <c r="S194" i="3"/>
  <c r="N194" i="3"/>
  <c r="M194" i="3"/>
  <c r="K194" i="3"/>
  <c r="L194" i="3" s="1"/>
  <c r="U193" i="3"/>
  <c r="S193" i="3"/>
  <c r="P193" i="3"/>
  <c r="O193" i="3"/>
  <c r="N193" i="3"/>
  <c r="Q193" i="3" s="1"/>
  <c r="R193" i="3" s="1"/>
  <c r="K193" i="3"/>
  <c r="M193" i="3" s="1"/>
  <c r="S192" i="3"/>
  <c r="O192" i="3"/>
  <c r="N192" i="3"/>
  <c r="P192" i="3" s="1"/>
  <c r="M192" i="3"/>
  <c r="L192" i="3"/>
  <c r="K192" i="3"/>
  <c r="U191" i="3"/>
  <c r="S191" i="3"/>
  <c r="Q191" i="3"/>
  <c r="R191" i="3" s="1"/>
  <c r="P191" i="3"/>
  <c r="O191" i="3"/>
  <c r="N191" i="3"/>
  <c r="L191" i="3"/>
  <c r="K191" i="3"/>
  <c r="M191" i="3" s="1"/>
  <c r="S190" i="3"/>
  <c r="K190" i="3"/>
  <c r="J190" i="3"/>
  <c r="I190" i="3"/>
  <c r="H190" i="3"/>
  <c r="G190" i="3"/>
  <c r="F190" i="3"/>
  <c r="E190" i="3"/>
  <c r="S189" i="3"/>
  <c r="R189" i="3"/>
  <c r="Q189" i="3"/>
  <c r="P189" i="3"/>
  <c r="N189" i="3"/>
  <c r="K189" i="3"/>
  <c r="U188" i="3"/>
  <c r="S188" i="3"/>
  <c r="S185" i="3" s="1"/>
  <c r="R188" i="3"/>
  <c r="P188" i="3"/>
  <c r="O188" i="3"/>
  <c r="N188" i="3"/>
  <c r="Q188" i="3" s="1"/>
  <c r="L188" i="3"/>
  <c r="K188" i="3"/>
  <c r="K185" i="3" s="1"/>
  <c r="S187" i="3"/>
  <c r="Q187" i="3"/>
  <c r="R187" i="3" s="1"/>
  <c r="N187" i="3"/>
  <c r="M187" i="3"/>
  <c r="L187" i="3"/>
  <c r="J187" i="3"/>
  <c r="K187" i="3" s="1"/>
  <c r="U186" i="3"/>
  <c r="S186" i="3"/>
  <c r="R186" i="3"/>
  <c r="Q186" i="3"/>
  <c r="P186" i="3"/>
  <c r="O186" i="3"/>
  <c r="N186" i="3"/>
  <c r="L186" i="3"/>
  <c r="J186" i="3"/>
  <c r="K186" i="3" s="1"/>
  <c r="M186" i="3" s="1"/>
  <c r="J185" i="3"/>
  <c r="I185" i="3"/>
  <c r="H185" i="3"/>
  <c r="G185" i="3"/>
  <c r="G148" i="3" s="1"/>
  <c r="F185" i="3"/>
  <c r="E185" i="3"/>
  <c r="U184" i="3"/>
  <c r="S184" i="3"/>
  <c r="P184" i="3"/>
  <c r="O184" i="3"/>
  <c r="N184" i="3"/>
  <c r="Q184" i="3" s="1"/>
  <c r="R184" i="3" s="1"/>
  <c r="K184" i="3"/>
  <c r="M184" i="3" s="1"/>
  <c r="J184" i="3"/>
  <c r="S183" i="3"/>
  <c r="O183" i="3"/>
  <c r="N183" i="3"/>
  <c r="P183" i="3" s="1"/>
  <c r="K183" i="3"/>
  <c r="L183" i="3" s="1"/>
  <c r="J183" i="3"/>
  <c r="S182" i="3"/>
  <c r="P182" i="3"/>
  <c r="N182" i="3"/>
  <c r="Q182" i="3" s="1"/>
  <c r="R182" i="3" s="1"/>
  <c r="K182" i="3"/>
  <c r="L182" i="3" s="1"/>
  <c r="J182" i="3"/>
  <c r="U181" i="3"/>
  <c r="S181" i="3"/>
  <c r="P181" i="3"/>
  <c r="N181" i="3"/>
  <c r="O181" i="3" s="1"/>
  <c r="L181" i="3"/>
  <c r="K181" i="3"/>
  <c r="M181" i="3" s="1"/>
  <c r="J181" i="3"/>
  <c r="S180" i="3"/>
  <c r="Q180" i="3"/>
  <c r="R180" i="3" s="1"/>
  <c r="N180" i="3"/>
  <c r="P180" i="3" s="1"/>
  <c r="K180" i="3"/>
  <c r="M180" i="3" s="1"/>
  <c r="J180" i="3"/>
  <c r="S179" i="3"/>
  <c r="S177" i="3" s="1"/>
  <c r="O179" i="3"/>
  <c r="N179" i="3"/>
  <c r="P179" i="3" s="1"/>
  <c r="J179" i="3"/>
  <c r="J177" i="3" s="1"/>
  <c r="U178" i="3"/>
  <c r="S178" i="3"/>
  <c r="N178" i="3"/>
  <c r="P178" i="3" s="1"/>
  <c r="M178" i="3"/>
  <c r="L178" i="3"/>
  <c r="K178" i="3"/>
  <c r="I177" i="3"/>
  <c r="H177" i="3"/>
  <c r="G177" i="3"/>
  <c r="F177" i="3"/>
  <c r="E177" i="3"/>
  <c r="S176" i="3"/>
  <c r="Q176" i="3"/>
  <c r="R176" i="3" s="1"/>
  <c r="N176" i="3"/>
  <c r="P176" i="3" s="1"/>
  <c r="K176" i="3"/>
  <c r="M176" i="3" s="1"/>
  <c r="J176" i="3"/>
  <c r="U175" i="3"/>
  <c r="S175" i="3"/>
  <c r="S173" i="3" s="1"/>
  <c r="O175" i="3"/>
  <c r="N175" i="3"/>
  <c r="P175" i="3" s="1"/>
  <c r="J175" i="3"/>
  <c r="K175" i="3" s="1"/>
  <c r="U174" i="3"/>
  <c r="S174" i="3"/>
  <c r="N174" i="3"/>
  <c r="J174" i="3"/>
  <c r="I173" i="3"/>
  <c r="H173" i="3"/>
  <c r="G173" i="3"/>
  <c r="F173" i="3"/>
  <c r="E173" i="3"/>
  <c r="E148" i="3" s="1"/>
  <c r="U172" i="3"/>
  <c r="S172" i="3"/>
  <c r="R172" i="3"/>
  <c r="Q172" i="3"/>
  <c r="P172" i="3"/>
  <c r="O172" i="3"/>
  <c r="N172" i="3"/>
  <c r="M172" i="3"/>
  <c r="L172" i="3"/>
  <c r="K172" i="3"/>
  <c r="U171" i="3"/>
  <c r="S171" i="3"/>
  <c r="N171" i="3"/>
  <c r="P171" i="3" s="1"/>
  <c r="K171" i="3"/>
  <c r="M171" i="3" s="1"/>
  <c r="U170" i="3"/>
  <c r="S170" i="3"/>
  <c r="P170" i="3"/>
  <c r="N170" i="3"/>
  <c r="O170" i="3" s="1"/>
  <c r="M170" i="3"/>
  <c r="K170" i="3"/>
  <c r="L170" i="3" s="1"/>
  <c r="S169" i="3"/>
  <c r="S167" i="3" s="1"/>
  <c r="O169" i="3"/>
  <c r="N169" i="3"/>
  <c r="N167" i="3" s="1"/>
  <c r="P167" i="3" s="1"/>
  <c r="M169" i="3"/>
  <c r="K169" i="3"/>
  <c r="L169" i="3" s="1"/>
  <c r="U168" i="3"/>
  <c r="S168" i="3"/>
  <c r="R168" i="3"/>
  <c r="Q168" i="3"/>
  <c r="P168" i="3"/>
  <c r="O168" i="3"/>
  <c r="N168" i="3"/>
  <c r="M168" i="3"/>
  <c r="L168" i="3"/>
  <c r="K168" i="3"/>
  <c r="K167" i="3"/>
  <c r="J167" i="3"/>
  <c r="I167" i="3"/>
  <c r="H167" i="3"/>
  <c r="G167" i="3"/>
  <c r="F167" i="3"/>
  <c r="E167" i="3"/>
  <c r="U166" i="3"/>
  <c r="S166" i="3"/>
  <c r="O166" i="3"/>
  <c r="N166" i="3"/>
  <c r="P166" i="3" s="1"/>
  <c r="J166" i="3"/>
  <c r="K166" i="3" s="1"/>
  <c r="M166" i="3" s="1"/>
  <c r="U165" i="3"/>
  <c r="S165" i="3"/>
  <c r="N165" i="3"/>
  <c r="J165" i="3"/>
  <c r="U164" i="3"/>
  <c r="S164" i="3"/>
  <c r="R164" i="3"/>
  <c r="Q164" i="3"/>
  <c r="P164" i="3"/>
  <c r="O164" i="3"/>
  <c r="N164" i="3"/>
  <c r="M164" i="3"/>
  <c r="L164" i="3"/>
  <c r="J164" i="3"/>
  <c r="K164" i="3" s="1"/>
  <c r="U163" i="3"/>
  <c r="S163" i="3"/>
  <c r="R163" i="3"/>
  <c r="P163" i="3"/>
  <c r="O163" i="3"/>
  <c r="N163" i="3"/>
  <c r="Q163" i="3" s="1"/>
  <c r="K163" i="3"/>
  <c r="M163" i="3" s="1"/>
  <c r="J163" i="3"/>
  <c r="S162" i="3"/>
  <c r="O162" i="3"/>
  <c r="N162" i="3"/>
  <c r="P162" i="3" s="1"/>
  <c r="K162" i="3"/>
  <c r="L162" i="3" s="1"/>
  <c r="J162" i="3"/>
  <c r="S161" i="3"/>
  <c r="S158" i="3" s="1"/>
  <c r="P161" i="3"/>
  <c r="N161" i="3"/>
  <c r="Q161" i="3" s="1"/>
  <c r="R161" i="3" s="1"/>
  <c r="K161" i="3"/>
  <c r="L161" i="3" s="1"/>
  <c r="J161" i="3"/>
  <c r="U160" i="3"/>
  <c r="S160" i="3"/>
  <c r="P160" i="3"/>
  <c r="N160" i="3"/>
  <c r="O160" i="3" s="1"/>
  <c r="L160" i="3"/>
  <c r="K160" i="3"/>
  <c r="M160" i="3" s="1"/>
  <c r="J160" i="3"/>
  <c r="S159" i="3"/>
  <c r="Q159" i="3"/>
  <c r="N159" i="3"/>
  <c r="P159" i="3" s="1"/>
  <c r="K159" i="3"/>
  <c r="J159" i="3"/>
  <c r="I158" i="3"/>
  <c r="H158" i="3"/>
  <c r="G158" i="3"/>
  <c r="F158" i="3"/>
  <c r="E158" i="3"/>
  <c r="U157" i="3"/>
  <c r="S157" i="3"/>
  <c r="Q157" i="3"/>
  <c r="R157" i="3" s="1"/>
  <c r="O157" i="3"/>
  <c r="N157" i="3"/>
  <c r="P157" i="3" s="1"/>
  <c r="L157" i="3"/>
  <c r="K157" i="3"/>
  <c r="M157" i="3" s="1"/>
  <c r="U156" i="3"/>
  <c r="S156" i="3"/>
  <c r="P156" i="3"/>
  <c r="N156" i="3"/>
  <c r="O156" i="3" s="1"/>
  <c r="L156" i="3"/>
  <c r="K156" i="3"/>
  <c r="M156" i="3" s="1"/>
  <c r="S155" i="3"/>
  <c r="S149" i="3" s="1"/>
  <c r="O155" i="3"/>
  <c r="N155" i="3"/>
  <c r="P155" i="3" s="1"/>
  <c r="K155" i="3"/>
  <c r="L155" i="3" s="1"/>
  <c r="U154" i="3"/>
  <c r="S154" i="3"/>
  <c r="Q154" i="3"/>
  <c r="R154" i="3" s="1"/>
  <c r="P154" i="3"/>
  <c r="O154" i="3"/>
  <c r="N154" i="3"/>
  <c r="M154" i="3"/>
  <c r="L154" i="3"/>
  <c r="K154" i="3"/>
  <c r="S153" i="3"/>
  <c r="N153" i="3"/>
  <c r="P153" i="3" s="1"/>
  <c r="K153" i="3"/>
  <c r="U152" i="3"/>
  <c r="S152" i="3"/>
  <c r="Q152" i="3"/>
  <c r="R152" i="3" s="1"/>
  <c r="P152" i="3"/>
  <c r="N152" i="3"/>
  <c r="O152" i="3" s="1"/>
  <c r="K152" i="3"/>
  <c r="S151" i="3"/>
  <c r="P151" i="3"/>
  <c r="O151" i="3"/>
  <c r="N151" i="3"/>
  <c r="M151" i="3"/>
  <c r="K151" i="3"/>
  <c r="L151" i="3" s="1"/>
  <c r="U150" i="3"/>
  <c r="S150" i="3"/>
  <c r="Q150" i="3"/>
  <c r="P150" i="3"/>
  <c r="O150" i="3"/>
  <c r="N150" i="3"/>
  <c r="M150" i="3"/>
  <c r="L150" i="3"/>
  <c r="K150" i="3"/>
  <c r="J149" i="3"/>
  <c r="I149" i="3"/>
  <c r="H149" i="3"/>
  <c r="G149" i="3"/>
  <c r="F149" i="3"/>
  <c r="E149" i="3"/>
  <c r="U147" i="3"/>
  <c r="S147" i="3"/>
  <c r="R147" i="3"/>
  <c r="Q147" i="3"/>
  <c r="O147" i="3"/>
  <c r="N147" i="3"/>
  <c r="P147" i="3" s="1"/>
  <c r="K147" i="3"/>
  <c r="S146" i="3"/>
  <c r="Q146" i="3"/>
  <c r="N146" i="3"/>
  <c r="J146" i="3"/>
  <c r="I146" i="3"/>
  <c r="H146" i="3"/>
  <c r="G146" i="3"/>
  <c r="F146" i="3"/>
  <c r="E146" i="3"/>
  <c r="S145" i="3"/>
  <c r="N145" i="3"/>
  <c r="O145" i="3" s="1"/>
  <c r="M145" i="3"/>
  <c r="L145" i="3"/>
  <c r="K145" i="3"/>
  <c r="S144" i="3"/>
  <c r="N144" i="3"/>
  <c r="K144" i="3"/>
  <c r="U143" i="3"/>
  <c r="S143" i="3"/>
  <c r="R143" i="3"/>
  <c r="Q143" i="3"/>
  <c r="P143" i="3"/>
  <c r="O143" i="3"/>
  <c r="N143" i="3"/>
  <c r="M143" i="3"/>
  <c r="L143" i="3"/>
  <c r="K143" i="3"/>
  <c r="S142" i="3"/>
  <c r="N142" i="3"/>
  <c r="K142" i="3"/>
  <c r="M142" i="3" s="1"/>
  <c r="U141" i="3"/>
  <c r="S141" i="3"/>
  <c r="P141" i="3"/>
  <c r="N141" i="3"/>
  <c r="O141" i="3" s="1"/>
  <c r="M141" i="3"/>
  <c r="K141" i="3"/>
  <c r="L141" i="3" s="1"/>
  <c r="S140" i="3"/>
  <c r="S137" i="3" s="1"/>
  <c r="O140" i="3"/>
  <c r="N140" i="3"/>
  <c r="M140" i="3"/>
  <c r="K140" i="3"/>
  <c r="L140" i="3" s="1"/>
  <c r="U139" i="3"/>
  <c r="S139" i="3"/>
  <c r="R139" i="3"/>
  <c r="Q139" i="3"/>
  <c r="P139" i="3"/>
  <c r="O139" i="3"/>
  <c r="N139" i="3"/>
  <c r="M139" i="3"/>
  <c r="L139" i="3"/>
  <c r="K139" i="3"/>
  <c r="U138" i="3"/>
  <c r="S138" i="3"/>
  <c r="R138" i="3"/>
  <c r="Q138" i="3"/>
  <c r="O138" i="3"/>
  <c r="N138" i="3"/>
  <c r="P138" i="3" s="1"/>
  <c r="K138" i="3"/>
  <c r="K137" i="3" s="1"/>
  <c r="J137" i="3"/>
  <c r="I137" i="3"/>
  <c r="H137" i="3"/>
  <c r="G137" i="3"/>
  <c r="F137" i="3"/>
  <c r="E137" i="3"/>
  <c r="S136" i="3"/>
  <c r="S135" i="3" s="1"/>
  <c r="N136" i="3"/>
  <c r="O136" i="3" s="1"/>
  <c r="M136" i="3"/>
  <c r="L136" i="3"/>
  <c r="K136" i="3"/>
  <c r="N135" i="3"/>
  <c r="K135" i="3"/>
  <c r="J135" i="3"/>
  <c r="I135" i="3"/>
  <c r="H135" i="3"/>
  <c r="G135" i="3"/>
  <c r="F135" i="3"/>
  <c r="E135" i="3"/>
  <c r="S134" i="3"/>
  <c r="N134" i="3"/>
  <c r="J134" i="3"/>
  <c r="K134" i="3" s="1"/>
  <c r="S133" i="3"/>
  <c r="N133" i="3"/>
  <c r="J133" i="3"/>
  <c r="J131" i="3" s="1"/>
  <c r="S132" i="3"/>
  <c r="S131" i="3" s="1"/>
  <c r="N132" i="3"/>
  <c r="K132" i="3"/>
  <c r="M132" i="3" s="1"/>
  <c r="J132" i="3"/>
  <c r="I131" i="3"/>
  <c r="H131" i="3"/>
  <c r="G131" i="3"/>
  <c r="F131" i="3"/>
  <c r="E131" i="3"/>
  <c r="S130" i="3"/>
  <c r="S126" i="3" s="1"/>
  <c r="P130" i="3"/>
  <c r="N130" i="3"/>
  <c r="U130" i="3" s="1"/>
  <c r="L130" i="3"/>
  <c r="K130" i="3"/>
  <c r="M130" i="3" s="1"/>
  <c r="S129" i="3"/>
  <c r="R129" i="3"/>
  <c r="Q129" i="3"/>
  <c r="P129" i="3"/>
  <c r="N129" i="3"/>
  <c r="K129" i="3"/>
  <c r="U128" i="3"/>
  <c r="S128" i="3"/>
  <c r="R128" i="3"/>
  <c r="P128" i="3"/>
  <c r="O128" i="3"/>
  <c r="N128" i="3"/>
  <c r="Q128" i="3" s="1"/>
  <c r="M128" i="3"/>
  <c r="L128" i="3"/>
  <c r="K128" i="3"/>
  <c r="K126" i="3" s="1"/>
  <c r="S127" i="3"/>
  <c r="Q127" i="3"/>
  <c r="R127" i="3" s="1"/>
  <c r="N127" i="3"/>
  <c r="P127" i="3" s="1"/>
  <c r="M127" i="3"/>
  <c r="L127" i="3"/>
  <c r="K127" i="3"/>
  <c r="N126" i="3"/>
  <c r="J126" i="3"/>
  <c r="I126" i="3"/>
  <c r="H126" i="3"/>
  <c r="G126" i="3"/>
  <c r="F126" i="3"/>
  <c r="E126" i="3"/>
  <c r="U125" i="3"/>
  <c r="S125" i="3"/>
  <c r="Q125" i="3"/>
  <c r="R125" i="3" s="1"/>
  <c r="P125" i="3"/>
  <c r="O125" i="3"/>
  <c r="N125" i="3"/>
  <c r="K125" i="3"/>
  <c r="J125" i="3"/>
  <c r="S124" i="3"/>
  <c r="S121" i="3" s="1"/>
  <c r="Q124" i="3"/>
  <c r="R124" i="3" s="1"/>
  <c r="N124" i="3"/>
  <c r="P124" i="3" s="1"/>
  <c r="L124" i="3"/>
  <c r="K124" i="3"/>
  <c r="M124" i="3" s="1"/>
  <c r="J124" i="3"/>
  <c r="S123" i="3"/>
  <c r="N123" i="3"/>
  <c r="J123" i="3"/>
  <c r="K123" i="3" s="1"/>
  <c r="U122" i="3"/>
  <c r="S122" i="3"/>
  <c r="Q122" i="3"/>
  <c r="P122" i="3"/>
  <c r="O122" i="3"/>
  <c r="N122" i="3"/>
  <c r="J122" i="3"/>
  <c r="I121" i="3"/>
  <c r="H121" i="3"/>
  <c r="G121" i="3"/>
  <c r="F121" i="3"/>
  <c r="E121" i="3"/>
  <c r="U120" i="3"/>
  <c r="S120" i="3"/>
  <c r="R120" i="3"/>
  <c r="Q120" i="3"/>
  <c r="P120" i="3"/>
  <c r="O120" i="3"/>
  <c r="N120" i="3"/>
  <c r="K120" i="3"/>
  <c r="L120" i="3" s="1"/>
  <c r="S119" i="3"/>
  <c r="N119" i="3"/>
  <c r="M119" i="3"/>
  <c r="L119" i="3"/>
  <c r="K119" i="3"/>
  <c r="U118" i="3"/>
  <c r="S118" i="3"/>
  <c r="S116" i="3" s="1"/>
  <c r="O118" i="3"/>
  <c r="N118" i="3"/>
  <c r="Q118" i="3" s="1"/>
  <c r="R118" i="3" s="1"/>
  <c r="L118" i="3"/>
  <c r="K118" i="3"/>
  <c r="M118" i="3" s="1"/>
  <c r="S117" i="3"/>
  <c r="N117" i="3"/>
  <c r="K117" i="3"/>
  <c r="J117" i="3"/>
  <c r="J116" i="3" s="1"/>
  <c r="I116" i="3"/>
  <c r="H116" i="3"/>
  <c r="G116" i="3"/>
  <c r="F116" i="3"/>
  <c r="E116" i="3"/>
  <c r="S115" i="3"/>
  <c r="P115" i="3"/>
  <c r="N115" i="3"/>
  <c r="K115" i="3"/>
  <c r="S114" i="3"/>
  <c r="O114" i="3"/>
  <c r="N114" i="3"/>
  <c r="M114" i="3"/>
  <c r="K114" i="3"/>
  <c r="L114" i="3" s="1"/>
  <c r="U113" i="3"/>
  <c r="S113" i="3"/>
  <c r="R113" i="3"/>
  <c r="Q113" i="3"/>
  <c r="P113" i="3"/>
  <c r="O113" i="3"/>
  <c r="N113" i="3"/>
  <c r="M113" i="3"/>
  <c r="L113" i="3"/>
  <c r="K113" i="3"/>
  <c r="U112" i="3"/>
  <c r="S112" i="3"/>
  <c r="R112" i="3"/>
  <c r="Q112" i="3"/>
  <c r="O112" i="3"/>
  <c r="N112" i="3"/>
  <c r="P112" i="3" s="1"/>
  <c r="L112" i="3"/>
  <c r="K112" i="3"/>
  <c r="M112" i="3" s="1"/>
  <c r="U111" i="3"/>
  <c r="S111" i="3"/>
  <c r="Q111" i="3"/>
  <c r="R111" i="3" s="1"/>
  <c r="P111" i="3"/>
  <c r="N111" i="3"/>
  <c r="O111" i="3" s="1"/>
  <c r="L111" i="3"/>
  <c r="K111" i="3"/>
  <c r="M111" i="3" s="1"/>
  <c r="S110" i="3"/>
  <c r="P110" i="3"/>
  <c r="N110" i="3"/>
  <c r="J110" i="3"/>
  <c r="K110" i="3" s="1"/>
  <c r="S109" i="3"/>
  <c r="S107" i="3" s="1"/>
  <c r="N109" i="3"/>
  <c r="J109" i="3"/>
  <c r="K109" i="3" s="1"/>
  <c r="S108" i="3"/>
  <c r="Q108" i="3"/>
  <c r="N108" i="3"/>
  <c r="O108" i="3" s="1"/>
  <c r="L108" i="3"/>
  <c r="K108" i="3"/>
  <c r="M108" i="3" s="1"/>
  <c r="N107" i="3"/>
  <c r="J107" i="3"/>
  <c r="I107" i="3"/>
  <c r="H107" i="3"/>
  <c r="G107" i="3"/>
  <c r="F107" i="3"/>
  <c r="E107" i="3"/>
  <c r="S106" i="3"/>
  <c r="P106" i="3"/>
  <c r="O106" i="3"/>
  <c r="N106" i="3"/>
  <c r="J106" i="3"/>
  <c r="K106" i="3" s="1"/>
  <c r="S105" i="3"/>
  <c r="Q105" i="3"/>
  <c r="R105" i="3" s="1"/>
  <c r="P105" i="3"/>
  <c r="N105" i="3"/>
  <c r="J105" i="3"/>
  <c r="K105" i="3" s="1"/>
  <c r="S104" i="3"/>
  <c r="Q104" i="3"/>
  <c r="R104" i="3" s="1"/>
  <c r="P104" i="3"/>
  <c r="N104" i="3"/>
  <c r="O104" i="3" s="1"/>
  <c r="M104" i="3"/>
  <c r="L104" i="3"/>
  <c r="K104" i="3"/>
  <c r="J104" i="3"/>
  <c r="U103" i="3"/>
  <c r="S103" i="3"/>
  <c r="Q103" i="3"/>
  <c r="R103" i="3" s="1"/>
  <c r="O103" i="3"/>
  <c r="N103" i="3"/>
  <c r="P103" i="3" s="1"/>
  <c r="L103" i="3"/>
  <c r="K103" i="3"/>
  <c r="M103" i="3" s="1"/>
  <c r="J103" i="3"/>
  <c r="U102" i="3"/>
  <c r="S102" i="3"/>
  <c r="O102" i="3"/>
  <c r="N102" i="3"/>
  <c r="P102" i="3" s="1"/>
  <c r="K102" i="3"/>
  <c r="J102" i="3"/>
  <c r="J101" i="3"/>
  <c r="I101" i="3"/>
  <c r="H101" i="3"/>
  <c r="G101" i="3"/>
  <c r="F101" i="3"/>
  <c r="E101" i="3"/>
  <c r="S100" i="3"/>
  <c r="R100" i="3"/>
  <c r="Q100" i="3"/>
  <c r="N100" i="3"/>
  <c r="M100" i="3"/>
  <c r="L100" i="3"/>
  <c r="J100" i="3"/>
  <c r="K100" i="3" s="1"/>
  <c r="U99" i="3"/>
  <c r="S99" i="3"/>
  <c r="R99" i="3"/>
  <c r="Q99" i="3"/>
  <c r="Q98" i="3" s="1"/>
  <c r="P99" i="3"/>
  <c r="O99" i="3"/>
  <c r="N99" i="3"/>
  <c r="L99" i="3"/>
  <c r="J99" i="3"/>
  <c r="K99" i="3" s="1"/>
  <c r="M99" i="3" s="1"/>
  <c r="S98" i="3"/>
  <c r="R98" i="3"/>
  <c r="L98" i="3"/>
  <c r="K98" i="3"/>
  <c r="I98" i="3"/>
  <c r="H98" i="3"/>
  <c r="G98" i="3"/>
  <c r="F98" i="3"/>
  <c r="E98" i="3"/>
  <c r="U97" i="3"/>
  <c r="S97" i="3"/>
  <c r="Q97" i="3"/>
  <c r="R97" i="3" s="1"/>
  <c r="P97" i="3"/>
  <c r="O97" i="3"/>
  <c r="N97" i="3"/>
  <c r="J97" i="3"/>
  <c r="K97" i="3" s="1"/>
  <c r="M97" i="3" s="1"/>
  <c r="U96" i="3"/>
  <c r="S96" i="3"/>
  <c r="N96" i="3"/>
  <c r="K96" i="3"/>
  <c r="J96" i="3"/>
  <c r="S95" i="3"/>
  <c r="P95" i="3"/>
  <c r="N95" i="3"/>
  <c r="U95" i="3" s="1"/>
  <c r="M95" i="3"/>
  <c r="L95" i="3"/>
  <c r="K95" i="3"/>
  <c r="J95" i="3"/>
  <c r="S94" i="3"/>
  <c r="P94" i="3"/>
  <c r="O94" i="3"/>
  <c r="N94" i="3"/>
  <c r="Q94" i="3" s="1"/>
  <c r="R94" i="3" s="1"/>
  <c r="K94" i="3"/>
  <c r="J94" i="3"/>
  <c r="S93" i="3"/>
  <c r="N93" i="3"/>
  <c r="K93" i="3"/>
  <c r="J93" i="3"/>
  <c r="N92" i="3"/>
  <c r="I92" i="3"/>
  <c r="J92" i="3" s="1"/>
  <c r="H92" i="3"/>
  <c r="G92" i="3"/>
  <c r="F92" i="3"/>
  <c r="E92" i="3"/>
  <c r="S91" i="3"/>
  <c r="N91" i="3"/>
  <c r="Q91" i="3" s="1"/>
  <c r="R91" i="3" s="1"/>
  <c r="J91" i="3"/>
  <c r="K91" i="3" s="1"/>
  <c r="U90" i="3"/>
  <c r="S90" i="3"/>
  <c r="Q90" i="3"/>
  <c r="R90" i="3" s="1"/>
  <c r="P90" i="3"/>
  <c r="O90" i="3"/>
  <c r="N90" i="3"/>
  <c r="J90" i="3"/>
  <c r="K90" i="3" s="1"/>
  <c r="M90" i="3" s="1"/>
  <c r="U89" i="3"/>
  <c r="S89" i="3"/>
  <c r="S87" i="3" s="1"/>
  <c r="R89" i="3"/>
  <c r="Q89" i="3"/>
  <c r="P89" i="3"/>
  <c r="O89" i="3"/>
  <c r="N89" i="3"/>
  <c r="L89" i="3"/>
  <c r="K89" i="3"/>
  <c r="M89" i="3" s="1"/>
  <c r="J89" i="3"/>
  <c r="S88" i="3"/>
  <c r="O88" i="3"/>
  <c r="N88" i="3"/>
  <c r="Q88" i="3" s="1"/>
  <c r="J88" i="3"/>
  <c r="K88" i="3" s="1"/>
  <c r="J87" i="3"/>
  <c r="I87" i="3"/>
  <c r="H87" i="3"/>
  <c r="G87" i="3"/>
  <c r="F87" i="3"/>
  <c r="E87" i="3"/>
  <c r="S86" i="3"/>
  <c r="R86" i="3"/>
  <c r="Q86" i="3"/>
  <c r="P86" i="3"/>
  <c r="N86" i="3"/>
  <c r="U86" i="3" s="1"/>
  <c r="J86" i="3"/>
  <c r="U85" i="3"/>
  <c r="S85" i="3"/>
  <c r="P85" i="3"/>
  <c r="N85" i="3"/>
  <c r="O85" i="3" s="1"/>
  <c r="M85" i="3"/>
  <c r="L85" i="3"/>
  <c r="K85" i="3"/>
  <c r="J85" i="3"/>
  <c r="S84" i="3"/>
  <c r="P84" i="3"/>
  <c r="O84" i="3"/>
  <c r="N84" i="3"/>
  <c r="Q84" i="3" s="1"/>
  <c r="R84" i="3" s="1"/>
  <c r="K84" i="3"/>
  <c r="J84" i="3"/>
  <c r="S83" i="3"/>
  <c r="N83" i="3"/>
  <c r="K83" i="3"/>
  <c r="U82" i="3"/>
  <c r="S82" i="3"/>
  <c r="P82" i="3"/>
  <c r="N82" i="3"/>
  <c r="O82" i="3" s="1"/>
  <c r="M82" i="3"/>
  <c r="L82" i="3"/>
  <c r="K82" i="3"/>
  <c r="S81" i="3"/>
  <c r="O81" i="3"/>
  <c r="N81" i="3"/>
  <c r="M81" i="3"/>
  <c r="K81" i="3"/>
  <c r="L81" i="3" s="1"/>
  <c r="U80" i="3"/>
  <c r="S80" i="3"/>
  <c r="Q80" i="3"/>
  <c r="R80" i="3" s="1"/>
  <c r="P80" i="3"/>
  <c r="O80" i="3"/>
  <c r="N80" i="3"/>
  <c r="M80" i="3"/>
  <c r="L80" i="3"/>
  <c r="K80" i="3"/>
  <c r="S79" i="3"/>
  <c r="N79" i="3"/>
  <c r="K79" i="3"/>
  <c r="I78" i="3"/>
  <c r="H78" i="3"/>
  <c r="G78" i="3"/>
  <c r="F78" i="3"/>
  <c r="E78" i="3"/>
  <c r="U77" i="3"/>
  <c r="S77" i="3"/>
  <c r="P77" i="3"/>
  <c r="N77" i="3"/>
  <c r="O77" i="3" s="1"/>
  <c r="M77" i="3"/>
  <c r="L77" i="3"/>
  <c r="K77" i="3"/>
  <c r="S76" i="3"/>
  <c r="S75" i="3" s="1"/>
  <c r="N76" i="3"/>
  <c r="M76" i="3"/>
  <c r="K76" i="3"/>
  <c r="K75" i="3" s="1"/>
  <c r="M75" i="3" s="1"/>
  <c r="J75" i="3"/>
  <c r="I75" i="3"/>
  <c r="H75" i="3"/>
  <c r="G75" i="3"/>
  <c r="F75" i="3"/>
  <c r="E75" i="3"/>
  <c r="U74" i="3"/>
  <c r="S74" i="3"/>
  <c r="Q74" i="3"/>
  <c r="R74" i="3" s="1"/>
  <c r="P74" i="3"/>
  <c r="O74" i="3"/>
  <c r="N74" i="3"/>
  <c r="M74" i="3"/>
  <c r="L74" i="3"/>
  <c r="K74" i="3"/>
  <c r="S73" i="3"/>
  <c r="N73" i="3"/>
  <c r="K73" i="3"/>
  <c r="U72" i="3"/>
  <c r="S72" i="3"/>
  <c r="S71" i="3" s="1"/>
  <c r="P72" i="3"/>
  <c r="N72" i="3"/>
  <c r="O72" i="3" s="1"/>
  <c r="M72" i="3"/>
  <c r="L72" i="3"/>
  <c r="K72" i="3"/>
  <c r="N71" i="3"/>
  <c r="P71" i="3" s="1"/>
  <c r="J71" i="3"/>
  <c r="I71" i="3"/>
  <c r="H71" i="3"/>
  <c r="G71" i="3"/>
  <c r="F71" i="3"/>
  <c r="E71" i="3"/>
  <c r="E63" i="3" s="1"/>
  <c r="S70" i="3"/>
  <c r="N70" i="3"/>
  <c r="M70" i="3"/>
  <c r="K70" i="3"/>
  <c r="L70" i="3" s="1"/>
  <c r="U69" i="3"/>
  <c r="S69" i="3"/>
  <c r="Q69" i="3"/>
  <c r="P69" i="3"/>
  <c r="O69" i="3"/>
  <c r="N69" i="3"/>
  <c r="N68" i="3" s="1"/>
  <c r="P68" i="3" s="1"/>
  <c r="J69" i="3"/>
  <c r="K69" i="3" s="1"/>
  <c r="M69" i="3" s="1"/>
  <c r="U68" i="3"/>
  <c r="S68" i="3"/>
  <c r="J68" i="3"/>
  <c r="I68" i="3"/>
  <c r="H68" i="3"/>
  <c r="G68" i="3"/>
  <c r="G63" i="3" s="1"/>
  <c r="F68" i="3"/>
  <c r="E68" i="3"/>
  <c r="U67" i="3"/>
  <c r="S67" i="3"/>
  <c r="R67" i="3"/>
  <c r="Q67" i="3"/>
  <c r="P67" i="3"/>
  <c r="O67" i="3"/>
  <c r="N67" i="3"/>
  <c r="L67" i="3"/>
  <c r="K67" i="3"/>
  <c r="M67" i="3" s="1"/>
  <c r="S66" i="3"/>
  <c r="N66" i="3"/>
  <c r="M66" i="3"/>
  <c r="L66" i="3"/>
  <c r="K66" i="3"/>
  <c r="S65" i="3"/>
  <c r="N65" i="3"/>
  <c r="K65" i="3"/>
  <c r="K64" i="3" s="1"/>
  <c r="S64" i="3"/>
  <c r="J64" i="3"/>
  <c r="I64" i="3"/>
  <c r="I63" i="3" s="1"/>
  <c r="H64" i="3"/>
  <c r="H63" i="3" s="1"/>
  <c r="G64" i="3"/>
  <c r="F64" i="3"/>
  <c r="E64" i="3"/>
  <c r="S62" i="3"/>
  <c r="Q62" i="3"/>
  <c r="Q61" i="3" s="1"/>
  <c r="R61" i="3" s="1"/>
  <c r="P62" i="3"/>
  <c r="N62" i="3"/>
  <c r="U62" i="3" s="1"/>
  <c r="M62" i="3"/>
  <c r="K62" i="3"/>
  <c r="L62" i="3" s="1"/>
  <c r="S61" i="3"/>
  <c r="K61" i="3"/>
  <c r="M61" i="3" s="1"/>
  <c r="J61" i="3"/>
  <c r="I61" i="3"/>
  <c r="H61" i="3"/>
  <c r="G61" i="3"/>
  <c r="F61" i="3"/>
  <c r="E61" i="3"/>
  <c r="U60" i="3"/>
  <c r="S60" i="3"/>
  <c r="R60" i="3"/>
  <c r="Q60" i="3"/>
  <c r="P60" i="3"/>
  <c r="O60" i="3"/>
  <c r="N60" i="3"/>
  <c r="K60" i="3"/>
  <c r="M60" i="3" s="1"/>
  <c r="S59" i="3"/>
  <c r="N59" i="3"/>
  <c r="P59" i="3" s="1"/>
  <c r="M59" i="3"/>
  <c r="L59" i="3"/>
  <c r="K59" i="3"/>
  <c r="S58" i="3"/>
  <c r="S57" i="3" s="1"/>
  <c r="N58" i="3"/>
  <c r="K58" i="3"/>
  <c r="K57" i="3"/>
  <c r="L57" i="3" s="1"/>
  <c r="J57" i="3"/>
  <c r="I57" i="3"/>
  <c r="H57" i="3"/>
  <c r="G57" i="3"/>
  <c r="F57" i="3"/>
  <c r="E57" i="3"/>
  <c r="S56" i="3"/>
  <c r="Q56" i="3"/>
  <c r="R56" i="3" s="1"/>
  <c r="P56" i="3"/>
  <c r="N56" i="3"/>
  <c r="U56" i="3" s="1"/>
  <c r="M56" i="3"/>
  <c r="K56" i="3"/>
  <c r="L56" i="3" s="1"/>
  <c r="U55" i="3"/>
  <c r="S55" i="3"/>
  <c r="R55" i="3"/>
  <c r="Q55" i="3"/>
  <c r="P55" i="3"/>
  <c r="O55" i="3"/>
  <c r="N55" i="3"/>
  <c r="K55" i="3"/>
  <c r="M55" i="3" s="1"/>
  <c r="U54" i="3"/>
  <c r="S54" i="3"/>
  <c r="N54" i="3"/>
  <c r="P54" i="3" s="1"/>
  <c r="M54" i="3"/>
  <c r="L54" i="3"/>
  <c r="K54" i="3"/>
  <c r="S53" i="3"/>
  <c r="N53" i="3"/>
  <c r="P53" i="3" s="1"/>
  <c r="J53" i="3"/>
  <c r="I53" i="3"/>
  <c r="H53" i="3"/>
  <c r="G53" i="3"/>
  <c r="F53" i="3"/>
  <c r="E53" i="3"/>
  <c r="S52" i="3"/>
  <c r="N52" i="3"/>
  <c r="U52" i="3" s="1"/>
  <c r="K52" i="3"/>
  <c r="J52" i="3"/>
  <c r="S51" i="3"/>
  <c r="N51" i="3"/>
  <c r="Q51" i="3" s="1"/>
  <c r="R51" i="3" s="1"/>
  <c r="K51" i="3"/>
  <c r="M51" i="3" s="1"/>
  <c r="J51" i="3"/>
  <c r="S50" i="3"/>
  <c r="N50" i="3"/>
  <c r="P50" i="3" s="1"/>
  <c r="M50" i="3"/>
  <c r="L50" i="3"/>
  <c r="J50" i="3"/>
  <c r="K50" i="3" s="1"/>
  <c r="U49" i="3"/>
  <c r="S49" i="3"/>
  <c r="Q49" i="3"/>
  <c r="R49" i="3" s="1"/>
  <c r="P49" i="3"/>
  <c r="O49" i="3"/>
  <c r="N49" i="3"/>
  <c r="L49" i="3"/>
  <c r="J49" i="3"/>
  <c r="K49" i="3" s="1"/>
  <c r="M49" i="3" s="1"/>
  <c r="U48" i="3"/>
  <c r="S48" i="3"/>
  <c r="R48" i="3"/>
  <c r="Q48" i="3"/>
  <c r="P48" i="3"/>
  <c r="O48" i="3"/>
  <c r="N48" i="3"/>
  <c r="J48" i="3"/>
  <c r="K48" i="3" s="1"/>
  <c r="S47" i="3"/>
  <c r="P47" i="3"/>
  <c r="O47" i="3"/>
  <c r="N47" i="3"/>
  <c r="J47" i="3"/>
  <c r="K47" i="3" s="1"/>
  <c r="S46" i="3"/>
  <c r="J46" i="3"/>
  <c r="I46" i="3"/>
  <c r="H46" i="3"/>
  <c r="G46" i="3"/>
  <c r="F46" i="3"/>
  <c r="E46" i="3"/>
  <c r="S45" i="3"/>
  <c r="N45" i="3"/>
  <c r="M45" i="3"/>
  <c r="K45" i="3"/>
  <c r="L45" i="3" s="1"/>
  <c r="U44" i="3"/>
  <c r="S44" i="3"/>
  <c r="P44" i="3"/>
  <c r="O44" i="3"/>
  <c r="N44" i="3"/>
  <c r="Q44" i="3" s="1"/>
  <c r="R44" i="3" s="1"/>
  <c r="M44" i="3"/>
  <c r="L44" i="3"/>
  <c r="K44" i="3"/>
  <c r="S43" i="3"/>
  <c r="N43" i="3"/>
  <c r="P43" i="3" s="1"/>
  <c r="M43" i="3"/>
  <c r="L43" i="3"/>
  <c r="K43" i="3"/>
  <c r="S42" i="3"/>
  <c r="S41" i="3" s="1"/>
  <c r="Q42" i="3"/>
  <c r="R42" i="3" s="1"/>
  <c r="P42" i="3"/>
  <c r="O42" i="3"/>
  <c r="N42" i="3"/>
  <c r="U42" i="3" s="1"/>
  <c r="K42" i="3"/>
  <c r="M42" i="3" s="1"/>
  <c r="N41" i="3"/>
  <c r="O41" i="3" s="1"/>
  <c r="J41" i="3"/>
  <c r="I41" i="3"/>
  <c r="H41" i="3"/>
  <c r="G41" i="3"/>
  <c r="F41" i="3"/>
  <c r="E41" i="3"/>
  <c r="S40" i="3"/>
  <c r="Q40" i="3"/>
  <c r="R40" i="3" s="1"/>
  <c r="N40" i="3"/>
  <c r="K40" i="3"/>
  <c r="L40" i="3" s="1"/>
  <c r="U39" i="3"/>
  <c r="S39" i="3"/>
  <c r="P39" i="3"/>
  <c r="O39" i="3"/>
  <c r="N39" i="3"/>
  <c r="Q39" i="3" s="1"/>
  <c r="R39" i="3" s="1"/>
  <c r="K39" i="3"/>
  <c r="M39" i="3" s="1"/>
  <c r="J39" i="3"/>
  <c r="S38" i="3"/>
  <c r="N38" i="3"/>
  <c r="P38" i="3" s="1"/>
  <c r="K38" i="3"/>
  <c r="L38" i="3" s="1"/>
  <c r="U37" i="3"/>
  <c r="S37" i="3"/>
  <c r="R37" i="3"/>
  <c r="Q37" i="3"/>
  <c r="P37" i="3"/>
  <c r="O37" i="3"/>
  <c r="N37" i="3"/>
  <c r="M37" i="3"/>
  <c r="L37" i="3"/>
  <c r="K37" i="3"/>
  <c r="S36" i="3"/>
  <c r="N36" i="3"/>
  <c r="P36" i="3" s="1"/>
  <c r="L36" i="3"/>
  <c r="K36" i="3"/>
  <c r="M36" i="3" s="1"/>
  <c r="S35" i="3"/>
  <c r="N35" i="3"/>
  <c r="O35" i="3" s="1"/>
  <c r="M35" i="3"/>
  <c r="L35" i="3"/>
  <c r="K35" i="3"/>
  <c r="S34" i="3"/>
  <c r="N34" i="3"/>
  <c r="M34" i="3"/>
  <c r="K34" i="3"/>
  <c r="L34" i="3" s="1"/>
  <c r="S33" i="3"/>
  <c r="S32" i="3" s="1"/>
  <c r="N33" i="3"/>
  <c r="U33" i="3" s="1"/>
  <c r="K33" i="3"/>
  <c r="M33" i="3" s="1"/>
  <c r="J32" i="3"/>
  <c r="I32" i="3"/>
  <c r="I19" i="3" s="1"/>
  <c r="H32" i="3"/>
  <c r="G32" i="3"/>
  <c r="F32" i="3"/>
  <c r="E32" i="3"/>
  <c r="U31" i="3"/>
  <c r="S31" i="3"/>
  <c r="Q31" i="3"/>
  <c r="R31" i="3" s="1"/>
  <c r="P31" i="3"/>
  <c r="O31" i="3"/>
  <c r="N31" i="3"/>
  <c r="J31" i="3"/>
  <c r="K31" i="3" s="1"/>
  <c r="U30" i="3"/>
  <c r="S30" i="3"/>
  <c r="P30" i="3"/>
  <c r="N30" i="3"/>
  <c r="Q30" i="3" s="1"/>
  <c r="R30" i="3" s="1"/>
  <c r="K30" i="3"/>
  <c r="L30" i="3" s="1"/>
  <c r="J30" i="3"/>
  <c r="S29" i="3"/>
  <c r="N29" i="3"/>
  <c r="O29" i="3" s="1"/>
  <c r="K29" i="3"/>
  <c r="M29" i="3" s="1"/>
  <c r="J29" i="3"/>
  <c r="S28" i="3"/>
  <c r="S27" i="3" s="1"/>
  <c r="Q28" i="3"/>
  <c r="N28" i="3"/>
  <c r="P28" i="3" s="1"/>
  <c r="J28" i="3"/>
  <c r="J27" i="3" s="1"/>
  <c r="I27" i="3"/>
  <c r="H27" i="3"/>
  <c r="G27" i="3"/>
  <c r="F27" i="3"/>
  <c r="F19" i="3" s="1"/>
  <c r="E27" i="3"/>
  <c r="U26" i="3"/>
  <c r="S26" i="3"/>
  <c r="N26" i="3"/>
  <c r="Q26" i="3" s="1"/>
  <c r="R26" i="3" s="1"/>
  <c r="M26" i="3"/>
  <c r="L26" i="3"/>
  <c r="K26" i="3"/>
  <c r="J26" i="3"/>
  <c r="U25" i="3"/>
  <c r="S25" i="3"/>
  <c r="Q25" i="3"/>
  <c r="R25" i="3" s="1"/>
  <c r="P25" i="3"/>
  <c r="O25" i="3"/>
  <c r="N25" i="3"/>
  <c r="J25" i="3"/>
  <c r="K25" i="3" s="1"/>
  <c r="E25" i="3"/>
  <c r="E20" i="3" s="1"/>
  <c r="E19" i="3" s="1"/>
  <c r="E18" i="3" s="1"/>
  <c r="E17" i="3" s="1"/>
  <c r="U24" i="3"/>
  <c r="S24" i="3"/>
  <c r="P24" i="3"/>
  <c r="N24" i="3"/>
  <c r="Q24" i="3" s="1"/>
  <c r="R24" i="3" s="1"/>
  <c r="K24" i="3"/>
  <c r="L24" i="3" s="1"/>
  <c r="J24" i="3"/>
  <c r="S23" i="3"/>
  <c r="N23" i="3"/>
  <c r="U23" i="3" s="1"/>
  <c r="K23" i="3"/>
  <c r="M23" i="3" s="1"/>
  <c r="J23" i="3"/>
  <c r="S22" i="3"/>
  <c r="Q22" i="3"/>
  <c r="R22" i="3" s="1"/>
  <c r="N22" i="3"/>
  <c r="P22" i="3" s="1"/>
  <c r="J22" i="3"/>
  <c r="K22" i="3" s="1"/>
  <c r="U21" i="3"/>
  <c r="S21" i="3"/>
  <c r="S20" i="3" s="1"/>
  <c r="S19" i="3" s="1"/>
  <c r="N21" i="3"/>
  <c r="N20" i="3" s="1"/>
  <c r="M21" i="3"/>
  <c r="L21" i="3"/>
  <c r="K21" i="3"/>
  <c r="K20" i="3" s="1"/>
  <c r="J21" i="3"/>
  <c r="I20" i="3"/>
  <c r="H20" i="3"/>
  <c r="U20" i="3" s="1"/>
  <c r="G20" i="3"/>
  <c r="F20" i="3"/>
  <c r="G19" i="3"/>
  <c r="G18" i="3" s="1"/>
  <c r="A7" i="3"/>
  <c r="Q328" i="2"/>
  <c r="P328" i="2"/>
  <c r="L328" i="2"/>
  <c r="K328" i="2"/>
  <c r="Q327" i="2"/>
  <c r="P327" i="2"/>
  <c r="K327" i="2"/>
  <c r="O326" i="2"/>
  <c r="N326" i="2"/>
  <c r="M326" i="2"/>
  <c r="J326" i="2"/>
  <c r="I326" i="2"/>
  <c r="H326" i="2"/>
  <c r="Q326" i="2" s="1"/>
  <c r="G326" i="2"/>
  <c r="F326" i="2"/>
  <c r="E326" i="2"/>
  <c r="Q325" i="2"/>
  <c r="P325" i="2"/>
  <c r="L325" i="2"/>
  <c r="K325" i="2"/>
  <c r="Q324" i="2"/>
  <c r="P324" i="2"/>
  <c r="K324" i="2"/>
  <c r="L324" i="2" s="1"/>
  <c r="O323" i="2"/>
  <c r="P323" i="2" s="1"/>
  <c r="N323" i="2"/>
  <c r="M323" i="2"/>
  <c r="J323" i="2"/>
  <c r="I323" i="2"/>
  <c r="H323" i="2"/>
  <c r="G323" i="2"/>
  <c r="F323" i="2"/>
  <c r="E323" i="2"/>
  <c r="Q322" i="2"/>
  <c r="P322" i="2"/>
  <c r="K322" i="2"/>
  <c r="L322" i="2" s="1"/>
  <c r="Q321" i="2"/>
  <c r="P321" i="2"/>
  <c r="K321" i="2"/>
  <c r="L321" i="2" s="1"/>
  <c r="Q320" i="2"/>
  <c r="P320" i="2"/>
  <c r="K320" i="2"/>
  <c r="P319" i="2"/>
  <c r="O319" i="2"/>
  <c r="N319" i="2"/>
  <c r="N318" i="2" s="1"/>
  <c r="M319" i="2"/>
  <c r="J319" i="2"/>
  <c r="I319" i="2"/>
  <c r="H319" i="2"/>
  <c r="G319" i="2"/>
  <c r="F319" i="2"/>
  <c r="F318" i="2" s="1"/>
  <c r="E319" i="2"/>
  <c r="O318" i="2"/>
  <c r="M318" i="2"/>
  <c r="G318" i="2"/>
  <c r="E318" i="2"/>
  <c r="Q317" i="2"/>
  <c r="P317" i="2"/>
  <c r="L317" i="2"/>
  <c r="K317" i="2"/>
  <c r="O316" i="2"/>
  <c r="N316" i="2"/>
  <c r="M316" i="2"/>
  <c r="K316" i="2"/>
  <c r="J316" i="2"/>
  <c r="I316" i="2"/>
  <c r="H316" i="2"/>
  <c r="P316" i="2" s="1"/>
  <c r="G316" i="2"/>
  <c r="F316" i="2"/>
  <c r="E316" i="2"/>
  <c r="Q315" i="2"/>
  <c r="P315" i="2"/>
  <c r="K315" i="2"/>
  <c r="L315" i="2" s="1"/>
  <c r="O314" i="2"/>
  <c r="P314" i="2" s="1"/>
  <c r="N314" i="2"/>
  <c r="M314" i="2"/>
  <c r="J314" i="2"/>
  <c r="I314" i="2"/>
  <c r="H314" i="2"/>
  <c r="G314" i="2"/>
  <c r="F314" i="2"/>
  <c r="E314" i="2"/>
  <c r="Q313" i="2"/>
  <c r="P313" i="2"/>
  <c r="K313" i="2"/>
  <c r="L313" i="2" s="1"/>
  <c r="Q312" i="2"/>
  <c r="P312" i="2"/>
  <c r="K312" i="2"/>
  <c r="L312" i="2" s="1"/>
  <c r="Q311" i="2"/>
  <c r="O311" i="2"/>
  <c r="P311" i="2" s="1"/>
  <c r="N311" i="2"/>
  <c r="N305" i="2" s="1"/>
  <c r="M311" i="2"/>
  <c r="J311" i="2"/>
  <c r="I311" i="2"/>
  <c r="H311" i="2"/>
  <c r="G311" i="2"/>
  <c r="F311" i="2"/>
  <c r="F305" i="2" s="1"/>
  <c r="F304" i="2" s="1"/>
  <c r="F303" i="2" s="1"/>
  <c r="E311" i="2"/>
  <c r="Q310" i="2"/>
  <c r="P310" i="2"/>
  <c r="L310" i="2"/>
  <c r="K310" i="2"/>
  <c r="O309" i="2"/>
  <c r="N309" i="2"/>
  <c r="M309" i="2"/>
  <c r="M305" i="2" s="1"/>
  <c r="M304" i="2" s="1"/>
  <c r="M303" i="2" s="1"/>
  <c r="K309" i="2"/>
  <c r="L309" i="2" s="1"/>
  <c r="J309" i="2"/>
  <c r="I309" i="2"/>
  <c r="H309" i="2"/>
  <c r="G309" i="2"/>
  <c r="G305" i="2" s="1"/>
  <c r="G304" i="2" s="1"/>
  <c r="G303" i="2" s="1"/>
  <c r="F309" i="2"/>
  <c r="E309" i="2"/>
  <c r="E305" i="2" s="1"/>
  <c r="E304" i="2" s="1"/>
  <c r="E303" i="2" s="1"/>
  <c r="Q308" i="2"/>
  <c r="P308" i="2"/>
  <c r="L308" i="2"/>
  <c r="K308" i="2"/>
  <c r="Q307" i="2"/>
  <c r="P307" i="2"/>
  <c r="K307" i="2"/>
  <c r="O306" i="2"/>
  <c r="N306" i="2"/>
  <c r="M306" i="2"/>
  <c r="J306" i="2"/>
  <c r="J305" i="2" s="1"/>
  <c r="I306" i="2"/>
  <c r="H306" i="2"/>
  <c r="G306" i="2"/>
  <c r="F306" i="2"/>
  <c r="E306" i="2"/>
  <c r="O305" i="2"/>
  <c r="I305" i="2"/>
  <c r="N304" i="2"/>
  <c r="N303" i="2" s="1"/>
  <c r="Q302" i="2"/>
  <c r="P302" i="2"/>
  <c r="L302" i="2"/>
  <c r="Q301" i="2"/>
  <c r="O301" i="2"/>
  <c r="P301" i="2" s="1"/>
  <c r="N301" i="2"/>
  <c r="M301" i="2"/>
  <c r="K301" i="2"/>
  <c r="L301" i="2" s="1"/>
  <c r="J301" i="2"/>
  <c r="I301" i="2"/>
  <c r="H301" i="2"/>
  <c r="G301" i="2"/>
  <c r="F301" i="2"/>
  <c r="E301" i="2"/>
  <c r="Q300" i="2"/>
  <c r="P300" i="2"/>
  <c r="K300" i="2"/>
  <c r="Q299" i="2"/>
  <c r="P299" i="2"/>
  <c r="L299" i="2"/>
  <c r="K299" i="2"/>
  <c r="P298" i="2"/>
  <c r="O298" i="2"/>
  <c r="N298" i="2"/>
  <c r="M298" i="2"/>
  <c r="J298" i="2"/>
  <c r="I298" i="2"/>
  <c r="H298" i="2"/>
  <c r="G298" i="2"/>
  <c r="F298" i="2"/>
  <c r="E298" i="2"/>
  <c r="Q297" i="2"/>
  <c r="P297" i="2"/>
  <c r="K297" i="2"/>
  <c r="L297" i="2" s="1"/>
  <c r="Q296" i="2"/>
  <c r="P296" i="2"/>
  <c r="L296" i="2"/>
  <c r="K296" i="2"/>
  <c r="Q295" i="2"/>
  <c r="O295" i="2"/>
  <c r="N295" i="2"/>
  <c r="M295" i="2"/>
  <c r="K295" i="2"/>
  <c r="L295" i="2" s="1"/>
  <c r="J295" i="2"/>
  <c r="I295" i="2"/>
  <c r="H295" i="2"/>
  <c r="P295" i="2" s="1"/>
  <c r="G295" i="2"/>
  <c r="F295" i="2"/>
  <c r="E295" i="2"/>
  <c r="Q294" i="2"/>
  <c r="P294" i="2"/>
  <c r="K294" i="2"/>
  <c r="L294" i="2" s="1"/>
  <c r="Q293" i="2"/>
  <c r="P293" i="2"/>
  <c r="K293" i="2"/>
  <c r="L293" i="2" s="1"/>
  <c r="Q292" i="2"/>
  <c r="P292" i="2"/>
  <c r="K292" i="2"/>
  <c r="L292" i="2" s="1"/>
  <c r="Q291" i="2"/>
  <c r="O291" i="2"/>
  <c r="P291" i="2" s="1"/>
  <c r="N291" i="2"/>
  <c r="M291" i="2"/>
  <c r="M290" i="2" s="1"/>
  <c r="J291" i="2"/>
  <c r="J290" i="2" s="1"/>
  <c r="I291" i="2"/>
  <c r="H291" i="2"/>
  <c r="G291" i="2"/>
  <c r="F291" i="2"/>
  <c r="E291" i="2"/>
  <c r="E290" i="2" s="1"/>
  <c r="O290" i="2"/>
  <c r="I290" i="2"/>
  <c r="G290" i="2"/>
  <c r="Q289" i="2"/>
  <c r="P289" i="2"/>
  <c r="K289" i="2"/>
  <c r="O288" i="2"/>
  <c r="N288" i="2"/>
  <c r="M288" i="2"/>
  <c r="J288" i="2"/>
  <c r="I288" i="2"/>
  <c r="H288" i="2"/>
  <c r="Q288" i="2" s="1"/>
  <c r="G288" i="2"/>
  <c r="F288" i="2"/>
  <c r="E288" i="2"/>
  <c r="Q287" i="2"/>
  <c r="P287" i="2"/>
  <c r="L287" i="2"/>
  <c r="K287" i="2"/>
  <c r="Q286" i="2"/>
  <c r="O286" i="2"/>
  <c r="N286" i="2"/>
  <c r="M286" i="2"/>
  <c r="K286" i="2"/>
  <c r="L286" i="2" s="1"/>
  <c r="J286" i="2"/>
  <c r="I286" i="2"/>
  <c r="H286" i="2"/>
  <c r="P286" i="2" s="1"/>
  <c r="G286" i="2"/>
  <c r="F286" i="2"/>
  <c r="E286" i="2"/>
  <c r="Q285" i="2"/>
  <c r="P285" i="2"/>
  <c r="K285" i="2"/>
  <c r="L285" i="2" s="1"/>
  <c r="Q284" i="2"/>
  <c r="P284" i="2"/>
  <c r="K284" i="2"/>
  <c r="P283" i="2"/>
  <c r="O283" i="2"/>
  <c r="N283" i="2"/>
  <c r="M283" i="2"/>
  <c r="J283" i="2"/>
  <c r="J277" i="2" s="1"/>
  <c r="J276" i="2" s="1"/>
  <c r="I283" i="2"/>
  <c r="H283" i="2"/>
  <c r="Q283" i="2" s="1"/>
  <c r="G283" i="2"/>
  <c r="F283" i="2"/>
  <c r="E283" i="2"/>
  <c r="Q282" i="2"/>
  <c r="P282" i="2"/>
  <c r="L282" i="2"/>
  <c r="K282" i="2"/>
  <c r="Q281" i="2"/>
  <c r="O281" i="2"/>
  <c r="P281" i="2" s="1"/>
  <c r="N281" i="2"/>
  <c r="M281" i="2"/>
  <c r="K281" i="2"/>
  <c r="L281" i="2" s="1"/>
  <c r="J281" i="2"/>
  <c r="I281" i="2"/>
  <c r="I277" i="2" s="1"/>
  <c r="I276" i="2" s="1"/>
  <c r="H281" i="2"/>
  <c r="G281" i="2"/>
  <c r="F281" i="2"/>
  <c r="E281" i="2"/>
  <c r="Q280" i="2"/>
  <c r="P280" i="2"/>
  <c r="K280" i="2"/>
  <c r="L280" i="2" s="1"/>
  <c r="Q279" i="2"/>
  <c r="P279" i="2"/>
  <c r="K279" i="2"/>
  <c r="L279" i="2" s="1"/>
  <c r="P278" i="2"/>
  <c r="O278" i="2"/>
  <c r="O277" i="2" s="1"/>
  <c r="N278" i="2"/>
  <c r="N277" i="2" s="1"/>
  <c r="M278" i="2"/>
  <c r="J278" i="2"/>
  <c r="I278" i="2"/>
  <c r="H278" i="2"/>
  <c r="G278" i="2"/>
  <c r="G277" i="2" s="1"/>
  <c r="G276" i="2" s="1"/>
  <c r="F278" i="2"/>
  <c r="F277" i="2" s="1"/>
  <c r="E278" i="2"/>
  <c r="M277" i="2"/>
  <c r="M276" i="2" s="1"/>
  <c r="E277" i="2"/>
  <c r="E276" i="2" s="1"/>
  <c r="Q275" i="2"/>
  <c r="P275" i="2"/>
  <c r="L275" i="2"/>
  <c r="K275" i="2"/>
  <c r="Q274" i="2"/>
  <c r="P274" i="2"/>
  <c r="L274" i="2"/>
  <c r="K274" i="2"/>
  <c r="Q273" i="2"/>
  <c r="P273" i="2"/>
  <c r="L273" i="2"/>
  <c r="K273" i="2"/>
  <c r="Q272" i="2"/>
  <c r="P272" i="2"/>
  <c r="L272" i="2"/>
  <c r="K272" i="2"/>
  <c r="O271" i="2"/>
  <c r="N271" i="2"/>
  <c r="M271" i="2"/>
  <c r="M270" i="2" s="1"/>
  <c r="K271" i="2"/>
  <c r="K270" i="2" s="1"/>
  <c r="J271" i="2"/>
  <c r="I271" i="2"/>
  <c r="I270" i="2" s="1"/>
  <c r="H271" i="2"/>
  <c r="G271" i="2"/>
  <c r="G270" i="2" s="1"/>
  <c r="G264" i="2" s="1"/>
  <c r="G263" i="2" s="1"/>
  <c r="G262" i="2" s="1"/>
  <c r="G261" i="2" s="1"/>
  <c r="F271" i="2"/>
  <c r="E271" i="2"/>
  <c r="E270" i="2" s="1"/>
  <c r="N270" i="2"/>
  <c r="L270" i="2"/>
  <c r="J270" i="2"/>
  <c r="H270" i="2"/>
  <c r="F270" i="2"/>
  <c r="Q269" i="2"/>
  <c r="P269" i="2"/>
  <c r="L269" i="2"/>
  <c r="K269" i="2"/>
  <c r="Q268" i="2"/>
  <c r="P268" i="2"/>
  <c r="L268" i="2"/>
  <c r="K268" i="2"/>
  <c r="Q267" i="2"/>
  <c r="P267" i="2"/>
  <c r="L267" i="2"/>
  <c r="K267" i="2"/>
  <c r="Q266" i="2"/>
  <c r="O266" i="2"/>
  <c r="O265" i="2" s="1"/>
  <c r="P265" i="2" s="1"/>
  <c r="N266" i="2"/>
  <c r="M266" i="2"/>
  <c r="M265" i="2" s="1"/>
  <c r="K266" i="2"/>
  <c r="J266" i="2"/>
  <c r="I266" i="2"/>
  <c r="I265" i="2" s="1"/>
  <c r="I264" i="2" s="1"/>
  <c r="I263" i="2" s="1"/>
  <c r="I262" i="2" s="1"/>
  <c r="H266" i="2"/>
  <c r="G266" i="2"/>
  <c r="G265" i="2" s="1"/>
  <c r="F266" i="2"/>
  <c r="E266" i="2"/>
  <c r="E265" i="2" s="1"/>
  <c r="E264" i="2" s="1"/>
  <c r="E263" i="2" s="1"/>
  <c r="E262" i="2" s="1"/>
  <c r="E261" i="2" s="1"/>
  <c r="N265" i="2"/>
  <c r="N264" i="2" s="1"/>
  <c r="J265" i="2"/>
  <c r="H265" i="2"/>
  <c r="F265" i="2"/>
  <c r="F264" i="2" s="1"/>
  <c r="M264" i="2"/>
  <c r="M263" i="2" s="1"/>
  <c r="M262" i="2" s="1"/>
  <c r="M261" i="2" s="1"/>
  <c r="Q260" i="2"/>
  <c r="P260" i="2"/>
  <c r="L260" i="2"/>
  <c r="O259" i="2"/>
  <c r="N259" i="2"/>
  <c r="M259" i="2"/>
  <c r="L259" i="2"/>
  <c r="K259" i="2"/>
  <c r="J259" i="2"/>
  <c r="I259" i="2"/>
  <c r="H259" i="2"/>
  <c r="P259" i="2" s="1"/>
  <c r="G259" i="2"/>
  <c r="F259" i="2"/>
  <c r="E259" i="2"/>
  <c r="Q258" i="2"/>
  <c r="P258" i="2"/>
  <c r="L258" i="2"/>
  <c r="K258" i="2"/>
  <c r="O257" i="2"/>
  <c r="P257" i="2" s="1"/>
  <c r="N257" i="2"/>
  <c r="M257" i="2"/>
  <c r="K257" i="2"/>
  <c r="L257" i="2" s="1"/>
  <c r="J257" i="2"/>
  <c r="I257" i="2"/>
  <c r="H257" i="2"/>
  <c r="G257" i="2"/>
  <c r="F257" i="2"/>
  <c r="E257" i="2"/>
  <c r="Q256" i="2"/>
  <c r="P256" i="2"/>
  <c r="K256" i="2"/>
  <c r="L256" i="2" s="1"/>
  <c r="Q255" i="2"/>
  <c r="P255" i="2"/>
  <c r="K255" i="2"/>
  <c r="L255" i="2" s="1"/>
  <c r="Q254" i="2"/>
  <c r="P254" i="2"/>
  <c r="K254" i="2"/>
  <c r="L254" i="2" s="1"/>
  <c r="Q253" i="2"/>
  <c r="P253" i="2"/>
  <c r="K253" i="2"/>
  <c r="L253" i="2" s="1"/>
  <c r="Q252" i="2"/>
  <c r="P252" i="2"/>
  <c r="K252" i="2"/>
  <c r="L252" i="2" s="1"/>
  <c r="O251" i="2"/>
  <c r="N251" i="2"/>
  <c r="M251" i="2"/>
  <c r="J251" i="2"/>
  <c r="I251" i="2"/>
  <c r="H251" i="2"/>
  <c r="Q251" i="2" s="1"/>
  <c r="G251" i="2"/>
  <c r="F251" i="2"/>
  <c r="E251" i="2"/>
  <c r="Q250" i="2"/>
  <c r="P250" i="2"/>
  <c r="K250" i="2"/>
  <c r="L250" i="2" s="1"/>
  <c r="O249" i="2"/>
  <c r="P249" i="2" s="1"/>
  <c r="N249" i="2"/>
  <c r="M249" i="2"/>
  <c r="J249" i="2"/>
  <c r="I249" i="2"/>
  <c r="H249" i="2"/>
  <c r="G249" i="2"/>
  <c r="F249" i="2"/>
  <c r="E249" i="2"/>
  <c r="Q248" i="2"/>
  <c r="P248" i="2"/>
  <c r="K248" i="2"/>
  <c r="P247" i="2"/>
  <c r="O247" i="2"/>
  <c r="N247" i="2"/>
  <c r="N238" i="2" s="1"/>
  <c r="M247" i="2"/>
  <c r="J247" i="2"/>
  <c r="I247" i="2"/>
  <c r="H247" i="2"/>
  <c r="Q247" i="2" s="1"/>
  <c r="G247" i="2"/>
  <c r="F247" i="2"/>
  <c r="F238" i="2" s="1"/>
  <c r="E247" i="2"/>
  <c r="Q246" i="2"/>
  <c r="P246" i="2"/>
  <c r="L246" i="2"/>
  <c r="K246" i="2"/>
  <c r="Q245" i="2"/>
  <c r="P245" i="2"/>
  <c r="L245" i="2"/>
  <c r="K245" i="2"/>
  <c r="O244" i="2"/>
  <c r="P244" i="2" s="1"/>
  <c r="N244" i="2"/>
  <c r="M244" i="2"/>
  <c r="K244" i="2"/>
  <c r="L244" i="2" s="1"/>
  <c r="J244" i="2"/>
  <c r="I244" i="2"/>
  <c r="H244" i="2"/>
  <c r="G244" i="2"/>
  <c r="F244" i="2"/>
  <c r="E244" i="2"/>
  <c r="E238" i="2" s="1"/>
  <c r="Q243" i="2"/>
  <c r="P243" i="2"/>
  <c r="K243" i="2"/>
  <c r="L243" i="2" s="1"/>
  <c r="Q242" i="2"/>
  <c r="P242" i="2"/>
  <c r="K242" i="2"/>
  <c r="L242" i="2" s="1"/>
  <c r="Q241" i="2"/>
  <c r="P241" i="2"/>
  <c r="K241" i="2"/>
  <c r="L241" i="2" s="1"/>
  <c r="Q240" i="2"/>
  <c r="P240" i="2"/>
  <c r="K240" i="2"/>
  <c r="O239" i="2"/>
  <c r="N239" i="2"/>
  <c r="M239" i="2"/>
  <c r="J239" i="2"/>
  <c r="J238" i="2" s="1"/>
  <c r="I239" i="2"/>
  <c r="H239" i="2"/>
  <c r="G239" i="2"/>
  <c r="F239" i="2"/>
  <c r="E239" i="2"/>
  <c r="I238" i="2"/>
  <c r="G238" i="2"/>
  <c r="Q237" i="2"/>
  <c r="P237" i="2"/>
  <c r="K237" i="2"/>
  <c r="O236" i="2"/>
  <c r="N236" i="2"/>
  <c r="M236" i="2"/>
  <c r="J236" i="2"/>
  <c r="I236" i="2"/>
  <c r="H236" i="2"/>
  <c r="Q236" i="2" s="1"/>
  <c r="G236" i="2"/>
  <c r="F236" i="2"/>
  <c r="E236" i="2"/>
  <c r="Q235" i="2"/>
  <c r="P235" i="2"/>
  <c r="L235" i="2"/>
  <c r="K235" i="2"/>
  <c r="Q234" i="2"/>
  <c r="O234" i="2"/>
  <c r="P234" i="2" s="1"/>
  <c r="N234" i="2"/>
  <c r="M234" i="2"/>
  <c r="K234" i="2"/>
  <c r="L234" i="2" s="1"/>
  <c r="J234" i="2"/>
  <c r="I234" i="2"/>
  <c r="H234" i="2"/>
  <c r="G234" i="2"/>
  <c r="F234" i="2"/>
  <c r="E234" i="2"/>
  <c r="Q233" i="2"/>
  <c r="P233" i="2"/>
  <c r="K233" i="2"/>
  <c r="O232" i="2"/>
  <c r="N232" i="2"/>
  <c r="M232" i="2"/>
  <c r="J232" i="2"/>
  <c r="I232" i="2"/>
  <c r="H232" i="2"/>
  <c r="Q232" i="2" s="1"/>
  <c r="G232" i="2"/>
  <c r="F232" i="2"/>
  <c r="E232" i="2"/>
  <c r="Q231" i="2"/>
  <c r="P231" i="2"/>
  <c r="L231" i="2"/>
  <c r="K231" i="2"/>
  <c r="Q230" i="2"/>
  <c r="P230" i="2"/>
  <c r="K230" i="2"/>
  <c r="L230" i="2" s="1"/>
  <c r="Q229" i="2"/>
  <c r="P229" i="2"/>
  <c r="L229" i="2"/>
  <c r="K229" i="2"/>
  <c r="Q228" i="2"/>
  <c r="O228" i="2"/>
  <c r="P228" i="2" s="1"/>
  <c r="N228" i="2"/>
  <c r="M228" i="2"/>
  <c r="M222" i="2" s="1"/>
  <c r="K228" i="2"/>
  <c r="L228" i="2" s="1"/>
  <c r="J228" i="2"/>
  <c r="I228" i="2"/>
  <c r="H228" i="2"/>
  <c r="G228" i="2"/>
  <c r="F228" i="2"/>
  <c r="E228" i="2"/>
  <c r="E222" i="2" s="1"/>
  <c r="Q227" i="2"/>
  <c r="P227" i="2"/>
  <c r="K227" i="2"/>
  <c r="L227" i="2" s="1"/>
  <c r="Q226" i="2"/>
  <c r="P226" i="2"/>
  <c r="K226" i="2"/>
  <c r="L226" i="2" s="1"/>
  <c r="Q225" i="2"/>
  <c r="P225" i="2"/>
  <c r="K225" i="2"/>
  <c r="L225" i="2" s="1"/>
  <c r="Q224" i="2"/>
  <c r="P224" i="2"/>
  <c r="K224" i="2"/>
  <c r="O223" i="2"/>
  <c r="N223" i="2"/>
  <c r="N222" i="2" s="1"/>
  <c r="M223" i="2"/>
  <c r="J223" i="2"/>
  <c r="J222" i="2" s="1"/>
  <c r="I223" i="2"/>
  <c r="H223" i="2"/>
  <c r="G223" i="2"/>
  <c r="F223" i="2"/>
  <c r="F222" i="2" s="1"/>
  <c r="E223" i="2"/>
  <c r="O222" i="2"/>
  <c r="G222" i="2"/>
  <c r="Q221" i="2"/>
  <c r="P221" i="2"/>
  <c r="K221" i="2"/>
  <c r="L221" i="2" s="1"/>
  <c r="P220" i="2"/>
  <c r="O220" i="2"/>
  <c r="N220" i="2"/>
  <c r="M220" i="2"/>
  <c r="J220" i="2"/>
  <c r="I220" i="2"/>
  <c r="H220" i="2"/>
  <c r="Q220" i="2" s="1"/>
  <c r="G220" i="2"/>
  <c r="F220" i="2"/>
  <c r="E220" i="2"/>
  <c r="Q219" i="2"/>
  <c r="P219" i="2"/>
  <c r="K219" i="2"/>
  <c r="L219" i="2" s="1"/>
  <c r="Q218" i="2"/>
  <c r="O218" i="2"/>
  <c r="P218" i="2" s="1"/>
  <c r="N218" i="2"/>
  <c r="M218" i="2"/>
  <c r="L218" i="2"/>
  <c r="K218" i="2"/>
  <c r="J218" i="2"/>
  <c r="I218" i="2"/>
  <c r="H218" i="2"/>
  <c r="G218" i="2"/>
  <c r="F218" i="2"/>
  <c r="E218" i="2"/>
  <c r="Q217" i="2"/>
  <c r="P217" i="2"/>
  <c r="K217" i="2"/>
  <c r="L217" i="2" s="1"/>
  <c r="Q216" i="2"/>
  <c r="P216" i="2"/>
  <c r="K216" i="2"/>
  <c r="L216" i="2" s="1"/>
  <c r="Q215" i="2"/>
  <c r="O215" i="2"/>
  <c r="N215" i="2"/>
  <c r="M215" i="2"/>
  <c r="J215" i="2"/>
  <c r="I215" i="2"/>
  <c r="H215" i="2"/>
  <c r="P215" i="2" s="1"/>
  <c r="G215" i="2"/>
  <c r="F215" i="2"/>
  <c r="E215" i="2"/>
  <c r="Q214" i="2"/>
  <c r="P214" i="2"/>
  <c r="L214" i="2"/>
  <c r="K214" i="2"/>
  <c r="O213" i="2"/>
  <c r="N213" i="2"/>
  <c r="M213" i="2"/>
  <c r="K213" i="2"/>
  <c r="L213" i="2" s="1"/>
  <c r="J213" i="2"/>
  <c r="I213" i="2"/>
  <c r="H213" i="2"/>
  <c r="G213" i="2"/>
  <c r="F213" i="2"/>
  <c r="E213" i="2"/>
  <c r="Q212" i="2"/>
  <c r="P212" i="2"/>
  <c r="L212" i="2"/>
  <c r="K212" i="2"/>
  <c r="Q211" i="2"/>
  <c r="P211" i="2"/>
  <c r="K211" i="2"/>
  <c r="Q210" i="2"/>
  <c r="P210" i="2"/>
  <c r="L210" i="2"/>
  <c r="K210" i="2"/>
  <c r="P209" i="2"/>
  <c r="O209" i="2"/>
  <c r="N209" i="2"/>
  <c r="M209" i="2"/>
  <c r="J209" i="2"/>
  <c r="I209" i="2"/>
  <c r="H209" i="2"/>
  <c r="Q209" i="2" s="1"/>
  <c r="G209" i="2"/>
  <c r="F209" i="2"/>
  <c r="F172" i="2" s="1"/>
  <c r="E209" i="2"/>
  <c r="Q208" i="2"/>
  <c r="P208" i="2"/>
  <c r="L208" i="2"/>
  <c r="K208" i="2"/>
  <c r="Q207" i="2"/>
  <c r="P207" i="2"/>
  <c r="L207" i="2"/>
  <c r="K207" i="2"/>
  <c r="Q206" i="2"/>
  <c r="P206" i="2"/>
  <c r="L206" i="2"/>
  <c r="K206" i="2"/>
  <c r="Q205" i="2"/>
  <c r="P205" i="2"/>
  <c r="L205" i="2"/>
  <c r="K205" i="2"/>
  <c r="Q204" i="2"/>
  <c r="O204" i="2"/>
  <c r="N204" i="2"/>
  <c r="M204" i="2"/>
  <c r="K204" i="2"/>
  <c r="L204" i="2" s="1"/>
  <c r="J204" i="2"/>
  <c r="I204" i="2"/>
  <c r="H204" i="2"/>
  <c r="P204" i="2" s="1"/>
  <c r="G204" i="2"/>
  <c r="F204" i="2"/>
  <c r="E204" i="2"/>
  <c r="Q203" i="2"/>
  <c r="P203" i="2"/>
  <c r="K203" i="2"/>
  <c r="L203" i="2" s="1"/>
  <c r="Q202" i="2"/>
  <c r="O202" i="2"/>
  <c r="N202" i="2"/>
  <c r="N172" i="2" s="1"/>
  <c r="M202" i="2"/>
  <c r="J202" i="2"/>
  <c r="I202" i="2"/>
  <c r="H202" i="2"/>
  <c r="P202" i="2" s="1"/>
  <c r="G202" i="2"/>
  <c r="F202" i="2"/>
  <c r="E202" i="2"/>
  <c r="Q201" i="2"/>
  <c r="P201" i="2"/>
  <c r="L201" i="2"/>
  <c r="K201" i="2"/>
  <c r="Q200" i="2"/>
  <c r="P200" i="2"/>
  <c r="L200" i="2"/>
  <c r="K200" i="2"/>
  <c r="Q199" i="2"/>
  <c r="P199" i="2"/>
  <c r="L199" i="2"/>
  <c r="K199" i="2"/>
  <c r="Q198" i="2"/>
  <c r="P198" i="2"/>
  <c r="L198" i="2"/>
  <c r="K198" i="2"/>
  <c r="Q197" i="2"/>
  <c r="P197" i="2"/>
  <c r="L197" i="2"/>
  <c r="K197" i="2"/>
  <c r="Q196" i="2"/>
  <c r="P196" i="2"/>
  <c r="L196" i="2"/>
  <c r="K196" i="2"/>
  <c r="Q195" i="2"/>
  <c r="O195" i="2"/>
  <c r="P195" i="2" s="1"/>
  <c r="N195" i="2"/>
  <c r="M195" i="2"/>
  <c r="K195" i="2"/>
  <c r="L195" i="2" s="1"/>
  <c r="J195" i="2"/>
  <c r="I195" i="2"/>
  <c r="H195" i="2"/>
  <c r="G195" i="2"/>
  <c r="F195" i="2"/>
  <c r="E195" i="2"/>
  <c r="Q194" i="2"/>
  <c r="P194" i="2"/>
  <c r="K194" i="2"/>
  <c r="O193" i="2"/>
  <c r="N193" i="2"/>
  <c r="M193" i="2"/>
  <c r="J193" i="2"/>
  <c r="I193" i="2"/>
  <c r="H193" i="2"/>
  <c r="Q193" i="2" s="1"/>
  <c r="G193" i="2"/>
  <c r="F193" i="2"/>
  <c r="E193" i="2"/>
  <c r="Q192" i="2"/>
  <c r="P192" i="2"/>
  <c r="L192" i="2"/>
  <c r="K192" i="2"/>
  <c r="Q191" i="2"/>
  <c r="P191" i="2"/>
  <c r="L191" i="2"/>
  <c r="K191" i="2"/>
  <c r="Q190" i="2"/>
  <c r="P190" i="2"/>
  <c r="L190" i="2"/>
  <c r="K190" i="2"/>
  <c r="Q189" i="2"/>
  <c r="P189" i="2"/>
  <c r="L189" i="2"/>
  <c r="K189" i="2"/>
  <c r="Q188" i="2"/>
  <c r="P188" i="2"/>
  <c r="L188" i="2"/>
  <c r="K188" i="2"/>
  <c r="Q187" i="2"/>
  <c r="O187" i="2"/>
  <c r="P187" i="2" s="1"/>
  <c r="N187" i="2"/>
  <c r="M187" i="2"/>
  <c r="K187" i="2"/>
  <c r="L187" i="2" s="1"/>
  <c r="J187" i="2"/>
  <c r="I187" i="2"/>
  <c r="H187" i="2"/>
  <c r="G187" i="2"/>
  <c r="F187" i="2"/>
  <c r="E187" i="2"/>
  <c r="Q186" i="2"/>
  <c r="P186" i="2"/>
  <c r="K186" i="2"/>
  <c r="L186" i="2" s="1"/>
  <c r="Q185" i="2"/>
  <c r="P185" i="2"/>
  <c r="K185" i="2"/>
  <c r="P184" i="2"/>
  <c r="O184" i="2"/>
  <c r="N184" i="2"/>
  <c r="M184" i="2"/>
  <c r="J184" i="2"/>
  <c r="I184" i="2"/>
  <c r="H184" i="2"/>
  <c r="Q184" i="2" s="1"/>
  <c r="G184" i="2"/>
  <c r="F184" i="2"/>
  <c r="E184" i="2"/>
  <c r="Q183" i="2"/>
  <c r="P183" i="2"/>
  <c r="L183" i="2"/>
  <c r="K183" i="2"/>
  <c r="Q182" i="2"/>
  <c r="O182" i="2"/>
  <c r="P182" i="2" s="1"/>
  <c r="N182" i="2"/>
  <c r="M182" i="2"/>
  <c r="K182" i="2"/>
  <c r="L182" i="2" s="1"/>
  <c r="J182" i="2"/>
  <c r="I182" i="2"/>
  <c r="H182" i="2"/>
  <c r="G182" i="2"/>
  <c r="F182" i="2"/>
  <c r="E182" i="2"/>
  <c r="Q181" i="2"/>
  <c r="P181" i="2"/>
  <c r="K181" i="2"/>
  <c r="L181" i="2" s="1"/>
  <c r="Q180" i="2"/>
  <c r="P180" i="2"/>
  <c r="K180" i="2"/>
  <c r="L180" i="2" s="1"/>
  <c r="Q179" i="2"/>
  <c r="P179" i="2"/>
  <c r="K179" i="2"/>
  <c r="O178" i="2"/>
  <c r="N178" i="2"/>
  <c r="M178" i="2"/>
  <c r="J178" i="2"/>
  <c r="I178" i="2"/>
  <c r="H178" i="2"/>
  <c r="H172" i="2" s="1"/>
  <c r="G178" i="2"/>
  <c r="F178" i="2"/>
  <c r="E178" i="2"/>
  <c r="Q177" i="2"/>
  <c r="P177" i="2"/>
  <c r="L177" i="2"/>
  <c r="K177" i="2"/>
  <c r="Q176" i="2"/>
  <c r="P176" i="2"/>
  <c r="K176" i="2"/>
  <c r="L176" i="2" s="1"/>
  <c r="Q175" i="2"/>
  <c r="P175" i="2"/>
  <c r="L175" i="2"/>
  <c r="K175" i="2"/>
  <c r="K173" i="2" s="1"/>
  <c r="Q174" i="2"/>
  <c r="P174" i="2"/>
  <c r="K174" i="2"/>
  <c r="L174" i="2" s="1"/>
  <c r="Q173" i="2"/>
  <c r="O173" i="2"/>
  <c r="N173" i="2"/>
  <c r="M173" i="2"/>
  <c r="J173" i="2"/>
  <c r="I173" i="2"/>
  <c r="I172" i="2" s="1"/>
  <c r="H173" i="2"/>
  <c r="G173" i="2"/>
  <c r="F173" i="2"/>
  <c r="E173" i="2"/>
  <c r="E172" i="2" s="1"/>
  <c r="Q171" i="2"/>
  <c r="P171" i="2"/>
  <c r="L171" i="2"/>
  <c r="K171" i="2"/>
  <c r="O170" i="2"/>
  <c r="P170" i="2" s="1"/>
  <c r="N170" i="2"/>
  <c r="M170" i="2"/>
  <c r="K170" i="2"/>
  <c r="L170" i="2" s="1"/>
  <c r="J170" i="2"/>
  <c r="I170" i="2"/>
  <c r="H170" i="2"/>
  <c r="G170" i="2"/>
  <c r="F170" i="2"/>
  <c r="E170" i="2"/>
  <c r="Q169" i="2"/>
  <c r="P169" i="2"/>
  <c r="K169" i="2"/>
  <c r="L169" i="2" s="1"/>
  <c r="Q168" i="2"/>
  <c r="P168" i="2"/>
  <c r="K168" i="2"/>
  <c r="O167" i="2"/>
  <c r="N167" i="2"/>
  <c r="M167" i="2"/>
  <c r="J167" i="2"/>
  <c r="J163" i="2" s="1"/>
  <c r="I167" i="2"/>
  <c r="H167" i="2"/>
  <c r="H163" i="2" s="1"/>
  <c r="G167" i="2"/>
  <c r="F167" i="2"/>
  <c r="E167" i="2"/>
  <c r="Q166" i="2"/>
  <c r="P166" i="2"/>
  <c r="L166" i="2"/>
  <c r="K166" i="2"/>
  <c r="K164" i="2" s="1"/>
  <c r="Q165" i="2"/>
  <c r="P165" i="2"/>
  <c r="K165" i="2"/>
  <c r="L165" i="2" s="1"/>
  <c r="O164" i="2"/>
  <c r="N164" i="2"/>
  <c r="M164" i="2"/>
  <c r="M163" i="2" s="1"/>
  <c r="J164" i="2"/>
  <c r="I164" i="2"/>
  <c r="I163" i="2" s="1"/>
  <c r="H164" i="2"/>
  <c r="G164" i="2"/>
  <c r="F164" i="2"/>
  <c r="E164" i="2"/>
  <c r="E163" i="2" s="1"/>
  <c r="N163" i="2"/>
  <c r="F163" i="2"/>
  <c r="Q162" i="2"/>
  <c r="P162" i="2"/>
  <c r="L162" i="2"/>
  <c r="K162" i="2"/>
  <c r="Q161" i="2"/>
  <c r="P161" i="2"/>
  <c r="L161" i="2"/>
  <c r="K161" i="2"/>
  <c r="Q160" i="2"/>
  <c r="P160" i="2"/>
  <c r="L160" i="2"/>
  <c r="K160" i="2"/>
  <c r="Q159" i="2"/>
  <c r="P159" i="2"/>
  <c r="L159" i="2"/>
  <c r="K159" i="2"/>
  <c r="Q158" i="2"/>
  <c r="P158" i="2"/>
  <c r="L158" i="2"/>
  <c r="K158" i="2"/>
  <c r="Q157" i="2"/>
  <c r="P157" i="2"/>
  <c r="L157" i="2"/>
  <c r="K157" i="2"/>
  <c r="Q156" i="2"/>
  <c r="P156" i="2"/>
  <c r="L156" i="2"/>
  <c r="K156" i="2"/>
  <c r="O155" i="2"/>
  <c r="O101" i="2" s="1"/>
  <c r="N155" i="2"/>
  <c r="M155" i="2"/>
  <c r="K155" i="2"/>
  <c r="L155" i="2" s="1"/>
  <c r="J155" i="2"/>
  <c r="I155" i="2"/>
  <c r="H155" i="2"/>
  <c r="G155" i="2"/>
  <c r="F155" i="2"/>
  <c r="E155" i="2"/>
  <c r="Q154" i="2"/>
  <c r="P154" i="2"/>
  <c r="K154" i="2"/>
  <c r="L154" i="2" s="1"/>
  <c r="Q153" i="2"/>
  <c r="P153" i="2"/>
  <c r="K153" i="2"/>
  <c r="L153" i="2" s="1"/>
  <c r="Q152" i="2"/>
  <c r="P152" i="2"/>
  <c r="K152" i="2"/>
  <c r="L152" i="2" s="1"/>
  <c r="Q151" i="2"/>
  <c r="P151" i="2"/>
  <c r="K151" i="2"/>
  <c r="L151" i="2" s="1"/>
  <c r="Q150" i="2"/>
  <c r="P150" i="2"/>
  <c r="K150" i="2"/>
  <c r="L150" i="2" s="1"/>
  <c r="P149" i="2"/>
  <c r="O149" i="2"/>
  <c r="N149" i="2"/>
  <c r="M149" i="2"/>
  <c r="J149" i="2"/>
  <c r="I149" i="2"/>
  <c r="H149" i="2"/>
  <c r="Q149" i="2" s="1"/>
  <c r="G149" i="2"/>
  <c r="F149" i="2"/>
  <c r="E149" i="2"/>
  <c r="Q148" i="2"/>
  <c r="P148" i="2"/>
  <c r="K148" i="2"/>
  <c r="L148" i="2" s="1"/>
  <c r="Q147" i="2"/>
  <c r="P147" i="2"/>
  <c r="L147" i="2"/>
  <c r="K147" i="2"/>
  <c r="Q146" i="2"/>
  <c r="P146" i="2"/>
  <c r="K146" i="2"/>
  <c r="L146" i="2" s="1"/>
  <c r="Q145" i="2"/>
  <c r="P145" i="2"/>
  <c r="L145" i="2"/>
  <c r="K145" i="2"/>
  <c r="Q144" i="2"/>
  <c r="P144" i="2"/>
  <c r="K144" i="2"/>
  <c r="L144" i="2" s="1"/>
  <c r="Q143" i="2"/>
  <c r="P143" i="2"/>
  <c r="L143" i="2"/>
  <c r="K143" i="2"/>
  <c r="Q142" i="2"/>
  <c r="O142" i="2"/>
  <c r="P142" i="2" s="1"/>
  <c r="N142" i="2"/>
  <c r="M142" i="2"/>
  <c r="K142" i="2"/>
  <c r="L142" i="2" s="1"/>
  <c r="J142" i="2"/>
  <c r="I142" i="2"/>
  <c r="H142" i="2"/>
  <c r="G142" i="2"/>
  <c r="F142" i="2"/>
  <c r="E142" i="2"/>
  <c r="E101" i="2" s="1"/>
  <c r="Q141" i="2"/>
  <c r="P141" i="2"/>
  <c r="K141" i="2"/>
  <c r="L141" i="2" s="1"/>
  <c r="Q140" i="2"/>
  <c r="P140" i="2"/>
  <c r="K140" i="2"/>
  <c r="L140" i="2" s="1"/>
  <c r="Q139" i="2"/>
  <c r="P139" i="2"/>
  <c r="K139" i="2"/>
  <c r="L139" i="2" s="1"/>
  <c r="Q138" i="2"/>
  <c r="P138" i="2"/>
  <c r="K138" i="2"/>
  <c r="L138" i="2" s="1"/>
  <c r="Q137" i="2"/>
  <c r="P137" i="2"/>
  <c r="K137" i="2"/>
  <c r="L137" i="2" s="1"/>
  <c r="Q136" i="2"/>
  <c r="P136" i="2"/>
  <c r="K136" i="2"/>
  <c r="P135" i="2"/>
  <c r="O135" i="2"/>
  <c r="N135" i="2"/>
  <c r="M135" i="2"/>
  <c r="J135" i="2"/>
  <c r="I135" i="2"/>
  <c r="H135" i="2"/>
  <c r="Q135" i="2" s="1"/>
  <c r="G135" i="2"/>
  <c r="F135" i="2"/>
  <c r="E135" i="2"/>
  <c r="Q134" i="2"/>
  <c r="P134" i="2"/>
  <c r="L134" i="2"/>
  <c r="K134" i="2"/>
  <c r="Q133" i="2"/>
  <c r="P133" i="2"/>
  <c r="L133" i="2"/>
  <c r="K133" i="2"/>
  <c r="Q132" i="2"/>
  <c r="P132" i="2"/>
  <c r="L132" i="2"/>
  <c r="K132" i="2"/>
  <c r="Q131" i="2"/>
  <c r="P131" i="2"/>
  <c r="L131" i="2"/>
  <c r="K131" i="2"/>
  <c r="Q130" i="2"/>
  <c r="P130" i="2"/>
  <c r="L130" i="2"/>
  <c r="K130" i="2"/>
  <c r="Q129" i="2"/>
  <c r="P129" i="2"/>
  <c r="L129" i="2"/>
  <c r="K129" i="2"/>
  <c r="Q128" i="2"/>
  <c r="P128" i="2"/>
  <c r="L128" i="2"/>
  <c r="K128" i="2"/>
  <c r="Q127" i="2"/>
  <c r="P127" i="2"/>
  <c r="L127" i="2"/>
  <c r="K127" i="2"/>
  <c r="O126" i="2"/>
  <c r="N126" i="2"/>
  <c r="M126" i="2"/>
  <c r="K126" i="2"/>
  <c r="L126" i="2" s="1"/>
  <c r="J126" i="2"/>
  <c r="I126" i="2"/>
  <c r="H126" i="2"/>
  <c r="G126" i="2"/>
  <c r="G101" i="2" s="1"/>
  <c r="F126" i="2"/>
  <c r="E126" i="2"/>
  <c r="Q125" i="2"/>
  <c r="P125" i="2"/>
  <c r="K125" i="2"/>
  <c r="L125" i="2" s="1"/>
  <c r="Q124" i="2"/>
  <c r="P124" i="2"/>
  <c r="K124" i="2"/>
  <c r="L124" i="2" s="1"/>
  <c r="Q123" i="2"/>
  <c r="P123" i="2"/>
  <c r="K123" i="2"/>
  <c r="L123" i="2" s="1"/>
  <c r="Q122" i="2"/>
  <c r="P122" i="2"/>
  <c r="K122" i="2"/>
  <c r="L122" i="2" s="1"/>
  <c r="Q121" i="2"/>
  <c r="P121" i="2"/>
  <c r="K121" i="2"/>
  <c r="L121" i="2" s="1"/>
  <c r="P120" i="2"/>
  <c r="O120" i="2"/>
  <c r="N120" i="2"/>
  <c r="M120" i="2"/>
  <c r="J120" i="2"/>
  <c r="I120" i="2"/>
  <c r="H120" i="2"/>
  <c r="Q120" i="2" s="1"/>
  <c r="G120" i="2"/>
  <c r="F120" i="2"/>
  <c r="E120" i="2"/>
  <c r="Q119" i="2"/>
  <c r="P119" i="2"/>
  <c r="K119" i="2"/>
  <c r="L119" i="2" s="1"/>
  <c r="Q118" i="2"/>
  <c r="P118" i="2"/>
  <c r="L118" i="2"/>
  <c r="K118" i="2"/>
  <c r="Q117" i="2"/>
  <c r="P117" i="2"/>
  <c r="K117" i="2"/>
  <c r="L117" i="2" s="1"/>
  <c r="Q116" i="2"/>
  <c r="P116" i="2"/>
  <c r="L116" i="2"/>
  <c r="K116" i="2"/>
  <c r="Q115" i="2"/>
  <c r="P115" i="2"/>
  <c r="K115" i="2"/>
  <c r="L115" i="2" s="1"/>
  <c r="Q114" i="2"/>
  <c r="P114" i="2"/>
  <c r="L114" i="2"/>
  <c r="K114" i="2"/>
  <c r="Q113" i="2"/>
  <c r="P113" i="2"/>
  <c r="K113" i="2"/>
  <c r="L113" i="2" s="1"/>
  <c r="Q112" i="2"/>
  <c r="P112" i="2"/>
  <c r="L112" i="2"/>
  <c r="K112" i="2"/>
  <c r="Q111" i="2"/>
  <c r="O111" i="2"/>
  <c r="N111" i="2"/>
  <c r="M111" i="2"/>
  <c r="K111" i="2"/>
  <c r="L111" i="2" s="1"/>
  <c r="J111" i="2"/>
  <c r="I111" i="2"/>
  <c r="H111" i="2"/>
  <c r="P111" i="2" s="1"/>
  <c r="G111" i="2"/>
  <c r="F111" i="2"/>
  <c r="E111" i="2"/>
  <c r="Q110" i="2"/>
  <c r="P110" i="2"/>
  <c r="K110" i="2"/>
  <c r="L110" i="2" s="1"/>
  <c r="Q109" i="2"/>
  <c r="P109" i="2"/>
  <c r="K109" i="2"/>
  <c r="L109" i="2" s="1"/>
  <c r="Q108" i="2"/>
  <c r="P108" i="2"/>
  <c r="K108" i="2"/>
  <c r="L108" i="2" s="1"/>
  <c r="Q107" i="2"/>
  <c r="P107" i="2"/>
  <c r="K107" i="2"/>
  <c r="L107" i="2" s="1"/>
  <c r="Q106" i="2"/>
  <c r="P106" i="2"/>
  <c r="K106" i="2"/>
  <c r="L106" i="2" s="1"/>
  <c r="Q105" i="2"/>
  <c r="P105" i="2"/>
  <c r="K105" i="2"/>
  <c r="L105" i="2" s="1"/>
  <c r="Q104" i="2"/>
  <c r="P104" i="2"/>
  <c r="K104" i="2"/>
  <c r="L104" i="2" s="1"/>
  <c r="Q103" i="2"/>
  <c r="P103" i="2"/>
  <c r="K103" i="2"/>
  <c r="P102" i="2"/>
  <c r="O102" i="2"/>
  <c r="N102" i="2"/>
  <c r="M102" i="2"/>
  <c r="J102" i="2"/>
  <c r="J101" i="2" s="1"/>
  <c r="I102" i="2"/>
  <c r="H102" i="2"/>
  <c r="G102" i="2"/>
  <c r="F102" i="2"/>
  <c r="F101" i="2" s="1"/>
  <c r="E102" i="2"/>
  <c r="M101" i="2"/>
  <c r="Q100" i="2"/>
  <c r="P100" i="2"/>
  <c r="L100" i="2"/>
  <c r="K100" i="2"/>
  <c r="Q99" i="2"/>
  <c r="P99" i="2"/>
  <c r="K99" i="2"/>
  <c r="L99" i="2" s="1"/>
  <c r="Q98" i="2"/>
  <c r="P98" i="2"/>
  <c r="L98" i="2"/>
  <c r="K98" i="2"/>
  <c r="Q97" i="2"/>
  <c r="P97" i="2"/>
  <c r="K97" i="2"/>
  <c r="O96" i="2"/>
  <c r="P96" i="2" s="1"/>
  <c r="N96" i="2"/>
  <c r="M96" i="2"/>
  <c r="J96" i="2"/>
  <c r="I96" i="2"/>
  <c r="H96" i="2"/>
  <c r="G96" i="2"/>
  <c r="F96" i="2"/>
  <c r="E96" i="2"/>
  <c r="Q95" i="2"/>
  <c r="P95" i="2"/>
  <c r="L95" i="2"/>
  <c r="K95" i="2"/>
  <c r="Q94" i="2"/>
  <c r="P94" i="2"/>
  <c r="K94" i="2"/>
  <c r="L94" i="2" s="1"/>
  <c r="Q93" i="2"/>
  <c r="P93" i="2"/>
  <c r="L93" i="2"/>
  <c r="K93" i="2"/>
  <c r="Q92" i="2"/>
  <c r="P92" i="2"/>
  <c r="K92" i="2"/>
  <c r="L92" i="2" s="1"/>
  <c r="Q91" i="2"/>
  <c r="P91" i="2"/>
  <c r="K91" i="2"/>
  <c r="L91" i="2" s="1"/>
  <c r="Q90" i="2"/>
  <c r="P90" i="2"/>
  <c r="K90" i="2"/>
  <c r="L90" i="2" s="1"/>
  <c r="Q89" i="2"/>
  <c r="P89" i="2"/>
  <c r="K89" i="2"/>
  <c r="L89" i="2" s="1"/>
  <c r="Q88" i="2"/>
  <c r="O88" i="2"/>
  <c r="N88" i="2"/>
  <c r="N84" i="2" s="1"/>
  <c r="N83" i="2" s="1"/>
  <c r="M88" i="2"/>
  <c r="J88" i="2"/>
  <c r="I88" i="2"/>
  <c r="K88" i="2" s="1"/>
  <c r="L88" i="2" s="1"/>
  <c r="H88" i="2"/>
  <c r="P88" i="2" s="1"/>
  <c r="G88" i="2"/>
  <c r="G84" i="2" s="1"/>
  <c r="G83" i="2" s="1"/>
  <c r="F88" i="2"/>
  <c r="F84" i="2" s="1"/>
  <c r="F83" i="2" s="1"/>
  <c r="E88" i="2"/>
  <c r="Q87" i="2"/>
  <c r="P87" i="2"/>
  <c r="K87" i="2"/>
  <c r="L87" i="2" s="1"/>
  <c r="Q86" i="2"/>
  <c r="P86" i="2"/>
  <c r="L86" i="2"/>
  <c r="K86" i="2"/>
  <c r="Q85" i="2"/>
  <c r="P85" i="2"/>
  <c r="K85" i="2"/>
  <c r="L85" i="2" s="1"/>
  <c r="O84" i="2"/>
  <c r="M84" i="2"/>
  <c r="J84" i="2"/>
  <c r="J83" i="2" s="1"/>
  <c r="H84" i="2"/>
  <c r="H83" i="2" s="1"/>
  <c r="E84" i="2"/>
  <c r="O83" i="2"/>
  <c r="M83" i="2"/>
  <c r="E83" i="2"/>
  <c r="Q81" i="2"/>
  <c r="P81" i="2"/>
  <c r="L81" i="2"/>
  <c r="K81" i="2"/>
  <c r="Q80" i="2"/>
  <c r="P80" i="2"/>
  <c r="K80" i="2"/>
  <c r="L80" i="2" s="1"/>
  <c r="Q79" i="2"/>
  <c r="P79" i="2"/>
  <c r="L79" i="2"/>
  <c r="K79" i="2"/>
  <c r="Q78" i="2"/>
  <c r="P78" i="2"/>
  <c r="K78" i="2"/>
  <c r="L78" i="2" s="1"/>
  <c r="Q77" i="2"/>
  <c r="P77" i="2"/>
  <c r="L77" i="2"/>
  <c r="K77" i="2"/>
  <c r="Q76" i="2"/>
  <c r="P76" i="2"/>
  <c r="K76" i="2"/>
  <c r="L76" i="2" s="1"/>
  <c r="O75" i="2"/>
  <c r="Q75" i="2" s="1"/>
  <c r="N75" i="2"/>
  <c r="M75" i="2"/>
  <c r="J75" i="2"/>
  <c r="J65" i="2" s="1"/>
  <c r="I75" i="2"/>
  <c r="H75" i="2"/>
  <c r="G75" i="2"/>
  <c r="F75" i="2"/>
  <c r="E75" i="2"/>
  <c r="Q74" i="2"/>
  <c r="P74" i="2"/>
  <c r="K74" i="2"/>
  <c r="L74" i="2" s="1"/>
  <c r="Q73" i="2"/>
  <c r="P73" i="2"/>
  <c r="L73" i="2"/>
  <c r="K73" i="2"/>
  <c r="Q72" i="2"/>
  <c r="P72" i="2"/>
  <c r="K72" i="2"/>
  <c r="L72" i="2" s="1"/>
  <c r="Q71" i="2"/>
  <c r="P71" i="2"/>
  <c r="L71" i="2"/>
  <c r="K71" i="2"/>
  <c r="Q70" i="2"/>
  <c r="P70" i="2"/>
  <c r="K70" i="2"/>
  <c r="L70" i="2" s="1"/>
  <c r="Q69" i="2"/>
  <c r="P69" i="2"/>
  <c r="L69" i="2"/>
  <c r="K69" i="2"/>
  <c r="Q68" i="2"/>
  <c r="P68" i="2"/>
  <c r="K68" i="2"/>
  <c r="K66" i="2" s="1"/>
  <c r="Q67" i="2"/>
  <c r="P67" i="2"/>
  <c r="L67" i="2"/>
  <c r="K67" i="2"/>
  <c r="O66" i="2"/>
  <c r="O65" i="2" s="1"/>
  <c r="N66" i="2"/>
  <c r="N65" i="2" s="1"/>
  <c r="M66" i="2"/>
  <c r="M65" i="2" s="1"/>
  <c r="J66" i="2"/>
  <c r="I66" i="2"/>
  <c r="H66" i="2"/>
  <c r="G66" i="2"/>
  <c r="G65" i="2" s="1"/>
  <c r="F66" i="2"/>
  <c r="F65" i="2" s="1"/>
  <c r="E66" i="2"/>
  <c r="E65" i="2" s="1"/>
  <c r="I65" i="2"/>
  <c r="H65" i="2"/>
  <c r="Q64" i="2"/>
  <c r="P64" i="2"/>
  <c r="K64" i="2"/>
  <c r="K62" i="2" s="1"/>
  <c r="L62" i="2" s="1"/>
  <c r="Q63" i="2"/>
  <c r="P63" i="2"/>
  <c r="L63" i="2"/>
  <c r="K63" i="2"/>
  <c r="O62" i="2"/>
  <c r="N62" i="2"/>
  <c r="M62" i="2"/>
  <c r="J62" i="2"/>
  <c r="I62" i="2"/>
  <c r="H62" i="2"/>
  <c r="P62" i="2" s="1"/>
  <c r="G62" i="2"/>
  <c r="F62" i="2"/>
  <c r="E62" i="2"/>
  <c r="Q61" i="2"/>
  <c r="P61" i="2"/>
  <c r="K61" i="2"/>
  <c r="L61" i="2" s="1"/>
  <c r="Q60" i="2"/>
  <c r="P60" i="2"/>
  <c r="L60" i="2"/>
  <c r="K60" i="2"/>
  <c r="Q59" i="2"/>
  <c r="P59" i="2"/>
  <c r="K59" i="2"/>
  <c r="L59" i="2" s="1"/>
  <c r="Q58" i="2"/>
  <c r="P58" i="2"/>
  <c r="L58" i="2"/>
  <c r="K58" i="2"/>
  <c r="O57" i="2"/>
  <c r="N57" i="2"/>
  <c r="M57" i="2"/>
  <c r="K57" i="2"/>
  <c r="L57" i="2" s="1"/>
  <c r="J57" i="2"/>
  <c r="I57" i="2"/>
  <c r="H57" i="2"/>
  <c r="Q57" i="2" s="1"/>
  <c r="G57" i="2"/>
  <c r="F57" i="2"/>
  <c r="E57" i="2"/>
  <c r="Q56" i="2"/>
  <c r="P56" i="2"/>
  <c r="L56" i="2"/>
  <c r="K56" i="2"/>
  <c r="Q55" i="2"/>
  <c r="P55" i="2"/>
  <c r="K55" i="2"/>
  <c r="L55" i="2" s="1"/>
  <c r="Q54" i="2"/>
  <c r="P54" i="2"/>
  <c r="L54" i="2"/>
  <c r="K54" i="2"/>
  <c r="Q53" i="2"/>
  <c r="P53" i="2"/>
  <c r="K53" i="2"/>
  <c r="L53" i="2" s="1"/>
  <c r="Q52" i="2"/>
  <c r="P52" i="2"/>
  <c r="L52" i="2"/>
  <c r="K52" i="2"/>
  <c r="Q51" i="2"/>
  <c r="P51" i="2"/>
  <c r="K51" i="2"/>
  <c r="L51" i="2" s="1"/>
  <c r="O50" i="2"/>
  <c r="N50" i="2"/>
  <c r="M50" i="2"/>
  <c r="J50" i="2"/>
  <c r="J20" i="2" s="1"/>
  <c r="J19" i="2" s="1"/>
  <c r="I50" i="2"/>
  <c r="H50" i="2"/>
  <c r="H20" i="2" s="1"/>
  <c r="G50" i="2"/>
  <c r="F50" i="2"/>
  <c r="E50" i="2"/>
  <c r="Q49" i="2"/>
  <c r="P49" i="2"/>
  <c r="L49" i="2"/>
  <c r="K49" i="2"/>
  <c r="Q48" i="2"/>
  <c r="P48" i="2"/>
  <c r="K48" i="2"/>
  <c r="L48" i="2" s="1"/>
  <c r="Q47" i="2"/>
  <c r="P47" i="2"/>
  <c r="L47" i="2"/>
  <c r="K47" i="2"/>
  <c r="Q46" i="2"/>
  <c r="O46" i="2"/>
  <c r="N46" i="2"/>
  <c r="M46" i="2"/>
  <c r="K46" i="2"/>
  <c r="L46" i="2" s="1"/>
  <c r="J46" i="2"/>
  <c r="I46" i="2"/>
  <c r="H46" i="2"/>
  <c r="P46" i="2" s="1"/>
  <c r="G46" i="2"/>
  <c r="F46" i="2"/>
  <c r="E46" i="2"/>
  <c r="Q45" i="2"/>
  <c r="P45" i="2"/>
  <c r="K45" i="2"/>
  <c r="K43" i="2" s="1"/>
  <c r="L43" i="2" s="1"/>
  <c r="Q44" i="2"/>
  <c r="P44" i="2"/>
  <c r="L44" i="2"/>
  <c r="K44" i="2"/>
  <c r="O43" i="2"/>
  <c r="N43" i="2"/>
  <c r="M43" i="2"/>
  <c r="J43" i="2"/>
  <c r="I43" i="2"/>
  <c r="H43" i="2"/>
  <c r="Q43" i="2" s="1"/>
  <c r="G43" i="2"/>
  <c r="F43" i="2"/>
  <c r="E43" i="2"/>
  <c r="Q42" i="2"/>
  <c r="P42" i="2"/>
  <c r="K42" i="2"/>
  <c r="L42" i="2" s="1"/>
  <c r="Q41" i="2"/>
  <c r="P41" i="2"/>
  <c r="L41" i="2"/>
  <c r="K41" i="2"/>
  <c r="Q40" i="2"/>
  <c r="P40" i="2"/>
  <c r="K40" i="2"/>
  <c r="L40" i="2" s="1"/>
  <c r="Q39" i="2"/>
  <c r="P39" i="2"/>
  <c r="L39" i="2"/>
  <c r="K39" i="2"/>
  <c r="Q38" i="2"/>
  <c r="P38" i="2"/>
  <c r="K38" i="2"/>
  <c r="L38" i="2" s="1"/>
  <c r="Q37" i="2"/>
  <c r="P37" i="2"/>
  <c r="L37" i="2"/>
  <c r="K37" i="2"/>
  <c r="O36" i="2"/>
  <c r="N36" i="2"/>
  <c r="M36" i="2"/>
  <c r="M20" i="2" s="1"/>
  <c r="M19" i="2" s="1"/>
  <c r="K36" i="2"/>
  <c r="L36" i="2" s="1"/>
  <c r="J36" i="2"/>
  <c r="I36" i="2"/>
  <c r="H36" i="2"/>
  <c r="Q36" i="2" s="1"/>
  <c r="G36" i="2"/>
  <c r="F36" i="2"/>
  <c r="E36" i="2"/>
  <c r="E20" i="2" s="1"/>
  <c r="E19" i="2" s="1"/>
  <c r="Q35" i="2"/>
  <c r="P35" i="2"/>
  <c r="L35" i="2"/>
  <c r="K35" i="2"/>
  <c r="Q34" i="2"/>
  <c r="P34" i="2"/>
  <c r="K34" i="2"/>
  <c r="L34" i="2" s="1"/>
  <c r="Q33" i="2"/>
  <c r="P33" i="2"/>
  <c r="L33" i="2"/>
  <c r="K33" i="2"/>
  <c r="Q32" i="2"/>
  <c r="P32" i="2"/>
  <c r="K32" i="2"/>
  <c r="L32" i="2" s="1"/>
  <c r="Q31" i="2"/>
  <c r="P31" i="2"/>
  <c r="L31" i="2"/>
  <c r="K31" i="2"/>
  <c r="Q30" i="2"/>
  <c r="P30" i="2"/>
  <c r="K30" i="2"/>
  <c r="K28" i="2" s="1"/>
  <c r="L28" i="2" s="1"/>
  <c r="Q29" i="2"/>
  <c r="P29" i="2"/>
  <c r="L29" i="2"/>
  <c r="K29" i="2"/>
  <c r="O28" i="2"/>
  <c r="Q28" i="2" s="1"/>
  <c r="N28" i="2"/>
  <c r="M28" i="2"/>
  <c r="J28" i="2"/>
  <c r="I28" i="2"/>
  <c r="H28" i="2"/>
  <c r="G28" i="2"/>
  <c r="G20" i="2" s="1"/>
  <c r="F28" i="2"/>
  <c r="E28" i="2"/>
  <c r="Q27" i="2"/>
  <c r="P27" i="2"/>
  <c r="K27" i="2"/>
  <c r="L27" i="2" s="1"/>
  <c r="Q26" i="2"/>
  <c r="P26" i="2"/>
  <c r="L26" i="2"/>
  <c r="K26" i="2"/>
  <c r="Q25" i="2"/>
  <c r="P25" i="2"/>
  <c r="K25" i="2"/>
  <c r="L25" i="2" s="1"/>
  <c r="Q24" i="2"/>
  <c r="P24" i="2"/>
  <c r="L24" i="2"/>
  <c r="K24" i="2"/>
  <c r="Q23" i="2"/>
  <c r="P23" i="2"/>
  <c r="K23" i="2"/>
  <c r="L23" i="2" s="1"/>
  <c r="Q22" i="2"/>
  <c r="P22" i="2"/>
  <c r="L22" i="2"/>
  <c r="K22" i="2"/>
  <c r="Q21" i="2"/>
  <c r="O21" i="2"/>
  <c r="N21" i="2"/>
  <c r="M21" i="2"/>
  <c r="K21" i="2"/>
  <c r="J21" i="2"/>
  <c r="I21" i="2"/>
  <c r="I20" i="2" s="1"/>
  <c r="I19" i="2" s="1"/>
  <c r="H21" i="2"/>
  <c r="P21" i="2" s="1"/>
  <c r="G21" i="2"/>
  <c r="F21" i="2"/>
  <c r="E21" i="2"/>
  <c r="N20" i="2"/>
  <c r="N19" i="2" s="1"/>
  <c r="F20" i="2"/>
  <c r="F19" i="2" s="1"/>
  <c r="A7" i="2"/>
  <c r="M25" i="3" l="1"/>
  <c r="L25" i="3"/>
  <c r="M48" i="3"/>
  <c r="L48" i="3"/>
  <c r="M22" i="3"/>
  <c r="L22" i="3"/>
  <c r="M31" i="3"/>
  <c r="L31" i="3"/>
  <c r="M20" i="3"/>
  <c r="L20" i="3"/>
  <c r="U32" i="3"/>
  <c r="L47" i="3"/>
  <c r="M47" i="3"/>
  <c r="K46" i="3"/>
  <c r="Q27" i="3"/>
  <c r="R27" i="3" s="1"/>
  <c r="L64" i="3"/>
  <c r="M64" i="3"/>
  <c r="O20" i="3"/>
  <c r="P20" i="3"/>
  <c r="U58" i="3"/>
  <c r="N57" i="3"/>
  <c r="M94" i="3"/>
  <c r="L94" i="3"/>
  <c r="L105" i="3"/>
  <c r="M105" i="3"/>
  <c r="P107" i="3"/>
  <c r="O107" i="3"/>
  <c r="H19" i="3"/>
  <c r="O33" i="3"/>
  <c r="Q34" i="3"/>
  <c r="R34" i="3" s="1"/>
  <c r="U34" i="3"/>
  <c r="O36" i="3"/>
  <c r="M38" i="3"/>
  <c r="L39" i="3"/>
  <c r="P41" i="3"/>
  <c r="O43" i="3"/>
  <c r="M24" i="3"/>
  <c r="N27" i="3"/>
  <c r="Q36" i="3"/>
  <c r="R36" i="3" s="1"/>
  <c r="M40" i="3"/>
  <c r="O52" i="3"/>
  <c r="M57" i="3"/>
  <c r="P58" i="3"/>
  <c r="Q59" i="3"/>
  <c r="R59" i="3" s="1"/>
  <c r="U65" i="3"/>
  <c r="N64" i="3"/>
  <c r="P66" i="3"/>
  <c r="O66" i="3"/>
  <c r="U71" i="3"/>
  <c r="F63" i="3"/>
  <c r="M73" i="3"/>
  <c r="L73" i="3"/>
  <c r="S78" i="3"/>
  <c r="S63" i="3" s="1"/>
  <c r="S18" i="3" s="1"/>
  <c r="U83" i="3"/>
  <c r="Q83" i="3"/>
  <c r="R83" i="3" s="1"/>
  <c r="P83" i="3"/>
  <c r="O83" i="3"/>
  <c r="K86" i="3"/>
  <c r="J78" i="3"/>
  <c r="J63" i="3" s="1"/>
  <c r="Q87" i="3"/>
  <c r="R87" i="3" s="1"/>
  <c r="L97" i="3"/>
  <c r="U116" i="3"/>
  <c r="P126" i="3"/>
  <c r="O126" i="3"/>
  <c r="U167" i="3"/>
  <c r="F148" i="3"/>
  <c r="O167" i="3"/>
  <c r="O23" i="3"/>
  <c r="U45" i="3"/>
  <c r="O45" i="3"/>
  <c r="J20" i="3"/>
  <c r="J19" i="3" s="1"/>
  <c r="O21" i="3"/>
  <c r="U22" i="3"/>
  <c r="Q23" i="3"/>
  <c r="R23" i="3" s="1"/>
  <c r="O26" i="3"/>
  <c r="U28" i="3"/>
  <c r="Q29" i="3"/>
  <c r="R29" i="3" s="1"/>
  <c r="K32" i="3"/>
  <c r="Q33" i="3"/>
  <c r="P34" i="3"/>
  <c r="Q35" i="3"/>
  <c r="R35" i="3" s="1"/>
  <c r="O38" i="3"/>
  <c r="U40" i="3"/>
  <c r="O40" i="3"/>
  <c r="Q45" i="3"/>
  <c r="R45" i="3" s="1"/>
  <c r="O50" i="3"/>
  <c r="P52" i="3"/>
  <c r="L55" i="3"/>
  <c r="Q58" i="3"/>
  <c r="O65" i="3"/>
  <c r="Q66" i="3"/>
  <c r="R66" i="3" s="1"/>
  <c r="K71" i="3"/>
  <c r="U73" i="3"/>
  <c r="Q73" i="3"/>
  <c r="R73" i="3" s="1"/>
  <c r="P73" i="3"/>
  <c r="O73" i="3"/>
  <c r="Q76" i="3"/>
  <c r="P76" i="3"/>
  <c r="U76" i="3"/>
  <c r="N75" i="3"/>
  <c r="P119" i="3"/>
  <c r="Q119" i="3"/>
  <c r="R119" i="3" s="1"/>
  <c r="O119" i="3"/>
  <c r="U119" i="3"/>
  <c r="P123" i="3"/>
  <c r="N121" i="3"/>
  <c r="Q123" i="3"/>
  <c r="R123" i="3" s="1"/>
  <c r="O123" i="3"/>
  <c r="M147" i="3"/>
  <c r="L147" i="3"/>
  <c r="K146" i="3"/>
  <c r="R159" i="3"/>
  <c r="U79" i="3"/>
  <c r="N78" i="3"/>
  <c r="U78" i="3" s="1"/>
  <c r="Q79" i="3"/>
  <c r="P79" i="3"/>
  <c r="O79" i="3"/>
  <c r="M91" i="3"/>
  <c r="L91" i="3"/>
  <c r="R28" i="3"/>
  <c r="U41" i="3"/>
  <c r="M30" i="3"/>
  <c r="O34" i="3"/>
  <c r="P45" i="3"/>
  <c r="P51" i="3"/>
  <c r="O51" i="3"/>
  <c r="P21" i="3"/>
  <c r="O24" i="3"/>
  <c r="P26" i="3"/>
  <c r="O30" i="3"/>
  <c r="P40" i="3"/>
  <c r="Q50" i="3"/>
  <c r="R50" i="3" s="1"/>
  <c r="Q52" i="3"/>
  <c r="R52" i="3" s="1"/>
  <c r="K53" i="3"/>
  <c r="U57" i="3"/>
  <c r="U59" i="3"/>
  <c r="P65" i="3"/>
  <c r="L69" i="3"/>
  <c r="O76" i="3"/>
  <c r="R88" i="3"/>
  <c r="M93" i="3"/>
  <c r="L93" i="3"/>
  <c r="K92" i="3"/>
  <c r="U98" i="3"/>
  <c r="R108" i="3"/>
  <c r="N116" i="3"/>
  <c r="P23" i="3"/>
  <c r="K28" i="3"/>
  <c r="P29" i="3"/>
  <c r="P33" i="3"/>
  <c r="P35" i="3"/>
  <c r="Q43" i="3"/>
  <c r="Q21" i="3"/>
  <c r="U35" i="3"/>
  <c r="U36" i="3"/>
  <c r="U43" i="3"/>
  <c r="Q65" i="3"/>
  <c r="U66" i="3"/>
  <c r="K68" i="3"/>
  <c r="Q70" i="3"/>
  <c r="R70" i="3" s="1"/>
  <c r="P70" i="3"/>
  <c r="U70" i="3"/>
  <c r="L75" i="3"/>
  <c r="M84" i="3"/>
  <c r="L84" i="3"/>
  <c r="U92" i="3"/>
  <c r="U93" i="3"/>
  <c r="Q93" i="3"/>
  <c r="P93" i="3"/>
  <c r="O93" i="3"/>
  <c r="M96" i="3"/>
  <c r="L96" i="3"/>
  <c r="L106" i="3"/>
  <c r="M106" i="3"/>
  <c r="U123" i="3"/>
  <c r="M125" i="3"/>
  <c r="L125" i="3"/>
  <c r="S148" i="3"/>
  <c r="Q38" i="3"/>
  <c r="R38" i="3" s="1"/>
  <c r="U38" i="3"/>
  <c r="O22" i="3"/>
  <c r="L23" i="3"/>
  <c r="O28" i="3"/>
  <c r="L29" i="3"/>
  <c r="U29" i="3"/>
  <c r="N32" i="3"/>
  <c r="N19" i="3" s="1"/>
  <c r="L33" i="3"/>
  <c r="K41" i="3"/>
  <c r="L42" i="3"/>
  <c r="N46" i="3"/>
  <c r="Q47" i="3"/>
  <c r="U47" i="3"/>
  <c r="U50" i="3"/>
  <c r="U51" i="3"/>
  <c r="O53" i="3"/>
  <c r="O54" i="3"/>
  <c r="L60" i="3"/>
  <c r="L61" i="3"/>
  <c r="U64" i="3"/>
  <c r="O70" i="3"/>
  <c r="Q81" i="3"/>
  <c r="R81" i="3" s="1"/>
  <c r="P81" i="3"/>
  <c r="U81" i="3"/>
  <c r="S92" i="3"/>
  <c r="Q96" i="3"/>
  <c r="R96" i="3" s="1"/>
  <c r="P96" i="3"/>
  <c r="O96" i="3"/>
  <c r="L109" i="3"/>
  <c r="M109" i="3"/>
  <c r="P142" i="3"/>
  <c r="Q142" i="3"/>
  <c r="R142" i="3" s="1"/>
  <c r="O142" i="3"/>
  <c r="U142" i="3"/>
  <c r="N137" i="3"/>
  <c r="M153" i="3"/>
  <c r="L153" i="3"/>
  <c r="M52" i="3"/>
  <c r="L52" i="3"/>
  <c r="R69" i="3"/>
  <c r="Q68" i="3"/>
  <c r="R68" i="3" s="1"/>
  <c r="K174" i="3"/>
  <c r="J173" i="3"/>
  <c r="L51" i="3"/>
  <c r="O58" i="3"/>
  <c r="O59" i="3"/>
  <c r="R62" i="3"/>
  <c r="M65" i="3"/>
  <c r="L65" i="3"/>
  <c r="O71" i="3"/>
  <c r="M83" i="3"/>
  <c r="L83" i="3"/>
  <c r="K87" i="3"/>
  <c r="M88" i="3"/>
  <c r="L88" i="3"/>
  <c r="L90" i="3"/>
  <c r="P91" i="3"/>
  <c r="O91" i="3"/>
  <c r="U91" i="3"/>
  <c r="P92" i="3"/>
  <c r="O92" i="3"/>
  <c r="L110" i="3"/>
  <c r="M110" i="3"/>
  <c r="M137" i="3"/>
  <c r="L137" i="3"/>
  <c r="U46" i="3"/>
  <c r="U53" i="3"/>
  <c r="Q54" i="3"/>
  <c r="M58" i="3"/>
  <c r="L58" i="3"/>
  <c r="O68" i="3"/>
  <c r="M79" i="3"/>
  <c r="L79" i="3"/>
  <c r="K78" i="3"/>
  <c r="O109" i="3"/>
  <c r="U109" i="3"/>
  <c r="Q109" i="3"/>
  <c r="R109" i="3" s="1"/>
  <c r="P109" i="3"/>
  <c r="U126" i="3"/>
  <c r="Q209" i="3"/>
  <c r="R209" i="3" s="1"/>
  <c r="R210" i="3"/>
  <c r="Q72" i="3"/>
  <c r="Q77" i="3"/>
  <c r="R77" i="3" s="1"/>
  <c r="Q82" i="3"/>
  <c r="R82" i="3" s="1"/>
  <c r="U84" i="3"/>
  <c r="Q85" i="3"/>
  <c r="R85" i="3" s="1"/>
  <c r="N87" i="3"/>
  <c r="U87" i="3" s="1"/>
  <c r="U94" i="3"/>
  <c r="Q95" i="3"/>
  <c r="R95" i="3" s="1"/>
  <c r="M98" i="3"/>
  <c r="L134" i="3"/>
  <c r="M134" i="3"/>
  <c r="Q149" i="3"/>
  <c r="R150" i="3"/>
  <c r="M185" i="3"/>
  <c r="L185" i="3"/>
  <c r="L189" i="3"/>
  <c r="M189" i="3"/>
  <c r="R219" i="3"/>
  <c r="Q217" i="3"/>
  <c r="U221" i="3"/>
  <c r="M255" i="3"/>
  <c r="L255" i="3"/>
  <c r="O56" i="3"/>
  <c r="O62" i="3"/>
  <c r="L76" i="3"/>
  <c r="O86" i="3"/>
  <c r="U88" i="3"/>
  <c r="U107" i="3"/>
  <c r="U108" i="3"/>
  <c r="U114" i="3"/>
  <c r="Q114" i="3"/>
  <c r="R114" i="3" s="1"/>
  <c r="P114" i="3"/>
  <c r="U134" i="3"/>
  <c r="Q134" i="3"/>
  <c r="R134" i="3" s="1"/>
  <c r="P134" i="3"/>
  <c r="O134" i="3"/>
  <c r="M152" i="3"/>
  <c r="L152" i="3"/>
  <c r="L166" i="3"/>
  <c r="P100" i="3"/>
  <c r="U100" i="3"/>
  <c r="N98" i="3"/>
  <c r="O100" i="3"/>
  <c r="K101" i="3"/>
  <c r="M102" i="3"/>
  <c r="L102" i="3"/>
  <c r="U110" i="3"/>
  <c r="Q110" i="3"/>
  <c r="R110" i="3" s="1"/>
  <c r="L117" i="3"/>
  <c r="M117" i="3"/>
  <c r="K116" i="3"/>
  <c r="O132" i="3"/>
  <c r="N131" i="3"/>
  <c r="U132" i="3"/>
  <c r="Q132" i="3"/>
  <c r="P132" i="3"/>
  <c r="L135" i="3"/>
  <c r="M135" i="3"/>
  <c r="M138" i="3"/>
  <c r="L138" i="3"/>
  <c r="M204" i="3"/>
  <c r="K203" i="3"/>
  <c r="L204" i="3"/>
  <c r="U241" i="3"/>
  <c r="O110" i="3"/>
  <c r="O117" i="3"/>
  <c r="U117" i="3"/>
  <c r="Q117" i="3"/>
  <c r="P117" i="3"/>
  <c r="M120" i="3"/>
  <c r="K122" i="3"/>
  <c r="J121" i="3"/>
  <c r="M123" i="3"/>
  <c r="L123" i="3"/>
  <c r="P135" i="3"/>
  <c r="U137" i="3"/>
  <c r="M175" i="3"/>
  <c r="L175" i="3"/>
  <c r="O237" i="3"/>
  <c r="U237" i="3"/>
  <c r="Q237" i="3"/>
  <c r="R237" i="3" s="1"/>
  <c r="P237" i="3"/>
  <c r="L144" i="3"/>
  <c r="M144" i="3"/>
  <c r="O146" i="3"/>
  <c r="P146" i="3"/>
  <c r="K165" i="3"/>
  <c r="J158" i="3"/>
  <c r="M167" i="3"/>
  <c r="L167" i="3"/>
  <c r="P88" i="3"/>
  <c r="J98" i="3"/>
  <c r="N101" i="3"/>
  <c r="Q102" i="3"/>
  <c r="M115" i="3"/>
  <c r="L115" i="3"/>
  <c r="M126" i="3"/>
  <c r="L126" i="3"/>
  <c r="O133" i="3"/>
  <c r="U133" i="3"/>
  <c r="Q133" i="3"/>
  <c r="R133" i="3" s="1"/>
  <c r="P133" i="3"/>
  <c r="M159" i="3"/>
  <c r="L159" i="3"/>
  <c r="P165" i="3"/>
  <c r="Q165" i="3"/>
  <c r="R165" i="3" s="1"/>
  <c r="O165" i="3"/>
  <c r="O194" i="3"/>
  <c r="U194" i="3"/>
  <c r="N190" i="3"/>
  <c r="Q194" i="3"/>
  <c r="R194" i="3" s="1"/>
  <c r="P194" i="3"/>
  <c r="F202" i="3"/>
  <c r="N61" i="3"/>
  <c r="O95" i="3"/>
  <c r="S101" i="3"/>
  <c r="K107" i="3"/>
  <c r="P108" i="3"/>
  <c r="O115" i="3"/>
  <c r="U115" i="3"/>
  <c r="Q115" i="3"/>
  <c r="R115" i="3" s="1"/>
  <c r="U121" i="3"/>
  <c r="L129" i="3"/>
  <c r="M129" i="3"/>
  <c r="U146" i="3"/>
  <c r="I148" i="3"/>
  <c r="I18" i="3" s="1"/>
  <c r="I17" i="3" s="1"/>
  <c r="I16" i="3" s="1"/>
  <c r="Q196" i="3"/>
  <c r="R196" i="3" s="1"/>
  <c r="P196" i="3"/>
  <c r="U196" i="3"/>
  <c r="O196" i="3"/>
  <c r="O200" i="3"/>
  <c r="U200" i="3"/>
  <c r="N199" i="3"/>
  <c r="Q200" i="3"/>
  <c r="P200" i="3"/>
  <c r="Q121" i="3"/>
  <c r="R121" i="3" s="1"/>
  <c r="U136" i="3"/>
  <c r="U145" i="3"/>
  <c r="Q156" i="3"/>
  <c r="R156" i="3" s="1"/>
  <c r="Q160" i="3"/>
  <c r="R160" i="3" s="1"/>
  <c r="U179" i="3"/>
  <c r="Q181" i="3"/>
  <c r="R181" i="3" s="1"/>
  <c r="P187" i="3"/>
  <c r="N185" i="3"/>
  <c r="M188" i="3"/>
  <c r="Q192" i="3"/>
  <c r="P195" i="3"/>
  <c r="M199" i="3"/>
  <c r="L199" i="3"/>
  <c r="O207" i="3"/>
  <c r="U207" i="3"/>
  <c r="Q207" i="3"/>
  <c r="R207" i="3" s="1"/>
  <c r="P209" i="3"/>
  <c r="O209" i="3"/>
  <c r="O213" i="3"/>
  <c r="U213" i="3"/>
  <c r="N212" i="3"/>
  <c r="U212" i="3" s="1"/>
  <c r="Q213" i="3"/>
  <c r="M232" i="3"/>
  <c r="L232" i="3"/>
  <c r="K230" i="3"/>
  <c r="O105" i="3"/>
  <c r="U105" i="3"/>
  <c r="U106" i="3"/>
  <c r="Q106" i="3"/>
  <c r="R106" i="3" s="1"/>
  <c r="R122" i="3"/>
  <c r="O124" i="3"/>
  <c r="O127" i="3"/>
  <c r="O129" i="3"/>
  <c r="U129" i="3"/>
  <c r="O130" i="3"/>
  <c r="L142" i="3"/>
  <c r="K149" i="3"/>
  <c r="U153" i="3"/>
  <c r="U159" i="3"/>
  <c r="L171" i="3"/>
  <c r="U176" i="3"/>
  <c r="N177" i="3"/>
  <c r="K179" i="3"/>
  <c r="U180" i="3"/>
  <c r="Q185" i="3"/>
  <c r="R185" i="3" s="1"/>
  <c r="O187" i="3"/>
  <c r="O189" i="3"/>
  <c r="U189" i="3"/>
  <c r="Q195" i="3"/>
  <c r="R195" i="3" s="1"/>
  <c r="Q204" i="3"/>
  <c r="P204" i="3"/>
  <c r="O204" i="3"/>
  <c r="P207" i="3"/>
  <c r="P213" i="3"/>
  <c r="U223" i="3"/>
  <c r="Q223" i="3"/>
  <c r="O223" i="3"/>
  <c r="N221" i="3"/>
  <c r="M246" i="3"/>
  <c r="L246" i="3"/>
  <c r="Q268" i="3"/>
  <c r="O268" i="3"/>
  <c r="U268" i="3"/>
  <c r="N267" i="3"/>
  <c r="P268" i="3"/>
  <c r="M304" i="3"/>
  <c r="L304" i="3"/>
  <c r="N173" i="3"/>
  <c r="P174" i="3"/>
  <c r="S216" i="3"/>
  <c r="U236" i="3"/>
  <c r="Q236" i="3"/>
  <c r="R236" i="3" s="1"/>
  <c r="P236" i="3"/>
  <c r="O236" i="3"/>
  <c r="P246" i="3"/>
  <c r="O246" i="3"/>
  <c r="Q257" i="3"/>
  <c r="R257" i="3" s="1"/>
  <c r="P257" i="3"/>
  <c r="U257" i="3"/>
  <c r="O257" i="3"/>
  <c r="N255" i="3"/>
  <c r="Q130" i="3"/>
  <c r="K131" i="3"/>
  <c r="U140" i="3"/>
  <c r="Q140" i="3"/>
  <c r="N149" i="3"/>
  <c r="U149" i="3" s="1"/>
  <c r="N158" i="3"/>
  <c r="U169" i="3"/>
  <c r="Q169" i="3"/>
  <c r="O171" i="3"/>
  <c r="O174" i="3"/>
  <c r="L176" i="3"/>
  <c r="O178" i="3"/>
  <c r="L180" i="3"/>
  <c r="U192" i="3"/>
  <c r="U199" i="3"/>
  <c r="P220" i="3"/>
  <c r="O220" i="3"/>
  <c r="U220" i="3"/>
  <c r="U242" i="3"/>
  <c r="N241" i="3"/>
  <c r="Q242" i="3"/>
  <c r="P242" i="3"/>
  <c r="O242" i="3"/>
  <c r="R244" i="3"/>
  <c r="U249" i="3"/>
  <c r="O260" i="3"/>
  <c r="U260" i="3"/>
  <c r="Q260" i="3"/>
  <c r="R260" i="3" s="1"/>
  <c r="P260" i="3"/>
  <c r="L264" i="3"/>
  <c r="R300" i="3"/>
  <c r="U144" i="3"/>
  <c r="Q144" i="3"/>
  <c r="R144" i="3" s="1"/>
  <c r="R146" i="3"/>
  <c r="Q171" i="3"/>
  <c r="R171" i="3" s="1"/>
  <c r="Q174" i="3"/>
  <c r="Q178" i="3"/>
  <c r="L190" i="3"/>
  <c r="U246" i="3"/>
  <c r="K289" i="3"/>
  <c r="M290" i="3"/>
  <c r="L290" i="3"/>
  <c r="P297" i="3"/>
  <c r="U297" i="3"/>
  <c r="O297" i="3"/>
  <c r="U104" i="3"/>
  <c r="P118" i="3"/>
  <c r="U124" i="3"/>
  <c r="U127" i="3"/>
  <c r="L132" i="3"/>
  <c r="K133" i="3"/>
  <c r="U135" i="3"/>
  <c r="O135" i="3"/>
  <c r="P136" i="3"/>
  <c r="P140" i="3"/>
  <c r="Q141" i="3"/>
  <c r="R141" i="3" s="1"/>
  <c r="O144" i="3"/>
  <c r="P145" i="3"/>
  <c r="U151" i="3"/>
  <c r="Q151" i="3"/>
  <c r="R151" i="3" s="1"/>
  <c r="O153" i="3"/>
  <c r="M155" i="3"/>
  <c r="O159" i="3"/>
  <c r="M161" i="3"/>
  <c r="M162" i="3"/>
  <c r="L163" i="3"/>
  <c r="Q166" i="3"/>
  <c r="R166" i="3" s="1"/>
  <c r="P169" i="3"/>
  <c r="Q170" i="3"/>
  <c r="R170" i="3" s="1"/>
  <c r="H148" i="3"/>
  <c r="Q175" i="3"/>
  <c r="R175" i="3" s="1"/>
  <c r="O176" i="3"/>
  <c r="Q179" i="3"/>
  <c r="R179" i="3" s="1"/>
  <c r="O180" i="3"/>
  <c r="M182" i="3"/>
  <c r="M183" i="3"/>
  <c r="L184" i="3"/>
  <c r="U187" i="3"/>
  <c r="M190" i="3"/>
  <c r="L193" i="3"/>
  <c r="L195" i="3"/>
  <c r="L197" i="3"/>
  <c r="M198" i="3"/>
  <c r="L198" i="3"/>
  <c r="N203" i="3"/>
  <c r="Q208" i="3"/>
  <c r="R208" i="3" s="1"/>
  <c r="P208" i="3"/>
  <c r="O208" i="3"/>
  <c r="Q214" i="3"/>
  <c r="R214" i="3" s="1"/>
  <c r="P214" i="3"/>
  <c r="O214" i="3"/>
  <c r="H216" i="3"/>
  <c r="H215" i="3" s="1"/>
  <c r="P219" i="3"/>
  <c r="U219" i="3"/>
  <c r="M234" i="3"/>
  <c r="L234" i="3"/>
  <c r="Q136" i="3"/>
  <c r="P144" i="3"/>
  <c r="Q145" i="3"/>
  <c r="R145" i="3" s="1"/>
  <c r="Q153" i="3"/>
  <c r="R153" i="3" s="1"/>
  <c r="U155" i="3"/>
  <c r="Q155" i="3"/>
  <c r="R155" i="3" s="1"/>
  <c r="O161" i="3"/>
  <c r="U161" i="3"/>
  <c r="U162" i="3"/>
  <c r="Q162" i="3"/>
  <c r="R162" i="3" s="1"/>
  <c r="O182" i="3"/>
  <c r="U182" i="3"/>
  <c r="U183" i="3"/>
  <c r="Q183" i="3"/>
  <c r="R183" i="3" s="1"/>
  <c r="O224" i="3"/>
  <c r="P224" i="3"/>
  <c r="U224" i="3"/>
  <c r="Q234" i="3"/>
  <c r="R234" i="3" s="1"/>
  <c r="P234" i="3"/>
  <c r="U234" i="3"/>
  <c r="O234" i="3"/>
  <c r="N230" i="3"/>
  <c r="U259" i="3"/>
  <c r="Q259" i="3"/>
  <c r="R259" i="3" s="1"/>
  <c r="P259" i="3"/>
  <c r="O259" i="3"/>
  <c r="U198" i="3"/>
  <c r="K212" i="3"/>
  <c r="K217" i="3"/>
  <c r="U228" i="3"/>
  <c r="U232" i="3"/>
  <c r="Q232" i="3"/>
  <c r="R232" i="3" s="1"/>
  <c r="M306" i="3"/>
  <c r="L306" i="3"/>
  <c r="Q316" i="3"/>
  <c r="R316" i="3" s="1"/>
  <c r="P316" i="3"/>
  <c r="O316" i="3"/>
  <c r="U316" i="3"/>
  <c r="U452" i="3"/>
  <c r="F451" i="3"/>
  <c r="U451" i="3" s="1"/>
  <c r="K221" i="3"/>
  <c r="S249" i="3"/>
  <c r="U251" i="3"/>
  <c r="Q290" i="3"/>
  <c r="O290" i="3"/>
  <c r="U290" i="3"/>
  <c r="N289" i="3"/>
  <c r="U289" i="3" s="1"/>
  <c r="Q302" i="3"/>
  <c r="R302" i="3" s="1"/>
  <c r="O302" i="3"/>
  <c r="P302" i="3"/>
  <c r="P306" i="3"/>
  <c r="O306" i="3"/>
  <c r="Q306" i="3"/>
  <c r="R306" i="3" s="1"/>
  <c r="L229" i="3"/>
  <c r="L239" i="3"/>
  <c r="M243" i="3"/>
  <c r="L243" i="3"/>
  <c r="Q245" i="3"/>
  <c r="R245" i="3" s="1"/>
  <c r="P245" i="3"/>
  <c r="U255" i="3"/>
  <c r="F248" i="3"/>
  <c r="R256" i="3"/>
  <c r="O263" i="3"/>
  <c r="Q263" i="3"/>
  <c r="R263" i="3" s="1"/>
  <c r="P263" i="3"/>
  <c r="M274" i="3"/>
  <c r="L274" i="3"/>
  <c r="K273" i="3"/>
  <c r="P279" i="3"/>
  <c r="O279" i="3"/>
  <c r="P290" i="3"/>
  <c r="F296" i="3"/>
  <c r="M319" i="3"/>
  <c r="L319" i="3"/>
  <c r="P321" i="3"/>
  <c r="O321" i="3"/>
  <c r="L389" i="3"/>
  <c r="M389" i="3"/>
  <c r="U218" i="3"/>
  <c r="N217" i="3"/>
  <c r="U217" i="3" s="1"/>
  <c r="L225" i="3"/>
  <c r="M227" i="3"/>
  <c r="L227" i="3"/>
  <c r="Q229" i="3"/>
  <c r="R229" i="3" s="1"/>
  <c r="P229" i="3"/>
  <c r="N243" i="3"/>
  <c r="O245" i="3"/>
  <c r="R247" i="3"/>
  <c r="L252" i="3"/>
  <c r="M254" i="3"/>
  <c r="L254" i="3"/>
  <c r="G248" i="3"/>
  <c r="G215" i="3" s="1"/>
  <c r="G17" i="3" s="1"/>
  <c r="G16" i="3" s="1"/>
  <c r="G15" i="3" s="1"/>
  <c r="G462" i="3" s="1"/>
  <c r="M262" i="3"/>
  <c r="U267" i="3"/>
  <c r="M269" i="3"/>
  <c r="L269" i="3"/>
  <c r="P274" i="3"/>
  <c r="O274" i="3"/>
  <c r="N273" i="3"/>
  <c r="Q279" i="3"/>
  <c r="R279" i="3" s="1"/>
  <c r="Q282" i="3"/>
  <c r="R282" i="3" s="1"/>
  <c r="O282" i="3"/>
  <c r="P282" i="3"/>
  <c r="P284" i="3"/>
  <c r="O284" i="3"/>
  <c r="N283" i="3"/>
  <c r="U283" i="3" s="1"/>
  <c r="Q284" i="3"/>
  <c r="Q288" i="3"/>
  <c r="R288" i="3" s="1"/>
  <c r="O288" i="3"/>
  <c r="P288" i="3"/>
  <c r="U301" i="3"/>
  <c r="Q301" i="3"/>
  <c r="R301" i="3" s="1"/>
  <c r="P301" i="3"/>
  <c r="N299" i="3"/>
  <c r="O301" i="3"/>
  <c r="U302" i="3"/>
  <c r="U306" i="3"/>
  <c r="U321" i="3"/>
  <c r="I324" i="3"/>
  <c r="O359" i="3"/>
  <c r="P359" i="3"/>
  <c r="F216" i="3"/>
  <c r="Q225" i="3"/>
  <c r="R225" i="3" s="1"/>
  <c r="P225" i="3"/>
  <c r="U227" i="3"/>
  <c r="Q227" i="3"/>
  <c r="R227" i="3" s="1"/>
  <c r="M250" i="3"/>
  <c r="L250" i="3"/>
  <c r="K249" i="3"/>
  <c r="Q252" i="3"/>
  <c r="R252" i="3" s="1"/>
  <c r="P252" i="3"/>
  <c r="U254" i="3"/>
  <c r="Q254" i="3"/>
  <c r="R254" i="3" s="1"/>
  <c r="O262" i="3"/>
  <c r="Q262" i="3"/>
  <c r="R262" i="3" s="1"/>
  <c r="P262" i="3"/>
  <c r="Q272" i="3"/>
  <c r="R272" i="3" s="1"/>
  <c r="O272" i="3"/>
  <c r="Q273" i="3"/>
  <c r="R273" i="3" s="1"/>
  <c r="R274" i="3"/>
  <c r="U281" i="3"/>
  <c r="Q281" i="3"/>
  <c r="R281" i="3" s="1"/>
  <c r="O281" i="3"/>
  <c r="M283" i="3"/>
  <c r="U287" i="3"/>
  <c r="N286" i="3"/>
  <c r="Q287" i="3"/>
  <c r="O287" i="3"/>
  <c r="P294" i="3"/>
  <c r="O294" i="3"/>
  <c r="G296" i="3"/>
  <c r="G295" i="3" s="1"/>
  <c r="M303" i="3"/>
  <c r="K299" i="3"/>
  <c r="K296" i="3" s="1"/>
  <c r="U313" i="3"/>
  <c r="P313" i="3"/>
  <c r="O313" i="3"/>
  <c r="N310" i="3"/>
  <c r="H326" i="3"/>
  <c r="H325" i="3" s="1"/>
  <c r="H324" i="3" s="1"/>
  <c r="J326" i="3"/>
  <c r="J325" i="3" s="1"/>
  <c r="J324" i="3" s="1"/>
  <c r="U250" i="3"/>
  <c r="N249" i="3"/>
  <c r="Q250" i="3"/>
  <c r="O252" i="3"/>
  <c r="O254" i="3"/>
  <c r="L261" i="3"/>
  <c r="Q265" i="3"/>
  <c r="P265" i="3"/>
  <c r="N264" i="3"/>
  <c r="U271" i="3"/>
  <c r="Q271" i="3"/>
  <c r="R271" i="3" s="1"/>
  <c r="P271" i="3"/>
  <c r="Q278" i="3"/>
  <c r="R278" i="3" s="1"/>
  <c r="O278" i="3"/>
  <c r="P278" i="3"/>
  <c r="Q293" i="3"/>
  <c r="R293" i="3" s="1"/>
  <c r="R294" i="3"/>
  <c r="O305" i="3"/>
  <c r="Q305" i="3"/>
  <c r="P305" i="3"/>
  <c r="N304" i="3"/>
  <c r="Q310" i="3"/>
  <c r="R310" i="3" s="1"/>
  <c r="R311" i="3"/>
  <c r="M327" i="3"/>
  <c r="K326" i="3"/>
  <c r="L327" i="3"/>
  <c r="F357" i="3"/>
  <c r="P227" i="3"/>
  <c r="Q228" i="3"/>
  <c r="R228" i="3" s="1"/>
  <c r="M236" i="3"/>
  <c r="L236" i="3"/>
  <c r="Q238" i="3"/>
  <c r="R238" i="3" s="1"/>
  <c r="P238" i="3"/>
  <c r="M242" i="3"/>
  <c r="L242" i="3"/>
  <c r="K241" i="3"/>
  <c r="O250" i="3"/>
  <c r="P251" i="3"/>
  <c r="P254" i="3"/>
  <c r="L257" i="3"/>
  <c r="M259" i="3"/>
  <c r="L259" i="3"/>
  <c r="Q261" i="3"/>
  <c r="R261" i="3" s="1"/>
  <c r="P261" i="3"/>
  <c r="O265" i="3"/>
  <c r="O271" i="3"/>
  <c r="U277" i="3"/>
  <c r="N276" i="3"/>
  <c r="U276" i="3" s="1"/>
  <c r="Q277" i="3"/>
  <c r="O277" i="3"/>
  <c r="L292" i="3"/>
  <c r="O293" i="3"/>
  <c r="P293" i="3"/>
  <c r="Q298" i="3"/>
  <c r="U298" i="3"/>
  <c r="P298" i="3"/>
  <c r="P314" i="3"/>
  <c r="O314" i="3"/>
  <c r="U339" i="3"/>
  <c r="F336" i="3"/>
  <c r="S267" i="3"/>
  <c r="J296" i="3"/>
  <c r="J295" i="3" s="1"/>
  <c r="Q303" i="3"/>
  <c r="R303" i="3" s="1"/>
  <c r="P303" i="3"/>
  <c r="O303" i="3"/>
  <c r="K308" i="3"/>
  <c r="L309" i="3"/>
  <c r="U318" i="3"/>
  <c r="Q318" i="3"/>
  <c r="R318" i="3" s="1"/>
  <c r="P318" i="3"/>
  <c r="R328" i="3"/>
  <c r="Q327" i="3"/>
  <c r="F331" i="3"/>
  <c r="U331" i="3" s="1"/>
  <c r="U332" i="3"/>
  <c r="Q337" i="3"/>
  <c r="R338" i="3"/>
  <c r="S336" i="3"/>
  <c r="S335" i="3" s="1"/>
  <c r="O433" i="3"/>
  <c r="U433" i="3"/>
  <c r="Q433" i="3"/>
  <c r="R433" i="3" s="1"/>
  <c r="P433" i="3"/>
  <c r="E325" i="3"/>
  <c r="E324" i="3" s="1"/>
  <c r="E16" i="3" s="1"/>
  <c r="E15" i="3" s="1"/>
  <c r="E462" i="3" s="1"/>
  <c r="U266" i="3"/>
  <c r="Q266" i="3"/>
  <c r="R266" i="3" s="1"/>
  <c r="K267" i="3"/>
  <c r="S276" i="3"/>
  <c r="U303" i="3"/>
  <c r="R339" i="3"/>
  <c r="E344" i="3"/>
  <c r="E343" i="3" s="1"/>
  <c r="J346" i="3"/>
  <c r="J345" i="3" s="1"/>
  <c r="P269" i="3"/>
  <c r="O269" i="3"/>
  <c r="O300" i="3"/>
  <c r="U300" i="3"/>
  <c r="Q315" i="3"/>
  <c r="U315" i="3"/>
  <c r="P315" i="3"/>
  <c r="S332" i="3"/>
  <c r="S331" i="3" s="1"/>
  <c r="S325" i="3" s="1"/>
  <c r="S324" i="3" s="1"/>
  <c r="M335" i="3"/>
  <c r="K346" i="3"/>
  <c r="M347" i="3"/>
  <c r="L347" i="3"/>
  <c r="P351" i="3"/>
  <c r="O351" i="3"/>
  <c r="O406" i="3"/>
  <c r="U406" i="3"/>
  <c r="N403" i="3"/>
  <c r="Q406" i="3"/>
  <c r="R406" i="3" s="1"/>
  <c r="P406" i="3"/>
  <c r="P311" i="3"/>
  <c r="O311" i="3"/>
  <c r="U314" i="3"/>
  <c r="S321" i="3"/>
  <c r="S296" i="3" s="1"/>
  <c r="S295" i="3" s="1"/>
  <c r="U329" i="3"/>
  <c r="F326" i="3"/>
  <c r="Q329" i="3"/>
  <c r="R329" i="3" s="1"/>
  <c r="P332" i="3"/>
  <c r="K354" i="3"/>
  <c r="K359" i="3"/>
  <c r="P360" i="3"/>
  <c r="N362" i="3"/>
  <c r="M371" i="3"/>
  <c r="L371" i="3"/>
  <c r="O382" i="3"/>
  <c r="U382" i="3"/>
  <c r="Q382" i="3"/>
  <c r="N381" i="3"/>
  <c r="U403" i="3"/>
  <c r="U412" i="3"/>
  <c r="S416" i="3"/>
  <c r="R454" i="3"/>
  <c r="R459" i="3"/>
  <c r="Q457" i="3"/>
  <c r="R457" i="3" s="1"/>
  <c r="U328" i="3"/>
  <c r="N327" i="3"/>
  <c r="G325" i="3"/>
  <c r="G324" i="3" s="1"/>
  <c r="R363" i="3"/>
  <c r="I368" i="3"/>
  <c r="Q380" i="3"/>
  <c r="O380" i="3"/>
  <c r="U380" i="3"/>
  <c r="N377" i="3"/>
  <c r="P387" i="3"/>
  <c r="Q387" i="3"/>
  <c r="R387" i="3" s="1"/>
  <c r="K403" i="3"/>
  <c r="M405" i="3"/>
  <c r="L405" i="3"/>
  <c r="K413" i="3"/>
  <c r="M415" i="3"/>
  <c r="L415" i="3"/>
  <c r="Q425" i="3"/>
  <c r="P425" i="3"/>
  <c r="O425" i="3"/>
  <c r="M436" i="3"/>
  <c r="L436" i="3"/>
  <c r="K428" i="3"/>
  <c r="R438" i="3"/>
  <c r="O328" i="3"/>
  <c r="M329" i="3"/>
  <c r="L329" i="3"/>
  <c r="K332" i="3"/>
  <c r="L334" i="3"/>
  <c r="O339" i="3"/>
  <c r="O340" i="3"/>
  <c r="N347" i="3"/>
  <c r="Q347" i="3"/>
  <c r="O349" i="3"/>
  <c r="H344" i="3"/>
  <c r="H343" i="3" s="1"/>
  <c r="E358" i="3"/>
  <c r="E357" i="3" s="1"/>
  <c r="Q375" i="3"/>
  <c r="O375" i="3"/>
  <c r="U375" i="3"/>
  <c r="P375" i="3"/>
  <c r="P380" i="3"/>
  <c r="L386" i="3"/>
  <c r="O387" i="3"/>
  <c r="L396" i="3"/>
  <c r="Q402" i="3"/>
  <c r="R402" i="3" s="1"/>
  <c r="P402" i="3"/>
  <c r="Q405" i="3"/>
  <c r="O405" i="3"/>
  <c r="U405" i="3"/>
  <c r="Q413" i="3"/>
  <c r="R415" i="3"/>
  <c r="S289" i="3"/>
  <c r="U308" i="3"/>
  <c r="O308" i="3"/>
  <c r="P328" i="3"/>
  <c r="E336" i="3"/>
  <c r="E335" i="3" s="1"/>
  <c r="P340" i="3"/>
  <c r="P349" i="3"/>
  <c r="H357" i="3"/>
  <c r="U359" i="3"/>
  <c r="G357" i="3"/>
  <c r="G344" i="3" s="1"/>
  <c r="G343" i="3" s="1"/>
  <c r="U369" i="3"/>
  <c r="K381" i="3"/>
  <c r="O386" i="3"/>
  <c r="U386" i="3"/>
  <c r="Q386" i="3"/>
  <c r="R386" i="3" s="1"/>
  <c r="O396" i="3"/>
  <c r="U396" i="3"/>
  <c r="Q396" i="3"/>
  <c r="N395" i="3"/>
  <c r="L400" i="3"/>
  <c r="K397" i="3"/>
  <c r="O418" i="3"/>
  <c r="U418" i="3"/>
  <c r="N417" i="3"/>
  <c r="Q418" i="3"/>
  <c r="O423" i="3"/>
  <c r="U423" i="3"/>
  <c r="P423" i="3"/>
  <c r="N420" i="3"/>
  <c r="U425" i="3"/>
  <c r="P366" i="3"/>
  <c r="U366" i="3"/>
  <c r="Q370" i="3"/>
  <c r="O370" i="3"/>
  <c r="U370" i="3"/>
  <c r="N369" i="3"/>
  <c r="P373" i="3"/>
  <c r="U373" i="3"/>
  <c r="Q390" i="3"/>
  <c r="R390" i="3" s="1"/>
  <c r="R391" i="3"/>
  <c r="Q394" i="3"/>
  <c r="R394" i="3" s="1"/>
  <c r="O394" i="3"/>
  <c r="U394" i="3"/>
  <c r="O397" i="3"/>
  <c r="P398" i="3"/>
  <c r="U398" i="3"/>
  <c r="M409" i="3"/>
  <c r="L409" i="3"/>
  <c r="N424" i="3"/>
  <c r="Q434" i="3"/>
  <c r="R434" i="3" s="1"/>
  <c r="P434" i="3"/>
  <c r="U434" i="3"/>
  <c r="M437" i="3"/>
  <c r="L437" i="3"/>
  <c r="U319" i="3"/>
  <c r="Q333" i="3"/>
  <c r="P333" i="3"/>
  <c r="O333" i="3"/>
  <c r="U338" i="3"/>
  <c r="N337" i="3"/>
  <c r="U340" i="3"/>
  <c r="Q342" i="3"/>
  <c r="P342" i="3"/>
  <c r="O342" i="3"/>
  <c r="L360" i="3"/>
  <c r="P361" i="3"/>
  <c r="Q361" i="3"/>
  <c r="R361" i="3" s="1"/>
  <c r="O365" i="3"/>
  <c r="O366" i="3"/>
  <c r="P370" i="3"/>
  <c r="O373" i="3"/>
  <c r="L376" i="3"/>
  <c r="M385" i="3"/>
  <c r="U390" i="3"/>
  <c r="P390" i="3"/>
  <c r="P394" i="3"/>
  <c r="P397" i="3"/>
  <c r="O398" i="3"/>
  <c r="Q400" i="3"/>
  <c r="R400" i="3" s="1"/>
  <c r="O400" i="3"/>
  <c r="U400" i="3"/>
  <c r="Q409" i="3"/>
  <c r="R409" i="3" s="1"/>
  <c r="O409" i="3"/>
  <c r="U409" i="3"/>
  <c r="O434" i="3"/>
  <c r="Q322" i="3"/>
  <c r="P322" i="3"/>
  <c r="O322" i="3"/>
  <c r="M336" i="3"/>
  <c r="M339" i="3"/>
  <c r="L339" i="3"/>
  <c r="Q352" i="3"/>
  <c r="P352" i="3"/>
  <c r="O352" i="3"/>
  <c r="L356" i="3"/>
  <c r="M356" i="3"/>
  <c r="U360" i="3"/>
  <c r="Q360" i="3"/>
  <c r="O364" i="3"/>
  <c r="U364" i="3"/>
  <c r="P365" i="3"/>
  <c r="Q366" i="3"/>
  <c r="R366" i="3" s="1"/>
  <c r="K373" i="3"/>
  <c r="O376" i="3"/>
  <c r="U376" i="3"/>
  <c r="P383" i="3"/>
  <c r="Q383" i="3"/>
  <c r="R383" i="3" s="1"/>
  <c r="Q398" i="3"/>
  <c r="Q407" i="3"/>
  <c r="R407" i="3" s="1"/>
  <c r="P407" i="3"/>
  <c r="U407" i="3"/>
  <c r="J416" i="3"/>
  <c r="J357" i="3" s="1"/>
  <c r="Q420" i="3"/>
  <c r="R420" i="3" s="1"/>
  <c r="R422" i="3"/>
  <c r="Q439" i="3"/>
  <c r="R439" i="3" s="1"/>
  <c r="P439" i="3"/>
  <c r="O439" i="3"/>
  <c r="S362" i="3"/>
  <c r="S358" i="3" s="1"/>
  <c r="F368" i="3"/>
  <c r="K377" i="3"/>
  <c r="Q385" i="3"/>
  <c r="R385" i="3" s="1"/>
  <c r="O385" i="3"/>
  <c r="U385" i="3"/>
  <c r="Q389" i="3"/>
  <c r="R389" i="3" s="1"/>
  <c r="O389" i="3"/>
  <c r="U389" i="3"/>
  <c r="M417" i="3"/>
  <c r="L417" i="3"/>
  <c r="U428" i="3"/>
  <c r="M432" i="3"/>
  <c r="L432" i="3"/>
  <c r="K447" i="3"/>
  <c r="M448" i="3"/>
  <c r="L448" i="3"/>
  <c r="U450" i="3"/>
  <c r="Q450" i="3"/>
  <c r="R450" i="3" s="1"/>
  <c r="P450" i="3"/>
  <c r="O356" i="3"/>
  <c r="U356" i="3"/>
  <c r="K369" i="3"/>
  <c r="L370" i="3"/>
  <c r="U381" i="3"/>
  <c r="S403" i="3"/>
  <c r="S368" i="3" s="1"/>
  <c r="U424" i="3"/>
  <c r="O354" i="3"/>
  <c r="P356" i="3"/>
  <c r="L363" i="3"/>
  <c r="L365" i="3"/>
  <c r="M370" i="3"/>
  <c r="P371" i="3"/>
  <c r="O372" i="3"/>
  <c r="L390" i="3"/>
  <c r="L401" i="3"/>
  <c r="Q411" i="3"/>
  <c r="R411" i="3" s="1"/>
  <c r="P411" i="3"/>
  <c r="O413" i="3"/>
  <c r="F416" i="3"/>
  <c r="U420" i="3"/>
  <c r="M427" i="3"/>
  <c r="K424" i="3"/>
  <c r="L427" i="3"/>
  <c r="Q430" i="3"/>
  <c r="R430" i="3" s="1"/>
  <c r="P430" i="3"/>
  <c r="M441" i="3"/>
  <c r="L441" i="3"/>
  <c r="U445" i="3"/>
  <c r="Q445" i="3"/>
  <c r="R445" i="3" s="1"/>
  <c r="P445" i="3"/>
  <c r="O451" i="3"/>
  <c r="O452" i="3"/>
  <c r="U417" i="3"/>
  <c r="O429" i="3"/>
  <c r="U429" i="3"/>
  <c r="N428" i="3"/>
  <c r="Q419" i="3"/>
  <c r="R419" i="3" s="1"/>
  <c r="P419" i="3"/>
  <c r="I416" i="3"/>
  <c r="I357" i="3" s="1"/>
  <c r="I344" i="3" s="1"/>
  <c r="I343" i="3" s="1"/>
  <c r="K420" i="3"/>
  <c r="M422" i="3"/>
  <c r="L422" i="3"/>
  <c r="Q429" i="3"/>
  <c r="O438" i="3"/>
  <c r="U438" i="3"/>
  <c r="N437" i="3"/>
  <c r="U437" i="3" s="1"/>
  <c r="M443" i="3"/>
  <c r="L443" i="3"/>
  <c r="Q443" i="3"/>
  <c r="R444" i="3"/>
  <c r="K452" i="3"/>
  <c r="M454" i="3"/>
  <c r="L454" i="3"/>
  <c r="U415" i="3"/>
  <c r="U422" i="3"/>
  <c r="U427" i="3"/>
  <c r="U432" i="3"/>
  <c r="U436" i="3"/>
  <c r="U441" i="3"/>
  <c r="N447" i="3"/>
  <c r="U448" i="3"/>
  <c r="U454" i="3"/>
  <c r="P456" i="3"/>
  <c r="U459" i="3"/>
  <c r="L460" i="3"/>
  <c r="Q456" i="3"/>
  <c r="R456" i="3" s="1"/>
  <c r="N443" i="3"/>
  <c r="U444" i="3"/>
  <c r="O415" i="3"/>
  <c r="O422" i="3"/>
  <c r="O427" i="3"/>
  <c r="O432" i="3"/>
  <c r="O436" i="3"/>
  <c r="O441" i="3"/>
  <c r="O448" i="3"/>
  <c r="O454" i="3"/>
  <c r="O459" i="3"/>
  <c r="L457" i="3"/>
  <c r="F82" i="2"/>
  <c r="F18" i="2"/>
  <c r="F17" i="2" s="1"/>
  <c r="H82" i="2"/>
  <c r="Q83" i="2"/>
  <c r="L66" i="2"/>
  <c r="P65" i="2"/>
  <c r="Q65" i="2"/>
  <c r="G19" i="2"/>
  <c r="E18" i="2"/>
  <c r="E17" i="2" s="1"/>
  <c r="H19" i="2"/>
  <c r="E82" i="2"/>
  <c r="P84" i="2"/>
  <c r="L168" i="2"/>
  <c r="K167" i="2"/>
  <c r="L167" i="2" s="1"/>
  <c r="H222" i="2"/>
  <c r="Q222" i="2" s="1"/>
  <c r="Q223" i="2"/>
  <c r="L240" i="2"/>
  <c r="K239" i="2"/>
  <c r="L248" i="2"/>
  <c r="K247" i="2"/>
  <c r="L247" i="2" s="1"/>
  <c r="O304" i="2"/>
  <c r="L327" i="2"/>
  <c r="K326" i="2"/>
  <c r="L326" i="2" s="1"/>
  <c r="O20" i="2"/>
  <c r="L45" i="2"/>
  <c r="Q50" i="2"/>
  <c r="L64" i="2"/>
  <c r="P75" i="2"/>
  <c r="I84" i="2"/>
  <c r="I83" i="2" s="1"/>
  <c r="Q84" i="2"/>
  <c r="N101" i="2"/>
  <c r="N82" i="2" s="1"/>
  <c r="N18" i="2" s="1"/>
  <c r="N17" i="2" s="1"/>
  <c r="L136" i="2"/>
  <c r="K135" i="2"/>
  <c r="L135" i="2" s="1"/>
  <c r="Q170" i="2"/>
  <c r="G172" i="2"/>
  <c r="L179" i="2"/>
  <c r="K178" i="2"/>
  <c r="L178" i="2" s="1"/>
  <c r="H238" i="2"/>
  <c r="P251" i="2"/>
  <c r="P43" i="2"/>
  <c r="L21" i="2"/>
  <c r="L30" i="2"/>
  <c r="K50" i="2"/>
  <c r="L50" i="2" s="1"/>
  <c r="Q62" i="2"/>
  <c r="L68" i="2"/>
  <c r="P83" i="2"/>
  <c r="K84" i="2"/>
  <c r="L185" i="2"/>
  <c r="K184" i="2"/>
  <c r="L184" i="2" s="1"/>
  <c r="L233" i="2"/>
  <c r="K232" i="2"/>
  <c r="L232" i="2" s="1"/>
  <c r="M238" i="2"/>
  <c r="H264" i="2"/>
  <c r="Q265" i="2"/>
  <c r="O276" i="2"/>
  <c r="P277" i="2"/>
  <c r="L289" i="2"/>
  <c r="K288" i="2"/>
  <c r="L288" i="2" s="1"/>
  <c r="N290" i="2"/>
  <c r="Q314" i="2"/>
  <c r="P28" i="2"/>
  <c r="P66" i="2"/>
  <c r="K75" i="2"/>
  <c r="L75" i="2" s="1"/>
  <c r="L103" i="2"/>
  <c r="K102" i="2"/>
  <c r="L173" i="2"/>
  <c r="J172" i="2"/>
  <c r="J82" i="2" s="1"/>
  <c r="J18" i="2" s="1"/>
  <c r="J17" i="2" s="1"/>
  <c r="P222" i="2"/>
  <c r="O238" i="2"/>
  <c r="P238" i="2" s="1"/>
  <c r="Q249" i="2"/>
  <c r="Q257" i="2"/>
  <c r="J264" i="2"/>
  <c r="J263" i="2" s="1"/>
  <c r="J262" i="2" s="1"/>
  <c r="P271" i="2"/>
  <c r="O270" i="2"/>
  <c r="P270" i="2" s="1"/>
  <c r="L284" i="2"/>
  <c r="K283" i="2"/>
  <c r="L283" i="2" s="1"/>
  <c r="F290" i="2"/>
  <c r="F276" i="2" s="1"/>
  <c r="F263" i="2" s="1"/>
  <c r="F262" i="2" s="1"/>
  <c r="F261" i="2" s="1"/>
  <c r="F329" i="2" s="1"/>
  <c r="Q298" i="2"/>
  <c r="H290" i="2"/>
  <c r="Q290" i="2" s="1"/>
  <c r="L307" i="2"/>
  <c r="K306" i="2"/>
  <c r="Q309" i="2"/>
  <c r="P309" i="2"/>
  <c r="L320" i="2"/>
  <c r="K319" i="2"/>
  <c r="K163" i="2"/>
  <c r="L163" i="2" s="1"/>
  <c r="L164" i="2"/>
  <c r="Q316" i="2"/>
  <c r="L316" i="2"/>
  <c r="P36" i="2"/>
  <c r="P57" i="2"/>
  <c r="Q66" i="2"/>
  <c r="H101" i="2"/>
  <c r="Q101" i="2" s="1"/>
  <c r="Q102" i="2"/>
  <c r="Q155" i="2"/>
  <c r="P155" i="2"/>
  <c r="O163" i="2"/>
  <c r="P163" i="2" s="1"/>
  <c r="P164" i="2"/>
  <c r="M172" i="2"/>
  <c r="M82" i="2" s="1"/>
  <c r="M18" i="2" s="1"/>
  <c r="M17" i="2" s="1"/>
  <c r="K265" i="2"/>
  <c r="L266" i="2"/>
  <c r="H305" i="2"/>
  <c r="H318" i="2"/>
  <c r="Q318" i="2" s="1"/>
  <c r="Q319" i="2"/>
  <c r="I101" i="2"/>
  <c r="Q126" i="2"/>
  <c r="P126" i="2"/>
  <c r="Q164" i="2"/>
  <c r="P223" i="2"/>
  <c r="P236" i="2"/>
  <c r="Q271" i="2"/>
  <c r="Q278" i="2"/>
  <c r="H277" i="2"/>
  <c r="I318" i="2"/>
  <c r="Q323" i="2"/>
  <c r="P50" i="2"/>
  <c r="Q172" i="2"/>
  <c r="L194" i="2"/>
  <c r="K193" i="2"/>
  <c r="L193" i="2" s="1"/>
  <c r="N276" i="2"/>
  <c r="N263" i="2" s="1"/>
  <c r="N262" i="2" s="1"/>
  <c r="N261" i="2" s="1"/>
  <c r="N329" i="2" s="1"/>
  <c r="Q96" i="2"/>
  <c r="L97" i="2"/>
  <c r="K96" i="2"/>
  <c r="L96" i="2" s="1"/>
  <c r="G163" i="2"/>
  <c r="G82" i="2" s="1"/>
  <c r="O172" i="2"/>
  <c r="P172" i="2" s="1"/>
  <c r="P173" i="2"/>
  <c r="L211" i="2"/>
  <c r="K209" i="2"/>
  <c r="L209" i="2" s="1"/>
  <c r="Q213" i="2"/>
  <c r="P213" i="2"/>
  <c r="L224" i="2"/>
  <c r="K223" i="2"/>
  <c r="I222" i="2"/>
  <c r="L237" i="2"/>
  <c r="K236" i="2"/>
  <c r="L236" i="2" s="1"/>
  <c r="Q244" i="2"/>
  <c r="Q270" i="2"/>
  <c r="L300" i="2"/>
  <c r="K298" i="2"/>
  <c r="L298" i="2" s="1"/>
  <c r="I304" i="2"/>
  <c r="I303" i="2" s="1"/>
  <c r="I261" i="2" s="1"/>
  <c r="J318" i="2"/>
  <c r="J304" i="2" s="1"/>
  <c r="J303" i="2" s="1"/>
  <c r="K120" i="2"/>
  <c r="L120" i="2" s="1"/>
  <c r="K149" i="2"/>
  <c r="L149" i="2" s="1"/>
  <c r="K220" i="2"/>
  <c r="L220" i="2" s="1"/>
  <c r="K251" i="2"/>
  <c r="L251" i="2" s="1"/>
  <c r="Q259" i="2"/>
  <c r="P266" i="2"/>
  <c r="K278" i="2"/>
  <c r="P167" i="2"/>
  <c r="P178" i="2"/>
  <c r="P193" i="2"/>
  <c r="P232" i="2"/>
  <c r="P239" i="2"/>
  <c r="P288" i="2"/>
  <c r="P306" i="2"/>
  <c r="P326" i="2"/>
  <c r="Q167" i="2"/>
  <c r="Q178" i="2"/>
  <c r="K202" i="2"/>
  <c r="L202" i="2" s="1"/>
  <c r="K215" i="2"/>
  <c r="L215" i="2" s="1"/>
  <c r="Q239" i="2"/>
  <c r="L271" i="2"/>
  <c r="K291" i="2"/>
  <c r="Q306" i="2"/>
  <c r="K311" i="2"/>
  <c r="L311" i="2" s="1"/>
  <c r="K249" i="2"/>
  <c r="L249" i="2" s="1"/>
  <c r="K314" i="2"/>
  <c r="L314" i="2" s="1"/>
  <c r="K323" i="2"/>
  <c r="L323" i="2" s="1"/>
  <c r="K295" i="3" l="1"/>
  <c r="L296" i="3"/>
  <c r="M296" i="3"/>
  <c r="I15" i="3"/>
  <c r="I462" i="3" s="1"/>
  <c r="P19" i="3"/>
  <c r="O19" i="3"/>
  <c r="P447" i="3"/>
  <c r="O447" i="3"/>
  <c r="U447" i="3"/>
  <c r="O428" i="3"/>
  <c r="P428" i="3"/>
  <c r="R360" i="3"/>
  <c r="Q359" i="3"/>
  <c r="L381" i="3"/>
  <c r="M381" i="3"/>
  <c r="Q403" i="3"/>
  <c r="R403" i="3" s="1"/>
  <c r="R405" i="3"/>
  <c r="P347" i="3"/>
  <c r="O347" i="3"/>
  <c r="U347" i="3"/>
  <c r="N346" i="3"/>
  <c r="R425" i="3"/>
  <c r="Q424" i="3"/>
  <c r="R424" i="3" s="1"/>
  <c r="P362" i="3"/>
  <c r="O362" i="3"/>
  <c r="M326" i="3"/>
  <c r="L326" i="3"/>
  <c r="O264" i="3"/>
  <c r="P264" i="3"/>
  <c r="P286" i="3"/>
  <c r="O286" i="3"/>
  <c r="Q230" i="3"/>
  <c r="R230" i="3" s="1"/>
  <c r="F295" i="3"/>
  <c r="R290" i="3"/>
  <c r="Q289" i="3"/>
  <c r="R289" i="3" s="1"/>
  <c r="M212" i="3"/>
  <c r="L212" i="3"/>
  <c r="P230" i="3"/>
  <c r="U230" i="3"/>
  <c r="O230" i="3"/>
  <c r="M289" i="3"/>
  <c r="L289" i="3"/>
  <c r="U173" i="3"/>
  <c r="P173" i="3"/>
  <c r="O173" i="3"/>
  <c r="O199" i="3"/>
  <c r="P199" i="3"/>
  <c r="J148" i="3"/>
  <c r="Q71" i="3"/>
  <c r="R71" i="3" s="1"/>
  <c r="R72" i="3"/>
  <c r="R54" i="3"/>
  <c r="Q53" i="3"/>
  <c r="R53" i="3" s="1"/>
  <c r="R93" i="3"/>
  <c r="Q92" i="3"/>
  <c r="R92" i="3" s="1"/>
  <c r="Q41" i="3"/>
  <c r="R41" i="3" s="1"/>
  <c r="R43" i="3"/>
  <c r="P121" i="3"/>
  <c r="O121" i="3"/>
  <c r="H18" i="3"/>
  <c r="H17" i="3" s="1"/>
  <c r="H16" i="3" s="1"/>
  <c r="H15" i="3" s="1"/>
  <c r="H462" i="3" s="1"/>
  <c r="O443" i="3"/>
  <c r="N442" i="3"/>
  <c r="P443" i="3"/>
  <c r="M452" i="3"/>
  <c r="L452" i="3"/>
  <c r="K451" i="3"/>
  <c r="Q428" i="3"/>
  <c r="R428" i="3" s="1"/>
  <c r="R429" i="3"/>
  <c r="O395" i="3"/>
  <c r="P395" i="3"/>
  <c r="O377" i="3"/>
  <c r="P377" i="3"/>
  <c r="O327" i="3"/>
  <c r="N326" i="3"/>
  <c r="P327" i="3"/>
  <c r="R298" i="3"/>
  <c r="Q297" i="3"/>
  <c r="M299" i="3"/>
  <c r="L299" i="3"/>
  <c r="F215" i="3"/>
  <c r="M131" i="3"/>
  <c r="L131" i="3"/>
  <c r="M179" i="3"/>
  <c r="L179" i="3"/>
  <c r="K177" i="3"/>
  <c r="L107" i="3"/>
  <c r="M107" i="3"/>
  <c r="O190" i="3"/>
  <c r="P190" i="3"/>
  <c r="M165" i="3"/>
  <c r="L165" i="3"/>
  <c r="Q46" i="3"/>
  <c r="R46" i="3" s="1"/>
  <c r="R47" i="3"/>
  <c r="M68" i="3"/>
  <c r="L68" i="3"/>
  <c r="Q158" i="3"/>
  <c r="R158" i="3" s="1"/>
  <c r="U148" i="3"/>
  <c r="U395" i="3"/>
  <c r="M377" i="3"/>
  <c r="L377" i="3"/>
  <c r="O424" i="3"/>
  <c r="P424" i="3"/>
  <c r="Q369" i="3"/>
  <c r="R370" i="3"/>
  <c r="Q395" i="3"/>
  <c r="R395" i="3" s="1"/>
  <c r="R396" i="3"/>
  <c r="R375" i="3"/>
  <c r="Q373" i="3"/>
  <c r="R373" i="3" s="1"/>
  <c r="Q437" i="3"/>
  <c r="R437" i="3" s="1"/>
  <c r="O381" i="3"/>
  <c r="P381" i="3"/>
  <c r="L359" i="3"/>
  <c r="K358" i="3"/>
  <c r="M359" i="3"/>
  <c r="L267" i="3"/>
  <c r="M267" i="3"/>
  <c r="Q264" i="3"/>
  <c r="R264" i="3" s="1"/>
  <c r="R265" i="3"/>
  <c r="K248" i="3"/>
  <c r="L249" i="3"/>
  <c r="M249" i="3"/>
  <c r="U377" i="3"/>
  <c r="Q283" i="3"/>
  <c r="R283" i="3" s="1"/>
  <c r="R284" i="3"/>
  <c r="O273" i="3"/>
  <c r="P273" i="3"/>
  <c r="U273" i="3"/>
  <c r="U327" i="3"/>
  <c r="U286" i="3"/>
  <c r="S248" i="3"/>
  <c r="S215" i="3" s="1"/>
  <c r="S17" i="3" s="1"/>
  <c r="S16" i="3" s="1"/>
  <c r="S15" i="3" s="1"/>
  <c r="S462" i="3" s="1"/>
  <c r="O203" i="3"/>
  <c r="P203" i="3"/>
  <c r="N202" i="3"/>
  <c r="Q299" i="3"/>
  <c r="R299" i="3" s="1"/>
  <c r="Q243" i="3"/>
  <c r="R243" i="3" s="1"/>
  <c r="R130" i="3"/>
  <c r="Q126" i="3"/>
  <c r="R126" i="3" s="1"/>
  <c r="P221" i="3"/>
  <c r="O221" i="3"/>
  <c r="R204" i="3"/>
  <c r="Q203" i="3"/>
  <c r="U177" i="3"/>
  <c r="P177" i="3"/>
  <c r="O177" i="3"/>
  <c r="R102" i="3"/>
  <c r="Q101" i="3"/>
  <c r="R101" i="3" s="1"/>
  <c r="L122" i="3"/>
  <c r="K121" i="3"/>
  <c r="M122" i="3"/>
  <c r="R132" i="3"/>
  <c r="Q131" i="3"/>
  <c r="R131" i="3" s="1"/>
  <c r="M78" i="3"/>
  <c r="L78" i="3"/>
  <c r="K173" i="3"/>
  <c r="M174" i="3"/>
  <c r="L174" i="3"/>
  <c r="O137" i="3"/>
  <c r="P137" i="3"/>
  <c r="O46" i="3"/>
  <c r="P46" i="3"/>
  <c r="M92" i="3"/>
  <c r="L92" i="3"/>
  <c r="Q75" i="3"/>
  <c r="R75" i="3" s="1"/>
  <c r="R76" i="3"/>
  <c r="R58" i="3"/>
  <c r="Q57" i="3"/>
  <c r="R57" i="3" s="1"/>
  <c r="L86" i="3"/>
  <c r="M86" i="3"/>
  <c r="R443" i="3"/>
  <c r="U368" i="3"/>
  <c r="M373" i="3"/>
  <c r="L373" i="3"/>
  <c r="Q332" i="3"/>
  <c r="R333" i="3"/>
  <c r="Q417" i="3"/>
  <c r="R418" i="3"/>
  <c r="U362" i="3"/>
  <c r="M428" i="3"/>
  <c r="L428" i="3"/>
  <c r="M413" i="3"/>
  <c r="K412" i="3"/>
  <c r="L413" i="3"/>
  <c r="Q381" i="3"/>
  <c r="R381" i="3" s="1"/>
  <c r="R382" i="3"/>
  <c r="M354" i="3"/>
  <c r="L354" i="3"/>
  <c r="F335" i="3"/>
  <c r="L336" i="3"/>
  <c r="M241" i="3"/>
  <c r="L241" i="3"/>
  <c r="P299" i="3"/>
  <c r="O299" i="3"/>
  <c r="O283" i="3"/>
  <c r="P283" i="3"/>
  <c r="Q255" i="3"/>
  <c r="R255" i="3" s="1"/>
  <c r="M221" i="3"/>
  <c r="L221" i="3"/>
  <c r="R178" i="3"/>
  <c r="Q177" i="3"/>
  <c r="R177" i="3" s="1"/>
  <c r="U264" i="3"/>
  <c r="R169" i="3"/>
  <c r="Q167" i="3"/>
  <c r="R167" i="3" s="1"/>
  <c r="P255" i="3"/>
  <c r="O255" i="3"/>
  <c r="M230" i="3"/>
  <c r="L230" i="3"/>
  <c r="R192" i="3"/>
  <c r="Q190" i="3"/>
  <c r="R190" i="3" s="1"/>
  <c r="P101" i="3"/>
  <c r="O101" i="3"/>
  <c r="L203" i="3"/>
  <c r="K202" i="3"/>
  <c r="M203" i="3"/>
  <c r="P87" i="3"/>
  <c r="O87" i="3"/>
  <c r="R65" i="3"/>
  <c r="Q64" i="3"/>
  <c r="M53" i="3"/>
  <c r="L53" i="3"/>
  <c r="M146" i="3"/>
  <c r="L146" i="3"/>
  <c r="M420" i="3"/>
  <c r="L420" i="3"/>
  <c r="K416" i="3"/>
  <c r="S357" i="3"/>
  <c r="S344" i="3" s="1"/>
  <c r="S343" i="3" s="1"/>
  <c r="O417" i="3"/>
  <c r="N416" i="3"/>
  <c r="U416" i="3" s="1"/>
  <c r="P417" i="3"/>
  <c r="K331" i="3"/>
  <c r="K325" i="3" s="1"/>
  <c r="M332" i="3"/>
  <c r="L332" i="3"/>
  <c r="R380" i="3"/>
  <c r="Q377" i="3"/>
  <c r="R377" i="3" s="1"/>
  <c r="R315" i="3"/>
  <c r="Q314" i="3"/>
  <c r="R314" i="3" s="1"/>
  <c r="J344" i="3"/>
  <c r="J343" i="3" s="1"/>
  <c r="Q336" i="3"/>
  <c r="R337" i="3"/>
  <c r="Q362" i="3"/>
  <c r="R362" i="3" s="1"/>
  <c r="P304" i="3"/>
  <c r="U304" i="3"/>
  <c r="O304" i="3"/>
  <c r="N358" i="3"/>
  <c r="L133" i="3"/>
  <c r="M133" i="3"/>
  <c r="N296" i="3"/>
  <c r="R174" i="3"/>
  <c r="Q173" i="3"/>
  <c r="R173" i="3" s="1"/>
  <c r="O267" i="3"/>
  <c r="P267" i="3"/>
  <c r="R223" i="3"/>
  <c r="Q221" i="3"/>
  <c r="R221" i="3" s="1"/>
  <c r="P61" i="3"/>
  <c r="O61" i="3"/>
  <c r="U61" i="3"/>
  <c r="O131" i="3"/>
  <c r="P131" i="3"/>
  <c r="U131" i="3"/>
  <c r="L41" i="3"/>
  <c r="M41" i="3"/>
  <c r="K27" i="3"/>
  <c r="M28" i="3"/>
  <c r="L28" i="3"/>
  <c r="R33" i="3"/>
  <c r="Q32" i="3"/>
  <c r="R32" i="3" s="1"/>
  <c r="J18" i="3"/>
  <c r="J17" i="3" s="1"/>
  <c r="J16" i="3" s="1"/>
  <c r="U19" i="3"/>
  <c r="K368" i="3"/>
  <c r="L369" i="3"/>
  <c r="M369" i="3"/>
  <c r="L447" i="3"/>
  <c r="K442" i="3"/>
  <c r="M447" i="3"/>
  <c r="Q321" i="3"/>
  <c r="R321" i="3" s="1"/>
  <c r="R322" i="3"/>
  <c r="Q341" i="3"/>
  <c r="R341" i="3" s="1"/>
  <c r="R342" i="3"/>
  <c r="R413" i="3"/>
  <c r="Q412" i="3"/>
  <c r="R412" i="3" s="1"/>
  <c r="M346" i="3"/>
  <c r="L346" i="3"/>
  <c r="K345" i="3"/>
  <c r="L308" i="3"/>
  <c r="M308" i="3"/>
  <c r="F344" i="3"/>
  <c r="P310" i="3"/>
  <c r="O310" i="3"/>
  <c r="U310" i="3"/>
  <c r="L273" i="3"/>
  <c r="M273" i="3"/>
  <c r="U248" i="3"/>
  <c r="P289" i="3"/>
  <c r="O289" i="3"/>
  <c r="R136" i="3"/>
  <c r="Q135" i="3"/>
  <c r="R135" i="3" s="1"/>
  <c r="P158" i="3"/>
  <c r="O158" i="3"/>
  <c r="O185" i="3"/>
  <c r="U185" i="3"/>
  <c r="P185" i="3"/>
  <c r="U202" i="3"/>
  <c r="F201" i="3"/>
  <c r="Q116" i="3"/>
  <c r="R116" i="3" s="1"/>
  <c r="R117" i="3"/>
  <c r="M101" i="3"/>
  <c r="L101" i="3"/>
  <c r="R149" i="3"/>
  <c r="M32" i="3"/>
  <c r="L32" i="3"/>
  <c r="F18" i="3"/>
  <c r="O437" i="3"/>
  <c r="P437" i="3"/>
  <c r="U443" i="3"/>
  <c r="Q397" i="3"/>
  <c r="R397" i="3" s="1"/>
  <c r="R398" i="3"/>
  <c r="M403" i="3"/>
  <c r="L403" i="3"/>
  <c r="Q452" i="3"/>
  <c r="F325" i="3"/>
  <c r="P403" i="3"/>
  <c r="O403" i="3"/>
  <c r="Q276" i="3"/>
  <c r="R276" i="3" s="1"/>
  <c r="R277" i="3"/>
  <c r="Q304" i="3"/>
  <c r="R304" i="3" s="1"/>
  <c r="R305" i="3"/>
  <c r="Q249" i="3"/>
  <c r="R250" i="3"/>
  <c r="N216" i="3"/>
  <c r="U216" i="3" s="1"/>
  <c r="O217" i="3"/>
  <c r="P217" i="3"/>
  <c r="O331" i="3"/>
  <c r="Q241" i="3"/>
  <c r="R241" i="3" s="1"/>
  <c r="R242" i="3"/>
  <c r="P149" i="3"/>
  <c r="N148" i="3"/>
  <c r="O149" i="3"/>
  <c r="Q212" i="3"/>
  <c r="R212" i="3" s="1"/>
  <c r="R213" i="3"/>
  <c r="U203" i="3"/>
  <c r="M116" i="3"/>
  <c r="L116" i="3"/>
  <c r="R217" i="3"/>
  <c r="Q216" i="3"/>
  <c r="O32" i="3"/>
  <c r="P32" i="3"/>
  <c r="O116" i="3"/>
  <c r="P116" i="3"/>
  <c r="Q78" i="3"/>
  <c r="R78" i="3" s="1"/>
  <c r="R79" i="3"/>
  <c r="U101" i="3"/>
  <c r="O64" i="3"/>
  <c r="N63" i="3"/>
  <c r="N18" i="3" s="1"/>
  <c r="P64" i="3"/>
  <c r="P27" i="3"/>
  <c r="O27" i="3"/>
  <c r="U27" i="3"/>
  <c r="L46" i="3"/>
  <c r="M46" i="3"/>
  <c r="M424" i="3"/>
  <c r="L424" i="3"/>
  <c r="Q447" i="3"/>
  <c r="R447" i="3" s="1"/>
  <c r="Q351" i="3"/>
  <c r="R351" i="3" s="1"/>
  <c r="R352" i="3"/>
  <c r="O337" i="3"/>
  <c r="N336" i="3"/>
  <c r="P337" i="3"/>
  <c r="U337" i="3"/>
  <c r="N368" i="3"/>
  <c r="P369" i="3"/>
  <c r="O369" i="3"/>
  <c r="P420" i="3"/>
  <c r="O420" i="3"/>
  <c r="M397" i="3"/>
  <c r="L397" i="3"/>
  <c r="Q346" i="3"/>
  <c r="R347" i="3"/>
  <c r="Q326" i="3"/>
  <c r="R327" i="3"/>
  <c r="P276" i="3"/>
  <c r="O276" i="3"/>
  <c r="O249" i="3"/>
  <c r="N248" i="3"/>
  <c r="P249" i="3"/>
  <c r="R287" i="3"/>
  <c r="Q286" i="3"/>
  <c r="R286" i="3" s="1"/>
  <c r="O243" i="3"/>
  <c r="P243" i="3"/>
  <c r="U299" i="3"/>
  <c r="M217" i="3"/>
  <c r="L217" i="3"/>
  <c r="K216" i="3"/>
  <c r="U243" i="3"/>
  <c r="O241" i="3"/>
  <c r="P241" i="3"/>
  <c r="R140" i="3"/>
  <c r="Q137" i="3"/>
  <c r="R137" i="3" s="1"/>
  <c r="R268" i="3"/>
  <c r="Q267" i="3"/>
  <c r="R267" i="3" s="1"/>
  <c r="M149" i="3"/>
  <c r="L149" i="3"/>
  <c r="P212" i="3"/>
  <c r="O212" i="3"/>
  <c r="R200" i="3"/>
  <c r="Q199" i="3"/>
  <c r="R199" i="3" s="1"/>
  <c r="U158" i="3"/>
  <c r="K158" i="3"/>
  <c r="K148" i="3" s="1"/>
  <c r="P98" i="3"/>
  <c r="O98" i="3"/>
  <c r="L87" i="3"/>
  <c r="M87" i="3"/>
  <c r="U190" i="3"/>
  <c r="R21" i="3"/>
  <c r="Q20" i="3"/>
  <c r="Q107" i="3"/>
  <c r="R107" i="3" s="1"/>
  <c r="O78" i="3"/>
  <c r="P78" i="3"/>
  <c r="O75" i="3"/>
  <c r="P75" i="3"/>
  <c r="U75" i="3"/>
  <c r="L71" i="3"/>
  <c r="M71" i="3"/>
  <c r="O57" i="3"/>
  <c r="P57" i="3"/>
  <c r="K63" i="3"/>
  <c r="N15" i="2"/>
  <c r="N16" i="2"/>
  <c r="M15" i="2"/>
  <c r="M16" i="2"/>
  <c r="M329" i="2"/>
  <c r="J16" i="2"/>
  <c r="J15" i="2"/>
  <c r="K172" i="2"/>
  <c r="L172" i="2" s="1"/>
  <c r="E15" i="2"/>
  <c r="E16" i="2"/>
  <c r="L278" i="2"/>
  <c r="K277" i="2"/>
  <c r="H304" i="2"/>
  <c r="Q305" i="2"/>
  <c r="J261" i="2"/>
  <c r="J329" i="2" s="1"/>
  <c r="L102" i="2"/>
  <c r="K101" i="2"/>
  <c r="L101" i="2" s="1"/>
  <c r="I82" i="2"/>
  <c r="I18" i="2" s="1"/>
  <c r="I17" i="2" s="1"/>
  <c r="P305" i="2"/>
  <c r="G18" i="2"/>
  <c r="G17" i="2" s="1"/>
  <c r="K20" i="2"/>
  <c r="L291" i="2"/>
  <c r="K290" i="2"/>
  <c r="L290" i="2" s="1"/>
  <c r="L223" i="2"/>
  <c r="K222" i="2"/>
  <c r="L222" i="2" s="1"/>
  <c r="P304" i="2"/>
  <c r="O303" i="2"/>
  <c r="F15" i="2"/>
  <c r="F16" i="2"/>
  <c r="L265" i="2"/>
  <c r="K264" i="2"/>
  <c r="L319" i="2"/>
  <c r="K318" i="2"/>
  <c r="L318" i="2" s="1"/>
  <c r="P276" i="2"/>
  <c r="K83" i="2"/>
  <c r="L84" i="2"/>
  <c r="P318" i="2"/>
  <c r="P290" i="2"/>
  <c r="Q163" i="2"/>
  <c r="K65" i="2"/>
  <c r="L65" i="2" s="1"/>
  <c r="O82" i="2"/>
  <c r="P82" i="2" s="1"/>
  <c r="Q264" i="2"/>
  <c r="H263" i="2"/>
  <c r="O264" i="2"/>
  <c r="E329" i="2"/>
  <c r="Q277" i="2"/>
  <c r="H276" i="2"/>
  <c r="Q276" i="2" s="1"/>
  <c r="P20" i="2"/>
  <c r="O19" i="2"/>
  <c r="K238" i="2"/>
  <c r="L238" i="2" s="1"/>
  <c r="L239" i="2"/>
  <c r="Q20" i="2"/>
  <c r="P101" i="2"/>
  <c r="K305" i="2"/>
  <c r="L306" i="2"/>
  <c r="Q238" i="2"/>
  <c r="Q19" i="2"/>
  <c r="H18" i="2"/>
  <c r="P18" i="3" l="1"/>
  <c r="O18" i="3"/>
  <c r="M148" i="3"/>
  <c r="L148" i="3"/>
  <c r="M325" i="3"/>
  <c r="K324" i="3"/>
  <c r="L325" i="3"/>
  <c r="O336" i="3"/>
  <c r="N335" i="3"/>
  <c r="P336" i="3"/>
  <c r="Q248" i="3"/>
  <c r="R248" i="3" s="1"/>
  <c r="R249" i="3"/>
  <c r="R452" i="3"/>
  <c r="Q451" i="3"/>
  <c r="R451" i="3" s="1"/>
  <c r="F17" i="3"/>
  <c r="U18" i="3"/>
  <c r="M442" i="3"/>
  <c r="L442" i="3"/>
  <c r="M416" i="3"/>
  <c r="L416" i="3"/>
  <c r="R297" i="3"/>
  <c r="Q296" i="3"/>
  <c r="Q442" i="3"/>
  <c r="R442" i="3" s="1"/>
  <c r="M173" i="3"/>
  <c r="L173" i="3"/>
  <c r="P346" i="3"/>
  <c r="O346" i="3"/>
  <c r="N345" i="3"/>
  <c r="U346" i="3"/>
  <c r="R359" i="3"/>
  <c r="Q358" i="3"/>
  <c r="F343" i="3"/>
  <c r="P296" i="3"/>
  <c r="N295" i="3"/>
  <c r="O296" i="3"/>
  <c r="Q416" i="3"/>
  <c r="R416" i="3" s="1"/>
  <c r="R417" i="3"/>
  <c r="U63" i="3"/>
  <c r="L358" i="3"/>
  <c r="M358" i="3"/>
  <c r="K357" i="3"/>
  <c r="L63" i="3"/>
  <c r="M63" i="3"/>
  <c r="Q148" i="3"/>
  <c r="R148" i="3" s="1"/>
  <c r="R336" i="3"/>
  <c r="Q335" i="3"/>
  <c r="R335" i="3" s="1"/>
  <c r="M331" i="3"/>
  <c r="L331" i="3"/>
  <c r="O326" i="3"/>
  <c r="N325" i="3"/>
  <c r="U325" i="3" s="1"/>
  <c r="P326" i="3"/>
  <c r="M451" i="3"/>
  <c r="L451" i="3"/>
  <c r="U295" i="3"/>
  <c r="R326" i="3"/>
  <c r="L27" i="3"/>
  <c r="M27" i="3"/>
  <c r="K19" i="3"/>
  <c r="P368" i="3"/>
  <c r="O368" i="3"/>
  <c r="O63" i="3"/>
  <c r="P63" i="3"/>
  <c r="M368" i="3"/>
  <c r="L368" i="3"/>
  <c r="L202" i="3"/>
  <c r="K201" i="3"/>
  <c r="M202" i="3"/>
  <c r="M412" i="3"/>
  <c r="L412" i="3"/>
  <c r="R332" i="3"/>
  <c r="Q331" i="3"/>
  <c r="R331" i="3" s="1"/>
  <c r="M248" i="3"/>
  <c r="L248" i="3"/>
  <c r="Q368" i="3"/>
  <c r="R368" i="3" s="1"/>
  <c r="R369" i="3"/>
  <c r="U296" i="3"/>
  <c r="M158" i="3"/>
  <c r="L158" i="3"/>
  <c r="O358" i="3"/>
  <c r="P358" i="3"/>
  <c r="N357" i="3"/>
  <c r="U358" i="3"/>
  <c r="M216" i="3"/>
  <c r="K215" i="3"/>
  <c r="L216" i="3"/>
  <c r="Q345" i="3"/>
  <c r="R346" i="3"/>
  <c r="Q215" i="3"/>
  <c r="R215" i="3" s="1"/>
  <c r="R216" i="3"/>
  <c r="N215" i="3"/>
  <c r="P216" i="3"/>
  <c r="O216" i="3"/>
  <c r="O416" i="3"/>
  <c r="P416" i="3"/>
  <c r="U336" i="3"/>
  <c r="U215" i="3"/>
  <c r="Q19" i="3"/>
  <c r="R20" i="3"/>
  <c r="O248" i="3"/>
  <c r="P248" i="3"/>
  <c r="P148" i="3"/>
  <c r="O148" i="3"/>
  <c r="U326" i="3"/>
  <c r="K344" i="3"/>
  <c r="M345" i="3"/>
  <c r="L345" i="3"/>
  <c r="J15" i="3"/>
  <c r="J462" i="3" s="1"/>
  <c r="U335" i="3"/>
  <c r="L335" i="3"/>
  <c r="R203" i="3"/>
  <c r="Q202" i="3"/>
  <c r="O202" i="3"/>
  <c r="N201" i="3"/>
  <c r="U201" i="3" s="1"/>
  <c r="P202" i="3"/>
  <c r="F324" i="3"/>
  <c r="R64" i="3"/>
  <c r="Q63" i="3"/>
  <c r="R63" i="3" s="1"/>
  <c r="L121" i="3"/>
  <c r="M121" i="3"/>
  <c r="M177" i="3"/>
  <c r="L177" i="3"/>
  <c r="O442" i="3"/>
  <c r="P442" i="3"/>
  <c r="U442" i="3"/>
  <c r="M295" i="3"/>
  <c r="L295" i="3"/>
  <c r="L20" i="2"/>
  <c r="K19" i="2"/>
  <c r="H303" i="2"/>
  <c r="Q303" i="2" s="1"/>
  <c r="Q304" i="2"/>
  <c r="P264" i="2"/>
  <c r="O263" i="2"/>
  <c r="G16" i="2"/>
  <c r="G15" i="2"/>
  <c r="G329" i="2"/>
  <c r="K276" i="2"/>
  <c r="L276" i="2" s="1"/>
  <c r="L277" i="2"/>
  <c r="H262" i="2"/>
  <c r="Q263" i="2"/>
  <c r="L83" i="2"/>
  <c r="K82" i="2"/>
  <c r="L82" i="2" s="1"/>
  <c r="P303" i="2"/>
  <c r="H17" i="2"/>
  <c r="I16" i="2"/>
  <c r="I15" i="2"/>
  <c r="Q82" i="2"/>
  <c r="O18" i="2"/>
  <c r="P19" i="2"/>
  <c r="I329" i="2"/>
  <c r="K304" i="2"/>
  <c r="L305" i="2"/>
  <c r="K263" i="2"/>
  <c r="L264" i="2"/>
  <c r="Q357" i="3" l="1"/>
  <c r="R357" i="3" s="1"/>
  <c r="R358" i="3"/>
  <c r="N17" i="3"/>
  <c r="M215" i="3"/>
  <c r="L215" i="3"/>
  <c r="F16" i="3"/>
  <c r="U17" i="3"/>
  <c r="Q295" i="3"/>
  <c r="R295" i="3" s="1"/>
  <c r="R296" i="3"/>
  <c r="M324" i="3"/>
  <c r="L324" i="3"/>
  <c r="O215" i="3"/>
  <c r="P215" i="3"/>
  <c r="L201" i="3"/>
  <c r="M201" i="3"/>
  <c r="M19" i="3"/>
  <c r="L19" i="3"/>
  <c r="K18" i="3"/>
  <c r="P345" i="3"/>
  <c r="O345" i="3"/>
  <c r="N344" i="3"/>
  <c r="U345" i="3"/>
  <c r="O357" i="3"/>
  <c r="P357" i="3"/>
  <c r="U357" i="3"/>
  <c r="O325" i="3"/>
  <c r="N324" i="3"/>
  <c r="U324" i="3" s="1"/>
  <c r="P325" i="3"/>
  <c r="P295" i="3"/>
  <c r="O295" i="3"/>
  <c r="K343" i="3"/>
  <c r="M344" i="3"/>
  <c r="L344" i="3"/>
  <c r="L357" i="3"/>
  <c r="M357" i="3"/>
  <c r="O201" i="3"/>
  <c r="P201" i="3"/>
  <c r="Q18" i="3"/>
  <c r="R19" i="3"/>
  <c r="R202" i="3"/>
  <c r="Q201" i="3"/>
  <c r="R201" i="3" s="1"/>
  <c r="Q325" i="3"/>
  <c r="R345" i="3"/>
  <c r="O335" i="3"/>
  <c r="P335" i="3"/>
  <c r="O17" i="2"/>
  <c r="P18" i="2"/>
  <c r="P263" i="2"/>
  <c r="O262" i="2"/>
  <c r="H261" i="2"/>
  <c r="Q262" i="2"/>
  <c r="K262" i="2"/>
  <c r="L263" i="2"/>
  <c r="Q18" i="2"/>
  <c r="K18" i="2"/>
  <c r="L19" i="2"/>
  <c r="L304" i="2"/>
  <c r="K303" i="2"/>
  <c r="L303" i="2" s="1"/>
  <c r="H16" i="2"/>
  <c r="Q17" i="2"/>
  <c r="H15" i="2"/>
  <c r="M343" i="3" l="1"/>
  <c r="L343" i="3"/>
  <c r="R18" i="3"/>
  <c r="Q17" i="3"/>
  <c r="P344" i="3"/>
  <c r="O344" i="3"/>
  <c r="N343" i="3"/>
  <c r="U344" i="3"/>
  <c r="F15" i="3"/>
  <c r="Q344" i="3"/>
  <c r="O324" i="3"/>
  <c r="P324" i="3"/>
  <c r="Q324" i="3"/>
  <c r="R324" i="3" s="1"/>
  <c r="R325" i="3"/>
  <c r="M18" i="3"/>
  <c r="L18" i="3"/>
  <c r="K17" i="3"/>
  <c r="N16" i="3"/>
  <c r="O17" i="3"/>
  <c r="P17" i="3"/>
  <c r="O261" i="2"/>
  <c r="P262" i="2"/>
  <c r="K17" i="2"/>
  <c r="L18" i="2"/>
  <c r="K261" i="2"/>
  <c r="L262" i="2"/>
  <c r="H329" i="2"/>
  <c r="O16" i="2"/>
  <c r="P16" i="2" s="1"/>
  <c r="P17" i="2"/>
  <c r="P343" i="3" l="1"/>
  <c r="O343" i="3"/>
  <c r="U343" i="3"/>
  <c r="Q16" i="3"/>
  <c r="R17" i="3"/>
  <c r="F462" i="3"/>
  <c r="N15" i="3"/>
  <c r="P16" i="3"/>
  <c r="O16" i="3"/>
  <c r="Q343" i="3"/>
  <c r="R343" i="3" s="1"/>
  <c r="R344" i="3"/>
  <c r="M17" i="3"/>
  <c r="L17" i="3"/>
  <c r="K16" i="3"/>
  <c r="U16" i="3"/>
  <c r="K329" i="2"/>
  <c r="L329" i="2" s="1"/>
  <c r="L261" i="2"/>
  <c r="P261" i="2"/>
  <c r="O329" i="2"/>
  <c r="P329" i="2" s="1"/>
  <c r="Q261" i="2"/>
  <c r="Q16" i="2"/>
  <c r="L17" i="2"/>
  <c r="K15" i="2"/>
  <c r="L15" i="2" s="1"/>
  <c r="K16" i="2"/>
  <c r="L16" i="2" s="1"/>
  <c r="O15" i="2"/>
  <c r="N462" i="3" l="1"/>
  <c r="O15" i="3"/>
  <c r="P15" i="3"/>
  <c r="U15" i="3"/>
  <c r="M16" i="3"/>
  <c r="L16" i="3"/>
  <c r="K15" i="3"/>
  <c r="Q15" i="3"/>
  <c r="R16" i="3"/>
  <c r="Q329" i="2"/>
  <c r="P15" i="2"/>
  <c r="Q15" i="2"/>
  <c r="Q462" i="3" l="1"/>
  <c r="R462" i="3" s="1"/>
  <c r="R15" i="3"/>
  <c r="P462" i="3"/>
  <c r="O462" i="3"/>
  <c r="K462" i="3"/>
  <c r="M15" i="3"/>
  <c r="L15" i="3"/>
  <c r="U462" i="3"/>
  <c r="L462" i="3" l="1"/>
  <c r="M462" i="3"/>
</calcChain>
</file>

<file path=xl/sharedStrings.xml><?xml version="1.0" encoding="utf-8"?>
<sst xmlns="http://schemas.openxmlformats.org/spreadsheetml/2006/main" count="840" uniqueCount="690">
  <si>
    <t>គម្រោងថវិកាឆ្នាំ២០២៣</t>
  </si>
  <si>
    <t>គម្រោងចំណូលថវិកាតាមចំណាត់ថ្នាក់សេដ្ឋកិច្ច</t>
  </si>
  <si>
    <t>តារាងទី១ (តារាង ១"ក" ក្នុងសារាចររៀបចំគម្រោងថវិកាប្រចាំឆ្នាំ)</t>
  </si>
  <si>
    <t>ឯកតា៖ លានរៀល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</si>
  <si>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</si>
  <si>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</si>
  <si>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</si>
  <si>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</si>
  <si>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r>
      <t xml:space="preserve">ចំណូលឆ្នាំ២០២១
</t>
    </r>
    <r>
      <rPr>
        <sz val="10"/>
        <rFont val="Khmer MEF1"/>
      </rPr>
      <t>(អនុវត្ត)</t>
    </r>
  </si>
  <si>
    <t>ច្បាប់ហិរញ្ញវត្ថុឆ្នាំ២០២២</t>
  </si>
  <si>
    <t>ប៉ាន់ស្មាន​អនុវត្ត​ឆ្នាំ​២០២២</t>
  </si>
  <si>
    <t>គម្រោង​ឆ្នាំ​២០២៣</t>
  </si>
  <si>
    <t>មូលដ្ឋាន
គិតចំណូល</t>
  </si>
  <si>
    <t>បរិមាណ</t>
  </si>
  <si>
    <t>សរុប​
ឥណទានថវិកា</t>
  </si>
  <si>
    <t>អនុវត្ដ
ឆមាសទី១</t>
  </si>
  <si>
    <t>ប៉ាន់ស្មាន
ឆមាសទី២</t>
  </si>
  <si>
    <t>ប៉ាន់​ស្មាន​ប្រចាំ​ឆ្នាំ</t>
  </si>
  <si>
    <t>សរុប​ការ​គ្រោ​ង​ចំណូល</t>
  </si>
  <si>
    <t>សរុប</t>
  </si>
  <si>
    <t>%ច្ប.២២</t>
  </si>
  <si>
    <t>សរុប​</t>
  </si>
  <si>
    <t>ok</t>
  </si>
  <si>
    <t>សរុប​រួមចំណូល​ (ក+ខ)</t>
  </si>
  <si>
    <t>ក្នុងនោះចំណូល​ក្នុងប្រទេស</t>
  </si>
  <si>
    <t>ក. សរុបចំណូល​ចរន្ត (ក្រុមទី១+ក្រុមទី២)</t>
  </si>
  <si>
    <t>ក្រុមទី១: ចំណូល​ពិត (ប្រភេទទី១+ប្រភេទទី២)</t>
  </si>
  <si>
    <t>ប្រភេទទី១: ចំណូល​សារពើពន្ធ</t>
  </si>
  <si>
    <t>ចំណូលសារពើពន្ធក្នុងស្រុក</t>
  </si>
  <si>
    <t>ពន្ធផ្ទាល់ (ពន្ធលើផលទុន ប្រាក់ចំណូល)</t>
  </si>
  <si>
    <t>ពន្ធលើប្រាក់ចំណូល (រូបវន្តបុគ្គល)</t>
  </si>
  <si>
    <t>ពន្ធលើប្រាក់ចំណូល (នីតិបុគ្គល)</t>
  </si>
  <si>
    <t>ពន្ធលើប្រាក់បៀវត្ស</t>
  </si>
  <si>
    <t>ពន្ធលើឈ្នួលចលននិងអចលនទ្រព្យ (រូបវន្តបុគ្គល)</t>
  </si>
  <si>
    <t>ពន្ធលើឈ្នួលចលននិងអចលនទ្រព្យ (នីតិបុគ្គល)</t>
  </si>
  <si>
    <t>ពន្ធលើប្រាក់ចំណូលនីតិបុគ្គលជាបន្ទុករបស់រដ្ឋ</t>
  </si>
  <si>
    <t>ពន្ធប្រយោល</t>
  </si>
  <si>
    <t>អាករលើផលរបរ</t>
  </si>
  <si>
    <t>អាករលើតម្លៃបន្ថែម</t>
  </si>
  <si>
    <t>អាករលើតម្លៃបន្ថែម​លើទំនិញជាបន្ទុករបស់​រដ្ឋ</t>
  </si>
  <si>
    <t>អាករលើតម្លៃបន្ថែម​លើសេវាជាបន្ទុករបស់​រដ្ឋ</t>
  </si>
  <si>
    <t>អាករលើតម្លៃបន្ថែម របបនាំចូល (សហគ្រាសប្រេងឥន្ធនៈ)</t>
  </si>
  <si>
    <t>អាករលើតម្លៃបន្ថែម របបនាំចូល (សហគ្រាសផ្សេងៗទៀត)</t>
  </si>
  <si>
    <t>អាករលើតម្លៃបន្ថែម របបនាំចូល (ជាបន្ទុករបស់រដ្ឋ)</t>
  </si>
  <si>
    <t>អាករពិសេស</t>
  </si>
  <si>
    <t>អាករពិសេសលើទំនិញមួយចំនួន</t>
  </si>
  <si>
    <t>អាករពិសេសលើទំនិញមួយចំនួន របបនាំចូល (សហគ្រាសប្រេងឥន្ធនៈ)</t>
  </si>
  <si>
    <t>អាករពិសេសលើទំនិញមួយចំនួន របបនាំចូល (សហគ្រាសផ្សេងៗទៀត)</t>
  </si>
  <si>
    <t>អាករពិសេសលើសេវាមួយចំនួន</t>
  </si>
  <si>
    <t>អាករសម្រាប់បំភ្លឺសាធារណៈ</t>
  </si>
  <si>
    <t>ផ្សេងៗ</t>
  </si>
  <si>
    <t>អាករលើសេវាដែលបានកំណត់</t>
  </si>
  <si>
    <t>អាករលើការស្នាក់នៅ</t>
  </si>
  <si>
    <t>ពន្ធសត្តឃាត</t>
  </si>
  <si>
    <t>អាករលើការប្រើប្រាស់ទ្រព្យសម្បត្តិ ឬ ការអនុវត្តសកម្មភាព</t>
  </si>
  <si>
    <t>ពន្ធប៉ាតង់</t>
  </si>
  <si>
    <t>ពន្ធលើមធ្យោបាយដឹកជញ្ជូន និងយានជំនិះគ្រប់ប្រភេទ</t>
  </si>
  <si>
    <t>ពន្ធលើមធ្យោបាយដឹកជញ្ជូន និង​យានជំនិះគ្រប់ប្រភេទជាបន្ទុករបស់រដ្ឋ</t>
  </si>
  <si>
    <t>ពន្ធប្រថាប់ត្រា</t>
  </si>
  <si>
    <t>ពន្ធប្រថាប់ត្រា លើតម្លៃអចលនទ្រព្យចំពោះការផ្ទេរកម្មសិទ្ធិ ឬ សិទ្ធិកាន់កាប់</t>
  </si>
  <si>
    <t>ពន្ធប្រថាប់ត្រា លើតម្លៃមធ្យោបាយដឹកជញ្ជូន ឬ យានយន្តចំពោះការផ្ទេរកម្មសិទ្ធិ</t>
  </si>
  <si>
    <t>ពន្ធប្រថាប់ត្រា លើតម្លៃភាគហ៊ុនចំពោះការផ្ទេរភាគហ៊ុន</t>
  </si>
  <si>
    <t>ពន្ធប្រថាប់ត្រា លើតម្លៃកិច្ចសន្យាចំពោះការផ្គត់ផ្គង់ទំនិញ ឬ សេវា</t>
  </si>
  <si>
    <t>ពន្ធប្រថាប់ត្រា លើលិខិតមានលក្ខណៈគតិយុត្ដ</t>
  </si>
  <si>
    <t>ពន្ធប្រថាប់ត្រាលើការផ្ទេរកម្មសិទ្ធិ ឬ សិទ្ធិ​កាន់កាប់​អចលនទ្រព្យ​ក្នុង​រង្វង់ញាតិ 
និង​ការអនុគ្រោះពន្ធ ជាបន្ទុករបស់រដ្ឋ</t>
  </si>
  <si>
    <t>ពន្ធលើអចលនទ្រព្យ</t>
  </si>
  <si>
    <t>ពន្ធលើអចលនទ្រព្យ (រូបវន្តបុគ្គល)</t>
  </si>
  <si>
    <t>ពន្ធលើអចលនទ្រព្យ (នីតិបុគ្គល)</t>
  </si>
  <si>
    <t>ពន្ធលើដីធ្លីមិនបានប្រើប្រាស់</t>
  </si>
  <si>
    <t>ពន្ធលើអចលនទ្រព្យ ជាបន្ទុករបស់រដ្ឋ</t>
  </si>
  <si>
    <t>ចំណូលសារពើពន្ធផ្សេងៗទៀត</t>
  </si>
  <si>
    <t>ពន្ធតែមប្រិ៍</t>
  </si>
  <si>
    <t>ប្រាក់ទោសទណ្ឌសារពើពន្ធ</t>
  </si>
  <si>
    <t>ចំណូលពន្ធលើពាណិជ្ជកម្មក្រៅប្រទេស</t>
  </si>
  <si>
    <t>ពន្ធនិងអាករលើការនាំចូល</t>
  </si>
  <si>
    <t>ពន្ធគយពីការនាំចូល</t>
  </si>
  <si>
    <t>កម្រៃពីការងារគយ</t>
  </si>
  <si>
    <t>ពន្ធគយលើផលិតផលតេលសិលា</t>
  </si>
  <si>
    <t>អាករបន្ថែមលើផលិតផលតេលសិលាសម្រាប់ថែទាំផ្លូវថ្នល់</t>
  </si>
  <si>
    <t>ផលពីការលក់ទំនិញរឹបអូស និងទំនិញគ្មានការទាមទារ</t>
  </si>
  <si>
    <t>ពិន័យផ្សេងៗលើការនាំចូល</t>
  </si>
  <si>
    <t>ពន្ធនាំចូល (ជាបន្ទុករបស់រដ្ឋ)</t>
  </si>
  <si>
    <t>ពន្ធនិងអាករលើការនាំចូលផ្សេងៗ</t>
  </si>
  <si>
    <t>ពន្ធនិងអាករលើការនាំចេញ</t>
  </si>
  <si>
    <t>អាករលើការនាំចេញឈើ</t>
  </si>
  <si>
    <t>អាករលើការនាំចេញកៅស៊ូ</t>
  </si>
  <si>
    <t>អាករលើការនាំចេញផលិតផលតេលសិលា</t>
  </si>
  <si>
    <t>អាករលើការនាំចេញទំនិញផ្សេងៗ</t>
  </si>
  <si>
    <t>ពិន័យផ្សេងៗពីការនាំចេញ</t>
  </si>
  <si>
    <t>ពន្ធនិងអាករលើការនាំចេញផ្សេងៗ</t>
  </si>
  <si>
    <t>ប្រភេទទី២: ចំណូល​មិនមែន​សារពើពន្ធ</t>
  </si>
  <si>
    <t>ផលទុននៃទ្រព្យសម្បត្តិរដ្ឋ</t>
  </si>
  <si>
    <t>ផលសម្បទាន</t>
  </si>
  <si>
    <t>ផលពីនេសាទ</t>
  </si>
  <si>
    <t>ផលពីព្រៃឈើ</t>
  </si>
  <si>
    <t>សម្បទានប្រេងកាត</t>
  </si>
  <si>
    <t>សម្បទានរ៉ែ</t>
  </si>
  <si>
    <t xml:space="preserve"> - អាជីវកម្មរ៉ែ</t>
  </si>
  <si>
    <t xml:space="preserve"> - សួយសារថ្លៃឈ្នួលប្រចាំឆ្នាំ</t>
  </si>
  <si>
    <t xml:space="preserve"> - សួយសារដី</t>
  </si>
  <si>
    <t>សម្បទានដីសេដ្ឋកិច្ច</t>
  </si>
  <si>
    <t>ចំណតយានជំនិះ</t>
  </si>
  <si>
    <t>ចំណតជលយាន</t>
  </si>
  <si>
    <t>ផលសម្បទានផ្សេងៗ</t>
  </si>
  <si>
    <t>ផលទុនពីសហគ្រាសសាធារណៈ</t>
  </si>
  <si>
    <t>ការដកចំនួនលើសនៃទុនចល័ត</t>
  </si>
  <si>
    <t>ភាគលាភរបស់សហគ្រាសសាធារណៈ</t>
  </si>
  <si>
    <t>ប្រាក់ធានារ៉ាប់រងសង្គម</t>
  </si>
  <si>
    <t>ផលទុនផ្សេងៗពីសហគ្រាសសាធារណៈ</t>
  </si>
  <si>
    <t>ផលទុនពីការលក់ ជួលទ្រព្យសម្បត្តិ និងសេវា</t>
  </si>
  <si>
    <t>ផលទុនតាមវិស័យ</t>
  </si>
  <si>
    <t>ផលទុនអាកាសចរស៊ីវិល</t>
  </si>
  <si>
    <t>ផលទុននៃសកម្មភាពភាពយន្ត</t>
  </si>
  <si>
    <t>ផលទុននៃសកម្មភាពទេសចរណ៍</t>
  </si>
  <si>
    <t>ផលទុននៃសកម្មភាពវប្បធម៌</t>
  </si>
  <si>
    <t>ផលទុនពីប្រៃសណីយ៍ និងទូរគមនាគមន៍</t>
  </si>
  <si>
    <t>ផលទុនពីវិទ្យុ និងទូរទស្សន៍</t>
  </si>
  <si>
    <t>ផលទុននៃសេវាផ្គត់ផ្គង់អគ្គិសនី និងទឹក</t>
  </si>
  <si>
    <t>ផលទុនផ្សេងៗទៀត</t>
  </si>
  <si>
    <t>ការលក់ទ្រព្យសម្បត្តិនៃរដ្ឋបាលសាធារណៈ</t>
  </si>
  <si>
    <t xml:space="preserve">ការលក់សម្ភារបរិក្ខារ សម្ភារខូចខាត សម្ភារសិក្សា </t>
  </si>
  <si>
    <t>លក់ឯកសារ លតាប័ត្រ និងលិខិតបោះពុម្ពផ្សេងៗ</t>
  </si>
  <si>
    <t>ផលបានពីការលក់ទ្រព្យសម្បត្តិកំទេចកំទី សត្វពាហនៈ</t>
  </si>
  <si>
    <t>ការលក់ផលិតផលកសិកម្ម</t>
  </si>
  <si>
    <t>ការលក់មធ្យោបាយដឹកជញ្ជូន និងគ្រឿងចក្រចាស់ៗ ឬ ខូច</t>
  </si>
  <si>
    <t>ការលក់ឧបករណ៍អេឡិចត្រូនិចចាស់ៗ ឬ ខូច</t>
  </si>
  <si>
    <t>ការលក់ឧបករណ៍អគ្គិសនីចាស់ៗ ឬ ខូច</t>
  </si>
  <si>
    <t>ការលក់ទ្រព្យសម្បត្តិនៃរដ្ឋបាលសាធារណៈ ផ្សេងៗទៀត</t>
  </si>
  <si>
    <t>ផលពីការគ្រប់គ្រងរដ្ឋបាល (1)</t>
  </si>
  <si>
    <t>ផលពីការចុះបញ្ជីគណបក្សនយោបាយ</t>
  </si>
  <si>
    <t>ផលពីការបង្កើតសហគ្រាស</t>
  </si>
  <si>
    <t>ផលពីការបង់សិទ្ធិប្រឡង</t>
  </si>
  <si>
    <t>ចំណូលពីប្រដាប់ក្តី</t>
  </si>
  <si>
    <t>ចំណូលពីការអនុញ្ញាតរដ្ឋបាល ទម្រង់ការរដ្ឋបាល 
និងការគ្រប់គ្រងរដ្ឋបាលផ្សេងៗ</t>
  </si>
  <si>
    <t>ការផ្តល់សេវាកម្ម</t>
  </si>
  <si>
    <t>ផលនៃការដឹកជញ្ជូនទំនិញ</t>
  </si>
  <si>
    <t>កម្រៃនៃការថែទាំ</t>
  </si>
  <si>
    <t>សេវាសុរិយោដី</t>
  </si>
  <si>
    <t>សេវាសំណង់</t>
  </si>
  <si>
    <t>សេវាផ្តល់ព្រឹត្តិបត្រថ្កោលទោស</t>
  </si>
  <si>
    <t xml:space="preserve">សេវាអប់រំ </t>
  </si>
  <si>
    <t>សេវាលើពន្ធប្រថាប់ត្រា</t>
  </si>
  <si>
    <t>ផលពីសេវាផ្សេងៗទៀត</t>
  </si>
  <si>
    <t>ផលពីទ្រព្យសម្បត្តិអចល័តផ្សេងទៀត</t>
  </si>
  <si>
    <t>ចំណូលពីសត្តឃាតដ្ឋាន</t>
  </si>
  <si>
    <t>ការជួលកន្លែងលក់ដូរក្នុងទីផ្សារ</t>
  </si>
  <si>
    <t>ចំណូលពីកំពង់ចម្លង</t>
  </si>
  <si>
    <t>ចំណូលពីយឿត្រី និងកន្លែងបែងចែកផលិតផល</t>
  </si>
  <si>
    <t>ចំណូលពីភាស៊ីផ្សារ</t>
  </si>
  <si>
    <t>ផលពីទ្រព្យសម្បត្តិអចល័តផ្សេងៗ</t>
  </si>
  <si>
    <t>កម្រៃប្រតិបត្តិការផ្សេងៗទៀត</t>
  </si>
  <si>
    <t>ចំណូលពីកាតព្វកិច្ចកាស៊ីណូ</t>
  </si>
  <si>
    <t>ចំណូលពីកាតព្វកិច្ចឆ្នោត</t>
  </si>
  <si>
    <t>ចំណូលកាតព្វកិច្ចពីល្បែងភ្នាល់ផ្សេងៗ</t>
  </si>
  <si>
    <t>ចំណូលពីអាជ្ញាប័ណ្ណនាំចេញ</t>
  </si>
  <si>
    <t>ចំណូលពីអាជ្ញាប័ណ្ណក្នុងស្រុក</t>
  </si>
  <si>
    <t>កម្រៃគ្រប់គ្រង និងទិដ្ឋាការនាំចេញ</t>
  </si>
  <si>
    <t>ការជួលទ្រព្យសម្បត្តិរដ្ឋ</t>
  </si>
  <si>
    <t>ការជួលដីទំនេរ</t>
  </si>
  <si>
    <t>ការជួលដីមានអគារ</t>
  </si>
  <si>
    <t>ការជួលអគារ ឬ សំណង់ផ្សេងៗ</t>
  </si>
  <si>
    <t>ការជួលសម្ភារបរិក្ខារ មធ្យោបាយដឹកជញ្ជូន និងគ្រឿងចក្រ</t>
  </si>
  <si>
    <t>ផលពីការជួលផ្សេងៗ</t>
  </si>
  <si>
    <t>ផលពីការគ្រប់គ្រងរដ្ឋបាល (2)</t>
  </si>
  <si>
    <t>ចំណូលពីការផ្តល់លិខិតឆ្លងដែន</t>
  </si>
  <si>
    <t>ចំណូលពីការផ្តល់ទិដ្ឋាការ</t>
  </si>
  <si>
    <t>ចំណូលពីការលក់លេខចុះបញ្ជីយានយន្ត</t>
  </si>
  <si>
    <t>ចំណូលពីការចុះបញ្ជីយានយន្ត និងជលយាន</t>
  </si>
  <si>
    <t>ចំណូលពីការផ្តល់ប័ណ្ណបើកបរគ្រប់ប្រភេទ</t>
  </si>
  <si>
    <t>ផលពីការត្រួតពិនិត្យអនាម័យសត្វ</t>
  </si>
  <si>
    <t>ផលពីការត្រួតពិនិត្យគុណភាពផលិតផល និងការគោរពបទដ្ឋាន</t>
  </si>
  <si>
    <t>ចំណូលពីការផាកពិន័យ និងការដាក់ទណ្ឌកម្ម</t>
  </si>
  <si>
    <t>ផលពីការផាកពិន័យ និងការដាក់ទណ្ឌកម្ម</t>
  </si>
  <si>
    <t>ការពិន័យជាប្រាក់លើបទល្មើសចរាចរណ៍ផ្លូវគោក</t>
  </si>
  <si>
    <t>ការពិន័យ និងការដាក់ទណ្ឌកម្មពិន័យជាប្រាក់</t>
  </si>
  <si>
    <t>ចំណូលពីការរឹបអូស</t>
  </si>
  <si>
    <t>ចំណូលពីការរឹបអូសប្រាក់កក់</t>
  </si>
  <si>
    <t>ចំណូលពីការរឹបអូសទ្រព្យសម្បត្តិ</t>
  </si>
  <si>
    <t>ផលពីការពិន័យផ្សេងៗ</t>
  </si>
  <si>
    <t>ការឧបត្ថម្ភ និង អំណោយ</t>
  </si>
  <si>
    <t>ឧបត្ថម្ភធនពីថ្នាក់ជាតិ</t>
  </si>
  <si>
    <t>ឧបត្ថម្ភធនពីក្រសួង-ស្ថាប័ន</t>
  </si>
  <si>
    <t>ឧបត្ថម្ភធនពីមន្ទីរជំនាញ</t>
  </si>
  <si>
    <t>ឧបត្ថម្ភធនពីសហគ្រាសសាធារណៈ</t>
  </si>
  <si>
    <t>ឧបត្ថម្ភធនពីគ្រឹះស្ថានសាធារណៈរដ្ឋបាល</t>
  </si>
  <si>
    <t>ឧបត្ថម្ភធនរវាងរដ្ឋបាលថ្នាក់ក្រោមជាតិ</t>
  </si>
  <si>
    <t>ឧបត្ថម្ភធនពីរាជធានី-ខេត្ត</t>
  </si>
  <si>
    <t>ឧបត្ថម្ភធនពីក្រុង-ស្រុក-ខណ្ឌ</t>
  </si>
  <si>
    <t>ឧបត្ថម្ភធនពីឃុំ-សង្កាត់</t>
  </si>
  <si>
    <t>ការចូលរួមធនធានពីសមាសភាគអភិវឌ្ឍន៍
មូលដ្ឋាន</t>
  </si>
  <si>
    <t>ការចូលរួមធនធានពីសមាសភាគអភិវឌ្ឍន៍មូលដ្ឋាន</t>
  </si>
  <si>
    <t>ឧបត្ថម្ភធនពីក្រៅប្រទេស</t>
  </si>
  <si>
    <t>ឧបត្ថម្ភធនពីក្រៅប្រទេសទ្វេភាគី</t>
  </si>
  <si>
    <t>ឧបត្ថម្ភធនពីក្រៅប្រទេសពហុភាគី</t>
  </si>
  <si>
    <t>ចំណូលពីការអនុវត្តមុខងារជាភ្នាក់ងារ</t>
  </si>
  <si>
    <t>ពីក្រសួង-ស្ថាប័ន</t>
  </si>
  <si>
    <t>ពីមន្ទីរជំនាញ</t>
  </si>
  <si>
    <t>ពីរាជធានី-ខេត្ត</t>
  </si>
  <si>
    <t>ពីក្រុង-ស្រុក-ខណ្ឌ</t>
  </si>
  <si>
    <t>ចំណូលបដិភាគក្នុងនិងក្រៅប្រទេស</t>
  </si>
  <si>
    <t>ចំណូលបដិភាគពីប្រជាពលរដ្ឋ សប្បុរសជនក្នុងនិងក្រៅប្រទេស</t>
  </si>
  <si>
    <t>ចំណូលពីប្រភពផ្សេងៗ</t>
  </si>
  <si>
    <t>ផលពីការរួមចំណែកការពារបរិស្ថាន</t>
  </si>
  <si>
    <t>ផលពីការរួមចំណែកការពារព្រៃឈើ</t>
  </si>
  <si>
    <t>ឧបត្ថម្ភជាសម្ភារបរិក្ខារ ទ្វេភាគី</t>
  </si>
  <si>
    <t>ឧបត្ថម្ភជាសម្ភារបរិក្ខារ ពហុភាគី</t>
  </si>
  <si>
    <t>ឧបត្ថម្ភជាសម្ភារបរិក្ខារ ពីក្រសួងអាណាព្យាបាល</t>
  </si>
  <si>
    <t>ចំណូលពីប្រភពផ្សេងៗទៀត</t>
  </si>
  <si>
    <t>មូលនិធិបំរុង</t>
  </si>
  <si>
    <t>អតិរេកនៃការិយបរិច្ឆេទ</t>
  </si>
  <si>
    <t>ឧបត្ថម្ភធនពីថ្នាក់ជាតិសម្រា​ប់ចំណាយវិនិយោគ</t>
  </si>
  <si>
    <t>ឧបត្ថម្ភធនពីមន្ទីរជំនាញសម្រាប់ចំណាយវិនិយោគ</t>
  </si>
  <si>
    <t>ឧបត្ថម្ភធនពីសហគ្រាសសាធារណៈសម្រាប់ចំណាយវិនិយោគ</t>
  </si>
  <si>
    <t xml:space="preserve"> ឧបត្ថម្ភធនពីគ្រឹស្ថានសាធារណៈសម្រាប់ចំណាយ វិនិយោគ</t>
  </si>
  <si>
    <t>ឧបត្ថម្ភធនរវាងរដ្ឋបាលថ្នាក់ក្រោមជាតិសម្រា​ប់ចំណាយវិនិយោគ</t>
  </si>
  <si>
    <t>ឧបត្ថម្ភធនពីរាជធានី-ខេត្ត សម្រា​ប់ចំណាយវិនិយោគ</t>
  </si>
  <si>
    <t>ឧបត្ថម្ភធនពីក្រុង-ស្រុក-ខណ្ឌ សម្រា​ប់ចំណាយ
វិនិយោគ</t>
  </si>
  <si>
    <t>ឧបត្ថម្ភធនពីឃុំ-សង្កាត់ សម្រា​ប់ចំណាយវិនិយោគ</t>
  </si>
  <si>
    <t>ចំណូលពីការចូលរួមចំណែករបស់ប្រជាពលរដ្ឋមូលដ្ឋាន</t>
  </si>
  <si>
    <t>ចំណូលពីការចូលរួមចំណែករបស់ប្រជាពលរដ្ឋមូលដ្ឋាន
ក្នុងការអនុវត្តគម្រោងអភិវឌ្ឍន៍</t>
  </si>
  <si>
    <t>ឧបត្ថម្ភធនពីក្រៅប្រទេស សម្រា​ប់ចំណាយ
វិនិយោគ</t>
  </si>
  <si>
    <t>ឧបត្ថម្ភធនពីក្រៅប្រទេស-ទ្វេភាគី សម្រា​ប់ចំណាយវិនិយោគ</t>
  </si>
  <si>
    <t>ឧបត្ថម្ភធនពីក្រៅប្រទេស-ពហុភាគី សម្រា​ប់ចំណាយវិនិយោគ</t>
  </si>
  <si>
    <t>ចំណូលពីប្រជាពលរដ្ឋ សប្បុរសជនក្នុងនិងក្រៅប្រទេស
សម្រា​ប់ចំណាយវិនិយោគ</t>
  </si>
  <si>
    <t>ចំណូលពីប្រជាពលរដ្ឋ-សប្បុរសជនក្នុងនិងក្រៅប្រទេស 
សម្រា​ប់ចំណាយវិនិយោគ</t>
  </si>
  <si>
    <t>ចំណូលពីប្រភពផ្សេងៗ សម្រា​ប់ចំណាយវិនិយោគ</t>
  </si>
  <si>
    <t>ផលហិរញ្ញវត្ថុ</t>
  </si>
  <si>
    <t>ការប្រាក់នៃការឱ្យខ្ចីនិងការប្រាក់នៃប្រាក់បញ្ញើ</t>
  </si>
  <si>
    <t>ការប្រាក់លើការឱ្យខ្ចី</t>
  </si>
  <si>
    <t>ការប្រាក់លើភតិសន្យាហិរញ្ញវត្ថុ</t>
  </si>
  <si>
    <t>ការប្រាក់នៃប្រាក់បញ្ញើ</t>
  </si>
  <si>
    <t>ចំណូលការប្រាក់ផ្សេងទៀត</t>
  </si>
  <si>
    <t>អន្តរការីយកម្ម</t>
  </si>
  <si>
    <t>អន្តរការីយកម្មនៃទីផ្សារមូលប័ត្រ</t>
  </si>
  <si>
    <t>អន្តរការីយកម្មនៃទីផ្សារធានារ៉ាប់រង</t>
  </si>
  <si>
    <t>អន្តរការីយកម្មនៃទីផ្សារអចលនវត្ថុ</t>
  </si>
  <si>
    <t>ភតិសន្យា</t>
  </si>
  <si>
    <t>ចំណេញពីការប្តូរប្រាក់</t>
  </si>
  <si>
    <t>ផលហិរញ្ញវត្ថុផ្សេងទៀត</t>
  </si>
  <si>
    <t>ផលផ្សេងៗ និងផលពិសេស</t>
  </si>
  <si>
    <t>ចំណូលពីការបង់អតិរេក និងកម្រៃនៃកិច្ច-ប្រតិបត្តិការគ្រប់គ្រងផ្សេងៗ</t>
  </si>
  <si>
    <t>ចំណូលពីការបង់អតិរេករបស់ថវិការាជធានី-ខេត្ត</t>
  </si>
  <si>
    <t>ចំណូលពីការបង់អតិរេករបស់ថវិកាក្រុង-ស្រុក</t>
  </si>
  <si>
    <t>កម្រៃរតនាគារ</t>
  </si>
  <si>
    <t>ចំណូលពីការបង់អតិរេករបស់គ្រឹះស្ថានសាធារណៈរដ្ឋបាល 
ឬអង្គភាពប្រហាក់ប្រហែល</t>
  </si>
  <si>
    <t>ផលនៃឯកជនភាវូបនីយកម្មសហគ្រាសសាធា-រណៈ</t>
  </si>
  <si>
    <t>ផលនៃឯកជនភាវូបនីយកម្មសហគ្រាសសាធារណៈ (លក់)</t>
  </si>
  <si>
    <t>ផលនៃឯកជនភាវូបនីយកម្មសហគ្រាសសាធារណៈ (ដោះដូរ)</t>
  </si>
  <si>
    <t>ចំណូលពីការលក់ដី រ៉ែ និងសម្បត្តិធម្មជាតិផ្សេងៗ</t>
  </si>
  <si>
    <t>ចំណូលពីការលក់អគារជម្រះបញ្ជីសារពើភណ្ឌ</t>
  </si>
  <si>
    <t>ចំណូលពីការលក់រថយន្ត ឧបករណ៍ និងសម្ភារបរិក្ខារ  ជាអចលនវត្ថុ</t>
  </si>
  <si>
    <t>ចំណូលពីការលក់ឋបនកម្ម បច្ចេកទេស សម្ភារ និងហត្ថូបករណ៍</t>
  </si>
  <si>
    <t>ចំណូលពីការលក់រថយន្ត</t>
  </si>
  <si>
    <t>ចំណូលពីការលក់ឧបករណ៍ធុនធ្ងន់</t>
  </si>
  <si>
    <t>ចំណូលពីការលក់ឧបករណ៍ការិយាល័យនិងគ្រឿងសង្ហារឹម</t>
  </si>
  <si>
    <t>ចំណូលពីការលក់សម្ភារព័ត៌មានវិទ្យានិងទូរគមនាគមន៍</t>
  </si>
  <si>
    <t>ផលពិសេសផ្សេងៗទៀត</t>
  </si>
  <si>
    <t>ក្រុមទី ២ : ចំណូលតាមដីកា (ប្រភេទទី៣)</t>
  </si>
  <si>
    <t>ប្រភេទទី ៣ : ចំណូលតាមដីកា
(មិនឆ្លងកាត់សាច់ប្រាក់)</t>
  </si>
  <si>
    <t>ខ.សរុបចំណូលមូលធន</t>
  </si>
  <si>
    <t>សរុប​ចំណូល​មូល​ធន​ឆ្លងកាត់អគ្គនាយកដ្ឋាន​រតនាគារជាតិ (ក្រុមទី១+ក្រុមទី២)</t>
  </si>
  <si>
    <t>ក្រុមទី១ : ចំណូលពិត (ប្រភេទទី១ + ប្រភេទទី២)</t>
  </si>
  <si>
    <t>ប្រភេទទី១ : ចំណូលពីប្រភពផ្ទាល់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</si>
  <si>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</si>
  <si>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</si>
  <si>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</t>
  </si>
  <si>
    <t>ការវិនិយោគទុនរួមគ្នា</t>
  </si>
  <si>
    <t>ការវិនិយោគក្នុងសហគ្រាសសាធារណៈ</t>
  </si>
  <si>
    <t>អចលកម្មហិរញ្ញវត្ថុផ្សេងៗ</t>
  </si>
  <si>
    <t>ការឱ្យខ្ចី (ការសងវិញនូវមូលធន)</t>
  </si>
  <si>
    <t>ការឱ្យខ្ចី ទៅសហគ្រាសសាធារណៈ</t>
  </si>
  <si>
    <t>ការឱ្យខ្ចី ទៅសហគ្រាសឯកជន</t>
  </si>
  <si>
    <t>ការឱ្យខ្ចី ទៅអង្គការមិនមែនរដ្ឋាភិបាល</t>
  </si>
  <si>
    <t>ការឱ្យខ្ចីផ្សេងៗ</t>
  </si>
  <si>
    <t xml:space="preserve"> ប្រភេទទី២ : ចំណូលពីប្រភពខាងក្រៅ</t>
  </si>
  <si>
    <t>ការខ្ចីប្រាក់ និងបំណុលប្រហាក់ប្រហែល</t>
  </si>
  <si>
    <t>ការខ្ចីប្រាក់ក្នុងប្រទេស</t>
  </si>
  <si>
    <t>ធនាគារជាតិនៃកម្ពុជា</t>
  </si>
  <si>
    <t>ធនាគារពាណិជ្ជ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</si>
  <si>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</si>
  <si>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</si>
  <si>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</si>
  <si>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ការខ្ខីពីទីផ្សារហិរញ្ញវត្ថុ</t>
  </si>
  <si>
    <t>សញ្ញាប័ណ្ណ</t>
  </si>
  <si>
    <t>ប័ណ្ណរដ្ឋាភិបាល</t>
  </si>
  <si>
    <t>ក្រុមទី២ : ចំណូលតាមដីកា</t>
  </si>
  <si>
    <t>ប្រភេទទី៣ : ចំណូលតាមដីកា 
(មិនឆ្លងកាត់សាច់ប្រាក់)</t>
  </si>
  <si>
    <t>សរុប​ចំណូល​មូល​ធនមិន​ឆ្លងកាត់អគ្គនាយកដ្ឋាន​រតនាគារជាតិ
(វិនិយោគសាធារណៈដោយ​ហិរញ្ញប្បទាន​ក្រៅ​ប្រទេស)</t>
  </si>
  <si>
    <t>ប្រភេទទី២ : ចំណូលពីប្រភពខាងក្រៅ</t>
  </si>
  <si>
    <t>សរុបរួម</t>
  </si>
  <si>
    <t>គម្រោងចំណាយថវិកាតាមចំណាត់ថ្នាក់សេដ្ឋកិច្ច</t>
  </si>
  <si>
    <t>តារាងទី២ (តារាង ២"ក" ក្នុងសារាចររៀបចំគម្រោងថវិកាប្រចាំឆ្នាំ)</t>
  </si>
  <si>
    <t>កូដអនុកម្មវិធី</t>
  </si>
  <si>
    <r>
      <rPr>
        <b/>
        <sz val="10"/>
        <rFont val="Khmer MEF1"/>
      </rPr>
      <t xml:space="preserve">ចំណាយ
ឆ្នាំ២០២១
</t>
    </r>
    <r>
      <rPr>
        <sz val="10"/>
        <rFont val="Khmer MEF1"/>
      </rPr>
      <t>(អនុវត្ត)</t>
    </r>
  </si>
  <si>
    <t>ប៉ាន់ស្មានអនុវត្តឆ្នាំ២០២២</t>
  </si>
  <si>
    <t>កើន/ថយធៀប'២២</t>
  </si>
  <si>
    <t>ចំណាយមិនប្រចាំ</t>
  </si>
  <si>
    <t>សង្ខេបបរិយាយមូលហេតុកើន/ថយ​
តាមគណនី ឬអនុគណនី</t>
  </si>
  <si>
    <t>ឥណទានដើមឆ្នាំ</t>
  </si>
  <si>
    <t>ឥណទាន
វិចារណកម្ម</t>
  </si>
  <si>
    <t>ឥណទានថ្មី</t>
  </si>
  <si>
    <t>អនុវត្ដជាក់ស្ដែង
ឆមាសទី១</t>
  </si>
  <si>
    <t>ប៉ាន់ស្មានឆមាសទី២</t>
  </si>
  <si>
    <t>ទឹកប្រាក់</t>
  </si>
  <si>
    <t>%ឥ.ច្ប
២០២២</t>
  </si>
  <si>
    <t>%ឥ.ថ្មី ២០២២</t>
  </si>
  <si>
    <t>%ឥ.ច្ប</t>
  </si>
  <si>
    <t>%ឥ.ថ្មី</t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</si>
  <si>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</si>
  <si>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</si>
  <si>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</si>
  <si>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</si>
  <si>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</si>
  <si>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</si>
  <si>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</si>
  <si>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កើនលើការបន្ថែមសម្ភារៈអនាម័យសម្រាប់នាយកដ្ឋានថ្មី២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</si>
  <si>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</si>
  <si>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</si>
  <si>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</si>
  <si>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កើនលើការបន្ថែមការទិញសំបកកង់រថយន្តជូនថ្នាក់ដឹកនាំសម្រាប់នាយកដ្ឋានថ្មី២</t>
  </si>
  <si>
    <t>ប្រេងឥន្ធនៈនិងប្រេងរំអិល</t>
  </si>
  <si>
    <t>កើនដោយសារតម្លៃប្រេងលើទីផ្សារកើនឡើង និងលើការបន្ថែមថវិកាសម្រាប់នាយកដ្ឋានថ្មី២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</si>
  <si>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</si>
  <si>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</si>
  <si>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</si>
  <si>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កើនលើការបន្ថែមសម្ភារៈការិយាល័យសម្រាប់នាយកដ្ឋានថ្មី២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</si>
  <si>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</si>
  <si>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</si>
  <si>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</si>
  <si>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</si>
  <si>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</si>
  <si>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</si>
  <si>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</si>
  <si>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</si>
  <si>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</si>
  <si>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</si>
  <si>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</si>
  <si>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កើនលើការបន្ថែមស្បៀងសម្រាប់ប្រើប្រាស់លើនាយកដ្ឋានថ្មី២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</si>
  <si>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</si>
  <si>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</si>
  <si>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</si>
  <si>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</si>
  <si>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</si>
  <si>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</si>
  <si>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</si>
  <si>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</si>
  <si>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កើនលើការទិញទូទឹកកក និងម៉ាស៊ីនទឹកក្តៅ សម្រាប់នាយកដ្ឋានថ្មី២</t>
  </si>
  <si>
    <t>សង្ហារឹម</t>
  </si>
  <si>
    <t>កើនលើការទិញតុ និងកៅអី សម្រាប់មន្ត្រីក្នុងនាយកដ្ឋានថ្មី២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</si>
  <si>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</si>
  <si>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</si>
  <si>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</si>
  <si>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កើនលើការគ្រោងទិញម៉ាស៊ីនព្រីនធ័រ និង projector សម្រាប់នាយកដ្ឋានថ្មី២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</si>
  <si>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</si>
  <si>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</si>
  <si>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</si>
  <si>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</si>
  <si>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</si>
  <si>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</si>
  <si>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</si>
  <si>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</si>
  <si>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</si>
  <si>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</si>
  <si>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</si>
  <si>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</si>
  <si>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</si>
  <si>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</si>
  <si>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</si>
  <si>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</si>
  <si>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</si>
  <si>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</si>
  <si>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</si>
  <si>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</si>
  <si>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</si>
  <si>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</si>
  <si>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</si>
  <si>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</si>
  <si>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</si>
  <si>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</si>
  <si>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</si>
  <si>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</si>
  <si>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</si>
  <si>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កើនដោយសារមានការគ្រោងសម្រាប់ការជួសជុលរថយន្តសម្រាប់ថ្នាក់កនាំនាយកដ្ឋានថ្មី២</t>
  </si>
  <si>
    <t>ការថែទាំនិងជួសជុលសម្ភារនិងឧបករណ៍បច្ចេកទេស</t>
  </si>
  <si>
    <t>កើនដោយសារមានការគ្រោងសម្រាប់ការជួសជុលម៉ាស៊ីនព្រីនធ័រចាស់ដែលមានស្រាប់ និងសម្រាប់នាយកដ្ឋានថ្មី២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</si>
  <si>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</si>
  <si>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</si>
  <si>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</si>
  <si>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</si>
  <si>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</si>
  <si>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</si>
  <si>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</si>
  <si>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</si>
  <si>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</si>
  <si>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</si>
  <si>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</si>
  <si>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</si>
  <si>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</si>
  <si>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</si>
  <si>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</si>
  <si>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</si>
  <si>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</si>
  <si>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</si>
  <si>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</si>
  <si>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</si>
  <si>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</si>
  <si>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</si>
  <si>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</si>
  <si>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</si>
  <si>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កើនដោយសារនាយកដ្ឋានអាស៊ានគ្រោងនឹងទទួលភ្ញៀវសម្រាប់កិច្ចប្រជុំដែលគ្រោងនឹងរៀបចំ</t>
  </si>
  <si>
    <t>ប្រជុំ សិក្ខាសាលា និងសន្និសីទ</t>
  </si>
  <si>
    <t>កើនដោយសារនាយកដ្ឋានអាស៊ានគ្រោងនឹងរៀបចំកិច្ចប្រជុំជាម្ចាស់ផ្ទះក្នុងឆ្នាំ២០២៣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</si>
  <si>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</si>
  <si>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</si>
  <si>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</si>
  <si>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</si>
  <si>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</si>
  <si>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</si>
  <si>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</si>
  <si>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កើនដោយសារការគ្រោងចំណាយលើការជាវសារព័តមានសម្រាប់នាយកដ្ឋានថ្មី២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</si>
  <si>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</si>
  <si>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</si>
  <si>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</si>
  <si>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</si>
  <si>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កើនដោយសារការគ្រោងចំណាយលើការចុះបេសកកម្មសម្រាប់នាយកដ្ឋានថ្មី២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</si>
  <si>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</si>
  <si>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</si>
  <si>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</si>
  <si>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</si>
  <si>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</si>
  <si>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</si>
  <si>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</si>
  <si>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កើនដោយសារការគ្រោងការចំណាយលើការផ្ញើលិខិតនិងឯកសារនានាសម្រាប់កិច្ចប្រជុំក្នុងនាយកដ្ឋានថ្មី២</t>
  </si>
  <si>
    <t>សោហ៊ុយទូរគមនាគមន៍</t>
  </si>
  <si>
    <t>មិនមានការគ្រោងសម្រាប់ការចំណាយលើការទិញកាតទូរសព្ទ័ទេ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</si>
  <si>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</si>
  <si>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</si>
  <si>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</si>
  <si>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</si>
  <si>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</si>
  <si>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</si>
  <si>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</si>
  <si>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</si>
  <si>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</si>
  <si>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</si>
  <si>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</si>
  <si>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</si>
  <si>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</si>
  <si>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</si>
  <si>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</si>
  <si>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</si>
  <si>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</si>
  <si>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</si>
  <si>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</si>
  <si>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</si>
  <si>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</si>
  <si>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</si>
  <si>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</si>
  <si>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</si>
  <si>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</si>
  <si>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</si>
  <si>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</si>
  <si>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</si>
  <si>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</si>
  <si>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</si>
  <si>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</si>
  <si>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</si>
  <si>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</si>
  <si>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</si>
  <si>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</si>
  <si>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</si>
  <si>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</si>
  <si>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</si>
  <si>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</si>
  <si>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</si>
  <si>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</si>
  <si>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</si>
  <si>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</si>
  <si>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</si>
  <si>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</si>
  <si>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</si>
  <si>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</si>
  <si>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</si>
  <si>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</si>
  <si>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</si>
  <si>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</si>
  <si>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</si>
  <si>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</si>
  <si>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</si>
  <si>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</si>
  <si>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</si>
  <si>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</si>
  <si>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</si>
  <si>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</si>
  <si>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</si>
  <si>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</si>
  <si>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</si>
  <si>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ប័ណ្ណរតនាគារ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</si>
  <si>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</si>
  <si>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</si>
  <si>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</si>
  <si>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</si>
  <si>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</si>
  <si>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</si>
  <si>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</si>
  <si>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</si>
  <si>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</si>
  <si>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ឧបត្ថម្ភរបបសន្តិសុខសង្គមសម្រាប់អតីតមន្ត្រីរាជការស៊ីវិល</t>
  </si>
  <si>
    <t>ឧបត្ថម្ភរបបសន្តិសុខសង្គមសម្រាប់អតីតយុទ្ធជន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</si>
  <si>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</si>
  <si>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</si>
  <si>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</si>
  <si>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</si>
  <si>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</si>
  <si>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</si>
  <si>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</si>
  <si>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</si>
  <si>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</si>
  <si>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</si>
  <si>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</si>
  <si>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</si>
  <si>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</si>
  <si>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</si>
  <si>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</si>
  <si>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</si>
  <si>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</si>
  <si>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</si>
  <si>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</si>
  <si>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</si>
  <si>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</si>
  <si>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</si>
  <si>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</si>
  <si>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</si>
  <si>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</si>
  <si>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</si>
  <si>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</si>
  <si>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</si>
  <si>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</si>
  <si>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</si>
  <si>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</si>
  <si>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</si>
  <si>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</si>
  <si>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</si>
  <si>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</si>
  <si>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</si>
  <si>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</si>
  <si>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</si>
  <si>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</si>
  <si>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</si>
  <si>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</si>
  <si>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</si>
  <si>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</si>
  <si>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</si>
  <si>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</si>
  <si>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</si>
  <si>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</si>
  <si>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</si>
  <si>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</si>
  <si>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</si>
  <si>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</si>
  <si>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</si>
  <si>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</si>
  <si>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</si>
  <si>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</si>
  <si>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</si>
  <si>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</si>
  <si>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</si>
  <si>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</si>
  <si>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</si>
  <si>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</si>
  <si>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</si>
  <si>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</si>
  <si>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ការបង្វិលសងវិញនូវឧបត្ថម្ភធនពីក្រៅប្រទេស សម្រាប់ចំណាយវិនិយោគ</t>
  </si>
  <si>
    <t>ការបង្វិលសងវិញនូវឧបត្ថម្ភធនពីក្រៅប្រទេស-ទ្វេភាគី សម្រាប់ចំណាយវិនិយោគ</t>
  </si>
  <si>
    <t>ការបង្វិលសងវិញនូវឧបត្ថម្ភធនពីក្រៅប្រទេស-ពហុភាគី សម្រាប់ចំណាយវិនិយោគ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</si>
  <si>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</si>
  <si>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</si>
  <si>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</si>
  <si>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</si>
  <si>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</si>
  <si>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</si>
  <si>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</si>
  <si>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</si>
  <si>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</si>
  <si>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</si>
  <si>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</si>
  <si>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</si>
  <si>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</si>
  <si>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</si>
  <si>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</si>
  <si>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</si>
  <si>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</si>
  <si>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</si>
  <si>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</si>
  <si>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</si>
  <si>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</si>
  <si>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</si>
  <si>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</si>
  <si>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</si>
  <si>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</si>
  <si>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</si>
  <si>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</si>
  <si>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</si>
  <si>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</si>
  <si>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</si>
  <si>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</si>
  <si>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</si>
  <si>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</si>
  <si>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</si>
  <si>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</si>
  <si>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</si>
  <si>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</si>
  <si>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</si>
  <si>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</si>
  <si>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ការខ្ចីពីទីផ្សារហិរញ្ញវត្ថុរយៈពេលវែង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</si>
  <si>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</si>
  <si>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</si>
  <si>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</si>
  <si>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</si>
  <si>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</si>
  <si>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</si>
  <si>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</si>
  <si>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</si>
  <si>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</si>
  <si>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</si>
  <si>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</si>
  <si>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</si>
  <si>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</si>
  <si>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</si>
  <si>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</si>
  <si>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</si>
  <si>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</si>
  <si>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</si>
  <si>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</si>
  <si>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</si>
  <si>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</si>
  <si>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</si>
  <si>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</si>
  <si>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</si>
  <si>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</si>
  <si>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</si>
  <si>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</si>
  <si>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</si>
  <si>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</si>
  <si>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</si>
  <si>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</si>
  <si>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</si>
  <si>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</si>
  <si>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</si>
  <si>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</si>
  <si>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</si>
  <si>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</si>
  <si>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</si>
  <si>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</si>
  <si>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</si>
  <si>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</si>
  <si>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</si>
  <si>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</si>
  <si>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</si>
  <si>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</si>
  <si>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</si>
  <si>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</si>
  <si>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</si>
  <si>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</si>
  <si>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</si>
  <si>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</si>
  <si>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</si>
  <si>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</si>
  <si>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</si>
  <si>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</si>
  <si>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</si>
  <si>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</si>
  <si>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</si>
  <si>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</si>
  <si>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</si>
  <si>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</si>
  <si>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</si>
  <si>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ការវិនិយោគក្នុងញាតិសម្ព័ន្ធ​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</si>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</sst>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#,##0.0;;"/>
    <numFmt numFmtId="167" formatCode="_(* #,##0.00_);_(* \(#,##0.00\);_(* &quot;-&quot;??_);_(@_)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9"/>
      <name val="Khmer MEF1"/>
    </font>
    <font>
      <sz val="10"/>
      <name val="Arial"/>
      <family val="2"/>
    </font>
    <font>
      <sz val="22"/>
      <name val="Khmer MEF1"/>
    </font>
    <font>
      <b/>
      <sz val="22"/>
      <name val="Khmer MEF1"/>
    </font>
    <font>
      <sz val="10"/>
      <name val="Khmer MEF1"/>
    </font>
    <font>
      <sz val="20"/>
      <name val="Khmer MEF1"/>
    </font>
    <font>
      <b/>
      <sz val="20"/>
      <name val="Khmer MEF1"/>
    </font>
    <font>
      <sz val="12"/>
      <name val="Khmer MEF2"/>
    </font>
    <font>
      <b/>
      <sz val="12"/>
      <name val="Khmer MEF2"/>
    </font>
    <font>
      <sz val="14"/>
      <color rgb="FF009900"/>
      <name val="Khmer MEF2"/>
    </font>
    <font>
      <sz val="19"/>
      <name val="Limon S4"/>
    </font>
    <font>
      <sz val="24"/>
      <name val="Limon R1"/>
    </font>
    <font>
      <b/>
      <sz val="24"/>
      <name val="Limon R1"/>
    </font>
    <font>
      <b/>
      <sz val="18"/>
      <name val="Limon S1"/>
    </font>
    <font>
      <sz val="11"/>
      <name val="Khmer MEF2"/>
    </font>
    <font>
      <i/>
      <sz val="10"/>
      <color theme="1"/>
      <name val="Khmer MEF1"/>
    </font>
    <font>
      <sz val="10"/>
      <name val="Arial Narrow"/>
      <family val="2"/>
    </font>
    <font>
      <sz val="9"/>
      <name val="Khmer MEF1"/>
    </font>
    <font>
      <b/>
      <sz val="10"/>
      <name val="Arial Narrow"/>
      <family val="2"/>
    </font>
    <font>
      <b/>
      <sz val="10"/>
      <name val="Khmer MEF1"/>
    </font>
    <font>
      <sz val="10"/>
      <name val="Khmer MEF2"/>
    </font>
    <font>
      <sz val="10"/>
      <color theme="1"/>
      <name val="Calibri"/>
      <family val="2"/>
      <scheme val="minor"/>
    </font>
    <font>
      <sz val="10"/>
      <color rgb="FF009900"/>
      <name val="Khmer MEF2"/>
    </font>
    <font>
      <b/>
      <sz val="10"/>
      <color rgb="FF009900"/>
      <name val="Arial Narrow"/>
      <family val="2"/>
    </font>
    <font>
      <sz val="10"/>
      <color rgb="FF009900"/>
      <name val="Khmer MEF1"/>
    </font>
    <font>
      <b/>
      <sz val="11"/>
      <color rgb="FF009900"/>
      <name val="Arial Narrow"/>
      <family val="2"/>
    </font>
    <font>
      <sz val="10"/>
      <color rgb="FF009900"/>
      <name val="Arial"/>
      <family val="2"/>
    </font>
    <font>
      <sz val="11"/>
      <color rgb="FF009900"/>
      <name val="Calibri"/>
      <family val="2"/>
      <scheme val="minor"/>
    </font>
    <font>
      <sz val="10"/>
      <color rgb="FFC00000"/>
      <name val="Khmer MEF2"/>
    </font>
    <font>
      <b/>
      <sz val="10"/>
      <color rgb="FFC00000"/>
      <name val="Arial Narrow"/>
      <family val="2"/>
    </font>
    <font>
      <sz val="10"/>
      <color rgb="FFC00000"/>
      <name val="Khmer MEF1"/>
    </font>
    <font>
      <b/>
      <sz val="11"/>
      <color rgb="FFC00000"/>
      <name val="Arial Narrow"/>
      <family val="2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sz val="10"/>
      <color rgb="FF7030A0"/>
      <name val="Khmer MEF2"/>
    </font>
    <font>
      <b/>
      <sz val="10"/>
      <color rgb="FF7030A0"/>
      <name val="Arial Narrow"/>
      <family val="2"/>
    </font>
    <font>
      <sz val="10"/>
      <color rgb="FF7030A0"/>
      <name val="Khmer MEF1"/>
    </font>
    <font>
      <b/>
      <sz val="11"/>
      <color rgb="FF7030A0"/>
      <name val="Arial Narrow"/>
      <family val="2"/>
    </font>
    <font>
      <sz val="10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0"/>
      <color rgb="FFFF0000"/>
      <name val="Arial Narrow"/>
      <family val="2"/>
    </font>
    <font>
      <sz val="10"/>
      <color rgb="FFFF0000"/>
      <name val="Khmer MEF2"/>
    </font>
    <font>
      <b/>
      <sz val="11"/>
      <color rgb="FFFF0000"/>
      <name val="Arial Narrow"/>
      <family val="2"/>
    </font>
    <font>
      <sz val="10"/>
      <color rgb="FFFF0000"/>
      <name val="Arial"/>
      <family val="2"/>
    </font>
    <font>
      <sz val="10"/>
      <color rgb="FF0000CC"/>
      <name val="Arial Narrow"/>
      <family val="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11"/>
      <color rgb="FF0000CC"/>
      <name val="Arial Narrow"/>
      <family val="2"/>
    </font>
    <font>
      <sz val="10"/>
      <color rgb="FF0000CC"/>
      <name val="Arial"/>
      <family val="2"/>
    </font>
    <font>
      <sz val="11"/>
      <color rgb="FF0000CC"/>
      <name val="Calibri"/>
      <family val="2"/>
      <scheme val="minor"/>
    </font>
    <font>
      <sz val="11"/>
      <name val="Arial Narrow"/>
      <family val="2"/>
    </font>
    <font>
      <sz val="10"/>
      <color theme="3" tint="0.39997558519241921"/>
      <name val="Arial"/>
      <family val="2"/>
    </font>
    <font>
      <sz val="10"/>
      <color rgb="FFC00000"/>
      <name val="Arial Narrow"/>
      <family val="2"/>
    </font>
    <font>
      <b/>
      <sz val="10"/>
      <color rgb="FF009900"/>
      <name val="Khmer MEF1"/>
    </font>
    <font>
      <sz val="10"/>
      <color theme="7" tint="-0.499984740745262"/>
      <name val="Khmer MEF2"/>
    </font>
    <font>
      <b/>
      <sz val="10"/>
      <color theme="7" tint="-0.499984740745262"/>
      <name val="Arial Narrow"/>
      <family val="2"/>
    </font>
    <font>
      <b/>
      <sz val="10"/>
      <color theme="7" tint="-0.499984740745262"/>
      <name val="Khmer MEF1"/>
    </font>
    <font>
      <b/>
      <sz val="11"/>
      <color theme="7" tint="-0.499984740745262"/>
      <name val="Arial Narrow"/>
      <family val="2"/>
    </font>
    <font>
      <sz val="10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  <font>
      <b/>
      <sz val="10"/>
      <color rgb="FFC00000"/>
      <name val="Khmer MEF1"/>
    </font>
    <font>
      <b/>
      <sz val="10"/>
      <color rgb="FFC00000"/>
      <name val="Khmer MEF2"/>
    </font>
    <font>
      <b/>
      <sz val="10"/>
      <name val="Arial"/>
      <family val="2"/>
    </font>
    <font>
      <i/>
      <u/>
      <sz val="9"/>
      <name val="Khmer MEF1"/>
    </font>
    <font>
      <b/>
      <sz val="11"/>
      <name val="Khmer MEF1"/>
    </font>
    <font>
      <sz val="8"/>
      <name val="Khmer MEF1"/>
    </font>
    <font>
      <sz val="11"/>
      <color rgb="FF009900"/>
      <name val="Arial Narrow"/>
      <family val="2"/>
    </font>
    <font>
      <sz val="11"/>
      <color rgb="FFC00000"/>
      <name val="Arial Narrow"/>
      <family val="2"/>
    </font>
    <font>
      <sz val="11"/>
      <color rgb="FF7030A0"/>
      <name val="Arial Narrow"/>
      <family val="2"/>
    </font>
    <font>
      <sz val="10"/>
      <color rgb="FFFF0000"/>
      <name val="Arial Narrow"/>
      <family val="2"/>
    </font>
    <font>
      <sz val="11"/>
      <color rgb="FFFF0000"/>
      <name val="Arial Narrow"/>
      <family val="2"/>
    </font>
    <font>
      <sz val="10"/>
      <color rgb="FFFF0000"/>
      <name val="Khmer MEF1"/>
    </font>
    <font>
      <sz val="11"/>
      <color rgb="FF0000CC"/>
      <name val="Arial Narrow"/>
      <family val="2"/>
    </font>
    <font>
      <sz val="10"/>
      <color rgb="FF0000CC"/>
      <name val="Khmer MEF1"/>
    </font>
    <font>
      <sz val="11"/>
      <name val="Arial"/>
      <family val="2"/>
    </font>
    <font>
      <b/>
      <sz val="8"/>
      <color rgb="FF0000CC"/>
      <name val="Khmer MEF1"/>
    </font>
    <font>
      <b/>
      <sz val="9"/>
      <color rgb="FF0000CC"/>
      <name val="Arial Narrow"/>
      <family val="2"/>
    </font>
    <font>
      <sz val="10"/>
      <color rgb="FF008000"/>
      <name val="Khmer MEF2"/>
    </font>
    <font>
      <b/>
      <sz val="10"/>
      <color rgb="FF008000"/>
      <name val="Khmer MEF2"/>
    </font>
    <font>
      <b/>
      <sz val="11"/>
      <color rgb="FF008000"/>
      <name val="Arial Narrow"/>
      <family val="2"/>
    </font>
    <font>
      <sz val="11"/>
      <color rgb="FF008000"/>
      <name val="Arial Narrow"/>
      <family val="2"/>
    </font>
    <font>
      <sz val="10"/>
      <color rgb="FF008000"/>
      <name val="Khmer MEF1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FFF7E1"/>
        <bgColor indexed="64"/>
      </patternFill>
    </fill>
  </fills>
  <borders count="6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325">
    <xf numFmtId="0" fontId="0" fillId="0" borderId="0" xfId="0"/>
    <xf numFmtId="0" fontId="4" fillId="0" borderId="0" xfId="2" applyFont="1" applyAlignment="1" applyProtection="1">
      <alignment horizontal="center"/>
      <protection locked="0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4" applyFont="1" applyAlignment="1">
      <alignment vertical="center"/>
    </xf>
    <xf numFmtId="0" fontId="9" fillId="0" borderId="0" xfId="3" applyFont="1"/>
    <xf numFmtId="0" fontId="9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" fillId="0" borderId="0" xfId="4" applyAlignment="1">
      <alignment vertical="center"/>
    </xf>
    <xf numFmtId="0" fontId="13" fillId="0" borderId="0" xfId="0" applyFont="1" applyAlignment="1">
      <alignment horizontal="centerContinuous" vertical="center"/>
    </xf>
    <xf numFmtId="0" fontId="11" fillId="0" borderId="0" xfId="3" applyFont="1" applyAlignment="1">
      <alignment horizontal="centerContinuous" vertical="top" wrapText="1"/>
    </xf>
    <xf numFmtId="0" fontId="12" fillId="0" borderId="0" xfId="3" applyFont="1" applyAlignment="1">
      <alignment horizontal="centerContinuous" vertical="top" wrapText="1"/>
    </xf>
    <xf numFmtId="0" fontId="14" fillId="0" borderId="0" xfId="2" applyFont="1" applyAlignment="1" applyProtection="1">
      <alignment horizontal="centerContinuous"/>
      <protection locked="0"/>
    </xf>
    <xf numFmtId="0" fontId="15" fillId="0" borderId="0" xfId="3" applyFont="1" applyAlignment="1">
      <alignment horizontal="centerContinuous" vertical="center"/>
    </xf>
    <xf numFmtId="0" fontId="16" fillId="0" borderId="0" xfId="3" applyFont="1" applyAlignment="1">
      <alignment horizontal="centerContinuous" vertical="center"/>
    </xf>
    <xf numFmtId="0" fontId="17" fillId="0" borderId="0" xfId="3" applyFont="1"/>
    <xf numFmtId="0" fontId="14" fillId="0" borderId="0" xfId="2" applyFont="1" applyAlignment="1" applyProtection="1">
      <alignment horizontal="center"/>
      <protection locked="0"/>
    </xf>
    <xf numFmtId="0" fontId="16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8" fillId="0" borderId="0" xfId="4" applyFont="1" applyAlignment="1">
      <alignment horizontal="right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0" fontId="20" fillId="0" borderId="0" xfId="3" applyFont="1" applyAlignment="1">
      <alignment horizontal="center" vertical="center"/>
    </xf>
    <xf numFmtId="0" fontId="20" fillId="0" borderId="0" xfId="2" applyFont="1" applyAlignment="1" applyProtection="1">
      <alignment horizontal="center" vertical="center"/>
      <protection locked="0"/>
    </xf>
    <xf numFmtId="0" fontId="21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3" fillId="0" borderId="1" xfId="2" applyFont="1" applyBorder="1" applyAlignment="1" applyProtection="1">
      <alignment horizontal="center" vertical="center" textRotation="90"/>
      <protection locked="0"/>
    </xf>
    <xf numFmtId="0" fontId="23" fillId="0" borderId="2" xfId="2" applyFont="1" applyBorder="1" applyAlignment="1" applyProtection="1">
      <alignment horizontal="center" vertical="center" textRotation="90"/>
      <protection locked="0"/>
    </xf>
    <xf numFmtId="0" fontId="8" fillId="0" borderId="2" xfId="2" applyFont="1" applyBorder="1" applyAlignment="1" applyProtection="1">
      <alignment horizontal="center" vertical="center" wrapText="1"/>
      <protection locked="0"/>
    </xf>
    <xf numFmtId="0" fontId="23" fillId="0" borderId="3" xfId="2" applyFont="1" applyBorder="1" applyAlignment="1" applyProtection="1">
      <alignment horizontal="center" vertical="center" wrapText="1"/>
      <protection locked="0"/>
    </xf>
    <xf numFmtId="0" fontId="23" fillId="0" borderId="2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5" xfId="2" applyFont="1" applyBorder="1" applyAlignment="1" applyProtection="1">
      <alignment horizontal="center" vertical="center" textRotation="90"/>
      <protection locked="0"/>
    </xf>
    <xf numFmtId="0" fontId="23" fillId="0" borderId="6" xfId="2" applyFont="1" applyBorder="1" applyAlignment="1" applyProtection="1">
      <alignment horizontal="center" vertical="center" textRotation="90"/>
      <protection locked="0"/>
    </xf>
    <xf numFmtId="0" fontId="8" fillId="0" borderId="6" xfId="2" applyFont="1" applyBorder="1" applyAlignment="1" applyProtection="1">
      <alignment horizontal="center" vertical="center" wrapText="1"/>
      <protection locked="0"/>
    </xf>
    <xf numFmtId="0" fontId="23" fillId="0" borderId="7" xfId="2" applyFont="1" applyBorder="1" applyAlignment="1" applyProtection="1">
      <alignment horizontal="center" vertical="center" wrapText="1"/>
      <protection locked="0"/>
    </xf>
    <xf numFmtId="0" fontId="21" fillId="0" borderId="6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23" fillId="0" borderId="9" xfId="2" applyFont="1" applyBorder="1" applyAlignment="1" applyProtection="1">
      <alignment horizontal="center" vertical="center" textRotation="90"/>
      <protection locked="0"/>
    </xf>
    <xf numFmtId="0" fontId="23" fillId="0" borderId="10" xfId="2" applyFont="1" applyBorder="1" applyAlignment="1" applyProtection="1">
      <alignment horizontal="center" vertical="center" textRotation="90"/>
      <protection locked="0"/>
    </xf>
    <xf numFmtId="0" fontId="8" fillId="0" borderId="10" xfId="2" applyFont="1" applyBorder="1" applyAlignment="1" applyProtection="1">
      <alignment horizontal="center" vertical="center" wrapText="1"/>
      <protection locked="0"/>
    </xf>
    <xf numFmtId="0" fontId="23" fillId="0" borderId="11" xfId="2" applyFont="1" applyBorder="1" applyAlignment="1" applyProtection="1">
      <alignment horizontal="center" vertical="center" wrapText="1"/>
      <protection locked="0"/>
    </xf>
    <xf numFmtId="0" fontId="21" fillId="0" borderId="10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/>
    </xf>
    <xf numFmtId="0" fontId="21" fillId="0" borderId="10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5" fillId="0" borderId="0" xfId="0" applyFont="1"/>
    <xf numFmtId="0" fontId="26" fillId="0" borderId="13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Continuous" vertical="center"/>
    </xf>
    <xf numFmtId="0" fontId="27" fillId="0" borderId="15" xfId="0" applyFont="1" applyBorder="1" applyAlignment="1">
      <alignment horizontal="centerContinuous" vertical="center"/>
    </xf>
    <xf numFmtId="0" fontId="28" fillId="0" borderId="16" xfId="0" applyFont="1" applyBorder="1" applyAlignment="1">
      <alignment horizontal="centerContinuous" vertical="center"/>
    </xf>
    <xf numFmtId="164" fontId="29" fillId="0" borderId="13" xfId="0" applyNumberFormat="1" applyFont="1" applyBorder="1" applyAlignment="1">
      <alignment vertical="center"/>
    </xf>
    <xf numFmtId="164" fontId="29" fillId="0" borderId="17" xfId="0" applyNumberFormat="1" applyFont="1" applyBorder="1" applyAlignment="1">
      <alignment vertical="center"/>
    </xf>
    <xf numFmtId="165" fontId="29" fillId="0" borderId="17" xfId="1" applyNumberFormat="1" applyFont="1" applyBorder="1" applyAlignment="1">
      <alignment horizontal="center" vertical="center"/>
    </xf>
    <xf numFmtId="0" fontId="30" fillId="0" borderId="0" xfId="4" applyFont="1" applyAlignment="1">
      <alignment vertical="center"/>
    </xf>
    <xf numFmtId="164" fontId="30" fillId="0" borderId="0" xfId="4" applyNumberFormat="1" applyFont="1" applyAlignment="1">
      <alignment vertical="center"/>
    </xf>
    <xf numFmtId="0" fontId="31" fillId="0" borderId="0" xfId="0" applyFont="1"/>
    <xf numFmtId="0" fontId="26" fillId="0" borderId="18" xfId="0" applyFont="1" applyBorder="1" applyAlignment="1">
      <alignment horizontal="centerContinuous" vertical="center"/>
    </xf>
    <xf numFmtId="0" fontId="27" fillId="0" borderId="19" xfId="0" applyFont="1" applyBorder="1" applyAlignment="1">
      <alignment horizontal="centerContinuous" vertical="center"/>
    </xf>
    <xf numFmtId="0" fontId="27" fillId="0" borderId="20" xfId="0" applyFont="1" applyBorder="1" applyAlignment="1">
      <alignment horizontal="centerContinuous" vertical="center"/>
    </xf>
    <xf numFmtId="0" fontId="28" fillId="0" borderId="21" xfId="0" applyFont="1" applyBorder="1" applyAlignment="1">
      <alignment horizontal="centerContinuous" vertical="center"/>
    </xf>
    <xf numFmtId="164" fontId="29" fillId="0" borderId="18" xfId="0" applyNumberFormat="1" applyFont="1" applyBorder="1" applyAlignment="1">
      <alignment vertical="center"/>
    </xf>
    <xf numFmtId="164" fontId="29" fillId="0" borderId="22" xfId="0" applyNumberFormat="1" applyFont="1" applyBorder="1" applyAlignment="1">
      <alignment vertical="center"/>
    </xf>
    <xf numFmtId="165" fontId="29" fillId="0" borderId="22" xfId="1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Continuous" vertical="center"/>
    </xf>
    <xf numFmtId="0" fontId="33" fillId="0" borderId="24" xfId="0" applyFont="1" applyBorder="1" applyAlignment="1">
      <alignment horizontal="centerContinuous" vertical="center"/>
    </xf>
    <xf numFmtId="0" fontId="33" fillId="0" borderId="25" xfId="0" applyFont="1" applyBorder="1" applyAlignment="1">
      <alignment horizontal="centerContinuous" vertical="center"/>
    </xf>
    <xf numFmtId="0" fontId="34" fillId="0" borderId="26" xfId="0" applyFont="1" applyBorder="1" applyAlignment="1">
      <alignment horizontal="centerContinuous" vertical="center"/>
    </xf>
    <xf numFmtId="164" fontId="35" fillId="0" borderId="23" xfId="0" applyNumberFormat="1" applyFont="1" applyBorder="1" applyAlignment="1">
      <alignment vertical="center"/>
    </xf>
    <xf numFmtId="164" fontId="35" fillId="0" borderId="27" xfId="0" applyNumberFormat="1" applyFont="1" applyBorder="1" applyAlignment="1">
      <alignment vertical="center"/>
    </xf>
    <xf numFmtId="165" fontId="35" fillId="0" borderId="27" xfId="1" applyNumberFormat="1" applyFont="1" applyBorder="1" applyAlignment="1">
      <alignment horizontal="center" vertical="center"/>
    </xf>
    <xf numFmtId="0" fontId="36" fillId="0" borderId="0" xfId="4" applyFont="1" applyAlignment="1">
      <alignment vertical="center"/>
    </xf>
    <xf numFmtId="0" fontId="37" fillId="0" borderId="0" xfId="0" applyFont="1"/>
    <xf numFmtId="0" fontId="38" fillId="0" borderId="28" xfId="0" applyFont="1" applyBorder="1" applyAlignment="1">
      <alignment horizontal="centerContinuous" vertical="center"/>
    </xf>
    <xf numFmtId="0" fontId="39" fillId="0" borderId="29" xfId="0" applyFont="1" applyBorder="1" applyAlignment="1">
      <alignment horizontal="centerContinuous" vertical="center"/>
    </xf>
    <xf numFmtId="0" fontId="39" fillId="0" borderId="30" xfId="0" applyFont="1" applyBorder="1" applyAlignment="1">
      <alignment horizontal="centerContinuous" vertical="center"/>
    </xf>
    <xf numFmtId="0" fontId="40" fillId="0" borderId="31" xfId="0" applyFont="1" applyBorder="1" applyAlignment="1">
      <alignment horizontal="centerContinuous" vertical="center"/>
    </xf>
    <xf numFmtId="164" fontId="41" fillId="0" borderId="28" xfId="0" applyNumberFormat="1" applyFont="1" applyBorder="1" applyAlignment="1">
      <alignment vertical="center"/>
    </xf>
    <xf numFmtId="164" fontId="41" fillId="0" borderId="6" xfId="0" applyNumberFormat="1" applyFont="1" applyBorder="1" applyAlignment="1">
      <alignment vertical="center"/>
    </xf>
    <xf numFmtId="165" fontId="41" fillId="0" borderId="6" xfId="1" applyNumberFormat="1" applyFont="1" applyBorder="1" applyAlignment="1">
      <alignment horizontal="center" vertical="center"/>
    </xf>
    <xf numFmtId="0" fontId="42" fillId="0" borderId="0" xfId="4" applyFont="1" applyAlignment="1">
      <alignment vertical="center"/>
    </xf>
    <xf numFmtId="0" fontId="43" fillId="0" borderId="0" xfId="0" applyFont="1"/>
    <xf numFmtId="0" fontId="44" fillId="0" borderId="32" xfId="0" applyFont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45" fillId="0" borderId="21" xfId="2" applyFont="1" applyBorder="1" applyAlignment="1">
      <alignment vertical="center"/>
    </xf>
    <xf numFmtId="164" fontId="46" fillId="0" borderId="32" xfId="0" applyNumberFormat="1" applyFont="1" applyBorder="1" applyAlignment="1">
      <alignment vertical="center"/>
    </xf>
    <xf numFmtId="164" fontId="46" fillId="0" borderId="35" xfId="0" applyNumberFormat="1" applyFont="1" applyBorder="1" applyAlignment="1">
      <alignment vertical="center"/>
    </xf>
    <xf numFmtId="165" fontId="46" fillId="0" borderId="35" xfId="1" applyNumberFormat="1" applyFont="1" applyBorder="1" applyAlignment="1">
      <alignment horizontal="center" vertical="center"/>
    </xf>
    <xf numFmtId="0" fontId="47" fillId="0" borderId="0" xfId="4" applyFont="1" applyAlignment="1">
      <alignment vertical="center"/>
    </xf>
    <xf numFmtId="0" fontId="2" fillId="0" borderId="0" xfId="0" applyFont="1"/>
    <xf numFmtId="0" fontId="48" fillId="0" borderId="36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50" fillId="0" borderId="39" xfId="0" applyFont="1" applyBorder="1" applyAlignment="1">
      <alignment horizontal="left" vertical="center"/>
    </xf>
    <xf numFmtId="164" fontId="51" fillId="0" borderId="36" xfId="0" applyNumberFormat="1" applyFont="1" applyBorder="1" applyAlignment="1">
      <alignment vertical="center"/>
    </xf>
    <xf numFmtId="164" fontId="51" fillId="0" borderId="40" xfId="0" applyNumberFormat="1" applyFont="1" applyBorder="1" applyAlignment="1">
      <alignment vertical="center"/>
    </xf>
    <xf numFmtId="165" fontId="51" fillId="0" borderId="40" xfId="1" applyNumberFormat="1" applyFont="1" applyBorder="1" applyAlignment="1">
      <alignment horizontal="center" vertical="center"/>
    </xf>
    <xf numFmtId="0" fontId="52" fillId="0" borderId="0" xfId="4" applyFont="1" applyAlignment="1">
      <alignment vertical="center"/>
    </xf>
    <xf numFmtId="0" fontId="53" fillId="0" borderId="0" xfId="0" applyFont="1"/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8" fillId="0" borderId="41" xfId="0" applyFont="1" applyBorder="1" applyAlignment="1">
      <alignment vertical="center"/>
    </xf>
    <xf numFmtId="164" fontId="54" fillId="0" borderId="22" xfId="0" applyNumberFormat="1" applyFont="1" applyBorder="1" applyAlignment="1" applyProtection="1">
      <alignment vertical="center"/>
      <protection locked="0"/>
    </xf>
    <xf numFmtId="165" fontId="54" fillId="0" borderId="22" xfId="1" applyNumberFormat="1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48" fillId="0" borderId="18" xfId="0" applyFont="1" applyBorder="1" applyAlignment="1">
      <alignment horizontal="center" vertical="center"/>
    </xf>
    <xf numFmtId="166" fontId="20" fillId="0" borderId="19" xfId="5" applyNumberFormat="1" applyFont="1" applyBorder="1" applyAlignment="1">
      <alignment horizontal="center" vertical="center"/>
    </xf>
    <xf numFmtId="49" fontId="20" fillId="0" borderId="18" xfId="6" applyNumberFormat="1" applyFont="1" applyBorder="1" applyAlignment="1" applyProtection="1">
      <alignment horizontal="center" vertical="center"/>
      <protection locked="0"/>
    </xf>
    <xf numFmtId="49" fontId="20" fillId="0" borderId="19" xfId="6" applyNumberFormat="1" applyFont="1" applyBorder="1" applyAlignment="1" applyProtection="1">
      <alignment horizontal="center" vertical="center"/>
      <protection locked="0"/>
    </xf>
    <xf numFmtId="49" fontId="20" fillId="0" borderId="20" xfId="6" applyNumberFormat="1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center" vertical="center"/>
      <protection locked="0"/>
    </xf>
    <xf numFmtId="49" fontId="48" fillId="0" borderId="18" xfId="6" applyNumberFormat="1" applyFont="1" applyBorder="1" applyAlignment="1" applyProtection="1">
      <alignment horizontal="center" vertical="center"/>
      <protection locked="0"/>
    </xf>
    <xf numFmtId="0" fontId="8" fillId="0" borderId="21" xfId="2" applyFont="1" applyBorder="1" applyAlignment="1">
      <alignment vertical="center" wrapText="1"/>
    </xf>
    <xf numFmtId="49" fontId="44" fillId="0" borderId="18" xfId="6" applyNumberFormat="1" applyFont="1" applyBorder="1" applyAlignment="1" applyProtection="1">
      <alignment horizontal="center" vertical="center"/>
      <protection locked="0"/>
    </xf>
    <xf numFmtId="49" fontId="44" fillId="0" borderId="19" xfId="6" applyNumberFormat="1" applyFont="1" applyBorder="1" applyAlignment="1" applyProtection="1">
      <alignment horizontal="center" vertical="center"/>
      <protection locked="0"/>
    </xf>
    <xf numFmtId="0" fontId="44" fillId="0" borderId="20" xfId="0" applyFont="1" applyBorder="1" applyAlignment="1" applyProtection="1">
      <alignment horizontal="center" vertical="center"/>
      <protection locked="0"/>
    </xf>
    <xf numFmtId="164" fontId="46" fillId="0" borderId="22" xfId="0" applyNumberFormat="1" applyFont="1" applyBorder="1" applyAlignment="1">
      <alignment vertical="center"/>
    </xf>
    <xf numFmtId="165" fontId="46" fillId="0" borderId="22" xfId="1" applyNumberFormat="1" applyFont="1" applyBorder="1" applyAlignment="1">
      <alignment horizontal="center" vertical="center"/>
    </xf>
    <xf numFmtId="49" fontId="20" fillId="0" borderId="42" xfId="6" applyNumberFormat="1" applyFont="1" applyBorder="1" applyAlignment="1" applyProtection="1">
      <alignment horizontal="center" vertical="center"/>
      <protection locked="0"/>
    </xf>
    <xf numFmtId="49" fontId="20" fillId="0" borderId="43" xfId="6" applyNumberFormat="1" applyFont="1" applyBorder="1" applyAlignment="1" applyProtection="1">
      <alignment horizontal="center" vertical="center"/>
      <protection locked="0"/>
    </xf>
    <xf numFmtId="0" fontId="20" fillId="0" borderId="44" xfId="0" applyFont="1" applyBorder="1" applyAlignment="1" applyProtection="1">
      <alignment horizontal="center" vertical="center"/>
      <protection locked="0"/>
    </xf>
    <xf numFmtId="0" fontId="8" fillId="0" borderId="45" xfId="2" applyFont="1" applyBorder="1" applyAlignment="1">
      <alignment vertical="center"/>
    </xf>
    <xf numFmtId="164" fontId="54" fillId="0" borderId="46" xfId="0" applyNumberFormat="1" applyFont="1" applyBorder="1" applyAlignment="1" applyProtection="1">
      <alignment vertical="center"/>
      <protection locked="0"/>
    </xf>
    <xf numFmtId="165" fontId="54" fillId="0" borderId="46" xfId="1" applyNumberFormat="1" applyFont="1" applyBorder="1" applyAlignment="1" applyProtection="1">
      <alignment horizontal="center" vertical="center"/>
      <protection locked="0"/>
    </xf>
    <xf numFmtId="0" fontId="8" fillId="0" borderId="21" xfId="2" applyFont="1" applyBorder="1" applyAlignment="1">
      <alignment horizontal="left" vertical="center"/>
    </xf>
    <xf numFmtId="164" fontId="54" fillId="0" borderId="22" xfId="0" applyNumberFormat="1" applyFont="1" applyBorder="1" applyAlignment="1">
      <alignment vertical="center"/>
    </xf>
    <xf numFmtId="165" fontId="54" fillId="0" borderId="22" xfId="1" applyNumberFormat="1" applyFont="1" applyBorder="1" applyAlignment="1">
      <alignment horizontal="center" vertical="center"/>
    </xf>
    <xf numFmtId="0" fontId="8" fillId="0" borderId="21" xfId="2" applyFont="1" applyBorder="1" applyAlignment="1">
      <alignment horizontal="left" vertical="center" wrapText="1"/>
    </xf>
    <xf numFmtId="0" fontId="55" fillId="0" borderId="0" xfId="4" applyFont="1" applyAlignment="1">
      <alignment vertical="center"/>
    </xf>
    <xf numFmtId="0" fontId="8" fillId="0" borderId="45" xfId="2" applyFont="1" applyBorder="1" applyAlignment="1">
      <alignment horizontal="left" vertical="center"/>
    </xf>
    <xf numFmtId="49" fontId="32" fillId="0" borderId="28" xfId="6" applyNumberFormat="1" applyFont="1" applyBorder="1" applyAlignment="1" applyProtection="1">
      <alignment horizontal="centerContinuous" vertical="center"/>
      <protection locked="0"/>
    </xf>
    <xf numFmtId="49" fontId="56" fillId="0" borderId="29" xfId="6" applyNumberFormat="1" applyFont="1" applyBorder="1" applyAlignment="1" applyProtection="1">
      <alignment horizontal="centerContinuous" vertical="center"/>
      <protection locked="0"/>
    </xf>
    <xf numFmtId="0" fontId="56" fillId="0" borderId="30" xfId="0" applyFont="1" applyBorder="1" applyAlignment="1" applyProtection="1">
      <alignment horizontal="centerContinuous" vertical="center"/>
      <protection locked="0"/>
    </xf>
    <xf numFmtId="0" fontId="34" fillId="0" borderId="31" xfId="2" applyFont="1" applyBorder="1" applyAlignment="1">
      <alignment horizontal="centerContinuous" vertical="center"/>
    </xf>
    <xf numFmtId="164" fontId="35" fillId="0" borderId="6" xfId="0" applyNumberFormat="1" applyFont="1" applyBorder="1" applyAlignment="1">
      <alignment vertical="center"/>
    </xf>
    <xf numFmtId="165" fontId="35" fillId="0" borderId="6" xfId="1" applyNumberFormat="1" applyFont="1" applyBorder="1" applyAlignment="1">
      <alignment horizontal="center" vertical="center"/>
    </xf>
    <xf numFmtId="49" fontId="26" fillId="0" borderId="28" xfId="6" applyNumberFormat="1" applyFont="1" applyBorder="1" applyAlignment="1" applyProtection="1">
      <alignment horizontal="centerContinuous" vertical="center"/>
      <protection locked="0"/>
    </xf>
    <xf numFmtId="49" fontId="27" fillId="0" borderId="29" xfId="6" applyNumberFormat="1" applyFont="1" applyBorder="1" applyAlignment="1" applyProtection="1">
      <alignment horizontal="centerContinuous" vertical="center"/>
      <protection locked="0"/>
    </xf>
    <xf numFmtId="0" fontId="27" fillId="0" borderId="30" xfId="0" applyFont="1" applyBorder="1" applyAlignment="1" applyProtection="1">
      <alignment horizontal="centerContinuous" vertical="center"/>
      <protection locked="0"/>
    </xf>
    <xf numFmtId="0" fontId="57" fillId="0" borderId="31" xfId="2" applyFont="1" applyBorder="1" applyAlignment="1">
      <alignment horizontal="centerContinuous" vertical="center"/>
    </xf>
    <xf numFmtId="164" fontId="29" fillId="0" borderId="6" xfId="0" applyNumberFormat="1" applyFont="1" applyBorder="1" applyAlignment="1">
      <alignment vertical="center"/>
    </xf>
    <xf numFmtId="165" fontId="29" fillId="0" borderId="6" xfId="1" applyNumberFormat="1" applyFont="1" applyBorder="1" applyAlignment="1">
      <alignment horizontal="center" vertical="center"/>
    </xf>
    <xf numFmtId="49" fontId="58" fillId="0" borderId="28" xfId="6" applyNumberFormat="1" applyFont="1" applyBorder="1" applyAlignment="1" applyProtection="1">
      <alignment horizontal="centerContinuous" vertical="center"/>
      <protection locked="0"/>
    </xf>
    <xf numFmtId="49" fontId="59" fillId="0" borderId="29" xfId="6" applyNumberFormat="1" applyFont="1" applyBorder="1" applyAlignment="1" applyProtection="1">
      <alignment horizontal="centerContinuous" vertical="center"/>
      <protection locked="0"/>
    </xf>
    <xf numFmtId="0" fontId="59" fillId="0" borderId="30" xfId="0" applyFont="1" applyBorder="1" applyAlignment="1" applyProtection="1">
      <alignment horizontal="centerContinuous" vertical="center"/>
      <protection locked="0"/>
    </xf>
    <xf numFmtId="0" fontId="60" fillId="0" borderId="31" xfId="2" applyFont="1" applyBorder="1" applyAlignment="1">
      <alignment horizontal="centerContinuous" vertical="center"/>
    </xf>
    <xf numFmtId="164" fontId="61" fillId="0" borderId="6" xfId="0" applyNumberFormat="1" applyFont="1" applyBorder="1" applyAlignment="1">
      <alignment vertical="center"/>
    </xf>
    <xf numFmtId="165" fontId="61" fillId="0" borderId="6" xfId="1" applyNumberFormat="1" applyFont="1" applyBorder="1" applyAlignment="1">
      <alignment horizontal="center" vertical="center"/>
    </xf>
    <xf numFmtId="0" fontId="62" fillId="0" borderId="0" xfId="4" applyFont="1" applyAlignment="1">
      <alignment vertical="center"/>
    </xf>
    <xf numFmtId="0" fontId="63" fillId="0" borderId="0" xfId="0" applyFont="1"/>
    <xf numFmtId="49" fontId="33" fillId="0" borderId="29" xfId="6" applyNumberFormat="1" applyFont="1" applyBorder="1" applyAlignment="1" applyProtection="1">
      <alignment horizontal="centerContinuous" vertical="center"/>
      <protection locked="0"/>
    </xf>
    <xf numFmtId="0" fontId="33" fillId="0" borderId="30" xfId="0" applyFont="1" applyBorder="1" applyAlignment="1" applyProtection="1">
      <alignment horizontal="centerContinuous" vertical="center"/>
      <protection locked="0"/>
    </xf>
    <xf numFmtId="0" fontId="64" fillId="0" borderId="31" xfId="2" applyFont="1" applyBorder="1" applyAlignment="1">
      <alignment horizontal="centerContinuous" vertical="center"/>
    </xf>
    <xf numFmtId="49" fontId="20" fillId="0" borderId="23" xfId="6" applyNumberFormat="1" applyFont="1" applyBorder="1" applyAlignment="1" applyProtection="1">
      <alignment horizontal="center" vertical="center"/>
      <protection locked="0"/>
    </xf>
    <xf numFmtId="49" fontId="20" fillId="0" borderId="24" xfId="6" applyNumberFormat="1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8" fillId="0" borderId="26" xfId="2" applyFont="1" applyBorder="1" applyAlignment="1">
      <alignment horizontal="left" vertical="center"/>
    </xf>
    <xf numFmtId="164" fontId="54" fillId="0" borderId="27" xfId="0" applyNumberFormat="1" applyFont="1" applyBorder="1" applyAlignment="1" applyProtection="1">
      <alignment vertical="center"/>
      <protection locked="0"/>
    </xf>
    <xf numFmtId="165" fontId="54" fillId="0" borderId="27" xfId="1" applyNumberFormat="1" applyFont="1" applyBorder="1" applyAlignment="1" applyProtection="1">
      <alignment horizontal="center" vertical="center"/>
      <protection locked="0"/>
    </xf>
    <xf numFmtId="49" fontId="65" fillId="0" borderId="29" xfId="6" applyNumberFormat="1" applyFont="1" applyBorder="1" applyAlignment="1" applyProtection="1">
      <alignment horizontal="centerContinuous" vertical="center"/>
      <protection locked="0"/>
    </xf>
    <xf numFmtId="0" fontId="65" fillId="0" borderId="30" xfId="0" applyFont="1" applyBorder="1" applyAlignment="1" applyProtection="1">
      <alignment horizontal="centerContinuous" vertical="center"/>
      <protection locked="0"/>
    </xf>
    <xf numFmtId="0" fontId="65" fillId="0" borderId="31" xfId="2" applyFont="1" applyBorder="1" applyAlignment="1">
      <alignment horizontal="centerContinuous" vertical="center"/>
    </xf>
    <xf numFmtId="49" fontId="58" fillId="0" borderId="47" xfId="6" applyNumberFormat="1" applyFont="1" applyBorder="1" applyAlignment="1" applyProtection="1">
      <alignment horizontal="center" vertical="center" wrapText="1"/>
      <protection locked="0"/>
    </xf>
    <xf numFmtId="49" fontId="58" fillId="0" borderId="48" xfId="6" applyNumberFormat="1" applyFont="1" applyBorder="1" applyAlignment="1" applyProtection="1">
      <alignment horizontal="center" vertical="center" wrapText="1"/>
      <protection locked="0"/>
    </xf>
    <xf numFmtId="49" fontId="58" fillId="0" borderId="31" xfId="6" applyNumberFormat="1" applyFont="1" applyBorder="1" applyAlignment="1" applyProtection="1">
      <alignment horizontal="center" vertical="center" wrapText="1"/>
      <protection locked="0"/>
    </xf>
    <xf numFmtId="0" fontId="49" fillId="0" borderId="19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50" fillId="0" borderId="41" xfId="0" applyFont="1" applyBorder="1" applyAlignment="1">
      <alignment horizontal="left" vertical="center"/>
    </xf>
    <xf numFmtId="164" fontId="51" fillId="0" borderId="18" xfId="0" applyNumberFormat="1" applyFont="1" applyBorder="1" applyAlignment="1">
      <alignment vertical="center"/>
    </xf>
    <xf numFmtId="164" fontId="51" fillId="0" borderId="22" xfId="0" applyNumberFormat="1" applyFont="1" applyBorder="1" applyAlignment="1">
      <alignment vertical="center"/>
    </xf>
    <xf numFmtId="165" fontId="51" fillId="0" borderId="22" xfId="1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centerContinuous" vertical="center"/>
    </xf>
    <xf numFmtId="0" fontId="27" fillId="0" borderId="29" xfId="0" applyFont="1" applyBorder="1" applyAlignment="1">
      <alignment horizontal="centerContinuous" vertical="center"/>
    </xf>
    <xf numFmtId="0" fontId="27" fillId="0" borderId="30" xfId="0" applyFont="1" applyBorder="1" applyAlignment="1">
      <alignment horizontal="centerContinuous" vertical="center"/>
    </xf>
    <xf numFmtId="0" fontId="28" fillId="0" borderId="31" xfId="0" applyFont="1" applyBorder="1" applyAlignment="1">
      <alignment horizontal="centerContinuous" vertical="center"/>
    </xf>
    <xf numFmtId="164" fontId="29" fillId="0" borderId="28" xfId="0" applyNumberFormat="1" applyFont="1" applyBorder="1" applyAlignment="1">
      <alignment vertical="center"/>
    </xf>
    <xf numFmtId="0" fontId="66" fillId="0" borderId="0" xfId="4" applyFont="1" applyAlignment="1">
      <alignment vertical="center"/>
    </xf>
    <xf numFmtId="0" fontId="5" fillId="0" borderId="0" xfId="4" applyAlignment="1">
      <alignment horizontal="centerContinuous" vertical="center"/>
    </xf>
    <xf numFmtId="0" fontId="18" fillId="0" borderId="0" xfId="3" applyFont="1" applyAlignment="1">
      <alignment horizontal="centerContinuous" vertical="center"/>
    </xf>
    <xf numFmtId="0" fontId="67" fillId="0" borderId="0" xfId="3" applyFont="1" applyAlignment="1">
      <alignment horizontal="right" vertical="center"/>
    </xf>
    <xf numFmtId="0" fontId="8" fillId="0" borderId="3" xfId="2" applyFont="1" applyBorder="1" applyAlignment="1" applyProtection="1">
      <alignment horizontal="center" vertical="center" wrapText="1"/>
      <protection locked="0"/>
    </xf>
    <xf numFmtId="0" fontId="23" fillId="0" borderId="2" xfId="3" applyFont="1" applyBorder="1" applyAlignment="1">
      <alignment horizontal="center" vertical="center"/>
    </xf>
    <xf numFmtId="0" fontId="23" fillId="0" borderId="49" xfId="3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/>
    </xf>
    <xf numFmtId="0" fontId="68" fillId="2" borderId="3" xfId="3" applyFont="1" applyFill="1" applyBorder="1" applyAlignment="1">
      <alignment horizontal="center" vertical="center" wrapText="1"/>
    </xf>
    <xf numFmtId="0" fontId="8" fillId="0" borderId="51" xfId="4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  <protection locked="0"/>
    </xf>
    <xf numFmtId="3" fontId="8" fillId="0" borderId="6" xfId="0" applyNumberFormat="1" applyFont="1" applyBorder="1" applyAlignment="1">
      <alignment horizontal="center" vertical="center" wrapText="1"/>
    </xf>
    <xf numFmtId="3" fontId="21" fillId="0" borderId="6" xfId="0" applyNumberFormat="1" applyFont="1" applyBorder="1" applyAlignment="1">
      <alignment horizontal="center" vertical="center" wrapText="1"/>
    </xf>
    <xf numFmtId="3" fontId="21" fillId="0" borderId="47" xfId="0" applyNumberFormat="1" applyFont="1" applyBorder="1" applyAlignment="1">
      <alignment horizontal="center" vertical="center" wrapText="1"/>
    </xf>
    <xf numFmtId="0" fontId="68" fillId="2" borderId="7" xfId="3" applyFont="1" applyFill="1" applyBorder="1" applyAlignment="1">
      <alignment horizontal="center" vertical="center" wrapText="1"/>
    </xf>
    <xf numFmtId="0" fontId="8" fillId="0" borderId="52" xfId="4" applyFont="1" applyBorder="1" applyAlignment="1">
      <alignment horizontal="center" vertical="center" wrapText="1"/>
    </xf>
    <xf numFmtId="0" fontId="8" fillId="0" borderId="11" xfId="2" applyFont="1" applyBorder="1" applyAlignment="1" applyProtection="1">
      <alignment horizontal="center" vertical="center" wrapText="1"/>
      <protection locked="0"/>
    </xf>
    <xf numFmtId="3" fontId="8" fillId="0" borderId="10" xfId="0" applyNumberFormat="1" applyFont="1" applyBorder="1" applyAlignment="1">
      <alignment horizontal="center" vertical="center" wrapText="1"/>
    </xf>
    <xf numFmtId="0" fontId="69" fillId="0" borderId="10" xfId="3" applyFont="1" applyBorder="1" applyAlignment="1">
      <alignment horizontal="center" vertical="center" wrapText="1"/>
    </xf>
    <xf numFmtId="3" fontId="21" fillId="0" borderId="10" xfId="0" applyNumberFormat="1" applyFont="1" applyBorder="1" applyAlignment="1">
      <alignment horizontal="center" vertical="center" wrapText="1"/>
    </xf>
    <xf numFmtId="3" fontId="21" fillId="0" borderId="53" xfId="0" applyNumberFormat="1" applyFont="1" applyBorder="1" applyAlignment="1">
      <alignment horizontal="center" vertical="center" wrapText="1"/>
    </xf>
    <xf numFmtId="0" fontId="68" fillId="2" borderId="11" xfId="3" applyFont="1" applyFill="1" applyBorder="1" applyAlignment="1">
      <alignment horizontal="center" vertical="center" wrapText="1"/>
    </xf>
    <xf numFmtId="0" fontId="8" fillId="0" borderId="54" xfId="4" applyFont="1" applyBorder="1" applyAlignment="1">
      <alignment horizontal="center" vertical="center" wrapText="1"/>
    </xf>
    <xf numFmtId="0" fontId="26" fillId="0" borderId="55" xfId="7" applyFont="1" applyBorder="1" applyAlignment="1">
      <alignment horizontal="centerContinuous" vertical="center" wrapText="1"/>
    </xf>
    <xf numFmtId="0" fontId="26" fillId="0" borderId="56" xfId="7" applyFont="1" applyBorder="1" applyAlignment="1">
      <alignment horizontal="centerContinuous" vertical="center" wrapText="1"/>
    </xf>
    <xf numFmtId="0" fontId="26" fillId="0" borderId="16" xfId="7" applyFont="1" applyBorder="1" applyAlignment="1">
      <alignment horizontal="centerContinuous" vertical="center" wrapText="1"/>
    </xf>
    <xf numFmtId="164" fontId="29" fillId="0" borderId="17" xfId="8" applyNumberFormat="1" applyFont="1" applyBorder="1" applyAlignment="1">
      <alignment vertical="center"/>
    </xf>
    <xf numFmtId="165" fontId="70" fillId="0" borderId="17" xfId="1" applyNumberFormat="1" applyFont="1" applyFill="1" applyBorder="1" applyAlignment="1">
      <alignment horizontal="center" vertical="center"/>
    </xf>
    <xf numFmtId="164" fontId="29" fillId="3" borderId="17" xfId="8" applyNumberFormat="1" applyFont="1" applyFill="1" applyBorder="1" applyAlignment="1">
      <alignment vertical="center"/>
    </xf>
    <xf numFmtId="165" fontId="28" fillId="0" borderId="17" xfId="1" applyNumberFormat="1" applyFont="1" applyFill="1" applyBorder="1" applyAlignment="1">
      <alignment horizontal="center" vertical="center" wrapText="1"/>
    </xf>
    <xf numFmtId="0" fontId="26" fillId="0" borderId="57" xfId="7" applyFont="1" applyBorder="1" applyAlignment="1">
      <alignment horizontal="centerContinuous" vertical="center" wrapText="1"/>
    </xf>
    <xf numFmtId="0" fontId="26" fillId="0" borderId="41" xfId="7" applyFont="1" applyBorder="1" applyAlignment="1">
      <alignment horizontal="centerContinuous" vertical="center" wrapText="1"/>
    </xf>
    <xf numFmtId="0" fontId="26" fillId="0" borderId="21" xfId="7" applyFont="1" applyBorder="1" applyAlignment="1">
      <alignment horizontal="centerContinuous" vertical="center" wrapText="1"/>
    </xf>
    <xf numFmtId="164" fontId="29" fillId="0" borderId="22" xfId="8" applyNumberFormat="1" applyFont="1" applyBorder="1" applyAlignment="1">
      <alignment vertical="center"/>
    </xf>
    <xf numFmtId="165" fontId="70" fillId="0" borderId="22" xfId="1" applyNumberFormat="1" applyFont="1" applyFill="1" applyBorder="1" applyAlignment="1">
      <alignment horizontal="center" vertical="center"/>
    </xf>
    <xf numFmtId="164" fontId="29" fillId="3" borderId="22" xfId="8" applyNumberFormat="1" applyFont="1" applyFill="1" applyBorder="1" applyAlignment="1">
      <alignment vertical="center"/>
    </xf>
    <xf numFmtId="165" fontId="28" fillId="0" borderId="22" xfId="1" applyNumberFormat="1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Continuous" vertical="center" wrapText="1"/>
    </xf>
    <xf numFmtId="0" fontId="32" fillId="0" borderId="41" xfId="0" applyFont="1" applyBorder="1" applyAlignment="1">
      <alignment horizontal="centerContinuous" vertical="center" wrapText="1"/>
    </xf>
    <xf numFmtId="0" fontId="32" fillId="0" borderId="21" xfId="0" applyFont="1" applyBorder="1" applyAlignment="1">
      <alignment horizontal="centerContinuous" vertical="center" wrapText="1"/>
    </xf>
    <xf numFmtId="164" fontId="35" fillId="0" borderId="46" xfId="8" applyNumberFormat="1" applyFont="1" applyBorder="1" applyAlignment="1">
      <alignment vertical="center"/>
    </xf>
    <xf numFmtId="165" fontId="71" fillId="0" borderId="46" xfId="1" applyNumberFormat="1" applyFont="1" applyFill="1" applyBorder="1" applyAlignment="1">
      <alignment horizontal="center" vertical="center"/>
    </xf>
    <xf numFmtId="164" fontId="35" fillId="3" borderId="46" xfId="8" applyNumberFormat="1" applyFont="1" applyFill="1" applyBorder="1" applyAlignment="1">
      <alignment vertical="center"/>
    </xf>
    <xf numFmtId="165" fontId="34" fillId="0" borderId="46" xfId="1" applyNumberFormat="1" applyFont="1" applyFill="1" applyBorder="1" applyAlignment="1">
      <alignment horizontal="center" vertical="center" wrapText="1"/>
    </xf>
    <xf numFmtId="0" fontId="38" fillId="0" borderId="6" xfId="7" applyFont="1" applyBorder="1" applyAlignment="1">
      <alignment horizontal="centerContinuous" vertical="center"/>
    </xf>
    <xf numFmtId="164" fontId="41" fillId="0" borderId="6" xfId="8" applyNumberFormat="1" applyFont="1" applyBorder="1" applyAlignment="1">
      <alignment vertical="center"/>
    </xf>
    <xf numFmtId="165" fontId="72" fillId="0" borderId="6" xfId="1" applyNumberFormat="1" applyFont="1" applyFill="1" applyBorder="1" applyAlignment="1">
      <alignment horizontal="center" vertical="center"/>
    </xf>
    <xf numFmtId="164" fontId="41" fillId="3" borderId="6" xfId="8" applyNumberFormat="1" applyFont="1" applyFill="1" applyBorder="1" applyAlignment="1">
      <alignment vertical="center"/>
    </xf>
    <xf numFmtId="165" fontId="40" fillId="0" borderId="6" xfId="1" applyNumberFormat="1" applyFont="1" applyFill="1" applyBorder="1" applyAlignment="1">
      <alignment horizontal="center" vertical="center" wrapText="1"/>
    </xf>
    <xf numFmtId="0" fontId="44" fillId="0" borderId="40" xfId="7" applyFont="1" applyBorder="1" applyAlignment="1">
      <alignment horizontal="center" vertical="center"/>
    </xf>
    <xf numFmtId="0" fontId="73" fillId="0" borderId="40" xfId="7" applyFont="1" applyBorder="1" applyAlignment="1">
      <alignment horizontal="center" vertical="center"/>
    </xf>
    <xf numFmtId="0" fontId="45" fillId="0" borderId="40" xfId="7" applyFont="1" applyBorder="1" applyAlignment="1">
      <alignment vertical="center" wrapText="1"/>
    </xf>
    <xf numFmtId="164" fontId="46" fillId="0" borderId="40" xfId="8" applyNumberFormat="1" applyFont="1" applyBorder="1" applyAlignment="1">
      <alignment vertical="center"/>
    </xf>
    <xf numFmtId="165" fontId="74" fillId="0" borderId="40" xfId="1" applyNumberFormat="1" applyFont="1" applyFill="1" applyBorder="1" applyAlignment="1">
      <alignment horizontal="center" vertical="center"/>
    </xf>
    <xf numFmtId="164" fontId="46" fillId="3" borderId="40" xfId="8" applyNumberFormat="1" applyFont="1" applyFill="1" applyBorder="1" applyAlignment="1">
      <alignment vertical="center"/>
    </xf>
    <xf numFmtId="165" fontId="75" fillId="0" borderId="40" xfId="1" applyNumberFormat="1" applyFont="1" applyFill="1" applyBorder="1" applyAlignment="1">
      <alignment horizontal="center" vertical="center" wrapText="1"/>
    </xf>
    <xf numFmtId="0" fontId="49" fillId="0" borderId="22" xfId="7" applyFont="1" applyBorder="1" applyAlignment="1">
      <alignment horizontal="center" vertical="center"/>
    </xf>
    <xf numFmtId="0" fontId="50" fillId="0" borderId="22" xfId="7" applyFont="1" applyBorder="1" applyAlignment="1">
      <alignment vertical="center" wrapText="1"/>
    </xf>
    <xf numFmtId="164" fontId="51" fillId="0" borderId="22" xfId="8" applyNumberFormat="1" applyFont="1" applyBorder="1" applyAlignment="1">
      <alignment vertical="center"/>
    </xf>
    <xf numFmtId="165" fontId="76" fillId="0" borderId="22" xfId="1" applyNumberFormat="1" applyFont="1" applyFill="1" applyBorder="1" applyAlignment="1">
      <alignment horizontal="center" vertical="center"/>
    </xf>
    <xf numFmtId="164" fontId="51" fillId="3" borderId="22" xfId="8" applyNumberFormat="1" applyFont="1" applyFill="1" applyBorder="1" applyAlignment="1">
      <alignment vertical="center"/>
    </xf>
    <xf numFmtId="165" fontId="77" fillId="0" borderId="22" xfId="1" applyNumberFormat="1" applyFont="1" applyFill="1" applyBorder="1" applyAlignment="1">
      <alignment horizontal="center" vertical="center" wrapText="1"/>
    </xf>
    <xf numFmtId="0" fontId="22" fillId="0" borderId="22" xfId="7" applyFont="1" applyBorder="1" applyAlignment="1">
      <alignment horizontal="center" vertical="center"/>
    </xf>
    <xf numFmtId="0" fontId="20" fillId="0" borderId="22" xfId="7" applyFont="1" applyBorder="1" applyAlignment="1">
      <alignment horizontal="center" vertical="center"/>
    </xf>
    <xf numFmtId="0" fontId="8" fillId="0" borderId="22" xfId="7" applyFont="1" applyBorder="1" applyAlignment="1">
      <alignment vertical="center" wrapText="1"/>
    </xf>
    <xf numFmtId="164" fontId="54" fillId="0" borderId="22" xfId="9" applyNumberFormat="1" applyFont="1" applyFill="1" applyBorder="1" applyAlignment="1">
      <alignment vertical="center"/>
    </xf>
    <xf numFmtId="164" fontId="54" fillId="0" borderId="18" xfId="9" applyNumberFormat="1" applyFont="1" applyFill="1" applyBorder="1" applyAlignment="1">
      <alignment vertical="center"/>
    </xf>
    <xf numFmtId="165" fontId="54" fillId="0" borderId="22" xfId="1" applyNumberFormat="1" applyFont="1" applyFill="1" applyBorder="1" applyAlignment="1">
      <alignment horizontal="center" vertical="center"/>
    </xf>
    <xf numFmtId="164" fontId="54" fillId="3" borderId="22" xfId="9" applyNumberFormat="1" applyFont="1" applyFill="1" applyBorder="1" applyAlignment="1">
      <alignment vertical="center"/>
    </xf>
    <xf numFmtId="165" fontId="8" fillId="0" borderId="22" xfId="1" applyNumberFormat="1" applyFont="1" applyFill="1" applyBorder="1" applyAlignment="1">
      <alignment horizontal="left" vertical="center"/>
    </xf>
    <xf numFmtId="0" fontId="78" fillId="0" borderId="0" xfId="4" applyFont="1" applyAlignment="1">
      <alignment vertical="center"/>
    </xf>
    <xf numFmtId="165" fontId="8" fillId="0" borderId="22" xfId="1" applyNumberFormat="1" applyFont="1" applyFill="1" applyBorder="1" applyAlignment="1">
      <alignment horizontal="left" vertical="center" wrapText="1"/>
    </xf>
    <xf numFmtId="165" fontId="8" fillId="0" borderId="22" xfId="1" applyNumberFormat="1" applyFont="1" applyFill="1" applyBorder="1" applyAlignment="1">
      <alignment horizontal="center" vertical="center" wrapText="1"/>
    </xf>
    <xf numFmtId="164" fontId="46" fillId="0" borderId="22" xfId="8" applyNumberFormat="1" applyFont="1" applyBorder="1" applyAlignment="1">
      <alignment vertical="center"/>
    </xf>
    <xf numFmtId="165" fontId="74" fillId="0" borderId="22" xfId="1" applyNumberFormat="1" applyFont="1" applyFill="1" applyBorder="1" applyAlignment="1">
      <alignment horizontal="center" vertical="center"/>
    </xf>
    <xf numFmtId="164" fontId="46" fillId="3" borderId="22" xfId="8" applyNumberFormat="1" applyFont="1" applyFill="1" applyBorder="1" applyAlignment="1">
      <alignment vertical="center"/>
    </xf>
    <xf numFmtId="165" fontId="75" fillId="0" borderId="22" xfId="1" applyNumberFormat="1" applyFont="1" applyFill="1" applyBorder="1" applyAlignment="1">
      <alignment horizontal="center" vertical="center" wrapText="1"/>
    </xf>
    <xf numFmtId="0" fontId="50" fillId="0" borderId="22" xfId="7" applyFont="1" applyBorder="1" applyAlignment="1">
      <alignment horizontal="left" vertical="top" wrapText="1"/>
    </xf>
    <xf numFmtId="0" fontId="49" fillId="0" borderId="22" xfId="4" applyFont="1" applyBorder="1" applyAlignment="1">
      <alignment horizontal="center" vertical="center"/>
    </xf>
    <xf numFmtId="164" fontId="51" fillId="0" borderId="22" xfId="8" quotePrefix="1" applyNumberFormat="1" applyFont="1" applyBorder="1" applyAlignment="1">
      <alignment vertical="center"/>
    </xf>
    <xf numFmtId="165" fontId="76" fillId="0" borderId="22" xfId="1" quotePrefix="1" applyNumberFormat="1" applyFont="1" applyFill="1" applyBorder="1" applyAlignment="1">
      <alignment horizontal="center" vertical="center"/>
    </xf>
    <xf numFmtId="164" fontId="51" fillId="3" borderId="22" xfId="8" quotePrefix="1" applyNumberFormat="1" applyFont="1" applyFill="1" applyBorder="1" applyAlignment="1">
      <alignment vertical="center"/>
    </xf>
    <xf numFmtId="165" fontId="77" fillId="0" borderId="22" xfId="1" quotePrefix="1" applyNumberFormat="1" applyFont="1" applyFill="1" applyBorder="1" applyAlignment="1">
      <alignment horizontal="center" vertical="center" wrapText="1"/>
    </xf>
    <xf numFmtId="164" fontId="51" fillId="0" borderId="22" xfId="9" applyNumberFormat="1" applyFont="1" applyFill="1" applyBorder="1" applyAlignment="1">
      <alignment vertical="center"/>
    </xf>
    <xf numFmtId="164" fontId="51" fillId="3" borderId="22" xfId="9" applyNumberFormat="1" applyFont="1" applyFill="1" applyBorder="1" applyAlignment="1">
      <alignment vertical="center"/>
    </xf>
    <xf numFmtId="0" fontId="50" fillId="0" borderId="22" xfId="7" applyFont="1" applyBorder="1" applyAlignment="1">
      <alignment vertical="top" wrapText="1"/>
    </xf>
    <xf numFmtId="164" fontId="51" fillId="0" borderId="46" xfId="9" applyNumberFormat="1" applyFont="1" applyFill="1" applyBorder="1" applyAlignment="1">
      <alignment vertical="center"/>
    </xf>
    <xf numFmtId="165" fontId="76" fillId="0" borderId="46" xfId="1" applyNumberFormat="1" applyFont="1" applyFill="1" applyBorder="1" applyAlignment="1">
      <alignment horizontal="center" vertical="center"/>
    </xf>
    <xf numFmtId="164" fontId="51" fillId="3" borderId="46" xfId="9" applyNumberFormat="1" applyFont="1" applyFill="1" applyBorder="1" applyAlignment="1">
      <alignment vertical="center"/>
    </xf>
    <xf numFmtId="165" fontId="77" fillId="0" borderId="46" xfId="1" applyNumberFormat="1" applyFont="1" applyFill="1" applyBorder="1" applyAlignment="1">
      <alignment horizontal="center" vertical="center" wrapText="1"/>
    </xf>
    <xf numFmtId="0" fontId="49" fillId="0" borderId="7" xfId="7" applyFont="1" applyBorder="1" applyAlignment="1">
      <alignment horizontal="center" vertical="center"/>
    </xf>
    <xf numFmtId="0" fontId="49" fillId="0" borderId="46" xfId="7" applyFont="1" applyBorder="1" applyAlignment="1">
      <alignment horizontal="center" vertical="center"/>
    </xf>
    <xf numFmtId="0" fontId="50" fillId="0" borderId="46" xfId="7" applyFont="1" applyBorder="1" applyAlignment="1">
      <alignment vertical="center" wrapText="1"/>
    </xf>
    <xf numFmtId="0" fontId="21" fillId="0" borderId="22" xfId="7" applyFont="1" applyBorder="1" applyAlignment="1">
      <alignment vertical="center" wrapText="1"/>
    </xf>
    <xf numFmtId="0" fontId="79" fillId="0" borderId="22" xfId="7" applyFont="1" applyBorder="1" applyAlignment="1">
      <alignment vertical="center" wrapText="1"/>
    </xf>
    <xf numFmtId="0" fontId="49" fillId="0" borderId="27" xfId="7" applyFont="1" applyBorder="1" applyAlignment="1">
      <alignment horizontal="center" vertical="center"/>
    </xf>
    <xf numFmtId="0" fontId="32" fillId="0" borderId="6" xfId="7" applyFont="1" applyBorder="1" applyAlignment="1">
      <alignment horizontal="centerContinuous" vertical="center"/>
    </xf>
    <xf numFmtId="164" fontId="35" fillId="0" borderId="6" xfId="9" applyNumberFormat="1" applyFont="1" applyFill="1" applyBorder="1" applyAlignment="1">
      <alignment vertical="center"/>
    </xf>
    <xf numFmtId="165" fontId="71" fillId="0" borderId="6" xfId="1" applyNumberFormat="1" applyFont="1" applyFill="1" applyBorder="1" applyAlignment="1">
      <alignment horizontal="center" vertical="center"/>
    </xf>
    <xf numFmtId="164" fontId="35" fillId="3" borderId="6" xfId="9" applyNumberFormat="1" applyFont="1" applyFill="1" applyBorder="1" applyAlignment="1">
      <alignment vertical="center"/>
    </xf>
    <xf numFmtId="165" fontId="34" fillId="0" borderId="6" xfId="1" applyNumberFormat="1" applyFont="1" applyFill="1" applyBorder="1" applyAlignment="1">
      <alignment horizontal="center" vertical="center" wrapText="1"/>
    </xf>
    <xf numFmtId="164" fontId="46" fillId="0" borderId="35" xfId="8" applyNumberFormat="1" applyFont="1" applyBorder="1" applyAlignment="1">
      <alignment vertical="center"/>
    </xf>
    <xf numFmtId="165" fontId="74" fillId="0" borderId="35" xfId="1" applyNumberFormat="1" applyFont="1" applyFill="1" applyBorder="1" applyAlignment="1">
      <alignment horizontal="center" vertical="center"/>
    </xf>
    <xf numFmtId="164" fontId="46" fillId="3" borderId="35" xfId="8" applyNumberFormat="1" applyFont="1" applyFill="1" applyBorder="1" applyAlignment="1">
      <alignment vertical="center"/>
    </xf>
    <xf numFmtId="165" fontId="75" fillId="0" borderId="35" xfId="1" applyNumberFormat="1" applyFont="1" applyFill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vertical="center" wrapText="1"/>
    </xf>
    <xf numFmtId="0" fontId="49" fillId="0" borderId="58" xfId="0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50" fillId="0" borderId="46" xfId="0" applyFont="1" applyBorder="1" applyAlignment="1">
      <alignment vertical="center" wrapText="1"/>
    </xf>
    <xf numFmtId="0" fontId="80" fillId="0" borderId="58" xfId="0" applyFont="1" applyBorder="1" applyAlignment="1">
      <alignment horizontal="center" vertical="center"/>
    </xf>
    <xf numFmtId="164" fontId="29" fillId="0" borderId="22" xfId="9" applyNumberFormat="1" applyFont="1" applyFill="1" applyBorder="1" applyAlignment="1">
      <alignment vertical="center"/>
    </xf>
    <xf numFmtId="164" fontId="29" fillId="3" borderId="22" xfId="9" applyNumberFormat="1" applyFont="1" applyFill="1" applyBorder="1" applyAlignment="1">
      <alignment vertical="center"/>
    </xf>
    <xf numFmtId="0" fontId="32" fillId="0" borderId="58" xfId="7" applyFont="1" applyBorder="1" applyAlignment="1">
      <alignment horizontal="centerContinuous" vertical="center" wrapText="1"/>
    </xf>
    <xf numFmtId="0" fontId="32" fillId="0" borderId="59" xfId="7" applyFont="1" applyBorder="1" applyAlignment="1">
      <alignment horizontal="centerContinuous" vertical="center" wrapText="1"/>
    </xf>
    <xf numFmtId="0" fontId="32" fillId="0" borderId="45" xfId="7" applyFont="1" applyBorder="1" applyAlignment="1">
      <alignment horizontal="centerContinuous" vertical="center" wrapText="1"/>
    </xf>
    <xf numFmtId="164" fontId="35" fillId="0" borderId="46" xfId="9" applyNumberFormat="1" applyFont="1" applyFill="1" applyBorder="1" applyAlignment="1">
      <alignment vertical="center"/>
    </xf>
    <xf numFmtId="164" fontId="35" fillId="3" borderId="46" xfId="9" applyNumberFormat="1" applyFont="1" applyFill="1" applyBorder="1" applyAlignment="1">
      <alignment vertical="center"/>
    </xf>
    <xf numFmtId="164" fontId="46" fillId="0" borderId="40" xfId="9" applyNumberFormat="1" applyFont="1" applyFill="1" applyBorder="1" applyAlignment="1">
      <alignment vertical="center"/>
    </xf>
    <xf numFmtId="164" fontId="46" fillId="3" borderId="40" xfId="9" applyNumberFormat="1" applyFont="1" applyFill="1" applyBorder="1" applyAlignment="1">
      <alignment vertical="center"/>
    </xf>
    <xf numFmtId="0" fontId="20" fillId="0" borderId="46" xfId="7" applyFont="1" applyBorder="1" applyAlignment="1">
      <alignment horizontal="center" vertical="center"/>
    </xf>
    <xf numFmtId="0" fontId="8" fillId="0" borderId="46" xfId="7" applyFont="1" applyBorder="1" applyAlignment="1">
      <alignment vertical="center" wrapText="1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vertical="center" wrapText="1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8" fillId="0" borderId="46" xfId="0" applyFont="1" applyBorder="1" applyAlignment="1">
      <alignment vertical="center" wrapText="1"/>
    </xf>
    <xf numFmtId="0" fontId="32" fillId="0" borderId="58" xfId="0" applyFont="1" applyBorder="1" applyAlignment="1">
      <alignment horizontal="centerContinuous" vertical="center" wrapText="1"/>
    </xf>
    <xf numFmtId="0" fontId="32" fillId="0" borderId="59" xfId="0" applyFont="1" applyBorder="1" applyAlignment="1">
      <alignment horizontal="centerContinuous" vertical="center" wrapText="1"/>
    </xf>
    <xf numFmtId="0" fontId="32" fillId="0" borderId="45" xfId="0" applyFont="1" applyBorder="1" applyAlignment="1">
      <alignment horizontal="centerContinuous" vertical="center" wrapText="1"/>
    </xf>
    <xf numFmtId="0" fontId="81" fillId="0" borderId="6" xfId="0" applyFont="1" applyBorder="1" applyAlignment="1">
      <alignment horizontal="centerContinuous" vertical="center"/>
    </xf>
    <xf numFmtId="0" fontId="82" fillId="0" borderId="6" xfId="0" applyFont="1" applyBorder="1" applyAlignment="1">
      <alignment horizontal="centerContinuous" vertical="center"/>
    </xf>
    <xf numFmtId="0" fontId="81" fillId="0" borderId="6" xfId="0" applyFont="1" applyBorder="1" applyAlignment="1">
      <alignment horizontal="centerContinuous" vertical="center" wrapText="1"/>
    </xf>
    <xf numFmtId="164" fontId="83" fillId="0" borderId="6" xfId="9" applyNumberFormat="1" applyFont="1" applyFill="1" applyBorder="1" applyAlignment="1">
      <alignment vertical="center"/>
    </xf>
    <xf numFmtId="165" fontId="84" fillId="0" borderId="6" xfId="1" applyNumberFormat="1" applyFont="1" applyFill="1" applyBorder="1" applyAlignment="1">
      <alignment horizontal="center" vertical="center"/>
    </xf>
    <xf numFmtId="164" fontId="83" fillId="3" borderId="6" xfId="9" applyNumberFormat="1" applyFont="1" applyFill="1" applyBorder="1" applyAlignment="1">
      <alignment vertical="center"/>
    </xf>
    <xf numFmtId="165" fontId="85" fillId="0" borderId="6" xfId="1" applyNumberFormat="1" applyFont="1" applyFill="1" applyBorder="1" applyAlignment="1">
      <alignment horizontal="center" vertical="center" wrapText="1"/>
    </xf>
    <xf numFmtId="0" fontId="86" fillId="0" borderId="0" xfId="4" applyFont="1" applyAlignment="1">
      <alignment vertical="center"/>
    </xf>
  </cellXfs>
  <cellStyles count="10">
    <cellStyle name="Comma 2" xfId="9" xr:uid="{FB7183DC-4463-48B0-9C91-86DCF87E4675}"/>
    <cellStyle name="Normal" xfId="0" builtinId="0"/>
    <cellStyle name="Normal 2" xfId="4" xr:uid="{2B8E5AA7-DE03-4AAE-854A-94AF4B5D63E5}"/>
    <cellStyle name="Normal 3 2" xfId="7" xr:uid="{AF4108D8-769D-4021-A46D-715659115CDC}"/>
    <cellStyle name="Normal 3 2 2" xfId="3" xr:uid="{EC90D73E-CE22-4268-822F-B97035A442CA}"/>
    <cellStyle name="Normal 5" xfId="8" xr:uid="{F4268D04-C99D-4C81-9831-3BDAE1850974}"/>
    <cellStyle name="Normal_annex 2" xfId="2" xr:uid="{D73D6C2E-D41E-4668-9C73-CC2FD249CDD8}"/>
    <cellStyle name="Normal_Expenditure 94-00" xfId="5" xr:uid="{6C566322-E3E6-46B2-A9AB-9EA29330A6CA}"/>
    <cellStyle name="Normal_Report Revenue Al Ministry update - 2005xls" xfId="6" xr:uid="{D2DC9730-C3DD-4047-9B68-6AB8D3D6DC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BE60B6-6846-4880-995A-4199356A4568}"/>
            </a:ext>
          </a:extLst>
        </xdr:cNvPr>
        <xdr:cNvSpPr txBox="1"/>
      </xdr:nvSpPr>
      <xdr:spPr>
        <a:xfrm>
          <a:off x="95249" y="52917"/>
          <a:ext cx="2263774" cy="851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13</xdr:col>
      <xdr:colOff>0</xdr:colOff>
      <xdr:row>0</xdr:row>
      <xdr:rowOff>13334</xdr:rowOff>
    </xdr:from>
    <xdr:to>
      <xdr:col>16</xdr:col>
      <xdr:colOff>4233</xdr:colOff>
      <xdr:row>5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B82E70-3B65-42D8-91F9-BD282CD8C50A}"/>
            </a:ext>
          </a:extLst>
        </xdr:cNvPr>
        <xdr:cNvSpPr txBox="1"/>
      </xdr:nvSpPr>
      <xdr:spPr>
        <a:xfrm>
          <a:off x="12639675" y="13334"/>
          <a:ext cx="2248958" cy="105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179917</xdr:colOff>
      <xdr:row>331</xdr:row>
      <xdr:rowOff>87854</xdr:rowOff>
    </xdr:from>
    <xdr:to>
      <xdr:col>4</xdr:col>
      <xdr:colOff>54399</xdr:colOff>
      <xdr:row>339</xdr:row>
      <xdr:rowOff>116342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0B30C1-070D-44DA-87E1-2FDB8916280C}"/>
            </a:ext>
          </a:extLst>
        </xdr:cNvPr>
        <xdr:cNvSpPr/>
      </xdr:nvSpPr>
      <xdr:spPr>
        <a:xfrm>
          <a:off x="519642" y="83590354"/>
          <a:ext cx="4443307" cy="13492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4</xdr:col>
      <xdr:colOff>762001</xdr:colOff>
      <xdr:row>329</xdr:row>
      <xdr:rowOff>110691</xdr:rowOff>
    </xdr:from>
    <xdr:to>
      <xdr:col>9</xdr:col>
      <xdr:colOff>371901</xdr:colOff>
      <xdr:row>338</xdr:row>
      <xdr:rowOff>114898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9B54D68-5C27-41D7-BFE3-BF99419318A2}"/>
            </a:ext>
          </a:extLst>
        </xdr:cNvPr>
        <xdr:cNvSpPr/>
      </xdr:nvSpPr>
      <xdr:spPr>
        <a:xfrm>
          <a:off x="5670551" y="83282991"/>
          <a:ext cx="4039025" cy="14901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10</xdr:col>
      <xdr:colOff>296335</xdr:colOff>
      <xdr:row>329</xdr:row>
      <xdr:rowOff>74084</xdr:rowOff>
    </xdr:from>
    <xdr:to>
      <xdr:col>15</xdr:col>
      <xdr:colOff>381894</xdr:colOff>
      <xdr:row>337</xdr:row>
      <xdr:rowOff>128618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AA7D6F-2238-47D7-AB7D-5BDAEA754FBB}"/>
            </a:ext>
          </a:extLst>
        </xdr:cNvPr>
        <xdr:cNvSpPr/>
      </xdr:nvSpPr>
      <xdr:spPr>
        <a:xfrm>
          <a:off x="10691285" y="83246384"/>
          <a:ext cx="4016209" cy="13753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89CFC6-EBB4-4604-A7ED-511BFF8B6EBA}"/>
            </a:ext>
          </a:extLst>
        </xdr:cNvPr>
        <xdr:cNvSpPr txBox="1"/>
      </xdr:nvSpPr>
      <xdr:spPr>
        <a:xfrm>
          <a:off x="95249" y="52917"/>
          <a:ext cx="2263774" cy="851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19</xdr:col>
      <xdr:colOff>93133</xdr:colOff>
      <xdr:row>0</xdr:row>
      <xdr:rowOff>0</xdr:rowOff>
    </xdr:from>
    <xdr:to>
      <xdr:col>19</xdr:col>
      <xdr:colOff>1938866</xdr:colOff>
      <xdr:row>6</xdr:row>
      <xdr:rowOff>11206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3E7454-46EC-477E-B6C2-C194DA967266}"/>
            </a:ext>
          </a:extLst>
        </xdr:cNvPr>
        <xdr:cNvSpPr txBox="1"/>
      </xdr:nvSpPr>
      <xdr:spPr>
        <a:xfrm>
          <a:off x="14015508" y="0"/>
          <a:ext cx="1845733" cy="1268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156210</xdr:colOff>
      <xdr:row>463</xdr:row>
      <xdr:rowOff>87853</xdr:rowOff>
    </xdr:from>
    <xdr:to>
      <xdr:col>5</xdr:col>
      <xdr:colOff>276225</xdr:colOff>
      <xdr:row>471</xdr:row>
      <xdr:rowOff>90941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5433445-8343-4205-BF2F-45A55B0AA4BE}"/>
            </a:ext>
          </a:extLst>
        </xdr:cNvPr>
        <xdr:cNvSpPr/>
      </xdr:nvSpPr>
      <xdr:spPr>
        <a:xfrm>
          <a:off x="156210" y="22382703"/>
          <a:ext cx="4450715" cy="13238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6</xdr:col>
      <xdr:colOff>406400</xdr:colOff>
      <xdr:row>462</xdr:row>
      <xdr:rowOff>90582</xdr:rowOff>
    </xdr:from>
    <xdr:to>
      <xdr:col>12</xdr:col>
      <xdr:colOff>53976</xdr:colOff>
      <xdr:row>471</xdr:row>
      <xdr:rowOff>66214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B06E54-6E76-4704-B1F7-DAE674FE5100}"/>
            </a:ext>
          </a:extLst>
        </xdr:cNvPr>
        <xdr:cNvSpPr/>
      </xdr:nvSpPr>
      <xdr:spPr>
        <a:xfrm>
          <a:off x="5505450" y="22220332"/>
          <a:ext cx="4108451" cy="14615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14</xdr:col>
      <xdr:colOff>25400</xdr:colOff>
      <xdr:row>462</xdr:row>
      <xdr:rowOff>38100</xdr:rowOff>
    </xdr:from>
    <xdr:to>
      <xdr:col>19</xdr:col>
      <xdr:colOff>1438275</xdr:colOff>
      <xdr:row>470</xdr:row>
      <xdr:rowOff>67234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22A7C9F-55F5-4A62-989A-0DBBB7362776}"/>
            </a:ext>
          </a:extLst>
        </xdr:cNvPr>
        <xdr:cNvSpPr/>
      </xdr:nvSpPr>
      <xdr:spPr>
        <a:xfrm>
          <a:off x="10972800" y="22167850"/>
          <a:ext cx="4387850" cy="13499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PB\2023\4.1-GDP_BSP_PB2023%20_260822_Sept-2022Final.xlsx" TargetMode="External"/><Relationship Id="rId1" Type="http://schemas.openxmlformats.org/officeDocument/2006/relationships/externalLinkPath" Target="/Project/MEF-BPO/documents/Master%20Data%20Setup/PB/2023/4.1-GDP_BSP_PB2023%20_260822_Sept-2022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SP1"/>
      <sheetName val="BSP2"/>
      <sheetName val="BSP3"/>
      <sheetName val="BSP4"/>
      <sheetName val="BSP4B"/>
      <sheetName val="PB1-Rev"/>
      <sheetName val="PB2-Exp"/>
      <sheetName val="PB3-Payroll"/>
      <sheetName val="Prog"/>
      <sheetName val="PB-64"/>
      <sheetName val="PB5-PI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1">
          <cell r="E21">
            <v>66.3</v>
          </cell>
          <cell r="W21">
            <v>0</v>
          </cell>
        </row>
        <row r="22">
          <cell r="E22">
            <v>0</v>
          </cell>
          <cell r="W22">
            <v>0</v>
          </cell>
        </row>
        <row r="23">
          <cell r="E23">
            <v>0</v>
          </cell>
          <cell r="W23">
            <v>0</v>
          </cell>
        </row>
        <row r="24">
          <cell r="E24">
            <v>35.199999999999996</v>
          </cell>
          <cell r="W24">
            <v>0</v>
          </cell>
        </row>
        <row r="25">
          <cell r="E25">
            <v>52.5</v>
          </cell>
          <cell r="W25">
            <v>0</v>
          </cell>
        </row>
        <row r="26">
          <cell r="E26">
            <v>0</v>
          </cell>
          <cell r="W26">
            <v>0</v>
          </cell>
        </row>
        <row r="28">
          <cell r="E28">
            <v>137.80000000000001</v>
          </cell>
          <cell r="W28">
            <v>0</v>
          </cell>
        </row>
        <row r="29">
          <cell r="E29">
            <v>0</v>
          </cell>
          <cell r="W29">
            <v>0</v>
          </cell>
        </row>
        <row r="30">
          <cell r="E30">
            <v>0</v>
          </cell>
          <cell r="W30">
            <v>0</v>
          </cell>
        </row>
        <row r="31">
          <cell r="E31">
            <v>0</v>
          </cell>
          <cell r="W31">
            <v>0</v>
          </cell>
        </row>
        <row r="33">
          <cell r="E33">
            <v>0</v>
          </cell>
          <cell r="W33">
            <v>0</v>
          </cell>
        </row>
        <row r="34">
          <cell r="E34">
            <v>0</v>
          </cell>
          <cell r="W34">
            <v>0</v>
          </cell>
        </row>
        <row r="35">
          <cell r="E35">
            <v>0</v>
          </cell>
          <cell r="W35">
            <v>0</v>
          </cell>
        </row>
        <row r="36">
          <cell r="E36">
            <v>0</v>
          </cell>
          <cell r="W36">
            <v>0</v>
          </cell>
        </row>
        <row r="37">
          <cell r="E37">
            <v>0</v>
          </cell>
          <cell r="W37">
            <v>0</v>
          </cell>
        </row>
        <row r="38">
          <cell r="E38">
            <v>0</v>
          </cell>
          <cell r="W38">
            <v>0</v>
          </cell>
        </row>
        <row r="39">
          <cell r="E39">
            <v>74.3</v>
          </cell>
          <cell r="W39">
            <v>0</v>
          </cell>
        </row>
        <row r="40">
          <cell r="E40">
            <v>0</v>
          </cell>
          <cell r="W40">
            <v>0</v>
          </cell>
        </row>
        <row r="42">
          <cell r="E42">
            <v>0</v>
          </cell>
          <cell r="W42">
            <v>0</v>
          </cell>
        </row>
        <row r="43">
          <cell r="E43">
            <v>0</v>
          </cell>
          <cell r="W43">
            <v>0</v>
          </cell>
        </row>
        <row r="44">
          <cell r="E44">
            <v>0</v>
          </cell>
          <cell r="W44">
            <v>0</v>
          </cell>
        </row>
        <row r="45">
          <cell r="E45">
            <v>0</v>
          </cell>
          <cell r="W45">
            <v>0</v>
          </cell>
        </row>
        <row r="47">
          <cell r="E47">
            <v>12</v>
          </cell>
          <cell r="W47">
            <v>0</v>
          </cell>
        </row>
        <row r="48">
          <cell r="E48">
            <v>21.2</v>
          </cell>
          <cell r="W48">
            <v>21.2</v>
          </cell>
        </row>
        <row r="49">
          <cell r="E49">
            <v>8</v>
          </cell>
          <cell r="W49">
            <v>0</v>
          </cell>
        </row>
        <row r="50">
          <cell r="E50">
            <v>0</v>
          </cell>
          <cell r="W50">
            <v>0</v>
          </cell>
        </row>
        <row r="51">
          <cell r="E51">
            <v>31</v>
          </cell>
          <cell r="W51">
            <v>31</v>
          </cell>
        </row>
        <row r="52">
          <cell r="E52">
            <v>8</v>
          </cell>
          <cell r="W52">
            <v>0</v>
          </cell>
        </row>
        <row r="54">
          <cell r="E54">
            <v>0</v>
          </cell>
          <cell r="W54">
            <v>0</v>
          </cell>
        </row>
        <row r="55">
          <cell r="E55">
            <v>0</v>
          </cell>
          <cell r="W55">
            <v>0</v>
          </cell>
        </row>
        <row r="56">
          <cell r="E56">
            <v>0</v>
          </cell>
          <cell r="W56">
            <v>0</v>
          </cell>
        </row>
        <row r="58">
          <cell r="E58">
            <v>0</v>
          </cell>
          <cell r="W58">
            <v>0</v>
          </cell>
        </row>
        <row r="59">
          <cell r="E59">
            <v>0</v>
          </cell>
          <cell r="W59">
            <v>0</v>
          </cell>
        </row>
        <row r="60">
          <cell r="E60">
            <v>0</v>
          </cell>
          <cell r="W60">
            <v>0</v>
          </cell>
        </row>
        <row r="62">
          <cell r="E62">
            <v>0</v>
          </cell>
          <cell r="W62">
            <v>0</v>
          </cell>
        </row>
        <row r="65">
          <cell r="E65">
            <v>0</v>
          </cell>
          <cell r="W65">
            <v>0</v>
          </cell>
        </row>
        <row r="66">
          <cell r="E66">
            <v>0</v>
          </cell>
          <cell r="W66">
            <v>0</v>
          </cell>
        </row>
        <row r="67">
          <cell r="E67">
            <v>0</v>
          </cell>
          <cell r="W67">
            <v>0</v>
          </cell>
        </row>
        <row r="69">
          <cell r="E69">
            <v>4</v>
          </cell>
          <cell r="W69">
            <v>0</v>
          </cell>
        </row>
        <row r="70">
          <cell r="E70">
            <v>0</v>
          </cell>
          <cell r="W70">
            <v>0</v>
          </cell>
        </row>
        <row r="72">
          <cell r="E72">
            <v>0</v>
          </cell>
          <cell r="W72">
            <v>0</v>
          </cell>
        </row>
        <row r="73">
          <cell r="E73">
            <v>0</v>
          </cell>
          <cell r="W73">
            <v>0</v>
          </cell>
        </row>
        <row r="74">
          <cell r="E74">
            <v>0</v>
          </cell>
          <cell r="W74">
            <v>0</v>
          </cell>
        </row>
        <row r="76">
          <cell r="E76">
            <v>0</v>
          </cell>
          <cell r="W76">
            <v>0</v>
          </cell>
        </row>
        <row r="77">
          <cell r="E77">
            <v>0</v>
          </cell>
          <cell r="W77">
            <v>0</v>
          </cell>
        </row>
        <row r="79">
          <cell r="E79">
            <v>0</v>
          </cell>
          <cell r="W79">
            <v>0</v>
          </cell>
        </row>
        <row r="80">
          <cell r="E80">
            <v>0</v>
          </cell>
          <cell r="W80">
            <v>0</v>
          </cell>
        </row>
        <row r="81">
          <cell r="E81">
            <v>0</v>
          </cell>
          <cell r="W81">
            <v>0</v>
          </cell>
        </row>
        <row r="82">
          <cell r="E82">
            <v>0</v>
          </cell>
          <cell r="W82">
            <v>0</v>
          </cell>
        </row>
        <row r="83">
          <cell r="E83">
            <v>0</v>
          </cell>
          <cell r="W83">
            <v>0</v>
          </cell>
        </row>
        <row r="84">
          <cell r="E84">
            <v>86.7</v>
          </cell>
          <cell r="W84">
            <v>0</v>
          </cell>
        </row>
        <row r="85">
          <cell r="E85">
            <v>62.1</v>
          </cell>
          <cell r="W85">
            <v>0</v>
          </cell>
        </row>
        <row r="86">
          <cell r="E86">
            <v>0</v>
          </cell>
          <cell r="W86">
            <v>0</v>
          </cell>
        </row>
        <row r="88">
          <cell r="E88">
            <v>0</v>
          </cell>
          <cell r="W88">
            <v>0</v>
          </cell>
        </row>
        <row r="89">
          <cell r="E89">
            <v>0</v>
          </cell>
          <cell r="W89">
            <v>0</v>
          </cell>
        </row>
        <row r="90">
          <cell r="E90">
            <v>0</v>
          </cell>
          <cell r="W90">
            <v>0</v>
          </cell>
        </row>
        <row r="91">
          <cell r="E91">
            <v>0</v>
          </cell>
          <cell r="W91">
            <v>0</v>
          </cell>
        </row>
        <row r="93">
          <cell r="E93">
            <v>0</v>
          </cell>
          <cell r="W93">
            <v>0</v>
          </cell>
        </row>
        <row r="94">
          <cell r="E94">
            <v>0</v>
          </cell>
          <cell r="W94">
            <v>0</v>
          </cell>
        </row>
        <row r="95">
          <cell r="E95">
            <v>0</v>
          </cell>
          <cell r="W95">
            <v>0</v>
          </cell>
        </row>
        <row r="96">
          <cell r="E96">
            <v>0</v>
          </cell>
          <cell r="W96">
            <v>0</v>
          </cell>
        </row>
        <row r="97">
          <cell r="E97">
            <v>0</v>
          </cell>
          <cell r="W97">
            <v>0</v>
          </cell>
        </row>
        <row r="99">
          <cell r="E99">
            <v>0</v>
          </cell>
          <cell r="W99">
            <v>0</v>
          </cell>
        </row>
        <row r="100">
          <cell r="E100">
            <v>0</v>
          </cell>
          <cell r="W100">
            <v>0</v>
          </cell>
        </row>
        <row r="102">
          <cell r="E102">
            <v>0</v>
          </cell>
          <cell r="W102">
            <v>0</v>
          </cell>
        </row>
        <row r="103">
          <cell r="E103">
            <v>0</v>
          </cell>
          <cell r="W103">
            <v>0</v>
          </cell>
        </row>
        <row r="104">
          <cell r="E104">
            <v>0</v>
          </cell>
          <cell r="W104">
            <v>0</v>
          </cell>
        </row>
        <row r="105">
          <cell r="E105">
            <v>0</v>
          </cell>
          <cell r="W105">
            <v>0</v>
          </cell>
        </row>
        <row r="106">
          <cell r="E106">
            <v>0</v>
          </cell>
          <cell r="W106">
            <v>0</v>
          </cell>
        </row>
        <row r="108">
          <cell r="E108">
            <v>0</v>
          </cell>
          <cell r="W108">
            <v>0</v>
          </cell>
        </row>
        <row r="109">
          <cell r="E109">
            <v>12.9</v>
          </cell>
          <cell r="W109">
            <v>0</v>
          </cell>
        </row>
        <row r="110">
          <cell r="E110">
            <v>284.3</v>
          </cell>
          <cell r="W110">
            <v>0</v>
          </cell>
        </row>
        <row r="111">
          <cell r="E111">
            <v>0</v>
          </cell>
          <cell r="W111">
            <v>0</v>
          </cell>
        </row>
        <row r="112">
          <cell r="E112">
            <v>0</v>
          </cell>
          <cell r="W112">
            <v>0</v>
          </cell>
        </row>
        <row r="113">
          <cell r="E113">
            <v>0</v>
          </cell>
          <cell r="W113">
            <v>0</v>
          </cell>
        </row>
        <row r="114">
          <cell r="E114">
            <v>0</v>
          </cell>
          <cell r="W114">
            <v>0</v>
          </cell>
        </row>
        <row r="115">
          <cell r="E115">
            <v>0</v>
          </cell>
          <cell r="W115">
            <v>0</v>
          </cell>
        </row>
        <row r="117">
          <cell r="E117">
            <v>5.4</v>
          </cell>
          <cell r="W117">
            <v>0</v>
          </cell>
        </row>
        <row r="118">
          <cell r="E118">
            <v>0</v>
          </cell>
          <cell r="W118">
            <v>0</v>
          </cell>
        </row>
        <row r="119">
          <cell r="E119">
            <v>0</v>
          </cell>
          <cell r="W119">
            <v>0</v>
          </cell>
        </row>
        <row r="120">
          <cell r="E120">
            <v>0</v>
          </cell>
          <cell r="W120">
            <v>0</v>
          </cell>
        </row>
        <row r="122">
          <cell r="E122">
            <v>35</v>
          </cell>
          <cell r="W122">
            <v>0</v>
          </cell>
        </row>
        <row r="123">
          <cell r="E123">
            <v>36.499999999999993</v>
          </cell>
          <cell r="W123">
            <v>0</v>
          </cell>
        </row>
        <row r="124">
          <cell r="E124">
            <v>241.40000000000003</v>
          </cell>
          <cell r="W124">
            <v>0</v>
          </cell>
        </row>
        <row r="125">
          <cell r="E125">
            <v>0</v>
          </cell>
          <cell r="W125">
            <v>0</v>
          </cell>
        </row>
        <row r="127">
          <cell r="E127">
            <v>223.8</v>
          </cell>
          <cell r="W127">
            <v>0</v>
          </cell>
        </row>
        <row r="128">
          <cell r="E128">
            <v>47.400000000000006</v>
          </cell>
          <cell r="W128">
            <v>0</v>
          </cell>
        </row>
        <row r="129">
          <cell r="E129">
            <v>352.29999999999995</v>
          </cell>
          <cell r="W129">
            <v>0</v>
          </cell>
        </row>
        <row r="130">
          <cell r="E130">
            <v>0.8</v>
          </cell>
          <cell r="W130">
            <v>0</v>
          </cell>
        </row>
        <row r="132">
          <cell r="E132">
            <v>10</v>
          </cell>
          <cell r="W132">
            <v>0</v>
          </cell>
        </row>
        <row r="133">
          <cell r="E133">
            <v>0</v>
          </cell>
          <cell r="W133">
            <v>0</v>
          </cell>
        </row>
        <row r="134">
          <cell r="E134">
            <v>0</v>
          </cell>
          <cell r="W134">
            <v>0</v>
          </cell>
        </row>
        <row r="136">
          <cell r="E136">
            <v>0</v>
          </cell>
          <cell r="W136">
            <v>0</v>
          </cell>
        </row>
        <row r="138">
          <cell r="E138">
            <v>0</v>
          </cell>
          <cell r="W138">
            <v>0</v>
          </cell>
        </row>
        <row r="139">
          <cell r="E139">
            <v>0</v>
          </cell>
          <cell r="W139">
            <v>0</v>
          </cell>
        </row>
        <row r="140">
          <cell r="E140">
            <v>0</v>
          </cell>
          <cell r="W140">
            <v>0</v>
          </cell>
        </row>
        <row r="141">
          <cell r="E141">
            <v>0</v>
          </cell>
          <cell r="W141">
            <v>0</v>
          </cell>
        </row>
        <row r="142">
          <cell r="E142">
            <v>0</v>
          </cell>
          <cell r="W142">
            <v>0</v>
          </cell>
        </row>
        <row r="143">
          <cell r="E143">
            <v>0</v>
          </cell>
          <cell r="W143">
            <v>0</v>
          </cell>
        </row>
        <row r="144">
          <cell r="E144">
            <v>0</v>
          </cell>
          <cell r="W144">
            <v>0</v>
          </cell>
        </row>
        <row r="145">
          <cell r="E145">
            <v>0</v>
          </cell>
          <cell r="W145">
            <v>0</v>
          </cell>
        </row>
        <row r="147">
          <cell r="E147">
            <v>0</v>
          </cell>
          <cell r="W147">
            <v>0</v>
          </cell>
        </row>
        <row r="150">
          <cell r="E150">
            <v>0</v>
          </cell>
          <cell r="W150">
            <v>0</v>
          </cell>
        </row>
        <row r="151">
          <cell r="E151">
            <v>0</v>
          </cell>
          <cell r="W151">
            <v>0</v>
          </cell>
        </row>
        <row r="152">
          <cell r="E152">
            <v>0</v>
          </cell>
          <cell r="W152">
            <v>0</v>
          </cell>
        </row>
        <row r="153">
          <cell r="E153">
            <v>0</v>
          </cell>
          <cell r="W153">
            <v>0</v>
          </cell>
        </row>
        <row r="154">
          <cell r="E154">
            <v>0</v>
          </cell>
          <cell r="W154">
            <v>0</v>
          </cell>
        </row>
        <row r="155">
          <cell r="E155">
            <v>0</v>
          </cell>
          <cell r="W155">
            <v>0</v>
          </cell>
        </row>
        <row r="156">
          <cell r="E156">
            <v>0</v>
          </cell>
          <cell r="W156">
            <v>0</v>
          </cell>
        </row>
        <row r="157">
          <cell r="E157">
            <v>0</v>
          </cell>
          <cell r="W157">
            <v>0</v>
          </cell>
        </row>
        <row r="159">
          <cell r="E159">
            <v>602.6</v>
          </cell>
          <cell r="W159">
            <v>0</v>
          </cell>
        </row>
        <row r="160">
          <cell r="E160">
            <v>481</v>
          </cell>
          <cell r="W160">
            <v>0</v>
          </cell>
        </row>
        <row r="161">
          <cell r="E161">
            <v>0</v>
          </cell>
          <cell r="W161">
            <v>0</v>
          </cell>
        </row>
        <row r="162">
          <cell r="E162">
            <v>0</v>
          </cell>
          <cell r="W162">
            <v>0</v>
          </cell>
        </row>
        <row r="163">
          <cell r="E163">
            <v>0</v>
          </cell>
          <cell r="W163">
            <v>0</v>
          </cell>
        </row>
        <row r="164">
          <cell r="E164">
            <v>0</v>
          </cell>
          <cell r="W164">
            <v>0</v>
          </cell>
        </row>
        <row r="165">
          <cell r="E165">
            <v>147.6</v>
          </cell>
          <cell r="W165">
            <v>0</v>
          </cell>
        </row>
        <row r="166">
          <cell r="E166">
            <v>0</v>
          </cell>
          <cell r="W166">
            <v>0</v>
          </cell>
        </row>
        <row r="168">
          <cell r="E168">
            <v>0</v>
          </cell>
          <cell r="W168">
            <v>0</v>
          </cell>
        </row>
        <row r="169">
          <cell r="E169">
            <v>0</v>
          </cell>
          <cell r="W169">
            <v>0</v>
          </cell>
        </row>
        <row r="170">
          <cell r="E170">
            <v>0</v>
          </cell>
          <cell r="W170">
            <v>0</v>
          </cell>
        </row>
        <row r="171">
          <cell r="E171">
            <v>0</v>
          </cell>
          <cell r="W171">
            <v>0</v>
          </cell>
        </row>
        <row r="172">
          <cell r="E172">
            <v>0</v>
          </cell>
          <cell r="W172">
            <v>0</v>
          </cell>
        </row>
        <row r="174">
          <cell r="E174">
            <v>17.100000000000001</v>
          </cell>
          <cell r="W174">
            <v>0</v>
          </cell>
        </row>
        <row r="175">
          <cell r="E175">
            <v>0</v>
          </cell>
          <cell r="W175">
            <v>0</v>
          </cell>
        </row>
        <row r="176">
          <cell r="E176">
            <v>0</v>
          </cell>
          <cell r="W176">
            <v>0</v>
          </cell>
        </row>
        <row r="178">
          <cell r="E178">
            <v>0</v>
          </cell>
          <cell r="W178">
            <v>0</v>
          </cell>
        </row>
        <row r="179">
          <cell r="E179">
            <v>2.4</v>
          </cell>
          <cell r="W179">
            <v>0</v>
          </cell>
        </row>
        <row r="180">
          <cell r="E180">
            <v>0</v>
          </cell>
          <cell r="W180">
            <v>0</v>
          </cell>
        </row>
        <row r="181">
          <cell r="E181">
            <v>0</v>
          </cell>
          <cell r="W181">
            <v>0</v>
          </cell>
        </row>
        <row r="182">
          <cell r="E182">
            <v>0</v>
          </cell>
          <cell r="W182">
            <v>0</v>
          </cell>
        </row>
        <row r="183">
          <cell r="E183">
            <v>0</v>
          </cell>
          <cell r="W183">
            <v>0</v>
          </cell>
        </row>
        <row r="184">
          <cell r="E184">
            <v>0</v>
          </cell>
          <cell r="W184">
            <v>0</v>
          </cell>
        </row>
        <row r="186">
          <cell r="E186">
            <v>3.9</v>
          </cell>
          <cell r="W186">
            <v>0</v>
          </cell>
        </row>
        <row r="187">
          <cell r="E187">
            <v>1.8</v>
          </cell>
          <cell r="W187">
            <v>0</v>
          </cell>
        </row>
        <row r="188">
          <cell r="E188">
            <v>0</v>
          </cell>
          <cell r="W188">
            <v>0</v>
          </cell>
        </row>
        <row r="189">
          <cell r="E189">
            <v>0</v>
          </cell>
          <cell r="W189">
            <v>0</v>
          </cell>
        </row>
        <row r="191">
          <cell r="E191">
            <v>0</v>
          </cell>
          <cell r="W191">
            <v>0</v>
          </cell>
        </row>
        <row r="192">
          <cell r="E192">
            <v>0</v>
          </cell>
          <cell r="W192">
            <v>0</v>
          </cell>
        </row>
        <row r="193">
          <cell r="E193">
            <v>0</v>
          </cell>
          <cell r="W193">
            <v>0</v>
          </cell>
        </row>
        <row r="194">
          <cell r="E194">
            <v>0</v>
          </cell>
          <cell r="W194">
            <v>0</v>
          </cell>
        </row>
        <row r="195">
          <cell r="E195">
            <v>0</v>
          </cell>
          <cell r="W195">
            <v>0</v>
          </cell>
        </row>
        <row r="196">
          <cell r="E196">
            <v>0</v>
          </cell>
          <cell r="W196">
            <v>0</v>
          </cell>
        </row>
        <row r="197">
          <cell r="E197">
            <v>0</v>
          </cell>
          <cell r="W197">
            <v>0</v>
          </cell>
        </row>
        <row r="198">
          <cell r="E198">
            <v>0</v>
          </cell>
          <cell r="W198">
            <v>0</v>
          </cell>
        </row>
        <row r="200">
          <cell r="E200">
            <v>5.4</v>
          </cell>
          <cell r="W200">
            <v>0</v>
          </cell>
        </row>
        <row r="204">
          <cell r="E204">
            <v>0</v>
          </cell>
          <cell r="W204">
            <v>0</v>
          </cell>
        </row>
        <row r="205">
          <cell r="E205">
            <v>0</v>
          </cell>
          <cell r="W205">
            <v>0</v>
          </cell>
        </row>
        <row r="206">
          <cell r="E206">
            <v>0</v>
          </cell>
          <cell r="W206">
            <v>0</v>
          </cell>
        </row>
        <row r="207">
          <cell r="E207">
            <v>0</v>
          </cell>
          <cell r="W207">
            <v>0</v>
          </cell>
        </row>
        <row r="208">
          <cell r="E208">
            <v>0</v>
          </cell>
          <cell r="W208">
            <v>0</v>
          </cell>
        </row>
        <row r="210">
          <cell r="E210">
            <v>0</v>
          </cell>
          <cell r="W210">
            <v>0</v>
          </cell>
        </row>
        <row r="211">
          <cell r="E211">
            <v>0</v>
          </cell>
          <cell r="W211">
            <v>0</v>
          </cell>
        </row>
        <row r="213">
          <cell r="E213">
            <v>0</v>
          </cell>
          <cell r="W213">
            <v>0</v>
          </cell>
        </row>
        <row r="214">
          <cell r="E214">
            <v>0</v>
          </cell>
          <cell r="W214">
            <v>0</v>
          </cell>
        </row>
        <row r="218">
          <cell r="E218">
            <v>0</v>
          </cell>
          <cell r="W218">
            <v>0</v>
          </cell>
        </row>
        <row r="219">
          <cell r="E219">
            <v>0</v>
          </cell>
          <cell r="W219">
            <v>0</v>
          </cell>
        </row>
        <row r="220">
          <cell r="E220">
            <v>0</v>
          </cell>
          <cell r="W220">
            <v>0</v>
          </cell>
        </row>
        <row r="222">
          <cell r="E222">
            <v>0</v>
          </cell>
          <cell r="W222">
            <v>0</v>
          </cell>
        </row>
        <row r="223">
          <cell r="E223">
            <v>0</v>
          </cell>
          <cell r="W223">
            <v>0</v>
          </cell>
        </row>
        <row r="224">
          <cell r="E224">
            <v>0</v>
          </cell>
          <cell r="W224">
            <v>0</v>
          </cell>
        </row>
        <row r="225">
          <cell r="E225">
            <v>0</v>
          </cell>
          <cell r="W225">
            <v>0</v>
          </cell>
        </row>
        <row r="226">
          <cell r="E226">
            <v>0</v>
          </cell>
          <cell r="W226">
            <v>0</v>
          </cell>
        </row>
        <row r="227">
          <cell r="E227">
            <v>0</v>
          </cell>
          <cell r="W227">
            <v>0</v>
          </cell>
        </row>
        <row r="228">
          <cell r="E228">
            <v>0</v>
          </cell>
          <cell r="W228">
            <v>0</v>
          </cell>
        </row>
        <row r="229">
          <cell r="E229">
            <v>0</v>
          </cell>
          <cell r="W229">
            <v>0</v>
          </cell>
        </row>
        <row r="231">
          <cell r="E231">
            <v>0</v>
          </cell>
          <cell r="W231">
            <v>0</v>
          </cell>
        </row>
        <row r="232">
          <cell r="E232">
            <v>0</v>
          </cell>
          <cell r="W232">
            <v>0</v>
          </cell>
        </row>
        <row r="233">
          <cell r="E233">
            <v>0</v>
          </cell>
          <cell r="W233">
            <v>0</v>
          </cell>
        </row>
        <row r="234">
          <cell r="E234">
            <v>0</v>
          </cell>
          <cell r="W234">
            <v>0</v>
          </cell>
        </row>
        <row r="235">
          <cell r="E235">
            <v>0</v>
          </cell>
          <cell r="W235">
            <v>0</v>
          </cell>
        </row>
        <row r="236">
          <cell r="E236">
            <v>0</v>
          </cell>
          <cell r="W236">
            <v>0</v>
          </cell>
        </row>
        <row r="237">
          <cell r="E237">
            <v>0</v>
          </cell>
          <cell r="W237">
            <v>0</v>
          </cell>
        </row>
        <row r="238">
          <cell r="E238">
            <v>0</v>
          </cell>
          <cell r="W238">
            <v>0</v>
          </cell>
        </row>
        <row r="240">
          <cell r="E240">
            <v>0</v>
          </cell>
          <cell r="W240">
            <v>0</v>
          </cell>
        </row>
        <row r="242">
          <cell r="E242">
            <v>0</v>
          </cell>
          <cell r="W242">
            <v>0</v>
          </cell>
        </row>
        <row r="244">
          <cell r="E244">
            <v>0</v>
          </cell>
          <cell r="W244">
            <v>0</v>
          </cell>
        </row>
        <row r="245">
          <cell r="E245">
            <v>0</v>
          </cell>
          <cell r="W245">
            <v>0</v>
          </cell>
        </row>
        <row r="247">
          <cell r="E247">
            <v>0</v>
          </cell>
          <cell r="W247">
            <v>0</v>
          </cell>
        </row>
        <row r="250">
          <cell r="E250">
            <v>0</v>
          </cell>
          <cell r="W250">
            <v>0</v>
          </cell>
        </row>
        <row r="251">
          <cell r="E251">
            <v>0</v>
          </cell>
          <cell r="W251">
            <v>0</v>
          </cell>
        </row>
        <row r="252">
          <cell r="E252">
            <v>0</v>
          </cell>
          <cell r="W252">
            <v>0</v>
          </cell>
        </row>
        <row r="253">
          <cell r="E253">
            <v>0</v>
          </cell>
          <cell r="W253">
            <v>0</v>
          </cell>
        </row>
        <row r="254">
          <cell r="E254">
            <v>0</v>
          </cell>
          <cell r="W254">
            <v>0</v>
          </cell>
        </row>
        <row r="256">
          <cell r="E256">
            <v>0</v>
          </cell>
          <cell r="W256">
            <v>0</v>
          </cell>
        </row>
        <row r="257">
          <cell r="E257">
            <v>0</v>
          </cell>
          <cell r="W257">
            <v>0</v>
          </cell>
        </row>
        <row r="258">
          <cell r="E258">
            <v>0</v>
          </cell>
          <cell r="W258">
            <v>0</v>
          </cell>
        </row>
        <row r="259">
          <cell r="E259">
            <v>0</v>
          </cell>
          <cell r="W259">
            <v>0</v>
          </cell>
        </row>
        <row r="260">
          <cell r="E260">
            <v>0</v>
          </cell>
          <cell r="W260">
            <v>0</v>
          </cell>
        </row>
        <row r="261">
          <cell r="E261">
            <v>0</v>
          </cell>
          <cell r="W261">
            <v>0</v>
          </cell>
        </row>
        <row r="262">
          <cell r="E262">
            <v>0</v>
          </cell>
          <cell r="W262">
            <v>0</v>
          </cell>
        </row>
        <row r="263">
          <cell r="E263">
            <v>0</v>
          </cell>
          <cell r="W263">
            <v>0</v>
          </cell>
        </row>
        <row r="265">
          <cell r="E265">
            <v>0</v>
          </cell>
          <cell r="W265">
            <v>0</v>
          </cell>
        </row>
        <row r="266">
          <cell r="E266">
            <v>0</v>
          </cell>
          <cell r="W266">
            <v>0</v>
          </cell>
        </row>
        <row r="268">
          <cell r="E268">
            <v>0</v>
          </cell>
          <cell r="W268">
            <v>0</v>
          </cell>
        </row>
        <row r="269">
          <cell r="E269">
            <v>0</v>
          </cell>
          <cell r="W269">
            <v>0</v>
          </cell>
        </row>
        <row r="270">
          <cell r="E270">
            <v>0</v>
          </cell>
          <cell r="W270">
            <v>0</v>
          </cell>
        </row>
        <row r="271">
          <cell r="E271">
            <v>0</v>
          </cell>
          <cell r="W271">
            <v>0</v>
          </cell>
        </row>
        <row r="272">
          <cell r="E272">
            <v>0</v>
          </cell>
          <cell r="W272">
            <v>0</v>
          </cell>
        </row>
        <row r="274">
          <cell r="E274">
            <v>0</v>
          </cell>
          <cell r="W274">
            <v>0</v>
          </cell>
        </row>
        <row r="275">
          <cell r="E275">
            <v>0</v>
          </cell>
          <cell r="W275">
            <v>0</v>
          </cell>
        </row>
        <row r="277">
          <cell r="E277">
            <v>0</v>
          </cell>
          <cell r="W277">
            <v>0</v>
          </cell>
        </row>
        <row r="278">
          <cell r="E278">
            <v>0</v>
          </cell>
          <cell r="W278">
            <v>0</v>
          </cell>
        </row>
        <row r="279">
          <cell r="E279">
            <v>0</v>
          </cell>
          <cell r="W279">
            <v>0</v>
          </cell>
        </row>
        <row r="280">
          <cell r="E280">
            <v>0</v>
          </cell>
          <cell r="W280">
            <v>0</v>
          </cell>
        </row>
        <row r="281">
          <cell r="E281">
            <v>0</v>
          </cell>
          <cell r="W281">
            <v>0</v>
          </cell>
        </row>
        <row r="282">
          <cell r="E282">
            <v>0</v>
          </cell>
          <cell r="W282">
            <v>0</v>
          </cell>
        </row>
        <row r="284">
          <cell r="E284">
            <v>0</v>
          </cell>
          <cell r="W284">
            <v>0</v>
          </cell>
        </row>
        <row r="285">
          <cell r="E285">
            <v>0</v>
          </cell>
          <cell r="W285">
            <v>0</v>
          </cell>
        </row>
        <row r="287">
          <cell r="E287">
            <v>0</v>
          </cell>
          <cell r="W287">
            <v>0</v>
          </cell>
        </row>
        <row r="288">
          <cell r="E288">
            <v>0</v>
          </cell>
          <cell r="W288">
            <v>0</v>
          </cell>
        </row>
        <row r="294">
          <cell r="E294">
            <v>0</v>
          </cell>
          <cell r="W294">
            <v>0</v>
          </cell>
        </row>
        <row r="295">
          <cell r="E295">
            <v>0</v>
          </cell>
          <cell r="W295">
            <v>0</v>
          </cell>
        </row>
        <row r="296">
          <cell r="E296">
            <v>0</v>
          </cell>
          <cell r="W296">
            <v>0</v>
          </cell>
        </row>
        <row r="298">
          <cell r="E298">
            <v>0</v>
          </cell>
          <cell r="W298">
            <v>0</v>
          </cell>
        </row>
        <row r="300">
          <cell r="E300">
            <v>0</v>
          </cell>
          <cell r="W300">
            <v>0</v>
          </cell>
        </row>
        <row r="301">
          <cell r="E301">
            <v>0</v>
          </cell>
          <cell r="W301">
            <v>0</v>
          </cell>
        </row>
        <row r="302">
          <cell r="E302">
            <v>0</v>
          </cell>
          <cell r="W302">
            <v>0</v>
          </cell>
        </row>
        <row r="303">
          <cell r="E303">
            <v>0</v>
          </cell>
          <cell r="W303">
            <v>0</v>
          </cell>
        </row>
        <row r="305">
          <cell r="E305">
            <v>0</v>
          </cell>
          <cell r="W305">
            <v>0</v>
          </cell>
        </row>
        <row r="306">
          <cell r="E306">
            <v>0</v>
          </cell>
          <cell r="W306">
            <v>0</v>
          </cell>
        </row>
        <row r="307">
          <cell r="E307">
            <v>0</v>
          </cell>
          <cell r="W307">
            <v>0</v>
          </cell>
        </row>
        <row r="309">
          <cell r="E309">
            <v>0</v>
          </cell>
          <cell r="W309">
            <v>0</v>
          </cell>
        </row>
        <row r="311">
          <cell r="E311">
            <v>0</v>
          </cell>
          <cell r="W311">
            <v>0</v>
          </cell>
        </row>
        <row r="312">
          <cell r="E312">
            <v>0</v>
          </cell>
          <cell r="W312">
            <v>0</v>
          </cell>
        </row>
        <row r="313">
          <cell r="E313">
            <v>0</v>
          </cell>
          <cell r="W313">
            <v>0</v>
          </cell>
        </row>
        <row r="315">
          <cell r="E315">
            <v>0</v>
          </cell>
          <cell r="W315">
            <v>0</v>
          </cell>
        </row>
        <row r="316">
          <cell r="E316">
            <v>0</v>
          </cell>
          <cell r="W316">
            <v>0</v>
          </cell>
        </row>
        <row r="317">
          <cell r="E317">
            <v>0</v>
          </cell>
          <cell r="W317">
            <v>0</v>
          </cell>
        </row>
        <row r="318">
          <cell r="E318">
            <v>0</v>
          </cell>
          <cell r="W318">
            <v>0</v>
          </cell>
        </row>
        <row r="320">
          <cell r="E320">
            <v>0</v>
          </cell>
          <cell r="W320">
            <v>0</v>
          </cell>
        </row>
        <row r="322">
          <cell r="E322">
            <v>0</v>
          </cell>
          <cell r="W322">
            <v>0</v>
          </cell>
        </row>
        <row r="323">
          <cell r="E323">
            <v>0</v>
          </cell>
          <cell r="W323">
            <v>0</v>
          </cell>
        </row>
        <row r="328">
          <cell r="E328">
            <v>0</v>
          </cell>
          <cell r="W328">
            <v>0</v>
          </cell>
        </row>
        <row r="330">
          <cell r="E330">
            <v>0</v>
          </cell>
          <cell r="W330">
            <v>0</v>
          </cell>
        </row>
        <row r="333">
          <cell r="E333">
            <v>0</v>
          </cell>
          <cell r="W333">
            <v>0</v>
          </cell>
        </row>
        <row r="334">
          <cell r="E334">
            <v>0</v>
          </cell>
          <cell r="W334">
            <v>0</v>
          </cell>
        </row>
        <row r="338">
          <cell r="E338">
            <v>0</v>
          </cell>
          <cell r="W338">
            <v>0</v>
          </cell>
        </row>
        <row r="340">
          <cell r="E340">
            <v>0</v>
          </cell>
          <cell r="W340">
            <v>0</v>
          </cell>
        </row>
        <row r="342">
          <cell r="E342">
            <v>0</v>
          </cell>
          <cell r="W342">
            <v>0</v>
          </cell>
        </row>
        <row r="348">
          <cell r="E348">
            <v>0</v>
          </cell>
          <cell r="W348">
            <v>0</v>
          </cell>
        </row>
        <row r="349">
          <cell r="E349">
            <v>0</v>
          </cell>
          <cell r="W349">
            <v>0</v>
          </cell>
        </row>
        <row r="350">
          <cell r="E350">
            <v>0</v>
          </cell>
          <cell r="W350">
            <v>0</v>
          </cell>
        </row>
        <row r="352">
          <cell r="E352">
            <v>0</v>
          </cell>
          <cell r="W352">
            <v>0</v>
          </cell>
        </row>
        <row r="353">
          <cell r="E353">
            <v>0</v>
          </cell>
          <cell r="W353">
            <v>0</v>
          </cell>
        </row>
        <row r="355">
          <cell r="E355">
            <v>0</v>
          </cell>
          <cell r="W355">
            <v>0</v>
          </cell>
        </row>
        <row r="356">
          <cell r="E356">
            <v>0</v>
          </cell>
          <cell r="W356">
            <v>0</v>
          </cell>
        </row>
        <row r="360">
          <cell r="E360">
            <v>0</v>
          </cell>
          <cell r="W360">
            <v>0</v>
          </cell>
        </row>
        <row r="361">
          <cell r="E361">
            <v>0</v>
          </cell>
          <cell r="W361">
            <v>0</v>
          </cell>
        </row>
        <row r="363">
          <cell r="E363">
            <v>0</v>
          </cell>
          <cell r="W363">
            <v>0</v>
          </cell>
        </row>
        <row r="364">
          <cell r="E364">
            <v>0</v>
          </cell>
          <cell r="W364">
            <v>0</v>
          </cell>
        </row>
        <row r="365">
          <cell r="E365">
            <v>0</v>
          </cell>
          <cell r="W365">
            <v>0</v>
          </cell>
        </row>
        <row r="366">
          <cell r="E366">
            <v>0</v>
          </cell>
          <cell r="W366">
            <v>0</v>
          </cell>
        </row>
        <row r="367">
          <cell r="E367">
            <v>0</v>
          </cell>
          <cell r="W367">
            <v>0</v>
          </cell>
        </row>
        <row r="370">
          <cell r="E370">
            <v>0</v>
          </cell>
          <cell r="W370">
            <v>0</v>
          </cell>
        </row>
        <row r="371">
          <cell r="E371">
            <v>0</v>
          </cell>
          <cell r="W371">
            <v>0</v>
          </cell>
        </row>
        <row r="372">
          <cell r="E372">
            <v>0</v>
          </cell>
          <cell r="W372">
            <v>0</v>
          </cell>
        </row>
        <row r="374">
          <cell r="E374">
            <v>0</v>
          </cell>
          <cell r="W374">
            <v>0</v>
          </cell>
        </row>
        <row r="375">
          <cell r="E375">
            <v>0</v>
          </cell>
          <cell r="W375">
            <v>0</v>
          </cell>
        </row>
        <row r="376">
          <cell r="E376">
            <v>0</v>
          </cell>
          <cell r="W376">
            <v>0</v>
          </cell>
        </row>
        <row r="378">
          <cell r="E378">
            <v>0</v>
          </cell>
          <cell r="W378">
            <v>0</v>
          </cell>
        </row>
        <row r="379">
          <cell r="E379">
            <v>0</v>
          </cell>
          <cell r="W379">
            <v>0</v>
          </cell>
        </row>
        <row r="380">
          <cell r="E380">
            <v>0</v>
          </cell>
          <cell r="W380">
            <v>0</v>
          </cell>
        </row>
        <row r="382">
          <cell r="E382">
            <v>0</v>
          </cell>
          <cell r="W382">
            <v>0</v>
          </cell>
        </row>
        <row r="383">
          <cell r="E383">
            <v>0</v>
          </cell>
          <cell r="W383">
            <v>0</v>
          </cell>
        </row>
        <row r="384">
          <cell r="E384">
            <v>0</v>
          </cell>
          <cell r="W384">
            <v>0</v>
          </cell>
        </row>
        <row r="385">
          <cell r="E385">
            <v>0</v>
          </cell>
          <cell r="W385">
            <v>0</v>
          </cell>
        </row>
        <row r="386">
          <cell r="E386">
            <v>0</v>
          </cell>
          <cell r="W386">
            <v>0</v>
          </cell>
        </row>
        <row r="387">
          <cell r="E387">
            <v>0</v>
          </cell>
          <cell r="W387">
            <v>0</v>
          </cell>
        </row>
        <row r="388">
          <cell r="E388">
            <v>0</v>
          </cell>
          <cell r="W388">
            <v>0</v>
          </cell>
        </row>
        <row r="389">
          <cell r="E389">
            <v>0</v>
          </cell>
          <cell r="W389">
            <v>0</v>
          </cell>
        </row>
        <row r="391">
          <cell r="E391">
            <v>0</v>
          </cell>
          <cell r="W391">
            <v>0</v>
          </cell>
        </row>
        <row r="392">
          <cell r="E392">
            <v>0</v>
          </cell>
          <cell r="W392">
            <v>0</v>
          </cell>
        </row>
        <row r="393">
          <cell r="E393">
            <v>0</v>
          </cell>
          <cell r="W393">
            <v>0</v>
          </cell>
        </row>
        <row r="394">
          <cell r="E394">
            <v>0</v>
          </cell>
          <cell r="W394">
            <v>0</v>
          </cell>
        </row>
        <row r="396">
          <cell r="E396">
            <v>0</v>
          </cell>
          <cell r="W396">
            <v>0</v>
          </cell>
        </row>
        <row r="398">
          <cell r="E398">
            <v>0</v>
          </cell>
          <cell r="W398">
            <v>0</v>
          </cell>
        </row>
        <row r="399">
          <cell r="E399">
            <v>0</v>
          </cell>
          <cell r="W399">
            <v>0</v>
          </cell>
        </row>
        <row r="400">
          <cell r="E400">
            <v>0</v>
          </cell>
          <cell r="W400">
            <v>0</v>
          </cell>
        </row>
        <row r="401">
          <cell r="E401">
            <v>0</v>
          </cell>
          <cell r="W401">
            <v>0</v>
          </cell>
        </row>
        <row r="402">
          <cell r="E402">
            <v>0</v>
          </cell>
          <cell r="W402">
            <v>0</v>
          </cell>
        </row>
        <row r="404">
          <cell r="E404">
            <v>0</v>
          </cell>
          <cell r="W404">
            <v>0</v>
          </cell>
        </row>
        <row r="405">
          <cell r="E405">
            <v>0</v>
          </cell>
          <cell r="W405">
            <v>0</v>
          </cell>
        </row>
        <row r="406">
          <cell r="E406">
            <v>0</v>
          </cell>
          <cell r="W406">
            <v>0</v>
          </cell>
        </row>
        <row r="407">
          <cell r="E407">
            <v>0</v>
          </cell>
          <cell r="W407">
            <v>0</v>
          </cell>
        </row>
        <row r="408">
          <cell r="E408">
            <v>0</v>
          </cell>
          <cell r="W408">
            <v>0</v>
          </cell>
        </row>
        <row r="409">
          <cell r="E409">
            <v>0</v>
          </cell>
          <cell r="W409">
            <v>0</v>
          </cell>
        </row>
        <row r="410">
          <cell r="E410">
            <v>0</v>
          </cell>
          <cell r="W410">
            <v>0</v>
          </cell>
        </row>
        <row r="411">
          <cell r="E411">
            <v>0</v>
          </cell>
          <cell r="W411">
            <v>0</v>
          </cell>
        </row>
        <row r="414">
          <cell r="E414">
            <v>0</v>
          </cell>
          <cell r="W414">
            <v>0</v>
          </cell>
        </row>
        <row r="415">
          <cell r="E415">
            <v>0</v>
          </cell>
          <cell r="W415">
            <v>0</v>
          </cell>
        </row>
        <row r="418">
          <cell r="E418">
            <v>0</v>
          </cell>
          <cell r="W418">
            <v>0</v>
          </cell>
        </row>
        <row r="419">
          <cell r="E419">
            <v>0</v>
          </cell>
          <cell r="W419">
            <v>0</v>
          </cell>
        </row>
        <row r="421">
          <cell r="E421">
            <v>0</v>
          </cell>
          <cell r="W421">
            <v>0</v>
          </cell>
        </row>
        <row r="422">
          <cell r="E422">
            <v>0</v>
          </cell>
          <cell r="W422">
            <v>0</v>
          </cell>
        </row>
        <row r="423">
          <cell r="E423">
            <v>0</v>
          </cell>
          <cell r="W423">
            <v>0</v>
          </cell>
        </row>
        <row r="425">
          <cell r="E425">
            <v>0</v>
          </cell>
          <cell r="W425">
            <v>0</v>
          </cell>
        </row>
        <row r="426">
          <cell r="E426">
            <v>0</v>
          </cell>
          <cell r="W426">
            <v>0</v>
          </cell>
        </row>
        <row r="427">
          <cell r="E427">
            <v>0</v>
          </cell>
          <cell r="W427">
            <v>0</v>
          </cell>
        </row>
        <row r="429">
          <cell r="E429">
            <v>0</v>
          </cell>
          <cell r="W429">
            <v>0</v>
          </cell>
        </row>
        <row r="430">
          <cell r="E430">
            <v>0</v>
          </cell>
          <cell r="W430">
            <v>0</v>
          </cell>
        </row>
        <row r="431">
          <cell r="E431">
            <v>0</v>
          </cell>
          <cell r="W431">
            <v>0</v>
          </cell>
        </row>
        <row r="432">
          <cell r="E432">
            <v>0</v>
          </cell>
          <cell r="W432">
            <v>0</v>
          </cell>
        </row>
        <row r="433">
          <cell r="E433">
            <v>0</v>
          </cell>
          <cell r="W433">
            <v>0</v>
          </cell>
        </row>
        <row r="434">
          <cell r="E434">
            <v>0</v>
          </cell>
          <cell r="W434">
            <v>0</v>
          </cell>
        </row>
        <row r="435">
          <cell r="E435">
            <v>0</v>
          </cell>
          <cell r="W435">
            <v>0</v>
          </cell>
        </row>
        <row r="436">
          <cell r="E436">
            <v>0</v>
          </cell>
          <cell r="W436">
            <v>0</v>
          </cell>
        </row>
        <row r="438">
          <cell r="E438">
            <v>0</v>
          </cell>
          <cell r="W438">
            <v>0</v>
          </cell>
        </row>
        <row r="439">
          <cell r="E439">
            <v>0</v>
          </cell>
          <cell r="W439">
            <v>0</v>
          </cell>
        </row>
        <row r="440">
          <cell r="E440">
            <v>0</v>
          </cell>
          <cell r="W440">
            <v>0</v>
          </cell>
        </row>
        <row r="441">
          <cell r="E441">
            <v>0</v>
          </cell>
          <cell r="W441">
            <v>0</v>
          </cell>
        </row>
        <row r="444">
          <cell r="E444">
            <v>0</v>
          </cell>
          <cell r="W444">
            <v>0</v>
          </cell>
        </row>
        <row r="445">
          <cell r="E445">
            <v>0</v>
          </cell>
          <cell r="W445">
            <v>0</v>
          </cell>
        </row>
        <row r="446">
          <cell r="E446">
            <v>0</v>
          </cell>
          <cell r="W446">
            <v>0</v>
          </cell>
        </row>
        <row r="448">
          <cell r="E448">
            <v>0</v>
          </cell>
          <cell r="W448">
            <v>0</v>
          </cell>
        </row>
        <row r="449">
          <cell r="E449">
            <v>0</v>
          </cell>
          <cell r="W449">
            <v>0</v>
          </cell>
        </row>
        <row r="450">
          <cell r="E450">
            <v>0</v>
          </cell>
          <cell r="W450">
            <v>0</v>
          </cell>
        </row>
        <row r="453">
          <cell r="E453">
            <v>0</v>
          </cell>
          <cell r="W453">
            <v>0</v>
          </cell>
        </row>
        <row r="454">
          <cell r="E454">
            <v>0</v>
          </cell>
          <cell r="W454">
            <v>0</v>
          </cell>
        </row>
        <row r="455">
          <cell r="E455">
            <v>0</v>
          </cell>
          <cell r="W455">
            <v>0</v>
          </cell>
        </row>
        <row r="456">
          <cell r="E456">
            <v>0</v>
          </cell>
          <cell r="W456">
            <v>0</v>
          </cell>
        </row>
        <row r="458">
          <cell r="E458">
            <v>0</v>
          </cell>
          <cell r="W458">
            <v>0</v>
          </cell>
        </row>
        <row r="459">
          <cell r="E459">
            <v>0</v>
          </cell>
          <cell r="W459">
            <v>0</v>
          </cell>
        </row>
      </sheetData>
      <sheetData sheetId="14"/>
      <sheetData sheetId="15"/>
      <sheetData sheetId="16">
        <row r="11">
          <cell r="K11" t="str">
            <v>អគ្គនាយកដ្ឋានគោលនយោបាយ</v>
          </cell>
        </row>
      </sheetData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C486-1929-4BF8-BA47-31A2C36C7620}">
  <sheetPr>
    <tabColor rgb="FFB9EDFF"/>
    <pageSetUpPr fitToPage="1"/>
  </sheetPr>
  <dimension ref="A1:T329"/>
  <sheetViews>
    <sheetView tabSelected="1" zoomScale="90" zoomScaleNormal="90" workbookViewId="0">
      <selection activeCell="D17" sqref="D17"/>
    </sheetView>
  </sheetViews>
  <sheetFormatPr defaultRowHeight="13"/>
  <cols>
    <col min="1" max="2" width="4.86328125" style="10" bestFit="1" customWidth="1"/>
    <col min="3" max="3" width="6.40625" style="10" customWidth="1"/>
    <col min="4" max="4" width="54.1328125" style="10" customWidth="1"/>
    <col min="5" max="5" width="15.1328125" style="185" customWidth="1"/>
    <col min="6" max="6" width="9" style="185" customWidth="1"/>
    <col min="7" max="7" width="9" style="10" customWidth="1"/>
    <col min="8" max="8" width="15.1328125" style="185" customWidth="1"/>
    <col min="9" max="10" width="15.1328125" style="10" customWidth="1"/>
    <col min="11" max="11" width="15.1328125" style="185" customWidth="1"/>
    <col min="12" max="12" width="8" style="10" customWidth="1"/>
    <col min="13" max="14" width="9" style="10" customWidth="1"/>
    <col min="15" max="15" width="15.1328125" style="185" customWidth="1"/>
    <col min="16" max="16" width="8" style="10" customWidth="1"/>
    <col min="17" max="253" width="8.7265625" style="10"/>
    <col min="254" max="256" width="4.86328125" style="10" bestFit="1" customWidth="1"/>
    <col min="257" max="257" width="23" style="10" customWidth="1"/>
    <col min="258" max="259" width="9.40625" style="10" customWidth="1"/>
    <col min="260" max="260" width="11.40625" style="10" customWidth="1"/>
    <col min="261" max="272" width="9.40625" style="10" customWidth="1"/>
    <col min="273" max="509" width="8.7265625" style="10"/>
    <col min="510" max="512" width="4.86328125" style="10" bestFit="1" customWidth="1"/>
    <col min="513" max="513" width="23" style="10" customWidth="1"/>
    <col min="514" max="515" width="9.40625" style="10" customWidth="1"/>
    <col min="516" max="516" width="11.40625" style="10" customWidth="1"/>
    <col min="517" max="528" width="9.40625" style="10" customWidth="1"/>
    <col min="529" max="765" width="8.7265625" style="10"/>
    <col min="766" max="768" width="4.86328125" style="10" bestFit="1" customWidth="1"/>
    <col min="769" max="769" width="23" style="10" customWidth="1"/>
    <col min="770" max="771" width="9.40625" style="10" customWidth="1"/>
    <col min="772" max="772" width="11.40625" style="10" customWidth="1"/>
    <col min="773" max="784" width="9.40625" style="10" customWidth="1"/>
    <col min="785" max="1021" width="8.7265625" style="10"/>
    <col min="1022" max="1024" width="4.86328125" style="10" bestFit="1" customWidth="1"/>
    <col min="1025" max="1025" width="23" style="10" customWidth="1"/>
    <col min="1026" max="1027" width="9.40625" style="10" customWidth="1"/>
    <col min="1028" max="1028" width="11.40625" style="10" customWidth="1"/>
    <col min="1029" max="1040" width="9.40625" style="10" customWidth="1"/>
    <col min="1041" max="1277" width="8.7265625" style="10"/>
    <col min="1278" max="1280" width="4.86328125" style="10" bestFit="1" customWidth="1"/>
    <col min="1281" max="1281" width="23" style="10" customWidth="1"/>
    <col min="1282" max="1283" width="9.40625" style="10" customWidth="1"/>
    <col min="1284" max="1284" width="11.40625" style="10" customWidth="1"/>
    <col min="1285" max="1296" width="9.40625" style="10" customWidth="1"/>
    <col min="1297" max="1533" width="8.7265625" style="10"/>
    <col min="1534" max="1536" width="4.86328125" style="10" bestFit="1" customWidth="1"/>
    <col min="1537" max="1537" width="23" style="10" customWidth="1"/>
    <col min="1538" max="1539" width="9.40625" style="10" customWidth="1"/>
    <col min="1540" max="1540" width="11.40625" style="10" customWidth="1"/>
    <col min="1541" max="1552" width="9.40625" style="10" customWidth="1"/>
    <col min="1553" max="1789" width="8.7265625" style="10"/>
    <col min="1790" max="1792" width="4.86328125" style="10" bestFit="1" customWidth="1"/>
    <col min="1793" max="1793" width="23" style="10" customWidth="1"/>
    <col min="1794" max="1795" width="9.40625" style="10" customWidth="1"/>
    <col min="1796" max="1796" width="11.40625" style="10" customWidth="1"/>
    <col min="1797" max="1808" width="9.40625" style="10" customWidth="1"/>
    <col min="1809" max="2045" width="8.7265625" style="10"/>
    <col min="2046" max="2048" width="4.86328125" style="10" bestFit="1" customWidth="1"/>
    <col min="2049" max="2049" width="23" style="10" customWidth="1"/>
    <col min="2050" max="2051" width="9.40625" style="10" customWidth="1"/>
    <col min="2052" max="2052" width="11.40625" style="10" customWidth="1"/>
    <col min="2053" max="2064" width="9.40625" style="10" customWidth="1"/>
    <col min="2065" max="2301" width="8.7265625" style="10"/>
    <col min="2302" max="2304" width="4.86328125" style="10" bestFit="1" customWidth="1"/>
    <col min="2305" max="2305" width="23" style="10" customWidth="1"/>
    <col min="2306" max="2307" width="9.40625" style="10" customWidth="1"/>
    <col min="2308" max="2308" width="11.40625" style="10" customWidth="1"/>
    <col min="2309" max="2320" width="9.40625" style="10" customWidth="1"/>
    <col min="2321" max="2557" width="8.7265625" style="10"/>
    <col min="2558" max="2560" width="4.86328125" style="10" bestFit="1" customWidth="1"/>
    <col min="2561" max="2561" width="23" style="10" customWidth="1"/>
    <col min="2562" max="2563" width="9.40625" style="10" customWidth="1"/>
    <col min="2564" max="2564" width="11.40625" style="10" customWidth="1"/>
    <col min="2565" max="2576" width="9.40625" style="10" customWidth="1"/>
    <col min="2577" max="2813" width="8.7265625" style="10"/>
    <col min="2814" max="2816" width="4.86328125" style="10" bestFit="1" customWidth="1"/>
    <col min="2817" max="2817" width="23" style="10" customWidth="1"/>
    <col min="2818" max="2819" width="9.40625" style="10" customWidth="1"/>
    <col min="2820" max="2820" width="11.40625" style="10" customWidth="1"/>
    <col min="2821" max="2832" width="9.40625" style="10" customWidth="1"/>
    <col min="2833" max="3069" width="8.7265625" style="10"/>
    <col min="3070" max="3072" width="4.86328125" style="10" bestFit="1" customWidth="1"/>
    <col min="3073" max="3073" width="23" style="10" customWidth="1"/>
    <col min="3074" max="3075" width="9.40625" style="10" customWidth="1"/>
    <col min="3076" max="3076" width="11.40625" style="10" customWidth="1"/>
    <col min="3077" max="3088" width="9.40625" style="10" customWidth="1"/>
    <col min="3089" max="3325" width="8.7265625" style="10"/>
    <col min="3326" max="3328" width="4.86328125" style="10" bestFit="1" customWidth="1"/>
    <col min="3329" max="3329" width="23" style="10" customWidth="1"/>
    <col min="3330" max="3331" width="9.40625" style="10" customWidth="1"/>
    <col min="3332" max="3332" width="11.40625" style="10" customWidth="1"/>
    <col min="3333" max="3344" width="9.40625" style="10" customWidth="1"/>
    <col min="3345" max="3581" width="8.7265625" style="10"/>
    <col min="3582" max="3584" width="4.86328125" style="10" bestFit="1" customWidth="1"/>
    <col min="3585" max="3585" width="23" style="10" customWidth="1"/>
    <col min="3586" max="3587" width="9.40625" style="10" customWidth="1"/>
    <col min="3588" max="3588" width="11.40625" style="10" customWidth="1"/>
    <col min="3589" max="3600" width="9.40625" style="10" customWidth="1"/>
    <col min="3601" max="3837" width="8.7265625" style="10"/>
    <col min="3838" max="3840" width="4.86328125" style="10" bestFit="1" customWidth="1"/>
    <col min="3841" max="3841" width="23" style="10" customWidth="1"/>
    <col min="3842" max="3843" width="9.40625" style="10" customWidth="1"/>
    <col min="3844" max="3844" width="11.40625" style="10" customWidth="1"/>
    <col min="3845" max="3856" width="9.40625" style="10" customWidth="1"/>
    <col min="3857" max="4093" width="8.7265625" style="10"/>
    <col min="4094" max="4096" width="4.86328125" style="10" bestFit="1" customWidth="1"/>
    <col min="4097" max="4097" width="23" style="10" customWidth="1"/>
    <col min="4098" max="4099" width="9.40625" style="10" customWidth="1"/>
    <col min="4100" max="4100" width="11.40625" style="10" customWidth="1"/>
    <col min="4101" max="4112" width="9.40625" style="10" customWidth="1"/>
    <col min="4113" max="4349" width="8.7265625" style="10"/>
    <col min="4350" max="4352" width="4.86328125" style="10" bestFit="1" customWidth="1"/>
    <col min="4353" max="4353" width="23" style="10" customWidth="1"/>
    <col min="4354" max="4355" width="9.40625" style="10" customWidth="1"/>
    <col min="4356" max="4356" width="11.40625" style="10" customWidth="1"/>
    <col min="4357" max="4368" width="9.40625" style="10" customWidth="1"/>
    <col min="4369" max="4605" width="8.7265625" style="10"/>
    <col min="4606" max="4608" width="4.86328125" style="10" bestFit="1" customWidth="1"/>
    <col min="4609" max="4609" width="23" style="10" customWidth="1"/>
    <col min="4610" max="4611" width="9.40625" style="10" customWidth="1"/>
    <col min="4612" max="4612" width="11.40625" style="10" customWidth="1"/>
    <col min="4613" max="4624" width="9.40625" style="10" customWidth="1"/>
    <col min="4625" max="4861" width="8.7265625" style="10"/>
    <col min="4862" max="4864" width="4.86328125" style="10" bestFit="1" customWidth="1"/>
    <col min="4865" max="4865" width="23" style="10" customWidth="1"/>
    <col min="4866" max="4867" width="9.40625" style="10" customWidth="1"/>
    <col min="4868" max="4868" width="11.40625" style="10" customWidth="1"/>
    <col min="4869" max="4880" width="9.40625" style="10" customWidth="1"/>
    <col min="4881" max="5117" width="8.7265625" style="10"/>
    <col min="5118" max="5120" width="4.86328125" style="10" bestFit="1" customWidth="1"/>
    <col min="5121" max="5121" width="23" style="10" customWidth="1"/>
    <col min="5122" max="5123" width="9.40625" style="10" customWidth="1"/>
    <col min="5124" max="5124" width="11.40625" style="10" customWidth="1"/>
    <col min="5125" max="5136" width="9.40625" style="10" customWidth="1"/>
    <col min="5137" max="5373" width="8.7265625" style="10"/>
    <col min="5374" max="5376" width="4.86328125" style="10" bestFit="1" customWidth="1"/>
    <col min="5377" max="5377" width="23" style="10" customWidth="1"/>
    <col min="5378" max="5379" width="9.40625" style="10" customWidth="1"/>
    <col min="5380" max="5380" width="11.40625" style="10" customWidth="1"/>
    <col min="5381" max="5392" width="9.40625" style="10" customWidth="1"/>
    <col min="5393" max="5629" width="8.7265625" style="10"/>
    <col min="5630" max="5632" width="4.86328125" style="10" bestFit="1" customWidth="1"/>
    <col min="5633" max="5633" width="23" style="10" customWidth="1"/>
    <col min="5634" max="5635" width="9.40625" style="10" customWidth="1"/>
    <col min="5636" max="5636" width="11.40625" style="10" customWidth="1"/>
    <col min="5637" max="5648" width="9.40625" style="10" customWidth="1"/>
    <col min="5649" max="5885" width="8.7265625" style="10"/>
    <col min="5886" max="5888" width="4.86328125" style="10" bestFit="1" customWidth="1"/>
    <col min="5889" max="5889" width="23" style="10" customWidth="1"/>
    <col min="5890" max="5891" width="9.40625" style="10" customWidth="1"/>
    <col min="5892" max="5892" width="11.40625" style="10" customWidth="1"/>
    <col min="5893" max="5904" width="9.40625" style="10" customWidth="1"/>
    <col min="5905" max="6141" width="8.7265625" style="10"/>
    <col min="6142" max="6144" width="4.86328125" style="10" bestFit="1" customWidth="1"/>
    <col min="6145" max="6145" width="23" style="10" customWidth="1"/>
    <col min="6146" max="6147" width="9.40625" style="10" customWidth="1"/>
    <col min="6148" max="6148" width="11.40625" style="10" customWidth="1"/>
    <col min="6149" max="6160" width="9.40625" style="10" customWidth="1"/>
    <col min="6161" max="6397" width="8.7265625" style="10"/>
    <col min="6398" max="6400" width="4.86328125" style="10" bestFit="1" customWidth="1"/>
    <col min="6401" max="6401" width="23" style="10" customWidth="1"/>
    <col min="6402" max="6403" width="9.40625" style="10" customWidth="1"/>
    <col min="6404" max="6404" width="11.40625" style="10" customWidth="1"/>
    <col min="6405" max="6416" width="9.40625" style="10" customWidth="1"/>
    <col min="6417" max="6653" width="8.7265625" style="10"/>
    <col min="6654" max="6656" width="4.86328125" style="10" bestFit="1" customWidth="1"/>
    <col min="6657" max="6657" width="23" style="10" customWidth="1"/>
    <col min="6658" max="6659" width="9.40625" style="10" customWidth="1"/>
    <col min="6660" max="6660" width="11.40625" style="10" customWidth="1"/>
    <col min="6661" max="6672" width="9.40625" style="10" customWidth="1"/>
    <col min="6673" max="6909" width="8.7265625" style="10"/>
    <col min="6910" max="6912" width="4.86328125" style="10" bestFit="1" customWidth="1"/>
    <col min="6913" max="6913" width="23" style="10" customWidth="1"/>
    <col min="6914" max="6915" width="9.40625" style="10" customWidth="1"/>
    <col min="6916" max="6916" width="11.40625" style="10" customWidth="1"/>
    <col min="6917" max="6928" width="9.40625" style="10" customWidth="1"/>
    <col min="6929" max="7165" width="8.7265625" style="10"/>
    <col min="7166" max="7168" width="4.86328125" style="10" bestFit="1" customWidth="1"/>
    <col min="7169" max="7169" width="23" style="10" customWidth="1"/>
    <col min="7170" max="7171" width="9.40625" style="10" customWidth="1"/>
    <col min="7172" max="7172" width="11.40625" style="10" customWidth="1"/>
    <col min="7173" max="7184" width="9.40625" style="10" customWidth="1"/>
    <col min="7185" max="7421" width="8.7265625" style="10"/>
    <col min="7422" max="7424" width="4.86328125" style="10" bestFit="1" customWidth="1"/>
    <col min="7425" max="7425" width="23" style="10" customWidth="1"/>
    <col min="7426" max="7427" width="9.40625" style="10" customWidth="1"/>
    <col min="7428" max="7428" width="11.40625" style="10" customWidth="1"/>
    <col min="7429" max="7440" width="9.40625" style="10" customWidth="1"/>
    <col min="7441" max="7677" width="8.7265625" style="10"/>
    <col min="7678" max="7680" width="4.86328125" style="10" bestFit="1" customWidth="1"/>
    <col min="7681" max="7681" width="23" style="10" customWidth="1"/>
    <col min="7682" max="7683" width="9.40625" style="10" customWidth="1"/>
    <col min="7684" max="7684" width="11.40625" style="10" customWidth="1"/>
    <col min="7685" max="7696" width="9.40625" style="10" customWidth="1"/>
    <col min="7697" max="7933" width="8.7265625" style="10"/>
    <col min="7934" max="7936" width="4.86328125" style="10" bestFit="1" customWidth="1"/>
    <col min="7937" max="7937" width="23" style="10" customWidth="1"/>
    <col min="7938" max="7939" width="9.40625" style="10" customWidth="1"/>
    <col min="7940" max="7940" width="11.40625" style="10" customWidth="1"/>
    <col min="7941" max="7952" width="9.40625" style="10" customWidth="1"/>
    <col min="7953" max="8189" width="8.7265625" style="10"/>
    <col min="8190" max="8192" width="4.86328125" style="10" bestFit="1" customWidth="1"/>
    <col min="8193" max="8193" width="23" style="10" customWidth="1"/>
    <col min="8194" max="8195" width="9.40625" style="10" customWidth="1"/>
    <col min="8196" max="8196" width="11.40625" style="10" customWidth="1"/>
    <col min="8197" max="8208" width="9.40625" style="10" customWidth="1"/>
    <col min="8209" max="8445" width="8.7265625" style="10"/>
    <col min="8446" max="8448" width="4.86328125" style="10" bestFit="1" customWidth="1"/>
    <col min="8449" max="8449" width="23" style="10" customWidth="1"/>
    <col min="8450" max="8451" width="9.40625" style="10" customWidth="1"/>
    <col min="8452" max="8452" width="11.40625" style="10" customWidth="1"/>
    <col min="8453" max="8464" width="9.40625" style="10" customWidth="1"/>
    <col min="8465" max="8701" width="8.7265625" style="10"/>
    <col min="8702" max="8704" width="4.86328125" style="10" bestFit="1" customWidth="1"/>
    <col min="8705" max="8705" width="23" style="10" customWidth="1"/>
    <col min="8706" max="8707" width="9.40625" style="10" customWidth="1"/>
    <col min="8708" max="8708" width="11.40625" style="10" customWidth="1"/>
    <col min="8709" max="8720" width="9.40625" style="10" customWidth="1"/>
    <col min="8721" max="8957" width="8.7265625" style="10"/>
    <col min="8958" max="8960" width="4.86328125" style="10" bestFit="1" customWidth="1"/>
    <col min="8961" max="8961" width="23" style="10" customWidth="1"/>
    <col min="8962" max="8963" width="9.40625" style="10" customWidth="1"/>
    <col min="8964" max="8964" width="11.40625" style="10" customWidth="1"/>
    <col min="8965" max="8976" width="9.40625" style="10" customWidth="1"/>
    <col min="8977" max="9213" width="8.7265625" style="10"/>
    <col min="9214" max="9216" width="4.86328125" style="10" bestFit="1" customWidth="1"/>
    <col min="9217" max="9217" width="23" style="10" customWidth="1"/>
    <col min="9218" max="9219" width="9.40625" style="10" customWidth="1"/>
    <col min="9220" max="9220" width="11.40625" style="10" customWidth="1"/>
    <col min="9221" max="9232" width="9.40625" style="10" customWidth="1"/>
    <col min="9233" max="9469" width="8.7265625" style="10"/>
    <col min="9470" max="9472" width="4.86328125" style="10" bestFit="1" customWidth="1"/>
    <col min="9473" max="9473" width="23" style="10" customWidth="1"/>
    <col min="9474" max="9475" width="9.40625" style="10" customWidth="1"/>
    <col min="9476" max="9476" width="11.40625" style="10" customWidth="1"/>
    <col min="9477" max="9488" width="9.40625" style="10" customWidth="1"/>
    <col min="9489" max="9725" width="8.7265625" style="10"/>
    <col min="9726" max="9728" width="4.86328125" style="10" bestFit="1" customWidth="1"/>
    <col min="9729" max="9729" width="23" style="10" customWidth="1"/>
    <col min="9730" max="9731" width="9.40625" style="10" customWidth="1"/>
    <col min="9732" max="9732" width="11.40625" style="10" customWidth="1"/>
    <col min="9733" max="9744" width="9.40625" style="10" customWidth="1"/>
    <col min="9745" max="9981" width="8.7265625" style="10"/>
    <col min="9982" max="9984" width="4.86328125" style="10" bestFit="1" customWidth="1"/>
    <col min="9985" max="9985" width="23" style="10" customWidth="1"/>
    <col min="9986" max="9987" width="9.40625" style="10" customWidth="1"/>
    <col min="9988" max="9988" width="11.40625" style="10" customWidth="1"/>
    <col min="9989" max="10000" width="9.40625" style="10" customWidth="1"/>
    <col min="10001" max="10237" width="8.7265625" style="10"/>
    <col min="10238" max="10240" width="4.86328125" style="10" bestFit="1" customWidth="1"/>
    <col min="10241" max="10241" width="23" style="10" customWidth="1"/>
    <col min="10242" max="10243" width="9.40625" style="10" customWidth="1"/>
    <col min="10244" max="10244" width="11.40625" style="10" customWidth="1"/>
    <col min="10245" max="10256" width="9.40625" style="10" customWidth="1"/>
    <col min="10257" max="10493" width="8.7265625" style="10"/>
    <col min="10494" max="10496" width="4.86328125" style="10" bestFit="1" customWidth="1"/>
    <col min="10497" max="10497" width="23" style="10" customWidth="1"/>
    <col min="10498" max="10499" width="9.40625" style="10" customWidth="1"/>
    <col min="10500" max="10500" width="11.40625" style="10" customWidth="1"/>
    <col min="10501" max="10512" width="9.40625" style="10" customWidth="1"/>
    <col min="10513" max="10749" width="8.7265625" style="10"/>
    <col min="10750" max="10752" width="4.86328125" style="10" bestFit="1" customWidth="1"/>
    <col min="10753" max="10753" width="23" style="10" customWidth="1"/>
    <col min="10754" max="10755" width="9.40625" style="10" customWidth="1"/>
    <col min="10756" max="10756" width="11.40625" style="10" customWidth="1"/>
    <col min="10757" max="10768" width="9.40625" style="10" customWidth="1"/>
    <col min="10769" max="11005" width="8.7265625" style="10"/>
    <col min="11006" max="11008" width="4.86328125" style="10" bestFit="1" customWidth="1"/>
    <col min="11009" max="11009" width="23" style="10" customWidth="1"/>
    <col min="11010" max="11011" width="9.40625" style="10" customWidth="1"/>
    <col min="11012" max="11012" width="11.40625" style="10" customWidth="1"/>
    <col min="11013" max="11024" width="9.40625" style="10" customWidth="1"/>
    <col min="11025" max="11261" width="8.7265625" style="10"/>
    <col min="11262" max="11264" width="4.86328125" style="10" bestFit="1" customWidth="1"/>
    <col min="11265" max="11265" width="23" style="10" customWidth="1"/>
    <col min="11266" max="11267" width="9.40625" style="10" customWidth="1"/>
    <col min="11268" max="11268" width="11.40625" style="10" customWidth="1"/>
    <col min="11269" max="11280" width="9.40625" style="10" customWidth="1"/>
    <col min="11281" max="11517" width="8.7265625" style="10"/>
    <col min="11518" max="11520" width="4.86328125" style="10" bestFit="1" customWidth="1"/>
    <col min="11521" max="11521" width="23" style="10" customWidth="1"/>
    <col min="11522" max="11523" width="9.40625" style="10" customWidth="1"/>
    <col min="11524" max="11524" width="11.40625" style="10" customWidth="1"/>
    <col min="11525" max="11536" width="9.40625" style="10" customWidth="1"/>
    <col min="11537" max="11773" width="8.7265625" style="10"/>
    <col min="11774" max="11776" width="4.86328125" style="10" bestFit="1" customWidth="1"/>
    <col min="11777" max="11777" width="23" style="10" customWidth="1"/>
    <col min="11778" max="11779" width="9.40625" style="10" customWidth="1"/>
    <col min="11780" max="11780" width="11.40625" style="10" customWidth="1"/>
    <col min="11781" max="11792" width="9.40625" style="10" customWidth="1"/>
    <col min="11793" max="12029" width="8.7265625" style="10"/>
    <col min="12030" max="12032" width="4.86328125" style="10" bestFit="1" customWidth="1"/>
    <col min="12033" max="12033" width="23" style="10" customWidth="1"/>
    <col min="12034" max="12035" width="9.40625" style="10" customWidth="1"/>
    <col min="12036" max="12036" width="11.40625" style="10" customWidth="1"/>
    <col min="12037" max="12048" width="9.40625" style="10" customWidth="1"/>
    <col min="12049" max="12285" width="8.7265625" style="10"/>
    <col min="12286" max="12288" width="4.86328125" style="10" bestFit="1" customWidth="1"/>
    <col min="12289" max="12289" width="23" style="10" customWidth="1"/>
    <col min="12290" max="12291" width="9.40625" style="10" customWidth="1"/>
    <col min="12292" max="12292" width="11.40625" style="10" customWidth="1"/>
    <col min="12293" max="12304" width="9.40625" style="10" customWidth="1"/>
    <col min="12305" max="12541" width="8.7265625" style="10"/>
    <col min="12542" max="12544" width="4.86328125" style="10" bestFit="1" customWidth="1"/>
    <col min="12545" max="12545" width="23" style="10" customWidth="1"/>
    <col min="12546" max="12547" width="9.40625" style="10" customWidth="1"/>
    <col min="12548" max="12548" width="11.40625" style="10" customWidth="1"/>
    <col min="12549" max="12560" width="9.40625" style="10" customWidth="1"/>
    <col min="12561" max="12797" width="8.7265625" style="10"/>
    <col min="12798" max="12800" width="4.86328125" style="10" bestFit="1" customWidth="1"/>
    <col min="12801" max="12801" width="23" style="10" customWidth="1"/>
    <col min="12802" max="12803" width="9.40625" style="10" customWidth="1"/>
    <col min="12804" max="12804" width="11.40625" style="10" customWidth="1"/>
    <col min="12805" max="12816" width="9.40625" style="10" customWidth="1"/>
    <col min="12817" max="13053" width="8.7265625" style="10"/>
    <col min="13054" max="13056" width="4.86328125" style="10" bestFit="1" customWidth="1"/>
    <col min="13057" max="13057" width="23" style="10" customWidth="1"/>
    <col min="13058" max="13059" width="9.40625" style="10" customWidth="1"/>
    <col min="13060" max="13060" width="11.40625" style="10" customWidth="1"/>
    <col min="13061" max="13072" width="9.40625" style="10" customWidth="1"/>
    <col min="13073" max="13309" width="8.7265625" style="10"/>
    <col min="13310" max="13312" width="4.86328125" style="10" bestFit="1" customWidth="1"/>
    <col min="13313" max="13313" width="23" style="10" customWidth="1"/>
    <col min="13314" max="13315" width="9.40625" style="10" customWidth="1"/>
    <col min="13316" max="13316" width="11.40625" style="10" customWidth="1"/>
    <col min="13317" max="13328" width="9.40625" style="10" customWidth="1"/>
    <col min="13329" max="13565" width="8.7265625" style="10"/>
    <col min="13566" max="13568" width="4.86328125" style="10" bestFit="1" customWidth="1"/>
    <col min="13569" max="13569" width="23" style="10" customWidth="1"/>
    <col min="13570" max="13571" width="9.40625" style="10" customWidth="1"/>
    <col min="13572" max="13572" width="11.40625" style="10" customWidth="1"/>
    <col min="13573" max="13584" width="9.40625" style="10" customWidth="1"/>
    <col min="13585" max="13821" width="8.7265625" style="10"/>
    <col min="13822" max="13824" width="4.86328125" style="10" bestFit="1" customWidth="1"/>
    <col min="13825" max="13825" width="23" style="10" customWidth="1"/>
    <col min="13826" max="13827" width="9.40625" style="10" customWidth="1"/>
    <col min="13828" max="13828" width="11.40625" style="10" customWidth="1"/>
    <col min="13829" max="13840" width="9.40625" style="10" customWidth="1"/>
    <col min="13841" max="14077" width="8.7265625" style="10"/>
    <col min="14078" max="14080" width="4.86328125" style="10" bestFit="1" customWidth="1"/>
    <col min="14081" max="14081" width="23" style="10" customWidth="1"/>
    <col min="14082" max="14083" width="9.40625" style="10" customWidth="1"/>
    <col min="14084" max="14084" width="11.40625" style="10" customWidth="1"/>
    <col min="14085" max="14096" width="9.40625" style="10" customWidth="1"/>
    <col min="14097" max="14333" width="8.7265625" style="10"/>
    <col min="14334" max="14336" width="4.86328125" style="10" bestFit="1" customWidth="1"/>
    <col min="14337" max="14337" width="23" style="10" customWidth="1"/>
    <col min="14338" max="14339" width="9.40625" style="10" customWidth="1"/>
    <col min="14340" max="14340" width="11.40625" style="10" customWidth="1"/>
    <col min="14341" max="14352" width="9.40625" style="10" customWidth="1"/>
    <col min="14353" max="14589" width="8.7265625" style="10"/>
    <col min="14590" max="14592" width="4.86328125" style="10" bestFit="1" customWidth="1"/>
    <col min="14593" max="14593" width="23" style="10" customWidth="1"/>
    <col min="14594" max="14595" width="9.40625" style="10" customWidth="1"/>
    <col min="14596" max="14596" width="11.40625" style="10" customWidth="1"/>
    <col min="14597" max="14608" width="9.40625" style="10" customWidth="1"/>
    <col min="14609" max="14845" width="8.7265625" style="10"/>
    <col min="14846" max="14848" width="4.86328125" style="10" bestFit="1" customWidth="1"/>
    <col min="14849" max="14849" width="23" style="10" customWidth="1"/>
    <col min="14850" max="14851" width="9.40625" style="10" customWidth="1"/>
    <col min="14852" max="14852" width="11.40625" style="10" customWidth="1"/>
    <col min="14853" max="14864" width="9.40625" style="10" customWidth="1"/>
    <col min="14865" max="15101" width="8.7265625" style="10"/>
    <col min="15102" max="15104" width="4.86328125" style="10" bestFit="1" customWidth="1"/>
    <col min="15105" max="15105" width="23" style="10" customWidth="1"/>
    <col min="15106" max="15107" width="9.40625" style="10" customWidth="1"/>
    <col min="15108" max="15108" width="11.40625" style="10" customWidth="1"/>
    <col min="15109" max="15120" width="9.40625" style="10" customWidth="1"/>
    <col min="15121" max="15357" width="8.7265625" style="10"/>
    <col min="15358" max="15360" width="4.86328125" style="10" bestFit="1" customWidth="1"/>
    <col min="15361" max="15361" width="23" style="10" customWidth="1"/>
    <col min="15362" max="15363" width="9.40625" style="10" customWidth="1"/>
    <col min="15364" max="15364" width="11.40625" style="10" customWidth="1"/>
    <col min="15365" max="15376" width="9.40625" style="10" customWidth="1"/>
    <col min="15377" max="15613" width="8.7265625" style="10"/>
    <col min="15614" max="15616" width="4.86328125" style="10" bestFit="1" customWidth="1"/>
    <col min="15617" max="15617" width="23" style="10" customWidth="1"/>
    <col min="15618" max="15619" width="9.40625" style="10" customWidth="1"/>
    <col min="15620" max="15620" width="11.40625" style="10" customWidth="1"/>
    <col min="15621" max="15632" width="9.40625" style="10" customWidth="1"/>
    <col min="15633" max="16384" width="8.7265625" style="10"/>
  </cols>
  <sheetData>
    <row r="1" spans="1:20" s="4" customFormat="1" ht="9.9499999999999993" customHeight="1">
      <c r="A1" s="1"/>
      <c r="B1" s="1"/>
      <c r="C1" s="1"/>
      <c r="D1" s="2"/>
      <c r="E1" s="3"/>
      <c r="F1" s="3"/>
      <c r="G1" s="2"/>
      <c r="H1" s="3"/>
      <c r="I1" s="2"/>
      <c r="J1" s="2"/>
      <c r="K1" s="3"/>
      <c r="L1" s="2"/>
      <c r="M1" s="2"/>
      <c r="N1" s="2"/>
      <c r="O1" s="3"/>
      <c r="P1" s="2"/>
    </row>
    <row r="2" spans="1:20" s="4" customFormat="1" ht="9.9499999999999993" customHeight="1">
      <c r="A2" s="5"/>
      <c r="B2" s="6"/>
      <c r="C2" s="6"/>
      <c r="D2" s="1"/>
      <c r="E2" s="7"/>
      <c r="F2" s="7"/>
      <c r="G2" s="6"/>
      <c r="H2" s="7"/>
      <c r="I2" s="6"/>
      <c r="J2" s="6"/>
      <c r="K2" s="7"/>
      <c r="L2" s="6"/>
      <c r="M2" s="6"/>
      <c r="N2" s="6"/>
      <c r="O2" s="7"/>
      <c r="P2" s="6"/>
    </row>
    <row r="3" spans="1:20" s="4" customFormat="1" ht="9.9499999999999993" customHeight="1">
      <c r="A3" s="5"/>
      <c r="B3" s="6"/>
      <c r="C3" s="6"/>
      <c r="D3" s="1"/>
      <c r="E3" s="7"/>
      <c r="F3" s="7"/>
      <c r="G3" s="6"/>
      <c r="H3" s="7"/>
      <c r="I3" s="6"/>
      <c r="J3" s="6"/>
      <c r="K3" s="7"/>
      <c r="L3" s="6"/>
      <c r="M3" s="6"/>
      <c r="N3" s="6"/>
      <c r="O3" s="7"/>
      <c r="P3" s="6"/>
    </row>
    <row r="4" spans="1:20" ht="9.9499999999999993" customHeight="1">
      <c r="A4" s="8"/>
      <c r="B4" s="8"/>
      <c r="C4" s="8"/>
      <c r="D4" s="8"/>
      <c r="E4" s="9"/>
      <c r="F4" s="9"/>
      <c r="G4" s="8"/>
      <c r="H4" s="9"/>
      <c r="I4" s="8"/>
      <c r="J4" s="8"/>
      <c r="K4" s="9"/>
      <c r="L4" s="8"/>
      <c r="M4" s="8"/>
      <c r="N4" s="8"/>
      <c r="O4" s="9"/>
      <c r="P4" s="8"/>
    </row>
    <row r="5" spans="1:20" ht="30" customHeight="1">
      <c r="A5" s="11" t="s">
        <v>0</v>
      </c>
      <c r="B5" s="12"/>
      <c r="C5" s="12"/>
      <c r="D5" s="12"/>
      <c r="E5" s="13"/>
      <c r="F5" s="13"/>
      <c r="G5" s="12"/>
      <c r="H5" s="13"/>
      <c r="I5" s="12"/>
      <c r="J5" s="12"/>
      <c r="K5" s="13"/>
      <c r="L5" s="12"/>
      <c r="M5" s="12"/>
      <c r="N5" s="12"/>
      <c r="O5" s="13"/>
      <c r="P5" s="12"/>
    </row>
    <row r="6" spans="1:20" ht="30" customHeight="1">
      <c r="A6" s="11" t="s">
        <v>1</v>
      </c>
      <c r="B6" s="14"/>
      <c r="C6" s="14"/>
      <c r="D6" s="15"/>
      <c r="E6" s="16"/>
      <c r="F6" s="16"/>
      <c r="G6" s="15"/>
      <c r="H6" s="16"/>
      <c r="I6" s="15"/>
      <c r="J6" s="15"/>
      <c r="K6" s="16"/>
      <c r="L6" s="15"/>
      <c r="M6" s="15"/>
      <c r="N6" s="15"/>
      <c r="O6" s="16"/>
      <c r="P6" s="15"/>
    </row>
    <row r="7" spans="1:20" ht="30" customHeight="1">
      <c r="A7" s="11" t="str">
        <f>[1]Costing!$K$11</f>
        <v>អគ្គនាយកដ្ឋានគោលនយោបាយ</v>
      </c>
      <c r="B7" s="14"/>
      <c r="C7" s="14"/>
      <c r="D7" s="15"/>
      <c r="E7" s="16"/>
      <c r="F7" s="16"/>
      <c r="G7" s="15"/>
      <c r="H7" s="16"/>
      <c r="I7" s="15"/>
      <c r="J7" s="15"/>
      <c r="K7" s="16"/>
      <c r="L7" s="15"/>
      <c r="M7" s="15"/>
      <c r="N7" s="15"/>
      <c r="O7" s="16"/>
      <c r="P7" s="15"/>
    </row>
    <row r="8" spans="1:20" ht="21.75" customHeight="1">
      <c r="A8" s="17"/>
      <c r="B8" s="18"/>
      <c r="C8" s="18"/>
      <c r="D8" s="17"/>
      <c r="E8" s="19"/>
      <c r="F8" s="19"/>
      <c r="G8" s="20"/>
      <c r="H8" s="19"/>
      <c r="I8" s="20"/>
      <c r="J8" s="20"/>
      <c r="K8" s="19"/>
      <c r="L8" s="21"/>
      <c r="M8" s="20"/>
      <c r="N8" s="20"/>
      <c r="O8" s="19"/>
      <c r="P8" s="21" t="s">
        <v>2</v>
      </c>
      <c r="S8" s="21"/>
    </row>
    <row r="9" spans="1:20" ht="21.75" customHeight="1" thickBot="1">
      <c r="A9" s="17"/>
      <c r="B9" s="18"/>
      <c r="C9" s="18"/>
      <c r="D9" s="17"/>
      <c r="E9" s="19"/>
      <c r="F9" s="19"/>
      <c r="G9" s="20"/>
      <c r="H9" s="19"/>
      <c r="I9" s="20"/>
      <c r="J9" s="20"/>
      <c r="K9" s="19"/>
      <c r="L9" s="22"/>
      <c r="M9" s="20"/>
      <c r="N9" s="20"/>
      <c r="O9" s="19"/>
      <c r="P9" s="23" t="s">
        <v>3</v>
      </c>
      <c r="S9" s="22"/>
    </row>
    <row r="10" spans="1:20" s="28" customFormat="1" ht="23.25" hidden="1" thickBot="1">
      <c r="A10" s="24"/>
      <c r="B10" s="25"/>
      <c r="C10" s="25"/>
      <c r="D10" s="26"/>
      <c r="E10" s="27"/>
      <c r="F10" s="27"/>
      <c r="G10" s="24"/>
      <c r="H10" s="27"/>
      <c r="I10" s="24"/>
      <c r="J10" s="24"/>
      <c r="K10" s="27"/>
      <c r="L10" s="24"/>
      <c r="M10" s="24"/>
      <c r="N10" s="24"/>
      <c r="O10" s="27"/>
      <c r="P10" s="24"/>
    </row>
    <row r="11" spans="1:20" s="28" customFormat="1" ht="23.25" hidden="1" thickBot="1">
      <c r="A11" s="24"/>
      <c r="B11" s="25"/>
      <c r="C11" s="25"/>
      <c r="D11" s="26"/>
      <c r="E11" s="27"/>
      <c r="F11" s="27"/>
      <c r="G11" s="24"/>
      <c r="H11" s="27"/>
      <c r="I11" s="24"/>
      <c r="J11" s="24"/>
      <c r="K11" s="27"/>
      <c r="L11" s="24"/>
      <c r="M11" s="24"/>
      <c r="N11" s="24"/>
      <c r="O11" s="27"/>
      <c r="P11" s="24"/>
    </row>
    <row r="12" spans="1:20" s="4" customFormat="1" ht="25.5" customHeight="1" thickTop="1">
      <c r="A12" s="29" t="s">
        <v>4</v>
      </c>
      <c r="B12" s="30" t="s">
        <v>5</v>
      </c>
      <c r="C12" s="30" t="s">
        <v>6</v>
      </c>
      <c r="D12" s="31" t="s">
        <v>7</v>
      </c>
      <c r="E12" s="32" t="s">
        <v>8</v>
      </c>
      <c r="F12" s="33" t="s">
        <v>9</v>
      </c>
      <c r="G12" s="33"/>
      <c r="H12" s="33"/>
      <c r="I12" s="33" t="s">
        <v>10</v>
      </c>
      <c r="J12" s="33"/>
      <c r="K12" s="33"/>
      <c r="L12" s="33"/>
      <c r="M12" s="33" t="s">
        <v>11</v>
      </c>
      <c r="N12" s="33"/>
      <c r="O12" s="33"/>
      <c r="P12" s="34"/>
    </row>
    <row r="13" spans="1:20" s="4" customFormat="1" ht="25.5" customHeight="1">
      <c r="A13" s="35"/>
      <c r="B13" s="36"/>
      <c r="C13" s="36"/>
      <c r="D13" s="37"/>
      <c r="E13" s="38"/>
      <c r="F13" s="39" t="s">
        <v>12</v>
      </c>
      <c r="G13" s="40" t="s">
        <v>13</v>
      </c>
      <c r="H13" s="40" t="s">
        <v>14</v>
      </c>
      <c r="I13" s="40" t="s">
        <v>15</v>
      </c>
      <c r="J13" s="40" t="s">
        <v>16</v>
      </c>
      <c r="K13" s="40" t="s">
        <v>17</v>
      </c>
      <c r="L13" s="40"/>
      <c r="M13" s="39" t="s">
        <v>12</v>
      </c>
      <c r="N13" s="40" t="s">
        <v>13</v>
      </c>
      <c r="O13" s="40" t="s">
        <v>18</v>
      </c>
      <c r="P13" s="41"/>
    </row>
    <row r="14" spans="1:20" ht="25.5" customHeight="1" thickBot="1">
      <c r="A14" s="42"/>
      <c r="B14" s="43"/>
      <c r="C14" s="43"/>
      <c r="D14" s="44"/>
      <c r="E14" s="45"/>
      <c r="F14" s="46"/>
      <c r="G14" s="47"/>
      <c r="H14" s="47"/>
      <c r="I14" s="47"/>
      <c r="J14" s="47"/>
      <c r="K14" s="48" t="s">
        <v>19</v>
      </c>
      <c r="L14" s="49" t="s">
        <v>20</v>
      </c>
      <c r="M14" s="46"/>
      <c r="N14" s="47"/>
      <c r="O14" s="50" t="s">
        <v>21</v>
      </c>
      <c r="P14" s="51" t="s">
        <v>20</v>
      </c>
      <c r="Q14" s="10" t="s">
        <v>22</v>
      </c>
      <c r="T14" s="52"/>
    </row>
    <row r="15" spans="1:20" s="60" customFormat="1" ht="20.149999999999999" customHeight="1" thickTop="1">
      <c r="A15" s="53" t="s">
        <v>23</v>
      </c>
      <c r="B15" s="54"/>
      <c r="C15" s="55"/>
      <c r="D15" s="56"/>
      <c r="E15" s="57">
        <f t="shared" ref="E15:O15" si="0">E17+E261</f>
        <v>0</v>
      </c>
      <c r="F15" s="58">
        <f t="shared" si="0"/>
        <v>0</v>
      </c>
      <c r="G15" s="58">
        <f t="shared" si="0"/>
        <v>0</v>
      </c>
      <c r="H15" s="57">
        <f t="shared" si="0"/>
        <v>0</v>
      </c>
      <c r="I15" s="58">
        <f t="shared" si="0"/>
        <v>0</v>
      </c>
      <c r="J15" s="58">
        <f t="shared" si="0"/>
        <v>0</v>
      </c>
      <c r="K15" s="57">
        <f t="shared" si="0"/>
        <v>0</v>
      </c>
      <c r="L15" s="59" t="str">
        <f>IFERROR(K15/H15,"-")</f>
        <v>-</v>
      </c>
      <c r="M15" s="58">
        <f t="shared" si="0"/>
        <v>0</v>
      </c>
      <c r="N15" s="58">
        <f t="shared" si="0"/>
        <v>0</v>
      </c>
      <c r="O15" s="57">
        <f t="shared" si="0"/>
        <v>0</v>
      </c>
      <c r="P15" s="59" t="str">
        <f>IFERROR(O15/H15,"-")</f>
        <v>-</v>
      </c>
      <c r="Q15" s="60" t="str">
        <f>IF(OR(H15&gt;0,O15&gt;0),"ok","-")</f>
        <v>-</v>
      </c>
      <c r="S15" s="61"/>
      <c r="T15" s="62"/>
    </row>
    <row r="16" spans="1:20" s="60" customFormat="1" ht="20.149999999999999" customHeight="1">
      <c r="A16" s="63" t="s">
        <v>24</v>
      </c>
      <c r="B16" s="64"/>
      <c r="C16" s="65"/>
      <c r="D16" s="66"/>
      <c r="E16" s="67">
        <f t="shared" ref="E16:O16" si="1">E17+E264</f>
        <v>0</v>
      </c>
      <c r="F16" s="68">
        <f t="shared" si="1"/>
        <v>0</v>
      </c>
      <c r="G16" s="68">
        <f t="shared" si="1"/>
        <v>0</v>
      </c>
      <c r="H16" s="67">
        <f t="shared" si="1"/>
        <v>0</v>
      </c>
      <c r="I16" s="68">
        <f t="shared" si="1"/>
        <v>0</v>
      </c>
      <c r="J16" s="68">
        <f t="shared" si="1"/>
        <v>0</v>
      </c>
      <c r="K16" s="67">
        <f t="shared" si="1"/>
        <v>0</v>
      </c>
      <c r="L16" s="69" t="str">
        <f t="shared" ref="L16:L79" si="2">IFERROR(K16/H16,"-")</f>
        <v>-</v>
      </c>
      <c r="M16" s="68">
        <f t="shared" si="1"/>
        <v>0</v>
      </c>
      <c r="N16" s="68">
        <f t="shared" si="1"/>
        <v>0</v>
      </c>
      <c r="O16" s="67">
        <f t="shared" si="1"/>
        <v>0</v>
      </c>
      <c r="P16" s="69" t="str">
        <f t="shared" ref="P16:P79" si="3">IFERROR(O16/H16,"-")</f>
        <v>-</v>
      </c>
      <c r="Q16" s="60" t="str">
        <f t="shared" ref="Q16:Q79" si="4">IF(OR(H16&gt;0,O16&gt;0),"ok","-")</f>
        <v>-</v>
      </c>
      <c r="T16" s="62"/>
    </row>
    <row r="17" spans="1:20" s="60" customFormat="1" ht="20.149999999999999" customHeight="1">
      <c r="A17" s="63" t="s">
        <v>25</v>
      </c>
      <c r="B17" s="64"/>
      <c r="C17" s="65"/>
      <c r="D17" s="66"/>
      <c r="E17" s="67">
        <f t="shared" ref="E17:O17" si="5">E18+E259</f>
        <v>0</v>
      </c>
      <c r="F17" s="68">
        <f t="shared" si="5"/>
        <v>0</v>
      </c>
      <c r="G17" s="68">
        <f t="shared" si="5"/>
        <v>0</v>
      </c>
      <c r="H17" s="67">
        <f t="shared" si="5"/>
        <v>0</v>
      </c>
      <c r="I17" s="68">
        <f t="shared" si="5"/>
        <v>0</v>
      </c>
      <c r="J17" s="68">
        <f t="shared" si="5"/>
        <v>0</v>
      </c>
      <c r="K17" s="67">
        <f t="shared" si="5"/>
        <v>0</v>
      </c>
      <c r="L17" s="69" t="str">
        <f t="shared" si="2"/>
        <v>-</v>
      </c>
      <c r="M17" s="68">
        <f t="shared" si="5"/>
        <v>0</v>
      </c>
      <c r="N17" s="68">
        <f t="shared" si="5"/>
        <v>0</v>
      </c>
      <c r="O17" s="67">
        <f t="shared" si="5"/>
        <v>0</v>
      </c>
      <c r="P17" s="69" t="str">
        <f t="shared" si="3"/>
        <v>-</v>
      </c>
      <c r="Q17" s="60" t="str">
        <f t="shared" si="4"/>
        <v>-</v>
      </c>
      <c r="T17" s="62"/>
    </row>
    <row r="18" spans="1:20" s="77" customFormat="1" ht="20.149999999999999" customHeight="1">
      <c r="A18" s="70" t="s">
        <v>26</v>
      </c>
      <c r="B18" s="71"/>
      <c r="C18" s="72"/>
      <c r="D18" s="73"/>
      <c r="E18" s="74">
        <f t="shared" ref="E18:O18" si="6">E19+E82</f>
        <v>0</v>
      </c>
      <c r="F18" s="75">
        <f t="shared" si="6"/>
        <v>0</v>
      </c>
      <c r="G18" s="75">
        <f t="shared" si="6"/>
        <v>0</v>
      </c>
      <c r="H18" s="74">
        <f t="shared" si="6"/>
        <v>0</v>
      </c>
      <c r="I18" s="75">
        <f t="shared" si="6"/>
        <v>0</v>
      </c>
      <c r="J18" s="75">
        <f t="shared" si="6"/>
        <v>0</v>
      </c>
      <c r="K18" s="74">
        <f t="shared" si="6"/>
        <v>0</v>
      </c>
      <c r="L18" s="76" t="str">
        <f t="shared" si="2"/>
        <v>-</v>
      </c>
      <c r="M18" s="75">
        <f t="shared" si="6"/>
        <v>0</v>
      </c>
      <c r="N18" s="75">
        <f t="shared" si="6"/>
        <v>0</v>
      </c>
      <c r="O18" s="74">
        <f t="shared" si="6"/>
        <v>0</v>
      </c>
      <c r="P18" s="76" t="str">
        <f t="shared" si="3"/>
        <v>-</v>
      </c>
      <c r="Q18" s="77" t="str">
        <f t="shared" si="4"/>
        <v>-</v>
      </c>
      <c r="T18" s="78"/>
    </row>
    <row r="19" spans="1:20" s="86" customFormat="1" ht="20.149999999999999" customHeight="1">
      <c r="A19" s="79" t="s">
        <v>27</v>
      </c>
      <c r="B19" s="80"/>
      <c r="C19" s="81"/>
      <c r="D19" s="82"/>
      <c r="E19" s="83">
        <f t="shared" ref="E19:O19" si="7">E20+E65</f>
        <v>0</v>
      </c>
      <c r="F19" s="84">
        <f t="shared" si="7"/>
        <v>0</v>
      </c>
      <c r="G19" s="84">
        <f t="shared" si="7"/>
        <v>0</v>
      </c>
      <c r="H19" s="83">
        <f t="shared" si="7"/>
        <v>0</v>
      </c>
      <c r="I19" s="84">
        <f t="shared" si="7"/>
        <v>0</v>
      </c>
      <c r="J19" s="84">
        <f t="shared" si="7"/>
        <v>0</v>
      </c>
      <c r="K19" s="83">
        <f t="shared" si="7"/>
        <v>0</v>
      </c>
      <c r="L19" s="85" t="str">
        <f t="shared" si="2"/>
        <v>-</v>
      </c>
      <c r="M19" s="84">
        <f t="shared" si="7"/>
        <v>0</v>
      </c>
      <c r="N19" s="84">
        <f t="shared" si="7"/>
        <v>0</v>
      </c>
      <c r="O19" s="83">
        <f t="shared" si="7"/>
        <v>0</v>
      </c>
      <c r="P19" s="85" t="str">
        <f t="shared" si="3"/>
        <v>-</v>
      </c>
      <c r="Q19" s="86" t="str">
        <f t="shared" si="4"/>
        <v>-</v>
      </c>
      <c r="T19" s="87"/>
    </row>
    <row r="20" spans="1:20" s="95" customFormat="1" ht="20.149999999999999" customHeight="1">
      <c r="A20" s="88">
        <v>70</v>
      </c>
      <c r="B20" s="89"/>
      <c r="C20" s="90"/>
      <c r="D20" s="91" t="s">
        <v>28</v>
      </c>
      <c r="E20" s="92">
        <f t="shared" ref="E20:O20" si="8">E21+E28+E36+E43+E46+E50+E57+E62</f>
        <v>0</v>
      </c>
      <c r="F20" s="93">
        <f t="shared" si="8"/>
        <v>0</v>
      </c>
      <c r="G20" s="93">
        <f t="shared" si="8"/>
        <v>0</v>
      </c>
      <c r="H20" s="92">
        <f t="shared" si="8"/>
        <v>0</v>
      </c>
      <c r="I20" s="93">
        <f t="shared" si="8"/>
        <v>0</v>
      </c>
      <c r="J20" s="93">
        <f t="shared" si="8"/>
        <v>0</v>
      </c>
      <c r="K20" s="92">
        <f t="shared" si="8"/>
        <v>0</v>
      </c>
      <c r="L20" s="94" t="str">
        <f t="shared" si="2"/>
        <v>-</v>
      </c>
      <c r="M20" s="93">
        <f t="shared" si="8"/>
        <v>0</v>
      </c>
      <c r="N20" s="93">
        <f t="shared" si="8"/>
        <v>0</v>
      </c>
      <c r="O20" s="92">
        <f t="shared" si="8"/>
        <v>0</v>
      </c>
      <c r="P20" s="94" t="str">
        <f t="shared" si="3"/>
        <v>-</v>
      </c>
      <c r="Q20" s="95" t="str">
        <f t="shared" si="4"/>
        <v>-</v>
      </c>
      <c r="T20" s="96"/>
    </row>
    <row r="21" spans="1:20" s="104" customFormat="1" ht="20.149999999999999" customHeight="1">
      <c r="A21" s="97"/>
      <c r="B21" s="98">
        <v>7001</v>
      </c>
      <c r="C21" s="99"/>
      <c r="D21" s="100" t="s">
        <v>29</v>
      </c>
      <c r="E21" s="101">
        <f t="shared" ref="E21" si="9">SUM(E22:E27)</f>
        <v>0</v>
      </c>
      <c r="F21" s="102">
        <f t="shared" ref="F21:O21" si="10">SUM(F22:F27)</f>
        <v>0</v>
      </c>
      <c r="G21" s="102">
        <f t="shared" si="10"/>
        <v>0</v>
      </c>
      <c r="H21" s="101">
        <f t="shared" si="10"/>
        <v>0</v>
      </c>
      <c r="I21" s="102">
        <f t="shared" si="10"/>
        <v>0</v>
      </c>
      <c r="J21" s="102">
        <f t="shared" si="10"/>
        <v>0</v>
      </c>
      <c r="K21" s="101">
        <f t="shared" si="10"/>
        <v>0</v>
      </c>
      <c r="L21" s="103" t="str">
        <f t="shared" si="2"/>
        <v>-</v>
      </c>
      <c r="M21" s="102">
        <f t="shared" si="10"/>
        <v>0</v>
      </c>
      <c r="N21" s="102">
        <f t="shared" si="10"/>
        <v>0</v>
      </c>
      <c r="O21" s="101">
        <f t="shared" si="10"/>
        <v>0</v>
      </c>
      <c r="P21" s="103" t="str">
        <f t="shared" si="3"/>
        <v>-</v>
      </c>
      <c r="Q21" s="104" t="str">
        <f t="shared" si="4"/>
        <v>-</v>
      </c>
      <c r="T21" s="105"/>
    </row>
    <row r="22" spans="1:20" ht="20.149999999999999" customHeight="1">
      <c r="A22" s="106"/>
      <c r="B22" s="107"/>
      <c r="C22" s="108">
        <v>70011</v>
      </c>
      <c r="D22" s="109" t="s">
        <v>30</v>
      </c>
      <c r="E22" s="110"/>
      <c r="F22" s="110"/>
      <c r="G22" s="110"/>
      <c r="H22" s="110"/>
      <c r="I22" s="110"/>
      <c r="J22" s="110"/>
      <c r="K22" s="110">
        <f>SUM(I22:J22)</f>
        <v>0</v>
      </c>
      <c r="L22" s="111" t="str">
        <f t="shared" si="2"/>
        <v>-</v>
      </c>
      <c r="M22" s="110"/>
      <c r="N22" s="110"/>
      <c r="O22" s="110"/>
      <c r="P22" s="111" t="str">
        <f t="shared" si="3"/>
        <v>-</v>
      </c>
      <c r="Q22" s="10" t="str">
        <f t="shared" si="4"/>
        <v>-</v>
      </c>
      <c r="T22"/>
    </row>
    <row r="23" spans="1:20" ht="20.149999999999999" customHeight="1">
      <c r="A23" s="106"/>
      <c r="B23" s="107"/>
      <c r="C23" s="108">
        <v>70012</v>
      </c>
      <c r="D23" s="109" t="s">
        <v>31</v>
      </c>
      <c r="E23" s="110"/>
      <c r="F23" s="110"/>
      <c r="G23" s="110"/>
      <c r="H23" s="110"/>
      <c r="I23" s="110"/>
      <c r="J23" s="110"/>
      <c r="K23" s="110">
        <f t="shared" ref="K23:K27" si="11">SUM(I23:J23)</f>
        <v>0</v>
      </c>
      <c r="L23" s="111" t="str">
        <f t="shared" si="2"/>
        <v>-</v>
      </c>
      <c r="M23" s="110"/>
      <c r="N23" s="110"/>
      <c r="O23" s="110"/>
      <c r="P23" s="111" t="str">
        <f t="shared" si="3"/>
        <v>-</v>
      </c>
      <c r="Q23" s="10" t="str">
        <f t="shared" si="4"/>
        <v>-</v>
      </c>
      <c r="T23"/>
    </row>
    <row r="24" spans="1:20" ht="20.149999999999999" customHeight="1">
      <c r="A24" s="106"/>
      <c r="B24" s="107"/>
      <c r="C24" s="108">
        <v>70013</v>
      </c>
      <c r="D24" s="112" t="s">
        <v>32</v>
      </c>
      <c r="E24" s="110"/>
      <c r="F24" s="110"/>
      <c r="G24" s="110"/>
      <c r="H24" s="110"/>
      <c r="I24" s="110"/>
      <c r="J24" s="110"/>
      <c r="K24" s="110">
        <f t="shared" si="11"/>
        <v>0</v>
      </c>
      <c r="L24" s="111" t="str">
        <f t="shared" si="2"/>
        <v>-</v>
      </c>
      <c r="M24" s="110"/>
      <c r="N24" s="110"/>
      <c r="O24" s="110"/>
      <c r="P24" s="111" t="str">
        <f t="shared" si="3"/>
        <v>-</v>
      </c>
      <c r="Q24" s="10" t="str">
        <f t="shared" si="4"/>
        <v>-</v>
      </c>
      <c r="T24"/>
    </row>
    <row r="25" spans="1:20" ht="20.149999999999999" customHeight="1">
      <c r="A25" s="106"/>
      <c r="B25" s="107"/>
      <c r="C25" s="108">
        <v>70014</v>
      </c>
      <c r="D25" s="112" t="s">
        <v>33</v>
      </c>
      <c r="E25" s="110"/>
      <c r="F25" s="110"/>
      <c r="G25" s="110"/>
      <c r="H25" s="110"/>
      <c r="I25" s="110"/>
      <c r="J25" s="110"/>
      <c r="K25" s="110">
        <f t="shared" si="11"/>
        <v>0</v>
      </c>
      <c r="L25" s="111" t="str">
        <f t="shared" si="2"/>
        <v>-</v>
      </c>
      <c r="M25" s="110"/>
      <c r="N25" s="110"/>
      <c r="O25" s="110"/>
      <c r="P25" s="111" t="str">
        <f t="shared" si="3"/>
        <v>-</v>
      </c>
      <c r="Q25" s="10" t="str">
        <f t="shared" si="4"/>
        <v>-</v>
      </c>
      <c r="T25"/>
    </row>
    <row r="26" spans="1:20" ht="20.149999999999999" customHeight="1">
      <c r="A26" s="106"/>
      <c r="B26" s="107"/>
      <c r="C26" s="108">
        <v>70015</v>
      </c>
      <c r="D26" s="112" t="s">
        <v>34</v>
      </c>
      <c r="E26" s="110"/>
      <c r="F26" s="110"/>
      <c r="G26" s="110"/>
      <c r="H26" s="110"/>
      <c r="I26" s="110"/>
      <c r="J26" s="110"/>
      <c r="K26" s="110">
        <f t="shared" si="11"/>
        <v>0</v>
      </c>
      <c r="L26" s="111" t="str">
        <f t="shared" si="2"/>
        <v>-</v>
      </c>
      <c r="M26" s="110"/>
      <c r="N26" s="110"/>
      <c r="O26" s="110"/>
      <c r="P26" s="111" t="str">
        <f t="shared" si="3"/>
        <v>-</v>
      </c>
      <c r="Q26" s="10" t="str">
        <f t="shared" si="4"/>
        <v>-</v>
      </c>
      <c r="T26"/>
    </row>
    <row r="27" spans="1:20" ht="20.149999999999999" customHeight="1">
      <c r="A27" s="106"/>
      <c r="B27" s="107"/>
      <c r="C27" s="108">
        <v>70016</v>
      </c>
      <c r="D27" s="113" t="s">
        <v>35</v>
      </c>
      <c r="E27" s="110"/>
      <c r="F27" s="110"/>
      <c r="G27" s="110"/>
      <c r="H27" s="110"/>
      <c r="I27" s="110"/>
      <c r="J27" s="110"/>
      <c r="K27" s="110">
        <f t="shared" si="11"/>
        <v>0</v>
      </c>
      <c r="L27" s="111" t="str">
        <f t="shared" si="2"/>
        <v>-</v>
      </c>
      <c r="M27" s="110"/>
      <c r="N27" s="110"/>
      <c r="O27" s="110"/>
      <c r="P27" s="111" t="str">
        <f t="shared" si="3"/>
        <v>-</v>
      </c>
      <c r="Q27" s="10" t="str">
        <f t="shared" si="4"/>
        <v>-</v>
      </c>
      <c r="T27"/>
    </row>
    <row r="28" spans="1:20" s="104" customFormat="1" ht="20.149999999999999" customHeight="1">
      <c r="A28" s="114"/>
      <c r="B28" s="98">
        <v>7002</v>
      </c>
      <c r="C28" s="99"/>
      <c r="D28" s="100" t="s">
        <v>36</v>
      </c>
      <c r="E28" s="101">
        <f t="shared" ref="E28:O28" si="12">SUM(E29:E35)</f>
        <v>0</v>
      </c>
      <c r="F28" s="102">
        <f t="shared" si="12"/>
        <v>0</v>
      </c>
      <c r="G28" s="102">
        <f t="shared" si="12"/>
        <v>0</v>
      </c>
      <c r="H28" s="101">
        <f t="shared" si="12"/>
        <v>0</v>
      </c>
      <c r="I28" s="102">
        <f t="shared" si="12"/>
        <v>0</v>
      </c>
      <c r="J28" s="102">
        <f t="shared" si="12"/>
        <v>0</v>
      </c>
      <c r="K28" s="101">
        <f t="shared" si="12"/>
        <v>0</v>
      </c>
      <c r="L28" s="103" t="str">
        <f t="shared" si="2"/>
        <v>-</v>
      </c>
      <c r="M28" s="102">
        <f t="shared" si="12"/>
        <v>0</v>
      </c>
      <c r="N28" s="102">
        <f t="shared" si="12"/>
        <v>0</v>
      </c>
      <c r="O28" s="101">
        <f t="shared" si="12"/>
        <v>0</v>
      </c>
      <c r="P28" s="103" t="str">
        <f t="shared" si="3"/>
        <v>-</v>
      </c>
      <c r="Q28" s="104" t="str">
        <f t="shared" si="4"/>
        <v>-</v>
      </c>
      <c r="T28" s="105"/>
    </row>
    <row r="29" spans="1:20" ht="20.149999999999999" customHeight="1">
      <c r="A29" s="106"/>
      <c r="B29" s="115"/>
      <c r="C29" s="108">
        <v>70021</v>
      </c>
      <c r="D29" s="113" t="s">
        <v>37</v>
      </c>
      <c r="E29" s="110"/>
      <c r="F29" s="110"/>
      <c r="G29" s="110"/>
      <c r="H29" s="110"/>
      <c r="I29" s="110"/>
      <c r="J29" s="110"/>
      <c r="K29" s="110">
        <f t="shared" ref="K29:K35" si="13">SUM(I29:J29)</f>
        <v>0</v>
      </c>
      <c r="L29" s="111" t="str">
        <f t="shared" si="2"/>
        <v>-</v>
      </c>
      <c r="M29" s="110"/>
      <c r="N29" s="110"/>
      <c r="O29" s="110"/>
      <c r="P29" s="111" t="str">
        <f t="shared" si="3"/>
        <v>-</v>
      </c>
      <c r="Q29" s="10" t="str">
        <f t="shared" si="4"/>
        <v>-</v>
      </c>
      <c r="T29"/>
    </row>
    <row r="30" spans="1:20" ht="20.149999999999999" customHeight="1">
      <c r="A30" s="116"/>
      <c r="B30" s="117"/>
      <c r="C30" s="118">
        <v>70022</v>
      </c>
      <c r="D30" s="113" t="s">
        <v>38</v>
      </c>
      <c r="E30" s="110"/>
      <c r="F30" s="110"/>
      <c r="G30" s="110"/>
      <c r="H30" s="110"/>
      <c r="I30" s="110"/>
      <c r="J30" s="110"/>
      <c r="K30" s="110">
        <f t="shared" si="13"/>
        <v>0</v>
      </c>
      <c r="L30" s="111" t="str">
        <f t="shared" si="2"/>
        <v>-</v>
      </c>
      <c r="M30" s="110"/>
      <c r="N30" s="110"/>
      <c r="O30" s="110"/>
      <c r="P30" s="111" t="str">
        <f t="shared" si="3"/>
        <v>-</v>
      </c>
      <c r="Q30" s="10" t="str">
        <f t="shared" si="4"/>
        <v>-</v>
      </c>
      <c r="T30"/>
    </row>
    <row r="31" spans="1:20" ht="20.149999999999999" customHeight="1">
      <c r="A31" s="116"/>
      <c r="B31" s="117"/>
      <c r="C31" s="119">
        <v>70023</v>
      </c>
      <c r="D31" s="113" t="s">
        <v>39</v>
      </c>
      <c r="E31" s="110"/>
      <c r="F31" s="110"/>
      <c r="G31" s="110"/>
      <c r="H31" s="110"/>
      <c r="I31" s="110"/>
      <c r="J31" s="110"/>
      <c r="K31" s="110">
        <f t="shared" si="13"/>
        <v>0</v>
      </c>
      <c r="L31" s="111" t="str">
        <f t="shared" si="2"/>
        <v>-</v>
      </c>
      <c r="M31" s="110"/>
      <c r="N31" s="110"/>
      <c r="O31" s="110"/>
      <c r="P31" s="111" t="str">
        <f t="shared" si="3"/>
        <v>-</v>
      </c>
      <c r="Q31" s="10" t="str">
        <f t="shared" si="4"/>
        <v>-</v>
      </c>
      <c r="T31"/>
    </row>
    <row r="32" spans="1:20" ht="20.149999999999999" customHeight="1">
      <c r="A32" s="116"/>
      <c r="B32" s="117"/>
      <c r="C32" s="119">
        <v>70024</v>
      </c>
      <c r="D32" s="113" t="s">
        <v>40</v>
      </c>
      <c r="E32" s="110"/>
      <c r="F32" s="110"/>
      <c r="G32" s="110"/>
      <c r="H32" s="110"/>
      <c r="I32" s="110"/>
      <c r="J32" s="110"/>
      <c r="K32" s="110">
        <f t="shared" si="13"/>
        <v>0</v>
      </c>
      <c r="L32" s="111" t="str">
        <f t="shared" si="2"/>
        <v>-</v>
      </c>
      <c r="M32" s="110"/>
      <c r="N32" s="110"/>
      <c r="O32" s="110"/>
      <c r="P32" s="111" t="str">
        <f t="shared" si="3"/>
        <v>-</v>
      </c>
      <c r="Q32" s="10" t="str">
        <f t="shared" si="4"/>
        <v>-</v>
      </c>
      <c r="T32"/>
    </row>
    <row r="33" spans="1:20" ht="20.149999999999999" customHeight="1">
      <c r="A33" s="116"/>
      <c r="B33" s="117"/>
      <c r="C33" s="119">
        <v>70025</v>
      </c>
      <c r="D33" s="113" t="s">
        <v>41</v>
      </c>
      <c r="E33" s="110"/>
      <c r="F33" s="110"/>
      <c r="G33" s="110"/>
      <c r="H33" s="110"/>
      <c r="I33" s="110"/>
      <c r="J33" s="110"/>
      <c r="K33" s="110">
        <f t="shared" si="13"/>
        <v>0</v>
      </c>
      <c r="L33" s="111" t="str">
        <f t="shared" si="2"/>
        <v>-</v>
      </c>
      <c r="M33" s="110"/>
      <c r="N33" s="110"/>
      <c r="O33" s="110"/>
      <c r="P33" s="111" t="str">
        <f t="shared" si="3"/>
        <v>-</v>
      </c>
      <c r="Q33" s="10" t="str">
        <f t="shared" si="4"/>
        <v>-</v>
      </c>
      <c r="T33"/>
    </row>
    <row r="34" spans="1:20" ht="20.149999999999999" customHeight="1">
      <c r="A34" s="116"/>
      <c r="B34" s="117"/>
      <c r="C34" s="119">
        <v>70026</v>
      </c>
      <c r="D34" s="113" t="s">
        <v>42</v>
      </c>
      <c r="E34" s="110"/>
      <c r="F34" s="110"/>
      <c r="G34" s="110"/>
      <c r="H34" s="110"/>
      <c r="I34" s="110"/>
      <c r="J34" s="110"/>
      <c r="K34" s="110">
        <f t="shared" si="13"/>
        <v>0</v>
      </c>
      <c r="L34" s="111" t="str">
        <f t="shared" si="2"/>
        <v>-</v>
      </c>
      <c r="M34" s="110"/>
      <c r="N34" s="110"/>
      <c r="O34" s="110"/>
      <c r="P34" s="111" t="str">
        <f t="shared" si="3"/>
        <v>-</v>
      </c>
      <c r="Q34" s="10" t="str">
        <f t="shared" si="4"/>
        <v>-</v>
      </c>
      <c r="T34"/>
    </row>
    <row r="35" spans="1:20" ht="20.149999999999999" customHeight="1">
      <c r="A35" s="116"/>
      <c r="B35" s="117"/>
      <c r="C35" s="119">
        <v>70027</v>
      </c>
      <c r="D35" s="113" t="s">
        <v>43</v>
      </c>
      <c r="E35" s="110"/>
      <c r="F35" s="110"/>
      <c r="G35" s="110"/>
      <c r="H35" s="110"/>
      <c r="I35" s="110"/>
      <c r="J35" s="110"/>
      <c r="K35" s="110">
        <f t="shared" si="13"/>
        <v>0</v>
      </c>
      <c r="L35" s="111" t="str">
        <f t="shared" si="2"/>
        <v>-</v>
      </c>
      <c r="M35" s="110"/>
      <c r="N35" s="110"/>
      <c r="O35" s="110"/>
      <c r="P35" s="111" t="str">
        <f t="shared" si="3"/>
        <v>-</v>
      </c>
      <c r="Q35" s="10" t="str">
        <f t="shared" si="4"/>
        <v>-</v>
      </c>
      <c r="T35"/>
    </row>
    <row r="36" spans="1:20" s="104" customFormat="1" ht="20.149999999999999" customHeight="1">
      <c r="A36" s="120"/>
      <c r="B36" s="98">
        <v>7003</v>
      </c>
      <c r="C36" s="99"/>
      <c r="D36" s="100" t="s">
        <v>44</v>
      </c>
      <c r="E36" s="101">
        <f t="shared" ref="E36:O36" si="14">SUM(E37:E42)</f>
        <v>0</v>
      </c>
      <c r="F36" s="102">
        <f t="shared" si="14"/>
        <v>0</v>
      </c>
      <c r="G36" s="102">
        <f t="shared" si="14"/>
        <v>0</v>
      </c>
      <c r="H36" s="101">
        <f t="shared" si="14"/>
        <v>0</v>
      </c>
      <c r="I36" s="102">
        <f t="shared" si="14"/>
        <v>0</v>
      </c>
      <c r="J36" s="102">
        <f t="shared" si="14"/>
        <v>0</v>
      </c>
      <c r="K36" s="101">
        <f t="shared" si="14"/>
        <v>0</v>
      </c>
      <c r="L36" s="103" t="str">
        <f t="shared" si="2"/>
        <v>-</v>
      </c>
      <c r="M36" s="102">
        <f t="shared" si="14"/>
        <v>0</v>
      </c>
      <c r="N36" s="102">
        <f t="shared" si="14"/>
        <v>0</v>
      </c>
      <c r="O36" s="101">
        <f t="shared" si="14"/>
        <v>0</v>
      </c>
      <c r="P36" s="103" t="str">
        <f t="shared" si="3"/>
        <v>-</v>
      </c>
      <c r="Q36" s="104" t="str">
        <f t="shared" si="4"/>
        <v>-</v>
      </c>
      <c r="T36" s="105"/>
    </row>
    <row r="37" spans="1:20" ht="20.149999999999999" customHeight="1">
      <c r="A37" s="116"/>
      <c r="B37" s="117"/>
      <c r="C37" s="119">
        <v>70031</v>
      </c>
      <c r="D37" s="113" t="s">
        <v>45</v>
      </c>
      <c r="E37" s="110"/>
      <c r="F37" s="110"/>
      <c r="G37" s="110"/>
      <c r="H37" s="110"/>
      <c r="I37" s="110"/>
      <c r="J37" s="110"/>
      <c r="K37" s="110">
        <f t="shared" ref="K37:K42" si="15">SUM(I37:J37)</f>
        <v>0</v>
      </c>
      <c r="L37" s="111" t="str">
        <f t="shared" si="2"/>
        <v>-</v>
      </c>
      <c r="M37" s="110"/>
      <c r="N37" s="110"/>
      <c r="O37" s="110"/>
      <c r="P37" s="111" t="str">
        <f t="shared" si="3"/>
        <v>-</v>
      </c>
      <c r="Q37" s="10" t="str">
        <f t="shared" si="4"/>
        <v>-</v>
      </c>
      <c r="T37"/>
    </row>
    <row r="38" spans="1:20" ht="20.149999999999999" customHeight="1">
      <c r="A38" s="116"/>
      <c r="B38" s="117"/>
      <c r="C38" s="119">
        <v>70032</v>
      </c>
      <c r="D38" s="113" t="s">
        <v>46</v>
      </c>
      <c r="E38" s="110"/>
      <c r="F38" s="110"/>
      <c r="G38" s="110"/>
      <c r="H38" s="110"/>
      <c r="I38" s="110"/>
      <c r="J38" s="110"/>
      <c r="K38" s="110">
        <f t="shared" si="15"/>
        <v>0</v>
      </c>
      <c r="L38" s="111" t="str">
        <f t="shared" si="2"/>
        <v>-</v>
      </c>
      <c r="M38" s="110"/>
      <c r="N38" s="110"/>
      <c r="O38" s="110"/>
      <c r="P38" s="111" t="str">
        <f t="shared" si="3"/>
        <v>-</v>
      </c>
      <c r="Q38" s="10" t="str">
        <f t="shared" si="4"/>
        <v>-</v>
      </c>
      <c r="T38"/>
    </row>
    <row r="39" spans="1:20" ht="20.149999999999999" customHeight="1">
      <c r="A39" s="116"/>
      <c r="B39" s="117"/>
      <c r="C39" s="119">
        <v>70033</v>
      </c>
      <c r="D39" s="113" t="s">
        <v>47</v>
      </c>
      <c r="E39" s="110"/>
      <c r="F39" s="110"/>
      <c r="G39" s="110"/>
      <c r="H39" s="110"/>
      <c r="I39" s="110"/>
      <c r="J39" s="110"/>
      <c r="K39" s="110">
        <f t="shared" si="15"/>
        <v>0</v>
      </c>
      <c r="L39" s="111" t="str">
        <f t="shared" si="2"/>
        <v>-</v>
      </c>
      <c r="M39" s="110"/>
      <c r="N39" s="110"/>
      <c r="O39" s="110"/>
      <c r="P39" s="111" t="str">
        <f t="shared" si="3"/>
        <v>-</v>
      </c>
      <c r="Q39" s="10" t="str">
        <f t="shared" si="4"/>
        <v>-</v>
      </c>
      <c r="T39"/>
    </row>
    <row r="40" spans="1:20" ht="20.149999999999999" customHeight="1">
      <c r="A40" s="116"/>
      <c r="B40" s="117"/>
      <c r="C40" s="119">
        <v>70034</v>
      </c>
      <c r="D40" s="113" t="s">
        <v>48</v>
      </c>
      <c r="E40" s="110"/>
      <c r="F40" s="110"/>
      <c r="G40" s="110"/>
      <c r="H40" s="110"/>
      <c r="I40" s="110"/>
      <c r="J40" s="110"/>
      <c r="K40" s="110">
        <f t="shared" si="15"/>
        <v>0</v>
      </c>
      <c r="L40" s="111" t="str">
        <f t="shared" si="2"/>
        <v>-</v>
      </c>
      <c r="M40" s="110"/>
      <c r="N40" s="110"/>
      <c r="O40" s="110"/>
      <c r="P40" s="111" t="str">
        <f t="shared" si="3"/>
        <v>-</v>
      </c>
      <c r="Q40" s="10" t="str">
        <f t="shared" si="4"/>
        <v>-</v>
      </c>
      <c r="T40"/>
    </row>
    <row r="41" spans="1:20" ht="20.149999999999999" customHeight="1">
      <c r="A41" s="116"/>
      <c r="B41" s="117"/>
      <c r="C41" s="119">
        <v>70035</v>
      </c>
      <c r="D41" s="113" t="s">
        <v>49</v>
      </c>
      <c r="E41" s="110"/>
      <c r="F41" s="110"/>
      <c r="G41" s="110"/>
      <c r="H41" s="110"/>
      <c r="I41" s="110"/>
      <c r="J41" s="110"/>
      <c r="K41" s="110">
        <f t="shared" si="15"/>
        <v>0</v>
      </c>
      <c r="L41" s="111" t="str">
        <f t="shared" si="2"/>
        <v>-</v>
      </c>
      <c r="M41" s="110"/>
      <c r="N41" s="110"/>
      <c r="O41" s="110"/>
      <c r="P41" s="111" t="str">
        <f t="shared" si="3"/>
        <v>-</v>
      </c>
      <c r="Q41" s="10" t="str">
        <f t="shared" si="4"/>
        <v>-</v>
      </c>
      <c r="T41"/>
    </row>
    <row r="42" spans="1:20" ht="20.149999999999999" customHeight="1">
      <c r="A42" s="116"/>
      <c r="B42" s="117"/>
      <c r="C42" s="119">
        <v>70038</v>
      </c>
      <c r="D42" s="113" t="s">
        <v>50</v>
      </c>
      <c r="E42" s="110"/>
      <c r="F42" s="110"/>
      <c r="G42" s="110"/>
      <c r="H42" s="110"/>
      <c r="I42" s="110"/>
      <c r="J42" s="110"/>
      <c r="K42" s="110">
        <f t="shared" si="15"/>
        <v>0</v>
      </c>
      <c r="L42" s="111" t="str">
        <f t="shared" si="2"/>
        <v>-</v>
      </c>
      <c r="M42" s="110"/>
      <c r="N42" s="110"/>
      <c r="O42" s="110"/>
      <c r="P42" s="111" t="str">
        <f t="shared" si="3"/>
        <v>-</v>
      </c>
      <c r="Q42" s="10" t="str">
        <f t="shared" si="4"/>
        <v>-</v>
      </c>
      <c r="T42"/>
    </row>
    <row r="43" spans="1:20" s="104" customFormat="1" ht="20.149999999999999" customHeight="1">
      <c r="A43" s="120"/>
      <c r="B43" s="98">
        <v>7004</v>
      </c>
      <c r="C43" s="99"/>
      <c r="D43" s="100" t="s">
        <v>51</v>
      </c>
      <c r="E43" s="101">
        <f t="shared" ref="E43:O43" si="16">SUM(E44:E45)</f>
        <v>0</v>
      </c>
      <c r="F43" s="102">
        <f t="shared" si="16"/>
        <v>0</v>
      </c>
      <c r="G43" s="102">
        <f t="shared" si="16"/>
        <v>0</v>
      </c>
      <c r="H43" s="101">
        <f t="shared" si="16"/>
        <v>0</v>
      </c>
      <c r="I43" s="102">
        <f t="shared" si="16"/>
        <v>0</v>
      </c>
      <c r="J43" s="102">
        <f t="shared" si="16"/>
        <v>0</v>
      </c>
      <c r="K43" s="101">
        <f t="shared" si="16"/>
        <v>0</v>
      </c>
      <c r="L43" s="103" t="str">
        <f t="shared" si="2"/>
        <v>-</v>
      </c>
      <c r="M43" s="102">
        <f t="shared" si="16"/>
        <v>0</v>
      </c>
      <c r="N43" s="102">
        <f t="shared" si="16"/>
        <v>0</v>
      </c>
      <c r="O43" s="101">
        <f t="shared" si="16"/>
        <v>0</v>
      </c>
      <c r="P43" s="103" t="str">
        <f t="shared" si="3"/>
        <v>-</v>
      </c>
      <c r="Q43" s="104" t="str">
        <f t="shared" si="4"/>
        <v>-</v>
      </c>
      <c r="T43" s="105"/>
    </row>
    <row r="44" spans="1:20" ht="20.149999999999999" customHeight="1">
      <c r="A44" s="116"/>
      <c r="B44" s="117"/>
      <c r="C44" s="119">
        <v>70045</v>
      </c>
      <c r="D44" s="113" t="s">
        <v>52</v>
      </c>
      <c r="E44" s="110"/>
      <c r="F44" s="110"/>
      <c r="G44" s="110"/>
      <c r="H44" s="110"/>
      <c r="I44" s="110"/>
      <c r="J44" s="110"/>
      <c r="K44" s="110">
        <f t="shared" ref="K44:K45" si="17">SUM(I44:J44)</f>
        <v>0</v>
      </c>
      <c r="L44" s="111" t="str">
        <f t="shared" si="2"/>
        <v>-</v>
      </c>
      <c r="M44" s="110"/>
      <c r="N44" s="110"/>
      <c r="O44" s="110"/>
      <c r="P44" s="111" t="str">
        <f t="shared" si="3"/>
        <v>-</v>
      </c>
      <c r="Q44" s="10" t="str">
        <f t="shared" si="4"/>
        <v>-</v>
      </c>
      <c r="T44"/>
    </row>
    <row r="45" spans="1:20" ht="20.149999999999999" customHeight="1">
      <c r="A45" s="116"/>
      <c r="B45" s="117"/>
      <c r="C45" s="119">
        <v>70046</v>
      </c>
      <c r="D45" s="113" t="s">
        <v>53</v>
      </c>
      <c r="E45" s="110"/>
      <c r="F45" s="110"/>
      <c r="G45" s="110"/>
      <c r="H45" s="110"/>
      <c r="I45" s="110"/>
      <c r="J45" s="110"/>
      <c r="K45" s="110">
        <f t="shared" si="17"/>
        <v>0</v>
      </c>
      <c r="L45" s="111" t="str">
        <f t="shared" si="2"/>
        <v>-</v>
      </c>
      <c r="M45" s="110"/>
      <c r="N45" s="110"/>
      <c r="O45" s="110"/>
      <c r="P45" s="111" t="str">
        <f t="shared" si="3"/>
        <v>-</v>
      </c>
      <c r="Q45" s="10" t="str">
        <f t="shared" si="4"/>
        <v>-</v>
      </c>
      <c r="T45"/>
    </row>
    <row r="46" spans="1:20" s="104" customFormat="1" ht="20.149999999999999" customHeight="1">
      <c r="A46" s="120"/>
      <c r="B46" s="98">
        <v>7005</v>
      </c>
      <c r="C46" s="99"/>
      <c r="D46" s="100" t="s">
        <v>54</v>
      </c>
      <c r="E46" s="101">
        <f t="shared" ref="E46:O46" si="18">SUM(E47:E49)</f>
        <v>0</v>
      </c>
      <c r="F46" s="102">
        <f t="shared" si="18"/>
        <v>0</v>
      </c>
      <c r="G46" s="102">
        <f t="shared" si="18"/>
        <v>0</v>
      </c>
      <c r="H46" s="101">
        <f t="shared" si="18"/>
        <v>0</v>
      </c>
      <c r="I46" s="102">
        <f t="shared" si="18"/>
        <v>0</v>
      </c>
      <c r="J46" s="102">
        <f t="shared" si="18"/>
        <v>0</v>
      </c>
      <c r="K46" s="101">
        <f t="shared" si="18"/>
        <v>0</v>
      </c>
      <c r="L46" s="103" t="str">
        <f t="shared" si="2"/>
        <v>-</v>
      </c>
      <c r="M46" s="102">
        <f t="shared" si="18"/>
        <v>0</v>
      </c>
      <c r="N46" s="102">
        <f t="shared" si="18"/>
        <v>0</v>
      </c>
      <c r="O46" s="101">
        <f t="shared" si="18"/>
        <v>0</v>
      </c>
      <c r="P46" s="103" t="str">
        <f t="shared" si="3"/>
        <v>-</v>
      </c>
      <c r="Q46" s="104" t="str">
        <f t="shared" si="4"/>
        <v>-</v>
      </c>
      <c r="T46" s="105"/>
    </row>
    <row r="47" spans="1:20" ht="20.149999999999999" customHeight="1">
      <c r="A47" s="116"/>
      <c r="B47" s="117"/>
      <c r="C47" s="119">
        <v>70053</v>
      </c>
      <c r="D47" s="113" t="s">
        <v>55</v>
      </c>
      <c r="E47" s="110"/>
      <c r="F47" s="110"/>
      <c r="G47" s="110"/>
      <c r="H47" s="110"/>
      <c r="I47" s="110"/>
      <c r="J47" s="110"/>
      <c r="K47" s="110">
        <f t="shared" ref="K47:K49" si="19">SUM(I47:J47)</f>
        <v>0</v>
      </c>
      <c r="L47" s="111" t="str">
        <f t="shared" si="2"/>
        <v>-</v>
      </c>
      <c r="M47" s="110"/>
      <c r="N47" s="110"/>
      <c r="O47" s="110"/>
      <c r="P47" s="111" t="str">
        <f t="shared" si="3"/>
        <v>-</v>
      </c>
      <c r="Q47" s="10" t="str">
        <f t="shared" si="4"/>
        <v>-</v>
      </c>
      <c r="T47"/>
    </row>
    <row r="48" spans="1:20" ht="20.149999999999999" customHeight="1">
      <c r="A48" s="116"/>
      <c r="B48" s="117"/>
      <c r="C48" s="119">
        <v>70054</v>
      </c>
      <c r="D48" s="113" t="s">
        <v>56</v>
      </c>
      <c r="E48" s="110"/>
      <c r="F48" s="110"/>
      <c r="G48" s="110"/>
      <c r="H48" s="110"/>
      <c r="I48" s="110"/>
      <c r="J48" s="110"/>
      <c r="K48" s="110">
        <f t="shared" si="19"/>
        <v>0</v>
      </c>
      <c r="L48" s="111" t="str">
        <f t="shared" si="2"/>
        <v>-</v>
      </c>
      <c r="M48" s="110"/>
      <c r="N48" s="110"/>
      <c r="O48" s="110"/>
      <c r="P48" s="111" t="str">
        <f t="shared" si="3"/>
        <v>-</v>
      </c>
      <c r="Q48" s="10" t="str">
        <f t="shared" si="4"/>
        <v>-</v>
      </c>
      <c r="T48"/>
    </row>
    <row r="49" spans="1:20" ht="20.149999999999999" customHeight="1">
      <c r="A49" s="116"/>
      <c r="B49" s="117"/>
      <c r="C49" s="119">
        <v>70055</v>
      </c>
      <c r="D49" s="113" t="s">
        <v>57</v>
      </c>
      <c r="E49" s="110"/>
      <c r="F49" s="110"/>
      <c r="G49" s="110"/>
      <c r="H49" s="110"/>
      <c r="I49" s="110"/>
      <c r="J49" s="110"/>
      <c r="K49" s="110">
        <f t="shared" si="19"/>
        <v>0</v>
      </c>
      <c r="L49" s="111" t="str">
        <f t="shared" si="2"/>
        <v>-</v>
      </c>
      <c r="M49" s="110"/>
      <c r="N49" s="110"/>
      <c r="O49" s="110"/>
      <c r="P49" s="111" t="str">
        <f t="shared" si="3"/>
        <v>-</v>
      </c>
      <c r="Q49" s="10" t="str">
        <f t="shared" si="4"/>
        <v>-</v>
      </c>
      <c r="T49"/>
    </row>
    <row r="50" spans="1:20" s="104" customFormat="1" ht="20.149999999999999" customHeight="1">
      <c r="A50" s="120"/>
      <c r="B50" s="98">
        <v>7006</v>
      </c>
      <c r="C50" s="99"/>
      <c r="D50" s="100" t="s">
        <v>58</v>
      </c>
      <c r="E50" s="101">
        <f t="shared" ref="E50:O50" si="20">SUM(E51:E56)</f>
        <v>0</v>
      </c>
      <c r="F50" s="102">
        <f t="shared" si="20"/>
        <v>0</v>
      </c>
      <c r="G50" s="102">
        <f t="shared" si="20"/>
        <v>0</v>
      </c>
      <c r="H50" s="101">
        <f t="shared" si="20"/>
        <v>0</v>
      </c>
      <c r="I50" s="102">
        <f t="shared" si="20"/>
        <v>0</v>
      </c>
      <c r="J50" s="102">
        <f t="shared" si="20"/>
        <v>0</v>
      </c>
      <c r="K50" s="101">
        <f t="shared" si="20"/>
        <v>0</v>
      </c>
      <c r="L50" s="103" t="str">
        <f t="shared" si="2"/>
        <v>-</v>
      </c>
      <c r="M50" s="102">
        <f t="shared" si="20"/>
        <v>0</v>
      </c>
      <c r="N50" s="102">
        <f t="shared" si="20"/>
        <v>0</v>
      </c>
      <c r="O50" s="101">
        <f t="shared" si="20"/>
        <v>0</v>
      </c>
      <c r="P50" s="103" t="str">
        <f t="shared" si="3"/>
        <v>-</v>
      </c>
      <c r="Q50" s="104" t="str">
        <f t="shared" si="4"/>
        <v>-</v>
      </c>
      <c r="T50" s="105"/>
    </row>
    <row r="51" spans="1:20" ht="20.149999999999999" customHeight="1">
      <c r="A51" s="116"/>
      <c r="B51" s="117"/>
      <c r="C51" s="119">
        <v>70061</v>
      </c>
      <c r="D51" s="113" t="s">
        <v>59</v>
      </c>
      <c r="E51" s="110"/>
      <c r="F51" s="110"/>
      <c r="G51" s="110"/>
      <c r="H51" s="110"/>
      <c r="I51" s="110"/>
      <c r="J51" s="110"/>
      <c r="K51" s="110">
        <f t="shared" ref="K51:K56" si="21">SUM(I51:J51)</f>
        <v>0</v>
      </c>
      <c r="L51" s="111" t="str">
        <f t="shared" si="2"/>
        <v>-</v>
      </c>
      <c r="M51" s="110"/>
      <c r="N51" s="110"/>
      <c r="O51" s="110"/>
      <c r="P51" s="111" t="str">
        <f t="shared" si="3"/>
        <v>-</v>
      </c>
      <c r="Q51" s="10" t="str">
        <f t="shared" si="4"/>
        <v>-</v>
      </c>
      <c r="T51"/>
    </row>
    <row r="52" spans="1:20" ht="20.149999999999999" customHeight="1">
      <c r="A52" s="116"/>
      <c r="B52" s="117"/>
      <c r="C52" s="119">
        <v>70062</v>
      </c>
      <c r="D52" s="113" t="s">
        <v>60</v>
      </c>
      <c r="E52" s="110"/>
      <c r="F52" s="110"/>
      <c r="G52" s="110"/>
      <c r="H52" s="110"/>
      <c r="I52" s="110"/>
      <c r="J52" s="110"/>
      <c r="K52" s="110">
        <f t="shared" si="21"/>
        <v>0</v>
      </c>
      <c r="L52" s="111" t="str">
        <f t="shared" si="2"/>
        <v>-</v>
      </c>
      <c r="M52" s="110"/>
      <c r="N52" s="110"/>
      <c r="O52" s="110"/>
      <c r="P52" s="111" t="str">
        <f t="shared" si="3"/>
        <v>-</v>
      </c>
      <c r="Q52" s="10" t="str">
        <f t="shared" si="4"/>
        <v>-</v>
      </c>
      <c r="T52"/>
    </row>
    <row r="53" spans="1:20" ht="20.149999999999999" customHeight="1">
      <c r="A53" s="116"/>
      <c r="B53" s="117"/>
      <c r="C53" s="119">
        <v>70063</v>
      </c>
      <c r="D53" s="113" t="s">
        <v>61</v>
      </c>
      <c r="E53" s="110"/>
      <c r="F53" s="110"/>
      <c r="G53" s="110"/>
      <c r="H53" s="110"/>
      <c r="I53" s="110"/>
      <c r="J53" s="110"/>
      <c r="K53" s="110">
        <f t="shared" si="21"/>
        <v>0</v>
      </c>
      <c r="L53" s="111" t="str">
        <f t="shared" si="2"/>
        <v>-</v>
      </c>
      <c r="M53" s="110"/>
      <c r="N53" s="110"/>
      <c r="O53" s="110"/>
      <c r="P53" s="111" t="str">
        <f t="shared" si="3"/>
        <v>-</v>
      </c>
      <c r="Q53" s="10" t="str">
        <f t="shared" si="4"/>
        <v>-</v>
      </c>
      <c r="T53"/>
    </row>
    <row r="54" spans="1:20" ht="20.149999999999999" customHeight="1">
      <c r="A54" s="116"/>
      <c r="B54" s="117"/>
      <c r="C54" s="119">
        <v>70064</v>
      </c>
      <c r="D54" s="113" t="s">
        <v>62</v>
      </c>
      <c r="E54" s="110"/>
      <c r="F54" s="110"/>
      <c r="G54" s="110"/>
      <c r="H54" s="110"/>
      <c r="I54" s="110"/>
      <c r="J54" s="110"/>
      <c r="K54" s="110">
        <f t="shared" si="21"/>
        <v>0</v>
      </c>
      <c r="L54" s="111" t="str">
        <f t="shared" si="2"/>
        <v>-</v>
      </c>
      <c r="M54" s="110"/>
      <c r="N54" s="110"/>
      <c r="O54" s="110"/>
      <c r="P54" s="111" t="str">
        <f t="shared" si="3"/>
        <v>-</v>
      </c>
      <c r="Q54" s="10" t="str">
        <f t="shared" si="4"/>
        <v>-</v>
      </c>
      <c r="T54"/>
    </row>
    <row r="55" spans="1:20" ht="20.149999999999999" customHeight="1">
      <c r="A55" s="116"/>
      <c r="B55" s="117"/>
      <c r="C55" s="119">
        <v>70065</v>
      </c>
      <c r="D55" s="113" t="s">
        <v>63</v>
      </c>
      <c r="E55" s="110"/>
      <c r="F55" s="110"/>
      <c r="G55" s="110"/>
      <c r="H55" s="110"/>
      <c r="I55" s="110"/>
      <c r="J55" s="110"/>
      <c r="K55" s="110">
        <f t="shared" si="21"/>
        <v>0</v>
      </c>
      <c r="L55" s="111" t="str">
        <f t="shared" si="2"/>
        <v>-</v>
      </c>
      <c r="M55" s="110"/>
      <c r="N55" s="110"/>
      <c r="O55" s="110"/>
      <c r="P55" s="111" t="str">
        <f t="shared" si="3"/>
        <v>-</v>
      </c>
      <c r="Q55" s="10" t="str">
        <f t="shared" si="4"/>
        <v>-</v>
      </c>
      <c r="T55"/>
    </row>
    <row r="56" spans="1:20" ht="20.149999999999999" customHeight="1">
      <c r="A56" s="116"/>
      <c r="B56" s="117"/>
      <c r="C56" s="119">
        <v>70066</v>
      </c>
      <c r="D56" s="121" t="s">
        <v>64</v>
      </c>
      <c r="E56" s="110"/>
      <c r="F56" s="110"/>
      <c r="G56" s="110"/>
      <c r="H56" s="110"/>
      <c r="I56" s="110"/>
      <c r="J56" s="110"/>
      <c r="K56" s="110">
        <f t="shared" si="21"/>
        <v>0</v>
      </c>
      <c r="L56" s="111" t="str">
        <f t="shared" si="2"/>
        <v>-</v>
      </c>
      <c r="M56" s="110"/>
      <c r="N56" s="110"/>
      <c r="O56" s="110"/>
      <c r="P56" s="111" t="str">
        <f t="shared" si="3"/>
        <v>-</v>
      </c>
      <c r="Q56" s="10" t="str">
        <f t="shared" si="4"/>
        <v>-</v>
      </c>
      <c r="T56"/>
    </row>
    <row r="57" spans="1:20" s="104" customFormat="1" ht="20.149999999999999" customHeight="1">
      <c r="A57" s="120"/>
      <c r="B57" s="98">
        <v>7007</v>
      </c>
      <c r="C57" s="99"/>
      <c r="D57" s="100" t="s">
        <v>65</v>
      </c>
      <c r="E57" s="101">
        <f t="shared" ref="E57:O57" si="22">SUM(E58:E61)</f>
        <v>0</v>
      </c>
      <c r="F57" s="102">
        <f t="shared" si="22"/>
        <v>0</v>
      </c>
      <c r="G57" s="102">
        <f t="shared" si="22"/>
        <v>0</v>
      </c>
      <c r="H57" s="101">
        <f t="shared" si="22"/>
        <v>0</v>
      </c>
      <c r="I57" s="102">
        <f t="shared" si="22"/>
        <v>0</v>
      </c>
      <c r="J57" s="102">
        <f t="shared" si="22"/>
        <v>0</v>
      </c>
      <c r="K57" s="101">
        <f t="shared" si="22"/>
        <v>0</v>
      </c>
      <c r="L57" s="103" t="str">
        <f t="shared" si="2"/>
        <v>-</v>
      </c>
      <c r="M57" s="102">
        <f t="shared" si="22"/>
        <v>0</v>
      </c>
      <c r="N57" s="102">
        <f t="shared" si="22"/>
        <v>0</v>
      </c>
      <c r="O57" s="101">
        <f t="shared" si="22"/>
        <v>0</v>
      </c>
      <c r="P57" s="103" t="str">
        <f t="shared" si="3"/>
        <v>-</v>
      </c>
      <c r="Q57" s="104" t="str">
        <f t="shared" si="4"/>
        <v>-</v>
      </c>
      <c r="T57" s="105"/>
    </row>
    <row r="58" spans="1:20" ht="20.149999999999999" customHeight="1">
      <c r="A58" s="116"/>
      <c r="B58" s="117"/>
      <c r="C58" s="119">
        <v>70071</v>
      </c>
      <c r="D58" s="113" t="s">
        <v>66</v>
      </c>
      <c r="E58" s="110"/>
      <c r="F58" s="110"/>
      <c r="G58" s="110"/>
      <c r="H58" s="110"/>
      <c r="I58" s="110"/>
      <c r="J58" s="110"/>
      <c r="K58" s="110">
        <f t="shared" ref="K58:K61" si="23">SUM(I58:J58)</f>
        <v>0</v>
      </c>
      <c r="L58" s="111" t="str">
        <f t="shared" si="2"/>
        <v>-</v>
      </c>
      <c r="M58" s="110"/>
      <c r="N58" s="110"/>
      <c r="O58" s="110"/>
      <c r="P58" s="111" t="str">
        <f t="shared" si="3"/>
        <v>-</v>
      </c>
      <c r="Q58" s="10" t="str">
        <f t="shared" si="4"/>
        <v>-</v>
      </c>
      <c r="T58"/>
    </row>
    <row r="59" spans="1:20" ht="20.149999999999999" customHeight="1">
      <c r="A59" s="116"/>
      <c r="B59" s="117"/>
      <c r="C59" s="119">
        <v>70072</v>
      </c>
      <c r="D59" s="113" t="s">
        <v>67</v>
      </c>
      <c r="E59" s="110"/>
      <c r="F59" s="110"/>
      <c r="G59" s="110"/>
      <c r="H59" s="110"/>
      <c r="I59" s="110"/>
      <c r="J59" s="110"/>
      <c r="K59" s="110">
        <f t="shared" si="23"/>
        <v>0</v>
      </c>
      <c r="L59" s="111" t="str">
        <f t="shared" si="2"/>
        <v>-</v>
      </c>
      <c r="M59" s="110"/>
      <c r="N59" s="110"/>
      <c r="O59" s="110"/>
      <c r="P59" s="111" t="str">
        <f t="shared" si="3"/>
        <v>-</v>
      </c>
      <c r="Q59" s="10" t="str">
        <f t="shared" si="4"/>
        <v>-</v>
      </c>
      <c r="T59"/>
    </row>
    <row r="60" spans="1:20" ht="20.149999999999999" customHeight="1">
      <c r="A60" s="116"/>
      <c r="B60" s="117"/>
      <c r="C60" s="119">
        <v>70073</v>
      </c>
      <c r="D60" s="113" t="s">
        <v>68</v>
      </c>
      <c r="E60" s="110"/>
      <c r="F60" s="110"/>
      <c r="G60" s="110"/>
      <c r="H60" s="110"/>
      <c r="I60" s="110"/>
      <c r="J60" s="110"/>
      <c r="K60" s="110">
        <f t="shared" si="23"/>
        <v>0</v>
      </c>
      <c r="L60" s="111" t="str">
        <f t="shared" si="2"/>
        <v>-</v>
      </c>
      <c r="M60" s="110"/>
      <c r="N60" s="110"/>
      <c r="O60" s="110"/>
      <c r="P60" s="111" t="str">
        <f t="shared" si="3"/>
        <v>-</v>
      </c>
      <c r="Q60" s="10" t="str">
        <f t="shared" si="4"/>
        <v>-</v>
      </c>
      <c r="T60"/>
    </row>
    <row r="61" spans="1:20" ht="20.149999999999999" customHeight="1">
      <c r="A61" s="116"/>
      <c r="B61" s="117"/>
      <c r="C61" s="119">
        <v>70074</v>
      </c>
      <c r="D61" s="113" t="s">
        <v>69</v>
      </c>
      <c r="E61" s="110"/>
      <c r="F61" s="110"/>
      <c r="G61" s="110"/>
      <c r="H61" s="110"/>
      <c r="I61" s="110"/>
      <c r="J61" s="110"/>
      <c r="K61" s="110">
        <f t="shared" si="23"/>
        <v>0</v>
      </c>
      <c r="L61" s="111" t="str">
        <f t="shared" si="2"/>
        <v>-</v>
      </c>
      <c r="M61" s="110"/>
      <c r="N61" s="110"/>
      <c r="O61" s="110"/>
      <c r="P61" s="111" t="str">
        <f t="shared" si="3"/>
        <v>-</v>
      </c>
      <c r="Q61" s="10" t="str">
        <f t="shared" si="4"/>
        <v>-</v>
      </c>
      <c r="T61"/>
    </row>
    <row r="62" spans="1:20" s="104" customFormat="1" ht="20.149999999999999" customHeight="1">
      <c r="A62" s="120"/>
      <c r="B62" s="98">
        <v>7008</v>
      </c>
      <c r="C62" s="99"/>
      <c r="D62" s="100" t="s">
        <v>70</v>
      </c>
      <c r="E62" s="101">
        <f t="shared" ref="E62:O62" si="24">SUM(E63:E64)</f>
        <v>0</v>
      </c>
      <c r="F62" s="102">
        <f t="shared" si="24"/>
        <v>0</v>
      </c>
      <c r="G62" s="102">
        <f t="shared" si="24"/>
        <v>0</v>
      </c>
      <c r="H62" s="101">
        <f t="shared" si="24"/>
        <v>0</v>
      </c>
      <c r="I62" s="102">
        <f t="shared" si="24"/>
        <v>0</v>
      </c>
      <c r="J62" s="102">
        <f t="shared" si="24"/>
        <v>0</v>
      </c>
      <c r="K62" s="101">
        <f t="shared" si="24"/>
        <v>0</v>
      </c>
      <c r="L62" s="103" t="str">
        <f t="shared" si="2"/>
        <v>-</v>
      </c>
      <c r="M62" s="102">
        <f t="shared" si="24"/>
        <v>0</v>
      </c>
      <c r="N62" s="102">
        <f t="shared" si="24"/>
        <v>0</v>
      </c>
      <c r="O62" s="101">
        <f t="shared" si="24"/>
        <v>0</v>
      </c>
      <c r="P62" s="103" t="str">
        <f t="shared" si="3"/>
        <v>-</v>
      </c>
      <c r="Q62" s="104" t="str">
        <f t="shared" si="4"/>
        <v>-</v>
      </c>
      <c r="T62" s="105"/>
    </row>
    <row r="63" spans="1:20" ht="20.149999999999999" customHeight="1">
      <c r="A63" s="116"/>
      <c r="B63" s="117"/>
      <c r="C63" s="119">
        <v>70081</v>
      </c>
      <c r="D63" s="113" t="s">
        <v>71</v>
      </c>
      <c r="E63" s="110"/>
      <c r="F63" s="110"/>
      <c r="G63" s="110"/>
      <c r="H63" s="110"/>
      <c r="I63" s="110"/>
      <c r="J63" s="110"/>
      <c r="K63" s="110">
        <f t="shared" ref="K63:K64" si="25">SUM(I63:J63)</f>
        <v>0</v>
      </c>
      <c r="L63" s="111" t="str">
        <f t="shared" si="2"/>
        <v>-</v>
      </c>
      <c r="M63" s="110"/>
      <c r="N63" s="110"/>
      <c r="O63" s="110"/>
      <c r="P63" s="111" t="str">
        <f t="shared" si="3"/>
        <v>-</v>
      </c>
      <c r="Q63" s="10" t="str">
        <f t="shared" si="4"/>
        <v>-</v>
      </c>
      <c r="T63"/>
    </row>
    <row r="64" spans="1:20" ht="20.149999999999999" customHeight="1">
      <c r="A64" s="116"/>
      <c r="B64" s="117"/>
      <c r="C64" s="119">
        <v>70082</v>
      </c>
      <c r="D64" s="113" t="s">
        <v>72</v>
      </c>
      <c r="E64" s="110"/>
      <c r="F64" s="110"/>
      <c r="G64" s="110"/>
      <c r="H64" s="110"/>
      <c r="I64" s="110"/>
      <c r="J64" s="110"/>
      <c r="K64" s="110">
        <f t="shared" si="25"/>
        <v>0</v>
      </c>
      <c r="L64" s="111" t="str">
        <f t="shared" si="2"/>
        <v>-</v>
      </c>
      <c r="M64" s="110"/>
      <c r="N64" s="110"/>
      <c r="O64" s="110"/>
      <c r="P64" s="111" t="str">
        <f t="shared" si="3"/>
        <v>-</v>
      </c>
      <c r="Q64" s="10" t="str">
        <f t="shared" si="4"/>
        <v>-</v>
      </c>
      <c r="T64"/>
    </row>
    <row r="65" spans="1:20" s="95" customFormat="1" ht="20.149999999999999" customHeight="1">
      <c r="A65" s="122">
        <v>71</v>
      </c>
      <c r="B65" s="123"/>
      <c r="C65" s="124"/>
      <c r="D65" s="91" t="s">
        <v>73</v>
      </c>
      <c r="E65" s="125">
        <f t="shared" ref="E65:O65" si="26">E66+E75</f>
        <v>0</v>
      </c>
      <c r="F65" s="125">
        <f t="shared" si="26"/>
        <v>0</v>
      </c>
      <c r="G65" s="125">
        <f t="shared" si="26"/>
        <v>0</v>
      </c>
      <c r="H65" s="125">
        <f t="shared" si="26"/>
        <v>0</v>
      </c>
      <c r="I65" s="125">
        <f t="shared" si="26"/>
        <v>0</v>
      </c>
      <c r="J65" s="125">
        <f t="shared" si="26"/>
        <v>0</v>
      </c>
      <c r="K65" s="125">
        <f t="shared" si="26"/>
        <v>0</v>
      </c>
      <c r="L65" s="126" t="str">
        <f t="shared" si="2"/>
        <v>-</v>
      </c>
      <c r="M65" s="125">
        <f t="shared" si="26"/>
        <v>0</v>
      </c>
      <c r="N65" s="125">
        <f t="shared" si="26"/>
        <v>0</v>
      </c>
      <c r="O65" s="125">
        <f t="shared" si="26"/>
        <v>0</v>
      </c>
      <c r="P65" s="126" t="str">
        <f t="shared" si="3"/>
        <v>-</v>
      </c>
      <c r="Q65" s="95" t="str">
        <f t="shared" si="4"/>
        <v>-</v>
      </c>
      <c r="T65" s="96"/>
    </row>
    <row r="66" spans="1:20" s="104" customFormat="1" ht="20.149999999999999" customHeight="1">
      <c r="A66" s="120"/>
      <c r="B66" s="98">
        <v>7100</v>
      </c>
      <c r="C66" s="99"/>
      <c r="D66" s="100" t="s">
        <v>74</v>
      </c>
      <c r="E66" s="101">
        <f t="shared" ref="E66:O66" si="27">SUM(E67:E74)</f>
        <v>0</v>
      </c>
      <c r="F66" s="102">
        <f t="shared" si="27"/>
        <v>0</v>
      </c>
      <c r="G66" s="102">
        <f t="shared" si="27"/>
        <v>0</v>
      </c>
      <c r="H66" s="101">
        <f t="shared" si="27"/>
        <v>0</v>
      </c>
      <c r="I66" s="102">
        <f t="shared" si="27"/>
        <v>0</v>
      </c>
      <c r="J66" s="102">
        <f t="shared" si="27"/>
        <v>0</v>
      </c>
      <c r="K66" s="101">
        <f t="shared" si="27"/>
        <v>0</v>
      </c>
      <c r="L66" s="103" t="str">
        <f t="shared" si="2"/>
        <v>-</v>
      </c>
      <c r="M66" s="102">
        <f t="shared" si="27"/>
        <v>0</v>
      </c>
      <c r="N66" s="102">
        <f t="shared" si="27"/>
        <v>0</v>
      </c>
      <c r="O66" s="101">
        <f t="shared" si="27"/>
        <v>0</v>
      </c>
      <c r="P66" s="103" t="str">
        <f t="shared" si="3"/>
        <v>-</v>
      </c>
      <c r="Q66" s="104" t="str">
        <f t="shared" si="4"/>
        <v>-</v>
      </c>
      <c r="T66" s="105"/>
    </row>
    <row r="67" spans="1:20" ht="20.149999999999999" customHeight="1">
      <c r="A67" s="116"/>
      <c r="B67" s="117"/>
      <c r="C67" s="119">
        <v>71001</v>
      </c>
      <c r="D67" s="113" t="s">
        <v>75</v>
      </c>
      <c r="E67" s="110"/>
      <c r="F67" s="110"/>
      <c r="G67" s="110"/>
      <c r="H67" s="110"/>
      <c r="I67" s="110"/>
      <c r="J67" s="110"/>
      <c r="K67" s="110">
        <f t="shared" ref="K67:K74" si="28">SUM(I67:J67)</f>
        <v>0</v>
      </c>
      <c r="L67" s="111" t="str">
        <f t="shared" si="2"/>
        <v>-</v>
      </c>
      <c r="M67" s="110"/>
      <c r="N67" s="110"/>
      <c r="O67" s="110"/>
      <c r="P67" s="111" t="str">
        <f t="shared" si="3"/>
        <v>-</v>
      </c>
      <c r="Q67" s="10" t="str">
        <f t="shared" si="4"/>
        <v>-</v>
      </c>
      <c r="T67"/>
    </row>
    <row r="68" spans="1:20" ht="20.149999999999999" customHeight="1">
      <c r="A68" s="116"/>
      <c r="B68" s="117"/>
      <c r="C68" s="119">
        <v>71002</v>
      </c>
      <c r="D68" s="113" t="s">
        <v>76</v>
      </c>
      <c r="E68" s="110"/>
      <c r="F68" s="110"/>
      <c r="G68" s="110"/>
      <c r="H68" s="110"/>
      <c r="I68" s="110"/>
      <c r="J68" s="110"/>
      <c r="K68" s="110">
        <f t="shared" si="28"/>
        <v>0</v>
      </c>
      <c r="L68" s="111" t="str">
        <f t="shared" si="2"/>
        <v>-</v>
      </c>
      <c r="M68" s="110"/>
      <c r="N68" s="110"/>
      <c r="O68" s="110"/>
      <c r="P68" s="111" t="str">
        <f t="shared" si="3"/>
        <v>-</v>
      </c>
      <c r="Q68" s="10" t="str">
        <f t="shared" si="4"/>
        <v>-</v>
      </c>
      <c r="T68"/>
    </row>
    <row r="69" spans="1:20" ht="20.149999999999999" customHeight="1">
      <c r="A69" s="116"/>
      <c r="B69" s="117"/>
      <c r="C69" s="119">
        <v>71003</v>
      </c>
      <c r="D69" s="113" t="s">
        <v>77</v>
      </c>
      <c r="E69" s="110"/>
      <c r="F69" s="110"/>
      <c r="G69" s="110"/>
      <c r="H69" s="110"/>
      <c r="I69" s="110"/>
      <c r="J69" s="110"/>
      <c r="K69" s="110">
        <f t="shared" si="28"/>
        <v>0</v>
      </c>
      <c r="L69" s="111" t="str">
        <f t="shared" si="2"/>
        <v>-</v>
      </c>
      <c r="M69" s="110"/>
      <c r="N69" s="110"/>
      <c r="O69" s="110"/>
      <c r="P69" s="111" t="str">
        <f t="shared" si="3"/>
        <v>-</v>
      </c>
      <c r="Q69" s="10" t="str">
        <f t="shared" si="4"/>
        <v>-</v>
      </c>
      <c r="T69"/>
    </row>
    <row r="70" spans="1:20" ht="20.149999999999999" customHeight="1">
      <c r="A70" s="116"/>
      <c r="B70" s="117"/>
      <c r="C70" s="119">
        <v>71004</v>
      </c>
      <c r="D70" s="113" t="s">
        <v>78</v>
      </c>
      <c r="E70" s="110"/>
      <c r="F70" s="110"/>
      <c r="G70" s="110"/>
      <c r="H70" s="110"/>
      <c r="I70" s="110"/>
      <c r="J70" s="110"/>
      <c r="K70" s="110">
        <f t="shared" si="28"/>
        <v>0</v>
      </c>
      <c r="L70" s="111" t="str">
        <f t="shared" si="2"/>
        <v>-</v>
      </c>
      <c r="M70" s="110"/>
      <c r="N70" s="110"/>
      <c r="O70" s="110"/>
      <c r="P70" s="111" t="str">
        <f t="shared" si="3"/>
        <v>-</v>
      </c>
      <c r="Q70" s="10" t="str">
        <f t="shared" si="4"/>
        <v>-</v>
      </c>
      <c r="T70"/>
    </row>
    <row r="71" spans="1:20" ht="20.149999999999999" customHeight="1">
      <c r="A71" s="116"/>
      <c r="B71" s="117"/>
      <c r="C71" s="119">
        <v>71005</v>
      </c>
      <c r="D71" s="113" t="s">
        <v>79</v>
      </c>
      <c r="E71" s="110"/>
      <c r="F71" s="110"/>
      <c r="G71" s="110"/>
      <c r="H71" s="110"/>
      <c r="I71" s="110"/>
      <c r="J71" s="110"/>
      <c r="K71" s="110">
        <f t="shared" si="28"/>
        <v>0</v>
      </c>
      <c r="L71" s="111" t="str">
        <f t="shared" si="2"/>
        <v>-</v>
      </c>
      <c r="M71" s="110"/>
      <c r="N71" s="110"/>
      <c r="O71" s="110"/>
      <c r="P71" s="111" t="str">
        <f t="shared" si="3"/>
        <v>-</v>
      </c>
      <c r="Q71" s="10" t="str">
        <f t="shared" si="4"/>
        <v>-</v>
      </c>
      <c r="T71"/>
    </row>
    <row r="72" spans="1:20" ht="20.149999999999999" customHeight="1">
      <c r="A72" s="116"/>
      <c r="B72" s="117"/>
      <c r="C72" s="119">
        <v>71006</v>
      </c>
      <c r="D72" s="113" t="s">
        <v>80</v>
      </c>
      <c r="E72" s="110"/>
      <c r="F72" s="110"/>
      <c r="G72" s="110"/>
      <c r="H72" s="110"/>
      <c r="I72" s="110"/>
      <c r="J72" s="110"/>
      <c r="K72" s="110">
        <f t="shared" si="28"/>
        <v>0</v>
      </c>
      <c r="L72" s="111" t="str">
        <f t="shared" si="2"/>
        <v>-</v>
      </c>
      <c r="M72" s="110"/>
      <c r="N72" s="110"/>
      <c r="O72" s="110"/>
      <c r="P72" s="111" t="str">
        <f t="shared" si="3"/>
        <v>-</v>
      </c>
      <c r="Q72" s="10" t="str">
        <f t="shared" si="4"/>
        <v>-</v>
      </c>
      <c r="T72"/>
    </row>
    <row r="73" spans="1:20" ht="20.149999999999999" customHeight="1">
      <c r="A73" s="116"/>
      <c r="B73" s="117"/>
      <c r="C73" s="119">
        <v>71007</v>
      </c>
      <c r="D73" s="113" t="s">
        <v>81</v>
      </c>
      <c r="E73" s="110"/>
      <c r="F73" s="110"/>
      <c r="G73" s="110"/>
      <c r="H73" s="110"/>
      <c r="I73" s="110"/>
      <c r="J73" s="110"/>
      <c r="K73" s="110">
        <f t="shared" si="28"/>
        <v>0</v>
      </c>
      <c r="L73" s="111" t="str">
        <f t="shared" si="2"/>
        <v>-</v>
      </c>
      <c r="M73" s="110"/>
      <c r="N73" s="110"/>
      <c r="O73" s="110"/>
      <c r="P73" s="111" t="str">
        <f t="shared" si="3"/>
        <v>-</v>
      </c>
      <c r="Q73" s="10" t="str">
        <f t="shared" si="4"/>
        <v>-</v>
      </c>
      <c r="T73"/>
    </row>
    <row r="74" spans="1:20" ht="20.149999999999999" customHeight="1">
      <c r="A74" s="116"/>
      <c r="B74" s="117"/>
      <c r="C74" s="119">
        <v>71008</v>
      </c>
      <c r="D74" s="113" t="s">
        <v>82</v>
      </c>
      <c r="E74" s="110"/>
      <c r="F74" s="110"/>
      <c r="G74" s="110"/>
      <c r="H74" s="110"/>
      <c r="I74" s="110"/>
      <c r="J74" s="110"/>
      <c r="K74" s="110">
        <f t="shared" si="28"/>
        <v>0</v>
      </c>
      <c r="L74" s="111" t="str">
        <f t="shared" si="2"/>
        <v>-</v>
      </c>
      <c r="M74" s="110"/>
      <c r="N74" s="110"/>
      <c r="O74" s="110"/>
      <c r="P74" s="111" t="str">
        <f t="shared" si="3"/>
        <v>-</v>
      </c>
      <c r="Q74" s="10" t="str">
        <f t="shared" si="4"/>
        <v>-</v>
      </c>
      <c r="T74"/>
    </row>
    <row r="75" spans="1:20" s="104" customFormat="1" ht="20.149999999999999" customHeight="1">
      <c r="A75" s="120"/>
      <c r="B75" s="98">
        <v>7101</v>
      </c>
      <c r="C75" s="99"/>
      <c r="D75" s="100" t="s">
        <v>83</v>
      </c>
      <c r="E75" s="101">
        <f t="shared" ref="E75:O75" si="29">SUM(E76:E81)</f>
        <v>0</v>
      </c>
      <c r="F75" s="102">
        <f t="shared" si="29"/>
        <v>0</v>
      </c>
      <c r="G75" s="102">
        <f t="shared" si="29"/>
        <v>0</v>
      </c>
      <c r="H75" s="101">
        <f t="shared" si="29"/>
        <v>0</v>
      </c>
      <c r="I75" s="102">
        <f t="shared" si="29"/>
        <v>0</v>
      </c>
      <c r="J75" s="102">
        <f t="shared" si="29"/>
        <v>0</v>
      </c>
      <c r="K75" s="101">
        <f t="shared" si="29"/>
        <v>0</v>
      </c>
      <c r="L75" s="103" t="str">
        <f t="shared" si="2"/>
        <v>-</v>
      </c>
      <c r="M75" s="102">
        <f t="shared" si="29"/>
        <v>0</v>
      </c>
      <c r="N75" s="102">
        <f t="shared" si="29"/>
        <v>0</v>
      </c>
      <c r="O75" s="101">
        <f t="shared" si="29"/>
        <v>0</v>
      </c>
      <c r="P75" s="103" t="str">
        <f t="shared" si="3"/>
        <v>-</v>
      </c>
      <c r="Q75" s="104" t="str">
        <f t="shared" si="4"/>
        <v>-</v>
      </c>
      <c r="T75" s="105"/>
    </row>
    <row r="76" spans="1:20" ht="20.149999999999999" customHeight="1">
      <c r="A76" s="116"/>
      <c r="B76" s="117"/>
      <c r="C76" s="119">
        <v>71011</v>
      </c>
      <c r="D76" s="113" t="s">
        <v>84</v>
      </c>
      <c r="E76" s="110"/>
      <c r="F76" s="110"/>
      <c r="G76" s="110"/>
      <c r="H76" s="110"/>
      <c r="I76" s="110"/>
      <c r="J76" s="110"/>
      <c r="K76" s="110">
        <f t="shared" ref="K76:K81" si="30">SUM(I76:J76)</f>
        <v>0</v>
      </c>
      <c r="L76" s="111" t="str">
        <f t="shared" si="2"/>
        <v>-</v>
      </c>
      <c r="M76" s="110"/>
      <c r="N76" s="110"/>
      <c r="O76" s="110"/>
      <c r="P76" s="111" t="str">
        <f t="shared" si="3"/>
        <v>-</v>
      </c>
      <c r="Q76" s="10" t="str">
        <f t="shared" si="4"/>
        <v>-</v>
      </c>
      <c r="T76"/>
    </row>
    <row r="77" spans="1:20" ht="20.149999999999999" customHeight="1">
      <c r="A77" s="116"/>
      <c r="B77" s="117"/>
      <c r="C77" s="119">
        <v>71012</v>
      </c>
      <c r="D77" s="113" t="s">
        <v>85</v>
      </c>
      <c r="E77" s="110"/>
      <c r="F77" s="110"/>
      <c r="G77" s="110"/>
      <c r="H77" s="110"/>
      <c r="I77" s="110"/>
      <c r="J77" s="110"/>
      <c r="K77" s="110">
        <f t="shared" si="30"/>
        <v>0</v>
      </c>
      <c r="L77" s="111" t="str">
        <f t="shared" si="2"/>
        <v>-</v>
      </c>
      <c r="M77" s="110"/>
      <c r="N77" s="110"/>
      <c r="O77" s="110"/>
      <c r="P77" s="111" t="str">
        <f t="shared" si="3"/>
        <v>-</v>
      </c>
      <c r="Q77" s="10" t="str">
        <f t="shared" si="4"/>
        <v>-</v>
      </c>
      <c r="T77"/>
    </row>
    <row r="78" spans="1:20" ht="20.149999999999999" customHeight="1">
      <c r="A78" s="116"/>
      <c r="B78" s="117"/>
      <c r="C78" s="119">
        <v>71013</v>
      </c>
      <c r="D78" s="113" t="s">
        <v>86</v>
      </c>
      <c r="E78" s="110"/>
      <c r="F78" s="110"/>
      <c r="G78" s="110"/>
      <c r="H78" s="110"/>
      <c r="I78" s="110"/>
      <c r="J78" s="110"/>
      <c r="K78" s="110">
        <f t="shared" si="30"/>
        <v>0</v>
      </c>
      <c r="L78" s="111" t="str">
        <f t="shared" si="2"/>
        <v>-</v>
      </c>
      <c r="M78" s="110"/>
      <c r="N78" s="110"/>
      <c r="O78" s="110"/>
      <c r="P78" s="111" t="str">
        <f t="shared" si="3"/>
        <v>-</v>
      </c>
      <c r="Q78" s="10" t="str">
        <f t="shared" si="4"/>
        <v>-</v>
      </c>
      <c r="T78"/>
    </row>
    <row r="79" spans="1:20" ht="20.149999999999999" customHeight="1">
      <c r="A79" s="116"/>
      <c r="B79" s="117"/>
      <c r="C79" s="119">
        <v>71014</v>
      </c>
      <c r="D79" s="113" t="s">
        <v>87</v>
      </c>
      <c r="E79" s="110"/>
      <c r="F79" s="110"/>
      <c r="G79" s="110"/>
      <c r="H79" s="110"/>
      <c r="I79" s="110"/>
      <c r="J79" s="110"/>
      <c r="K79" s="110">
        <f t="shared" si="30"/>
        <v>0</v>
      </c>
      <c r="L79" s="111" t="str">
        <f t="shared" si="2"/>
        <v>-</v>
      </c>
      <c r="M79" s="110"/>
      <c r="N79" s="110"/>
      <c r="O79" s="110"/>
      <c r="P79" s="111" t="str">
        <f t="shared" si="3"/>
        <v>-</v>
      </c>
      <c r="Q79" s="10" t="str">
        <f t="shared" si="4"/>
        <v>-</v>
      </c>
      <c r="T79"/>
    </row>
    <row r="80" spans="1:20" ht="20.149999999999999" customHeight="1">
      <c r="A80" s="116"/>
      <c r="B80" s="117"/>
      <c r="C80" s="119">
        <v>71016</v>
      </c>
      <c r="D80" s="113" t="s">
        <v>88</v>
      </c>
      <c r="E80" s="110"/>
      <c r="F80" s="110"/>
      <c r="G80" s="110"/>
      <c r="H80" s="110"/>
      <c r="I80" s="110"/>
      <c r="J80" s="110"/>
      <c r="K80" s="110">
        <f t="shared" si="30"/>
        <v>0</v>
      </c>
      <c r="L80" s="111" t="str">
        <f t="shared" ref="L80:L143" si="31">IFERROR(K80/H80,"-")</f>
        <v>-</v>
      </c>
      <c r="M80" s="110"/>
      <c r="N80" s="110"/>
      <c r="O80" s="110"/>
      <c r="P80" s="111" t="str">
        <f t="shared" ref="P80:P143" si="32">IFERROR(O80/H80,"-")</f>
        <v>-</v>
      </c>
      <c r="Q80" s="10" t="str">
        <f t="shared" ref="Q80:Q143" si="33">IF(OR(H80&gt;0,O80&gt;0),"ok","-")</f>
        <v>-</v>
      </c>
      <c r="T80"/>
    </row>
    <row r="81" spans="1:20" ht="20.149999999999999" customHeight="1">
      <c r="A81" s="127"/>
      <c r="B81" s="128"/>
      <c r="C81" s="129">
        <v>71018</v>
      </c>
      <c r="D81" s="130" t="s">
        <v>89</v>
      </c>
      <c r="E81" s="131"/>
      <c r="F81" s="131"/>
      <c r="G81" s="131"/>
      <c r="H81" s="131"/>
      <c r="I81" s="131"/>
      <c r="J81" s="131"/>
      <c r="K81" s="110">
        <f t="shared" si="30"/>
        <v>0</v>
      </c>
      <c r="L81" s="132" t="str">
        <f t="shared" si="31"/>
        <v>-</v>
      </c>
      <c r="M81" s="131"/>
      <c r="N81" s="131"/>
      <c r="O81" s="131"/>
      <c r="P81" s="132" t="str">
        <f t="shared" si="32"/>
        <v>-</v>
      </c>
      <c r="Q81" s="10" t="str">
        <f t="shared" si="33"/>
        <v>-</v>
      </c>
      <c r="T81"/>
    </row>
    <row r="82" spans="1:20" s="86" customFormat="1" ht="20.149999999999999" customHeight="1">
      <c r="A82" s="79" t="s">
        <v>90</v>
      </c>
      <c r="B82" s="80"/>
      <c r="C82" s="81"/>
      <c r="D82" s="82"/>
      <c r="E82" s="83">
        <f t="shared" ref="E82:O82" si="34">E83+E101+E163+E172+E222+E238</f>
        <v>0</v>
      </c>
      <c r="F82" s="84">
        <f t="shared" si="34"/>
        <v>0</v>
      </c>
      <c r="G82" s="84">
        <f t="shared" si="34"/>
        <v>0</v>
      </c>
      <c r="H82" s="83">
        <f t="shared" si="34"/>
        <v>0</v>
      </c>
      <c r="I82" s="84">
        <f t="shared" si="34"/>
        <v>0</v>
      </c>
      <c r="J82" s="84">
        <f t="shared" si="34"/>
        <v>0</v>
      </c>
      <c r="K82" s="83">
        <f t="shared" si="34"/>
        <v>0</v>
      </c>
      <c r="L82" s="85" t="str">
        <f t="shared" si="31"/>
        <v>-</v>
      </c>
      <c r="M82" s="84">
        <f t="shared" si="34"/>
        <v>0</v>
      </c>
      <c r="N82" s="84">
        <f t="shared" si="34"/>
        <v>0</v>
      </c>
      <c r="O82" s="83">
        <f t="shared" si="34"/>
        <v>0</v>
      </c>
      <c r="P82" s="85" t="str">
        <f t="shared" si="32"/>
        <v>-</v>
      </c>
      <c r="Q82" s="86" t="str">
        <f t="shared" si="33"/>
        <v>-</v>
      </c>
      <c r="T82" s="87"/>
    </row>
    <row r="83" spans="1:20" s="95" customFormat="1" ht="20.149999999999999" customHeight="1">
      <c r="A83" s="122">
        <v>72</v>
      </c>
      <c r="B83" s="123"/>
      <c r="C83" s="124"/>
      <c r="D83" s="91" t="s">
        <v>91</v>
      </c>
      <c r="E83" s="125">
        <f t="shared" ref="E83:O83" si="35">E84+E96</f>
        <v>0</v>
      </c>
      <c r="F83" s="125">
        <f t="shared" si="35"/>
        <v>0</v>
      </c>
      <c r="G83" s="125">
        <f t="shared" si="35"/>
        <v>0</v>
      </c>
      <c r="H83" s="125">
        <f t="shared" si="35"/>
        <v>0</v>
      </c>
      <c r="I83" s="125">
        <f t="shared" si="35"/>
        <v>0</v>
      </c>
      <c r="J83" s="125">
        <f t="shared" si="35"/>
        <v>0</v>
      </c>
      <c r="K83" s="125">
        <f t="shared" si="35"/>
        <v>0</v>
      </c>
      <c r="L83" s="126" t="str">
        <f t="shared" si="31"/>
        <v>-</v>
      </c>
      <c r="M83" s="125">
        <f t="shared" si="35"/>
        <v>0</v>
      </c>
      <c r="N83" s="125">
        <f t="shared" si="35"/>
        <v>0</v>
      </c>
      <c r="O83" s="125">
        <f t="shared" si="35"/>
        <v>0</v>
      </c>
      <c r="P83" s="126" t="str">
        <f t="shared" si="32"/>
        <v>-</v>
      </c>
      <c r="Q83" s="95" t="str">
        <f t="shared" si="33"/>
        <v>-</v>
      </c>
      <c r="T83" s="96"/>
    </row>
    <row r="84" spans="1:20" s="104" customFormat="1" ht="20.149999999999999" customHeight="1">
      <c r="A84" s="114"/>
      <c r="B84" s="98">
        <v>7200</v>
      </c>
      <c r="C84" s="99"/>
      <c r="D84" s="100" t="s">
        <v>92</v>
      </c>
      <c r="E84" s="101">
        <f t="shared" ref="E84:O84" si="36">SUM(E85:E88,E92:E95)</f>
        <v>0</v>
      </c>
      <c r="F84" s="102">
        <f t="shared" si="36"/>
        <v>0</v>
      </c>
      <c r="G84" s="102">
        <f t="shared" si="36"/>
        <v>0</v>
      </c>
      <c r="H84" s="101">
        <f t="shared" si="36"/>
        <v>0</v>
      </c>
      <c r="I84" s="102">
        <f t="shared" si="36"/>
        <v>0</v>
      </c>
      <c r="J84" s="102">
        <f t="shared" si="36"/>
        <v>0</v>
      </c>
      <c r="K84" s="101">
        <f t="shared" si="36"/>
        <v>0</v>
      </c>
      <c r="L84" s="103" t="str">
        <f t="shared" si="31"/>
        <v>-</v>
      </c>
      <c r="M84" s="102">
        <f t="shared" si="36"/>
        <v>0</v>
      </c>
      <c r="N84" s="102">
        <f t="shared" si="36"/>
        <v>0</v>
      </c>
      <c r="O84" s="101">
        <f t="shared" si="36"/>
        <v>0</v>
      </c>
      <c r="P84" s="103" t="str">
        <f t="shared" si="32"/>
        <v>-</v>
      </c>
      <c r="Q84" s="104" t="str">
        <f t="shared" si="33"/>
        <v>-</v>
      </c>
      <c r="T84" s="105"/>
    </row>
    <row r="85" spans="1:20" ht="20.149999999999999" customHeight="1">
      <c r="A85" s="116"/>
      <c r="B85" s="117"/>
      <c r="C85" s="119">
        <v>72001</v>
      </c>
      <c r="D85" s="133" t="s">
        <v>93</v>
      </c>
      <c r="E85" s="110"/>
      <c r="F85" s="110"/>
      <c r="G85" s="110"/>
      <c r="H85" s="110"/>
      <c r="I85" s="110"/>
      <c r="J85" s="110"/>
      <c r="K85" s="110">
        <f t="shared" ref="K85:K95" si="37">SUM(I85:J85)</f>
        <v>0</v>
      </c>
      <c r="L85" s="111" t="str">
        <f t="shared" si="31"/>
        <v>-</v>
      </c>
      <c r="M85" s="110"/>
      <c r="N85" s="110"/>
      <c r="O85" s="110"/>
      <c r="P85" s="111" t="str">
        <f t="shared" si="32"/>
        <v>-</v>
      </c>
      <c r="Q85" s="10" t="str">
        <f t="shared" si="33"/>
        <v>-</v>
      </c>
      <c r="T85"/>
    </row>
    <row r="86" spans="1:20" ht="20.149999999999999" customHeight="1">
      <c r="A86" s="116"/>
      <c r="B86" s="117"/>
      <c r="C86" s="119">
        <v>72002</v>
      </c>
      <c r="D86" s="133" t="s">
        <v>94</v>
      </c>
      <c r="E86" s="110"/>
      <c r="F86" s="110"/>
      <c r="G86" s="110"/>
      <c r="H86" s="110"/>
      <c r="I86" s="110"/>
      <c r="J86" s="110"/>
      <c r="K86" s="110">
        <f t="shared" si="37"/>
        <v>0</v>
      </c>
      <c r="L86" s="111" t="str">
        <f t="shared" si="31"/>
        <v>-</v>
      </c>
      <c r="M86" s="110"/>
      <c r="N86" s="110"/>
      <c r="O86" s="110"/>
      <c r="P86" s="111" t="str">
        <f t="shared" si="32"/>
        <v>-</v>
      </c>
      <c r="Q86" s="10" t="str">
        <f t="shared" si="33"/>
        <v>-</v>
      </c>
      <c r="T86"/>
    </row>
    <row r="87" spans="1:20" ht="20.149999999999999" customHeight="1">
      <c r="A87" s="116"/>
      <c r="B87" s="117"/>
      <c r="C87" s="119">
        <v>72003</v>
      </c>
      <c r="D87" s="133" t="s">
        <v>95</v>
      </c>
      <c r="E87" s="110"/>
      <c r="F87" s="110"/>
      <c r="G87" s="110"/>
      <c r="H87" s="110"/>
      <c r="I87" s="110"/>
      <c r="J87" s="110"/>
      <c r="K87" s="110">
        <f t="shared" si="37"/>
        <v>0</v>
      </c>
      <c r="L87" s="111" t="str">
        <f t="shared" si="31"/>
        <v>-</v>
      </c>
      <c r="M87" s="110"/>
      <c r="N87" s="110"/>
      <c r="O87" s="110"/>
      <c r="P87" s="111" t="str">
        <f t="shared" si="32"/>
        <v>-</v>
      </c>
      <c r="Q87" s="10" t="str">
        <f t="shared" si="33"/>
        <v>-</v>
      </c>
      <c r="T87"/>
    </row>
    <row r="88" spans="1:20" ht="20.149999999999999" customHeight="1">
      <c r="A88" s="116"/>
      <c r="B88" s="117"/>
      <c r="C88" s="119">
        <v>72004</v>
      </c>
      <c r="D88" s="133" t="s">
        <v>96</v>
      </c>
      <c r="E88" s="134">
        <f t="shared" ref="E88:O88" si="38">SUM(E89:E91)</f>
        <v>0</v>
      </c>
      <c r="F88" s="134">
        <f t="shared" si="38"/>
        <v>0</v>
      </c>
      <c r="G88" s="134">
        <f t="shared" si="38"/>
        <v>0</v>
      </c>
      <c r="H88" s="134">
        <f t="shared" si="38"/>
        <v>0</v>
      </c>
      <c r="I88" s="134">
        <f t="shared" si="38"/>
        <v>0</v>
      </c>
      <c r="J88" s="134">
        <f t="shared" si="38"/>
        <v>0</v>
      </c>
      <c r="K88" s="110">
        <f t="shared" si="37"/>
        <v>0</v>
      </c>
      <c r="L88" s="135" t="str">
        <f t="shared" si="31"/>
        <v>-</v>
      </c>
      <c r="M88" s="134">
        <f t="shared" si="38"/>
        <v>0</v>
      </c>
      <c r="N88" s="134">
        <f t="shared" si="38"/>
        <v>0</v>
      </c>
      <c r="O88" s="134">
        <f t="shared" si="38"/>
        <v>0</v>
      </c>
      <c r="P88" s="135" t="str">
        <f t="shared" si="32"/>
        <v>-</v>
      </c>
      <c r="Q88" s="10" t="str">
        <f t="shared" si="33"/>
        <v>-</v>
      </c>
      <c r="T88"/>
    </row>
    <row r="89" spans="1:20" ht="20.149999999999999" customHeight="1">
      <c r="A89" s="116"/>
      <c r="B89" s="117"/>
      <c r="C89" s="119"/>
      <c r="D89" s="133" t="s">
        <v>97</v>
      </c>
      <c r="E89" s="110"/>
      <c r="F89" s="110"/>
      <c r="G89" s="110"/>
      <c r="H89" s="110"/>
      <c r="I89" s="110"/>
      <c r="J89" s="110"/>
      <c r="K89" s="110">
        <f t="shared" si="37"/>
        <v>0</v>
      </c>
      <c r="L89" s="111" t="str">
        <f t="shared" si="31"/>
        <v>-</v>
      </c>
      <c r="M89" s="110"/>
      <c r="N89" s="110"/>
      <c r="O89" s="110"/>
      <c r="P89" s="111" t="str">
        <f t="shared" si="32"/>
        <v>-</v>
      </c>
      <c r="Q89" s="10" t="str">
        <f t="shared" si="33"/>
        <v>-</v>
      </c>
      <c r="T89"/>
    </row>
    <row r="90" spans="1:20" ht="20.149999999999999" customHeight="1">
      <c r="A90" s="116"/>
      <c r="B90" s="117"/>
      <c r="C90" s="119"/>
      <c r="D90" s="133" t="s">
        <v>98</v>
      </c>
      <c r="E90" s="110"/>
      <c r="F90" s="110"/>
      <c r="G90" s="110"/>
      <c r="H90" s="110"/>
      <c r="I90" s="110"/>
      <c r="J90" s="110"/>
      <c r="K90" s="110">
        <f t="shared" si="37"/>
        <v>0</v>
      </c>
      <c r="L90" s="111" t="str">
        <f t="shared" si="31"/>
        <v>-</v>
      </c>
      <c r="M90" s="110"/>
      <c r="N90" s="110"/>
      <c r="O90" s="110"/>
      <c r="P90" s="111" t="str">
        <f t="shared" si="32"/>
        <v>-</v>
      </c>
      <c r="Q90" s="10" t="str">
        <f t="shared" si="33"/>
        <v>-</v>
      </c>
      <c r="T90"/>
    </row>
    <row r="91" spans="1:20" ht="20.149999999999999" customHeight="1">
      <c r="A91" s="116"/>
      <c r="B91" s="117"/>
      <c r="C91" s="119"/>
      <c r="D91" s="133" t="s">
        <v>99</v>
      </c>
      <c r="E91" s="110"/>
      <c r="F91" s="110"/>
      <c r="G91" s="110"/>
      <c r="H91" s="110"/>
      <c r="I91" s="110"/>
      <c r="J91" s="110"/>
      <c r="K91" s="110">
        <f t="shared" si="37"/>
        <v>0</v>
      </c>
      <c r="L91" s="111" t="str">
        <f t="shared" si="31"/>
        <v>-</v>
      </c>
      <c r="M91" s="110"/>
      <c r="N91" s="110"/>
      <c r="O91" s="110"/>
      <c r="P91" s="111" t="str">
        <f t="shared" si="32"/>
        <v>-</v>
      </c>
      <c r="Q91" s="10" t="str">
        <f t="shared" si="33"/>
        <v>-</v>
      </c>
      <c r="T91"/>
    </row>
    <row r="92" spans="1:20" ht="20.149999999999999" customHeight="1">
      <c r="A92" s="116"/>
      <c r="B92" s="117"/>
      <c r="C92" s="119">
        <v>72005</v>
      </c>
      <c r="D92" s="133" t="s">
        <v>100</v>
      </c>
      <c r="E92" s="110"/>
      <c r="F92" s="110"/>
      <c r="G92" s="110"/>
      <c r="H92" s="110"/>
      <c r="I92" s="110"/>
      <c r="J92" s="110"/>
      <c r="K92" s="110">
        <f t="shared" si="37"/>
        <v>0</v>
      </c>
      <c r="L92" s="111" t="str">
        <f t="shared" si="31"/>
        <v>-</v>
      </c>
      <c r="M92" s="110"/>
      <c r="N92" s="110"/>
      <c r="O92" s="110"/>
      <c r="P92" s="111" t="str">
        <f t="shared" si="32"/>
        <v>-</v>
      </c>
      <c r="Q92" s="10" t="str">
        <f t="shared" si="33"/>
        <v>-</v>
      </c>
      <c r="T92"/>
    </row>
    <row r="93" spans="1:20" ht="20.149999999999999" customHeight="1">
      <c r="A93" s="116"/>
      <c r="B93" s="117"/>
      <c r="C93" s="119">
        <v>72006</v>
      </c>
      <c r="D93" s="133" t="s">
        <v>101</v>
      </c>
      <c r="E93" s="110"/>
      <c r="F93" s="110"/>
      <c r="G93" s="110"/>
      <c r="H93" s="110"/>
      <c r="I93" s="110"/>
      <c r="J93" s="110"/>
      <c r="K93" s="110">
        <f t="shared" si="37"/>
        <v>0</v>
      </c>
      <c r="L93" s="111" t="str">
        <f t="shared" si="31"/>
        <v>-</v>
      </c>
      <c r="M93" s="110"/>
      <c r="N93" s="110"/>
      <c r="O93" s="110"/>
      <c r="P93" s="111" t="str">
        <f t="shared" si="32"/>
        <v>-</v>
      </c>
      <c r="Q93" s="10" t="str">
        <f t="shared" si="33"/>
        <v>-</v>
      </c>
      <c r="T93"/>
    </row>
    <row r="94" spans="1:20" ht="20.149999999999999" customHeight="1">
      <c r="A94" s="116"/>
      <c r="B94" s="117"/>
      <c r="C94" s="119">
        <v>72007</v>
      </c>
      <c r="D94" s="133" t="s">
        <v>102</v>
      </c>
      <c r="E94" s="110"/>
      <c r="F94" s="110"/>
      <c r="G94" s="110"/>
      <c r="H94" s="110"/>
      <c r="I94" s="110"/>
      <c r="J94" s="110"/>
      <c r="K94" s="110">
        <f t="shared" si="37"/>
        <v>0</v>
      </c>
      <c r="L94" s="111" t="str">
        <f t="shared" si="31"/>
        <v>-</v>
      </c>
      <c r="M94" s="110"/>
      <c r="N94" s="110"/>
      <c r="O94" s="110"/>
      <c r="P94" s="111" t="str">
        <f t="shared" si="32"/>
        <v>-</v>
      </c>
      <c r="Q94" s="10" t="str">
        <f t="shared" si="33"/>
        <v>-</v>
      </c>
      <c r="T94"/>
    </row>
    <row r="95" spans="1:20" ht="20.149999999999999" customHeight="1">
      <c r="A95" s="116"/>
      <c r="B95" s="117"/>
      <c r="C95" s="119">
        <v>72008</v>
      </c>
      <c r="D95" s="133" t="s">
        <v>103</v>
      </c>
      <c r="E95" s="110"/>
      <c r="F95" s="110"/>
      <c r="G95" s="110"/>
      <c r="H95" s="110"/>
      <c r="I95" s="110"/>
      <c r="J95" s="110"/>
      <c r="K95" s="110">
        <f t="shared" si="37"/>
        <v>0</v>
      </c>
      <c r="L95" s="111" t="str">
        <f t="shared" si="31"/>
        <v>-</v>
      </c>
      <c r="M95" s="110"/>
      <c r="N95" s="110"/>
      <c r="O95" s="110"/>
      <c r="P95" s="111" t="str">
        <f t="shared" si="32"/>
        <v>-</v>
      </c>
      <c r="Q95" s="10" t="str">
        <f t="shared" si="33"/>
        <v>-</v>
      </c>
      <c r="T95"/>
    </row>
    <row r="96" spans="1:20" s="104" customFormat="1" ht="20.149999999999999" customHeight="1">
      <c r="A96" s="120"/>
      <c r="B96" s="98">
        <v>7201</v>
      </c>
      <c r="C96" s="99"/>
      <c r="D96" s="100" t="s">
        <v>104</v>
      </c>
      <c r="E96" s="101">
        <f t="shared" ref="E96:O96" si="39">SUM(E97:E100)</f>
        <v>0</v>
      </c>
      <c r="F96" s="102">
        <f t="shared" si="39"/>
        <v>0</v>
      </c>
      <c r="G96" s="102">
        <f t="shared" si="39"/>
        <v>0</v>
      </c>
      <c r="H96" s="101">
        <f t="shared" si="39"/>
        <v>0</v>
      </c>
      <c r="I96" s="102">
        <f t="shared" si="39"/>
        <v>0</v>
      </c>
      <c r="J96" s="102">
        <f t="shared" si="39"/>
        <v>0</v>
      </c>
      <c r="K96" s="101">
        <f t="shared" si="39"/>
        <v>0</v>
      </c>
      <c r="L96" s="103" t="str">
        <f t="shared" si="31"/>
        <v>-</v>
      </c>
      <c r="M96" s="102">
        <f t="shared" si="39"/>
        <v>0</v>
      </c>
      <c r="N96" s="102">
        <f t="shared" si="39"/>
        <v>0</v>
      </c>
      <c r="O96" s="101">
        <f t="shared" si="39"/>
        <v>0</v>
      </c>
      <c r="P96" s="103" t="str">
        <f t="shared" si="32"/>
        <v>-</v>
      </c>
      <c r="Q96" s="104" t="str">
        <f t="shared" si="33"/>
        <v>-</v>
      </c>
      <c r="T96" s="105"/>
    </row>
    <row r="97" spans="1:20" ht="20.149999999999999" customHeight="1">
      <c r="A97" s="116"/>
      <c r="B97" s="117"/>
      <c r="C97" s="119">
        <v>72011</v>
      </c>
      <c r="D97" s="133" t="s">
        <v>105</v>
      </c>
      <c r="E97" s="110"/>
      <c r="F97" s="110"/>
      <c r="G97" s="110"/>
      <c r="H97" s="110"/>
      <c r="I97" s="110"/>
      <c r="J97" s="110"/>
      <c r="K97" s="110">
        <f t="shared" ref="K97:K100" si="40">SUM(I97:J97)</f>
        <v>0</v>
      </c>
      <c r="L97" s="111" t="str">
        <f t="shared" si="31"/>
        <v>-</v>
      </c>
      <c r="M97" s="110"/>
      <c r="N97" s="110"/>
      <c r="O97" s="110"/>
      <c r="P97" s="111" t="str">
        <f t="shared" si="32"/>
        <v>-</v>
      </c>
      <c r="Q97" s="10" t="str">
        <f t="shared" si="33"/>
        <v>-</v>
      </c>
      <c r="T97"/>
    </row>
    <row r="98" spans="1:20" ht="20.149999999999999" customHeight="1">
      <c r="A98" s="116"/>
      <c r="B98" s="117"/>
      <c r="C98" s="119">
        <v>72012</v>
      </c>
      <c r="D98" s="133" t="s">
        <v>106</v>
      </c>
      <c r="E98" s="110"/>
      <c r="F98" s="110"/>
      <c r="G98" s="110"/>
      <c r="H98" s="110"/>
      <c r="I98" s="110"/>
      <c r="J98" s="110"/>
      <c r="K98" s="110">
        <f t="shared" si="40"/>
        <v>0</v>
      </c>
      <c r="L98" s="111" t="str">
        <f t="shared" si="31"/>
        <v>-</v>
      </c>
      <c r="M98" s="110"/>
      <c r="N98" s="110"/>
      <c r="O98" s="110"/>
      <c r="P98" s="111" t="str">
        <f t="shared" si="32"/>
        <v>-</v>
      </c>
      <c r="Q98" s="10" t="str">
        <f t="shared" si="33"/>
        <v>-</v>
      </c>
      <c r="T98"/>
    </row>
    <row r="99" spans="1:20" ht="20.149999999999999" customHeight="1">
      <c r="A99" s="116"/>
      <c r="B99" s="117"/>
      <c r="C99" s="119">
        <v>72014</v>
      </c>
      <c r="D99" s="133" t="s">
        <v>107</v>
      </c>
      <c r="E99" s="110"/>
      <c r="F99" s="110"/>
      <c r="G99" s="110"/>
      <c r="H99" s="110"/>
      <c r="I99" s="110"/>
      <c r="J99" s="110"/>
      <c r="K99" s="110">
        <f t="shared" si="40"/>
        <v>0</v>
      </c>
      <c r="L99" s="111" t="str">
        <f t="shared" si="31"/>
        <v>-</v>
      </c>
      <c r="M99" s="110"/>
      <c r="N99" s="110"/>
      <c r="O99" s="110"/>
      <c r="P99" s="111" t="str">
        <f t="shared" si="32"/>
        <v>-</v>
      </c>
      <c r="Q99" s="10" t="str">
        <f t="shared" si="33"/>
        <v>-</v>
      </c>
      <c r="T99"/>
    </row>
    <row r="100" spans="1:20" ht="20.149999999999999" customHeight="1">
      <c r="A100" s="116"/>
      <c r="B100" s="117"/>
      <c r="C100" s="119">
        <v>72018</v>
      </c>
      <c r="D100" s="133" t="s">
        <v>108</v>
      </c>
      <c r="E100" s="110"/>
      <c r="F100" s="110"/>
      <c r="G100" s="110"/>
      <c r="H100" s="110"/>
      <c r="I100" s="110"/>
      <c r="J100" s="110"/>
      <c r="K100" s="110">
        <f t="shared" si="40"/>
        <v>0</v>
      </c>
      <c r="L100" s="111" t="str">
        <f t="shared" si="31"/>
        <v>-</v>
      </c>
      <c r="M100" s="110"/>
      <c r="N100" s="110"/>
      <c r="O100" s="110"/>
      <c r="P100" s="111" t="str">
        <f t="shared" si="32"/>
        <v>-</v>
      </c>
      <c r="Q100" s="10" t="str">
        <f t="shared" si="33"/>
        <v>-</v>
      </c>
      <c r="T100"/>
    </row>
    <row r="101" spans="1:20" s="95" customFormat="1" ht="20.149999999999999" customHeight="1">
      <c r="A101" s="122">
        <v>73</v>
      </c>
      <c r="B101" s="123"/>
      <c r="C101" s="124"/>
      <c r="D101" s="91" t="s">
        <v>109</v>
      </c>
      <c r="E101" s="125">
        <f t="shared" ref="E101:O101" si="41">E102+E111+E120+E126+E135+E142+E149+E155</f>
        <v>0</v>
      </c>
      <c r="F101" s="125">
        <f t="shared" si="41"/>
        <v>0</v>
      </c>
      <c r="G101" s="125">
        <f t="shared" si="41"/>
        <v>0</v>
      </c>
      <c r="H101" s="125">
        <f t="shared" si="41"/>
        <v>0</v>
      </c>
      <c r="I101" s="125">
        <f t="shared" si="41"/>
        <v>0</v>
      </c>
      <c r="J101" s="125">
        <f t="shared" si="41"/>
        <v>0</v>
      </c>
      <c r="K101" s="125">
        <f t="shared" si="41"/>
        <v>0</v>
      </c>
      <c r="L101" s="126" t="str">
        <f t="shared" si="31"/>
        <v>-</v>
      </c>
      <c r="M101" s="125">
        <f t="shared" si="41"/>
        <v>0</v>
      </c>
      <c r="N101" s="125">
        <f t="shared" si="41"/>
        <v>0</v>
      </c>
      <c r="O101" s="125">
        <f t="shared" si="41"/>
        <v>0</v>
      </c>
      <c r="P101" s="126" t="str">
        <f t="shared" si="32"/>
        <v>-</v>
      </c>
      <c r="Q101" s="95" t="str">
        <f t="shared" si="33"/>
        <v>-</v>
      </c>
      <c r="T101" s="96"/>
    </row>
    <row r="102" spans="1:20" s="104" customFormat="1" ht="20.149999999999999" customHeight="1">
      <c r="A102" s="120"/>
      <c r="B102" s="98">
        <v>7300</v>
      </c>
      <c r="C102" s="99"/>
      <c r="D102" s="100" t="s">
        <v>110</v>
      </c>
      <c r="E102" s="101">
        <f t="shared" ref="E102" si="42">SUM(E103:E110)</f>
        <v>0</v>
      </c>
      <c r="F102" s="102">
        <f t="shared" ref="F102:O102" si="43">SUM(F103:F110)</f>
        <v>0</v>
      </c>
      <c r="G102" s="102">
        <f t="shared" si="43"/>
        <v>0</v>
      </c>
      <c r="H102" s="101">
        <f t="shared" si="43"/>
        <v>0</v>
      </c>
      <c r="I102" s="102">
        <f t="shared" si="43"/>
        <v>0</v>
      </c>
      <c r="J102" s="102">
        <f t="shared" si="43"/>
        <v>0</v>
      </c>
      <c r="K102" s="101">
        <f t="shared" si="43"/>
        <v>0</v>
      </c>
      <c r="L102" s="103" t="str">
        <f t="shared" si="31"/>
        <v>-</v>
      </c>
      <c r="M102" s="102">
        <f t="shared" si="43"/>
        <v>0</v>
      </c>
      <c r="N102" s="102">
        <f t="shared" si="43"/>
        <v>0</v>
      </c>
      <c r="O102" s="101">
        <f t="shared" si="43"/>
        <v>0</v>
      </c>
      <c r="P102" s="103" t="str">
        <f t="shared" si="32"/>
        <v>-</v>
      </c>
      <c r="Q102" s="104" t="str">
        <f t="shared" si="33"/>
        <v>-</v>
      </c>
      <c r="T102" s="105"/>
    </row>
    <row r="103" spans="1:20" ht="20.149999999999999" customHeight="1">
      <c r="A103" s="116"/>
      <c r="B103" s="117"/>
      <c r="C103" s="119">
        <v>73001</v>
      </c>
      <c r="D103" s="133" t="s">
        <v>111</v>
      </c>
      <c r="E103" s="110"/>
      <c r="F103" s="110"/>
      <c r="G103" s="110"/>
      <c r="H103" s="110"/>
      <c r="I103" s="110"/>
      <c r="J103" s="110"/>
      <c r="K103" s="110">
        <f t="shared" ref="K103:K110" si="44">SUM(I103:J103)</f>
        <v>0</v>
      </c>
      <c r="L103" s="111" t="str">
        <f t="shared" si="31"/>
        <v>-</v>
      </c>
      <c r="M103" s="110"/>
      <c r="N103" s="110"/>
      <c r="O103" s="110"/>
      <c r="P103" s="111" t="str">
        <f t="shared" si="32"/>
        <v>-</v>
      </c>
      <c r="Q103" s="10" t="str">
        <f t="shared" si="33"/>
        <v>-</v>
      </c>
      <c r="T103"/>
    </row>
    <row r="104" spans="1:20" ht="20.149999999999999" customHeight="1">
      <c r="A104" s="116"/>
      <c r="B104" s="117"/>
      <c r="C104" s="119">
        <v>73002</v>
      </c>
      <c r="D104" s="133" t="s">
        <v>112</v>
      </c>
      <c r="E104" s="110"/>
      <c r="F104" s="110"/>
      <c r="G104" s="110"/>
      <c r="H104" s="110"/>
      <c r="I104" s="110"/>
      <c r="J104" s="110"/>
      <c r="K104" s="110">
        <f t="shared" si="44"/>
        <v>0</v>
      </c>
      <c r="L104" s="111" t="str">
        <f t="shared" si="31"/>
        <v>-</v>
      </c>
      <c r="M104" s="110"/>
      <c r="N104" s="110"/>
      <c r="O104" s="110"/>
      <c r="P104" s="111" t="str">
        <f t="shared" si="32"/>
        <v>-</v>
      </c>
      <c r="Q104" s="10" t="str">
        <f t="shared" si="33"/>
        <v>-</v>
      </c>
      <c r="T104"/>
    </row>
    <row r="105" spans="1:20" ht="20.149999999999999" customHeight="1">
      <c r="A105" s="116"/>
      <c r="B105" s="117"/>
      <c r="C105" s="119">
        <v>73003</v>
      </c>
      <c r="D105" s="133" t="s">
        <v>113</v>
      </c>
      <c r="E105" s="110"/>
      <c r="F105" s="110"/>
      <c r="G105" s="110"/>
      <c r="H105" s="110"/>
      <c r="I105" s="110"/>
      <c r="J105" s="110"/>
      <c r="K105" s="110">
        <f t="shared" si="44"/>
        <v>0</v>
      </c>
      <c r="L105" s="111" t="str">
        <f t="shared" si="31"/>
        <v>-</v>
      </c>
      <c r="M105" s="110"/>
      <c r="N105" s="110"/>
      <c r="O105" s="110"/>
      <c r="P105" s="111" t="str">
        <f t="shared" si="32"/>
        <v>-</v>
      </c>
      <c r="Q105" s="10" t="str">
        <f t="shared" si="33"/>
        <v>-</v>
      </c>
      <c r="T105"/>
    </row>
    <row r="106" spans="1:20" ht="20.149999999999999" customHeight="1">
      <c r="A106" s="116"/>
      <c r="B106" s="117"/>
      <c r="C106" s="119">
        <v>73004</v>
      </c>
      <c r="D106" s="133" t="s">
        <v>114</v>
      </c>
      <c r="E106" s="110"/>
      <c r="F106" s="110"/>
      <c r="G106" s="110"/>
      <c r="H106" s="110"/>
      <c r="I106" s="110"/>
      <c r="J106" s="110"/>
      <c r="K106" s="110">
        <f t="shared" si="44"/>
        <v>0</v>
      </c>
      <c r="L106" s="111" t="str">
        <f t="shared" si="31"/>
        <v>-</v>
      </c>
      <c r="M106" s="110"/>
      <c r="N106" s="110"/>
      <c r="O106" s="110"/>
      <c r="P106" s="111" t="str">
        <f t="shared" si="32"/>
        <v>-</v>
      </c>
      <c r="Q106" s="10" t="str">
        <f t="shared" si="33"/>
        <v>-</v>
      </c>
      <c r="T106"/>
    </row>
    <row r="107" spans="1:20" ht="20.149999999999999" customHeight="1">
      <c r="A107" s="116"/>
      <c r="B107" s="117"/>
      <c r="C107" s="119">
        <v>73005</v>
      </c>
      <c r="D107" s="133" t="s">
        <v>115</v>
      </c>
      <c r="E107" s="110"/>
      <c r="F107" s="110"/>
      <c r="G107" s="110"/>
      <c r="H107" s="110"/>
      <c r="I107" s="110"/>
      <c r="J107" s="110"/>
      <c r="K107" s="110">
        <f t="shared" si="44"/>
        <v>0</v>
      </c>
      <c r="L107" s="111" t="str">
        <f t="shared" si="31"/>
        <v>-</v>
      </c>
      <c r="M107" s="110"/>
      <c r="N107" s="110"/>
      <c r="O107" s="110"/>
      <c r="P107" s="111" t="str">
        <f t="shared" si="32"/>
        <v>-</v>
      </c>
      <c r="Q107" s="10" t="str">
        <f t="shared" si="33"/>
        <v>-</v>
      </c>
      <c r="T107"/>
    </row>
    <row r="108" spans="1:20" ht="20.149999999999999" customHeight="1">
      <c r="A108" s="116"/>
      <c r="B108" s="117"/>
      <c r="C108" s="119">
        <v>73006</v>
      </c>
      <c r="D108" s="133" t="s">
        <v>116</v>
      </c>
      <c r="E108" s="110"/>
      <c r="F108" s="110"/>
      <c r="G108" s="110"/>
      <c r="H108" s="110"/>
      <c r="I108" s="110"/>
      <c r="J108" s="110"/>
      <c r="K108" s="110">
        <f t="shared" si="44"/>
        <v>0</v>
      </c>
      <c r="L108" s="111" t="str">
        <f t="shared" si="31"/>
        <v>-</v>
      </c>
      <c r="M108" s="110"/>
      <c r="N108" s="110"/>
      <c r="O108" s="110"/>
      <c r="P108" s="111" t="str">
        <f t="shared" si="32"/>
        <v>-</v>
      </c>
      <c r="Q108" s="10" t="str">
        <f t="shared" si="33"/>
        <v>-</v>
      </c>
      <c r="T108"/>
    </row>
    <row r="109" spans="1:20" ht="20.149999999999999" customHeight="1">
      <c r="A109" s="116"/>
      <c r="B109" s="117"/>
      <c r="C109" s="119">
        <v>73007</v>
      </c>
      <c r="D109" s="133" t="s">
        <v>117</v>
      </c>
      <c r="E109" s="110"/>
      <c r="F109" s="110"/>
      <c r="G109" s="110"/>
      <c r="H109" s="110"/>
      <c r="I109" s="110"/>
      <c r="J109" s="110"/>
      <c r="K109" s="110">
        <f t="shared" si="44"/>
        <v>0</v>
      </c>
      <c r="L109" s="111" t="str">
        <f t="shared" si="31"/>
        <v>-</v>
      </c>
      <c r="M109" s="110"/>
      <c r="N109" s="110"/>
      <c r="O109" s="110"/>
      <c r="P109" s="111" t="str">
        <f t="shared" si="32"/>
        <v>-</v>
      </c>
      <c r="Q109" s="10" t="str">
        <f t="shared" si="33"/>
        <v>-</v>
      </c>
      <c r="T109"/>
    </row>
    <row r="110" spans="1:20" ht="20.149999999999999" customHeight="1">
      <c r="A110" s="116"/>
      <c r="B110" s="117"/>
      <c r="C110" s="119">
        <v>73008</v>
      </c>
      <c r="D110" s="133" t="s">
        <v>118</v>
      </c>
      <c r="E110" s="110"/>
      <c r="F110" s="110"/>
      <c r="G110" s="110"/>
      <c r="H110" s="110"/>
      <c r="I110" s="110"/>
      <c r="J110" s="110"/>
      <c r="K110" s="110">
        <f t="shared" si="44"/>
        <v>0</v>
      </c>
      <c r="L110" s="111" t="str">
        <f t="shared" si="31"/>
        <v>-</v>
      </c>
      <c r="M110" s="110"/>
      <c r="N110" s="110"/>
      <c r="O110" s="110"/>
      <c r="P110" s="111" t="str">
        <f t="shared" si="32"/>
        <v>-</v>
      </c>
      <c r="Q110" s="10" t="str">
        <f t="shared" si="33"/>
        <v>-</v>
      </c>
      <c r="T110"/>
    </row>
    <row r="111" spans="1:20" s="104" customFormat="1" ht="20.149999999999999" customHeight="1">
      <c r="A111" s="120"/>
      <c r="B111" s="98">
        <v>7301</v>
      </c>
      <c r="C111" s="99"/>
      <c r="D111" s="100" t="s">
        <v>119</v>
      </c>
      <c r="E111" s="101">
        <f t="shared" ref="E111:O111" si="45">SUM(E112:E119)</f>
        <v>0</v>
      </c>
      <c r="F111" s="102">
        <f t="shared" si="45"/>
        <v>0</v>
      </c>
      <c r="G111" s="102">
        <f t="shared" si="45"/>
        <v>0</v>
      </c>
      <c r="H111" s="101">
        <f t="shared" si="45"/>
        <v>0</v>
      </c>
      <c r="I111" s="102">
        <f t="shared" si="45"/>
        <v>0</v>
      </c>
      <c r="J111" s="102">
        <f t="shared" si="45"/>
        <v>0</v>
      </c>
      <c r="K111" s="101">
        <f t="shared" si="45"/>
        <v>0</v>
      </c>
      <c r="L111" s="103" t="str">
        <f t="shared" si="31"/>
        <v>-</v>
      </c>
      <c r="M111" s="102">
        <f t="shared" si="45"/>
        <v>0</v>
      </c>
      <c r="N111" s="102">
        <f t="shared" si="45"/>
        <v>0</v>
      </c>
      <c r="O111" s="101">
        <f t="shared" si="45"/>
        <v>0</v>
      </c>
      <c r="P111" s="103" t="str">
        <f t="shared" si="32"/>
        <v>-</v>
      </c>
      <c r="Q111" s="104" t="str">
        <f t="shared" si="33"/>
        <v>-</v>
      </c>
      <c r="T111" s="105"/>
    </row>
    <row r="112" spans="1:20" ht="20.149999999999999" customHeight="1">
      <c r="A112" s="116"/>
      <c r="B112" s="117"/>
      <c r="C112" s="119">
        <v>73011</v>
      </c>
      <c r="D112" s="133" t="s">
        <v>120</v>
      </c>
      <c r="E112" s="110"/>
      <c r="F112" s="110"/>
      <c r="G112" s="110"/>
      <c r="H112" s="110"/>
      <c r="I112" s="110"/>
      <c r="J112" s="110"/>
      <c r="K112" s="110">
        <f t="shared" ref="K112:K119" si="46">SUM(I112:J112)</f>
        <v>0</v>
      </c>
      <c r="L112" s="111" t="str">
        <f t="shared" si="31"/>
        <v>-</v>
      </c>
      <c r="M112" s="110"/>
      <c r="N112" s="110"/>
      <c r="O112" s="110"/>
      <c r="P112" s="111" t="str">
        <f t="shared" si="32"/>
        <v>-</v>
      </c>
      <c r="Q112" s="10" t="str">
        <f t="shared" si="33"/>
        <v>-</v>
      </c>
      <c r="T112"/>
    </row>
    <row r="113" spans="1:20" ht="20.149999999999999" customHeight="1">
      <c r="A113" s="116"/>
      <c r="B113" s="117"/>
      <c r="C113" s="119">
        <v>73012</v>
      </c>
      <c r="D113" s="133" t="s">
        <v>121</v>
      </c>
      <c r="E113" s="110"/>
      <c r="F113" s="110"/>
      <c r="G113" s="110"/>
      <c r="H113" s="110"/>
      <c r="I113" s="110"/>
      <c r="J113" s="110"/>
      <c r="K113" s="110">
        <f t="shared" si="46"/>
        <v>0</v>
      </c>
      <c r="L113" s="111" t="str">
        <f t="shared" si="31"/>
        <v>-</v>
      </c>
      <c r="M113" s="110"/>
      <c r="N113" s="110"/>
      <c r="O113" s="110"/>
      <c r="P113" s="111" t="str">
        <f t="shared" si="32"/>
        <v>-</v>
      </c>
      <c r="Q113" s="10" t="str">
        <f t="shared" si="33"/>
        <v>-</v>
      </c>
      <c r="T113"/>
    </row>
    <row r="114" spans="1:20" ht="20.149999999999999" customHeight="1">
      <c r="A114" s="116"/>
      <c r="B114" s="117"/>
      <c r="C114" s="119">
        <v>73013</v>
      </c>
      <c r="D114" s="133" t="s">
        <v>122</v>
      </c>
      <c r="E114" s="110"/>
      <c r="F114" s="110"/>
      <c r="G114" s="110"/>
      <c r="H114" s="110"/>
      <c r="I114" s="110"/>
      <c r="J114" s="110"/>
      <c r="K114" s="110">
        <f t="shared" si="46"/>
        <v>0</v>
      </c>
      <c r="L114" s="111" t="str">
        <f t="shared" si="31"/>
        <v>-</v>
      </c>
      <c r="M114" s="110"/>
      <c r="N114" s="110"/>
      <c r="O114" s="110"/>
      <c r="P114" s="111" t="str">
        <f t="shared" si="32"/>
        <v>-</v>
      </c>
      <c r="Q114" s="10" t="str">
        <f t="shared" si="33"/>
        <v>-</v>
      </c>
      <c r="T114"/>
    </row>
    <row r="115" spans="1:20" ht="20.149999999999999" customHeight="1">
      <c r="A115" s="116"/>
      <c r="B115" s="117"/>
      <c r="C115" s="119">
        <v>73014</v>
      </c>
      <c r="D115" s="133" t="s">
        <v>123</v>
      </c>
      <c r="E115" s="110"/>
      <c r="F115" s="110"/>
      <c r="G115" s="110"/>
      <c r="H115" s="110"/>
      <c r="I115" s="110"/>
      <c r="J115" s="110"/>
      <c r="K115" s="110">
        <f t="shared" si="46"/>
        <v>0</v>
      </c>
      <c r="L115" s="111" t="str">
        <f t="shared" si="31"/>
        <v>-</v>
      </c>
      <c r="M115" s="110"/>
      <c r="N115" s="110"/>
      <c r="O115" s="110"/>
      <c r="P115" s="111" t="str">
        <f t="shared" si="32"/>
        <v>-</v>
      </c>
      <c r="Q115" s="10" t="str">
        <f t="shared" si="33"/>
        <v>-</v>
      </c>
      <c r="T115"/>
    </row>
    <row r="116" spans="1:20" ht="20.149999999999999" customHeight="1">
      <c r="A116" s="116"/>
      <c r="B116" s="117"/>
      <c r="C116" s="119">
        <v>73015</v>
      </c>
      <c r="D116" s="133" t="s">
        <v>124</v>
      </c>
      <c r="E116" s="110"/>
      <c r="F116" s="110"/>
      <c r="G116" s="110"/>
      <c r="H116" s="110"/>
      <c r="I116" s="110"/>
      <c r="J116" s="110"/>
      <c r="K116" s="110">
        <f t="shared" si="46"/>
        <v>0</v>
      </c>
      <c r="L116" s="111" t="str">
        <f t="shared" si="31"/>
        <v>-</v>
      </c>
      <c r="M116" s="110"/>
      <c r="N116" s="110"/>
      <c r="O116" s="110"/>
      <c r="P116" s="111" t="str">
        <f t="shared" si="32"/>
        <v>-</v>
      </c>
      <c r="Q116" s="10" t="str">
        <f t="shared" si="33"/>
        <v>-</v>
      </c>
      <c r="T116"/>
    </row>
    <row r="117" spans="1:20" ht="20.149999999999999" customHeight="1">
      <c r="A117" s="116"/>
      <c r="B117" s="117"/>
      <c r="C117" s="119">
        <v>73016</v>
      </c>
      <c r="D117" s="133" t="s">
        <v>125</v>
      </c>
      <c r="E117" s="110"/>
      <c r="F117" s="110"/>
      <c r="G117" s="110"/>
      <c r="H117" s="110"/>
      <c r="I117" s="110"/>
      <c r="J117" s="110"/>
      <c r="K117" s="110">
        <f t="shared" si="46"/>
        <v>0</v>
      </c>
      <c r="L117" s="111" t="str">
        <f t="shared" si="31"/>
        <v>-</v>
      </c>
      <c r="M117" s="110"/>
      <c r="N117" s="110"/>
      <c r="O117" s="110"/>
      <c r="P117" s="111" t="str">
        <f t="shared" si="32"/>
        <v>-</v>
      </c>
      <c r="Q117" s="10" t="str">
        <f t="shared" si="33"/>
        <v>-</v>
      </c>
      <c r="T117"/>
    </row>
    <row r="118" spans="1:20" ht="20.149999999999999" customHeight="1">
      <c r="A118" s="116"/>
      <c r="B118" s="117"/>
      <c r="C118" s="119">
        <v>73017</v>
      </c>
      <c r="D118" s="133" t="s">
        <v>126</v>
      </c>
      <c r="E118" s="110"/>
      <c r="F118" s="110"/>
      <c r="G118" s="110"/>
      <c r="H118" s="110"/>
      <c r="I118" s="110"/>
      <c r="J118" s="110"/>
      <c r="K118" s="110">
        <f t="shared" si="46"/>
        <v>0</v>
      </c>
      <c r="L118" s="111" t="str">
        <f t="shared" si="31"/>
        <v>-</v>
      </c>
      <c r="M118" s="110"/>
      <c r="N118" s="110"/>
      <c r="O118" s="110"/>
      <c r="P118" s="111" t="str">
        <f t="shared" si="32"/>
        <v>-</v>
      </c>
      <c r="Q118" s="10" t="str">
        <f t="shared" si="33"/>
        <v>-</v>
      </c>
      <c r="T118"/>
    </row>
    <row r="119" spans="1:20" ht="20.149999999999999" customHeight="1">
      <c r="A119" s="116"/>
      <c r="B119" s="117"/>
      <c r="C119" s="119">
        <v>73018</v>
      </c>
      <c r="D119" s="133" t="s">
        <v>127</v>
      </c>
      <c r="E119" s="110"/>
      <c r="F119" s="110"/>
      <c r="G119" s="110"/>
      <c r="H119" s="110"/>
      <c r="I119" s="110"/>
      <c r="J119" s="110"/>
      <c r="K119" s="110">
        <f t="shared" si="46"/>
        <v>0</v>
      </c>
      <c r="L119" s="111" t="str">
        <f t="shared" si="31"/>
        <v>-</v>
      </c>
      <c r="M119" s="110"/>
      <c r="N119" s="110"/>
      <c r="O119" s="110"/>
      <c r="P119" s="111" t="str">
        <f t="shared" si="32"/>
        <v>-</v>
      </c>
      <c r="Q119" s="10" t="str">
        <f t="shared" si="33"/>
        <v>-</v>
      </c>
      <c r="T119"/>
    </row>
    <row r="120" spans="1:20" s="104" customFormat="1" ht="20.149999999999999" customHeight="1">
      <c r="A120" s="120"/>
      <c r="B120" s="98">
        <v>7302</v>
      </c>
      <c r="C120" s="99"/>
      <c r="D120" s="100" t="s">
        <v>128</v>
      </c>
      <c r="E120" s="101">
        <f t="shared" ref="E120:O120" si="47">SUM(E121:E125)</f>
        <v>0</v>
      </c>
      <c r="F120" s="102">
        <f t="shared" si="47"/>
        <v>0</v>
      </c>
      <c r="G120" s="102">
        <f t="shared" si="47"/>
        <v>0</v>
      </c>
      <c r="H120" s="101">
        <f t="shared" si="47"/>
        <v>0</v>
      </c>
      <c r="I120" s="102">
        <f t="shared" si="47"/>
        <v>0</v>
      </c>
      <c r="J120" s="102">
        <f t="shared" si="47"/>
        <v>0</v>
      </c>
      <c r="K120" s="101">
        <f t="shared" si="47"/>
        <v>0</v>
      </c>
      <c r="L120" s="103" t="str">
        <f t="shared" si="31"/>
        <v>-</v>
      </c>
      <c r="M120" s="102">
        <f t="shared" si="47"/>
        <v>0</v>
      </c>
      <c r="N120" s="102">
        <f t="shared" si="47"/>
        <v>0</v>
      </c>
      <c r="O120" s="101">
        <f t="shared" si="47"/>
        <v>0</v>
      </c>
      <c r="P120" s="103" t="str">
        <f t="shared" si="32"/>
        <v>-</v>
      </c>
      <c r="Q120" s="104" t="str">
        <f t="shared" si="33"/>
        <v>-</v>
      </c>
      <c r="T120" s="105"/>
    </row>
    <row r="121" spans="1:20" ht="20.149999999999999" customHeight="1">
      <c r="A121" s="116"/>
      <c r="B121" s="117"/>
      <c r="C121" s="119">
        <v>73022</v>
      </c>
      <c r="D121" s="133" t="s">
        <v>129</v>
      </c>
      <c r="E121" s="110"/>
      <c r="F121" s="110"/>
      <c r="G121" s="110"/>
      <c r="H121" s="110"/>
      <c r="I121" s="110"/>
      <c r="J121" s="110"/>
      <c r="K121" s="110">
        <f t="shared" ref="K121:K125" si="48">SUM(I121:J121)</f>
        <v>0</v>
      </c>
      <c r="L121" s="111" t="str">
        <f t="shared" si="31"/>
        <v>-</v>
      </c>
      <c r="M121" s="110"/>
      <c r="N121" s="110"/>
      <c r="O121" s="110"/>
      <c r="P121" s="111" t="str">
        <f t="shared" si="32"/>
        <v>-</v>
      </c>
      <c r="Q121" s="10" t="str">
        <f t="shared" si="33"/>
        <v>-</v>
      </c>
      <c r="T121"/>
    </row>
    <row r="122" spans="1:20" ht="20.149999999999999" customHeight="1">
      <c r="A122" s="116"/>
      <c r="B122" s="117"/>
      <c r="C122" s="119">
        <v>73023</v>
      </c>
      <c r="D122" s="133" t="s">
        <v>130</v>
      </c>
      <c r="E122" s="110"/>
      <c r="F122" s="110"/>
      <c r="G122" s="110"/>
      <c r="H122" s="110"/>
      <c r="I122" s="110"/>
      <c r="J122" s="110"/>
      <c r="K122" s="110">
        <f t="shared" si="48"/>
        <v>0</v>
      </c>
      <c r="L122" s="111" t="str">
        <f t="shared" si="31"/>
        <v>-</v>
      </c>
      <c r="M122" s="110"/>
      <c r="N122" s="110"/>
      <c r="O122" s="110"/>
      <c r="P122" s="111" t="str">
        <f t="shared" si="32"/>
        <v>-</v>
      </c>
      <c r="Q122" s="10" t="str">
        <f t="shared" si="33"/>
        <v>-</v>
      </c>
      <c r="T122"/>
    </row>
    <row r="123" spans="1:20" ht="20.149999999999999" customHeight="1">
      <c r="A123" s="116"/>
      <c r="B123" s="117"/>
      <c r="C123" s="119">
        <v>73024</v>
      </c>
      <c r="D123" s="133" t="s">
        <v>131</v>
      </c>
      <c r="E123" s="110"/>
      <c r="F123" s="110"/>
      <c r="G123" s="110"/>
      <c r="H123" s="110"/>
      <c r="I123" s="110"/>
      <c r="J123" s="110"/>
      <c r="K123" s="110">
        <f t="shared" si="48"/>
        <v>0</v>
      </c>
      <c r="L123" s="111" t="str">
        <f t="shared" si="31"/>
        <v>-</v>
      </c>
      <c r="M123" s="110"/>
      <c r="N123" s="110"/>
      <c r="O123" s="110"/>
      <c r="P123" s="111" t="str">
        <f t="shared" si="32"/>
        <v>-</v>
      </c>
      <c r="Q123" s="10" t="str">
        <f t="shared" si="33"/>
        <v>-</v>
      </c>
      <c r="T123"/>
    </row>
    <row r="124" spans="1:20" ht="20.149999999999999" customHeight="1">
      <c r="A124" s="116"/>
      <c r="B124" s="117"/>
      <c r="C124" s="119">
        <v>73026</v>
      </c>
      <c r="D124" s="133" t="s">
        <v>132</v>
      </c>
      <c r="E124" s="110"/>
      <c r="F124" s="110"/>
      <c r="G124" s="110"/>
      <c r="H124" s="110"/>
      <c r="I124" s="110"/>
      <c r="J124" s="110"/>
      <c r="K124" s="110">
        <f t="shared" si="48"/>
        <v>0</v>
      </c>
      <c r="L124" s="111" t="str">
        <f t="shared" si="31"/>
        <v>-</v>
      </c>
      <c r="M124" s="110"/>
      <c r="N124" s="110"/>
      <c r="O124" s="110"/>
      <c r="P124" s="111" t="str">
        <f t="shared" si="32"/>
        <v>-</v>
      </c>
      <c r="Q124" s="10" t="str">
        <f t="shared" si="33"/>
        <v>-</v>
      </c>
      <c r="T124"/>
    </row>
    <row r="125" spans="1:20" ht="20.149999999999999" customHeight="1">
      <c r="A125" s="116"/>
      <c r="B125" s="117"/>
      <c r="C125" s="119">
        <v>73028</v>
      </c>
      <c r="D125" s="136" t="s">
        <v>133</v>
      </c>
      <c r="E125" s="110"/>
      <c r="F125" s="110"/>
      <c r="G125" s="110"/>
      <c r="H125" s="110"/>
      <c r="I125" s="110"/>
      <c r="J125" s="110"/>
      <c r="K125" s="110">
        <f t="shared" si="48"/>
        <v>0</v>
      </c>
      <c r="L125" s="111" t="str">
        <f t="shared" si="31"/>
        <v>-</v>
      </c>
      <c r="M125" s="110"/>
      <c r="N125" s="110"/>
      <c r="O125" s="110"/>
      <c r="P125" s="111" t="str">
        <f t="shared" si="32"/>
        <v>-</v>
      </c>
      <c r="Q125" s="10" t="str">
        <f t="shared" si="33"/>
        <v>-</v>
      </c>
      <c r="T125"/>
    </row>
    <row r="126" spans="1:20" s="104" customFormat="1" ht="20.149999999999999" customHeight="1">
      <c r="A126" s="120"/>
      <c r="B126" s="98">
        <v>7304</v>
      </c>
      <c r="C126" s="99"/>
      <c r="D126" s="100" t="s">
        <v>134</v>
      </c>
      <c r="E126" s="101">
        <f t="shared" ref="E126:O126" si="49">SUM(E127:E134)</f>
        <v>0</v>
      </c>
      <c r="F126" s="102">
        <f t="shared" si="49"/>
        <v>0</v>
      </c>
      <c r="G126" s="102">
        <f t="shared" si="49"/>
        <v>0</v>
      </c>
      <c r="H126" s="101">
        <f t="shared" si="49"/>
        <v>0</v>
      </c>
      <c r="I126" s="102">
        <f t="shared" si="49"/>
        <v>0</v>
      </c>
      <c r="J126" s="102">
        <f t="shared" si="49"/>
        <v>0</v>
      </c>
      <c r="K126" s="101">
        <f t="shared" si="49"/>
        <v>0</v>
      </c>
      <c r="L126" s="103" t="str">
        <f t="shared" si="31"/>
        <v>-</v>
      </c>
      <c r="M126" s="102">
        <f t="shared" si="49"/>
        <v>0</v>
      </c>
      <c r="N126" s="102">
        <f t="shared" si="49"/>
        <v>0</v>
      </c>
      <c r="O126" s="101">
        <f t="shared" si="49"/>
        <v>0</v>
      </c>
      <c r="P126" s="103" t="str">
        <f t="shared" si="32"/>
        <v>-</v>
      </c>
      <c r="Q126" s="104" t="str">
        <f t="shared" si="33"/>
        <v>-</v>
      </c>
      <c r="T126" s="105"/>
    </row>
    <row r="127" spans="1:20" ht="20.149999999999999" customHeight="1">
      <c r="A127" s="116"/>
      <c r="B127" s="117"/>
      <c r="C127" s="119">
        <v>73041</v>
      </c>
      <c r="D127" s="133" t="s">
        <v>135</v>
      </c>
      <c r="E127" s="110"/>
      <c r="F127" s="110"/>
      <c r="G127" s="110"/>
      <c r="H127" s="110"/>
      <c r="I127" s="110"/>
      <c r="J127" s="110"/>
      <c r="K127" s="110">
        <f t="shared" ref="K127:K134" si="50">SUM(I127:J127)</f>
        <v>0</v>
      </c>
      <c r="L127" s="111" t="str">
        <f t="shared" si="31"/>
        <v>-</v>
      </c>
      <c r="M127" s="110"/>
      <c r="N127" s="110"/>
      <c r="O127" s="110"/>
      <c r="P127" s="111" t="str">
        <f t="shared" si="32"/>
        <v>-</v>
      </c>
      <c r="Q127" s="10" t="str">
        <f t="shared" si="33"/>
        <v>-</v>
      </c>
      <c r="T127"/>
    </row>
    <row r="128" spans="1:20" ht="20.149999999999999" customHeight="1">
      <c r="A128" s="116"/>
      <c r="B128" s="117"/>
      <c r="C128" s="119">
        <v>73042</v>
      </c>
      <c r="D128" s="133" t="s">
        <v>136</v>
      </c>
      <c r="E128" s="110"/>
      <c r="F128" s="110"/>
      <c r="G128" s="110"/>
      <c r="H128" s="110"/>
      <c r="I128" s="110"/>
      <c r="J128" s="110"/>
      <c r="K128" s="110">
        <f t="shared" si="50"/>
        <v>0</v>
      </c>
      <c r="L128" s="111" t="str">
        <f t="shared" si="31"/>
        <v>-</v>
      </c>
      <c r="M128" s="110"/>
      <c r="N128" s="110"/>
      <c r="O128" s="110"/>
      <c r="P128" s="111" t="str">
        <f t="shared" si="32"/>
        <v>-</v>
      </c>
      <c r="Q128" s="10" t="str">
        <f t="shared" si="33"/>
        <v>-</v>
      </c>
      <c r="T128"/>
    </row>
    <row r="129" spans="1:20" ht="20.149999999999999" customHeight="1">
      <c r="A129" s="116"/>
      <c r="B129" s="117"/>
      <c r="C129" s="119">
        <v>73043</v>
      </c>
      <c r="D129" s="133" t="s">
        <v>137</v>
      </c>
      <c r="E129" s="110"/>
      <c r="F129" s="110"/>
      <c r="G129" s="110"/>
      <c r="H129" s="110"/>
      <c r="I129" s="110"/>
      <c r="J129" s="110"/>
      <c r="K129" s="110">
        <f t="shared" si="50"/>
        <v>0</v>
      </c>
      <c r="L129" s="111" t="str">
        <f t="shared" si="31"/>
        <v>-</v>
      </c>
      <c r="M129" s="110"/>
      <c r="N129" s="110"/>
      <c r="O129" s="110"/>
      <c r="P129" s="111" t="str">
        <f t="shared" si="32"/>
        <v>-</v>
      </c>
      <c r="Q129" s="10" t="str">
        <f t="shared" si="33"/>
        <v>-</v>
      </c>
      <c r="T129"/>
    </row>
    <row r="130" spans="1:20" ht="20.149999999999999" customHeight="1">
      <c r="A130" s="116"/>
      <c r="B130" s="117"/>
      <c r="C130" s="119">
        <v>73044</v>
      </c>
      <c r="D130" s="133" t="s">
        <v>138</v>
      </c>
      <c r="E130" s="110"/>
      <c r="F130" s="110"/>
      <c r="G130" s="110"/>
      <c r="H130" s="110"/>
      <c r="I130" s="110"/>
      <c r="J130" s="110"/>
      <c r="K130" s="110">
        <f t="shared" si="50"/>
        <v>0</v>
      </c>
      <c r="L130" s="111" t="str">
        <f t="shared" si="31"/>
        <v>-</v>
      </c>
      <c r="M130" s="110"/>
      <c r="N130" s="110"/>
      <c r="O130" s="110"/>
      <c r="P130" s="111" t="str">
        <f t="shared" si="32"/>
        <v>-</v>
      </c>
      <c r="Q130" s="10" t="str">
        <f t="shared" si="33"/>
        <v>-</v>
      </c>
      <c r="T130"/>
    </row>
    <row r="131" spans="1:20" ht="20.149999999999999" customHeight="1">
      <c r="A131" s="116"/>
      <c r="B131" s="117"/>
      <c r="C131" s="119">
        <v>73045</v>
      </c>
      <c r="D131" s="133" t="s">
        <v>139</v>
      </c>
      <c r="E131" s="110"/>
      <c r="F131" s="110"/>
      <c r="G131" s="110"/>
      <c r="H131" s="110"/>
      <c r="I131" s="110"/>
      <c r="J131" s="110"/>
      <c r="K131" s="110">
        <f t="shared" si="50"/>
        <v>0</v>
      </c>
      <c r="L131" s="111" t="str">
        <f t="shared" si="31"/>
        <v>-</v>
      </c>
      <c r="M131" s="110"/>
      <c r="N131" s="110"/>
      <c r="O131" s="110"/>
      <c r="P131" s="111" t="str">
        <f t="shared" si="32"/>
        <v>-</v>
      </c>
      <c r="Q131" s="10" t="str">
        <f t="shared" si="33"/>
        <v>-</v>
      </c>
      <c r="T131"/>
    </row>
    <row r="132" spans="1:20" ht="20.149999999999999" customHeight="1">
      <c r="A132" s="116"/>
      <c r="B132" s="117"/>
      <c r="C132" s="119">
        <v>73046</v>
      </c>
      <c r="D132" s="133" t="s">
        <v>140</v>
      </c>
      <c r="E132" s="110"/>
      <c r="F132" s="110"/>
      <c r="G132" s="110"/>
      <c r="H132" s="110"/>
      <c r="I132" s="110"/>
      <c r="J132" s="110"/>
      <c r="K132" s="110">
        <f t="shared" si="50"/>
        <v>0</v>
      </c>
      <c r="L132" s="111" t="str">
        <f t="shared" si="31"/>
        <v>-</v>
      </c>
      <c r="M132" s="110"/>
      <c r="N132" s="110"/>
      <c r="O132" s="110"/>
      <c r="P132" s="111" t="str">
        <f t="shared" si="32"/>
        <v>-</v>
      </c>
      <c r="Q132" s="10" t="str">
        <f t="shared" si="33"/>
        <v>-</v>
      </c>
      <c r="T132"/>
    </row>
    <row r="133" spans="1:20" ht="20.149999999999999" customHeight="1">
      <c r="A133" s="116"/>
      <c r="B133" s="117"/>
      <c r="C133" s="119">
        <v>73047</v>
      </c>
      <c r="D133" s="133" t="s">
        <v>141</v>
      </c>
      <c r="E133" s="110"/>
      <c r="F133" s="110"/>
      <c r="G133" s="110"/>
      <c r="H133" s="110"/>
      <c r="I133" s="110"/>
      <c r="J133" s="110"/>
      <c r="K133" s="110">
        <f t="shared" si="50"/>
        <v>0</v>
      </c>
      <c r="L133" s="111" t="str">
        <f t="shared" si="31"/>
        <v>-</v>
      </c>
      <c r="M133" s="110"/>
      <c r="N133" s="110"/>
      <c r="O133" s="110"/>
      <c r="P133" s="111" t="str">
        <f t="shared" si="32"/>
        <v>-</v>
      </c>
      <c r="Q133" s="10" t="str">
        <f t="shared" si="33"/>
        <v>-</v>
      </c>
      <c r="T133"/>
    </row>
    <row r="134" spans="1:20" ht="20.149999999999999" customHeight="1">
      <c r="A134" s="116"/>
      <c r="B134" s="117"/>
      <c r="C134" s="119">
        <v>73048</v>
      </c>
      <c r="D134" s="133" t="s">
        <v>142</v>
      </c>
      <c r="E134" s="110"/>
      <c r="F134" s="110"/>
      <c r="G134" s="110"/>
      <c r="H134" s="110"/>
      <c r="I134" s="110"/>
      <c r="J134" s="110"/>
      <c r="K134" s="110">
        <f t="shared" si="50"/>
        <v>0</v>
      </c>
      <c r="L134" s="111" t="str">
        <f t="shared" si="31"/>
        <v>-</v>
      </c>
      <c r="M134" s="110"/>
      <c r="N134" s="110"/>
      <c r="O134" s="110"/>
      <c r="P134" s="111" t="str">
        <f t="shared" si="32"/>
        <v>-</v>
      </c>
      <c r="Q134" s="10" t="str">
        <f t="shared" si="33"/>
        <v>-</v>
      </c>
      <c r="T134"/>
    </row>
    <row r="135" spans="1:20" s="104" customFormat="1" ht="20.149999999999999" customHeight="1">
      <c r="A135" s="120"/>
      <c r="B135" s="98">
        <v>7305</v>
      </c>
      <c r="C135" s="99"/>
      <c r="D135" s="100" t="s">
        <v>143</v>
      </c>
      <c r="E135" s="101">
        <f t="shared" ref="E135:O135" si="51">SUM(E136:E141)</f>
        <v>0</v>
      </c>
      <c r="F135" s="102">
        <f t="shared" si="51"/>
        <v>0</v>
      </c>
      <c r="G135" s="102">
        <f t="shared" si="51"/>
        <v>0</v>
      </c>
      <c r="H135" s="101">
        <f t="shared" si="51"/>
        <v>0</v>
      </c>
      <c r="I135" s="102">
        <f t="shared" si="51"/>
        <v>0</v>
      </c>
      <c r="J135" s="102">
        <f t="shared" si="51"/>
        <v>0</v>
      </c>
      <c r="K135" s="101">
        <f t="shared" si="51"/>
        <v>0</v>
      </c>
      <c r="L135" s="103" t="str">
        <f t="shared" si="31"/>
        <v>-</v>
      </c>
      <c r="M135" s="102">
        <f t="shared" si="51"/>
        <v>0</v>
      </c>
      <c r="N135" s="102">
        <f t="shared" si="51"/>
        <v>0</v>
      </c>
      <c r="O135" s="101">
        <f t="shared" si="51"/>
        <v>0</v>
      </c>
      <c r="P135" s="103" t="str">
        <f t="shared" si="32"/>
        <v>-</v>
      </c>
      <c r="Q135" s="104" t="str">
        <f t="shared" si="33"/>
        <v>-</v>
      </c>
      <c r="T135" s="105"/>
    </row>
    <row r="136" spans="1:20" ht="20.149999999999999" customHeight="1">
      <c r="A136" s="116"/>
      <c r="B136" s="117"/>
      <c r="C136" s="119">
        <v>73051</v>
      </c>
      <c r="D136" s="133" t="s">
        <v>144</v>
      </c>
      <c r="E136" s="110"/>
      <c r="F136" s="110"/>
      <c r="G136" s="110"/>
      <c r="H136" s="110"/>
      <c r="I136" s="110"/>
      <c r="J136" s="110"/>
      <c r="K136" s="110">
        <f t="shared" ref="K136:K141" si="52">SUM(I136:J136)</f>
        <v>0</v>
      </c>
      <c r="L136" s="111" t="str">
        <f t="shared" si="31"/>
        <v>-</v>
      </c>
      <c r="M136" s="110"/>
      <c r="N136" s="110"/>
      <c r="O136" s="110"/>
      <c r="P136" s="111" t="str">
        <f t="shared" si="32"/>
        <v>-</v>
      </c>
      <c r="Q136" s="10" t="str">
        <f t="shared" si="33"/>
        <v>-</v>
      </c>
      <c r="T136"/>
    </row>
    <row r="137" spans="1:20" ht="20.149999999999999" customHeight="1">
      <c r="A137" s="116"/>
      <c r="B137" s="117"/>
      <c r="C137" s="119">
        <v>73052</v>
      </c>
      <c r="D137" s="133" t="s">
        <v>145</v>
      </c>
      <c r="E137" s="110"/>
      <c r="F137" s="110"/>
      <c r="G137" s="110"/>
      <c r="H137" s="110"/>
      <c r="I137" s="110"/>
      <c r="J137" s="110"/>
      <c r="K137" s="110">
        <f t="shared" si="52"/>
        <v>0</v>
      </c>
      <c r="L137" s="111" t="str">
        <f t="shared" si="31"/>
        <v>-</v>
      </c>
      <c r="M137" s="110"/>
      <c r="N137" s="110"/>
      <c r="O137" s="110"/>
      <c r="P137" s="111" t="str">
        <f t="shared" si="32"/>
        <v>-</v>
      </c>
      <c r="Q137" s="10" t="str">
        <f t="shared" si="33"/>
        <v>-</v>
      </c>
      <c r="T137"/>
    </row>
    <row r="138" spans="1:20" ht="20.149999999999999" customHeight="1">
      <c r="A138" s="116"/>
      <c r="B138" s="117"/>
      <c r="C138" s="119">
        <v>73053</v>
      </c>
      <c r="D138" s="133" t="s">
        <v>146</v>
      </c>
      <c r="E138" s="110"/>
      <c r="F138" s="110"/>
      <c r="G138" s="110"/>
      <c r="H138" s="110"/>
      <c r="I138" s="110"/>
      <c r="J138" s="110"/>
      <c r="K138" s="110">
        <f t="shared" si="52"/>
        <v>0</v>
      </c>
      <c r="L138" s="111" t="str">
        <f t="shared" si="31"/>
        <v>-</v>
      </c>
      <c r="M138" s="110"/>
      <c r="N138" s="110"/>
      <c r="O138" s="110"/>
      <c r="P138" s="111" t="str">
        <f t="shared" si="32"/>
        <v>-</v>
      </c>
      <c r="Q138" s="10" t="str">
        <f t="shared" si="33"/>
        <v>-</v>
      </c>
      <c r="T138"/>
    </row>
    <row r="139" spans="1:20" ht="20.149999999999999" customHeight="1">
      <c r="A139" s="116"/>
      <c r="B139" s="117"/>
      <c r="C139" s="119">
        <v>73054</v>
      </c>
      <c r="D139" s="133" t="s">
        <v>147</v>
      </c>
      <c r="E139" s="110"/>
      <c r="F139" s="110"/>
      <c r="G139" s="110"/>
      <c r="H139" s="110"/>
      <c r="I139" s="110"/>
      <c r="J139" s="110"/>
      <c r="K139" s="110">
        <f t="shared" si="52"/>
        <v>0</v>
      </c>
      <c r="L139" s="111" t="str">
        <f t="shared" si="31"/>
        <v>-</v>
      </c>
      <c r="M139" s="110"/>
      <c r="N139" s="110"/>
      <c r="O139" s="110"/>
      <c r="P139" s="111" t="str">
        <f t="shared" si="32"/>
        <v>-</v>
      </c>
      <c r="Q139" s="10" t="str">
        <f t="shared" si="33"/>
        <v>-</v>
      </c>
      <c r="T139"/>
    </row>
    <row r="140" spans="1:20" ht="20.149999999999999" customHeight="1">
      <c r="A140" s="116"/>
      <c r="B140" s="117"/>
      <c r="C140" s="119">
        <v>73055</v>
      </c>
      <c r="D140" s="133" t="s">
        <v>148</v>
      </c>
      <c r="E140" s="110"/>
      <c r="F140" s="110"/>
      <c r="G140" s="110"/>
      <c r="H140" s="110"/>
      <c r="I140" s="110"/>
      <c r="J140" s="110"/>
      <c r="K140" s="110">
        <f t="shared" si="52"/>
        <v>0</v>
      </c>
      <c r="L140" s="111" t="str">
        <f t="shared" si="31"/>
        <v>-</v>
      </c>
      <c r="M140" s="110"/>
      <c r="N140" s="110"/>
      <c r="O140" s="110"/>
      <c r="P140" s="111" t="str">
        <f t="shared" si="32"/>
        <v>-</v>
      </c>
      <c r="Q140" s="10" t="str">
        <f t="shared" si="33"/>
        <v>-</v>
      </c>
      <c r="T140"/>
    </row>
    <row r="141" spans="1:20" ht="20.149999999999999" customHeight="1">
      <c r="A141" s="116"/>
      <c r="B141" s="117"/>
      <c r="C141" s="119">
        <v>73058</v>
      </c>
      <c r="D141" s="133" t="s">
        <v>149</v>
      </c>
      <c r="E141" s="110"/>
      <c r="F141" s="110"/>
      <c r="G141" s="110"/>
      <c r="H141" s="110"/>
      <c r="I141" s="110"/>
      <c r="J141" s="110"/>
      <c r="K141" s="110">
        <f t="shared" si="52"/>
        <v>0</v>
      </c>
      <c r="L141" s="111" t="str">
        <f t="shared" si="31"/>
        <v>-</v>
      </c>
      <c r="M141" s="110"/>
      <c r="N141" s="110"/>
      <c r="O141" s="110"/>
      <c r="P141" s="111" t="str">
        <f t="shared" si="32"/>
        <v>-</v>
      </c>
      <c r="Q141" s="10" t="str">
        <f t="shared" si="33"/>
        <v>-</v>
      </c>
      <c r="T141"/>
    </row>
    <row r="142" spans="1:20" s="104" customFormat="1" ht="20.149999999999999" customHeight="1">
      <c r="A142" s="120"/>
      <c r="B142" s="98">
        <v>7306</v>
      </c>
      <c r="C142" s="99"/>
      <c r="D142" s="100" t="s">
        <v>150</v>
      </c>
      <c r="E142" s="101">
        <f t="shared" ref="E142:O142" si="53">SUM(E143:E148)</f>
        <v>0</v>
      </c>
      <c r="F142" s="102">
        <f t="shared" si="53"/>
        <v>0</v>
      </c>
      <c r="G142" s="102">
        <f t="shared" si="53"/>
        <v>0</v>
      </c>
      <c r="H142" s="101">
        <f t="shared" si="53"/>
        <v>0</v>
      </c>
      <c r="I142" s="102">
        <f t="shared" si="53"/>
        <v>0</v>
      </c>
      <c r="J142" s="102">
        <f t="shared" si="53"/>
        <v>0</v>
      </c>
      <c r="K142" s="101">
        <f t="shared" si="53"/>
        <v>0</v>
      </c>
      <c r="L142" s="103" t="str">
        <f t="shared" si="31"/>
        <v>-</v>
      </c>
      <c r="M142" s="102">
        <f t="shared" si="53"/>
        <v>0</v>
      </c>
      <c r="N142" s="102">
        <f t="shared" si="53"/>
        <v>0</v>
      </c>
      <c r="O142" s="101">
        <f t="shared" si="53"/>
        <v>0</v>
      </c>
      <c r="P142" s="103" t="str">
        <f t="shared" si="32"/>
        <v>-</v>
      </c>
      <c r="Q142" s="104" t="str">
        <f t="shared" si="33"/>
        <v>-</v>
      </c>
      <c r="T142" s="105"/>
    </row>
    <row r="143" spans="1:20" ht="20.149999999999999" customHeight="1">
      <c r="A143" s="116"/>
      <c r="B143" s="117"/>
      <c r="C143" s="119">
        <v>73061</v>
      </c>
      <c r="D143" s="133" t="s">
        <v>151</v>
      </c>
      <c r="E143" s="110"/>
      <c r="F143" s="110"/>
      <c r="G143" s="110"/>
      <c r="H143" s="110"/>
      <c r="I143" s="110"/>
      <c r="J143" s="110"/>
      <c r="K143" s="110">
        <f t="shared" ref="K143:K148" si="54">SUM(I143:J143)</f>
        <v>0</v>
      </c>
      <c r="L143" s="111" t="str">
        <f t="shared" si="31"/>
        <v>-</v>
      </c>
      <c r="M143" s="110"/>
      <c r="N143" s="110"/>
      <c r="O143" s="110"/>
      <c r="P143" s="111" t="str">
        <f t="shared" si="32"/>
        <v>-</v>
      </c>
      <c r="Q143" s="10" t="str">
        <f t="shared" si="33"/>
        <v>-</v>
      </c>
      <c r="T143"/>
    </row>
    <row r="144" spans="1:20" ht="20.149999999999999" customHeight="1">
      <c r="A144" s="116"/>
      <c r="B144" s="117"/>
      <c r="C144" s="119">
        <v>73062</v>
      </c>
      <c r="D144" s="133" t="s">
        <v>152</v>
      </c>
      <c r="E144" s="110"/>
      <c r="F144" s="110"/>
      <c r="G144" s="110"/>
      <c r="H144" s="110"/>
      <c r="I144" s="110"/>
      <c r="J144" s="110"/>
      <c r="K144" s="110">
        <f t="shared" si="54"/>
        <v>0</v>
      </c>
      <c r="L144" s="111" t="str">
        <f t="shared" ref="L144:L207" si="55">IFERROR(K144/H144,"-")</f>
        <v>-</v>
      </c>
      <c r="M144" s="110"/>
      <c r="N144" s="110"/>
      <c r="O144" s="110"/>
      <c r="P144" s="111" t="str">
        <f t="shared" ref="P144:P207" si="56">IFERROR(O144/H144,"-")</f>
        <v>-</v>
      </c>
      <c r="Q144" s="10" t="str">
        <f t="shared" ref="Q144:Q207" si="57">IF(OR(H144&gt;0,O144&gt;0),"ok","-")</f>
        <v>-</v>
      </c>
      <c r="T144"/>
    </row>
    <row r="145" spans="1:20" ht="20.149999999999999" customHeight="1">
      <c r="A145" s="116"/>
      <c r="B145" s="117"/>
      <c r="C145" s="119">
        <v>73063</v>
      </c>
      <c r="D145" s="133" t="s">
        <v>153</v>
      </c>
      <c r="E145" s="110"/>
      <c r="F145" s="110"/>
      <c r="G145" s="110"/>
      <c r="H145" s="110"/>
      <c r="I145" s="110"/>
      <c r="J145" s="110"/>
      <c r="K145" s="110">
        <f t="shared" si="54"/>
        <v>0</v>
      </c>
      <c r="L145" s="111" t="str">
        <f t="shared" si="55"/>
        <v>-</v>
      </c>
      <c r="M145" s="110"/>
      <c r="N145" s="110"/>
      <c r="O145" s="110"/>
      <c r="P145" s="111" t="str">
        <f t="shared" si="56"/>
        <v>-</v>
      </c>
      <c r="Q145" s="10" t="str">
        <f t="shared" si="57"/>
        <v>-</v>
      </c>
      <c r="T145"/>
    </row>
    <row r="146" spans="1:20" ht="20.149999999999999" customHeight="1">
      <c r="A146" s="116"/>
      <c r="B146" s="117"/>
      <c r="C146" s="119">
        <v>73065</v>
      </c>
      <c r="D146" s="133" t="s">
        <v>154</v>
      </c>
      <c r="E146" s="110"/>
      <c r="F146" s="110"/>
      <c r="G146" s="110"/>
      <c r="H146" s="110"/>
      <c r="I146" s="110"/>
      <c r="J146" s="110"/>
      <c r="K146" s="110">
        <f t="shared" si="54"/>
        <v>0</v>
      </c>
      <c r="L146" s="111" t="str">
        <f t="shared" si="55"/>
        <v>-</v>
      </c>
      <c r="M146" s="110"/>
      <c r="N146" s="110"/>
      <c r="O146" s="110"/>
      <c r="P146" s="111" t="str">
        <f t="shared" si="56"/>
        <v>-</v>
      </c>
      <c r="Q146" s="10" t="str">
        <f t="shared" si="57"/>
        <v>-</v>
      </c>
      <c r="T146"/>
    </row>
    <row r="147" spans="1:20" ht="20.149999999999999" customHeight="1">
      <c r="A147" s="116"/>
      <c r="B147" s="117"/>
      <c r="C147" s="119">
        <v>73066</v>
      </c>
      <c r="D147" s="133" t="s">
        <v>155</v>
      </c>
      <c r="E147" s="110"/>
      <c r="F147" s="110"/>
      <c r="G147" s="110"/>
      <c r="H147" s="110"/>
      <c r="I147" s="110"/>
      <c r="J147" s="110"/>
      <c r="K147" s="110">
        <f t="shared" si="54"/>
        <v>0</v>
      </c>
      <c r="L147" s="111" t="str">
        <f t="shared" si="55"/>
        <v>-</v>
      </c>
      <c r="M147" s="110"/>
      <c r="N147" s="110"/>
      <c r="O147" s="110"/>
      <c r="P147" s="111" t="str">
        <f t="shared" si="56"/>
        <v>-</v>
      </c>
      <c r="Q147" s="10" t="str">
        <f t="shared" si="57"/>
        <v>-</v>
      </c>
      <c r="T147"/>
    </row>
    <row r="148" spans="1:20" ht="20.149999999999999" customHeight="1">
      <c r="A148" s="116"/>
      <c r="B148" s="117"/>
      <c r="C148" s="119">
        <v>73067</v>
      </c>
      <c r="D148" s="133" t="s">
        <v>156</v>
      </c>
      <c r="E148" s="110"/>
      <c r="F148" s="110"/>
      <c r="G148" s="110"/>
      <c r="H148" s="110"/>
      <c r="I148" s="110"/>
      <c r="J148" s="110"/>
      <c r="K148" s="110">
        <f t="shared" si="54"/>
        <v>0</v>
      </c>
      <c r="L148" s="111" t="str">
        <f t="shared" si="55"/>
        <v>-</v>
      </c>
      <c r="M148" s="110"/>
      <c r="N148" s="110"/>
      <c r="O148" s="110"/>
      <c r="P148" s="111" t="str">
        <f t="shared" si="56"/>
        <v>-</v>
      </c>
      <c r="Q148" s="10" t="str">
        <f t="shared" si="57"/>
        <v>-</v>
      </c>
      <c r="T148"/>
    </row>
    <row r="149" spans="1:20" s="104" customFormat="1" ht="20.149999999999999" customHeight="1">
      <c r="A149" s="120"/>
      <c r="B149" s="98">
        <v>7307</v>
      </c>
      <c r="C149" s="99"/>
      <c r="D149" s="100" t="s">
        <v>157</v>
      </c>
      <c r="E149" s="101">
        <f t="shared" ref="E149" si="58">SUM(E150:E154)</f>
        <v>0</v>
      </c>
      <c r="F149" s="102">
        <f t="shared" ref="F149:O149" si="59">SUM(F150:F154)</f>
        <v>0</v>
      </c>
      <c r="G149" s="102">
        <f t="shared" si="59"/>
        <v>0</v>
      </c>
      <c r="H149" s="101">
        <f t="shared" si="59"/>
        <v>0</v>
      </c>
      <c r="I149" s="102">
        <f t="shared" si="59"/>
        <v>0</v>
      </c>
      <c r="J149" s="102">
        <f t="shared" si="59"/>
        <v>0</v>
      </c>
      <c r="K149" s="101">
        <f t="shared" si="59"/>
        <v>0</v>
      </c>
      <c r="L149" s="103" t="str">
        <f t="shared" si="55"/>
        <v>-</v>
      </c>
      <c r="M149" s="102">
        <f t="shared" si="59"/>
        <v>0</v>
      </c>
      <c r="N149" s="102">
        <f t="shared" si="59"/>
        <v>0</v>
      </c>
      <c r="O149" s="101">
        <f t="shared" si="59"/>
        <v>0</v>
      </c>
      <c r="P149" s="103" t="str">
        <f t="shared" si="56"/>
        <v>-</v>
      </c>
      <c r="Q149" s="104" t="str">
        <f t="shared" si="57"/>
        <v>-</v>
      </c>
      <c r="T149" s="105"/>
    </row>
    <row r="150" spans="1:20" ht="20.149999999999999" customHeight="1">
      <c r="A150" s="116"/>
      <c r="B150" s="117"/>
      <c r="C150" s="119">
        <v>73071</v>
      </c>
      <c r="D150" s="133" t="s">
        <v>158</v>
      </c>
      <c r="E150" s="110"/>
      <c r="F150" s="110"/>
      <c r="G150" s="110"/>
      <c r="H150" s="110"/>
      <c r="I150" s="110"/>
      <c r="J150" s="110"/>
      <c r="K150" s="110">
        <f t="shared" ref="K150:K154" si="60">SUM(I150:J150)</f>
        <v>0</v>
      </c>
      <c r="L150" s="111" t="str">
        <f t="shared" si="55"/>
        <v>-</v>
      </c>
      <c r="M150" s="110"/>
      <c r="N150" s="110"/>
      <c r="O150" s="110"/>
      <c r="P150" s="111" t="str">
        <f t="shared" si="56"/>
        <v>-</v>
      </c>
      <c r="Q150" s="10" t="str">
        <f t="shared" si="57"/>
        <v>-</v>
      </c>
      <c r="T150"/>
    </row>
    <row r="151" spans="1:20" ht="20.149999999999999" customHeight="1">
      <c r="A151" s="116"/>
      <c r="B151" s="117"/>
      <c r="C151" s="119">
        <v>73072</v>
      </c>
      <c r="D151" s="133" t="s">
        <v>159</v>
      </c>
      <c r="E151" s="110"/>
      <c r="F151" s="110"/>
      <c r="G151" s="110"/>
      <c r="H151" s="110"/>
      <c r="I151" s="110"/>
      <c r="J151" s="110"/>
      <c r="K151" s="110">
        <f t="shared" si="60"/>
        <v>0</v>
      </c>
      <c r="L151" s="111" t="str">
        <f t="shared" si="55"/>
        <v>-</v>
      </c>
      <c r="M151" s="110"/>
      <c r="N151" s="110"/>
      <c r="O151" s="110"/>
      <c r="P151" s="111" t="str">
        <f t="shared" si="56"/>
        <v>-</v>
      </c>
      <c r="Q151" s="10" t="str">
        <f t="shared" si="57"/>
        <v>-</v>
      </c>
      <c r="T151"/>
    </row>
    <row r="152" spans="1:20" ht="20.149999999999999" customHeight="1">
      <c r="A152" s="116"/>
      <c r="B152" s="117"/>
      <c r="C152" s="119">
        <v>73073</v>
      </c>
      <c r="D152" s="133" t="s">
        <v>160</v>
      </c>
      <c r="E152" s="110"/>
      <c r="F152" s="110"/>
      <c r="G152" s="110"/>
      <c r="H152" s="110"/>
      <c r="I152" s="110"/>
      <c r="J152" s="110"/>
      <c r="K152" s="110">
        <f t="shared" si="60"/>
        <v>0</v>
      </c>
      <c r="L152" s="111" t="str">
        <f t="shared" si="55"/>
        <v>-</v>
      </c>
      <c r="M152" s="110"/>
      <c r="N152" s="110"/>
      <c r="O152" s="110"/>
      <c r="P152" s="111" t="str">
        <f t="shared" si="56"/>
        <v>-</v>
      </c>
      <c r="Q152" s="10" t="str">
        <f t="shared" si="57"/>
        <v>-</v>
      </c>
      <c r="T152"/>
    </row>
    <row r="153" spans="1:20" ht="20.149999999999999" customHeight="1">
      <c r="A153" s="116"/>
      <c r="B153" s="117"/>
      <c r="C153" s="119">
        <v>73074</v>
      </c>
      <c r="D153" s="133" t="s">
        <v>161</v>
      </c>
      <c r="E153" s="110"/>
      <c r="F153" s="110"/>
      <c r="G153" s="110"/>
      <c r="H153" s="110"/>
      <c r="I153" s="110"/>
      <c r="J153" s="110"/>
      <c r="K153" s="110">
        <f t="shared" si="60"/>
        <v>0</v>
      </c>
      <c r="L153" s="111" t="str">
        <f t="shared" si="55"/>
        <v>-</v>
      </c>
      <c r="M153" s="110"/>
      <c r="N153" s="110"/>
      <c r="O153" s="110"/>
      <c r="P153" s="111" t="str">
        <f t="shared" si="56"/>
        <v>-</v>
      </c>
      <c r="Q153" s="10" t="str">
        <f t="shared" si="57"/>
        <v>-</v>
      </c>
      <c r="T153"/>
    </row>
    <row r="154" spans="1:20" ht="20.149999999999999" customHeight="1">
      <c r="A154" s="116"/>
      <c r="B154" s="117"/>
      <c r="C154" s="119">
        <v>73078</v>
      </c>
      <c r="D154" s="133" t="s">
        <v>162</v>
      </c>
      <c r="E154" s="110"/>
      <c r="F154" s="110"/>
      <c r="G154" s="110"/>
      <c r="H154" s="110"/>
      <c r="I154" s="110"/>
      <c r="J154" s="110"/>
      <c r="K154" s="110">
        <f t="shared" si="60"/>
        <v>0</v>
      </c>
      <c r="L154" s="111" t="str">
        <f t="shared" si="55"/>
        <v>-</v>
      </c>
      <c r="M154" s="110"/>
      <c r="N154" s="110"/>
      <c r="O154" s="110"/>
      <c r="P154" s="111" t="str">
        <f t="shared" si="56"/>
        <v>-</v>
      </c>
      <c r="Q154" s="10" t="str">
        <f t="shared" si="57"/>
        <v>-</v>
      </c>
      <c r="T154"/>
    </row>
    <row r="155" spans="1:20" s="104" customFormat="1" ht="20.149999999999999" customHeight="1">
      <c r="A155" s="120"/>
      <c r="B155" s="98">
        <v>7308</v>
      </c>
      <c r="C155" s="99"/>
      <c r="D155" s="100" t="s">
        <v>163</v>
      </c>
      <c r="E155" s="101">
        <f t="shared" ref="E155:O155" si="61">SUM(E156:E162)</f>
        <v>0</v>
      </c>
      <c r="F155" s="102">
        <f t="shared" si="61"/>
        <v>0</v>
      </c>
      <c r="G155" s="102">
        <f t="shared" si="61"/>
        <v>0</v>
      </c>
      <c r="H155" s="101">
        <f t="shared" si="61"/>
        <v>0</v>
      </c>
      <c r="I155" s="102">
        <f t="shared" si="61"/>
        <v>0</v>
      </c>
      <c r="J155" s="102">
        <f t="shared" si="61"/>
        <v>0</v>
      </c>
      <c r="K155" s="101">
        <f t="shared" si="61"/>
        <v>0</v>
      </c>
      <c r="L155" s="103" t="str">
        <f t="shared" si="55"/>
        <v>-</v>
      </c>
      <c r="M155" s="102">
        <f t="shared" si="61"/>
        <v>0</v>
      </c>
      <c r="N155" s="102">
        <f t="shared" si="61"/>
        <v>0</v>
      </c>
      <c r="O155" s="101">
        <f t="shared" si="61"/>
        <v>0</v>
      </c>
      <c r="P155" s="103" t="str">
        <f t="shared" si="56"/>
        <v>-</v>
      </c>
      <c r="Q155" s="104" t="str">
        <f t="shared" si="57"/>
        <v>-</v>
      </c>
      <c r="T155" s="105"/>
    </row>
    <row r="156" spans="1:20" ht="20.149999999999999" customHeight="1">
      <c r="A156" s="116"/>
      <c r="B156" s="117"/>
      <c r="C156" s="119">
        <v>73081</v>
      </c>
      <c r="D156" s="133" t="s">
        <v>164</v>
      </c>
      <c r="E156" s="110"/>
      <c r="F156" s="110"/>
      <c r="G156" s="110"/>
      <c r="H156" s="110"/>
      <c r="I156" s="110"/>
      <c r="J156" s="110"/>
      <c r="K156" s="110">
        <f t="shared" ref="K156:K162" si="62">SUM(I156:J156)</f>
        <v>0</v>
      </c>
      <c r="L156" s="111" t="str">
        <f t="shared" si="55"/>
        <v>-</v>
      </c>
      <c r="M156" s="110"/>
      <c r="N156" s="110"/>
      <c r="O156" s="110"/>
      <c r="P156" s="111" t="str">
        <f t="shared" si="56"/>
        <v>-</v>
      </c>
      <c r="Q156" s="10" t="str">
        <f t="shared" si="57"/>
        <v>-</v>
      </c>
      <c r="T156"/>
    </row>
    <row r="157" spans="1:20" ht="20.149999999999999" customHeight="1">
      <c r="A157" s="116"/>
      <c r="B157" s="117"/>
      <c r="C157" s="119">
        <v>73082</v>
      </c>
      <c r="D157" s="133" t="s">
        <v>165</v>
      </c>
      <c r="E157" s="110"/>
      <c r="F157" s="110"/>
      <c r="G157" s="110"/>
      <c r="H157" s="110"/>
      <c r="I157" s="110"/>
      <c r="J157" s="110"/>
      <c r="K157" s="110">
        <f t="shared" si="62"/>
        <v>0</v>
      </c>
      <c r="L157" s="111" t="str">
        <f t="shared" si="55"/>
        <v>-</v>
      </c>
      <c r="M157" s="110"/>
      <c r="N157" s="110"/>
      <c r="O157" s="110"/>
      <c r="P157" s="111" t="str">
        <f t="shared" si="56"/>
        <v>-</v>
      </c>
      <c r="Q157" s="10" t="str">
        <f t="shared" si="57"/>
        <v>-</v>
      </c>
      <c r="T157"/>
    </row>
    <row r="158" spans="1:20" ht="20.149999999999999" customHeight="1">
      <c r="A158" s="116"/>
      <c r="B158" s="117"/>
      <c r="C158" s="119">
        <v>73083</v>
      </c>
      <c r="D158" s="133" t="s">
        <v>166</v>
      </c>
      <c r="E158" s="110"/>
      <c r="F158" s="110"/>
      <c r="G158" s="110"/>
      <c r="H158" s="110"/>
      <c r="I158" s="110"/>
      <c r="J158" s="110"/>
      <c r="K158" s="110">
        <f t="shared" si="62"/>
        <v>0</v>
      </c>
      <c r="L158" s="111" t="str">
        <f t="shared" si="55"/>
        <v>-</v>
      </c>
      <c r="M158" s="110"/>
      <c r="N158" s="110"/>
      <c r="O158" s="110"/>
      <c r="P158" s="111" t="str">
        <f t="shared" si="56"/>
        <v>-</v>
      </c>
      <c r="Q158" s="10" t="str">
        <f t="shared" si="57"/>
        <v>-</v>
      </c>
      <c r="T158"/>
    </row>
    <row r="159" spans="1:20" ht="20.149999999999999" customHeight="1">
      <c r="A159" s="116"/>
      <c r="B159" s="117"/>
      <c r="C159" s="119">
        <v>73084</v>
      </c>
      <c r="D159" s="133" t="s">
        <v>167</v>
      </c>
      <c r="E159" s="110"/>
      <c r="F159" s="110"/>
      <c r="G159" s="110"/>
      <c r="H159" s="110"/>
      <c r="I159" s="110"/>
      <c r="J159" s="110"/>
      <c r="K159" s="110">
        <f t="shared" si="62"/>
        <v>0</v>
      </c>
      <c r="L159" s="111" t="str">
        <f t="shared" si="55"/>
        <v>-</v>
      </c>
      <c r="M159" s="110"/>
      <c r="N159" s="110"/>
      <c r="O159" s="110"/>
      <c r="P159" s="111" t="str">
        <f t="shared" si="56"/>
        <v>-</v>
      </c>
      <c r="Q159" s="10" t="str">
        <f t="shared" si="57"/>
        <v>-</v>
      </c>
      <c r="T159"/>
    </row>
    <row r="160" spans="1:20" ht="20.149999999999999" customHeight="1">
      <c r="A160" s="116"/>
      <c r="B160" s="117"/>
      <c r="C160" s="119">
        <v>73085</v>
      </c>
      <c r="D160" s="133" t="s">
        <v>168</v>
      </c>
      <c r="E160" s="110"/>
      <c r="F160" s="110"/>
      <c r="G160" s="110"/>
      <c r="H160" s="110"/>
      <c r="I160" s="110"/>
      <c r="J160" s="110"/>
      <c r="K160" s="110">
        <f t="shared" si="62"/>
        <v>0</v>
      </c>
      <c r="L160" s="111" t="str">
        <f t="shared" si="55"/>
        <v>-</v>
      </c>
      <c r="M160" s="110"/>
      <c r="N160" s="110"/>
      <c r="O160" s="110"/>
      <c r="P160" s="111" t="str">
        <f t="shared" si="56"/>
        <v>-</v>
      </c>
      <c r="Q160" s="10" t="str">
        <f t="shared" si="57"/>
        <v>-</v>
      </c>
      <c r="T160"/>
    </row>
    <row r="161" spans="1:20" ht="20.149999999999999" customHeight="1">
      <c r="A161" s="116"/>
      <c r="B161" s="117"/>
      <c r="C161" s="119">
        <v>73086</v>
      </c>
      <c r="D161" s="133" t="s">
        <v>169</v>
      </c>
      <c r="E161" s="110"/>
      <c r="F161" s="110"/>
      <c r="G161" s="110"/>
      <c r="H161" s="110"/>
      <c r="I161" s="110"/>
      <c r="J161" s="110"/>
      <c r="K161" s="110">
        <f t="shared" si="62"/>
        <v>0</v>
      </c>
      <c r="L161" s="111" t="str">
        <f t="shared" si="55"/>
        <v>-</v>
      </c>
      <c r="M161" s="110"/>
      <c r="N161" s="110"/>
      <c r="O161" s="110"/>
      <c r="P161" s="111" t="str">
        <f t="shared" si="56"/>
        <v>-</v>
      </c>
      <c r="Q161" s="10" t="str">
        <f t="shared" si="57"/>
        <v>-</v>
      </c>
      <c r="T161"/>
    </row>
    <row r="162" spans="1:20" ht="20.149999999999999" customHeight="1">
      <c r="A162" s="116"/>
      <c r="B162" s="117"/>
      <c r="C162" s="119">
        <v>73087</v>
      </c>
      <c r="D162" s="133" t="s">
        <v>170</v>
      </c>
      <c r="E162" s="110"/>
      <c r="F162" s="110"/>
      <c r="G162" s="110"/>
      <c r="H162" s="110"/>
      <c r="I162" s="110"/>
      <c r="J162" s="110"/>
      <c r="K162" s="110">
        <f t="shared" si="62"/>
        <v>0</v>
      </c>
      <c r="L162" s="111" t="str">
        <f t="shared" si="55"/>
        <v>-</v>
      </c>
      <c r="M162" s="110"/>
      <c r="N162" s="110"/>
      <c r="O162" s="110"/>
      <c r="P162" s="111" t="str">
        <f t="shared" si="56"/>
        <v>-</v>
      </c>
      <c r="Q162" s="10" t="str">
        <f t="shared" si="57"/>
        <v>-</v>
      </c>
      <c r="T162"/>
    </row>
    <row r="163" spans="1:20" s="95" customFormat="1" ht="20.149999999999999" customHeight="1">
      <c r="A163" s="122">
        <v>74</v>
      </c>
      <c r="B163" s="123"/>
      <c r="C163" s="124"/>
      <c r="D163" s="91" t="s">
        <v>171</v>
      </c>
      <c r="E163" s="125">
        <f t="shared" ref="E163:O163" si="63">E164+E167+E170</f>
        <v>0</v>
      </c>
      <c r="F163" s="125">
        <f t="shared" si="63"/>
        <v>0</v>
      </c>
      <c r="G163" s="125">
        <f t="shared" si="63"/>
        <v>0</v>
      </c>
      <c r="H163" s="125">
        <f t="shared" si="63"/>
        <v>0</v>
      </c>
      <c r="I163" s="125">
        <f t="shared" si="63"/>
        <v>0</v>
      </c>
      <c r="J163" s="125">
        <f t="shared" si="63"/>
        <v>0</v>
      </c>
      <c r="K163" s="125">
        <f t="shared" si="63"/>
        <v>0</v>
      </c>
      <c r="L163" s="126" t="str">
        <f t="shared" si="55"/>
        <v>-</v>
      </c>
      <c r="M163" s="125">
        <f t="shared" si="63"/>
        <v>0</v>
      </c>
      <c r="N163" s="125">
        <f t="shared" si="63"/>
        <v>0</v>
      </c>
      <c r="O163" s="125">
        <f t="shared" si="63"/>
        <v>0</v>
      </c>
      <c r="P163" s="126" t="str">
        <f t="shared" si="56"/>
        <v>-</v>
      </c>
      <c r="Q163" s="95" t="str">
        <f t="shared" si="57"/>
        <v>-</v>
      </c>
      <c r="T163" s="96"/>
    </row>
    <row r="164" spans="1:20" s="104" customFormat="1" ht="20.149999999999999" customHeight="1">
      <c r="A164" s="120"/>
      <c r="B164" s="98">
        <v>7401</v>
      </c>
      <c r="C164" s="99"/>
      <c r="D164" s="100" t="s">
        <v>172</v>
      </c>
      <c r="E164" s="101">
        <f t="shared" ref="E164" si="64">SUM(E165:E166)</f>
        <v>0</v>
      </c>
      <c r="F164" s="102">
        <f t="shared" ref="F164:O164" si="65">SUM(F165:F166)</f>
        <v>0</v>
      </c>
      <c r="G164" s="102">
        <f t="shared" si="65"/>
        <v>0</v>
      </c>
      <c r="H164" s="101">
        <f t="shared" si="65"/>
        <v>0</v>
      </c>
      <c r="I164" s="102">
        <f t="shared" si="65"/>
        <v>0</v>
      </c>
      <c r="J164" s="102">
        <f t="shared" si="65"/>
        <v>0</v>
      </c>
      <c r="K164" s="101">
        <f t="shared" si="65"/>
        <v>0</v>
      </c>
      <c r="L164" s="103" t="str">
        <f t="shared" si="55"/>
        <v>-</v>
      </c>
      <c r="M164" s="102">
        <f t="shared" si="65"/>
        <v>0</v>
      </c>
      <c r="N164" s="102">
        <f t="shared" si="65"/>
        <v>0</v>
      </c>
      <c r="O164" s="101">
        <f t="shared" si="65"/>
        <v>0</v>
      </c>
      <c r="P164" s="103" t="str">
        <f t="shared" si="56"/>
        <v>-</v>
      </c>
      <c r="Q164" s="104" t="str">
        <f t="shared" si="57"/>
        <v>-</v>
      </c>
      <c r="T164" s="105"/>
    </row>
    <row r="165" spans="1:20" ht="20.149999999999999" customHeight="1">
      <c r="A165" s="116"/>
      <c r="B165" s="117"/>
      <c r="C165" s="119">
        <v>74011</v>
      </c>
      <c r="D165" s="133" t="s">
        <v>173</v>
      </c>
      <c r="E165" s="110"/>
      <c r="F165" s="110"/>
      <c r="G165" s="110"/>
      <c r="H165" s="110"/>
      <c r="I165" s="110"/>
      <c r="J165" s="110"/>
      <c r="K165" s="110">
        <f t="shared" ref="K165:K166" si="66">SUM(I165:J165)</f>
        <v>0</v>
      </c>
      <c r="L165" s="111" t="str">
        <f t="shared" si="55"/>
        <v>-</v>
      </c>
      <c r="M165" s="110"/>
      <c r="N165" s="110"/>
      <c r="O165" s="110"/>
      <c r="P165" s="111" t="str">
        <f t="shared" si="56"/>
        <v>-</v>
      </c>
      <c r="Q165" s="10" t="str">
        <f t="shared" si="57"/>
        <v>-</v>
      </c>
      <c r="T165"/>
    </row>
    <row r="166" spans="1:20" ht="20.149999999999999" customHeight="1">
      <c r="A166" s="116"/>
      <c r="B166" s="117"/>
      <c r="C166" s="119">
        <v>74012</v>
      </c>
      <c r="D166" s="133" t="s">
        <v>174</v>
      </c>
      <c r="E166" s="110"/>
      <c r="F166" s="110"/>
      <c r="G166" s="110"/>
      <c r="H166" s="110"/>
      <c r="I166" s="110"/>
      <c r="J166" s="110"/>
      <c r="K166" s="110">
        <f t="shared" si="66"/>
        <v>0</v>
      </c>
      <c r="L166" s="111" t="str">
        <f t="shared" si="55"/>
        <v>-</v>
      </c>
      <c r="M166" s="110"/>
      <c r="N166" s="110"/>
      <c r="O166" s="110"/>
      <c r="P166" s="111" t="str">
        <f t="shared" si="56"/>
        <v>-</v>
      </c>
      <c r="Q166" s="10" t="str">
        <f t="shared" si="57"/>
        <v>-</v>
      </c>
      <c r="T166"/>
    </row>
    <row r="167" spans="1:20" s="104" customFormat="1" ht="20.149999999999999" customHeight="1">
      <c r="A167" s="120"/>
      <c r="B167" s="98">
        <v>7403</v>
      </c>
      <c r="C167" s="99"/>
      <c r="D167" s="100" t="s">
        <v>175</v>
      </c>
      <c r="E167" s="101">
        <f t="shared" ref="E167:O167" si="67">SUM(E168:E169)</f>
        <v>0</v>
      </c>
      <c r="F167" s="102">
        <f t="shared" si="67"/>
        <v>0</v>
      </c>
      <c r="G167" s="102">
        <f t="shared" si="67"/>
        <v>0</v>
      </c>
      <c r="H167" s="101">
        <f t="shared" si="67"/>
        <v>0</v>
      </c>
      <c r="I167" s="102">
        <f t="shared" si="67"/>
        <v>0</v>
      </c>
      <c r="J167" s="102">
        <f t="shared" si="67"/>
        <v>0</v>
      </c>
      <c r="K167" s="101">
        <f t="shared" si="67"/>
        <v>0</v>
      </c>
      <c r="L167" s="103" t="str">
        <f t="shared" si="55"/>
        <v>-</v>
      </c>
      <c r="M167" s="102">
        <f t="shared" si="67"/>
        <v>0</v>
      </c>
      <c r="N167" s="102">
        <f t="shared" si="67"/>
        <v>0</v>
      </c>
      <c r="O167" s="101">
        <f t="shared" si="67"/>
        <v>0</v>
      </c>
      <c r="P167" s="103" t="str">
        <f t="shared" si="56"/>
        <v>-</v>
      </c>
      <c r="Q167" s="104" t="str">
        <f t="shared" si="57"/>
        <v>-</v>
      </c>
      <c r="T167" s="105"/>
    </row>
    <row r="168" spans="1:20" ht="20.149999999999999" customHeight="1">
      <c r="A168" s="116"/>
      <c r="B168" s="117"/>
      <c r="C168" s="119">
        <v>74031</v>
      </c>
      <c r="D168" s="133" t="s">
        <v>176</v>
      </c>
      <c r="E168" s="110"/>
      <c r="F168" s="110"/>
      <c r="G168" s="110"/>
      <c r="H168" s="110"/>
      <c r="I168" s="110"/>
      <c r="J168" s="110"/>
      <c r="K168" s="110">
        <f t="shared" ref="K168:K169" si="68">SUM(I168:J168)</f>
        <v>0</v>
      </c>
      <c r="L168" s="111" t="str">
        <f t="shared" si="55"/>
        <v>-</v>
      </c>
      <c r="M168" s="110"/>
      <c r="N168" s="110"/>
      <c r="O168" s="110"/>
      <c r="P168" s="111" t="str">
        <f t="shared" si="56"/>
        <v>-</v>
      </c>
      <c r="Q168" s="10" t="str">
        <f t="shared" si="57"/>
        <v>-</v>
      </c>
      <c r="T168"/>
    </row>
    <row r="169" spans="1:20" ht="20.149999999999999" customHeight="1">
      <c r="A169" s="116"/>
      <c r="B169" s="117"/>
      <c r="C169" s="119">
        <v>74032</v>
      </c>
      <c r="D169" s="133" t="s">
        <v>177</v>
      </c>
      <c r="E169" s="110"/>
      <c r="F169" s="110"/>
      <c r="G169" s="110"/>
      <c r="H169" s="110"/>
      <c r="I169" s="110"/>
      <c r="J169" s="110"/>
      <c r="K169" s="110">
        <f t="shared" si="68"/>
        <v>0</v>
      </c>
      <c r="L169" s="111" t="str">
        <f t="shared" si="55"/>
        <v>-</v>
      </c>
      <c r="M169" s="110"/>
      <c r="N169" s="110"/>
      <c r="O169" s="110"/>
      <c r="P169" s="111" t="str">
        <f t="shared" si="56"/>
        <v>-</v>
      </c>
      <c r="Q169" s="10" t="str">
        <f t="shared" si="57"/>
        <v>-</v>
      </c>
      <c r="T169"/>
    </row>
    <row r="170" spans="1:20" s="104" customFormat="1" ht="20.149999999999999" customHeight="1">
      <c r="A170" s="120"/>
      <c r="B170" s="98">
        <v>7408</v>
      </c>
      <c r="C170" s="99"/>
      <c r="D170" s="100" t="s">
        <v>178</v>
      </c>
      <c r="E170" s="101">
        <f t="shared" ref="E170:O170" si="69">E171</f>
        <v>0</v>
      </c>
      <c r="F170" s="102">
        <f t="shared" si="69"/>
        <v>0</v>
      </c>
      <c r="G170" s="102">
        <f t="shared" si="69"/>
        <v>0</v>
      </c>
      <c r="H170" s="101">
        <f t="shared" si="69"/>
        <v>0</v>
      </c>
      <c r="I170" s="102">
        <f t="shared" si="69"/>
        <v>0</v>
      </c>
      <c r="J170" s="102">
        <f t="shared" si="69"/>
        <v>0</v>
      </c>
      <c r="K170" s="101">
        <f t="shared" si="69"/>
        <v>0</v>
      </c>
      <c r="L170" s="103" t="str">
        <f t="shared" si="55"/>
        <v>-</v>
      </c>
      <c r="M170" s="102">
        <f t="shared" si="69"/>
        <v>0</v>
      </c>
      <c r="N170" s="102">
        <f t="shared" si="69"/>
        <v>0</v>
      </c>
      <c r="O170" s="101">
        <f t="shared" si="69"/>
        <v>0</v>
      </c>
      <c r="P170" s="103" t="str">
        <f t="shared" si="56"/>
        <v>-</v>
      </c>
      <c r="Q170" s="104" t="str">
        <f t="shared" si="57"/>
        <v>-</v>
      </c>
      <c r="T170" s="105"/>
    </row>
    <row r="171" spans="1:20" ht="20.149999999999999" customHeight="1">
      <c r="A171" s="116"/>
      <c r="B171" s="117"/>
      <c r="C171" s="119">
        <v>74081</v>
      </c>
      <c r="D171" s="133" t="s">
        <v>178</v>
      </c>
      <c r="E171" s="110"/>
      <c r="F171" s="110"/>
      <c r="G171" s="110"/>
      <c r="H171" s="110"/>
      <c r="I171" s="110"/>
      <c r="J171" s="110"/>
      <c r="K171" s="110">
        <f>SUM(I171:J171)</f>
        <v>0</v>
      </c>
      <c r="L171" s="111" t="str">
        <f t="shared" si="55"/>
        <v>-</v>
      </c>
      <c r="M171" s="110"/>
      <c r="N171" s="110"/>
      <c r="O171" s="110"/>
      <c r="P171" s="111" t="str">
        <f t="shared" si="56"/>
        <v>-</v>
      </c>
      <c r="Q171" s="10" t="str">
        <f t="shared" si="57"/>
        <v>-</v>
      </c>
      <c r="T171"/>
    </row>
    <row r="172" spans="1:20" s="95" customFormat="1" ht="20.149999999999999" customHeight="1">
      <c r="A172" s="122">
        <v>75</v>
      </c>
      <c r="B172" s="123"/>
      <c r="C172" s="124"/>
      <c r="D172" s="91" t="s">
        <v>179</v>
      </c>
      <c r="E172" s="125">
        <f t="shared" ref="E172:O172" si="70">E173+E178+E182+E184+E187+E193+E195+E202+E204+E209+E213+E215+E218+E220</f>
        <v>0</v>
      </c>
      <c r="F172" s="125">
        <f t="shared" si="70"/>
        <v>0</v>
      </c>
      <c r="G172" s="125">
        <f t="shared" si="70"/>
        <v>0</v>
      </c>
      <c r="H172" s="125">
        <f t="shared" si="70"/>
        <v>0</v>
      </c>
      <c r="I172" s="125">
        <f t="shared" si="70"/>
        <v>0</v>
      </c>
      <c r="J172" s="125">
        <f t="shared" si="70"/>
        <v>0</v>
      </c>
      <c r="K172" s="125">
        <f t="shared" si="70"/>
        <v>0</v>
      </c>
      <c r="L172" s="126" t="str">
        <f t="shared" si="55"/>
        <v>-</v>
      </c>
      <c r="M172" s="125">
        <f t="shared" si="70"/>
        <v>0</v>
      </c>
      <c r="N172" s="125">
        <f t="shared" si="70"/>
        <v>0</v>
      </c>
      <c r="O172" s="125">
        <f t="shared" si="70"/>
        <v>0</v>
      </c>
      <c r="P172" s="126" t="str">
        <f t="shared" si="56"/>
        <v>-</v>
      </c>
      <c r="Q172" s="95" t="str">
        <f t="shared" si="57"/>
        <v>-</v>
      </c>
      <c r="T172" s="96"/>
    </row>
    <row r="173" spans="1:20" s="104" customFormat="1" ht="20.149999999999999" customHeight="1">
      <c r="A173" s="120"/>
      <c r="B173" s="98">
        <v>7501</v>
      </c>
      <c r="C173" s="99"/>
      <c r="D173" s="100" t="s">
        <v>180</v>
      </c>
      <c r="E173" s="101">
        <f t="shared" ref="E173" si="71">SUM(E174:E177)</f>
        <v>0</v>
      </c>
      <c r="F173" s="102">
        <f t="shared" ref="F173:O173" si="72">SUM(F174:F177)</f>
        <v>0</v>
      </c>
      <c r="G173" s="102">
        <f t="shared" si="72"/>
        <v>0</v>
      </c>
      <c r="H173" s="101">
        <f t="shared" si="72"/>
        <v>0</v>
      </c>
      <c r="I173" s="102">
        <f t="shared" si="72"/>
        <v>0</v>
      </c>
      <c r="J173" s="102">
        <f t="shared" si="72"/>
        <v>0</v>
      </c>
      <c r="K173" s="101">
        <f t="shared" si="72"/>
        <v>0</v>
      </c>
      <c r="L173" s="103" t="str">
        <f t="shared" si="55"/>
        <v>-</v>
      </c>
      <c r="M173" s="102">
        <f t="shared" si="72"/>
        <v>0</v>
      </c>
      <c r="N173" s="102">
        <f t="shared" si="72"/>
        <v>0</v>
      </c>
      <c r="O173" s="101">
        <f t="shared" si="72"/>
        <v>0</v>
      </c>
      <c r="P173" s="103" t="str">
        <f t="shared" si="56"/>
        <v>-</v>
      </c>
      <c r="Q173" s="104" t="str">
        <f t="shared" si="57"/>
        <v>-</v>
      </c>
      <c r="T173" s="105"/>
    </row>
    <row r="174" spans="1:20" ht="20.149999999999999" customHeight="1">
      <c r="A174" s="116"/>
      <c r="B174" s="117"/>
      <c r="C174" s="119">
        <v>75011</v>
      </c>
      <c r="D174" s="133" t="s">
        <v>181</v>
      </c>
      <c r="E174" s="110"/>
      <c r="F174" s="110"/>
      <c r="G174" s="110"/>
      <c r="H174" s="110"/>
      <c r="I174" s="110"/>
      <c r="J174" s="110"/>
      <c r="K174" s="110">
        <f t="shared" ref="K174:K177" si="73">SUM(I174:J174)</f>
        <v>0</v>
      </c>
      <c r="L174" s="111" t="str">
        <f t="shared" si="55"/>
        <v>-</v>
      </c>
      <c r="M174" s="110"/>
      <c r="N174" s="110"/>
      <c r="O174" s="110"/>
      <c r="P174" s="111" t="str">
        <f t="shared" si="56"/>
        <v>-</v>
      </c>
      <c r="Q174" s="10" t="str">
        <f t="shared" si="57"/>
        <v>-</v>
      </c>
      <c r="T174"/>
    </row>
    <row r="175" spans="1:20" ht="20.149999999999999" customHeight="1">
      <c r="A175" s="116"/>
      <c r="B175" s="117"/>
      <c r="C175" s="119">
        <v>75012</v>
      </c>
      <c r="D175" s="133" t="s">
        <v>182</v>
      </c>
      <c r="E175" s="110"/>
      <c r="F175" s="110"/>
      <c r="G175" s="110"/>
      <c r="H175" s="110"/>
      <c r="I175" s="110"/>
      <c r="J175" s="110"/>
      <c r="K175" s="110">
        <f t="shared" si="73"/>
        <v>0</v>
      </c>
      <c r="L175" s="111" t="str">
        <f t="shared" si="55"/>
        <v>-</v>
      </c>
      <c r="M175" s="110"/>
      <c r="N175" s="110"/>
      <c r="O175" s="110"/>
      <c r="P175" s="111" t="str">
        <f t="shared" si="56"/>
        <v>-</v>
      </c>
      <c r="Q175" s="10" t="str">
        <f t="shared" si="57"/>
        <v>-</v>
      </c>
      <c r="T175"/>
    </row>
    <row r="176" spans="1:20" ht="20.149999999999999" customHeight="1">
      <c r="A176" s="116"/>
      <c r="B176" s="117"/>
      <c r="C176" s="119">
        <v>75013</v>
      </c>
      <c r="D176" s="133" t="s">
        <v>183</v>
      </c>
      <c r="E176" s="110"/>
      <c r="F176" s="110"/>
      <c r="G176" s="110"/>
      <c r="H176" s="110"/>
      <c r="I176" s="110"/>
      <c r="J176" s="110"/>
      <c r="K176" s="110">
        <f t="shared" si="73"/>
        <v>0</v>
      </c>
      <c r="L176" s="111" t="str">
        <f t="shared" si="55"/>
        <v>-</v>
      </c>
      <c r="M176" s="110"/>
      <c r="N176" s="110"/>
      <c r="O176" s="110"/>
      <c r="P176" s="111" t="str">
        <f t="shared" si="56"/>
        <v>-</v>
      </c>
      <c r="Q176" s="10" t="str">
        <f t="shared" si="57"/>
        <v>-</v>
      </c>
      <c r="T176"/>
    </row>
    <row r="177" spans="1:20" ht="20.149999999999999" customHeight="1">
      <c r="A177" s="116"/>
      <c r="B177" s="117"/>
      <c r="C177" s="119">
        <v>75014</v>
      </c>
      <c r="D177" s="133" t="s">
        <v>184</v>
      </c>
      <c r="E177" s="110"/>
      <c r="F177" s="110"/>
      <c r="G177" s="110"/>
      <c r="H177" s="110"/>
      <c r="I177" s="110"/>
      <c r="J177" s="110"/>
      <c r="K177" s="110">
        <f t="shared" si="73"/>
        <v>0</v>
      </c>
      <c r="L177" s="111" t="str">
        <f t="shared" si="55"/>
        <v>-</v>
      </c>
      <c r="M177" s="110"/>
      <c r="N177" s="110"/>
      <c r="O177" s="110"/>
      <c r="P177" s="111" t="str">
        <f t="shared" si="56"/>
        <v>-</v>
      </c>
      <c r="Q177" s="10" t="str">
        <f t="shared" si="57"/>
        <v>-</v>
      </c>
      <c r="T177"/>
    </row>
    <row r="178" spans="1:20" s="104" customFormat="1" ht="20.149999999999999" customHeight="1">
      <c r="A178" s="120"/>
      <c r="B178" s="98">
        <v>7502</v>
      </c>
      <c r="C178" s="99"/>
      <c r="D178" s="100" t="s">
        <v>185</v>
      </c>
      <c r="E178" s="101">
        <f t="shared" ref="E178:O178" si="74">SUM(E179:E181)</f>
        <v>0</v>
      </c>
      <c r="F178" s="102">
        <f t="shared" si="74"/>
        <v>0</v>
      </c>
      <c r="G178" s="102">
        <f t="shared" si="74"/>
        <v>0</v>
      </c>
      <c r="H178" s="101">
        <f t="shared" si="74"/>
        <v>0</v>
      </c>
      <c r="I178" s="102">
        <f t="shared" si="74"/>
        <v>0</v>
      </c>
      <c r="J178" s="102">
        <f t="shared" si="74"/>
        <v>0</v>
      </c>
      <c r="K178" s="101">
        <f t="shared" si="74"/>
        <v>0</v>
      </c>
      <c r="L178" s="103" t="str">
        <f t="shared" si="55"/>
        <v>-</v>
      </c>
      <c r="M178" s="102">
        <f t="shared" si="74"/>
        <v>0</v>
      </c>
      <c r="N178" s="102">
        <f t="shared" si="74"/>
        <v>0</v>
      </c>
      <c r="O178" s="101">
        <f t="shared" si="74"/>
        <v>0</v>
      </c>
      <c r="P178" s="103" t="str">
        <f t="shared" si="56"/>
        <v>-</v>
      </c>
      <c r="Q178" s="104" t="str">
        <f t="shared" si="57"/>
        <v>-</v>
      </c>
      <c r="T178" s="105"/>
    </row>
    <row r="179" spans="1:20" ht="20.149999999999999" customHeight="1">
      <c r="A179" s="116"/>
      <c r="B179" s="117"/>
      <c r="C179" s="119">
        <v>75021</v>
      </c>
      <c r="D179" s="133" t="s">
        <v>186</v>
      </c>
      <c r="E179" s="110"/>
      <c r="F179" s="110"/>
      <c r="G179" s="110"/>
      <c r="H179" s="110"/>
      <c r="I179" s="110"/>
      <c r="J179" s="110"/>
      <c r="K179" s="110">
        <f t="shared" ref="K179:K181" si="75">SUM(I179:J179)</f>
        <v>0</v>
      </c>
      <c r="L179" s="111" t="str">
        <f t="shared" si="55"/>
        <v>-</v>
      </c>
      <c r="M179" s="110"/>
      <c r="N179" s="110"/>
      <c r="O179" s="110"/>
      <c r="P179" s="111" t="str">
        <f t="shared" si="56"/>
        <v>-</v>
      </c>
      <c r="Q179" s="10" t="str">
        <f t="shared" si="57"/>
        <v>-</v>
      </c>
      <c r="T179"/>
    </row>
    <row r="180" spans="1:20" ht="20.149999999999999" customHeight="1">
      <c r="A180" s="116"/>
      <c r="B180" s="117"/>
      <c r="C180" s="119">
        <v>75022</v>
      </c>
      <c r="D180" s="133" t="s">
        <v>187</v>
      </c>
      <c r="E180" s="110"/>
      <c r="F180" s="110"/>
      <c r="G180" s="110"/>
      <c r="H180" s="110"/>
      <c r="I180" s="110"/>
      <c r="J180" s="110"/>
      <c r="K180" s="110">
        <f t="shared" si="75"/>
        <v>0</v>
      </c>
      <c r="L180" s="111" t="str">
        <f t="shared" si="55"/>
        <v>-</v>
      </c>
      <c r="M180" s="110"/>
      <c r="N180" s="110"/>
      <c r="O180" s="110"/>
      <c r="P180" s="111" t="str">
        <f t="shared" si="56"/>
        <v>-</v>
      </c>
      <c r="Q180" s="10" t="str">
        <f t="shared" si="57"/>
        <v>-</v>
      </c>
      <c r="T180"/>
    </row>
    <row r="181" spans="1:20" ht="20.149999999999999" customHeight="1">
      <c r="A181" s="116"/>
      <c r="B181" s="117"/>
      <c r="C181" s="119">
        <v>75023</v>
      </c>
      <c r="D181" s="133" t="s">
        <v>188</v>
      </c>
      <c r="E181" s="110"/>
      <c r="F181" s="110"/>
      <c r="G181" s="110"/>
      <c r="H181" s="110"/>
      <c r="I181" s="110"/>
      <c r="J181" s="110"/>
      <c r="K181" s="110">
        <f t="shared" si="75"/>
        <v>0</v>
      </c>
      <c r="L181" s="111" t="str">
        <f t="shared" si="55"/>
        <v>-</v>
      </c>
      <c r="M181" s="110"/>
      <c r="N181" s="110"/>
      <c r="O181" s="110"/>
      <c r="P181" s="111" t="str">
        <f t="shared" si="56"/>
        <v>-</v>
      </c>
      <c r="Q181" s="10" t="str">
        <f t="shared" si="57"/>
        <v>-</v>
      </c>
      <c r="T181"/>
    </row>
    <row r="182" spans="1:20" s="104" customFormat="1" ht="20.149999999999999" customHeight="1">
      <c r="A182" s="120"/>
      <c r="B182" s="98">
        <v>7503</v>
      </c>
      <c r="C182" s="99"/>
      <c r="D182" s="100" t="s">
        <v>189</v>
      </c>
      <c r="E182" s="101">
        <f t="shared" ref="E182:O182" si="76">SUM(E183)</f>
        <v>0</v>
      </c>
      <c r="F182" s="102">
        <f t="shared" si="76"/>
        <v>0</v>
      </c>
      <c r="G182" s="102">
        <f t="shared" si="76"/>
        <v>0</v>
      </c>
      <c r="H182" s="101">
        <f t="shared" si="76"/>
        <v>0</v>
      </c>
      <c r="I182" s="102">
        <f t="shared" si="76"/>
        <v>0</v>
      </c>
      <c r="J182" s="102">
        <f t="shared" si="76"/>
        <v>0</v>
      </c>
      <c r="K182" s="101">
        <f t="shared" si="76"/>
        <v>0</v>
      </c>
      <c r="L182" s="103" t="str">
        <f t="shared" si="55"/>
        <v>-</v>
      </c>
      <c r="M182" s="102">
        <f t="shared" si="76"/>
        <v>0</v>
      </c>
      <c r="N182" s="102">
        <f t="shared" si="76"/>
        <v>0</v>
      </c>
      <c r="O182" s="101">
        <f t="shared" si="76"/>
        <v>0</v>
      </c>
      <c r="P182" s="103" t="str">
        <f t="shared" si="56"/>
        <v>-</v>
      </c>
      <c r="Q182" s="104" t="str">
        <f t="shared" si="57"/>
        <v>-</v>
      </c>
      <c r="T182" s="105"/>
    </row>
    <row r="183" spans="1:20" ht="20.149999999999999" customHeight="1">
      <c r="A183" s="116"/>
      <c r="B183" s="117"/>
      <c r="C183" s="119">
        <v>75031</v>
      </c>
      <c r="D183" s="133" t="s">
        <v>190</v>
      </c>
      <c r="E183" s="110"/>
      <c r="F183" s="110"/>
      <c r="G183" s="110"/>
      <c r="H183" s="110"/>
      <c r="I183" s="110"/>
      <c r="J183" s="110"/>
      <c r="K183" s="110">
        <f>SUM(I183:J183)</f>
        <v>0</v>
      </c>
      <c r="L183" s="111" t="str">
        <f t="shared" si="55"/>
        <v>-</v>
      </c>
      <c r="M183" s="110"/>
      <c r="N183" s="110"/>
      <c r="O183" s="110"/>
      <c r="P183" s="111" t="str">
        <f t="shared" si="56"/>
        <v>-</v>
      </c>
      <c r="Q183" s="10" t="str">
        <f t="shared" si="57"/>
        <v>-</v>
      </c>
      <c r="T183"/>
    </row>
    <row r="184" spans="1:20" s="104" customFormat="1" ht="20.149999999999999" customHeight="1">
      <c r="A184" s="120"/>
      <c r="B184" s="98">
        <v>7504</v>
      </c>
      <c r="C184" s="99"/>
      <c r="D184" s="100" t="s">
        <v>191</v>
      </c>
      <c r="E184" s="101">
        <f t="shared" ref="E184:O184" si="77">SUM(E185:E186)</f>
        <v>0</v>
      </c>
      <c r="F184" s="102">
        <f t="shared" si="77"/>
        <v>0</v>
      </c>
      <c r="G184" s="102">
        <f t="shared" si="77"/>
        <v>0</v>
      </c>
      <c r="H184" s="101">
        <f t="shared" si="77"/>
        <v>0</v>
      </c>
      <c r="I184" s="102">
        <f t="shared" si="77"/>
        <v>0</v>
      </c>
      <c r="J184" s="102">
        <f t="shared" si="77"/>
        <v>0</v>
      </c>
      <c r="K184" s="101">
        <f t="shared" si="77"/>
        <v>0</v>
      </c>
      <c r="L184" s="103" t="str">
        <f t="shared" si="55"/>
        <v>-</v>
      </c>
      <c r="M184" s="102">
        <f t="shared" si="77"/>
        <v>0</v>
      </c>
      <c r="N184" s="102">
        <f t="shared" si="77"/>
        <v>0</v>
      </c>
      <c r="O184" s="101">
        <f t="shared" si="77"/>
        <v>0</v>
      </c>
      <c r="P184" s="103" t="str">
        <f t="shared" si="56"/>
        <v>-</v>
      </c>
      <c r="Q184" s="104" t="str">
        <f t="shared" si="57"/>
        <v>-</v>
      </c>
      <c r="T184" s="105"/>
    </row>
    <row r="185" spans="1:20" ht="20.149999999999999" customHeight="1">
      <c r="A185" s="116"/>
      <c r="B185" s="117"/>
      <c r="C185" s="119">
        <v>75041</v>
      </c>
      <c r="D185" s="133" t="s">
        <v>192</v>
      </c>
      <c r="E185" s="110"/>
      <c r="F185" s="110"/>
      <c r="G185" s="110"/>
      <c r="H185" s="110"/>
      <c r="I185" s="110"/>
      <c r="J185" s="110"/>
      <c r="K185" s="110">
        <f t="shared" ref="K185:K186" si="78">SUM(I185:J185)</f>
        <v>0</v>
      </c>
      <c r="L185" s="111" t="str">
        <f t="shared" si="55"/>
        <v>-</v>
      </c>
      <c r="M185" s="110"/>
      <c r="N185" s="110"/>
      <c r="O185" s="110"/>
      <c r="P185" s="111" t="str">
        <f t="shared" si="56"/>
        <v>-</v>
      </c>
      <c r="Q185" s="10" t="str">
        <f t="shared" si="57"/>
        <v>-</v>
      </c>
      <c r="T185"/>
    </row>
    <row r="186" spans="1:20" ht="20.149999999999999" customHeight="1">
      <c r="A186" s="116"/>
      <c r="B186" s="117"/>
      <c r="C186" s="119">
        <v>75042</v>
      </c>
      <c r="D186" s="133" t="s">
        <v>193</v>
      </c>
      <c r="E186" s="110"/>
      <c r="F186" s="110"/>
      <c r="G186" s="110"/>
      <c r="H186" s="110"/>
      <c r="I186" s="110"/>
      <c r="J186" s="110"/>
      <c r="K186" s="110">
        <f t="shared" si="78"/>
        <v>0</v>
      </c>
      <c r="L186" s="111" t="str">
        <f t="shared" si="55"/>
        <v>-</v>
      </c>
      <c r="M186" s="110"/>
      <c r="N186" s="110"/>
      <c r="O186" s="110"/>
      <c r="P186" s="111" t="str">
        <f t="shared" si="56"/>
        <v>-</v>
      </c>
      <c r="Q186" s="10" t="str">
        <f t="shared" si="57"/>
        <v>-</v>
      </c>
      <c r="T186"/>
    </row>
    <row r="187" spans="1:20" s="104" customFormat="1" ht="20.149999999999999" customHeight="1">
      <c r="A187" s="120"/>
      <c r="B187" s="98">
        <v>7506</v>
      </c>
      <c r="C187" s="99"/>
      <c r="D187" s="100" t="s">
        <v>194</v>
      </c>
      <c r="E187" s="101">
        <f t="shared" ref="E187:O187" si="79">SUM(E188:E192)</f>
        <v>0</v>
      </c>
      <c r="F187" s="102">
        <f t="shared" si="79"/>
        <v>0</v>
      </c>
      <c r="G187" s="102">
        <f t="shared" si="79"/>
        <v>0</v>
      </c>
      <c r="H187" s="101">
        <f t="shared" si="79"/>
        <v>0</v>
      </c>
      <c r="I187" s="102">
        <f t="shared" si="79"/>
        <v>0</v>
      </c>
      <c r="J187" s="102">
        <f t="shared" si="79"/>
        <v>0</v>
      </c>
      <c r="K187" s="101">
        <f t="shared" si="79"/>
        <v>0</v>
      </c>
      <c r="L187" s="103" t="str">
        <f t="shared" si="55"/>
        <v>-</v>
      </c>
      <c r="M187" s="102">
        <f t="shared" si="79"/>
        <v>0</v>
      </c>
      <c r="N187" s="102">
        <f t="shared" si="79"/>
        <v>0</v>
      </c>
      <c r="O187" s="101">
        <f t="shared" si="79"/>
        <v>0</v>
      </c>
      <c r="P187" s="103" t="str">
        <f t="shared" si="56"/>
        <v>-</v>
      </c>
      <c r="Q187" s="104" t="str">
        <f t="shared" si="57"/>
        <v>-</v>
      </c>
      <c r="T187" s="105"/>
    </row>
    <row r="188" spans="1:20" ht="20.149999999999999" customHeight="1">
      <c r="A188" s="116"/>
      <c r="B188" s="117"/>
      <c r="C188" s="119">
        <v>75061</v>
      </c>
      <c r="D188" s="133" t="s">
        <v>195</v>
      </c>
      <c r="E188" s="110"/>
      <c r="F188" s="110"/>
      <c r="G188" s="110"/>
      <c r="H188" s="110"/>
      <c r="I188" s="110"/>
      <c r="J188" s="110"/>
      <c r="K188" s="110">
        <f t="shared" ref="K188:K192" si="80">SUM(I188:J188)</f>
        <v>0</v>
      </c>
      <c r="L188" s="111" t="str">
        <f t="shared" si="55"/>
        <v>-</v>
      </c>
      <c r="M188" s="110"/>
      <c r="N188" s="110"/>
      <c r="O188" s="110"/>
      <c r="P188" s="111" t="str">
        <f t="shared" si="56"/>
        <v>-</v>
      </c>
      <c r="Q188" s="10" t="str">
        <f t="shared" si="57"/>
        <v>-</v>
      </c>
      <c r="T188"/>
    </row>
    <row r="189" spans="1:20" ht="20.149999999999999" customHeight="1">
      <c r="A189" s="116"/>
      <c r="B189" s="117"/>
      <c r="C189" s="119">
        <v>75062</v>
      </c>
      <c r="D189" s="133" t="s">
        <v>196</v>
      </c>
      <c r="E189" s="110"/>
      <c r="F189" s="110"/>
      <c r="G189" s="110"/>
      <c r="H189" s="110"/>
      <c r="I189" s="110"/>
      <c r="J189" s="110"/>
      <c r="K189" s="110">
        <f t="shared" si="80"/>
        <v>0</v>
      </c>
      <c r="L189" s="111" t="str">
        <f t="shared" si="55"/>
        <v>-</v>
      </c>
      <c r="M189" s="110"/>
      <c r="N189" s="110"/>
      <c r="O189" s="110"/>
      <c r="P189" s="111" t="str">
        <f t="shared" si="56"/>
        <v>-</v>
      </c>
      <c r="Q189" s="10" t="str">
        <f t="shared" si="57"/>
        <v>-</v>
      </c>
      <c r="T189"/>
    </row>
    <row r="190" spans="1:20" ht="20.149999999999999" customHeight="1">
      <c r="A190" s="116"/>
      <c r="B190" s="117"/>
      <c r="C190" s="119">
        <v>75063</v>
      </c>
      <c r="D190" s="133" t="s">
        <v>197</v>
      </c>
      <c r="E190" s="110"/>
      <c r="F190" s="110"/>
      <c r="G190" s="110"/>
      <c r="H190" s="110"/>
      <c r="I190" s="110"/>
      <c r="J190" s="110"/>
      <c r="K190" s="110">
        <f t="shared" si="80"/>
        <v>0</v>
      </c>
      <c r="L190" s="111" t="str">
        <f t="shared" si="55"/>
        <v>-</v>
      </c>
      <c r="M190" s="110"/>
      <c r="N190" s="110"/>
      <c r="O190" s="110"/>
      <c r="P190" s="111" t="str">
        <f t="shared" si="56"/>
        <v>-</v>
      </c>
      <c r="Q190" s="10" t="str">
        <f t="shared" si="57"/>
        <v>-</v>
      </c>
      <c r="T190"/>
    </row>
    <row r="191" spans="1:20" ht="20.149999999999999" customHeight="1">
      <c r="A191" s="116"/>
      <c r="B191" s="117"/>
      <c r="C191" s="119">
        <v>75064</v>
      </c>
      <c r="D191" s="133" t="s">
        <v>198</v>
      </c>
      <c r="E191" s="110"/>
      <c r="F191" s="110"/>
      <c r="G191" s="110"/>
      <c r="H191" s="110"/>
      <c r="I191" s="110"/>
      <c r="J191" s="110"/>
      <c r="K191" s="110">
        <f t="shared" si="80"/>
        <v>0</v>
      </c>
      <c r="L191" s="111" t="str">
        <f t="shared" si="55"/>
        <v>-</v>
      </c>
      <c r="M191" s="110"/>
      <c r="N191" s="110"/>
      <c r="O191" s="110"/>
      <c r="P191" s="111" t="str">
        <f t="shared" si="56"/>
        <v>-</v>
      </c>
      <c r="Q191" s="10" t="str">
        <f t="shared" si="57"/>
        <v>-</v>
      </c>
      <c r="T191"/>
    </row>
    <row r="192" spans="1:20" ht="20.149999999999999" customHeight="1">
      <c r="A192" s="116"/>
      <c r="B192" s="117"/>
      <c r="C192" s="119">
        <v>75068</v>
      </c>
      <c r="D192" s="133" t="s">
        <v>50</v>
      </c>
      <c r="E192" s="110"/>
      <c r="F192" s="110"/>
      <c r="G192" s="110"/>
      <c r="H192" s="110"/>
      <c r="I192" s="110"/>
      <c r="J192" s="110"/>
      <c r="K192" s="110">
        <f t="shared" si="80"/>
        <v>0</v>
      </c>
      <c r="L192" s="111" t="str">
        <f t="shared" si="55"/>
        <v>-</v>
      </c>
      <c r="M192" s="110"/>
      <c r="N192" s="110"/>
      <c r="O192" s="110"/>
      <c r="P192" s="111" t="str">
        <f t="shared" si="56"/>
        <v>-</v>
      </c>
      <c r="Q192" s="10" t="str">
        <f t="shared" si="57"/>
        <v>-</v>
      </c>
      <c r="T192"/>
    </row>
    <row r="193" spans="1:20" s="104" customFormat="1" ht="20.149999999999999" customHeight="1">
      <c r="A193" s="120"/>
      <c r="B193" s="98">
        <v>7507</v>
      </c>
      <c r="C193" s="99"/>
      <c r="D193" s="100" t="s">
        <v>199</v>
      </c>
      <c r="E193" s="101">
        <f t="shared" ref="E193:O193" si="81">E194</f>
        <v>0</v>
      </c>
      <c r="F193" s="102">
        <f t="shared" si="81"/>
        <v>0</v>
      </c>
      <c r="G193" s="102">
        <f t="shared" si="81"/>
        <v>0</v>
      </c>
      <c r="H193" s="101">
        <f t="shared" si="81"/>
        <v>0</v>
      </c>
      <c r="I193" s="102">
        <f t="shared" si="81"/>
        <v>0</v>
      </c>
      <c r="J193" s="102">
        <f t="shared" si="81"/>
        <v>0</v>
      </c>
      <c r="K193" s="101">
        <f t="shared" si="81"/>
        <v>0</v>
      </c>
      <c r="L193" s="103" t="str">
        <f t="shared" si="55"/>
        <v>-</v>
      </c>
      <c r="M193" s="102">
        <f t="shared" si="81"/>
        <v>0</v>
      </c>
      <c r="N193" s="102">
        <f t="shared" si="81"/>
        <v>0</v>
      </c>
      <c r="O193" s="101">
        <f t="shared" si="81"/>
        <v>0</v>
      </c>
      <c r="P193" s="103" t="str">
        <f t="shared" si="56"/>
        <v>-</v>
      </c>
      <c r="Q193" s="104" t="str">
        <f t="shared" si="57"/>
        <v>-</v>
      </c>
      <c r="T193" s="105"/>
    </row>
    <row r="194" spans="1:20" ht="20.149999999999999" customHeight="1">
      <c r="A194" s="116"/>
      <c r="B194" s="117"/>
      <c r="C194" s="119">
        <v>75071</v>
      </c>
      <c r="D194" s="133" t="s">
        <v>200</v>
      </c>
      <c r="E194" s="110"/>
      <c r="F194" s="110"/>
      <c r="G194" s="110"/>
      <c r="H194" s="110"/>
      <c r="I194" s="110"/>
      <c r="J194" s="110"/>
      <c r="K194" s="110">
        <f>SUM(I194:J194)</f>
        <v>0</v>
      </c>
      <c r="L194" s="111" t="str">
        <f t="shared" si="55"/>
        <v>-</v>
      </c>
      <c r="M194" s="110"/>
      <c r="N194" s="110"/>
      <c r="O194" s="110"/>
      <c r="P194" s="111" t="str">
        <f t="shared" si="56"/>
        <v>-</v>
      </c>
      <c r="Q194" s="10" t="str">
        <f t="shared" si="57"/>
        <v>-</v>
      </c>
      <c r="T194"/>
    </row>
    <row r="195" spans="1:20" s="104" customFormat="1" ht="20.149999999999999" customHeight="1">
      <c r="A195" s="120"/>
      <c r="B195" s="98">
        <v>7508</v>
      </c>
      <c r="C195" s="99"/>
      <c r="D195" s="100" t="s">
        <v>201</v>
      </c>
      <c r="E195" s="101">
        <f t="shared" ref="E195:O195" si="82">SUM(E196:E201)</f>
        <v>0</v>
      </c>
      <c r="F195" s="102">
        <f t="shared" si="82"/>
        <v>0</v>
      </c>
      <c r="G195" s="102">
        <f t="shared" si="82"/>
        <v>0</v>
      </c>
      <c r="H195" s="101">
        <f t="shared" si="82"/>
        <v>0</v>
      </c>
      <c r="I195" s="102">
        <f t="shared" si="82"/>
        <v>0</v>
      </c>
      <c r="J195" s="102">
        <f t="shared" si="82"/>
        <v>0</v>
      </c>
      <c r="K195" s="101">
        <f t="shared" si="82"/>
        <v>0</v>
      </c>
      <c r="L195" s="103" t="str">
        <f t="shared" si="55"/>
        <v>-</v>
      </c>
      <c r="M195" s="102">
        <f t="shared" si="82"/>
        <v>0</v>
      </c>
      <c r="N195" s="102">
        <f t="shared" si="82"/>
        <v>0</v>
      </c>
      <c r="O195" s="101">
        <f t="shared" si="82"/>
        <v>0</v>
      </c>
      <c r="P195" s="103" t="str">
        <f t="shared" si="56"/>
        <v>-</v>
      </c>
      <c r="Q195" s="104" t="str">
        <f t="shared" si="57"/>
        <v>-</v>
      </c>
      <c r="T195" s="105"/>
    </row>
    <row r="196" spans="1:20" ht="20.149999999999999" customHeight="1">
      <c r="A196" s="116"/>
      <c r="B196" s="117"/>
      <c r="C196" s="119">
        <v>75081</v>
      </c>
      <c r="D196" s="133" t="s">
        <v>202</v>
      </c>
      <c r="E196" s="110"/>
      <c r="F196" s="110"/>
      <c r="G196" s="110"/>
      <c r="H196" s="110"/>
      <c r="I196" s="110"/>
      <c r="J196" s="110"/>
      <c r="K196" s="110">
        <f t="shared" ref="K196:K201" si="83">SUM(I196:J196)</f>
        <v>0</v>
      </c>
      <c r="L196" s="111" t="str">
        <f t="shared" si="55"/>
        <v>-</v>
      </c>
      <c r="M196" s="110"/>
      <c r="N196" s="110"/>
      <c r="O196" s="110"/>
      <c r="P196" s="111" t="str">
        <f t="shared" si="56"/>
        <v>-</v>
      </c>
      <c r="Q196" s="10" t="str">
        <f t="shared" si="57"/>
        <v>-</v>
      </c>
      <c r="T196"/>
    </row>
    <row r="197" spans="1:20" ht="20.149999999999999" customHeight="1">
      <c r="A197" s="116"/>
      <c r="B197" s="117"/>
      <c r="C197" s="119">
        <v>75082</v>
      </c>
      <c r="D197" s="133" t="s">
        <v>203</v>
      </c>
      <c r="E197" s="110"/>
      <c r="F197" s="110"/>
      <c r="G197" s="110"/>
      <c r="H197" s="110"/>
      <c r="I197" s="110"/>
      <c r="J197" s="110"/>
      <c r="K197" s="110">
        <f t="shared" si="83"/>
        <v>0</v>
      </c>
      <c r="L197" s="111" t="str">
        <f t="shared" si="55"/>
        <v>-</v>
      </c>
      <c r="M197" s="110"/>
      <c r="N197" s="110"/>
      <c r="O197" s="110"/>
      <c r="P197" s="111" t="str">
        <f t="shared" si="56"/>
        <v>-</v>
      </c>
      <c r="Q197" s="10" t="str">
        <f t="shared" si="57"/>
        <v>-</v>
      </c>
      <c r="T197"/>
    </row>
    <row r="198" spans="1:20" ht="20.149999999999999" customHeight="1">
      <c r="A198" s="116"/>
      <c r="B198" s="117"/>
      <c r="C198" s="119">
        <v>75083</v>
      </c>
      <c r="D198" s="133" t="s">
        <v>204</v>
      </c>
      <c r="E198" s="110"/>
      <c r="F198" s="110"/>
      <c r="G198" s="110"/>
      <c r="H198" s="110"/>
      <c r="I198" s="110"/>
      <c r="J198" s="110"/>
      <c r="K198" s="110">
        <f t="shared" si="83"/>
        <v>0</v>
      </c>
      <c r="L198" s="111" t="str">
        <f t="shared" si="55"/>
        <v>-</v>
      </c>
      <c r="M198" s="110"/>
      <c r="N198" s="110"/>
      <c r="O198" s="110"/>
      <c r="P198" s="111" t="str">
        <f t="shared" si="56"/>
        <v>-</v>
      </c>
      <c r="Q198" s="10" t="str">
        <f t="shared" si="57"/>
        <v>-</v>
      </c>
      <c r="T198"/>
    </row>
    <row r="199" spans="1:20" ht="20.149999999999999" customHeight="1">
      <c r="A199" s="116"/>
      <c r="B199" s="117"/>
      <c r="C199" s="119">
        <v>75084</v>
      </c>
      <c r="D199" s="133" t="s">
        <v>205</v>
      </c>
      <c r="E199" s="110"/>
      <c r="F199" s="110"/>
      <c r="G199" s="110"/>
      <c r="H199" s="110"/>
      <c r="I199" s="110"/>
      <c r="J199" s="110"/>
      <c r="K199" s="110">
        <f t="shared" si="83"/>
        <v>0</v>
      </c>
      <c r="L199" s="111" t="str">
        <f t="shared" si="55"/>
        <v>-</v>
      </c>
      <c r="M199" s="110"/>
      <c r="N199" s="110"/>
      <c r="O199" s="110"/>
      <c r="P199" s="111" t="str">
        <f t="shared" si="56"/>
        <v>-</v>
      </c>
      <c r="Q199" s="10" t="str">
        <f t="shared" si="57"/>
        <v>-</v>
      </c>
      <c r="T199"/>
    </row>
    <row r="200" spans="1:20" ht="20.149999999999999" customHeight="1">
      <c r="A200" s="116"/>
      <c r="B200" s="117"/>
      <c r="C200" s="119">
        <v>75085</v>
      </c>
      <c r="D200" s="133" t="s">
        <v>206</v>
      </c>
      <c r="E200" s="110"/>
      <c r="F200" s="110"/>
      <c r="G200" s="110"/>
      <c r="H200" s="110"/>
      <c r="I200" s="110"/>
      <c r="J200" s="110"/>
      <c r="K200" s="110">
        <f t="shared" si="83"/>
        <v>0</v>
      </c>
      <c r="L200" s="111" t="str">
        <f t="shared" si="55"/>
        <v>-</v>
      </c>
      <c r="M200" s="110"/>
      <c r="N200" s="110"/>
      <c r="O200" s="110"/>
      <c r="P200" s="111" t="str">
        <f t="shared" si="56"/>
        <v>-</v>
      </c>
      <c r="Q200" s="10" t="str">
        <f t="shared" si="57"/>
        <v>-</v>
      </c>
      <c r="T200"/>
    </row>
    <row r="201" spans="1:20" s="137" customFormat="1" ht="20.149999999999999" customHeight="1">
      <c r="A201" s="116"/>
      <c r="B201" s="117"/>
      <c r="C201" s="119">
        <v>75088</v>
      </c>
      <c r="D201" s="133" t="s">
        <v>207</v>
      </c>
      <c r="E201" s="110"/>
      <c r="F201" s="110"/>
      <c r="G201" s="110"/>
      <c r="H201" s="110"/>
      <c r="I201" s="110"/>
      <c r="J201" s="110"/>
      <c r="K201" s="110">
        <f t="shared" si="83"/>
        <v>0</v>
      </c>
      <c r="L201" s="111" t="str">
        <f t="shared" si="55"/>
        <v>-</v>
      </c>
      <c r="M201" s="110"/>
      <c r="N201" s="110"/>
      <c r="O201" s="110"/>
      <c r="P201" s="111" t="str">
        <f t="shared" si="56"/>
        <v>-</v>
      </c>
      <c r="Q201" s="137" t="str">
        <f t="shared" si="57"/>
        <v>-</v>
      </c>
      <c r="T201"/>
    </row>
    <row r="202" spans="1:20" s="104" customFormat="1" ht="20.149999999999999" customHeight="1">
      <c r="A202" s="120"/>
      <c r="B202" s="98">
        <v>7510</v>
      </c>
      <c r="C202" s="99"/>
      <c r="D202" s="100" t="s">
        <v>208</v>
      </c>
      <c r="E202" s="101">
        <f t="shared" ref="E202:O202" si="84">E203</f>
        <v>0</v>
      </c>
      <c r="F202" s="102">
        <f t="shared" si="84"/>
        <v>0</v>
      </c>
      <c r="G202" s="102">
        <f t="shared" si="84"/>
        <v>0</v>
      </c>
      <c r="H202" s="101">
        <f t="shared" si="84"/>
        <v>0</v>
      </c>
      <c r="I202" s="102">
        <f t="shared" si="84"/>
        <v>0</v>
      </c>
      <c r="J202" s="102">
        <f t="shared" si="84"/>
        <v>0</v>
      </c>
      <c r="K202" s="101">
        <f t="shared" si="84"/>
        <v>0</v>
      </c>
      <c r="L202" s="103" t="str">
        <f t="shared" si="55"/>
        <v>-</v>
      </c>
      <c r="M202" s="102">
        <f t="shared" si="84"/>
        <v>0</v>
      </c>
      <c r="N202" s="102">
        <f t="shared" si="84"/>
        <v>0</v>
      </c>
      <c r="O202" s="101">
        <f t="shared" si="84"/>
        <v>0</v>
      </c>
      <c r="P202" s="103" t="str">
        <f t="shared" si="56"/>
        <v>-</v>
      </c>
      <c r="Q202" s="104" t="str">
        <f t="shared" si="57"/>
        <v>-</v>
      </c>
      <c r="T202" s="105"/>
    </row>
    <row r="203" spans="1:20" ht="20.149999999999999" customHeight="1">
      <c r="A203" s="116"/>
      <c r="B203" s="117"/>
      <c r="C203" s="119">
        <v>75101</v>
      </c>
      <c r="D203" s="133" t="s">
        <v>209</v>
      </c>
      <c r="E203" s="110"/>
      <c r="F203" s="110"/>
      <c r="G203" s="110"/>
      <c r="H203" s="110"/>
      <c r="I203" s="110"/>
      <c r="J203" s="110"/>
      <c r="K203" s="110">
        <f>SUM(I203:J203)</f>
        <v>0</v>
      </c>
      <c r="L203" s="111" t="str">
        <f t="shared" si="55"/>
        <v>-</v>
      </c>
      <c r="M203" s="110"/>
      <c r="N203" s="110"/>
      <c r="O203" s="110"/>
      <c r="P203" s="111" t="str">
        <f t="shared" si="56"/>
        <v>-</v>
      </c>
      <c r="Q203" s="10" t="str">
        <f t="shared" si="57"/>
        <v>-</v>
      </c>
      <c r="T203"/>
    </row>
    <row r="204" spans="1:20" s="104" customFormat="1" ht="20.149999999999999" customHeight="1">
      <c r="A204" s="120"/>
      <c r="B204" s="98">
        <v>7511</v>
      </c>
      <c r="C204" s="99"/>
      <c r="D204" s="100" t="s">
        <v>210</v>
      </c>
      <c r="E204" s="101">
        <f t="shared" ref="E204:O204" si="85">SUM(E205:E208)</f>
        <v>0</v>
      </c>
      <c r="F204" s="102">
        <f t="shared" si="85"/>
        <v>0</v>
      </c>
      <c r="G204" s="102">
        <f t="shared" si="85"/>
        <v>0</v>
      </c>
      <c r="H204" s="101">
        <f t="shared" si="85"/>
        <v>0</v>
      </c>
      <c r="I204" s="102">
        <f t="shared" si="85"/>
        <v>0</v>
      </c>
      <c r="J204" s="102">
        <f t="shared" si="85"/>
        <v>0</v>
      </c>
      <c r="K204" s="101">
        <f t="shared" si="85"/>
        <v>0</v>
      </c>
      <c r="L204" s="103" t="str">
        <f t="shared" si="55"/>
        <v>-</v>
      </c>
      <c r="M204" s="102">
        <f t="shared" si="85"/>
        <v>0</v>
      </c>
      <c r="N204" s="102">
        <f t="shared" si="85"/>
        <v>0</v>
      </c>
      <c r="O204" s="101">
        <f t="shared" si="85"/>
        <v>0</v>
      </c>
      <c r="P204" s="103" t="str">
        <f t="shared" si="56"/>
        <v>-</v>
      </c>
      <c r="Q204" s="104" t="str">
        <f t="shared" si="57"/>
        <v>-</v>
      </c>
      <c r="T204" s="105"/>
    </row>
    <row r="205" spans="1:20" ht="20.149999999999999" customHeight="1">
      <c r="A205" s="116"/>
      <c r="B205" s="117"/>
      <c r="C205" s="119">
        <v>75111</v>
      </c>
      <c r="D205" s="133" t="s">
        <v>210</v>
      </c>
      <c r="E205" s="110"/>
      <c r="F205" s="110"/>
      <c r="G205" s="110"/>
      <c r="H205" s="110"/>
      <c r="I205" s="110"/>
      <c r="J205" s="110"/>
      <c r="K205" s="110">
        <f t="shared" ref="K205:K208" si="86">SUM(I205:J205)</f>
        <v>0</v>
      </c>
      <c r="L205" s="111" t="str">
        <f t="shared" si="55"/>
        <v>-</v>
      </c>
      <c r="M205" s="110"/>
      <c r="N205" s="110"/>
      <c r="O205" s="110"/>
      <c r="P205" s="111" t="str">
        <f t="shared" si="56"/>
        <v>-</v>
      </c>
      <c r="Q205" s="10" t="str">
        <f t="shared" si="57"/>
        <v>-</v>
      </c>
      <c r="T205"/>
    </row>
    <row r="206" spans="1:20" ht="20.149999999999999" customHeight="1">
      <c r="A206" s="116"/>
      <c r="B206" s="117"/>
      <c r="C206" s="119">
        <v>75112</v>
      </c>
      <c r="D206" s="133" t="s">
        <v>211</v>
      </c>
      <c r="E206" s="110"/>
      <c r="F206" s="110"/>
      <c r="G206" s="110"/>
      <c r="H206" s="110"/>
      <c r="I206" s="110"/>
      <c r="J206" s="110"/>
      <c r="K206" s="110">
        <f t="shared" si="86"/>
        <v>0</v>
      </c>
      <c r="L206" s="111" t="str">
        <f t="shared" si="55"/>
        <v>-</v>
      </c>
      <c r="M206" s="110"/>
      <c r="N206" s="110"/>
      <c r="O206" s="110"/>
      <c r="P206" s="111" t="str">
        <f t="shared" si="56"/>
        <v>-</v>
      </c>
      <c r="Q206" s="10" t="str">
        <f t="shared" si="57"/>
        <v>-</v>
      </c>
      <c r="T206"/>
    </row>
    <row r="207" spans="1:20" ht="20.149999999999999" customHeight="1">
      <c r="A207" s="116"/>
      <c r="B207" s="117"/>
      <c r="C207" s="119">
        <v>75113</v>
      </c>
      <c r="D207" s="133" t="s">
        <v>212</v>
      </c>
      <c r="E207" s="110"/>
      <c r="F207" s="110"/>
      <c r="G207" s="110"/>
      <c r="H207" s="110"/>
      <c r="I207" s="110"/>
      <c r="J207" s="110"/>
      <c r="K207" s="110">
        <f t="shared" si="86"/>
        <v>0</v>
      </c>
      <c r="L207" s="111" t="str">
        <f t="shared" si="55"/>
        <v>-</v>
      </c>
      <c r="M207" s="110"/>
      <c r="N207" s="110"/>
      <c r="O207" s="110"/>
      <c r="P207" s="111" t="str">
        <f t="shared" si="56"/>
        <v>-</v>
      </c>
      <c r="Q207" s="10" t="str">
        <f t="shared" si="57"/>
        <v>-</v>
      </c>
      <c r="T207"/>
    </row>
    <row r="208" spans="1:20" ht="20.149999999999999" customHeight="1">
      <c r="A208" s="116"/>
      <c r="B208" s="117"/>
      <c r="C208" s="119">
        <v>75114</v>
      </c>
      <c r="D208" s="133" t="s">
        <v>213</v>
      </c>
      <c r="E208" s="110"/>
      <c r="F208" s="110"/>
      <c r="G208" s="110"/>
      <c r="H208" s="110"/>
      <c r="I208" s="110"/>
      <c r="J208" s="110"/>
      <c r="K208" s="110">
        <f t="shared" si="86"/>
        <v>0</v>
      </c>
      <c r="L208" s="111" t="str">
        <f t="shared" ref="L208:L271" si="87">IFERROR(K208/H208,"-")</f>
        <v>-</v>
      </c>
      <c r="M208" s="110"/>
      <c r="N208" s="110"/>
      <c r="O208" s="110"/>
      <c r="P208" s="111" t="str">
        <f t="shared" ref="P208:P271" si="88">IFERROR(O208/H208,"-")</f>
        <v>-</v>
      </c>
      <c r="Q208" s="10" t="str">
        <f t="shared" ref="Q208:Q271" si="89">IF(OR(H208&gt;0,O208&gt;0),"ok","-")</f>
        <v>-</v>
      </c>
      <c r="T208"/>
    </row>
    <row r="209" spans="1:20" s="104" customFormat="1" ht="20.149999999999999" customHeight="1">
      <c r="A209" s="120"/>
      <c r="B209" s="98">
        <v>7512</v>
      </c>
      <c r="C209" s="99"/>
      <c r="D209" s="100" t="s">
        <v>214</v>
      </c>
      <c r="E209" s="101">
        <f t="shared" ref="E209" si="90">SUM(E210:E212)</f>
        <v>0</v>
      </c>
      <c r="F209" s="102">
        <f t="shared" ref="F209:O209" si="91">SUM(F210:F212)</f>
        <v>0</v>
      </c>
      <c r="G209" s="102">
        <f t="shared" si="91"/>
        <v>0</v>
      </c>
      <c r="H209" s="101">
        <f t="shared" si="91"/>
        <v>0</v>
      </c>
      <c r="I209" s="102">
        <f t="shared" si="91"/>
        <v>0</v>
      </c>
      <c r="J209" s="102">
        <f t="shared" si="91"/>
        <v>0</v>
      </c>
      <c r="K209" s="101">
        <f t="shared" si="91"/>
        <v>0</v>
      </c>
      <c r="L209" s="103" t="str">
        <f t="shared" si="87"/>
        <v>-</v>
      </c>
      <c r="M209" s="102">
        <f t="shared" si="91"/>
        <v>0</v>
      </c>
      <c r="N209" s="102">
        <f t="shared" si="91"/>
        <v>0</v>
      </c>
      <c r="O209" s="101">
        <f t="shared" si="91"/>
        <v>0</v>
      </c>
      <c r="P209" s="103" t="str">
        <f t="shared" si="88"/>
        <v>-</v>
      </c>
      <c r="Q209" s="104" t="str">
        <f t="shared" si="89"/>
        <v>-</v>
      </c>
      <c r="T209" s="105"/>
    </row>
    <row r="210" spans="1:20" ht="20.149999999999999" customHeight="1">
      <c r="A210" s="116"/>
      <c r="B210" s="117"/>
      <c r="C210" s="119">
        <v>75121</v>
      </c>
      <c r="D210" s="133" t="s">
        <v>215</v>
      </c>
      <c r="E210" s="110"/>
      <c r="F210" s="110"/>
      <c r="G210" s="110"/>
      <c r="H210" s="110"/>
      <c r="I210" s="110"/>
      <c r="J210" s="110"/>
      <c r="K210" s="110">
        <f t="shared" ref="K210:K212" si="92">SUM(I210:J210)</f>
        <v>0</v>
      </c>
      <c r="L210" s="111" t="str">
        <f t="shared" si="87"/>
        <v>-</v>
      </c>
      <c r="M210" s="110"/>
      <c r="N210" s="110"/>
      <c r="O210" s="110"/>
      <c r="P210" s="111" t="str">
        <f t="shared" si="88"/>
        <v>-</v>
      </c>
      <c r="Q210" s="10" t="str">
        <f t="shared" si="89"/>
        <v>-</v>
      </c>
      <c r="T210"/>
    </row>
    <row r="211" spans="1:20" ht="20.149999999999999" customHeight="1">
      <c r="A211" s="116"/>
      <c r="B211" s="117"/>
      <c r="C211" s="119">
        <v>75122</v>
      </c>
      <c r="D211" s="133" t="s">
        <v>216</v>
      </c>
      <c r="E211" s="110"/>
      <c r="F211" s="110"/>
      <c r="G211" s="110"/>
      <c r="H211" s="110"/>
      <c r="I211" s="110"/>
      <c r="J211" s="110"/>
      <c r="K211" s="110">
        <f t="shared" si="92"/>
        <v>0</v>
      </c>
      <c r="L211" s="111" t="str">
        <f t="shared" si="87"/>
        <v>-</v>
      </c>
      <c r="M211" s="110"/>
      <c r="N211" s="110"/>
      <c r="O211" s="110"/>
      <c r="P211" s="111" t="str">
        <f t="shared" si="88"/>
        <v>-</v>
      </c>
      <c r="Q211" s="10" t="str">
        <f t="shared" si="89"/>
        <v>-</v>
      </c>
      <c r="T211"/>
    </row>
    <row r="212" spans="1:20" ht="20.149999999999999" customHeight="1">
      <c r="A212" s="116"/>
      <c r="B212" s="117"/>
      <c r="C212" s="119">
        <v>75123</v>
      </c>
      <c r="D212" s="133" t="s">
        <v>217</v>
      </c>
      <c r="E212" s="110"/>
      <c r="F212" s="110"/>
      <c r="G212" s="110"/>
      <c r="H212" s="110"/>
      <c r="I212" s="110"/>
      <c r="J212" s="110"/>
      <c r="K212" s="110">
        <f t="shared" si="92"/>
        <v>0</v>
      </c>
      <c r="L212" s="111" t="str">
        <f t="shared" si="87"/>
        <v>-</v>
      </c>
      <c r="M212" s="110"/>
      <c r="N212" s="110"/>
      <c r="O212" s="110"/>
      <c r="P212" s="111" t="str">
        <f t="shared" si="88"/>
        <v>-</v>
      </c>
      <c r="Q212" s="10" t="str">
        <f t="shared" si="89"/>
        <v>-</v>
      </c>
      <c r="T212"/>
    </row>
    <row r="213" spans="1:20" s="104" customFormat="1" ht="20.149999999999999" customHeight="1">
      <c r="A213" s="120"/>
      <c r="B213" s="98">
        <v>7513</v>
      </c>
      <c r="C213" s="99"/>
      <c r="D213" s="100" t="s">
        <v>218</v>
      </c>
      <c r="E213" s="101">
        <f t="shared" ref="E213:O213" si="93">E214</f>
        <v>0</v>
      </c>
      <c r="F213" s="102">
        <f t="shared" si="93"/>
        <v>0</v>
      </c>
      <c r="G213" s="102">
        <f t="shared" si="93"/>
        <v>0</v>
      </c>
      <c r="H213" s="101">
        <f t="shared" si="93"/>
        <v>0</v>
      </c>
      <c r="I213" s="102">
        <f t="shared" si="93"/>
        <v>0</v>
      </c>
      <c r="J213" s="102">
        <f t="shared" si="93"/>
        <v>0</v>
      </c>
      <c r="K213" s="101">
        <f t="shared" si="93"/>
        <v>0</v>
      </c>
      <c r="L213" s="103" t="str">
        <f t="shared" si="87"/>
        <v>-</v>
      </c>
      <c r="M213" s="102">
        <f t="shared" si="93"/>
        <v>0</v>
      </c>
      <c r="N213" s="102">
        <f t="shared" si="93"/>
        <v>0</v>
      </c>
      <c r="O213" s="101">
        <f t="shared" si="93"/>
        <v>0</v>
      </c>
      <c r="P213" s="103" t="str">
        <f t="shared" si="88"/>
        <v>-</v>
      </c>
      <c r="Q213" s="104" t="str">
        <f t="shared" si="89"/>
        <v>-</v>
      </c>
      <c r="T213" s="105"/>
    </row>
    <row r="214" spans="1:20" ht="20.149999999999999" customHeight="1">
      <c r="A214" s="116"/>
      <c r="B214" s="117"/>
      <c r="C214" s="119">
        <v>75131</v>
      </c>
      <c r="D214" s="136" t="s">
        <v>219</v>
      </c>
      <c r="E214" s="110"/>
      <c r="F214" s="110"/>
      <c r="G214" s="110"/>
      <c r="H214" s="110"/>
      <c r="I214" s="110"/>
      <c r="J214" s="110"/>
      <c r="K214" s="110">
        <f>SUM(I214:J214)</f>
        <v>0</v>
      </c>
      <c r="L214" s="111" t="str">
        <f t="shared" si="87"/>
        <v>-</v>
      </c>
      <c r="M214" s="110"/>
      <c r="N214" s="110"/>
      <c r="O214" s="110"/>
      <c r="P214" s="111" t="str">
        <f t="shared" si="88"/>
        <v>-</v>
      </c>
      <c r="Q214" s="10" t="str">
        <f t="shared" si="89"/>
        <v>-</v>
      </c>
      <c r="T214"/>
    </row>
    <row r="215" spans="1:20" s="104" customFormat="1" ht="20.149999999999999" customHeight="1">
      <c r="A215" s="120"/>
      <c r="B215" s="98">
        <v>7514</v>
      </c>
      <c r="C215" s="99"/>
      <c r="D215" s="100" t="s">
        <v>220</v>
      </c>
      <c r="E215" s="101">
        <f t="shared" ref="E215:O215" si="94">SUM(E216:E217)</f>
        <v>0</v>
      </c>
      <c r="F215" s="102">
        <f t="shared" si="94"/>
        <v>0</v>
      </c>
      <c r="G215" s="102">
        <f t="shared" si="94"/>
        <v>0</v>
      </c>
      <c r="H215" s="101">
        <f t="shared" si="94"/>
        <v>0</v>
      </c>
      <c r="I215" s="102">
        <f t="shared" si="94"/>
        <v>0</v>
      </c>
      <c r="J215" s="102">
        <f t="shared" si="94"/>
        <v>0</v>
      </c>
      <c r="K215" s="101">
        <f t="shared" si="94"/>
        <v>0</v>
      </c>
      <c r="L215" s="103" t="str">
        <f t="shared" si="87"/>
        <v>-</v>
      </c>
      <c r="M215" s="102">
        <f t="shared" si="94"/>
        <v>0</v>
      </c>
      <c r="N215" s="102">
        <f t="shared" si="94"/>
        <v>0</v>
      </c>
      <c r="O215" s="101">
        <f t="shared" si="94"/>
        <v>0</v>
      </c>
      <c r="P215" s="103" t="str">
        <f t="shared" si="88"/>
        <v>-</v>
      </c>
      <c r="Q215" s="104" t="str">
        <f t="shared" si="89"/>
        <v>-</v>
      </c>
      <c r="T215" s="105"/>
    </row>
    <row r="216" spans="1:20" ht="20.149999999999999" customHeight="1">
      <c r="A216" s="116"/>
      <c r="B216" s="117"/>
      <c r="C216" s="119">
        <v>75141</v>
      </c>
      <c r="D216" s="133" t="s">
        <v>221</v>
      </c>
      <c r="E216" s="110"/>
      <c r="F216" s="110"/>
      <c r="G216" s="110"/>
      <c r="H216" s="110"/>
      <c r="I216" s="110"/>
      <c r="J216" s="110"/>
      <c r="K216" s="110">
        <f t="shared" ref="K216:K217" si="95">SUM(I216:J216)</f>
        <v>0</v>
      </c>
      <c r="L216" s="111" t="str">
        <f t="shared" si="87"/>
        <v>-</v>
      </c>
      <c r="M216" s="110"/>
      <c r="N216" s="110"/>
      <c r="O216" s="110"/>
      <c r="P216" s="111" t="str">
        <f t="shared" si="88"/>
        <v>-</v>
      </c>
      <c r="Q216" s="10" t="str">
        <f t="shared" si="89"/>
        <v>-</v>
      </c>
      <c r="T216"/>
    </row>
    <row r="217" spans="1:20" ht="20.149999999999999" customHeight="1">
      <c r="A217" s="116"/>
      <c r="B217" s="117"/>
      <c r="C217" s="119">
        <v>75142</v>
      </c>
      <c r="D217" s="133" t="s">
        <v>222</v>
      </c>
      <c r="E217" s="110"/>
      <c r="F217" s="110"/>
      <c r="G217" s="110"/>
      <c r="H217" s="110"/>
      <c r="I217" s="110"/>
      <c r="J217" s="110"/>
      <c r="K217" s="110">
        <f t="shared" si="95"/>
        <v>0</v>
      </c>
      <c r="L217" s="111" t="str">
        <f t="shared" si="87"/>
        <v>-</v>
      </c>
      <c r="M217" s="110"/>
      <c r="N217" s="110"/>
      <c r="O217" s="110"/>
      <c r="P217" s="111" t="str">
        <f t="shared" si="88"/>
        <v>-</v>
      </c>
      <c r="Q217" s="10" t="str">
        <f t="shared" si="89"/>
        <v>-</v>
      </c>
      <c r="T217"/>
    </row>
    <row r="218" spans="1:20" s="104" customFormat="1" ht="20.149999999999999" customHeight="1">
      <c r="A218" s="120"/>
      <c r="B218" s="98">
        <v>7517</v>
      </c>
      <c r="C218" s="99"/>
      <c r="D218" s="100" t="s">
        <v>223</v>
      </c>
      <c r="E218" s="101">
        <f t="shared" ref="E218:O218" si="96">E219</f>
        <v>0</v>
      </c>
      <c r="F218" s="102">
        <f t="shared" si="96"/>
        <v>0</v>
      </c>
      <c r="G218" s="102">
        <f t="shared" si="96"/>
        <v>0</v>
      </c>
      <c r="H218" s="101">
        <f t="shared" si="96"/>
        <v>0</v>
      </c>
      <c r="I218" s="102">
        <f t="shared" si="96"/>
        <v>0</v>
      </c>
      <c r="J218" s="102">
        <f t="shared" si="96"/>
        <v>0</v>
      </c>
      <c r="K218" s="101">
        <f t="shared" si="96"/>
        <v>0</v>
      </c>
      <c r="L218" s="103" t="str">
        <f t="shared" si="87"/>
        <v>-</v>
      </c>
      <c r="M218" s="102">
        <f t="shared" si="96"/>
        <v>0</v>
      </c>
      <c r="N218" s="102">
        <f t="shared" si="96"/>
        <v>0</v>
      </c>
      <c r="O218" s="101">
        <f t="shared" si="96"/>
        <v>0</v>
      </c>
      <c r="P218" s="103" t="str">
        <f t="shared" si="88"/>
        <v>-</v>
      </c>
      <c r="Q218" s="104" t="str">
        <f t="shared" si="89"/>
        <v>-</v>
      </c>
      <c r="T218" s="105"/>
    </row>
    <row r="219" spans="1:20" ht="20.149999999999999" customHeight="1">
      <c r="A219" s="116"/>
      <c r="B219" s="117"/>
      <c r="C219" s="119">
        <v>75171</v>
      </c>
      <c r="D219" s="136" t="s">
        <v>224</v>
      </c>
      <c r="E219" s="110"/>
      <c r="F219" s="110"/>
      <c r="G219" s="110"/>
      <c r="H219" s="110"/>
      <c r="I219" s="110"/>
      <c r="J219" s="110"/>
      <c r="K219" s="110">
        <f>SUM(I219:J219)</f>
        <v>0</v>
      </c>
      <c r="L219" s="111" t="str">
        <f t="shared" si="87"/>
        <v>-</v>
      </c>
      <c r="M219" s="110"/>
      <c r="N219" s="110"/>
      <c r="O219" s="110"/>
      <c r="P219" s="111" t="str">
        <f t="shared" si="88"/>
        <v>-</v>
      </c>
      <c r="Q219" s="10" t="str">
        <f t="shared" si="89"/>
        <v>-</v>
      </c>
      <c r="T219"/>
    </row>
    <row r="220" spans="1:20" s="104" customFormat="1" ht="20.149999999999999" customHeight="1">
      <c r="A220" s="120"/>
      <c r="B220" s="98">
        <v>7518</v>
      </c>
      <c r="C220" s="99"/>
      <c r="D220" s="100" t="s">
        <v>225</v>
      </c>
      <c r="E220" s="101">
        <f t="shared" ref="E220:O220" si="97">E221</f>
        <v>0</v>
      </c>
      <c r="F220" s="102">
        <f t="shared" si="97"/>
        <v>0</v>
      </c>
      <c r="G220" s="102">
        <f t="shared" si="97"/>
        <v>0</v>
      </c>
      <c r="H220" s="101">
        <f t="shared" si="97"/>
        <v>0</v>
      </c>
      <c r="I220" s="102">
        <f t="shared" si="97"/>
        <v>0</v>
      </c>
      <c r="J220" s="102">
        <f t="shared" si="97"/>
        <v>0</v>
      </c>
      <c r="K220" s="101">
        <f t="shared" si="97"/>
        <v>0</v>
      </c>
      <c r="L220" s="103" t="str">
        <f t="shared" si="87"/>
        <v>-</v>
      </c>
      <c r="M220" s="102">
        <f t="shared" si="97"/>
        <v>0</v>
      </c>
      <c r="N220" s="102">
        <f t="shared" si="97"/>
        <v>0</v>
      </c>
      <c r="O220" s="101">
        <f t="shared" si="97"/>
        <v>0</v>
      </c>
      <c r="P220" s="103" t="str">
        <f t="shared" si="88"/>
        <v>-</v>
      </c>
      <c r="Q220" s="104" t="str">
        <f t="shared" si="89"/>
        <v>-</v>
      </c>
      <c r="T220" s="105"/>
    </row>
    <row r="221" spans="1:20" ht="20.149999999999999" customHeight="1">
      <c r="A221" s="116"/>
      <c r="B221" s="117"/>
      <c r="C221" s="119">
        <v>75181</v>
      </c>
      <c r="D221" s="133" t="s">
        <v>225</v>
      </c>
      <c r="E221" s="110"/>
      <c r="F221" s="110"/>
      <c r="G221" s="110"/>
      <c r="H221" s="110"/>
      <c r="I221" s="110"/>
      <c r="J221" s="110"/>
      <c r="K221" s="110">
        <f>SUM(I221:J221)</f>
        <v>0</v>
      </c>
      <c r="L221" s="111" t="str">
        <f t="shared" si="87"/>
        <v>-</v>
      </c>
      <c r="M221" s="110"/>
      <c r="N221" s="110"/>
      <c r="O221" s="110"/>
      <c r="P221" s="111" t="str">
        <f t="shared" si="88"/>
        <v>-</v>
      </c>
      <c r="Q221" s="10" t="str">
        <f t="shared" si="89"/>
        <v>-</v>
      </c>
      <c r="T221"/>
    </row>
    <row r="222" spans="1:20" s="95" customFormat="1" ht="20.149999999999999" customHeight="1">
      <c r="A222" s="122">
        <v>76</v>
      </c>
      <c r="B222" s="123"/>
      <c r="C222" s="124"/>
      <c r="D222" s="91" t="s">
        <v>226</v>
      </c>
      <c r="E222" s="125">
        <f t="shared" ref="E222:O222" si="98">E223+E228+E232+E234+E236</f>
        <v>0</v>
      </c>
      <c r="F222" s="125">
        <f t="shared" si="98"/>
        <v>0</v>
      </c>
      <c r="G222" s="125">
        <f t="shared" si="98"/>
        <v>0</v>
      </c>
      <c r="H222" s="125">
        <f t="shared" si="98"/>
        <v>0</v>
      </c>
      <c r="I222" s="125">
        <f t="shared" si="98"/>
        <v>0</v>
      </c>
      <c r="J222" s="125">
        <f t="shared" si="98"/>
        <v>0</v>
      </c>
      <c r="K222" s="125">
        <f t="shared" si="98"/>
        <v>0</v>
      </c>
      <c r="L222" s="126" t="str">
        <f t="shared" si="87"/>
        <v>-</v>
      </c>
      <c r="M222" s="125">
        <f t="shared" si="98"/>
        <v>0</v>
      </c>
      <c r="N222" s="125">
        <f t="shared" si="98"/>
        <v>0</v>
      </c>
      <c r="O222" s="125">
        <f t="shared" si="98"/>
        <v>0</v>
      </c>
      <c r="P222" s="126" t="str">
        <f t="shared" si="88"/>
        <v>-</v>
      </c>
      <c r="Q222" s="95" t="str">
        <f t="shared" si="89"/>
        <v>-</v>
      </c>
      <c r="T222" s="96"/>
    </row>
    <row r="223" spans="1:20" s="104" customFormat="1" ht="20.149999999999999" customHeight="1">
      <c r="A223" s="120"/>
      <c r="B223" s="98">
        <v>7601</v>
      </c>
      <c r="C223" s="99"/>
      <c r="D223" s="100" t="s">
        <v>227</v>
      </c>
      <c r="E223" s="101">
        <f t="shared" ref="E223" si="99">SUM(E224:E227)</f>
        <v>0</v>
      </c>
      <c r="F223" s="102">
        <f t="shared" ref="F223:O223" si="100">SUM(F224:F227)</f>
        <v>0</v>
      </c>
      <c r="G223" s="102">
        <f t="shared" si="100"/>
        <v>0</v>
      </c>
      <c r="H223" s="101">
        <f t="shared" si="100"/>
        <v>0</v>
      </c>
      <c r="I223" s="102">
        <f t="shared" si="100"/>
        <v>0</v>
      </c>
      <c r="J223" s="102">
        <f t="shared" si="100"/>
        <v>0</v>
      </c>
      <c r="K223" s="101">
        <f t="shared" si="100"/>
        <v>0</v>
      </c>
      <c r="L223" s="103" t="str">
        <f t="shared" si="87"/>
        <v>-</v>
      </c>
      <c r="M223" s="102">
        <f t="shared" si="100"/>
        <v>0</v>
      </c>
      <c r="N223" s="102">
        <f t="shared" si="100"/>
        <v>0</v>
      </c>
      <c r="O223" s="101">
        <f t="shared" si="100"/>
        <v>0</v>
      </c>
      <c r="P223" s="103" t="str">
        <f t="shared" si="88"/>
        <v>-</v>
      </c>
      <c r="Q223" s="104" t="str">
        <f t="shared" si="89"/>
        <v>-</v>
      </c>
      <c r="T223" s="105"/>
    </row>
    <row r="224" spans="1:20" ht="20.149999999999999" customHeight="1">
      <c r="A224" s="116"/>
      <c r="B224" s="117"/>
      <c r="C224" s="119">
        <v>76011</v>
      </c>
      <c r="D224" s="133" t="s">
        <v>228</v>
      </c>
      <c r="E224" s="110"/>
      <c r="F224" s="110"/>
      <c r="G224" s="110"/>
      <c r="H224" s="110"/>
      <c r="I224" s="110"/>
      <c r="J224" s="110"/>
      <c r="K224" s="110">
        <f t="shared" ref="K224:K227" si="101">SUM(I224:J224)</f>
        <v>0</v>
      </c>
      <c r="L224" s="111" t="str">
        <f t="shared" si="87"/>
        <v>-</v>
      </c>
      <c r="M224" s="110"/>
      <c r="N224" s="110"/>
      <c r="O224" s="110"/>
      <c r="P224" s="111" t="str">
        <f t="shared" si="88"/>
        <v>-</v>
      </c>
      <c r="Q224" s="10" t="str">
        <f t="shared" si="89"/>
        <v>-</v>
      </c>
      <c r="T224"/>
    </row>
    <row r="225" spans="1:20" ht="20.149999999999999" customHeight="1">
      <c r="A225" s="116"/>
      <c r="B225" s="117"/>
      <c r="C225" s="119">
        <v>76012</v>
      </c>
      <c r="D225" s="133" t="s">
        <v>229</v>
      </c>
      <c r="E225" s="110"/>
      <c r="F225" s="110"/>
      <c r="G225" s="110"/>
      <c r="H225" s="110"/>
      <c r="I225" s="110"/>
      <c r="J225" s="110"/>
      <c r="K225" s="110">
        <f t="shared" si="101"/>
        <v>0</v>
      </c>
      <c r="L225" s="111" t="str">
        <f t="shared" si="87"/>
        <v>-</v>
      </c>
      <c r="M225" s="110"/>
      <c r="N225" s="110"/>
      <c r="O225" s="110"/>
      <c r="P225" s="111" t="str">
        <f t="shared" si="88"/>
        <v>-</v>
      </c>
      <c r="Q225" s="10" t="str">
        <f t="shared" si="89"/>
        <v>-</v>
      </c>
      <c r="T225"/>
    </row>
    <row r="226" spans="1:20" ht="20.149999999999999" customHeight="1">
      <c r="A226" s="116"/>
      <c r="B226" s="117"/>
      <c r="C226" s="119">
        <v>76013</v>
      </c>
      <c r="D226" s="133" t="s">
        <v>230</v>
      </c>
      <c r="E226" s="110"/>
      <c r="F226" s="110"/>
      <c r="G226" s="110"/>
      <c r="H226" s="110"/>
      <c r="I226" s="110"/>
      <c r="J226" s="110"/>
      <c r="K226" s="110">
        <f t="shared" si="101"/>
        <v>0</v>
      </c>
      <c r="L226" s="111" t="str">
        <f t="shared" si="87"/>
        <v>-</v>
      </c>
      <c r="M226" s="110"/>
      <c r="N226" s="110"/>
      <c r="O226" s="110"/>
      <c r="P226" s="111" t="str">
        <f t="shared" si="88"/>
        <v>-</v>
      </c>
      <c r="Q226" s="10" t="str">
        <f t="shared" si="89"/>
        <v>-</v>
      </c>
      <c r="T226"/>
    </row>
    <row r="227" spans="1:20" ht="20.149999999999999" customHeight="1">
      <c r="A227" s="116"/>
      <c r="B227" s="117"/>
      <c r="C227" s="119">
        <v>76018</v>
      </c>
      <c r="D227" s="133" t="s">
        <v>231</v>
      </c>
      <c r="E227" s="110"/>
      <c r="F227" s="110"/>
      <c r="G227" s="110"/>
      <c r="H227" s="110"/>
      <c r="I227" s="110"/>
      <c r="J227" s="110"/>
      <c r="K227" s="110">
        <f t="shared" si="101"/>
        <v>0</v>
      </c>
      <c r="L227" s="111" t="str">
        <f t="shared" si="87"/>
        <v>-</v>
      </c>
      <c r="M227" s="110"/>
      <c r="N227" s="110"/>
      <c r="O227" s="110"/>
      <c r="P227" s="111" t="str">
        <f t="shared" si="88"/>
        <v>-</v>
      </c>
      <c r="Q227" s="10" t="str">
        <f t="shared" si="89"/>
        <v>-</v>
      </c>
      <c r="T227"/>
    </row>
    <row r="228" spans="1:20" s="104" customFormat="1" ht="20.149999999999999" customHeight="1">
      <c r="A228" s="120"/>
      <c r="B228" s="98">
        <v>7602</v>
      </c>
      <c r="C228" s="99"/>
      <c r="D228" s="100" t="s">
        <v>232</v>
      </c>
      <c r="E228" s="101">
        <f t="shared" ref="E228:O228" si="102">SUM(E229:E231)</f>
        <v>0</v>
      </c>
      <c r="F228" s="102">
        <f t="shared" si="102"/>
        <v>0</v>
      </c>
      <c r="G228" s="102">
        <f t="shared" si="102"/>
        <v>0</v>
      </c>
      <c r="H228" s="101">
        <f t="shared" si="102"/>
        <v>0</v>
      </c>
      <c r="I228" s="102">
        <f t="shared" si="102"/>
        <v>0</v>
      </c>
      <c r="J228" s="102">
        <f t="shared" si="102"/>
        <v>0</v>
      </c>
      <c r="K228" s="101">
        <f t="shared" si="102"/>
        <v>0</v>
      </c>
      <c r="L228" s="103" t="str">
        <f t="shared" si="87"/>
        <v>-</v>
      </c>
      <c r="M228" s="102">
        <f t="shared" si="102"/>
        <v>0</v>
      </c>
      <c r="N228" s="102">
        <f t="shared" si="102"/>
        <v>0</v>
      </c>
      <c r="O228" s="101">
        <f t="shared" si="102"/>
        <v>0</v>
      </c>
      <c r="P228" s="103" t="str">
        <f t="shared" si="88"/>
        <v>-</v>
      </c>
      <c r="Q228" s="104" t="str">
        <f t="shared" si="89"/>
        <v>-</v>
      </c>
      <c r="T228" s="105"/>
    </row>
    <row r="229" spans="1:20" ht="20.149999999999999" customHeight="1">
      <c r="A229" s="116"/>
      <c r="B229" s="117"/>
      <c r="C229" s="119">
        <v>76021</v>
      </c>
      <c r="D229" s="133" t="s">
        <v>233</v>
      </c>
      <c r="E229" s="110"/>
      <c r="F229" s="110"/>
      <c r="G229" s="110"/>
      <c r="H229" s="110"/>
      <c r="I229" s="110"/>
      <c r="J229" s="110"/>
      <c r="K229" s="110">
        <f t="shared" ref="K229:K231" si="103">SUM(I229:J229)</f>
        <v>0</v>
      </c>
      <c r="L229" s="111" t="str">
        <f t="shared" si="87"/>
        <v>-</v>
      </c>
      <c r="M229" s="110"/>
      <c r="N229" s="110"/>
      <c r="O229" s="110"/>
      <c r="P229" s="111" t="str">
        <f t="shared" si="88"/>
        <v>-</v>
      </c>
      <c r="Q229" s="10" t="str">
        <f t="shared" si="89"/>
        <v>-</v>
      </c>
      <c r="T229"/>
    </row>
    <row r="230" spans="1:20" ht="20.149999999999999" customHeight="1">
      <c r="A230" s="116"/>
      <c r="B230" s="117"/>
      <c r="C230" s="119">
        <v>76022</v>
      </c>
      <c r="D230" s="133" t="s">
        <v>234</v>
      </c>
      <c r="E230" s="110"/>
      <c r="F230" s="110"/>
      <c r="G230" s="110"/>
      <c r="H230" s="110"/>
      <c r="I230" s="110"/>
      <c r="J230" s="110"/>
      <c r="K230" s="110">
        <f t="shared" si="103"/>
        <v>0</v>
      </c>
      <c r="L230" s="111" t="str">
        <f t="shared" si="87"/>
        <v>-</v>
      </c>
      <c r="M230" s="110"/>
      <c r="N230" s="110"/>
      <c r="O230" s="110"/>
      <c r="P230" s="111" t="str">
        <f t="shared" si="88"/>
        <v>-</v>
      </c>
      <c r="Q230" s="10" t="str">
        <f t="shared" si="89"/>
        <v>-</v>
      </c>
      <c r="T230"/>
    </row>
    <row r="231" spans="1:20" ht="20.149999999999999" customHeight="1">
      <c r="A231" s="116"/>
      <c r="B231" s="117"/>
      <c r="C231" s="119">
        <v>76023</v>
      </c>
      <c r="D231" s="133" t="s">
        <v>235</v>
      </c>
      <c r="E231" s="110"/>
      <c r="F231" s="110"/>
      <c r="G231" s="110"/>
      <c r="H231" s="110"/>
      <c r="I231" s="110"/>
      <c r="J231" s="110"/>
      <c r="K231" s="110">
        <f t="shared" si="103"/>
        <v>0</v>
      </c>
      <c r="L231" s="111" t="str">
        <f t="shared" si="87"/>
        <v>-</v>
      </c>
      <c r="M231" s="110"/>
      <c r="N231" s="110"/>
      <c r="O231" s="110"/>
      <c r="P231" s="111" t="str">
        <f t="shared" si="88"/>
        <v>-</v>
      </c>
      <c r="Q231" s="10" t="str">
        <f t="shared" si="89"/>
        <v>-</v>
      </c>
      <c r="T231"/>
    </row>
    <row r="232" spans="1:20" s="104" customFormat="1" ht="20.149999999999999" customHeight="1">
      <c r="A232" s="120"/>
      <c r="B232" s="98">
        <v>7603</v>
      </c>
      <c r="C232" s="99"/>
      <c r="D232" s="100" t="s">
        <v>236</v>
      </c>
      <c r="E232" s="101">
        <f t="shared" ref="E232:O232" si="104">E233</f>
        <v>0</v>
      </c>
      <c r="F232" s="102">
        <f t="shared" si="104"/>
        <v>0</v>
      </c>
      <c r="G232" s="102">
        <f t="shared" si="104"/>
        <v>0</v>
      </c>
      <c r="H232" s="101">
        <f t="shared" si="104"/>
        <v>0</v>
      </c>
      <c r="I232" s="102">
        <f t="shared" si="104"/>
        <v>0</v>
      </c>
      <c r="J232" s="102">
        <f t="shared" si="104"/>
        <v>0</v>
      </c>
      <c r="K232" s="101">
        <f t="shared" si="104"/>
        <v>0</v>
      </c>
      <c r="L232" s="103" t="str">
        <f t="shared" si="87"/>
        <v>-</v>
      </c>
      <c r="M232" s="102">
        <f t="shared" si="104"/>
        <v>0</v>
      </c>
      <c r="N232" s="102">
        <f t="shared" si="104"/>
        <v>0</v>
      </c>
      <c r="O232" s="101">
        <f t="shared" si="104"/>
        <v>0</v>
      </c>
      <c r="P232" s="103" t="str">
        <f t="shared" si="88"/>
        <v>-</v>
      </c>
      <c r="Q232" s="104" t="str">
        <f t="shared" si="89"/>
        <v>-</v>
      </c>
      <c r="T232" s="105"/>
    </row>
    <row r="233" spans="1:20" ht="20.149999999999999" customHeight="1">
      <c r="A233" s="116"/>
      <c r="B233" s="117"/>
      <c r="C233" s="119">
        <v>76031</v>
      </c>
      <c r="D233" s="133" t="s">
        <v>236</v>
      </c>
      <c r="E233" s="110"/>
      <c r="F233" s="110"/>
      <c r="G233" s="110"/>
      <c r="H233" s="110"/>
      <c r="I233" s="110"/>
      <c r="J233" s="110"/>
      <c r="K233" s="110">
        <f>SUM(I233:J233)</f>
        <v>0</v>
      </c>
      <c r="L233" s="111" t="str">
        <f t="shared" si="87"/>
        <v>-</v>
      </c>
      <c r="M233" s="110"/>
      <c r="N233" s="110"/>
      <c r="O233" s="110"/>
      <c r="P233" s="111" t="str">
        <f t="shared" si="88"/>
        <v>-</v>
      </c>
      <c r="Q233" s="10" t="str">
        <f t="shared" si="89"/>
        <v>-</v>
      </c>
      <c r="T233"/>
    </row>
    <row r="234" spans="1:20" s="104" customFormat="1" ht="20.149999999999999" customHeight="1">
      <c r="A234" s="120"/>
      <c r="B234" s="98">
        <v>7606</v>
      </c>
      <c r="C234" s="99"/>
      <c r="D234" s="100" t="s">
        <v>237</v>
      </c>
      <c r="E234" s="101">
        <f t="shared" ref="E234:O234" si="105">E235</f>
        <v>0</v>
      </c>
      <c r="F234" s="102">
        <f t="shared" si="105"/>
        <v>0</v>
      </c>
      <c r="G234" s="102">
        <f t="shared" si="105"/>
        <v>0</v>
      </c>
      <c r="H234" s="101">
        <f t="shared" si="105"/>
        <v>0</v>
      </c>
      <c r="I234" s="102">
        <f t="shared" si="105"/>
        <v>0</v>
      </c>
      <c r="J234" s="102">
        <f t="shared" si="105"/>
        <v>0</v>
      </c>
      <c r="K234" s="101">
        <f t="shared" si="105"/>
        <v>0</v>
      </c>
      <c r="L234" s="103" t="str">
        <f t="shared" si="87"/>
        <v>-</v>
      </c>
      <c r="M234" s="102">
        <f t="shared" si="105"/>
        <v>0</v>
      </c>
      <c r="N234" s="102">
        <f t="shared" si="105"/>
        <v>0</v>
      </c>
      <c r="O234" s="101">
        <f t="shared" si="105"/>
        <v>0</v>
      </c>
      <c r="P234" s="103" t="str">
        <f t="shared" si="88"/>
        <v>-</v>
      </c>
      <c r="Q234" s="104" t="str">
        <f t="shared" si="89"/>
        <v>-</v>
      </c>
      <c r="T234" s="105"/>
    </row>
    <row r="235" spans="1:20" ht="20.149999999999999" customHeight="1">
      <c r="A235" s="116"/>
      <c r="B235" s="117"/>
      <c r="C235" s="119">
        <v>76061</v>
      </c>
      <c r="D235" s="133" t="s">
        <v>237</v>
      </c>
      <c r="E235" s="110"/>
      <c r="F235" s="110"/>
      <c r="G235" s="110"/>
      <c r="H235" s="110"/>
      <c r="I235" s="110"/>
      <c r="J235" s="110"/>
      <c r="K235" s="110">
        <f>SUM(I235:J235)</f>
        <v>0</v>
      </c>
      <c r="L235" s="111" t="str">
        <f t="shared" si="87"/>
        <v>-</v>
      </c>
      <c r="M235" s="110"/>
      <c r="N235" s="110"/>
      <c r="O235" s="110"/>
      <c r="P235" s="111" t="str">
        <f t="shared" si="88"/>
        <v>-</v>
      </c>
      <c r="Q235" s="10" t="str">
        <f t="shared" si="89"/>
        <v>-</v>
      </c>
      <c r="T235"/>
    </row>
    <row r="236" spans="1:20" s="104" customFormat="1" ht="20.149999999999999" customHeight="1">
      <c r="A236" s="120"/>
      <c r="B236" s="98">
        <v>7698</v>
      </c>
      <c r="C236" s="99"/>
      <c r="D236" s="100" t="s">
        <v>238</v>
      </c>
      <c r="E236" s="101">
        <f t="shared" ref="E236:O236" si="106">E237</f>
        <v>0</v>
      </c>
      <c r="F236" s="102">
        <f t="shared" si="106"/>
        <v>0</v>
      </c>
      <c r="G236" s="102">
        <f t="shared" si="106"/>
        <v>0</v>
      </c>
      <c r="H236" s="101">
        <f t="shared" si="106"/>
        <v>0</v>
      </c>
      <c r="I236" s="102">
        <f t="shared" si="106"/>
        <v>0</v>
      </c>
      <c r="J236" s="102">
        <f t="shared" si="106"/>
        <v>0</v>
      </c>
      <c r="K236" s="101">
        <f t="shared" si="106"/>
        <v>0</v>
      </c>
      <c r="L236" s="103" t="str">
        <f t="shared" si="87"/>
        <v>-</v>
      </c>
      <c r="M236" s="102">
        <f t="shared" si="106"/>
        <v>0</v>
      </c>
      <c r="N236" s="102">
        <f t="shared" si="106"/>
        <v>0</v>
      </c>
      <c r="O236" s="101">
        <f t="shared" si="106"/>
        <v>0</v>
      </c>
      <c r="P236" s="103" t="str">
        <f t="shared" si="88"/>
        <v>-</v>
      </c>
      <c r="Q236" s="104" t="str">
        <f t="shared" si="89"/>
        <v>-</v>
      </c>
      <c r="T236" s="105"/>
    </row>
    <row r="237" spans="1:20" ht="20.149999999999999" customHeight="1">
      <c r="A237" s="116"/>
      <c r="B237" s="117"/>
      <c r="C237" s="119">
        <v>76981</v>
      </c>
      <c r="D237" s="133" t="s">
        <v>238</v>
      </c>
      <c r="E237" s="110"/>
      <c r="F237" s="110"/>
      <c r="G237" s="110"/>
      <c r="H237" s="110"/>
      <c r="I237" s="110"/>
      <c r="J237" s="110"/>
      <c r="K237" s="110">
        <f>SUM(I237:J237)</f>
        <v>0</v>
      </c>
      <c r="L237" s="111" t="str">
        <f t="shared" si="87"/>
        <v>-</v>
      </c>
      <c r="M237" s="110"/>
      <c r="N237" s="110"/>
      <c r="O237" s="110"/>
      <c r="P237" s="111" t="str">
        <f t="shared" si="88"/>
        <v>-</v>
      </c>
      <c r="Q237" s="10" t="str">
        <f t="shared" si="89"/>
        <v>-</v>
      </c>
      <c r="T237"/>
    </row>
    <row r="238" spans="1:20" s="95" customFormat="1" ht="20.149999999999999" customHeight="1">
      <c r="A238" s="122">
        <v>77</v>
      </c>
      <c r="B238" s="123"/>
      <c r="C238" s="124"/>
      <c r="D238" s="91" t="s">
        <v>239</v>
      </c>
      <c r="E238" s="125">
        <f t="shared" ref="E238:O238" si="107">E239+E244+E247+E249+E251+E257</f>
        <v>0</v>
      </c>
      <c r="F238" s="125">
        <f t="shared" si="107"/>
        <v>0</v>
      </c>
      <c r="G238" s="125">
        <f t="shared" si="107"/>
        <v>0</v>
      </c>
      <c r="H238" s="125">
        <f t="shared" si="107"/>
        <v>0</v>
      </c>
      <c r="I238" s="125">
        <f t="shared" si="107"/>
        <v>0</v>
      </c>
      <c r="J238" s="125">
        <f t="shared" si="107"/>
        <v>0</v>
      </c>
      <c r="K238" s="125">
        <f t="shared" si="107"/>
        <v>0</v>
      </c>
      <c r="L238" s="126" t="str">
        <f t="shared" si="87"/>
        <v>-</v>
      </c>
      <c r="M238" s="125">
        <f t="shared" si="107"/>
        <v>0</v>
      </c>
      <c r="N238" s="125">
        <f t="shared" si="107"/>
        <v>0</v>
      </c>
      <c r="O238" s="125">
        <f t="shared" si="107"/>
        <v>0</v>
      </c>
      <c r="P238" s="126" t="str">
        <f t="shared" si="88"/>
        <v>-</v>
      </c>
      <c r="Q238" s="95" t="str">
        <f t="shared" si="89"/>
        <v>-</v>
      </c>
      <c r="T238" s="96"/>
    </row>
    <row r="239" spans="1:20" s="104" customFormat="1" ht="20.149999999999999" customHeight="1">
      <c r="A239" s="120"/>
      <c r="B239" s="98">
        <v>7701</v>
      </c>
      <c r="C239" s="99"/>
      <c r="D239" s="100" t="s">
        <v>240</v>
      </c>
      <c r="E239" s="101">
        <f t="shared" ref="E239" si="108">SUM(E240:E243)</f>
        <v>0</v>
      </c>
      <c r="F239" s="102">
        <f t="shared" ref="F239:O239" si="109">SUM(F240:F243)</f>
        <v>0</v>
      </c>
      <c r="G239" s="102">
        <f t="shared" si="109"/>
        <v>0</v>
      </c>
      <c r="H239" s="101">
        <f t="shared" si="109"/>
        <v>0</v>
      </c>
      <c r="I239" s="102">
        <f t="shared" si="109"/>
        <v>0</v>
      </c>
      <c r="J239" s="102">
        <f t="shared" si="109"/>
        <v>0</v>
      </c>
      <c r="K239" s="101">
        <f t="shared" si="109"/>
        <v>0</v>
      </c>
      <c r="L239" s="103" t="str">
        <f t="shared" si="87"/>
        <v>-</v>
      </c>
      <c r="M239" s="102">
        <f t="shared" si="109"/>
        <v>0</v>
      </c>
      <c r="N239" s="102">
        <f t="shared" si="109"/>
        <v>0</v>
      </c>
      <c r="O239" s="101">
        <f t="shared" si="109"/>
        <v>0</v>
      </c>
      <c r="P239" s="103" t="str">
        <f t="shared" si="88"/>
        <v>-</v>
      </c>
      <c r="Q239" s="104" t="str">
        <f t="shared" si="89"/>
        <v>-</v>
      </c>
      <c r="T239" s="105"/>
    </row>
    <row r="240" spans="1:20" ht="20.149999999999999" customHeight="1">
      <c r="A240" s="116"/>
      <c r="B240" s="117"/>
      <c r="C240" s="119">
        <v>77011</v>
      </c>
      <c r="D240" s="133" t="s">
        <v>241</v>
      </c>
      <c r="E240" s="110"/>
      <c r="F240" s="110"/>
      <c r="G240" s="110"/>
      <c r="H240" s="110"/>
      <c r="I240" s="110"/>
      <c r="J240" s="110"/>
      <c r="K240" s="110">
        <f t="shared" ref="K240:K243" si="110">SUM(I240:J240)</f>
        <v>0</v>
      </c>
      <c r="L240" s="111" t="str">
        <f t="shared" si="87"/>
        <v>-</v>
      </c>
      <c r="M240" s="110"/>
      <c r="N240" s="110"/>
      <c r="O240" s="110"/>
      <c r="P240" s="111" t="str">
        <f t="shared" si="88"/>
        <v>-</v>
      </c>
      <c r="Q240" s="10" t="str">
        <f t="shared" si="89"/>
        <v>-</v>
      </c>
      <c r="T240"/>
    </row>
    <row r="241" spans="1:20" ht="20.149999999999999" customHeight="1">
      <c r="A241" s="116"/>
      <c r="B241" s="117"/>
      <c r="C241" s="119">
        <v>77012</v>
      </c>
      <c r="D241" s="133" t="s">
        <v>242</v>
      </c>
      <c r="E241" s="110"/>
      <c r="F241" s="110"/>
      <c r="G241" s="110"/>
      <c r="H241" s="110"/>
      <c r="I241" s="110"/>
      <c r="J241" s="110"/>
      <c r="K241" s="110">
        <f t="shared" si="110"/>
        <v>0</v>
      </c>
      <c r="L241" s="111" t="str">
        <f t="shared" si="87"/>
        <v>-</v>
      </c>
      <c r="M241" s="110"/>
      <c r="N241" s="110"/>
      <c r="O241" s="110"/>
      <c r="P241" s="111" t="str">
        <f t="shared" si="88"/>
        <v>-</v>
      </c>
      <c r="Q241" s="10" t="str">
        <f t="shared" si="89"/>
        <v>-</v>
      </c>
      <c r="T241"/>
    </row>
    <row r="242" spans="1:20" ht="20.149999999999999" customHeight="1">
      <c r="A242" s="116"/>
      <c r="B242" s="117"/>
      <c r="C242" s="119">
        <v>77013</v>
      </c>
      <c r="D242" s="133" t="s">
        <v>243</v>
      </c>
      <c r="E242" s="110"/>
      <c r="F242" s="110"/>
      <c r="G242" s="110"/>
      <c r="H242" s="110"/>
      <c r="I242" s="110"/>
      <c r="J242" s="110"/>
      <c r="K242" s="110">
        <f t="shared" si="110"/>
        <v>0</v>
      </c>
      <c r="L242" s="111" t="str">
        <f t="shared" si="87"/>
        <v>-</v>
      </c>
      <c r="M242" s="110"/>
      <c r="N242" s="110"/>
      <c r="O242" s="110"/>
      <c r="P242" s="111" t="str">
        <f t="shared" si="88"/>
        <v>-</v>
      </c>
      <c r="Q242" s="10" t="str">
        <f t="shared" si="89"/>
        <v>-</v>
      </c>
      <c r="T242"/>
    </row>
    <row r="243" spans="1:20" ht="20.149999999999999" customHeight="1">
      <c r="A243" s="116"/>
      <c r="B243" s="117"/>
      <c r="C243" s="119">
        <v>77014</v>
      </c>
      <c r="D243" s="136" t="s">
        <v>244</v>
      </c>
      <c r="E243" s="110"/>
      <c r="F243" s="110"/>
      <c r="G243" s="110"/>
      <c r="H243" s="110"/>
      <c r="I243" s="110"/>
      <c r="J243" s="110"/>
      <c r="K243" s="110">
        <f t="shared" si="110"/>
        <v>0</v>
      </c>
      <c r="L243" s="111" t="str">
        <f t="shared" si="87"/>
        <v>-</v>
      </c>
      <c r="M243" s="110"/>
      <c r="N243" s="110"/>
      <c r="O243" s="110"/>
      <c r="P243" s="111" t="str">
        <f t="shared" si="88"/>
        <v>-</v>
      </c>
      <c r="Q243" s="10" t="str">
        <f t="shared" si="89"/>
        <v>-</v>
      </c>
      <c r="T243"/>
    </row>
    <row r="244" spans="1:20" s="104" customFormat="1" ht="20.149999999999999" customHeight="1">
      <c r="A244" s="120"/>
      <c r="B244" s="98">
        <v>7702</v>
      </c>
      <c r="C244" s="99"/>
      <c r="D244" s="100" t="s">
        <v>245</v>
      </c>
      <c r="E244" s="101">
        <f t="shared" ref="E244:O244" si="111">SUM(E245:E246)</f>
        <v>0</v>
      </c>
      <c r="F244" s="102">
        <f t="shared" si="111"/>
        <v>0</v>
      </c>
      <c r="G244" s="102">
        <f t="shared" si="111"/>
        <v>0</v>
      </c>
      <c r="H244" s="101">
        <f t="shared" si="111"/>
        <v>0</v>
      </c>
      <c r="I244" s="102">
        <f t="shared" si="111"/>
        <v>0</v>
      </c>
      <c r="J244" s="102">
        <f t="shared" si="111"/>
        <v>0</v>
      </c>
      <c r="K244" s="101">
        <f t="shared" si="111"/>
        <v>0</v>
      </c>
      <c r="L244" s="103" t="str">
        <f t="shared" si="87"/>
        <v>-</v>
      </c>
      <c r="M244" s="102">
        <f t="shared" si="111"/>
        <v>0</v>
      </c>
      <c r="N244" s="102">
        <f t="shared" si="111"/>
        <v>0</v>
      </c>
      <c r="O244" s="101">
        <f t="shared" si="111"/>
        <v>0</v>
      </c>
      <c r="P244" s="103" t="str">
        <f t="shared" si="88"/>
        <v>-</v>
      </c>
      <c r="Q244" s="104" t="str">
        <f t="shared" si="89"/>
        <v>-</v>
      </c>
      <c r="T244" s="105"/>
    </row>
    <row r="245" spans="1:20" ht="20.149999999999999" customHeight="1">
      <c r="A245" s="116"/>
      <c r="B245" s="117"/>
      <c r="C245" s="119">
        <v>77021</v>
      </c>
      <c r="D245" s="133" t="s">
        <v>246</v>
      </c>
      <c r="E245" s="110"/>
      <c r="F245" s="110"/>
      <c r="G245" s="110"/>
      <c r="H245" s="110"/>
      <c r="I245" s="110"/>
      <c r="J245" s="110"/>
      <c r="K245" s="110">
        <f t="shared" ref="K245:K246" si="112">SUM(I245:J245)</f>
        <v>0</v>
      </c>
      <c r="L245" s="111" t="str">
        <f t="shared" si="87"/>
        <v>-</v>
      </c>
      <c r="M245" s="110"/>
      <c r="N245" s="110"/>
      <c r="O245" s="110"/>
      <c r="P245" s="111" t="str">
        <f t="shared" si="88"/>
        <v>-</v>
      </c>
      <c r="Q245" s="10" t="str">
        <f t="shared" si="89"/>
        <v>-</v>
      </c>
      <c r="T245"/>
    </row>
    <row r="246" spans="1:20" ht="20.149999999999999" customHeight="1">
      <c r="A246" s="116"/>
      <c r="B246" s="117"/>
      <c r="C246" s="119">
        <v>77022</v>
      </c>
      <c r="D246" s="133" t="s">
        <v>247</v>
      </c>
      <c r="E246" s="110"/>
      <c r="F246" s="110"/>
      <c r="G246" s="110"/>
      <c r="H246" s="110"/>
      <c r="I246" s="110"/>
      <c r="J246" s="110"/>
      <c r="K246" s="110">
        <f t="shared" si="112"/>
        <v>0</v>
      </c>
      <c r="L246" s="111" t="str">
        <f t="shared" si="87"/>
        <v>-</v>
      </c>
      <c r="M246" s="110"/>
      <c r="N246" s="110"/>
      <c r="O246" s="110"/>
      <c r="P246" s="111" t="str">
        <f t="shared" si="88"/>
        <v>-</v>
      </c>
      <c r="Q246" s="10" t="str">
        <f t="shared" si="89"/>
        <v>-</v>
      </c>
      <c r="T246"/>
    </row>
    <row r="247" spans="1:20" s="104" customFormat="1" ht="20.149999999999999" customHeight="1">
      <c r="A247" s="120"/>
      <c r="B247" s="98">
        <v>7703</v>
      </c>
      <c r="C247" s="99"/>
      <c r="D247" s="100" t="s">
        <v>248</v>
      </c>
      <c r="E247" s="101">
        <f t="shared" ref="E247:O247" si="113">E248</f>
        <v>0</v>
      </c>
      <c r="F247" s="102">
        <f t="shared" si="113"/>
        <v>0</v>
      </c>
      <c r="G247" s="102">
        <f t="shared" si="113"/>
        <v>0</v>
      </c>
      <c r="H247" s="101">
        <f t="shared" si="113"/>
        <v>0</v>
      </c>
      <c r="I247" s="102">
        <f t="shared" si="113"/>
        <v>0</v>
      </c>
      <c r="J247" s="102">
        <f t="shared" si="113"/>
        <v>0</v>
      </c>
      <c r="K247" s="101">
        <f t="shared" si="113"/>
        <v>0</v>
      </c>
      <c r="L247" s="103" t="str">
        <f t="shared" si="87"/>
        <v>-</v>
      </c>
      <c r="M247" s="102">
        <f t="shared" si="113"/>
        <v>0</v>
      </c>
      <c r="N247" s="102">
        <f t="shared" si="113"/>
        <v>0</v>
      </c>
      <c r="O247" s="101">
        <f t="shared" si="113"/>
        <v>0</v>
      </c>
      <c r="P247" s="103" t="str">
        <f t="shared" si="88"/>
        <v>-</v>
      </c>
      <c r="Q247" s="104" t="str">
        <f t="shared" si="89"/>
        <v>-</v>
      </c>
      <c r="T247" s="105"/>
    </row>
    <row r="248" spans="1:20" ht="20.149999999999999" customHeight="1">
      <c r="A248" s="116"/>
      <c r="B248" s="117"/>
      <c r="C248" s="119">
        <v>77031</v>
      </c>
      <c r="D248" s="133" t="s">
        <v>248</v>
      </c>
      <c r="E248" s="110"/>
      <c r="F248" s="110"/>
      <c r="G248" s="110"/>
      <c r="H248" s="110"/>
      <c r="I248" s="110"/>
      <c r="J248" s="110"/>
      <c r="K248" s="110">
        <f>SUM(I248:J248)</f>
        <v>0</v>
      </c>
      <c r="L248" s="111" t="str">
        <f t="shared" si="87"/>
        <v>-</v>
      </c>
      <c r="M248" s="110"/>
      <c r="N248" s="110"/>
      <c r="O248" s="110"/>
      <c r="P248" s="111" t="str">
        <f t="shared" si="88"/>
        <v>-</v>
      </c>
      <c r="Q248" s="10" t="str">
        <f t="shared" si="89"/>
        <v>-</v>
      </c>
      <c r="T248"/>
    </row>
    <row r="249" spans="1:20" s="104" customFormat="1" ht="20.149999999999999" customHeight="1">
      <c r="A249" s="120"/>
      <c r="B249" s="98">
        <v>7704</v>
      </c>
      <c r="C249" s="99"/>
      <c r="D249" s="100" t="s">
        <v>249</v>
      </c>
      <c r="E249" s="101">
        <f t="shared" ref="E249:O249" si="114">E250</f>
        <v>0</v>
      </c>
      <c r="F249" s="102">
        <f t="shared" si="114"/>
        <v>0</v>
      </c>
      <c r="G249" s="102">
        <f t="shared" si="114"/>
        <v>0</v>
      </c>
      <c r="H249" s="101">
        <f t="shared" si="114"/>
        <v>0</v>
      </c>
      <c r="I249" s="102">
        <f t="shared" si="114"/>
        <v>0</v>
      </c>
      <c r="J249" s="102">
        <f t="shared" si="114"/>
        <v>0</v>
      </c>
      <c r="K249" s="101">
        <f t="shared" si="114"/>
        <v>0</v>
      </c>
      <c r="L249" s="103" t="str">
        <f t="shared" si="87"/>
        <v>-</v>
      </c>
      <c r="M249" s="102">
        <f t="shared" si="114"/>
        <v>0</v>
      </c>
      <c r="N249" s="102">
        <f t="shared" si="114"/>
        <v>0</v>
      </c>
      <c r="O249" s="101">
        <f t="shared" si="114"/>
        <v>0</v>
      </c>
      <c r="P249" s="103" t="str">
        <f t="shared" si="88"/>
        <v>-</v>
      </c>
      <c r="Q249" s="104" t="str">
        <f t="shared" si="89"/>
        <v>-</v>
      </c>
      <c r="T249" s="105"/>
    </row>
    <row r="250" spans="1:20" ht="20.149999999999999" customHeight="1">
      <c r="A250" s="116"/>
      <c r="B250" s="117"/>
      <c r="C250" s="119">
        <v>77041</v>
      </c>
      <c r="D250" s="133" t="s">
        <v>249</v>
      </c>
      <c r="E250" s="110"/>
      <c r="F250" s="110"/>
      <c r="G250" s="110"/>
      <c r="H250" s="110"/>
      <c r="I250" s="110"/>
      <c r="J250" s="110"/>
      <c r="K250" s="110">
        <f>SUM(I250:J250)</f>
        <v>0</v>
      </c>
      <c r="L250" s="111" t="str">
        <f t="shared" si="87"/>
        <v>-</v>
      </c>
      <c r="M250" s="110"/>
      <c r="N250" s="110"/>
      <c r="O250" s="110"/>
      <c r="P250" s="111" t="str">
        <f t="shared" si="88"/>
        <v>-</v>
      </c>
      <c r="Q250" s="10" t="str">
        <f t="shared" si="89"/>
        <v>-</v>
      </c>
      <c r="T250"/>
    </row>
    <row r="251" spans="1:20" s="104" customFormat="1" ht="20.149999999999999" customHeight="1">
      <c r="A251" s="120"/>
      <c r="B251" s="98">
        <v>7705</v>
      </c>
      <c r="C251" s="99"/>
      <c r="D251" s="100" t="s">
        <v>250</v>
      </c>
      <c r="E251" s="101">
        <f t="shared" ref="E251:O251" si="115">SUM(E252:E256)</f>
        <v>0</v>
      </c>
      <c r="F251" s="102">
        <f t="shared" si="115"/>
        <v>0</v>
      </c>
      <c r="G251" s="102">
        <f t="shared" si="115"/>
        <v>0</v>
      </c>
      <c r="H251" s="101">
        <f t="shared" si="115"/>
        <v>0</v>
      </c>
      <c r="I251" s="102">
        <f t="shared" si="115"/>
        <v>0</v>
      </c>
      <c r="J251" s="102">
        <f t="shared" si="115"/>
        <v>0</v>
      </c>
      <c r="K251" s="101">
        <f t="shared" si="115"/>
        <v>0</v>
      </c>
      <c r="L251" s="103" t="str">
        <f t="shared" si="87"/>
        <v>-</v>
      </c>
      <c r="M251" s="102">
        <f t="shared" si="115"/>
        <v>0</v>
      </c>
      <c r="N251" s="102">
        <f t="shared" si="115"/>
        <v>0</v>
      </c>
      <c r="O251" s="101">
        <f t="shared" si="115"/>
        <v>0</v>
      </c>
      <c r="P251" s="103" t="str">
        <f t="shared" si="88"/>
        <v>-</v>
      </c>
      <c r="Q251" s="104" t="str">
        <f t="shared" si="89"/>
        <v>-</v>
      </c>
      <c r="T251" s="105"/>
    </row>
    <row r="252" spans="1:20" ht="20.149999999999999" customHeight="1">
      <c r="A252" s="116"/>
      <c r="B252" s="117"/>
      <c r="C252" s="119">
        <v>77051</v>
      </c>
      <c r="D252" s="133" t="s">
        <v>251</v>
      </c>
      <c r="E252" s="110"/>
      <c r="F252" s="110"/>
      <c r="G252" s="110"/>
      <c r="H252" s="110"/>
      <c r="I252" s="110"/>
      <c r="J252" s="110"/>
      <c r="K252" s="110">
        <f t="shared" ref="K252:K256" si="116">SUM(I252:J252)</f>
        <v>0</v>
      </c>
      <c r="L252" s="111" t="str">
        <f t="shared" si="87"/>
        <v>-</v>
      </c>
      <c r="M252" s="110"/>
      <c r="N252" s="110"/>
      <c r="O252" s="110"/>
      <c r="P252" s="111" t="str">
        <f t="shared" si="88"/>
        <v>-</v>
      </c>
      <c r="Q252" s="10" t="str">
        <f t="shared" si="89"/>
        <v>-</v>
      </c>
      <c r="T252"/>
    </row>
    <row r="253" spans="1:20" ht="20.149999999999999" customHeight="1">
      <c r="A253" s="116"/>
      <c r="B253" s="117"/>
      <c r="C253" s="119">
        <v>77052</v>
      </c>
      <c r="D253" s="133" t="s">
        <v>252</v>
      </c>
      <c r="E253" s="110"/>
      <c r="F253" s="110"/>
      <c r="G253" s="110"/>
      <c r="H253" s="110"/>
      <c r="I253" s="110"/>
      <c r="J253" s="110"/>
      <c r="K253" s="110">
        <f t="shared" si="116"/>
        <v>0</v>
      </c>
      <c r="L253" s="111" t="str">
        <f t="shared" si="87"/>
        <v>-</v>
      </c>
      <c r="M253" s="110"/>
      <c r="N253" s="110"/>
      <c r="O253" s="110"/>
      <c r="P253" s="111" t="str">
        <f t="shared" si="88"/>
        <v>-</v>
      </c>
      <c r="Q253" s="10" t="str">
        <f t="shared" si="89"/>
        <v>-</v>
      </c>
      <c r="T253"/>
    </row>
    <row r="254" spans="1:20" ht="20.149999999999999" customHeight="1">
      <c r="A254" s="116"/>
      <c r="B254" s="117"/>
      <c r="C254" s="119">
        <v>77053</v>
      </c>
      <c r="D254" s="133" t="s">
        <v>253</v>
      </c>
      <c r="E254" s="110"/>
      <c r="F254" s="110"/>
      <c r="G254" s="110"/>
      <c r="H254" s="110"/>
      <c r="I254" s="110"/>
      <c r="J254" s="110"/>
      <c r="K254" s="110">
        <f t="shared" si="116"/>
        <v>0</v>
      </c>
      <c r="L254" s="111" t="str">
        <f t="shared" si="87"/>
        <v>-</v>
      </c>
      <c r="M254" s="110"/>
      <c r="N254" s="110"/>
      <c r="O254" s="110"/>
      <c r="P254" s="111" t="str">
        <f t="shared" si="88"/>
        <v>-</v>
      </c>
      <c r="Q254" s="10" t="str">
        <f t="shared" si="89"/>
        <v>-</v>
      </c>
      <c r="T254"/>
    </row>
    <row r="255" spans="1:20" ht="20.149999999999999" customHeight="1">
      <c r="A255" s="116"/>
      <c r="B255" s="117"/>
      <c r="C255" s="119">
        <v>77054</v>
      </c>
      <c r="D255" s="133" t="s">
        <v>254</v>
      </c>
      <c r="E255" s="110"/>
      <c r="F255" s="110"/>
      <c r="G255" s="110"/>
      <c r="H255" s="110"/>
      <c r="I255" s="110"/>
      <c r="J255" s="110"/>
      <c r="K255" s="110">
        <f t="shared" si="116"/>
        <v>0</v>
      </c>
      <c r="L255" s="111" t="str">
        <f t="shared" si="87"/>
        <v>-</v>
      </c>
      <c r="M255" s="110"/>
      <c r="N255" s="110"/>
      <c r="O255" s="110"/>
      <c r="P255" s="111" t="str">
        <f t="shared" si="88"/>
        <v>-</v>
      </c>
      <c r="Q255" s="10" t="str">
        <f t="shared" si="89"/>
        <v>-</v>
      </c>
      <c r="T255"/>
    </row>
    <row r="256" spans="1:20" ht="20.149999999999999" customHeight="1">
      <c r="A256" s="116"/>
      <c r="B256" s="117"/>
      <c r="C256" s="119">
        <v>77055</v>
      </c>
      <c r="D256" s="133" t="s">
        <v>255</v>
      </c>
      <c r="E256" s="110"/>
      <c r="F256" s="110"/>
      <c r="G256" s="110"/>
      <c r="H256" s="110"/>
      <c r="I256" s="110"/>
      <c r="J256" s="110"/>
      <c r="K256" s="110">
        <f t="shared" si="116"/>
        <v>0</v>
      </c>
      <c r="L256" s="111" t="str">
        <f t="shared" si="87"/>
        <v>-</v>
      </c>
      <c r="M256" s="110"/>
      <c r="N256" s="110"/>
      <c r="O256" s="110"/>
      <c r="P256" s="111" t="str">
        <f t="shared" si="88"/>
        <v>-</v>
      </c>
      <c r="Q256" s="10" t="str">
        <f t="shared" si="89"/>
        <v>-</v>
      </c>
      <c r="T256"/>
    </row>
    <row r="257" spans="1:20" s="104" customFormat="1" ht="20.149999999999999" customHeight="1">
      <c r="A257" s="120"/>
      <c r="B257" s="98">
        <v>7798</v>
      </c>
      <c r="C257" s="99"/>
      <c r="D257" s="100" t="s">
        <v>256</v>
      </c>
      <c r="E257" s="101">
        <f t="shared" ref="E257:O257" si="117">E258</f>
        <v>0</v>
      </c>
      <c r="F257" s="102">
        <f t="shared" si="117"/>
        <v>0</v>
      </c>
      <c r="G257" s="102">
        <f t="shared" si="117"/>
        <v>0</v>
      </c>
      <c r="H257" s="101">
        <f t="shared" si="117"/>
        <v>0</v>
      </c>
      <c r="I257" s="102">
        <f t="shared" si="117"/>
        <v>0</v>
      </c>
      <c r="J257" s="102">
        <f t="shared" si="117"/>
        <v>0</v>
      </c>
      <c r="K257" s="101">
        <f t="shared" si="117"/>
        <v>0</v>
      </c>
      <c r="L257" s="103" t="str">
        <f t="shared" si="87"/>
        <v>-</v>
      </c>
      <c r="M257" s="102">
        <f t="shared" si="117"/>
        <v>0</v>
      </c>
      <c r="N257" s="102">
        <f t="shared" si="117"/>
        <v>0</v>
      </c>
      <c r="O257" s="101">
        <f t="shared" si="117"/>
        <v>0</v>
      </c>
      <c r="P257" s="103" t="str">
        <f t="shared" si="88"/>
        <v>-</v>
      </c>
      <c r="Q257" s="104" t="str">
        <f t="shared" si="89"/>
        <v>-</v>
      </c>
      <c r="T257" s="105"/>
    </row>
    <row r="258" spans="1:20" ht="20.149999999999999" customHeight="1">
      <c r="A258" s="127"/>
      <c r="B258" s="128"/>
      <c r="C258" s="129">
        <v>77981</v>
      </c>
      <c r="D258" s="138" t="s">
        <v>256</v>
      </c>
      <c r="E258" s="131"/>
      <c r="F258" s="131"/>
      <c r="G258" s="131"/>
      <c r="H258" s="131"/>
      <c r="I258" s="131"/>
      <c r="J258" s="131"/>
      <c r="K258" s="110">
        <f>SUM(I258:J258)</f>
        <v>0</v>
      </c>
      <c r="L258" s="132" t="str">
        <f t="shared" si="87"/>
        <v>-</v>
      </c>
      <c r="M258" s="131"/>
      <c r="N258" s="131"/>
      <c r="O258" s="131"/>
      <c r="P258" s="132" t="str">
        <f t="shared" si="88"/>
        <v>-</v>
      </c>
      <c r="Q258" s="10" t="str">
        <f t="shared" si="89"/>
        <v>-</v>
      </c>
      <c r="T258"/>
    </row>
    <row r="259" spans="1:20" s="77" customFormat="1" ht="20.149999999999999" customHeight="1">
      <c r="A259" s="139" t="s">
        <v>257</v>
      </c>
      <c r="B259" s="140"/>
      <c r="C259" s="141"/>
      <c r="D259" s="142"/>
      <c r="E259" s="143">
        <f t="shared" ref="E259:O259" si="118">E260</f>
        <v>0</v>
      </c>
      <c r="F259" s="143">
        <f t="shared" si="118"/>
        <v>0</v>
      </c>
      <c r="G259" s="143">
        <f t="shared" si="118"/>
        <v>0</v>
      </c>
      <c r="H259" s="143">
        <f t="shared" si="118"/>
        <v>0</v>
      </c>
      <c r="I259" s="143">
        <f t="shared" si="118"/>
        <v>0</v>
      </c>
      <c r="J259" s="143">
        <f t="shared" si="118"/>
        <v>0</v>
      </c>
      <c r="K259" s="143">
        <f t="shared" si="118"/>
        <v>0</v>
      </c>
      <c r="L259" s="144" t="str">
        <f t="shared" si="87"/>
        <v>-</v>
      </c>
      <c r="M259" s="143">
        <f t="shared" si="118"/>
        <v>0</v>
      </c>
      <c r="N259" s="143">
        <f t="shared" si="118"/>
        <v>0</v>
      </c>
      <c r="O259" s="143">
        <f t="shared" si="118"/>
        <v>0</v>
      </c>
      <c r="P259" s="144" t="str">
        <f t="shared" si="88"/>
        <v>-</v>
      </c>
      <c r="Q259" s="77" t="str">
        <f t="shared" si="89"/>
        <v>-</v>
      </c>
      <c r="T259" s="78"/>
    </row>
    <row r="260" spans="1:20" s="86" customFormat="1" ht="20.149999999999999" customHeight="1">
      <c r="A260" s="79" t="s">
        <v>258</v>
      </c>
      <c r="B260" s="80"/>
      <c r="C260" s="81"/>
      <c r="D260" s="82"/>
      <c r="E260" s="83"/>
      <c r="F260" s="84"/>
      <c r="G260" s="84"/>
      <c r="H260" s="83"/>
      <c r="I260" s="84"/>
      <c r="J260" s="84"/>
      <c r="K260" s="83"/>
      <c r="L260" s="85" t="str">
        <f t="shared" si="87"/>
        <v>-</v>
      </c>
      <c r="M260" s="84"/>
      <c r="N260" s="84"/>
      <c r="O260" s="83"/>
      <c r="P260" s="85" t="str">
        <f t="shared" si="88"/>
        <v>-</v>
      </c>
      <c r="Q260" s="86" t="str">
        <f t="shared" si="89"/>
        <v>-</v>
      </c>
      <c r="T260" s="87"/>
    </row>
    <row r="261" spans="1:20" s="60" customFormat="1" ht="20.149999999999999" customHeight="1">
      <c r="A261" s="145" t="s">
        <v>259</v>
      </c>
      <c r="B261" s="146"/>
      <c r="C261" s="147"/>
      <c r="D261" s="148"/>
      <c r="E261" s="149">
        <f t="shared" ref="E261:O261" si="119">E262+E303</f>
        <v>0</v>
      </c>
      <c r="F261" s="149">
        <f t="shared" si="119"/>
        <v>0</v>
      </c>
      <c r="G261" s="149">
        <f t="shared" si="119"/>
        <v>0</v>
      </c>
      <c r="H261" s="149">
        <f t="shared" si="119"/>
        <v>0</v>
      </c>
      <c r="I261" s="149">
        <f t="shared" si="119"/>
        <v>0</v>
      </c>
      <c r="J261" s="149">
        <f t="shared" si="119"/>
        <v>0</v>
      </c>
      <c r="K261" s="149">
        <f t="shared" si="119"/>
        <v>0</v>
      </c>
      <c r="L261" s="150" t="str">
        <f t="shared" si="87"/>
        <v>-</v>
      </c>
      <c r="M261" s="149">
        <f t="shared" si="119"/>
        <v>0</v>
      </c>
      <c r="N261" s="149">
        <f t="shared" si="119"/>
        <v>0</v>
      </c>
      <c r="O261" s="149">
        <f t="shared" si="119"/>
        <v>0</v>
      </c>
      <c r="P261" s="150" t="str">
        <f t="shared" si="88"/>
        <v>-</v>
      </c>
      <c r="Q261" s="60" t="str">
        <f t="shared" si="89"/>
        <v>-</v>
      </c>
      <c r="T261" s="62"/>
    </row>
    <row r="262" spans="1:20" s="157" customFormat="1" ht="20.149999999999999" customHeight="1">
      <c r="A262" s="151" t="s">
        <v>260</v>
      </c>
      <c r="B262" s="152"/>
      <c r="C262" s="153"/>
      <c r="D262" s="154"/>
      <c r="E262" s="155">
        <f t="shared" ref="E262:O262" si="120">E263</f>
        <v>0</v>
      </c>
      <c r="F262" s="155">
        <f t="shared" si="120"/>
        <v>0</v>
      </c>
      <c r="G262" s="155">
        <f t="shared" si="120"/>
        <v>0</v>
      </c>
      <c r="H262" s="155">
        <f t="shared" si="120"/>
        <v>0</v>
      </c>
      <c r="I262" s="155">
        <f t="shared" si="120"/>
        <v>0</v>
      </c>
      <c r="J262" s="155">
        <f t="shared" si="120"/>
        <v>0</v>
      </c>
      <c r="K262" s="155">
        <f t="shared" si="120"/>
        <v>0</v>
      </c>
      <c r="L262" s="156" t="str">
        <f t="shared" si="87"/>
        <v>-</v>
      </c>
      <c r="M262" s="155">
        <f t="shared" si="120"/>
        <v>0</v>
      </c>
      <c r="N262" s="155">
        <f t="shared" si="120"/>
        <v>0</v>
      </c>
      <c r="O262" s="155">
        <f t="shared" si="120"/>
        <v>0</v>
      </c>
      <c r="P262" s="156" t="str">
        <f t="shared" si="88"/>
        <v>-</v>
      </c>
      <c r="Q262" s="157" t="str">
        <f t="shared" si="89"/>
        <v>-</v>
      </c>
      <c r="T262" s="158"/>
    </row>
    <row r="263" spans="1:20" s="77" customFormat="1" ht="20.149999999999999" customHeight="1">
      <c r="A263" s="139" t="s">
        <v>261</v>
      </c>
      <c r="B263" s="159"/>
      <c r="C263" s="160"/>
      <c r="D263" s="161"/>
      <c r="E263" s="143">
        <f t="shared" ref="E263:O263" si="121">E264+E276</f>
        <v>0</v>
      </c>
      <c r="F263" s="143">
        <f t="shared" si="121"/>
        <v>0</v>
      </c>
      <c r="G263" s="143">
        <f t="shared" si="121"/>
        <v>0</v>
      </c>
      <c r="H263" s="143">
        <f t="shared" si="121"/>
        <v>0</v>
      </c>
      <c r="I263" s="143">
        <f t="shared" si="121"/>
        <v>0</v>
      </c>
      <c r="J263" s="143">
        <f t="shared" si="121"/>
        <v>0</v>
      </c>
      <c r="K263" s="143">
        <f t="shared" si="121"/>
        <v>0</v>
      </c>
      <c r="L263" s="144" t="str">
        <f t="shared" si="87"/>
        <v>-</v>
      </c>
      <c r="M263" s="143">
        <f t="shared" si="121"/>
        <v>0</v>
      </c>
      <c r="N263" s="143">
        <f t="shared" si="121"/>
        <v>0</v>
      </c>
      <c r="O263" s="143">
        <f t="shared" si="121"/>
        <v>0</v>
      </c>
      <c r="P263" s="144" t="str">
        <f t="shared" si="88"/>
        <v>-</v>
      </c>
      <c r="Q263" s="77" t="str">
        <f t="shared" si="89"/>
        <v>-</v>
      </c>
      <c r="T263" s="78"/>
    </row>
    <row r="264" spans="1:20" s="86" customFormat="1" ht="20.149999999999999" customHeight="1">
      <c r="A264" s="79" t="s">
        <v>262</v>
      </c>
      <c r="B264" s="80"/>
      <c r="C264" s="81"/>
      <c r="D264" s="82"/>
      <c r="E264" s="83">
        <f t="shared" ref="E264:O264" si="122">E265+E270</f>
        <v>0</v>
      </c>
      <c r="F264" s="84">
        <f t="shared" si="122"/>
        <v>0</v>
      </c>
      <c r="G264" s="84">
        <f t="shared" si="122"/>
        <v>0</v>
      </c>
      <c r="H264" s="83">
        <f t="shared" si="122"/>
        <v>0</v>
      </c>
      <c r="I264" s="84">
        <f t="shared" si="122"/>
        <v>0</v>
      </c>
      <c r="J264" s="84">
        <f t="shared" si="122"/>
        <v>0</v>
      </c>
      <c r="K264" s="83">
        <f t="shared" si="122"/>
        <v>0</v>
      </c>
      <c r="L264" s="85" t="str">
        <f t="shared" si="87"/>
        <v>-</v>
      </c>
      <c r="M264" s="84">
        <f t="shared" si="122"/>
        <v>0</v>
      </c>
      <c r="N264" s="84">
        <f t="shared" si="122"/>
        <v>0</v>
      </c>
      <c r="O264" s="83">
        <f t="shared" si="122"/>
        <v>0</v>
      </c>
      <c r="P264" s="85" t="str">
        <f t="shared" si="88"/>
        <v>-</v>
      </c>
      <c r="Q264" s="86" t="str">
        <f t="shared" si="89"/>
        <v>-</v>
      </c>
      <c r="T264" s="87"/>
    </row>
    <row r="265" spans="1:20" s="95" customFormat="1" ht="20.149999999999999" customHeight="1">
      <c r="A265" s="122">
        <v>26</v>
      </c>
      <c r="B265" s="123"/>
      <c r="C265" s="124"/>
      <c r="D265" s="91" t="s">
        <v>263</v>
      </c>
      <c r="E265" s="125">
        <f t="shared" ref="E265:O265" si="123">E266</f>
        <v>0</v>
      </c>
      <c r="F265" s="125">
        <f t="shared" si="123"/>
        <v>0</v>
      </c>
      <c r="G265" s="125">
        <f t="shared" si="123"/>
        <v>0</v>
      </c>
      <c r="H265" s="125">
        <f t="shared" si="123"/>
        <v>0</v>
      </c>
      <c r="I265" s="125">
        <f t="shared" si="123"/>
        <v>0</v>
      </c>
      <c r="J265" s="125">
        <f t="shared" si="123"/>
        <v>0</v>
      </c>
      <c r="K265" s="125">
        <f t="shared" si="123"/>
        <v>0</v>
      </c>
      <c r="L265" s="126" t="str">
        <f t="shared" si="87"/>
        <v>-</v>
      </c>
      <c r="M265" s="125">
        <f t="shared" si="123"/>
        <v>0</v>
      </c>
      <c r="N265" s="125">
        <f t="shared" si="123"/>
        <v>0</v>
      </c>
      <c r="O265" s="125">
        <f t="shared" si="123"/>
        <v>0</v>
      </c>
      <c r="P265" s="126" t="str">
        <f t="shared" si="88"/>
        <v>-</v>
      </c>
      <c r="Q265" s="95" t="str">
        <f t="shared" si="89"/>
        <v>-</v>
      </c>
      <c r="T265" s="96"/>
    </row>
    <row r="266" spans="1:20" s="104" customFormat="1" ht="20.149999999999999" customHeight="1">
      <c r="A266" s="120"/>
      <c r="B266" s="98">
        <v>2601</v>
      </c>
      <c r="C266" s="99"/>
      <c r="D266" s="100" t="s">
        <v>264</v>
      </c>
      <c r="E266" s="101">
        <f t="shared" ref="E266:O266" si="124">SUM(E267:E269)</f>
        <v>0</v>
      </c>
      <c r="F266" s="102">
        <f t="shared" si="124"/>
        <v>0</v>
      </c>
      <c r="G266" s="102">
        <f t="shared" si="124"/>
        <v>0</v>
      </c>
      <c r="H266" s="101">
        <f t="shared" si="124"/>
        <v>0</v>
      </c>
      <c r="I266" s="102">
        <f t="shared" si="124"/>
        <v>0</v>
      </c>
      <c r="J266" s="102">
        <f t="shared" si="124"/>
        <v>0</v>
      </c>
      <c r="K266" s="101">
        <f t="shared" si="124"/>
        <v>0</v>
      </c>
      <c r="L266" s="103" t="str">
        <f t="shared" si="87"/>
        <v>-</v>
      </c>
      <c r="M266" s="102">
        <f t="shared" si="124"/>
        <v>0</v>
      </c>
      <c r="N266" s="102">
        <f t="shared" si="124"/>
        <v>0</v>
      </c>
      <c r="O266" s="101">
        <f t="shared" si="124"/>
        <v>0</v>
      </c>
      <c r="P266" s="103" t="str">
        <f t="shared" si="88"/>
        <v>-</v>
      </c>
      <c r="Q266" s="104" t="str">
        <f t="shared" si="89"/>
        <v>-</v>
      </c>
      <c r="T266" s="105"/>
    </row>
    <row r="267" spans="1:20" ht="20.149999999999999" customHeight="1">
      <c r="A267" s="116"/>
      <c r="B267" s="117"/>
      <c r="C267" s="119">
        <v>26011</v>
      </c>
      <c r="D267" s="133" t="s">
        <v>265</v>
      </c>
      <c r="E267" s="110"/>
      <c r="F267" s="110"/>
      <c r="G267" s="110"/>
      <c r="H267" s="110"/>
      <c r="I267" s="110"/>
      <c r="J267" s="110"/>
      <c r="K267" s="110">
        <f t="shared" ref="K267:K269" si="125">SUM(I267:J267)</f>
        <v>0</v>
      </c>
      <c r="L267" s="111" t="str">
        <f t="shared" si="87"/>
        <v>-</v>
      </c>
      <c r="M267" s="110"/>
      <c r="N267" s="110"/>
      <c r="O267" s="110"/>
      <c r="P267" s="111" t="str">
        <f t="shared" si="88"/>
        <v>-</v>
      </c>
      <c r="Q267" s="10" t="str">
        <f t="shared" si="89"/>
        <v>-</v>
      </c>
      <c r="T267"/>
    </row>
    <row r="268" spans="1:20" ht="20.149999999999999" customHeight="1">
      <c r="A268" s="116"/>
      <c r="B268" s="117"/>
      <c r="C268" s="119">
        <v>26012</v>
      </c>
      <c r="D268" s="133" t="s">
        <v>266</v>
      </c>
      <c r="E268" s="110"/>
      <c r="F268" s="110"/>
      <c r="G268" s="110"/>
      <c r="H268" s="110"/>
      <c r="I268" s="110"/>
      <c r="J268" s="110"/>
      <c r="K268" s="110">
        <f t="shared" si="125"/>
        <v>0</v>
      </c>
      <c r="L268" s="111" t="str">
        <f t="shared" si="87"/>
        <v>-</v>
      </c>
      <c r="M268" s="110"/>
      <c r="N268" s="110"/>
      <c r="O268" s="110"/>
      <c r="P268" s="111" t="str">
        <f t="shared" si="88"/>
        <v>-</v>
      </c>
      <c r="Q268" s="10" t="str">
        <f t="shared" si="89"/>
        <v>-</v>
      </c>
      <c r="T268"/>
    </row>
    <row r="269" spans="1:20" ht="20.149999999999999" customHeight="1">
      <c r="A269" s="116"/>
      <c r="B269" s="117"/>
      <c r="C269" s="119">
        <v>26013</v>
      </c>
      <c r="D269" s="133" t="s">
        <v>267</v>
      </c>
      <c r="E269" s="110"/>
      <c r="F269" s="110"/>
      <c r="G269" s="110"/>
      <c r="H269" s="110"/>
      <c r="I269" s="110"/>
      <c r="J269" s="110"/>
      <c r="K269" s="110">
        <f t="shared" si="125"/>
        <v>0</v>
      </c>
      <c r="L269" s="111" t="str">
        <f t="shared" si="87"/>
        <v>-</v>
      </c>
      <c r="M269" s="110"/>
      <c r="N269" s="110"/>
      <c r="O269" s="110"/>
      <c r="P269" s="111" t="str">
        <f t="shared" si="88"/>
        <v>-</v>
      </c>
      <c r="Q269" s="10" t="str">
        <f t="shared" si="89"/>
        <v>-</v>
      </c>
      <c r="T269"/>
    </row>
    <row r="270" spans="1:20" s="95" customFormat="1" ht="20.149999999999999" customHeight="1">
      <c r="A270" s="122">
        <v>27</v>
      </c>
      <c r="B270" s="123"/>
      <c r="C270" s="124"/>
      <c r="D270" s="91" t="s">
        <v>268</v>
      </c>
      <c r="E270" s="125">
        <f t="shared" ref="E270:O270" si="126">E271</f>
        <v>0</v>
      </c>
      <c r="F270" s="125">
        <f t="shared" si="126"/>
        <v>0</v>
      </c>
      <c r="G270" s="125">
        <f t="shared" si="126"/>
        <v>0</v>
      </c>
      <c r="H270" s="125">
        <f t="shared" si="126"/>
        <v>0</v>
      </c>
      <c r="I270" s="125">
        <f t="shared" si="126"/>
        <v>0</v>
      </c>
      <c r="J270" s="125">
        <f t="shared" si="126"/>
        <v>0</v>
      </c>
      <c r="K270" s="125">
        <f t="shared" si="126"/>
        <v>0</v>
      </c>
      <c r="L270" s="126" t="str">
        <f t="shared" si="87"/>
        <v>-</v>
      </c>
      <c r="M270" s="125">
        <f t="shared" si="126"/>
        <v>0</v>
      </c>
      <c r="N270" s="125">
        <f t="shared" si="126"/>
        <v>0</v>
      </c>
      <c r="O270" s="125">
        <f t="shared" si="126"/>
        <v>0</v>
      </c>
      <c r="P270" s="126" t="str">
        <f t="shared" si="88"/>
        <v>-</v>
      </c>
      <c r="Q270" s="95" t="str">
        <f t="shared" si="89"/>
        <v>-</v>
      </c>
      <c r="T270" s="96"/>
    </row>
    <row r="271" spans="1:20" s="104" customFormat="1" ht="20.149999999999999" customHeight="1">
      <c r="A271" s="120"/>
      <c r="B271" s="98">
        <v>2701</v>
      </c>
      <c r="C271" s="99"/>
      <c r="D271" s="100" t="s">
        <v>269</v>
      </c>
      <c r="E271" s="101">
        <f t="shared" ref="E271:O271" si="127">SUM(E272:E275)</f>
        <v>0</v>
      </c>
      <c r="F271" s="102">
        <f t="shared" si="127"/>
        <v>0</v>
      </c>
      <c r="G271" s="102">
        <f t="shared" si="127"/>
        <v>0</v>
      </c>
      <c r="H271" s="101">
        <f t="shared" si="127"/>
        <v>0</v>
      </c>
      <c r="I271" s="102">
        <f t="shared" si="127"/>
        <v>0</v>
      </c>
      <c r="J271" s="102">
        <f t="shared" si="127"/>
        <v>0</v>
      </c>
      <c r="K271" s="101">
        <f t="shared" si="127"/>
        <v>0</v>
      </c>
      <c r="L271" s="103" t="str">
        <f t="shared" si="87"/>
        <v>-</v>
      </c>
      <c r="M271" s="102">
        <f t="shared" si="127"/>
        <v>0</v>
      </c>
      <c r="N271" s="102">
        <f t="shared" si="127"/>
        <v>0</v>
      </c>
      <c r="O271" s="101">
        <f t="shared" si="127"/>
        <v>0</v>
      </c>
      <c r="P271" s="103" t="str">
        <f t="shared" si="88"/>
        <v>-</v>
      </c>
      <c r="Q271" s="104" t="str">
        <f t="shared" si="89"/>
        <v>-</v>
      </c>
      <c r="T271" s="105"/>
    </row>
    <row r="272" spans="1:20" ht="20.149999999999999" customHeight="1">
      <c r="A272" s="116"/>
      <c r="B272" s="117"/>
      <c r="C272" s="119">
        <v>27011</v>
      </c>
      <c r="D272" s="133" t="s">
        <v>270</v>
      </c>
      <c r="E272" s="110"/>
      <c r="F272" s="110"/>
      <c r="G272" s="110"/>
      <c r="H272" s="110"/>
      <c r="I272" s="110"/>
      <c r="J272" s="110"/>
      <c r="K272" s="110">
        <f t="shared" ref="K272:K275" si="128">SUM(I272:J272)</f>
        <v>0</v>
      </c>
      <c r="L272" s="111" t="str">
        <f t="shared" ref="L272:L329" si="129">IFERROR(K272/H272,"-")</f>
        <v>-</v>
      </c>
      <c r="M272" s="110"/>
      <c r="N272" s="110"/>
      <c r="O272" s="110"/>
      <c r="P272" s="111" t="str">
        <f t="shared" ref="P272:P329" si="130">IFERROR(O272/H272,"-")</f>
        <v>-</v>
      </c>
      <c r="Q272" s="10" t="str">
        <f t="shared" ref="Q272:Q329" si="131">IF(OR(H272&gt;0,O272&gt;0),"ok","-")</f>
        <v>-</v>
      </c>
      <c r="T272"/>
    </row>
    <row r="273" spans="1:20" ht="20.149999999999999" customHeight="1">
      <c r="A273" s="116"/>
      <c r="B273" s="117"/>
      <c r="C273" s="119">
        <v>27012</v>
      </c>
      <c r="D273" s="133" t="s">
        <v>271</v>
      </c>
      <c r="E273" s="110"/>
      <c r="F273" s="110"/>
      <c r="G273" s="110"/>
      <c r="H273" s="110"/>
      <c r="I273" s="110"/>
      <c r="J273" s="110"/>
      <c r="K273" s="110">
        <f t="shared" si="128"/>
        <v>0</v>
      </c>
      <c r="L273" s="111" t="str">
        <f t="shared" si="129"/>
        <v>-</v>
      </c>
      <c r="M273" s="110"/>
      <c r="N273" s="110"/>
      <c r="O273" s="110"/>
      <c r="P273" s="111" t="str">
        <f t="shared" si="130"/>
        <v>-</v>
      </c>
      <c r="Q273" s="10" t="str">
        <f t="shared" si="131"/>
        <v>-</v>
      </c>
      <c r="T273"/>
    </row>
    <row r="274" spans="1:20" ht="20.149999999999999" customHeight="1">
      <c r="A274" s="116"/>
      <c r="B274" s="117"/>
      <c r="C274" s="119">
        <v>27013</v>
      </c>
      <c r="D274" s="133" t="s">
        <v>272</v>
      </c>
      <c r="E274" s="110"/>
      <c r="F274" s="110"/>
      <c r="G274" s="110"/>
      <c r="H274" s="110"/>
      <c r="I274" s="110"/>
      <c r="J274" s="110"/>
      <c r="K274" s="110">
        <f t="shared" si="128"/>
        <v>0</v>
      </c>
      <c r="L274" s="111" t="str">
        <f t="shared" si="129"/>
        <v>-</v>
      </c>
      <c r="M274" s="110"/>
      <c r="N274" s="110"/>
      <c r="O274" s="110"/>
      <c r="P274" s="111" t="str">
        <f t="shared" si="130"/>
        <v>-</v>
      </c>
      <c r="Q274" s="10" t="str">
        <f t="shared" si="131"/>
        <v>-</v>
      </c>
      <c r="T274"/>
    </row>
    <row r="275" spans="1:20" ht="20.149999999999999" customHeight="1">
      <c r="A275" s="162"/>
      <c r="B275" s="163"/>
      <c r="C275" s="164">
        <v>27018</v>
      </c>
      <c r="D275" s="165" t="s">
        <v>273</v>
      </c>
      <c r="E275" s="166"/>
      <c r="F275" s="166"/>
      <c r="G275" s="166"/>
      <c r="H275" s="166"/>
      <c r="I275" s="166"/>
      <c r="J275" s="166"/>
      <c r="K275" s="110">
        <f t="shared" si="128"/>
        <v>0</v>
      </c>
      <c r="L275" s="167" t="str">
        <f t="shared" si="129"/>
        <v>-</v>
      </c>
      <c r="M275" s="166"/>
      <c r="N275" s="166"/>
      <c r="O275" s="166"/>
      <c r="P275" s="167" t="str">
        <f t="shared" si="130"/>
        <v>-</v>
      </c>
      <c r="Q275" s="10" t="str">
        <f t="shared" si="131"/>
        <v>-</v>
      </c>
      <c r="T275"/>
    </row>
    <row r="276" spans="1:20" s="86" customFormat="1" ht="20.149999999999999" customHeight="1">
      <c r="A276" s="79" t="s">
        <v>274</v>
      </c>
      <c r="B276" s="80"/>
      <c r="C276" s="81"/>
      <c r="D276" s="82"/>
      <c r="E276" s="83">
        <f t="shared" ref="E276:O276" si="132">E277+E290</f>
        <v>0</v>
      </c>
      <c r="F276" s="84">
        <f t="shared" si="132"/>
        <v>0</v>
      </c>
      <c r="G276" s="84">
        <f t="shared" si="132"/>
        <v>0</v>
      </c>
      <c r="H276" s="83">
        <f t="shared" si="132"/>
        <v>0</v>
      </c>
      <c r="I276" s="84">
        <f t="shared" si="132"/>
        <v>0</v>
      </c>
      <c r="J276" s="84">
        <f t="shared" si="132"/>
        <v>0</v>
      </c>
      <c r="K276" s="83">
        <f t="shared" si="132"/>
        <v>0</v>
      </c>
      <c r="L276" s="85" t="str">
        <f t="shared" si="129"/>
        <v>-</v>
      </c>
      <c r="M276" s="84">
        <f t="shared" si="132"/>
        <v>0</v>
      </c>
      <c r="N276" s="84">
        <f t="shared" si="132"/>
        <v>0</v>
      </c>
      <c r="O276" s="83">
        <f t="shared" si="132"/>
        <v>0</v>
      </c>
      <c r="P276" s="85" t="str">
        <f t="shared" si="130"/>
        <v>-</v>
      </c>
      <c r="Q276" s="86" t="str">
        <f t="shared" si="131"/>
        <v>-</v>
      </c>
      <c r="T276" s="87"/>
    </row>
    <row r="277" spans="1:20" s="95" customFormat="1" ht="20.149999999999999" customHeight="1">
      <c r="A277" s="122">
        <v>75</v>
      </c>
      <c r="B277" s="123"/>
      <c r="C277" s="124"/>
      <c r="D277" s="91" t="s">
        <v>179</v>
      </c>
      <c r="E277" s="125">
        <f t="shared" ref="E277:O277" si="133">E278+E281+E283+E286+E288</f>
        <v>0</v>
      </c>
      <c r="F277" s="125">
        <f t="shared" si="133"/>
        <v>0</v>
      </c>
      <c r="G277" s="125">
        <f t="shared" si="133"/>
        <v>0</v>
      </c>
      <c r="H277" s="125">
        <f t="shared" si="133"/>
        <v>0</v>
      </c>
      <c r="I277" s="125">
        <f t="shared" si="133"/>
        <v>0</v>
      </c>
      <c r="J277" s="125">
        <f t="shared" si="133"/>
        <v>0</v>
      </c>
      <c r="K277" s="125">
        <f t="shared" si="133"/>
        <v>0</v>
      </c>
      <c r="L277" s="126" t="str">
        <f t="shared" si="129"/>
        <v>-</v>
      </c>
      <c r="M277" s="125">
        <f t="shared" si="133"/>
        <v>0</v>
      </c>
      <c r="N277" s="125">
        <f t="shared" si="133"/>
        <v>0</v>
      </c>
      <c r="O277" s="125">
        <f t="shared" si="133"/>
        <v>0</v>
      </c>
      <c r="P277" s="126" t="str">
        <f t="shared" si="130"/>
        <v>-</v>
      </c>
      <c r="Q277" s="95" t="str">
        <f t="shared" si="131"/>
        <v>-</v>
      </c>
      <c r="T277" s="96"/>
    </row>
    <row r="278" spans="1:20" s="104" customFormat="1" ht="20.149999999999999" customHeight="1">
      <c r="A278" s="120"/>
      <c r="B278" s="98">
        <v>7504</v>
      </c>
      <c r="C278" s="99"/>
      <c r="D278" s="100" t="s">
        <v>191</v>
      </c>
      <c r="E278" s="101">
        <f t="shared" ref="E278" si="134">SUM(E279:E280)</f>
        <v>0</v>
      </c>
      <c r="F278" s="102">
        <f t="shared" ref="F278:O278" si="135">SUM(F279:F280)</f>
        <v>0</v>
      </c>
      <c r="G278" s="102">
        <f t="shared" si="135"/>
        <v>0</v>
      </c>
      <c r="H278" s="101">
        <f t="shared" si="135"/>
        <v>0</v>
      </c>
      <c r="I278" s="102">
        <f t="shared" si="135"/>
        <v>0</v>
      </c>
      <c r="J278" s="102">
        <f t="shared" si="135"/>
        <v>0</v>
      </c>
      <c r="K278" s="101">
        <f t="shared" si="135"/>
        <v>0</v>
      </c>
      <c r="L278" s="103" t="str">
        <f t="shared" si="129"/>
        <v>-</v>
      </c>
      <c r="M278" s="102">
        <f t="shared" si="135"/>
        <v>0</v>
      </c>
      <c r="N278" s="102">
        <f t="shared" si="135"/>
        <v>0</v>
      </c>
      <c r="O278" s="101">
        <f t="shared" si="135"/>
        <v>0</v>
      </c>
      <c r="P278" s="103" t="str">
        <f t="shared" si="130"/>
        <v>-</v>
      </c>
      <c r="Q278" s="104" t="str">
        <f t="shared" si="131"/>
        <v>-</v>
      </c>
      <c r="T278" s="105"/>
    </row>
    <row r="279" spans="1:20" ht="20.149999999999999" customHeight="1">
      <c r="A279" s="116"/>
      <c r="B279" s="117"/>
      <c r="C279" s="119">
        <v>75041</v>
      </c>
      <c r="D279" s="133" t="s">
        <v>192</v>
      </c>
      <c r="E279" s="110"/>
      <c r="F279" s="110"/>
      <c r="G279" s="110"/>
      <c r="H279" s="110"/>
      <c r="I279" s="110"/>
      <c r="J279" s="110"/>
      <c r="K279" s="110">
        <f t="shared" ref="K279:K280" si="136">SUM(I279:J279)</f>
        <v>0</v>
      </c>
      <c r="L279" s="111" t="str">
        <f t="shared" si="129"/>
        <v>-</v>
      </c>
      <c r="M279" s="110"/>
      <c r="N279" s="110"/>
      <c r="O279" s="110"/>
      <c r="P279" s="111" t="str">
        <f t="shared" si="130"/>
        <v>-</v>
      </c>
      <c r="Q279" s="10" t="str">
        <f t="shared" si="131"/>
        <v>-</v>
      </c>
      <c r="T279"/>
    </row>
    <row r="280" spans="1:20" ht="20.149999999999999" customHeight="1">
      <c r="A280" s="116"/>
      <c r="B280" s="117"/>
      <c r="C280" s="119">
        <v>75042</v>
      </c>
      <c r="D280" s="133" t="s">
        <v>193</v>
      </c>
      <c r="E280" s="110"/>
      <c r="F280" s="110"/>
      <c r="G280" s="110"/>
      <c r="H280" s="110"/>
      <c r="I280" s="110"/>
      <c r="J280" s="110"/>
      <c r="K280" s="110">
        <f t="shared" si="136"/>
        <v>0</v>
      </c>
      <c r="L280" s="111" t="str">
        <f t="shared" si="129"/>
        <v>-</v>
      </c>
      <c r="M280" s="110"/>
      <c r="N280" s="110"/>
      <c r="O280" s="110"/>
      <c r="P280" s="111" t="str">
        <f t="shared" si="130"/>
        <v>-</v>
      </c>
      <c r="Q280" s="10" t="str">
        <f t="shared" si="131"/>
        <v>-</v>
      </c>
      <c r="T280"/>
    </row>
    <row r="281" spans="1:20" s="104" customFormat="1" ht="20.149999999999999" customHeight="1">
      <c r="A281" s="120"/>
      <c r="B281" s="98">
        <v>7507</v>
      </c>
      <c r="C281" s="99"/>
      <c r="D281" s="100" t="s">
        <v>199</v>
      </c>
      <c r="E281" s="101">
        <f t="shared" ref="E281:O281" si="137">E282</f>
        <v>0</v>
      </c>
      <c r="F281" s="102">
        <f t="shared" si="137"/>
        <v>0</v>
      </c>
      <c r="G281" s="102">
        <f t="shared" si="137"/>
        <v>0</v>
      </c>
      <c r="H281" s="101">
        <f t="shared" si="137"/>
        <v>0</v>
      </c>
      <c r="I281" s="102">
        <f t="shared" si="137"/>
        <v>0</v>
      </c>
      <c r="J281" s="102">
        <f t="shared" si="137"/>
        <v>0</v>
      </c>
      <c r="K281" s="101">
        <f t="shared" si="137"/>
        <v>0</v>
      </c>
      <c r="L281" s="103" t="str">
        <f t="shared" si="129"/>
        <v>-</v>
      </c>
      <c r="M281" s="102">
        <f t="shared" si="137"/>
        <v>0</v>
      </c>
      <c r="N281" s="102">
        <f t="shared" si="137"/>
        <v>0</v>
      </c>
      <c r="O281" s="101">
        <f t="shared" si="137"/>
        <v>0</v>
      </c>
      <c r="P281" s="103" t="str">
        <f t="shared" si="130"/>
        <v>-</v>
      </c>
      <c r="Q281" s="104" t="str">
        <f t="shared" si="131"/>
        <v>-</v>
      </c>
      <c r="T281" s="105"/>
    </row>
    <row r="282" spans="1:20" ht="20.149999999999999" customHeight="1">
      <c r="A282" s="116"/>
      <c r="B282" s="117"/>
      <c r="C282" s="119">
        <v>75071</v>
      </c>
      <c r="D282" s="133" t="s">
        <v>200</v>
      </c>
      <c r="E282" s="110"/>
      <c r="F282" s="110"/>
      <c r="G282" s="110"/>
      <c r="H282" s="110"/>
      <c r="I282" s="110"/>
      <c r="J282" s="110"/>
      <c r="K282" s="110">
        <f>SUM(I282:J282)</f>
        <v>0</v>
      </c>
      <c r="L282" s="111" t="str">
        <f t="shared" si="129"/>
        <v>-</v>
      </c>
      <c r="M282" s="110"/>
      <c r="N282" s="110"/>
      <c r="O282" s="110"/>
      <c r="P282" s="111" t="str">
        <f t="shared" si="130"/>
        <v>-</v>
      </c>
      <c r="Q282" s="10" t="str">
        <f t="shared" si="131"/>
        <v>-</v>
      </c>
      <c r="T282"/>
    </row>
    <row r="283" spans="1:20" s="104" customFormat="1" ht="20.149999999999999" customHeight="1">
      <c r="A283" s="120"/>
      <c r="B283" s="98">
        <v>7514</v>
      </c>
      <c r="C283" s="99"/>
      <c r="D283" s="100" t="s">
        <v>220</v>
      </c>
      <c r="E283" s="101">
        <f t="shared" ref="E283:O283" si="138">SUM(E284:E285)</f>
        <v>0</v>
      </c>
      <c r="F283" s="102">
        <f t="shared" si="138"/>
        <v>0</v>
      </c>
      <c r="G283" s="102">
        <f t="shared" si="138"/>
        <v>0</v>
      </c>
      <c r="H283" s="101">
        <f t="shared" si="138"/>
        <v>0</v>
      </c>
      <c r="I283" s="102">
        <f t="shared" si="138"/>
        <v>0</v>
      </c>
      <c r="J283" s="102">
        <f t="shared" si="138"/>
        <v>0</v>
      </c>
      <c r="K283" s="101">
        <f t="shared" si="138"/>
        <v>0</v>
      </c>
      <c r="L283" s="103" t="str">
        <f t="shared" si="129"/>
        <v>-</v>
      </c>
      <c r="M283" s="102">
        <f t="shared" si="138"/>
        <v>0</v>
      </c>
      <c r="N283" s="102">
        <f t="shared" si="138"/>
        <v>0</v>
      </c>
      <c r="O283" s="101">
        <f t="shared" si="138"/>
        <v>0</v>
      </c>
      <c r="P283" s="103" t="str">
        <f t="shared" si="130"/>
        <v>-</v>
      </c>
      <c r="Q283" s="104" t="str">
        <f t="shared" si="131"/>
        <v>-</v>
      </c>
      <c r="T283" s="105"/>
    </row>
    <row r="284" spans="1:20" ht="20.149999999999999" customHeight="1">
      <c r="A284" s="116"/>
      <c r="B284" s="117"/>
      <c r="C284" s="119">
        <v>75141</v>
      </c>
      <c r="D284" s="133" t="s">
        <v>221</v>
      </c>
      <c r="E284" s="110"/>
      <c r="F284" s="110"/>
      <c r="G284" s="110"/>
      <c r="H284" s="110"/>
      <c r="I284" s="110"/>
      <c r="J284" s="110"/>
      <c r="K284" s="110">
        <f t="shared" ref="K284:K285" si="139">SUM(I284:J284)</f>
        <v>0</v>
      </c>
      <c r="L284" s="111" t="str">
        <f t="shared" si="129"/>
        <v>-</v>
      </c>
      <c r="M284" s="110"/>
      <c r="N284" s="110"/>
      <c r="O284" s="110"/>
      <c r="P284" s="111" t="str">
        <f t="shared" si="130"/>
        <v>-</v>
      </c>
      <c r="Q284" s="10" t="str">
        <f t="shared" si="131"/>
        <v>-</v>
      </c>
      <c r="T284"/>
    </row>
    <row r="285" spans="1:20" ht="20.149999999999999" customHeight="1">
      <c r="A285" s="116"/>
      <c r="B285" s="117"/>
      <c r="C285" s="119">
        <v>75142</v>
      </c>
      <c r="D285" s="133" t="s">
        <v>222</v>
      </c>
      <c r="E285" s="110"/>
      <c r="F285" s="110"/>
      <c r="G285" s="110"/>
      <c r="H285" s="110"/>
      <c r="I285" s="110"/>
      <c r="J285" s="110"/>
      <c r="K285" s="110">
        <f t="shared" si="139"/>
        <v>0</v>
      </c>
      <c r="L285" s="111" t="str">
        <f t="shared" si="129"/>
        <v>-</v>
      </c>
      <c r="M285" s="110"/>
      <c r="N285" s="110"/>
      <c r="O285" s="110"/>
      <c r="P285" s="111" t="str">
        <f t="shared" si="130"/>
        <v>-</v>
      </c>
      <c r="Q285" s="10" t="str">
        <f t="shared" si="131"/>
        <v>-</v>
      </c>
      <c r="T285"/>
    </row>
    <row r="286" spans="1:20" s="104" customFormat="1" ht="20.149999999999999" customHeight="1">
      <c r="A286" s="120"/>
      <c r="B286" s="98">
        <v>7517</v>
      </c>
      <c r="C286" s="99"/>
      <c r="D286" s="100" t="s">
        <v>223</v>
      </c>
      <c r="E286" s="101">
        <f t="shared" ref="E286:O286" si="140">E287</f>
        <v>0</v>
      </c>
      <c r="F286" s="102">
        <f t="shared" si="140"/>
        <v>0</v>
      </c>
      <c r="G286" s="102">
        <f t="shared" si="140"/>
        <v>0</v>
      </c>
      <c r="H286" s="101">
        <f t="shared" si="140"/>
        <v>0</v>
      </c>
      <c r="I286" s="102">
        <f t="shared" si="140"/>
        <v>0</v>
      </c>
      <c r="J286" s="102">
        <f t="shared" si="140"/>
        <v>0</v>
      </c>
      <c r="K286" s="101">
        <f t="shared" si="140"/>
        <v>0</v>
      </c>
      <c r="L286" s="103" t="str">
        <f t="shared" si="129"/>
        <v>-</v>
      </c>
      <c r="M286" s="102">
        <f t="shared" si="140"/>
        <v>0</v>
      </c>
      <c r="N286" s="102">
        <f t="shared" si="140"/>
        <v>0</v>
      </c>
      <c r="O286" s="101">
        <f t="shared" si="140"/>
        <v>0</v>
      </c>
      <c r="P286" s="103" t="str">
        <f t="shared" si="130"/>
        <v>-</v>
      </c>
      <c r="Q286" s="104" t="str">
        <f t="shared" si="131"/>
        <v>-</v>
      </c>
      <c r="T286" s="105"/>
    </row>
    <row r="287" spans="1:20" ht="20.149999999999999" customHeight="1">
      <c r="A287" s="116"/>
      <c r="B287" s="117"/>
      <c r="C287" s="119">
        <v>75171</v>
      </c>
      <c r="D287" s="136" t="s">
        <v>224</v>
      </c>
      <c r="E287" s="110"/>
      <c r="F287" s="110"/>
      <c r="G287" s="110"/>
      <c r="H287" s="110"/>
      <c r="I287" s="110"/>
      <c r="J287" s="110"/>
      <c r="K287" s="110">
        <f>SUM(I287:J287)</f>
        <v>0</v>
      </c>
      <c r="L287" s="111" t="str">
        <f t="shared" si="129"/>
        <v>-</v>
      </c>
      <c r="M287" s="110"/>
      <c r="N287" s="110"/>
      <c r="O287" s="110"/>
      <c r="P287" s="111" t="str">
        <f t="shared" si="130"/>
        <v>-</v>
      </c>
      <c r="Q287" s="10" t="str">
        <f t="shared" si="131"/>
        <v>-</v>
      </c>
      <c r="T287"/>
    </row>
    <row r="288" spans="1:20" s="104" customFormat="1" ht="20.149999999999999" customHeight="1">
      <c r="A288" s="120"/>
      <c r="B288" s="98">
        <v>7518</v>
      </c>
      <c r="C288" s="99"/>
      <c r="D288" s="100" t="s">
        <v>225</v>
      </c>
      <c r="E288" s="101">
        <f t="shared" ref="E288:O288" si="141">E289</f>
        <v>0</v>
      </c>
      <c r="F288" s="102">
        <f t="shared" si="141"/>
        <v>0</v>
      </c>
      <c r="G288" s="102">
        <f t="shared" si="141"/>
        <v>0</v>
      </c>
      <c r="H288" s="101">
        <f t="shared" si="141"/>
        <v>0</v>
      </c>
      <c r="I288" s="102">
        <f t="shared" si="141"/>
        <v>0</v>
      </c>
      <c r="J288" s="102">
        <f t="shared" si="141"/>
        <v>0</v>
      </c>
      <c r="K288" s="101">
        <f t="shared" si="141"/>
        <v>0</v>
      </c>
      <c r="L288" s="103" t="str">
        <f t="shared" si="129"/>
        <v>-</v>
      </c>
      <c r="M288" s="102">
        <f t="shared" si="141"/>
        <v>0</v>
      </c>
      <c r="N288" s="102">
        <f t="shared" si="141"/>
        <v>0</v>
      </c>
      <c r="O288" s="101">
        <f t="shared" si="141"/>
        <v>0</v>
      </c>
      <c r="P288" s="103" t="str">
        <f t="shared" si="130"/>
        <v>-</v>
      </c>
      <c r="Q288" s="104" t="str">
        <f t="shared" si="131"/>
        <v>-</v>
      </c>
      <c r="T288" s="105"/>
    </row>
    <row r="289" spans="1:20" s="137" customFormat="1" ht="20.149999999999999" customHeight="1">
      <c r="A289" s="116"/>
      <c r="B289" s="117"/>
      <c r="C289" s="119">
        <v>75181</v>
      </c>
      <c r="D289" s="133" t="s">
        <v>225</v>
      </c>
      <c r="E289" s="110"/>
      <c r="F289" s="110"/>
      <c r="G289" s="110"/>
      <c r="H289" s="110"/>
      <c r="I289" s="110"/>
      <c r="J289" s="110"/>
      <c r="K289" s="110">
        <f>SUM(I289:J289)</f>
        <v>0</v>
      </c>
      <c r="L289" s="111" t="str">
        <f t="shared" si="129"/>
        <v>-</v>
      </c>
      <c r="M289" s="110"/>
      <c r="N289" s="110"/>
      <c r="O289" s="110"/>
      <c r="P289" s="111" t="str">
        <f t="shared" si="130"/>
        <v>-</v>
      </c>
      <c r="Q289" s="137" t="str">
        <f t="shared" si="131"/>
        <v>-</v>
      </c>
      <c r="T289"/>
    </row>
    <row r="290" spans="1:20" s="95" customFormat="1" ht="20.149999999999999" customHeight="1">
      <c r="A290" s="122">
        <v>50</v>
      </c>
      <c r="B290" s="123"/>
      <c r="C290" s="124"/>
      <c r="D290" s="91" t="s">
        <v>275</v>
      </c>
      <c r="E290" s="125">
        <f t="shared" ref="E290:O290" si="142">E291+E295+E298</f>
        <v>0</v>
      </c>
      <c r="F290" s="125">
        <f t="shared" si="142"/>
        <v>0</v>
      </c>
      <c r="G290" s="125">
        <f t="shared" si="142"/>
        <v>0</v>
      </c>
      <c r="H290" s="125">
        <f t="shared" si="142"/>
        <v>0</v>
      </c>
      <c r="I290" s="125">
        <f t="shared" si="142"/>
        <v>0</v>
      </c>
      <c r="J290" s="125">
        <f t="shared" si="142"/>
        <v>0</v>
      </c>
      <c r="K290" s="125">
        <f t="shared" si="142"/>
        <v>0</v>
      </c>
      <c r="L290" s="126" t="str">
        <f t="shared" si="129"/>
        <v>-</v>
      </c>
      <c r="M290" s="125">
        <f t="shared" si="142"/>
        <v>0</v>
      </c>
      <c r="N290" s="125">
        <f t="shared" si="142"/>
        <v>0</v>
      </c>
      <c r="O290" s="125">
        <f t="shared" si="142"/>
        <v>0</v>
      </c>
      <c r="P290" s="126" t="str">
        <f t="shared" si="130"/>
        <v>-</v>
      </c>
      <c r="Q290" s="95" t="str">
        <f t="shared" si="131"/>
        <v>-</v>
      </c>
      <c r="T290" s="96"/>
    </row>
    <row r="291" spans="1:20" s="104" customFormat="1" ht="20.149999999999999" customHeight="1">
      <c r="A291" s="120"/>
      <c r="B291" s="98">
        <v>5001</v>
      </c>
      <c r="C291" s="99"/>
      <c r="D291" s="100" t="s">
        <v>276</v>
      </c>
      <c r="E291" s="101">
        <f t="shared" ref="E291" si="143">SUM(E292:E294)</f>
        <v>0</v>
      </c>
      <c r="F291" s="102">
        <f t="shared" ref="F291:O291" si="144">SUM(F292:F294)</f>
        <v>0</v>
      </c>
      <c r="G291" s="102">
        <f t="shared" si="144"/>
        <v>0</v>
      </c>
      <c r="H291" s="101">
        <f t="shared" si="144"/>
        <v>0</v>
      </c>
      <c r="I291" s="102">
        <f t="shared" si="144"/>
        <v>0</v>
      </c>
      <c r="J291" s="102">
        <f t="shared" si="144"/>
        <v>0</v>
      </c>
      <c r="K291" s="101">
        <f t="shared" si="144"/>
        <v>0</v>
      </c>
      <c r="L291" s="103" t="str">
        <f t="shared" si="129"/>
        <v>-</v>
      </c>
      <c r="M291" s="102">
        <f t="shared" si="144"/>
        <v>0</v>
      </c>
      <c r="N291" s="102">
        <f t="shared" si="144"/>
        <v>0</v>
      </c>
      <c r="O291" s="101">
        <f t="shared" si="144"/>
        <v>0</v>
      </c>
      <c r="P291" s="103" t="str">
        <f t="shared" si="130"/>
        <v>-</v>
      </c>
      <c r="Q291" s="104" t="str">
        <f t="shared" si="131"/>
        <v>-</v>
      </c>
      <c r="T291" s="105"/>
    </row>
    <row r="292" spans="1:20" ht="20.149999999999999" customHeight="1">
      <c r="A292" s="116"/>
      <c r="B292" s="117"/>
      <c r="C292" s="119">
        <v>50011</v>
      </c>
      <c r="D292" s="113" t="s">
        <v>277</v>
      </c>
      <c r="E292" s="110"/>
      <c r="F292" s="110"/>
      <c r="G292" s="110"/>
      <c r="H292" s="110"/>
      <c r="I292" s="110"/>
      <c r="J292" s="110"/>
      <c r="K292" s="110">
        <f t="shared" ref="K292:K294" si="145">SUM(I292:J292)</f>
        <v>0</v>
      </c>
      <c r="L292" s="111" t="str">
        <f t="shared" si="129"/>
        <v>-</v>
      </c>
      <c r="M292" s="110"/>
      <c r="N292" s="110"/>
      <c r="O292" s="110"/>
      <c r="P292" s="111" t="str">
        <f t="shared" si="130"/>
        <v>-</v>
      </c>
      <c r="Q292" s="10" t="str">
        <f t="shared" si="131"/>
        <v>-</v>
      </c>
      <c r="T292"/>
    </row>
    <row r="293" spans="1:20" ht="20.149999999999999" customHeight="1">
      <c r="A293" s="116"/>
      <c r="B293" s="117"/>
      <c r="C293" s="119">
        <v>50012</v>
      </c>
      <c r="D293" s="113" t="s">
        <v>278</v>
      </c>
      <c r="E293" s="110"/>
      <c r="F293" s="110"/>
      <c r="G293" s="110"/>
      <c r="H293" s="110"/>
      <c r="I293" s="110"/>
      <c r="J293" s="110"/>
      <c r="K293" s="110">
        <f t="shared" si="145"/>
        <v>0</v>
      </c>
      <c r="L293" s="111" t="str">
        <f t="shared" si="129"/>
        <v>-</v>
      </c>
      <c r="M293" s="110"/>
      <c r="N293" s="110"/>
      <c r="O293" s="110"/>
      <c r="P293" s="111" t="str">
        <f t="shared" si="130"/>
        <v>-</v>
      </c>
      <c r="Q293" s="10" t="str">
        <f t="shared" si="131"/>
        <v>-</v>
      </c>
      <c r="T293"/>
    </row>
    <row r="294" spans="1:20" ht="20.149999999999999" customHeight="1">
      <c r="A294" s="116"/>
      <c r="B294" s="117"/>
      <c r="C294" s="119">
        <v>50018</v>
      </c>
      <c r="D294" s="113" t="s">
        <v>50</v>
      </c>
      <c r="E294" s="110"/>
      <c r="F294" s="110"/>
      <c r="G294" s="110"/>
      <c r="H294" s="110"/>
      <c r="I294" s="110"/>
      <c r="J294" s="110"/>
      <c r="K294" s="110">
        <f t="shared" si="145"/>
        <v>0</v>
      </c>
      <c r="L294" s="111" t="str">
        <f t="shared" si="129"/>
        <v>-</v>
      </c>
      <c r="M294" s="110"/>
      <c r="N294" s="110"/>
      <c r="O294" s="110"/>
      <c r="P294" s="111" t="str">
        <f t="shared" si="130"/>
        <v>-</v>
      </c>
      <c r="Q294" s="10" t="str">
        <f t="shared" si="131"/>
        <v>-</v>
      </c>
      <c r="T294"/>
    </row>
    <row r="295" spans="1:20" s="104" customFormat="1" ht="20.149999999999999" customHeight="1">
      <c r="A295" s="120"/>
      <c r="B295" s="98">
        <v>5002</v>
      </c>
      <c r="C295" s="99"/>
      <c r="D295" s="100" t="s">
        <v>279</v>
      </c>
      <c r="E295" s="101">
        <f t="shared" ref="E295:O295" si="146">SUM(E296:E297)</f>
        <v>0</v>
      </c>
      <c r="F295" s="102">
        <f t="shared" si="146"/>
        <v>0</v>
      </c>
      <c r="G295" s="102">
        <f t="shared" si="146"/>
        <v>0</v>
      </c>
      <c r="H295" s="101">
        <f t="shared" si="146"/>
        <v>0</v>
      </c>
      <c r="I295" s="102">
        <f t="shared" si="146"/>
        <v>0</v>
      </c>
      <c r="J295" s="102">
        <f t="shared" si="146"/>
        <v>0</v>
      </c>
      <c r="K295" s="101">
        <f t="shared" si="146"/>
        <v>0</v>
      </c>
      <c r="L295" s="103" t="str">
        <f t="shared" si="129"/>
        <v>-</v>
      </c>
      <c r="M295" s="102">
        <f t="shared" si="146"/>
        <v>0</v>
      </c>
      <c r="N295" s="102">
        <f t="shared" si="146"/>
        <v>0</v>
      </c>
      <c r="O295" s="101">
        <f t="shared" si="146"/>
        <v>0</v>
      </c>
      <c r="P295" s="103" t="str">
        <f t="shared" si="130"/>
        <v>-</v>
      </c>
      <c r="Q295" s="104" t="str">
        <f t="shared" si="131"/>
        <v>-</v>
      </c>
      <c r="T295" s="105"/>
    </row>
    <row r="296" spans="1:20" ht="20.149999999999999" customHeight="1">
      <c r="A296" s="116"/>
      <c r="B296" s="117"/>
      <c r="C296" s="119">
        <v>50021</v>
      </c>
      <c r="D296" s="113" t="s">
        <v>280</v>
      </c>
      <c r="E296" s="110"/>
      <c r="F296" s="110"/>
      <c r="G296" s="110"/>
      <c r="H296" s="110"/>
      <c r="I296" s="110"/>
      <c r="J296" s="110"/>
      <c r="K296" s="110">
        <f t="shared" ref="K296:K297" si="147">SUM(I296:J296)</f>
        <v>0</v>
      </c>
      <c r="L296" s="111" t="str">
        <f t="shared" si="129"/>
        <v>-</v>
      </c>
      <c r="M296" s="110"/>
      <c r="N296" s="110"/>
      <c r="O296" s="110"/>
      <c r="P296" s="111" t="str">
        <f t="shared" si="130"/>
        <v>-</v>
      </c>
      <c r="Q296" s="10" t="str">
        <f t="shared" si="131"/>
        <v>-</v>
      </c>
      <c r="T296"/>
    </row>
    <row r="297" spans="1:20" ht="20.149999999999999" customHeight="1">
      <c r="A297" s="116"/>
      <c r="B297" s="117"/>
      <c r="C297" s="119">
        <v>50022</v>
      </c>
      <c r="D297" s="113" t="s">
        <v>281</v>
      </c>
      <c r="E297" s="110"/>
      <c r="F297" s="110"/>
      <c r="G297" s="110"/>
      <c r="H297" s="110"/>
      <c r="I297" s="110"/>
      <c r="J297" s="110"/>
      <c r="K297" s="110">
        <f t="shared" si="147"/>
        <v>0</v>
      </c>
      <c r="L297" s="111" t="str">
        <f t="shared" si="129"/>
        <v>-</v>
      </c>
      <c r="M297" s="110"/>
      <c r="N297" s="110"/>
      <c r="O297" s="110"/>
      <c r="P297" s="111" t="str">
        <f t="shared" si="130"/>
        <v>-</v>
      </c>
      <c r="Q297" s="10" t="str">
        <f t="shared" si="131"/>
        <v>-</v>
      </c>
      <c r="T297"/>
    </row>
    <row r="298" spans="1:20" s="104" customFormat="1" ht="20.149999999999999" customHeight="1">
      <c r="A298" s="120"/>
      <c r="B298" s="98">
        <v>5004</v>
      </c>
      <c r="C298" s="99"/>
      <c r="D298" s="100" t="s">
        <v>282</v>
      </c>
      <c r="E298" s="101">
        <f t="shared" ref="E298:O298" si="148">SUM(E299:E300)</f>
        <v>0</v>
      </c>
      <c r="F298" s="102">
        <f t="shared" si="148"/>
        <v>0</v>
      </c>
      <c r="G298" s="102">
        <f t="shared" si="148"/>
        <v>0</v>
      </c>
      <c r="H298" s="101">
        <f t="shared" si="148"/>
        <v>0</v>
      </c>
      <c r="I298" s="102">
        <f t="shared" si="148"/>
        <v>0</v>
      </c>
      <c r="J298" s="102">
        <f t="shared" si="148"/>
        <v>0</v>
      </c>
      <c r="K298" s="101">
        <f t="shared" si="148"/>
        <v>0</v>
      </c>
      <c r="L298" s="103" t="str">
        <f t="shared" si="129"/>
        <v>-</v>
      </c>
      <c r="M298" s="102">
        <f t="shared" si="148"/>
        <v>0</v>
      </c>
      <c r="N298" s="102">
        <f t="shared" si="148"/>
        <v>0</v>
      </c>
      <c r="O298" s="101">
        <f t="shared" si="148"/>
        <v>0</v>
      </c>
      <c r="P298" s="103" t="str">
        <f t="shared" si="130"/>
        <v>-</v>
      </c>
      <c r="Q298" s="104" t="str">
        <f t="shared" si="131"/>
        <v>-</v>
      </c>
      <c r="T298" s="105"/>
    </row>
    <row r="299" spans="1:20" ht="20.149999999999999" customHeight="1">
      <c r="A299" s="116"/>
      <c r="B299" s="117"/>
      <c r="C299" s="119">
        <v>50041</v>
      </c>
      <c r="D299" s="113" t="s">
        <v>283</v>
      </c>
      <c r="E299" s="110"/>
      <c r="F299" s="110"/>
      <c r="G299" s="110"/>
      <c r="H299" s="110"/>
      <c r="I299" s="110"/>
      <c r="J299" s="110"/>
      <c r="K299" s="110">
        <f t="shared" ref="K299:K300" si="149">SUM(I299:J299)</f>
        <v>0</v>
      </c>
      <c r="L299" s="111" t="str">
        <f t="shared" si="129"/>
        <v>-</v>
      </c>
      <c r="M299" s="110"/>
      <c r="N299" s="110"/>
      <c r="O299" s="110"/>
      <c r="P299" s="111" t="str">
        <f t="shared" si="130"/>
        <v>-</v>
      </c>
      <c r="Q299" s="10" t="str">
        <f t="shared" si="131"/>
        <v>-</v>
      </c>
      <c r="T299"/>
    </row>
    <row r="300" spans="1:20" ht="20.149999999999999" customHeight="1">
      <c r="A300" s="116"/>
      <c r="B300" s="117"/>
      <c r="C300" s="119">
        <v>50042</v>
      </c>
      <c r="D300" s="113" t="s">
        <v>284</v>
      </c>
      <c r="E300" s="110"/>
      <c r="F300" s="110"/>
      <c r="G300" s="110"/>
      <c r="H300" s="110"/>
      <c r="I300" s="110"/>
      <c r="J300" s="110"/>
      <c r="K300" s="110">
        <f t="shared" si="149"/>
        <v>0</v>
      </c>
      <c r="L300" s="111" t="str">
        <f t="shared" si="129"/>
        <v>-</v>
      </c>
      <c r="M300" s="110"/>
      <c r="N300" s="110"/>
      <c r="O300" s="110"/>
      <c r="P300" s="111" t="str">
        <f t="shared" si="130"/>
        <v>-</v>
      </c>
      <c r="Q300" s="10" t="str">
        <f t="shared" si="131"/>
        <v>-</v>
      </c>
      <c r="T300"/>
    </row>
    <row r="301" spans="1:20" s="77" customFormat="1" ht="20.149999999999999" customHeight="1">
      <c r="A301" s="139" t="s">
        <v>285</v>
      </c>
      <c r="B301" s="168"/>
      <c r="C301" s="169"/>
      <c r="D301" s="170"/>
      <c r="E301" s="143">
        <f t="shared" ref="E301:O301" si="150">E302</f>
        <v>0</v>
      </c>
      <c r="F301" s="143">
        <f t="shared" si="150"/>
        <v>0</v>
      </c>
      <c r="G301" s="143">
        <f t="shared" si="150"/>
        <v>0</v>
      </c>
      <c r="H301" s="143">
        <f t="shared" si="150"/>
        <v>0</v>
      </c>
      <c r="I301" s="143">
        <f t="shared" si="150"/>
        <v>0</v>
      </c>
      <c r="J301" s="143">
        <f t="shared" si="150"/>
        <v>0</v>
      </c>
      <c r="K301" s="143">
        <f t="shared" si="150"/>
        <v>0</v>
      </c>
      <c r="L301" s="144" t="str">
        <f t="shared" si="129"/>
        <v>-</v>
      </c>
      <c r="M301" s="143">
        <f t="shared" si="150"/>
        <v>0</v>
      </c>
      <c r="N301" s="143">
        <f t="shared" si="150"/>
        <v>0</v>
      </c>
      <c r="O301" s="143">
        <f t="shared" si="150"/>
        <v>0</v>
      </c>
      <c r="P301" s="144" t="str">
        <f t="shared" si="130"/>
        <v>-</v>
      </c>
      <c r="Q301" s="77" t="str">
        <f t="shared" si="131"/>
        <v>-</v>
      </c>
      <c r="T301" s="78"/>
    </row>
    <row r="302" spans="1:20" s="86" customFormat="1" ht="20.149999999999999" customHeight="1">
      <c r="A302" s="79" t="s">
        <v>286</v>
      </c>
      <c r="B302" s="80"/>
      <c r="C302" s="81"/>
      <c r="D302" s="82"/>
      <c r="E302" s="83"/>
      <c r="F302" s="84"/>
      <c r="G302" s="84"/>
      <c r="H302" s="83"/>
      <c r="I302" s="84"/>
      <c r="J302" s="84"/>
      <c r="K302" s="83"/>
      <c r="L302" s="85" t="str">
        <f t="shared" si="129"/>
        <v>-</v>
      </c>
      <c r="M302" s="84"/>
      <c r="N302" s="84"/>
      <c r="O302" s="83"/>
      <c r="P302" s="85" t="str">
        <f t="shared" si="130"/>
        <v>-</v>
      </c>
      <c r="Q302" s="86" t="str">
        <f t="shared" si="131"/>
        <v>-</v>
      </c>
      <c r="T302" s="87"/>
    </row>
    <row r="303" spans="1:20" s="157" customFormat="1" ht="20.149999999999999" customHeight="1">
      <c r="A303" s="171" t="s">
        <v>287</v>
      </c>
      <c r="B303" s="172"/>
      <c r="C303" s="172"/>
      <c r="D303" s="173"/>
      <c r="E303" s="155">
        <f t="shared" ref="E303:O303" si="151">E304</f>
        <v>0</v>
      </c>
      <c r="F303" s="155">
        <f t="shared" si="151"/>
        <v>0</v>
      </c>
      <c r="G303" s="155">
        <f t="shared" si="151"/>
        <v>0</v>
      </c>
      <c r="H303" s="155">
        <f t="shared" si="151"/>
        <v>0</v>
      </c>
      <c r="I303" s="155">
        <f t="shared" si="151"/>
        <v>0</v>
      </c>
      <c r="J303" s="155">
        <f t="shared" si="151"/>
        <v>0</v>
      </c>
      <c r="K303" s="155">
        <f t="shared" si="151"/>
        <v>0</v>
      </c>
      <c r="L303" s="156" t="str">
        <f t="shared" si="129"/>
        <v>-</v>
      </c>
      <c r="M303" s="155">
        <f t="shared" si="151"/>
        <v>0</v>
      </c>
      <c r="N303" s="155">
        <f t="shared" si="151"/>
        <v>0</v>
      </c>
      <c r="O303" s="155">
        <f t="shared" si="151"/>
        <v>0</v>
      </c>
      <c r="P303" s="156" t="str">
        <f t="shared" si="130"/>
        <v>-</v>
      </c>
      <c r="Q303" s="157" t="str">
        <f t="shared" si="131"/>
        <v>-</v>
      </c>
      <c r="T303" s="158"/>
    </row>
    <row r="304" spans="1:20" s="86" customFormat="1" ht="20.149999999999999" customHeight="1">
      <c r="A304" s="79" t="s">
        <v>288</v>
      </c>
      <c r="B304" s="80"/>
      <c r="C304" s="81"/>
      <c r="D304" s="82"/>
      <c r="E304" s="83">
        <f t="shared" ref="E304:O304" si="152">E305+E318</f>
        <v>0</v>
      </c>
      <c r="F304" s="84">
        <f t="shared" si="152"/>
        <v>0</v>
      </c>
      <c r="G304" s="84">
        <f t="shared" si="152"/>
        <v>0</v>
      </c>
      <c r="H304" s="83">
        <f t="shared" si="152"/>
        <v>0</v>
      </c>
      <c r="I304" s="84">
        <f t="shared" si="152"/>
        <v>0</v>
      </c>
      <c r="J304" s="84">
        <f t="shared" si="152"/>
        <v>0</v>
      </c>
      <c r="K304" s="83">
        <f t="shared" si="152"/>
        <v>0</v>
      </c>
      <c r="L304" s="85" t="str">
        <f t="shared" si="129"/>
        <v>-</v>
      </c>
      <c r="M304" s="84">
        <f t="shared" si="152"/>
        <v>0</v>
      </c>
      <c r="N304" s="84">
        <f t="shared" si="152"/>
        <v>0</v>
      </c>
      <c r="O304" s="83">
        <f t="shared" si="152"/>
        <v>0</v>
      </c>
      <c r="P304" s="85" t="str">
        <f t="shared" si="130"/>
        <v>-</v>
      </c>
      <c r="Q304" s="86" t="str">
        <f t="shared" si="131"/>
        <v>-</v>
      </c>
      <c r="T304" s="87"/>
    </row>
    <row r="305" spans="1:20" s="95" customFormat="1" ht="20.149999999999999" customHeight="1">
      <c r="A305" s="122">
        <v>75</v>
      </c>
      <c r="B305" s="123"/>
      <c r="C305" s="124"/>
      <c r="D305" s="91" t="s">
        <v>179</v>
      </c>
      <c r="E305" s="125">
        <f t="shared" ref="E305:O305" si="153">E306+E309+E311+E314+E316</f>
        <v>0</v>
      </c>
      <c r="F305" s="125">
        <f t="shared" si="153"/>
        <v>0</v>
      </c>
      <c r="G305" s="125">
        <f t="shared" si="153"/>
        <v>0</v>
      </c>
      <c r="H305" s="125">
        <f t="shared" si="153"/>
        <v>0</v>
      </c>
      <c r="I305" s="125">
        <f t="shared" si="153"/>
        <v>0</v>
      </c>
      <c r="J305" s="125">
        <f t="shared" si="153"/>
        <v>0</v>
      </c>
      <c r="K305" s="125">
        <f t="shared" si="153"/>
        <v>0</v>
      </c>
      <c r="L305" s="126" t="str">
        <f t="shared" si="129"/>
        <v>-</v>
      </c>
      <c r="M305" s="125">
        <f t="shared" si="153"/>
        <v>0</v>
      </c>
      <c r="N305" s="125">
        <f t="shared" si="153"/>
        <v>0</v>
      </c>
      <c r="O305" s="125">
        <f t="shared" si="153"/>
        <v>0</v>
      </c>
      <c r="P305" s="126" t="str">
        <f t="shared" si="130"/>
        <v>-</v>
      </c>
      <c r="Q305" s="95" t="str">
        <f t="shared" si="131"/>
        <v>-</v>
      </c>
      <c r="T305" s="96"/>
    </row>
    <row r="306" spans="1:20" s="104" customFormat="1" ht="20.149999999999999" customHeight="1">
      <c r="A306" s="120"/>
      <c r="B306" s="98">
        <v>7504</v>
      </c>
      <c r="C306" s="99"/>
      <c r="D306" s="100" t="s">
        <v>191</v>
      </c>
      <c r="E306" s="101">
        <f t="shared" ref="E306" si="154">SUM(E307:E308)</f>
        <v>0</v>
      </c>
      <c r="F306" s="102">
        <f t="shared" ref="F306:O306" si="155">SUM(F307:F308)</f>
        <v>0</v>
      </c>
      <c r="G306" s="102">
        <f t="shared" si="155"/>
        <v>0</v>
      </c>
      <c r="H306" s="101">
        <f t="shared" si="155"/>
        <v>0</v>
      </c>
      <c r="I306" s="102">
        <f t="shared" si="155"/>
        <v>0</v>
      </c>
      <c r="J306" s="102">
        <f t="shared" si="155"/>
        <v>0</v>
      </c>
      <c r="K306" s="101">
        <f t="shared" si="155"/>
        <v>0</v>
      </c>
      <c r="L306" s="103" t="str">
        <f t="shared" si="129"/>
        <v>-</v>
      </c>
      <c r="M306" s="102">
        <f t="shared" si="155"/>
        <v>0</v>
      </c>
      <c r="N306" s="102">
        <f t="shared" si="155"/>
        <v>0</v>
      </c>
      <c r="O306" s="101">
        <f t="shared" si="155"/>
        <v>0</v>
      </c>
      <c r="P306" s="103" t="str">
        <f t="shared" si="130"/>
        <v>-</v>
      </c>
      <c r="Q306" s="104" t="str">
        <f t="shared" si="131"/>
        <v>-</v>
      </c>
      <c r="T306" s="105"/>
    </row>
    <row r="307" spans="1:20" ht="20.149999999999999" customHeight="1">
      <c r="A307" s="116"/>
      <c r="B307" s="117"/>
      <c r="C307" s="119">
        <v>75041</v>
      </c>
      <c r="D307" s="133" t="s">
        <v>192</v>
      </c>
      <c r="E307" s="110"/>
      <c r="F307" s="110"/>
      <c r="G307" s="110"/>
      <c r="H307" s="110"/>
      <c r="I307" s="110"/>
      <c r="J307" s="110"/>
      <c r="K307" s="110">
        <f t="shared" ref="K307:K308" si="156">SUM(I307:J307)</f>
        <v>0</v>
      </c>
      <c r="L307" s="111" t="str">
        <f t="shared" si="129"/>
        <v>-</v>
      </c>
      <c r="M307" s="110"/>
      <c r="N307" s="110"/>
      <c r="O307" s="110"/>
      <c r="P307" s="111" t="str">
        <f t="shared" si="130"/>
        <v>-</v>
      </c>
      <c r="Q307" s="10" t="str">
        <f t="shared" si="131"/>
        <v>-</v>
      </c>
      <c r="T307"/>
    </row>
    <row r="308" spans="1:20" ht="20.149999999999999" customHeight="1">
      <c r="A308" s="116"/>
      <c r="B308" s="117"/>
      <c r="C308" s="119">
        <v>75042</v>
      </c>
      <c r="D308" s="133" t="s">
        <v>193</v>
      </c>
      <c r="E308" s="110"/>
      <c r="F308" s="110"/>
      <c r="G308" s="110"/>
      <c r="H308" s="110"/>
      <c r="I308" s="110"/>
      <c r="J308" s="110"/>
      <c r="K308" s="110">
        <f t="shared" si="156"/>
        <v>0</v>
      </c>
      <c r="L308" s="111" t="str">
        <f t="shared" si="129"/>
        <v>-</v>
      </c>
      <c r="M308" s="110"/>
      <c r="N308" s="110"/>
      <c r="O308" s="110"/>
      <c r="P308" s="111" t="str">
        <f t="shared" si="130"/>
        <v>-</v>
      </c>
      <c r="Q308" s="10" t="str">
        <f t="shared" si="131"/>
        <v>-</v>
      </c>
      <c r="T308"/>
    </row>
    <row r="309" spans="1:20" s="104" customFormat="1" ht="20.149999999999999" customHeight="1">
      <c r="A309" s="120"/>
      <c r="B309" s="98">
        <v>7507</v>
      </c>
      <c r="C309" s="99"/>
      <c r="D309" s="100" t="s">
        <v>199</v>
      </c>
      <c r="E309" s="101">
        <f t="shared" ref="E309:O309" si="157">E310</f>
        <v>0</v>
      </c>
      <c r="F309" s="102">
        <f t="shared" si="157"/>
        <v>0</v>
      </c>
      <c r="G309" s="102">
        <f t="shared" si="157"/>
        <v>0</v>
      </c>
      <c r="H309" s="101">
        <f t="shared" si="157"/>
        <v>0</v>
      </c>
      <c r="I309" s="102">
        <f t="shared" si="157"/>
        <v>0</v>
      </c>
      <c r="J309" s="102">
        <f t="shared" si="157"/>
        <v>0</v>
      </c>
      <c r="K309" s="101">
        <f t="shared" si="157"/>
        <v>0</v>
      </c>
      <c r="L309" s="103" t="str">
        <f t="shared" si="129"/>
        <v>-</v>
      </c>
      <c r="M309" s="102">
        <f t="shared" si="157"/>
        <v>0</v>
      </c>
      <c r="N309" s="102">
        <f t="shared" si="157"/>
        <v>0</v>
      </c>
      <c r="O309" s="101">
        <f t="shared" si="157"/>
        <v>0</v>
      </c>
      <c r="P309" s="103" t="str">
        <f t="shared" si="130"/>
        <v>-</v>
      </c>
      <c r="Q309" s="104" t="str">
        <f t="shared" si="131"/>
        <v>-</v>
      </c>
      <c r="T309" s="105"/>
    </row>
    <row r="310" spans="1:20" ht="20.149999999999999" customHeight="1">
      <c r="A310" s="116"/>
      <c r="B310" s="117"/>
      <c r="C310" s="119">
        <v>75071</v>
      </c>
      <c r="D310" s="133" t="s">
        <v>200</v>
      </c>
      <c r="E310" s="110"/>
      <c r="F310" s="110"/>
      <c r="G310" s="110"/>
      <c r="H310" s="110"/>
      <c r="I310" s="110"/>
      <c r="J310" s="110"/>
      <c r="K310" s="110">
        <f>SUM(I310:J310)</f>
        <v>0</v>
      </c>
      <c r="L310" s="111" t="str">
        <f t="shared" si="129"/>
        <v>-</v>
      </c>
      <c r="M310" s="110"/>
      <c r="N310" s="110"/>
      <c r="O310" s="110"/>
      <c r="P310" s="111" t="str">
        <f t="shared" si="130"/>
        <v>-</v>
      </c>
      <c r="Q310" s="10" t="str">
        <f t="shared" si="131"/>
        <v>-</v>
      </c>
      <c r="T310"/>
    </row>
    <row r="311" spans="1:20" s="104" customFormat="1" ht="20.149999999999999" customHeight="1">
      <c r="A311" s="120"/>
      <c r="B311" s="98">
        <v>7514</v>
      </c>
      <c r="C311" s="99"/>
      <c r="D311" s="100" t="s">
        <v>220</v>
      </c>
      <c r="E311" s="101">
        <f t="shared" ref="E311:O311" si="158">SUM(E312:E313)</f>
        <v>0</v>
      </c>
      <c r="F311" s="102">
        <f t="shared" si="158"/>
        <v>0</v>
      </c>
      <c r="G311" s="102">
        <f t="shared" si="158"/>
        <v>0</v>
      </c>
      <c r="H311" s="101">
        <f t="shared" si="158"/>
        <v>0</v>
      </c>
      <c r="I311" s="102">
        <f t="shared" si="158"/>
        <v>0</v>
      </c>
      <c r="J311" s="102">
        <f t="shared" si="158"/>
        <v>0</v>
      </c>
      <c r="K311" s="101">
        <f t="shared" si="158"/>
        <v>0</v>
      </c>
      <c r="L311" s="103" t="str">
        <f t="shared" si="129"/>
        <v>-</v>
      </c>
      <c r="M311" s="102">
        <f t="shared" si="158"/>
        <v>0</v>
      </c>
      <c r="N311" s="102">
        <f t="shared" si="158"/>
        <v>0</v>
      </c>
      <c r="O311" s="101">
        <f t="shared" si="158"/>
        <v>0</v>
      </c>
      <c r="P311" s="103" t="str">
        <f t="shared" si="130"/>
        <v>-</v>
      </c>
      <c r="Q311" s="104" t="str">
        <f t="shared" si="131"/>
        <v>-</v>
      </c>
      <c r="T311" s="105"/>
    </row>
    <row r="312" spans="1:20" ht="20.149999999999999" customHeight="1">
      <c r="A312" s="116"/>
      <c r="B312" s="117"/>
      <c r="C312" s="119">
        <v>75141</v>
      </c>
      <c r="D312" s="133" t="s">
        <v>221</v>
      </c>
      <c r="E312" s="110"/>
      <c r="F312" s="110"/>
      <c r="G312" s="110"/>
      <c r="H312" s="110"/>
      <c r="I312" s="110"/>
      <c r="J312" s="110"/>
      <c r="K312" s="110">
        <f t="shared" ref="K312:K313" si="159">SUM(I312:J312)</f>
        <v>0</v>
      </c>
      <c r="L312" s="111" t="str">
        <f t="shared" si="129"/>
        <v>-</v>
      </c>
      <c r="M312" s="110"/>
      <c r="N312" s="110"/>
      <c r="O312" s="110"/>
      <c r="P312" s="111" t="str">
        <f t="shared" si="130"/>
        <v>-</v>
      </c>
      <c r="Q312" s="10" t="str">
        <f t="shared" si="131"/>
        <v>-</v>
      </c>
      <c r="T312"/>
    </row>
    <row r="313" spans="1:20" ht="20.149999999999999" customHeight="1">
      <c r="A313" s="116"/>
      <c r="B313" s="117"/>
      <c r="C313" s="119">
        <v>75142</v>
      </c>
      <c r="D313" s="133" t="s">
        <v>222</v>
      </c>
      <c r="E313" s="110"/>
      <c r="F313" s="110"/>
      <c r="G313" s="110"/>
      <c r="H313" s="110"/>
      <c r="I313" s="110"/>
      <c r="J313" s="110"/>
      <c r="K313" s="110">
        <f t="shared" si="159"/>
        <v>0</v>
      </c>
      <c r="L313" s="111" t="str">
        <f t="shared" si="129"/>
        <v>-</v>
      </c>
      <c r="M313" s="110"/>
      <c r="N313" s="110"/>
      <c r="O313" s="110"/>
      <c r="P313" s="111" t="str">
        <f t="shared" si="130"/>
        <v>-</v>
      </c>
      <c r="Q313" s="10" t="str">
        <f t="shared" si="131"/>
        <v>-</v>
      </c>
      <c r="T313"/>
    </row>
    <row r="314" spans="1:20" s="104" customFormat="1" ht="20.149999999999999" customHeight="1">
      <c r="A314" s="120"/>
      <c r="B314" s="98">
        <v>7517</v>
      </c>
      <c r="C314" s="99"/>
      <c r="D314" s="100" t="s">
        <v>223</v>
      </c>
      <c r="E314" s="101">
        <f t="shared" ref="E314:O314" si="160">E315</f>
        <v>0</v>
      </c>
      <c r="F314" s="102">
        <f t="shared" si="160"/>
        <v>0</v>
      </c>
      <c r="G314" s="102">
        <f t="shared" si="160"/>
        <v>0</v>
      </c>
      <c r="H314" s="101">
        <f t="shared" si="160"/>
        <v>0</v>
      </c>
      <c r="I314" s="102">
        <f t="shared" si="160"/>
        <v>0</v>
      </c>
      <c r="J314" s="102">
        <f t="shared" si="160"/>
        <v>0</v>
      </c>
      <c r="K314" s="101">
        <f t="shared" si="160"/>
        <v>0</v>
      </c>
      <c r="L314" s="103" t="str">
        <f t="shared" si="129"/>
        <v>-</v>
      </c>
      <c r="M314" s="102">
        <f t="shared" si="160"/>
        <v>0</v>
      </c>
      <c r="N314" s="102">
        <f t="shared" si="160"/>
        <v>0</v>
      </c>
      <c r="O314" s="101">
        <f t="shared" si="160"/>
        <v>0</v>
      </c>
      <c r="P314" s="103" t="str">
        <f t="shared" si="130"/>
        <v>-</v>
      </c>
      <c r="Q314" s="104" t="str">
        <f t="shared" si="131"/>
        <v>-</v>
      </c>
      <c r="T314" s="105"/>
    </row>
    <row r="315" spans="1:20" ht="20.149999999999999" customHeight="1">
      <c r="A315" s="116"/>
      <c r="B315" s="117"/>
      <c r="C315" s="119">
        <v>75171</v>
      </c>
      <c r="D315" s="136" t="s">
        <v>224</v>
      </c>
      <c r="E315" s="110"/>
      <c r="F315" s="110"/>
      <c r="G315" s="110"/>
      <c r="H315" s="110"/>
      <c r="I315" s="110"/>
      <c r="J315" s="110"/>
      <c r="K315" s="110">
        <f>SUM(I315:J315)</f>
        <v>0</v>
      </c>
      <c r="L315" s="111" t="str">
        <f t="shared" si="129"/>
        <v>-</v>
      </c>
      <c r="M315" s="110"/>
      <c r="N315" s="110"/>
      <c r="O315" s="110"/>
      <c r="P315" s="111" t="str">
        <f t="shared" si="130"/>
        <v>-</v>
      </c>
      <c r="Q315" s="10" t="str">
        <f t="shared" si="131"/>
        <v>-</v>
      </c>
      <c r="T315"/>
    </row>
    <row r="316" spans="1:20" s="104" customFormat="1" ht="20.149999999999999" customHeight="1">
      <c r="A316" s="120"/>
      <c r="B316" s="98">
        <v>7518</v>
      </c>
      <c r="C316" s="99"/>
      <c r="D316" s="100" t="s">
        <v>225</v>
      </c>
      <c r="E316" s="101">
        <f t="shared" ref="E316:O316" si="161">E317</f>
        <v>0</v>
      </c>
      <c r="F316" s="102">
        <f t="shared" si="161"/>
        <v>0</v>
      </c>
      <c r="G316" s="102">
        <f t="shared" si="161"/>
        <v>0</v>
      </c>
      <c r="H316" s="101">
        <f t="shared" si="161"/>
        <v>0</v>
      </c>
      <c r="I316" s="102">
        <f t="shared" si="161"/>
        <v>0</v>
      </c>
      <c r="J316" s="102">
        <f t="shared" si="161"/>
        <v>0</v>
      </c>
      <c r="K316" s="101">
        <f t="shared" si="161"/>
        <v>0</v>
      </c>
      <c r="L316" s="103" t="str">
        <f t="shared" si="129"/>
        <v>-</v>
      </c>
      <c r="M316" s="102">
        <f t="shared" si="161"/>
        <v>0</v>
      </c>
      <c r="N316" s="102">
        <f t="shared" si="161"/>
        <v>0</v>
      </c>
      <c r="O316" s="101">
        <f t="shared" si="161"/>
        <v>0</v>
      </c>
      <c r="P316" s="103" t="str">
        <f t="shared" si="130"/>
        <v>-</v>
      </c>
      <c r="Q316" s="104" t="str">
        <f t="shared" si="131"/>
        <v>-</v>
      </c>
      <c r="T316" s="105"/>
    </row>
    <row r="317" spans="1:20" ht="20.149999999999999" customHeight="1">
      <c r="A317" s="116"/>
      <c r="B317" s="117"/>
      <c r="C317" s="119">
        <v>75181</v>
      </c>
      <c r="D317" s="133" t="s">
        <v>225</v>
      </c>
      <c r="E317" s="110"/>
      <c r="F317" s="110"/>
      <c r="G317" s="110"/>
      <c r="H317" s="110"/>
      <c r="I317" s="110"/>
      <c r="J317" s="110"/>
      <c r="K317" s="110">
        <f>SUM(I317:J317)</f>
        <v>0</v>
      </c>
      <c r="L317" s="111" t="str">
        <f t="shared" si="129"/>
        <v>-</v>
      </c>
      <c r="M317" s="110"/>
      <c r="N317" s="110"/>
      <c r="O317" s="110"/>
      <c r="P317" s="111" t="str">
        <f t="shared" si="130"/>
        <v>-</v>
      </c>
      <c r="Q317" s="10" t="str">
        <f t="shared" si="131"/>
        <v>-</v>
      </c>
      <c r="T317"/>
    </row>
    <row r="318" spans="1:20" s="95" customFormat="1" ht="20.149999999999999" customHeight="1">
      <c r="A318" s="122">
        <v>50</v>
      </c>
      <c r="B318" s="123"/>
      <c r="C318" s="124"/>
      <c r="D318" s="91" t="s">
        <v>275</v>
      </c>
      <c r="E318" s="125">
        <f t="shared" ref="E318:O318" si="162">E319+E323+E326</f>
        <v>0</v>
      </c>
      <c r="F318" s="125">
        <f t="shared" si="162"/>
        <v>0</v>
      </c>
      <c r="G318" s="125">
        <f t="shared" si="162"/>
        <v>0</v>
      </c>
      <c r="H318" s="125">
        <f t="shared" si="162"/>
        <v>0</v>
      </c>
      <c r="I318" s="125">
        <f t="shared" si="162"/>
        <v>0</v>
      </c>
      <c r="J318" s="125">
        <f t="shared" si="162"/>
        <v>0</v>
      </c>
      <c r="K318" s="125">
        <f t="shared" si="162"/>
        <v>0</v>
      </c>
      <c r="L318" s="126" t="str">
        <f t="shared" si="129"/>
        <v>-</v>
      </c>
      <c r="M318" s="125">
        <f t="shared" si="162"/>
        <v>0</v>
      </c>
      <c r="N318" s="125">
        <f t="shared" si="162"/>
        <v>0</v>
      </c>
      <c r="O318" s="125">
        <f t="shared" si="162"/>
        <v>0</v>
      </c>
      <c r="P318" s="126" t="str">
        <f t="shared" si="130"/>
        <v>-</v>
      </c>
      <c r="Q318" s="95" t="str">
        <f t="shared" si="131"/>
        <v>-</v>
      </c>
      <c r="T318" s="96"/>
    </row>
    <row r="319" spans="1:20" s="104" customFormat="1" ht="20.149999999999999" customHeight="1">
      <c r="A319" s="120"/>
      <c r="B319" s="98">
        <v>5001</v>
      </c>
      <c r="C319" s="99"/>
      <c r="D319" s="100" t="s">
        <v>276</v>
      </c>
      <c r="E319" s="101">
        <f t="shared" ref="E319" si="163">SUM(E320:E322)</f>
        <v>0</v>
      </c>
      <c r="F319" s="102">
        <f t="shared" ref="F319:O319" si="164">SUM(F320:F322)</f>
        <v>0</v>
      </c>
      <c r="G319" s="102">
        <f t="shared" si="164"/>
        <v>0</v>
      </c>
      <c r="H319" s="101">
        <f t="shared" si="164"/>
        <v>0</v>
      </c>
      <c r="I319" s="102">
        <f t="shared" si="164"/>
        <v>0</v>
      </c>
      <c r="J319" s="102">
        <f t="shared" si="164"/>
        <v>0</v>
      </c>
      <c r="K319" s="101">
        <f t="shared" si="164"/>
        <v>0</v>
      </c>
      <c r="L319" s="103" t="str">
        <f t="shared" si="129"/>
        <v>-</v>
      </c>
      <c r="M319" s="102">
        <f t="shared" si="164"/>
        <v>0</v>
      </c>
      <c r="N319" s="102">
        <f t="shared" si="164"/>
        <v>0</v>
      </c>
      <c r="O319" s="101">
        <f t="shared" si="164"/>
        <v>0</v>
      </c>
      <c r="P319" s="103" t="str">
        <f t="shared" si="130"/>
        <v>-</v>
      </c>
      <c r="Q319" s="104" t="str">
        <f t="shared" si="131"/>
        <v>-</v>
      </c>
      <c r="T319" s="105"/>
    </row>
    <row r="320" spans="1:20" ht="20.149999999999999" customHeight="1">
      <c r="A320" s="116"/>
      <c r="B320" s="117"/>
      <c r="C320" s="119">
        <v>50011</v>
      </c>
      <c r="D320" s="113" t="s">
        <v>277</v>
      </c>
      <c r="E320" s="110"/>
      <c r="F320" s="110"/>
      <c r="G320" s="110"/>
      <c r="H320" s="110"/>
      <c r="I320" s="110"/>
      <c r="J320" s="110"/>
      <c r="K320" s="110">
        <f t="shared" ref="K320:K322" si="165">SUM(I320:J320)</f>
        <v>0</v>
      </c>
      <c r="L320" s="111" t="str">
        <f t="shared" si="129"/>
        <v>-</v>
      </c>
      <c r="M320" s="110"/>
      <c r="N320" s="110"/>
      <c r="O320" s="110"/>
      <c r="P320" s="111" t="str">
        <f t="shared" si="130"/>
        <v>-</v>
      </c>
      <c r="Q320" s="10" t="str">
        <f t="shared" si="131"/>
        <v>-</v>
      </c>
      <c r="T320"/>
    </row>
    <row r="321" spans="1:20" ht="20.149999999999999" customHeight="1">
      <c r="A321" s="116"/>
      <c r="B321" s="117"/>
      <c r="C321" s="119">
        <v>50012</v>
      </c>
      <c r="D321" s="113" t="s">
        <v>278</v>
      </c>
      <c r="E321" s="110"/>
      <c r="F321" s="110"/>
      <c r="G321" s="110"/>
      <c r="H321" s="110"/>
      <c r="I321" s="110"/>
      <c r="J321" s="110"/>
      <c r="K321" s="110">
        <f t="shared" si="165"/>
        <v>0</v>
      </c>
      <c r="L321" s="111" t="str">
        <f t="shared" si="129"/>
        <v>-</v>
      </c>
      <c r="M321" s="110"/>
      <c r="N321" s="110"/>
      <c r="O321" s="110"/>
      <c r="P321" s="111" t="str">
        <f t="shared" si="130"/>
        <v>-</v>
      </c>
      <c r="Q321" s="10" t="str">
        <f t="shared" si="131"/>
        <v>-</v>
      </c>
      <c r="T321"/>
    </row>
    <row r="322" spans="1:20" ht="20.149999999999999" customHeight="1">
      <c r="A322" s="116"/>
      <c r="B322" s="117"/>
      <c r="C322" s="119">
        <v>50018</v>
      </c>
      <c r="D322" s="113" t="s">
        <v>50</v>
      </c>
      <c r="E322" s="110"/>
      <c r="F322" s="110"/>
      <c r="G322" s="110"/>
      <c r="H322" s="110"/>
      <c r="I322" s="110"/>
      <c r="J322" s="110"/>
      <c r="K322" s="110">
        <f t="shared" si="165"/>
        <v>0</v>
      </c>
      <c r="L322" s="111" t="str">
        <f t="shared" si="129"/>
        <v>-</v>
      </c>
      <c r="M322" s="110"/>
      <c r="N322" s="110"/>
      <c r="O322" s="110"/>
      <c r="P322" s="111" t="str">
        <f t="shared" si="130"/>
        <v>-</v>
      </c>
      <c r="Q322" s="10" t="str">
        <f t="shared" si="131"/>
        <v>-</v>
      </c>
      <c r="T322"/>
    </row>
    <row r="323" spans="1:20" s="104" customFormat="1" ht="20.149999999999999" customHeight="1">
      <c r="A323" s="120"/>
      <c r="B323" s="98">
        <v>5002</v>
      </c>
      <c r="C323" s="99"/>
      <c r="D323" s="100" t="s">
        <v>279</v>
      </c>
      <c r="E323" s="101">
        <f t="shared" ref="E323:O323" si="166">SUM(E324:E325)</f>
        <v>0</v>
      </c>
      <c r="F323" s="102">
        <f t="shared" si="166"/>
        <v>0</v>
      </c>
      <c r="G323" s="102">
        <f t="shared" si="166"/>
        <v>0</v>
      </c>
      <c r="H323" s="101">
        <f t="shared" si="166"/>
        <v>0</v>
      </c>
      <c r="I323" s="102">
        <f t="shared" si="166"/>
        <v>0</v>
      </c>
      <c r="J323" s="102">
        <f t="shared" si="166"/>
        <v>0</v>
      </c>
      <c r="K323" s="101">
        <f t="shared" si="166"/>
        <v>0</v>
      </c>
      <c r="L323" s="103" t="str">
        <f t="shared" si="129"/>
        <v>-</v>
      </c>
      <c r="M323" s="102">
        <f t="shared" si="166"/>
        <v>0</v>
      </c>
      <c r="N323" s="102">
        <f t="shared" si="166"/>
        <v>0</v>
      </c>
      <c r="O323" s="101">
        <f t="shared" si="166"/>
        <v>0</v>
      </c>
      <c r="P323" s="103" t="str">
        <f t="shared" si="130"/>
        <v>-</v>
      </c>
      <c r="Q323" s="104" t="str">
        <f t="shared" si="131"/>
        <v>-</v>
      </c>
      <c r="T323" s="105"/>
    </row>
    <row r="324" spans="1:20" ht="20.149999999999999" customHeight="1">
      <c r="A324" s="116"/>
      <c r="B324" s="117"/>
      <c r="C324" s="119">
        <v>50021</v>
      </c>
      <c r="D324" s="113" t="s">
        <v>280</v>
      </c>
      <c r="E324" s="110"/>
      <c r="F324" s="110"/>
      <c r="G324" s="110"/>
      <c r="H324" s="110"/>
      <c r="I324" s="110"/>
      <c r="J324" s="110"/>
      <c r="K324" s="110">
        <f t="shared" ref="K324:K325" si="167">SUM(I324:J324)</f>
        <v>0</v>
      </c>
      <c r="L324" s="111" t="str">
        <f t="shared" si="129"/>
        <v>-</v>
      </c>
      <c r="M324" s="110"/>
      <c r="N324" s="110"/>
      <c r="O324" s="110"/>
      <c r="P324" s="111" t="str">
        <f t="shared" si="130"/>
        <v>-</v>
      </c>
      <c r="Q324" s="10" t="str">
        <f t="shared" si="131"/>
        <v>-</v>
      </c>
      <c r="T324"/>
    </row>
    <row r="325" spans="1:20" ht="20.149999999999999" customHeight="1">
      <c r="A325" s="116"/>
      <c r="B325" s="117"/>
      <c r="C325" s="119">
        <v>50022</v>
      </c>
      <c r="D325" s="113" t="s">
        <v>281</v>
      </c>
      <c r="E325" s="110"/>
      <c r="F325" s="110"/>
      <c r="G325" s="110"/>
      <c r="H325" s="110"/>
      <c r="I325" s="110"/>
      <c r="J325" s="110"/>
      <c r="K325" s="110">
        <f t="shared" si="167"/>
        <v>0</v>
      </c>
      <c r="L325" s="111" t="str">
        <f t="shared" si="129"/>
        <v>-</v>
      </c>
      <c r="M325" s="110"/>
      <c r="N325" s="110"/>
      <c r="O325" s="110"/>
      <c r="P325" s="111" t="str">
        <f t="shared" si="130"/>
        <v>-</v>
      </c>
      <c r="Q325" s="10" t="str">
        <f t="shared" si="131"/>
        <v>-</v>
      </c>
      <c r="T325"/>
    </row>
    <row r="326" spans="1:20" s="104" customFormat="1" ht="20.149999999999999" customHeight="1">
      <c r="A326" s="120"/>
      <c r="B326" s="174">
        <v>5004</v>
      </c>
      <c r="C326" s="175"/>
      <c r="D326" s="176" t="s">
        <v>282</v>
      </c>
      <c r="E326" s="177">
        <f t="shared" ref="E326:O326" si="168">SUM(E327:E328)</f>
        <v>0</v>
      </c>
      <c r="F326" s="178">
        <f t="shared" si="168"/>
        <v>0</v>
      </c>
      <c r="G326" s="178">
        <f t="shared" si="168"/>
        <v>0</v>
      </c>
      <c r="H326" s="177">
        <f t="shared" si="168"/>
        <v>0</v>
      </c>
      <c r="I326" s="178">
        <f t="shared" si="168"/>
        <v>0</v>
      </c>
      <c r="J326" s="178">
        <f t="shared" si="168"/>
        <v>0</v>
      </c>
      <c r="K326" s="177">
        <f t="shared" si="168"/>
        <v>0</v>
      </c>
      <c r="L326" s="179" t="str">
        <f t="shared" si="129"/>
        <v>-</v>
      </c>
      <c r="M326" s="178">
        <f t="shared" si="168"/>
        <v>0</v>
      </c>
      <c r="N326" s="178">
        <f t="shared" si="168"/>
        <v>0</v>
      </c>
      <c r="O326" s="177">
        <f t="shared" si="168"/>
        <v>0</v>
      </c>
      <c r="P326" s="179" t="str">
        <f t="shared" si="130"/>
        <v>-</v>
      </c>
      <c r="Q326" s="104" t="str">
        <f t="shared" si="131"/>
        <v>-</v>
      </c>
      <c r="T326" s="105"/>
    </row>
    <row r="327" spans="1:20" ht="20.149999999999999" customHeight="1">
      <c r="A327" s="116"/>
      <c r="B327" s="117"/>
      <c r="C327" s="119">
        <v>50041</v>
      </c>
      <c r="D327" s="113" t="s">
        <v>283</v>
      </c>
      <c r="E327" s="110"/>
      <c r="F327" s="110"/>
      <c r="G327" s="110"/>
      <c r="H327" s="110"/>
      <c r="I327" s="110"/>
      <c r="J327" s="110"/>
      <c r="K327" s="110">
        <f t="shared" ref="K327:K328" si="169">SUM(I327:J327)</f>
        <v>0</v>
      </c>
      <c r="L327" s="111" t="str">
        <f t="shared" si="129"/>
        <v>-</v>
      </c>
      <c r="M327" s="110"/>
      <c r="N327" s="110"/>
      <c r="O327" s="110"/>
      <c r="P327" s="111" t="str">
        <f t="shared" si="130"/>
        <v>-</v>
      </c>
      <c r="Q327" s="10" t="str">
        <f t="shared" si="131"/>
        <v>-</v>
      </c>
      <c r="T327"/>
    </row>
    <row r="328" spans="1:20" ht="20.149999999999999" customHeight="1">
      <c r="A328" s="127"/>
      <c r="B328" s="128"/>
      <c r="C328" s="129">
        <v>50042</v>
      </c>
      <c r="D328" s="130" t="s">
        <v>284</v>
      </c>
      <c r="E328" s="131"/>
      <c r="F328" s="131"/>
      <c r="G328" s="131"/>
      <c r="H328" s="131"/>
      <c r="I328" s="131"/>
      <c r="J328" s="131"/>
      <c r="K328" s="110">
        <f t="shared" si="169"/>
        <v>0</v>
      </c>
      <c r="L328" s="132" t="str">
        <f t="shared" si="129"/>
        <v>-</v>
      </c>
      <c r="M328" s="131"/>
      <c r="N328" s="131"/>
      <c r="O328" s="131"/>
      <c r="P328" s="132" t="str">
        <f t="shared" si="130"/>
        <v>-</v>
      </c>
      <c r="Q328" s="10" t="str">
        <f t="shared" si="131"/>
        <v>-</v>
      </c>
      <c r="T328"/>
    </row>
    <row r="329" spans="1:20" s="60" customFormat="1" ht="20.149999999999999" customHeight="1">
      <c r="A329" s="180" t="s">
        <v>289</v>
      </c>
      <c r="B329" s="181"/>
      <c r="C329" s="182"/>
      <c r="D329" s="183"/>
      <c r="E329" s="184">
        <f t="shared" ref="E329" si="170">E261+E17</f>
        <v>0</v>
      </c>
      <c r="F329" s="149">
        <f>F261+F17</f>
        <v>0</v>
      </c>
      <c r="G329" s="149">
        <f t="shared" ref="G329:O329" si="171">G261+G17</f>
        <v>0</v>
      </c>
      <c r="H329" s="184">
        <f t="shared" si="171"/>
        <v>0</v>
      </c>
      <c r="I329" s="149">
        <f t="shared" si="171"/>
        <v>0</v>
      </c>
      <c r="J329" s="149">
        <f t="shared" si="171"/>
        <v>0</v>
      </c>
      <c r="K329" s="184">
        <f t="shared" si="171"/>
        <v>0</v>
      </c>
      <c r="L329" s="150" t="str">
        <f t="shared" si="129"/>
        <v>-</v>
      </c>
      <c r="M329" s="149">
        <f t="shared" si="171"/>
        <v>0</v>
      </c>
      <c r="N329" s="149">
        <f t="shared" si="171"/>
        <v>0</v>
      </c>
      <c r="O329" s="184">
        <f t="shared" si="171"/>
        <v>0</v>
      </c>
      <c r="P329" s="150" t="str">
        <f t="shared" si="130"/>
        <v>-</v>
      </c>
      <c r="Q329" s="60" t="str">
        <f t="shared" si="131"/>
        <v>-</v>
      </c>
      <c r="T329" s="62"/>
    </row>
  </sheetData>
  <protectedRanges>
    <protectedRange sqref="F210:F328 F171 F168:F169 F188:F208 F179:F186 F173:F177 F165:F166 F156:F162 F150:F154 F143:F148 F127:F134 F112:F119 F97:F100 F76:F81 F58:F61 F51:F56 F29:F35 F22:F27 F136:F141 F121:F125 F103:F110 F89:F95 F85:F87 F67:F74 F63:F64 F47:F49 F44:F45 F37:F42" name="Range1"/>
  </protectedRanges>
  <autoFilter ref="Q12:Q329" xr:uid="{00000000-0009-0000-0000-000005000000}"/>
  <mergeCells count="18">
    <mergeCell ref="O13:P13"/>
    <mergeCell ref="A303:D303"/>
    <mergeCell ref="I12:L12"/>
    <mergeCell ref="M12:P12"/>
    <mergeCell ref="F13:F14"/>
    <mergeCell ref="G13:G14"/>
    <mergeCell ref="H13:H14"/>
    <mergeCell ref="I13:I14"/>
    <mergeCell ref="J13:J14"/>
    <mergeCell ref="K13:L13"/>
    <mergeCell ref="M13:M14"/>
    <mergeCell ref="N13:N14"/>
    <mergeCell ref="A12:A14"/>
    <mergeCell ref="B12:B14"/>
    <mergeCell ref="C12:C14"/>
    <mergeCell ref="D12:D14"/>
    <mergeCell ref="E12:E14"/>
    <mergeCell ref="F12:H12"/>
  </mergeCells>
  <dataValidations count="38">
    <dataValidation type="custom" allowBlank="1" showInputMessage="1" showErrorMessage="1" error="ក្បៀស ១ខ្ទង់-​1 Decimal Place" sqref="F174 F184 F279:F280 F318:F322 F307:F308" xr:uid="{083C6027-80D0-46CF-BB42-117C58F5429B}">
      <formula1>MOD(10*F174:F472,1)=0</formula1>
    </dataValidation>
    <dataValidation type="custom" allowBlank="1" showInputMessage="1" showErrorMessage="1" error="ក្បៀស ១ខ្ទង់-​1 Decimal Place" sqref="F187:F194 F278 F196 F323:F328 F306" xr:uid="{499C3CC5-F521-4C39-9EBD-AE46616E3409}">
      <formula1>MOD(10*F187:F484,1)=0</formula1>
    </dataValidation>
    <dataValidation type="custom" allowBlank="1" showInputMessage="1" showErrorMessage="1" error="ក្បៀស ១ខ្ទង់-​1 Decimal Place" sqref="F222:F224 F220" xr:uid="{D77A7399-C486-4F2F-96D8-CE8F423B354B}">
      <formula1>MOD(10*F220:F503,1)=0</formula1>
    </dataValidation>
    <dataValidation type="custom" allowBlank="1" showInputMessage="1" showErrorMessage="1" error="ក្បៀស ១ខ្ទង់-​1 Decimal Place" sqref="F233 F237 F225:F231 F235" xr:uid="{4E27F042-3E07-453D-A659-1276B48D08CB}">
      <formula1>MOD(10*F225:F507,1)=0</formula1>
    </dataValidation>
    <dataValidation type="custom" allowBlank="1" showInputMessage="1" showErrorMessage="1" error="ក្បៀស ១ខ្ទង់-​1 Decimal Place" sqref="F172:F173" xr:uid="{5721DE7F-07B4-4D86-98E9-612536EF024F}">
      <formula1>MOD(10*F172:F475,1)=0</formula1>
    </dataValidation>
    <dataValidation type="custom" allowBlank="1" showInputMessage="1" showErrorMessage="1" error="ក្បៀស ១ខ្ទង់-​1 Decimal Place" sqref="F281:F282 F309:F310" xr:uid="{A1FB4C8E-70D6-403B-84A6-A64B9DECAB75}">
      <formula1>MOD(10*F281:F583,1)=0</formula1>
    </dataValidation>
    <dataValidation type="custom" allowBlank="1" showInputMessage="1" showErrorMessage="1" error="ក្បៀស ១ខ្ទង់-​1 Decimal Place" sqref="F311 F286 F163 F283 F314" xr:uid="{E71A5792-F4CD-47B6-99D4-4D04B3C2CEBA}">
      <formula1>MOD(10*F163:F472,1)=0</formula1>
    </dataValidation>
    <dataValidation type="custom" allowBlank="1" showInputMessage="1" showErrorMessage="1" error="ក្បៀស ១ខ្ទង់-​1 Decimal Place" sqref="F317 F315 F284:F285 F289 F31:F43 F287 F312:F313" xr:uid="{F50DC337-3152-4D73-B37D-4A3D1DAA1157}">
      <formula1>MOD(10*F31:F341,1)=0</formula1>
    </dataValidation>
    <dataValidation type="custom" allowBlank="1" showInputMessage="1" showErrorMessage="1" error="ក្បៀស ១ខ្ទង់-​1 Decimal Place" sqref="F288 F316" xr:uid="{2B91119E-FEAC-432E-84BB-E990D100B406}">
      <formula1>MOD(10*F288:F596,1)=0</formula1>
    </dataValidation>
    <dataValidation type="custom" allowBlank="1" showInputMessage="1" showErrorMessage="1" error="ក្បៀស ១ខ្ទង់-​1 Decimal Place" sqref="F234" xr:uid="{87085A5E-6B6E-4932-B551-7846C4F9575F}">
      <formula1>MOD(10*F234:F514,1)=0</formula1>
    </dataValidation>
    <dataValidation type="custom" allowBlank="1" showInputMessage="1" showErrorMessage="1" error="ក្បៀស ១ខ្ទង់-​1 Decimal Place" sqref="F232 F236" xr:uid="{5158E6CD-1D50-4D52-9C27-0C2628A7CB3A}">
      <formula1>MOD(10*F232:F511,1)=0</formula1>
    </dataValidation>
    <dataValidation type="custom" allowBlank="1" showInputMessage="1" showErrorMessage="1" error="ក្បៀស ១ខ្ទង់-​1 Decimal Place" sqref="F202" xr:uid="{C8E5B1FA-388D-4E15-AA81-4514A080EAFD}">
      <formula1>MOD(10*F202:F492,1)=0</formula1>
    </dataValidation>
    <dataValidation type="custom" allowBlank="1" showInputMessage="1" showErrorMessage="1" error="ក្បៀស ១ខ្ទង់-​1 Decimal Place" sqref="F218 F215" xr:uid="{61BB0D8E-7A7C-43B0-B03A-4730CC1A05D6}">
      <formula1>MOD(10*F215:F499,1)=0</formula1>
    </dataValidation>
    <dataValidation type="custom" allowBlank="1" showInputMessage="1" showErrorMessage="1" error="ក្បៀស ១ខ្ទង់-​1 Decimal Place" sqref="F245:F246 F252:F253 F248 F250 F238:F243" xr:uid="{D19AFA5F-3ABB-4DA9-9E9A-6B3170032A8C}">
      <formula1>MOD(10*F238:F516,1)=0</formula1>
    </dataValidation>
    <dataValidation type="custom" allowBlank="1" showInputMessage="1" showErrorMessage="1" error="ក្បៀស ១ខ្ទង់-​1 Decimal Place" sqref="F244 F254:F256" xr:uid="{785B3D51-8985-4584-9A2F-2422907B3800}">
      <formula1>MOD(10*F244:F521,1)=0</formula1>
    </dataValidation>
    <dataValidation type="custom" allowBlank="1" showInputMessage="1" showErrorMessage="1" error="ក្បៀស ១ខ្ទង់-​1 Decimal Place" sqref="F204" xr:uid="{8DB22771-402C-4FA3-979B-9DA08E44CEAD}">
      <formula1>MOD(10*F204:F493,1)=0</formula1>
    </dataValidation>
    <dataValidation type="custom" allowBlank="1" showInputMessage="1" showErrorMessage="1" error="ក្បៀស ១ខ្ទង់-​1 Decimal Place" sqref="F276" xr:uid="{FC349B63-FD0A-4519-9904-667DB834AD99}">
      <formula1>MOD(10*F276:F546,1)=0</formula1>
    </dataValidation>
    <dataValidation type="custom" allowBlank="1" showInputMessage="1" showErrorMessage="1" error="ក្បៀស ១ខ្ទង់-​1 Decimal Place" sqref="F221 F216:F217 F219 F209:F214" xr:uid="{45B47829-9782-4203-B6A7-99780C1135F8}">
      <formula1>MOD(10*F209:F494,1)=0</formula1>
    </dataValidation>
    <dataValidation type="custom" allowBlank="1" showInputMessage="1" showErrorMessage="1" error="ក្បៀស ១ខ្ទង់-​1 Decimal Place" sqref="F251" xr:uid="{3AAF5F28-AF03-4A88-B711-242BE7BC14D9}">
      <formula1>MOD(10*F251:F524,1)=0</formula1>
    </dataValidation>
    <dataValidation type="custom" allowBlank="1" showInputMessage="1" showErrorMessage="1" error="ក្បៀស ១ខ្ទង់-​1 Decimal Place" sqref="F247 F263:F268" xr:uid="{F453A43F-25F6-4F0B-A6BB-7451888B7E4E}">
      <formula1>MOD(10*F247:F522,1)=0</formula1>
    </dataValidation>
    <dataValidation type="custom" allowBlank="1" showInputMessage="1" showErrorMessage="1" error="ក្បៀស ១ខ្ទង់-​1 Decimal Place" sqref="F129:F146 F149:F152 F155:F157 F161:F162 F164:F167 F159 F170" xr:uid="{552DB5E5-217C-445E-A56A-7F8ADA687EC9}">
      <formula1>MOD(10*F129:F450,1)=0</formula1>
    </dataValidation>
    <dataValidation type="custom" allowBlank="1" showInputMessage="1" showErrorMessage="1" error="ក្បៀស ១ខ្ទង់-​1 Decimal Place" sqref="F160 F158" xr:uid="{8808EFC1-F92A-482F-A3F2-C94272479683}">
      <formula1>MOD(10*F158:F477,1)=0</formula1>
    </dataValidation>
    <dataValidation type="custom" allowBlank="1" showInputMessage="1" showErrorMessage="1" error="ក្បៀស ១ខ្ទង់-​1 Decimal Place" sqref="F171 F168:F169" xr:uid="{E13AF99F-758E-4896-AAB4-41C1EA84197B}">
      <formula1>MOD(10*F168:F488,1)=0</formula1>
    </dataValidation>
    <dataValidation type="custom" allowBlank="1" showInputMessage="1" showErrorMessage="1" error="ក្បៀស ១ខ្ទង់-​1 Decimal Place" sqref="F249" xr:uid="{E3F4F934-51E3-4671-A71A-1A2F2EDF3A14}">
      <formula1>MOD(10*F249:F523,1)=0</formula1>
    </dataValidation>
    <dataValidation type="custom" allowBlank="1" showInputMessage="1" showErrorMessage="1" error="ក្បៀស ១ខ្ទង់-​1 Decimal Place" sqref="F277 F305" xr:uid="{52E11BBC-AEAE-44A2-B2C4-3C2D36B8CEA3}">
      <formula1>MOD(10*F265:F568,1)=0</formula1>
    </dataValidation>
    <dataValidation type="custom" allowBlank="1" showInputMessage="1" showErrorMessage="1" error="ក្បៀស ១ខ្ទង់-​1 Decimal Place" sqref="F203 F195 F205:F208 F197:F201" xr:uid="{D5ADE94D-A178-485F-8F05-0D1BF9C1A603}">
      <formula1>MOD(10*F195:F491,1)=0</formula1>
    </dataValidation>
    <dataValidation type="custom" allowBlank="1" showInputMessage="1" showErrorMessage="1" error="ក្បៀស ១ខ្ទង់-​1 Decimal Place" sqref="F98:F112" xr:uid="{9AEABAFC-CE85-4672-82AF-186722A8C5B7}">
      <formula1>MOD(10*F98:F414,1)=0</formula1>
    </dataValidation>
    <dataValidation type="custom" allowBlank="1" showInputMessage="1" showErrorMessage="1" error="ក្បៀស ១ខ្ទង់-​1 Decimal Place" sqref="F77:F97 F47:F51 F124:F125" xr:uid="{FD72CA43-29C7-40CD-A3CA-F13918DDC66D}">
      <formula1>MOD(10*F47:F362,1)=0</formula1>
    </dataValidation>
    <dataValidation type="custom" allowBlank="1" showInputMessage="1" showErrorMessage="1" error="ក្បៀស ១ខ្ទង់-​1 Decimal Place" sqref="F290:F294" xr:uid="{5E44CE11-6BA7-4179-AD9A-0C765556FB4F}">
      <formula1>MOD(10*F290:F551,1)=0</formula1>
    </dataValidation>
    <dataValidation type="custom" allowBlank="1" showInputMessage="1" showErrorMessage="1" error="ក្បៀស ១ខ្ទង់-​1 Decimal Place" sqref="F295:F304" xr:uid="{05FCD69C-91A2-4482-9CDB-5385D5333597}">
      <formula1>MOD(10*F295:F555,1)=0</formula1>
    </dataValidation>
    <dataValidation type="custom" allowBlank="1" showInputMessage="1" showErrorMessage="1" error="ក្បៀស ១ខ្ទង់-​1 Decimal Place" sqref="F63:F76 F52:F58 F44:F46 F113:F116" xr:uid="{6DEDECC7-8466-472A-83FA-49C44F93242D}">
      <formula1>MOD(10*F44:F358,1)=0</formula1>
    </dataValidation>
    <dataValidation type="custom" allowBlank="1" showInputMessage="1" showErrorMessage="1" error="ក្បៀស ១ខ្ទង់-​1 Decimal Place" sqref="F15:F24 F59:F62" xr:uid="{C592A184-310B-41A4-AAE7-C634A7E23C42}">
      <formula1>MOD(10*F15:F328,1)=0</formula1>
    </dataValidation>
    <dataValidation type="custom" allowBlank="1" showInputMessage="1" showErrorMessage="1" error="ក្បៀស ១ខ្ទង់-​1 Decimal Place" sqref="F117:F123 F25:F30" xr:uid="{DAC29F4A-716B-44FC-9504-5C3D3EF70DE5}">
      <formula1>MOD(10*F25:F337,1)=0</formula1>
    </dataValidation>
    <dataValidation type="custom" allowBlank="1" showInputMessage="1" showErrorMessage="1" error="ក្បៀស ១ខ្ទង់-​1 Decimal Place" sqref="F185:F186 F175:F183" xr:uid="{07046443-0D5F-43DD-B146-60C135C776F9}">
      <formula1>MOD(10*F175:F474,1)=0</formula1>
    </dataValidation>
    <dataValidation type="custom" allowBlank="1" showInputMessage="1" showErrorMessage="1" error="ក្បៀស ១ខ្ទង់-​1 Decimal Place" sqref="F257:F260" xr:uid="{D3757CD7-0348-4688-A643-834DB6B83665}">
      <formula1>MOD(10*F257:F528,1)=0</formula1>
    </dataValidation>
    <dataValidation type="custom" allowBlank="1" showInputMessage="1" showErrorMessage="1" error="ក្បៀស ១ខ្ទង់-​1 Decimal Place" sqref="F269:F275 F261:F262" xr:uid="{158FF5E6-4C14-489E-A3BB-C1F0904A56F3}">
      <formula1>MOD(10*F261:F537,1)=0</formula1>
    </dataValidation>
    <dataValidation type="custom" allowBlank="1" showInputMessage="1" showErrorMessage="1" error="ក្បៀស ១ខ្ទង់-​1 Decimal Place" sqref="F126:F128 F153:F154" xr:uid="{552C379B-C4E5-4924-A371-86230AE5C3D7}">
      <formula1>MOD(10*F126:F449,1)=0</formula1>
    </dataValidation>
    <dataValidation type="custom" allowBlank="1" showInputMessage="1" showErrorMessage="1" error="ក្បៀស ១ខ្ទង់-​1 Decimal Place" sqref="F147:F148" xr:uid="{93ECBDD5-705F-42C1-A987-FCC8CA181763}">
      <formula1>MOD(10*F147:F469,1)=0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735-E372-4E5A-9065-A8F0C77FABAE}">
  <sheetPr>
    <tabColor rgb="FFB9EDFF"/>
    <pageSetUpPr fitToPage="1"/>
  </sheetPr>
  <dimension ref="A1:V462"/>
  <sheetViews>
    <sheetView topLeftCell="C1" zoomScale="68" zoomScaleNormal="68" workbookViewId="0">
      <selection activeCell="L116" sqref="L116"/>
    </sheetView>
  </sheetViews>
  <sheetFormatPr defaultRowHeight="13" outlineLevelRow="1"/>
  <cols>
    <col min="1" max="2" width="4.86328125" style="10" bestFit="1" customWidth="1"/>
    <col min="3" max="3" width="6.40625" style="10" customWidth="1"/>
    <col min="4" max="4" width="34.86328125" style="10" customWidth="1"/>
    <col min="5" max="11" width="11" style="10" customWidth="1"/>
    <col min="12" max="12" width="8.86328125" style="10" customWidth="1"/>
    <col min="13" max="13" width="8.86328125" style="185" customWidth="1"/>
    <col min="14" max="14" width="11" style="10" customWidth="1"/>
    <col min="15" max="16" width="6.86328125" style="10" customWidth="1"/>
    <col min="17" max="17" width="11" style="10" customWidth="1"/>
    <col min="18" max="18" width="6.86328125" style="10" customWidth="1"/>
    <col min="19" max="19" width="11" style="185" customWidth="1"/>
    <col min="20" max="20" width="82.54296875" style="10" customWidth="1"/>
    <col min="21" max="255" width="8.7265625" style="10"/>
    <col min="256" max="258" width="4.86328125" style="10" bestFit="1" customWidth="1"/>
    <col min="259" max="259" width="23" style="10" customWidth="1"/>
    <col min="260" max="261" width="9.40625" style="10" customWidth="1"/>
    <col min="262" max="262" width="11.40625" style="10" customWidth="1"/>
    <col min="263" max="274" width="9.40625" style="10" customWidth="1"/>
    <col min="275" max="511" width="8.7265625" style="10"/>
    <col min="512" max="514" width="4.86328125" style="10" bestFit="1" customWidth="1"/>
    <col min="515" max="515" width="23" style="10" customWidth="1"/>
    <col min="516" max="517" width="9.40625" style="10" customWidth="1"/>
    <col min="518" max="518" width="11.40625" style="10" customWidth="1"/>
    <col min="519" max="530" width="9.40625" style="10" customWidth="1"/>
    <col min="531" max="767" width="8.7265625" style="10"/>
    <col min="768" max="770" width="4.86328125" style="10" bestFit="1" customWidth="1"/>
    <col min="771" max="771" width="23" style="10" customWidth="1"/>
    <col min="772" max="773" width="9.40625" style="10" customWidth="1"/>
    <col min="774" max="774" width="11.40625" style="10" customWidth="1"/>
    <col min="775" max="786" width="9.40625" style="10" customWidth="1"/>
    <col min="787" max="1023" width="8.7265625" style="10"/>
    <col min="1024" max="1026" width="4.86328125" style="10" bestFit="1" customWidth="1"/>
    <col min="1027" max="1027" width="23" style="10" customWidth="1"/>
    <col min="1028" max="1029" width="9.40625" style="10" customWidth="1"/>
    <col min="1030" max="1030" width="11.40625" style="10" customWidth="1"/>
    <col min="1031" max="1042" width="9.40625" style="10" customWidth="1"/>
    <col min="1043" max="1279" width="8.7265625" style="10"/>
    <col min="1280" max="1282" width="4.86328125" style="10" bestFit="1" customWidth="1"/>
    <col min="1283" max="1283" width="23" style="10" customWidth="1"/>
    <col min="1284" max="1285" width="9.40625" style="10" customWidth="1"/>
    <col min="1286" max="1286" width="11.40625" style="10" customWidth="1"/>
    <col min="1287" max="1298" width="9.40625" style="10" customWidth="1"/>
    <col min="1299" max="1535" width="8.7265625" style="10"/>
    <col min="1536" max="1538" width="4.86328125" style="10" bestFit="1" customWidth="1"/>
    <col min="1539" max="1539" width="23" style="10" customWidth="1"/>
    <col min="1540" max="1541" width="9.40625" style="10" customWidth="1"/>
    <col min="1542" max="1542" width="11.40625" style="10" customWidth="1"/>
    <col min="1543" max="1554" width="9.40625" style="10" customWidth="1"/>
    <col min="1555" max="1791" width="8.7265625" style="10"/>
    <col min="1792" max="1794" width="4.86328125" style="10" bestFit="1" customWidth="1"/>
    <col min="1795" max="1795" width="23" style="10" customWidth="1"/>
    <col min="1796" max="1797" width="9.40625" style="10" customWidth="1"/>
    <col min="1798" max="1798" width="11.40625" style="10" customWidth="1"/>
    <col min="1799" max="1810" width="9.40625" style="10" customWidth="1"/>
    <col min="1811" max="2047" width="8.7265625" style="10"/>
    <col min="2048" max="2050" width="4.86328125" style="10" bestFit="1" customWidth="1"/>
    <col min="2051" max="2051" width="23" style="10" customWidth="1"/>
    <col min="2052" max="2053" width="9.40625" style="10" customWidth="1"/>
    <col min="2054" max="2054" width="11.40625" style="10" customWidth="1"/>
    <col min="2055" max="2066" width="9.40625" style="10" customWidth="1"/>
    <col min="2067" max="2303" width="8.7265625" style="10"/>
    <col min="2304" max="2306" width="4.86328125" style="10" bestFit="1" customWidth="1"/>
    <col min="2307" max="2307" width="23" style="10" customWidth="1"/>
    <col min="2308" max="2309" width="9.40625" style="10" customWidth="1"/>
    <col min="2310" max="2310" width="11.40625" style="10" customWidth="1"/>
    <col min="2311" max="2322" width="9.40625" style="10" customWidth="1"/>
    <col min="2323" max="2559" width="8.7265625" style="10"/>
    <col min="2560" max="2562" width="4.86328125" style="10" bestFit="1" customWidth="1"/>
    <col min="2563" max="2563" width="23" style="10" customWidth="1"/>
    <col min="2564" max="2565" width="9.40625" style="10" customWidth="1"/>
    <col min="2566" max="2566" width="11.40625" style="10" customWidth="1"/>
    <col min="2567" max="2578" width="9.40625" style="10" customWidth="1"/>
    <col min="2579" max="2815" width="8.7265625" style="10"/>
    <col min="2816" max="2818" width="4.86328125" style="10" bestFit="1" customWidth="1"/>
    <col min="2819" max="2819" width="23" style="10" customWidth="1"/>
    <col min="2820" max="2821" width="9.40625" style="10" customWidth="1"/>
    <col min="2822" max="2822" width="11.40625" style="10" customWidth="1"/>
    <col min="2823" max="2834" width="9.40625" style="10" customWidth="1"/>
    <col min="2835" max="3071" width="8.7265625" style="10"/>
    <col min="3072" max="3074" width="4.86328125" style="10" bestFit="1" customWidth="1"/>
    <col min="3075" max="3075" width="23" style="10" customWidth="1"/>
    <col min="3076" max="3077" width="9.40625" style="10" customWidth="1"/>
    <col min="3078" max="3078" width="11.40625" style="10" customWidth="1"/>
    <col min="3079" max="3090" width="9.40625" style="10" customWidth="1"/>
    <col min="3091" max="3327" width="8.7265625" style="10"/>
    <col min="3328" max="3330" width="4.86328125" style="10" bestFit="1" customWidth="1"/>
    <col min="3331" max="3331" width="23" style="10" customWidth="1"/>
    <col min="3332" max="3333" width="9.40625" style="10" customWidth="1"/>
    <col min="3334" max="3334" width="11.40625" style="10" customWidth="1"/>
    <col min="3335" max="3346" width="9.40625" style="10" customWidth="1"/>
    <col min="3347" max="3583" width="8.7265625" style="10"/>
    <col min="3584" max="3586" width="4.86328125" style="10" bestFit="1" customWidth="1"/>
    <col min="3587" max="3587" width="23" style="10" customWidth="1"/>
    <col min="3588" max="3589" width="9.40625" style="10" customWidth="1"/>
    <col min="3590" max="3590" width="11.40625" style="10" customWidth="1"/>
    <col min="3591" max="3602" width="9.40625" style="10" customWidth="1"/>
    <col min="3603" max="3839" width="8.7265625" style="10"/>
    <col min="3840" max="3842" width="4.86328125" style="10" bestFit="1" customWidth="1"/>
    <col min="3843" max="3843" width="23" style="10" customWidth="1"/>
    <col min="3844" max="3845" width="9.40625" style="10" customWidth="1"/>
    <col min="3846" max="3846" width="11.40625" style="10" customWidth="1"/>
    <col min="3847" max="3858" width="9.40625" style="10" customWidth="1"/>
    <col min="3859" max="4095" width="8.7265625" style="10"/>
    <col min="4096" max="4098" width="4.86328125" style="10" bestFit="1" customWidth="1"/>
    <col min="4099" max="4099" width="23" style="10" customWidth="1"/>
    <col min="4100" max="4101" width="9.40625" style="10" customWidth="1"/>
    <col min="4102" max="4102" width="11.40625" style="10" customWidth="1"/>
    <col min="4103" max="4114" width="9.40625" style="10" customWidth="1"/>
    <col min="4115" max="4351" width="8.7265625" style="10"/>
    <col min="4352" max="4354" width="4.86328125" style="10" bestFit="1" customWidth="1"/>
    <col min="4355" max="4355" width="23" style="10" customWidth="1"/>
    <col min="4356" max="4357" width="9.40625" style="10" customWidth="1"/>
    <col min="4358" max="4358" width="11.40625" style="10" customWidth="1"/>
    <col min="4359" max="4370" width="9.40625" style="10" customWidth="1"/>
    <col min="4371" max="4607" width="8.7265625" style="10"/>
    <col min="4608" max="4610" width="4.86328125" style="10" bestFit="1" customWidth="1"/>
    <col min="4611" max="4611" width="23" style="10" customWidth="1"/>
    <col min="4612" max="4613" width="9.40625" style="10" customWidth="1"/>
    <col min="4614" max="4614" width="11.40625" style="10" customWidth="1"/>
    <col min="4615" max="4626" width="9.40625" style="10" customWidth="1"/>
    <col min="4627" max="4863" width="8.7265625" style="10"/>
    <col min="4864" max="4866" width="4.86328125" style="10" bestFit="1" customWidth="1"/>
    <col min="4867" max="4867" width="23" style="10" customWidth="1"/>
    <col min="4868" max="4869" width="9.40625" style="10" customWidth="1"/>
    <col min="4870" max="4870" width="11.40625" style="10" customWidth="1"/>
    <col min="4871" max="4882" width="9.40625" style="10" customWidth="1"/>
    <col min="4883" max="5119" width="8.7265625" style="10"/>
    <col min="5120" max="5122" width="4.86328125" style="10" bestFit="1" customWidth="1"/>
    <col min="5123" max="5123" width="23" style="10" customWidth="1"/>
    <col min="5124" max="5125" width="9.40625" style="10" customWidth="1"/>
    <col min="5126" max="5126" width="11.40625" style="10" customWidth="1"/>
    <col min="5127" max="5138" width="9.40625" style="10" customWidth="1"/>
    <col min="5139" max="5375" width="8.7265625" style="10"/>
    <col min="5376" max="5378" width="4.86328125" style="10" bestFit="1" customWidth="1"/>
    <col min="5379" max="5379" width="23" style="10" customWidth="1"/>
    <col min="5380" max="5381" width="9.40625" style="10" customWidth="1"/>
    <col min="5382" max="5382" width="11.40625" style="10" customWidth="1"/>
    <col min="5383" max="5394" width="9.40625" style="10" customWidth="1"/>
    <col min="5395" max="5631" width="8.7265625" style="10"/>
    <col min="5632" max="5634" width="4.86328125" style="10" bestFit="1" customWidth="1"/>
    <col min="5635" max="5635" width="23" style="10" customWidth="1"/>
    <col min="5636" max="5637" width="9.40625" style="10" customWidth="1"/>
    <col min="5638" max="5638" width="11.40625" style="10" customWidth="1"/>
    <col min="5639" max="5650" width="9.40625" style="10" customWidth="1"/>
    <col min="5651" max="5887" width="8.7265625" style="10"/>
    <col min="5888" max="5890" width="4.86328125" style="10" bestFit="1" customWidth="1"/>
    <col min="5891" max="5891" width="23" style="10" customWidth="1"/>
    <col min="5892" max="5893" width="9.40625" style="10" customWidth="1"/>
    <col min="5894" max="5894" width="11.40625" style="10" customWidth="1"/>
    <col min="5895" max="5906" width="9.40625" style="10" customWidth="1"/>
    <col min="5907" max="6143" width="8.7265625" style="10"/>
    <col min="6144" max="6146" width="4.86328125" style="10" bestFit="1" customWidth="1"/>
    <col min="6147" max="6147" width="23" style="10" customWidth="1"/>
    <col min="6148" max="6149" width="9.40625" style="10" customWidth="1"/>
    <col min="6150" max="6150" width="11.40625" style="10" customWidth="1"/>
    <col min="6151" max="6162" width="9.40625" style="10" customWidth="1"/>
    <col min="6163" max="6399" width="8.7265625" style="10"/>
    <col min="6400" max="6402" width="4.86328125" style="10" bestFit="1" customWidth="1"/>
    <col min="6403" max="6403" width="23" style="10" customWidth="1"/>
    <col min="6404" max="6405" width="9.40625" style="10" customWidth="1"/>
    <col min="6406" max="6406" width="11.40625" style="10" customWidth="1"/>
    <col min="6407" max="6418" width="9.40625" style="10" customWidth="1"/>
    <col min="6419" max="6655" width="8.7265625" style="10"/>
    <col min="6656" max="6658" width="4.86328125" style="10" bestFit="1" customWidth="1"/>
    <col min="6659" max="6659" width="23" style="10" customWidth="1"/>
    <col min="6660" max="6661" width="9.40625" style="10" customWidth="1"/>
    <col min="6662" max="6662" width="11.40625" style="10" customWidth="1"/>
    <col min="6663" max="6674" width="9.40625" style="10" customWidth="1"/>
    <col min="6675" max="6911" width="8.7265625" style="10"/>
    <col min="6912" max="6914" width="4.86328125" style="10" bestFit="1" customWidth="1"/>
    <col min="6915" max="6915" width="23" style="10" customWidth="1"/>
    <col min="6916" max="6917" width="9.40625" style="10" customWidth="1"/>
    <col min="6918" max="6918" width="11.40625" style="10" customWidth="1"/>
    <col min="6919" max="6930" width="9.40625" style="10" customWidth="1"/>
    <col min="6931" max="7167" width="8.7265625" style="10"/>
    <col min="7168" max="7170" width="4.86328125" style="10" bestFit="1" customWidth="1"/>
    <col min="7171" max="7171" width="23" style="10" customWidth="1"/>
    <col min="7172" max="7173" width="9.40625" style="10" customWidth="1"/>
    <col min="7174" max="7174" width="11.40625" style="10" customWidth="1"/>
    <col min="7175" max="7186" width="9.40625" style="10" customWidth="1"/>
    <col min="7187" max="7423" width="8.7265625" style="10"/>
    <col min="7424" max="7426" width="4.86328125" style="10" bestFit="1" customWidth="1"/>
    <col min="7427" max="7427" width="23" style="10" customWidth="1"/>
    <col min="7428" max="7429" width="9.40625" style="10" customWidth="1"/>
    <col min="7430" max="7430" width="11.40625" style="10" customWidth="1"/>
    <col min="7431" max="7442" width="9.40625" style="10" customWidth="1"/>
    <col min="7443" max="7679" width="8.7265625" style="10"/>
    <col min="7680" max="7682" width="4.86328125" style="10" bestFit="1" customWidth="1"/>
    <col min="7683" max="7683" width="23" style="10" customWidth="1"/>
    <col min="7684" max="7685" width="9.40625" style="10" customWidth="1"/>
    <col min="7686" max="7686" width="11.40625" style="10" customWidth="1"/>
    <col min="7687" max="7698" width="9.40625" style="10" customWidth="1"/>
    <col min="7699" max="7935" width="8.7265625" style="10"/>
    <col min="7936" max="7938" width="4.86328125" style="10" bestFit="1" customWidth="1"/>
    <col min="7939" max="7939" width="23" style="10" customWidth="1"/>
    <col min="7940" max="7941" width="9.40625" style="10" customWidth="1"/>
    <col min="7942" max="7942" width="11.40625" style="10" customWidth="1"/>
    <col min="7943" max="7954" width="9.40625" style="10" customWidth="1"/>
    <col min="7955" max="8191" width="8.7265625" style="10"/>
    <col min="8192" max="8194" width="4.86328125" style="10" bestFit="1" customWidth="1"/>
    <col min="8195" max="8195" width="23" style="10" customWidth="1"/>
    <col min="8196" max="8197" width="9.40625" style="10" customWidth="1"/>
    <col min="8198" max="8198" width="11.40625" style="10" customWidth="1"/>
    <col min="8199" max="8210" width="9.40625" style="10" customWidth="1"/>
    <col min="8211" max="8447" width="8.7265625" style="10"/>
    <col min="8448" max="8450" width="4.86328125" style="10" bestFit="1" customWidth="1"/>
    <col min="8451" max="8451" width="23" style="10" customWidth="1"/>
    <col min="8452" max="8453" width="9.40625" style="10" customWidth="1"/>
    <col min="8454" max="8454" width="11.40625" style="10" customWidth="1"/>
    <col min="8455" max="8466" width="9.40625" style="10" customWidth="1"/>
    <col min="8467" max="8703" width="8.7265625" style="10"/>
    <col min="8704" max="8706" width="4.86328125" style="10" bestFit="1" customWidth="1"/>
    <col min="8707" max="8707" width="23" style="10" customWidth="1"/>
    <col min="8708" max="8709" width="9.40625" style="10" customWidth="1"/>
    <col min="8710" max="8710" width="11.40625" style="10" customWidth="1"/>
    <col min="8711" max="8722" width="9.40625" style="10" customWidth="1"/>
    <col min="8723" max="8959" width="8.7265625" style="10"/>
    <col min="8960" max="8962" width="4.86328125" style="10" bestFit="1" customWidth="1"/>
    <col min="8963" max="8963" width="23" style="10" customWidth="1"/>
    <col min="8964" max="8965" width="9.40625" style="10" customWidth="1"/>
    <col min="8966" max="8966" width="11.40625" style="10" customWidth="1"/>
    <col min="8967" max="8978" width="9.40625" style="10" customWidth="1"/>
    <col min="8979" max="9215" width="8.7265625" style="10"/>
    <col min="9216" max="9218" width="4.86328125" style="10" bestFit="1" customWidth="1"/>
    <col min="9219" max="9219" width="23" style="10" customWidth="1"/>
    <col min="9220" max="9221" width="9.40625" style="10" customWidth="1"/>
    <col min="9222" max="9222" width="11.40625" style="10" customWidth="1"/>
    <col min="9223" max="9234" width="9.40625" style="10" customWidth="1"/>
    <col min="9235" max="9471" width="8.7265625" style="10"/>
    <col min="9472" max="9474" width="4.86328125" style="10" bestFit="1" customWidth="1"/>
    <col min="9475" max="9475" width="23" style="10" customWidth="1"/>
    <col min="9476" max="9477" width="9.40625" style="10" customWidth="1"/>
    <col min="9478" max="9478" width="11.40625" style="10" customWidth="1"/>
    <col min="9479" max="9490" width="9.40625" style="10" customWidth="1"/>
    <col min="9491" max="9727" width="8.7265625" style="10"/>
    <col min="9728" max="9730" width="4.86328125" style="10" bestFit="1" customWidth="1"/>
    <col min="9731" max="9731" width="23" style="10" customWidth="1"/>
    <col min="9732" max="9733" width="9.40625" style="10" customWidth="1"/>
    <col min="9734" max="9734" width="11.40625" style="10" customWidth="1"/>
    <col min="9735" max="9746" width="9.40625" style="10" customWidth="1"/>
    <col min="9747" max="9983" width="8.7265625" style="10"/>
    <col min="9984" max="9986" width="4.86328125" style="10" bestFit="1" customWidth="1"/>
    <col min="9987" max="9987" width="23" style="10" customWidth="1"/>
    <col min="9988" max="9989" width="9.40625" style="10" customWidth="1"/>
    <col min="9990" max="9990" width="11.40625" style="10" customWidth="1"/>
    <col min="9991" max="10002" width="9.40625" style="10" customWidth="1"/>
    <col min="10003" max="10239" width="8.7265625" style="10"/>
    <col min="10240" max="10242" width="4.86328125" style="10" bestFit="1" customWidth="1"/>
    <col min="10243" max="10243" width="23" style="10" customWidth="1"/>
    <col min="10244" max="10245" width="9.40625" style="10" customWidth="1"/>
    <col min="10246" max="10246" width="11.40625" style="10" customWidth="1"/>
    <col min="10247" max="10258" width="9.40625" style="10" customWidth="1"/>
    <col min="10259" max="10495" width="8.7265625" style="10"/>
    <col min="10496" max="10498" width="4.86328125" style="10" bestFit="1" customWidth="1"/>
    <col min="10499" max="10499" width="23" style="10" customWidth="1"/>
    <col min="10500" max="10501" width="9.40625" style="10" customWidth="1"/>
    <col min="10502" max="10502" width="11.40625" style="10" customWidth="1"/>
    <col min="10503" max="10514" width="9.40625" style="10" customWidth="1"/>
    <col min="10515" max="10751" width="8.7265625" style="10"/>
    <col min="10752" max="10754" width="4.86328125" style="10" bestFit="1" customWidth="1"/>
    <col min="10755" max="10755" width="23" style="10" customWidth="1"/>
    <col min="10756" max="10757" width="9.40625" style="10" customWidth="1"/>
    <col min="10758" max="10758" width="11.40625" style="10" customWidth="1"/>
    <col min="10759" max="10770" width="9.40625" style="10" customWidth="1"/>
    <col min="10771" max="11007" width="8.7265625" style="10"/>
    <col min="11008" max="11010" width="4.86328125" style="10" bestFit="1" customWidth="1"/>
    <col min="11011" max="11011" width="23" style="10" customWidth="1"/>
    <col min="11012" max="11013" width="9.40625" style="10" customWidth="1"/>
    <col min="11014" max="11014" width="11.40625" style="10" customWidth="1"/>
    <col min="11015" max="11026" width="9.40625" style="10" customWidth="1"/>
    <col min="11027" max="11263" width="8.7265625" style="10"/>
    <col min="11264" max="11266" width="4.86328125" style="10" bestFit="1" customWidth="1"/>
    <col min="11267" max="11267" width="23" style="10" customWidth="1"/>
    <col min="11268" max="11269" width="9.40625" style="10" customWidth="1"/>
    <col min="11270" max="11270" width="11.40625" style="10" customWidth="1"/>
    <col min="11271" max="11282" width="9.40625" style="10" customWidth="1"/>
    <col min="11283" max="11519" width="8.7265625" style="10"/>
    <col min="11520" max="11522" width="4.86328125" style="10" bestFit="1" customWidth="1"/>
    <col min="11523" max="11523" width="23" style="10" customWidth="1"/>
    <col min="11524" max="11525" width="9.40625" style="10" customWidth="1"/>
    <col min="11526" max="11526" width="11.40625" style="10" customWidth="1"/>
    <col min="11527" max="11538" width="9.40625" style="10" customWidth="1"/>
    <col min="11539" max="11775" width="8.7265625" style="10"/>
    <col min="11776" max="11778" width="4.86328125" style="10" bestFit="1" customWidth="1"/>
    <col min="11779" max="11779" width="23" style="10" customWidth="1"/>
    <col min="11780" max="11781" width="9.40625" style="10" customWidth="1"/>
    <col min="11782" max="11782" width="11.40625" style="10" customWidth="1"/>
    <col min="11783" max="11794" width="9.40625" style="10" customWidth="1"/>
    <col min="11795" max="12031" width="8.7265625" style="10"/>
    <col min="12032" max="12034" width="4.86328125" style="10" bestFit="1" customWidth="1"/>
    <col min="12035" max="12035" width="23" style="10" customWidth="1"/>
    <col min="12036" max="12037" width="9.40625" style="10" customWidth="1"/>
    <col min="12038" max="12038" width="11.40625" style="10" customWidth="1"/>
    <col min="12039" max="12050" width="9.40625" style="10" customWidth="1"/>
    <col min="12051" max="12287" width="8.7265625" style="10"/>
    <col min="12288" max="12290" width="4.86328125" style="10" bestFit="1" customWidth="1"/>
    <col min="12291" max="12291" width="23" style="10" customWidth="1"/>
    <col min="12292" max="12293" width="9.40625" style="10" customWidth="1"/>
    <col min="12294" max="12294" width="11.40625" style="10" customWidth="1"/>
    <col min="12295" max="12306" width="9.40625" style="10" customWidth="1"/>
    <col min="12307" max="12543" width="8.7265625" style="10"/>
    <col min="12544" max="12546" width="4.86328125" style="10" bestFit="1" customWidth="1"/>
    <col min="12547" max="12547" width="23" style="10" customWidth="1"/>
    <col min="12548" max="12549" width="9.40625" style="10" customWidth="1"/>
    <col min="12550" max="12550" width="11.40625" style="10" customWidth="1"/>
    <col min="12551" max="12562" width="9.40625" style="10" customWidth="1"/>
    <col min="12563" max="12799" width="8.7265625" style="10"/>
    <col min="12800" max="12802" width="4.86328125" style="10" bestFit="1" customWidth="1"/>
    <col min="12803" max="12803" width="23" style="10" customWidth="1"/>
    <col min="12804" max="12805" width="9.40625" style="10" customWidth="1"/>
    <col min="12806" max="12806" width="11.40625" style="10" customWidth="1"/>
    <col min="12807" max="12818" width="9.40625" style="10" customWidth="1"/>
    <col min="12819" max="13055" width="8.7265625" style="10"/>
    <col min="13056" max="13058" width="4.86328125" style="10" bestFit="1" customWidth="1"/>
    <col min="13059" max="13059" width="23" style="10" customWidth="1"/>
    <col min="13060" max="13061" width="9.40625" style="10" customWidth="1"/>
    <col min="13062" max="13062" width="11.40625" style="10" customWidth="1"/>
    <col min="13063" max="13074" width="9.40625" style="10" customWidth="1"/>
    <col min="13075" max="13311" width="8.7265625" style="10"/>
    <col min="13312" max="13314" width="4.86328125" style="10" bestFit="1" customWidth="1"/>
    <col min="13315" max="13315" width="23" style="10" customWidth="1"/>
    <col min="13316" max="13317" width="9.40625" style="10" customWidth="1"/>
    <col min="13318" max="13318" width="11.40625" style="10" customWidth="1"/>
    <col min="13319" max="13330" width="9.40625" style="10" customWidth="1"/>
    <col min="13331" max="13567" width="8.7265625" style="10"/>
    <col min="13568" max="13570" width="4.86328125" style="10" bestFit="1" customWidth="1"/>
    <col min="13571" max="13571" width="23" style="10" customWidth="1"/>
    <col min="13572" max="13573" width="9.40625" style="10" customWidth="1"/>
    <col min="13574" max="13574" width="11.40625" style="10" customWidth="1"/>
    <col min="13575" max="13586" width="9.40625" style="10" customWidth="1"/>
    <col min="13587" max="13823" width="8.7265625" style="10"/>
    <col min="13824" max="13826" width="4.86328125" style="10" bestFit="1" customWidth="1"/>
    <col min="13827" max="13827" width="23" style="10" customWidth="1"/>
    <col min="13828" max="13829" width="9.40625" style="10" customWidth="1"/>
    <col min="13830" max="13830" width="11.40625" style="10" customWidth="1"/>
    <col min="13831" max="13842" width="9.40625" style="10" customWidth="1"/>
    <col min="13843" max="14079" width="8.7265625" style="10"/>
    <col min="14080" max="14082" width="4.86328125" style="10" bestFit="1" customWidth="1"/>
    <col min="14083" max="14083" width="23" style="10" customWidth="1"/>
    <col min="14084" max="14085" width="9.40625" style="10" customWidth="1"/>
    <col min="14086" max="14086" width="11.40625" style="10" customWidth="1"/>
    <col min="14087" max="14098" width="9.40625" style="10" customWidth="1"/>
    <col min="14099" max="14335" width="8.7265625" style="10"/>
    <col min="14336" max="14338" width="4.86328125" style="10" bestFit="1" customWidth="1"/>
    <col min="14339" max="14339" width="23" style="10" customWidth="1"/>
    <col min="14340" max="14341" width="9.40625" style="10" customWidth="1"/>
    <col min="14342" max="14342" width="11.40625" style="10" customWidth="1"/>
    <col min="14343" max="14354" width="9.40625" style="10" customWidth="1"/>
    <col min="14355" max="14591" width="8.7265625" style="10"/>
    <col min="14592" max="14594" width="4.86328125" style="10" bestFit="1" customWidth="1"/>
    <col min="14595" max="14595" width="23" style="10" customWidth="1"/>
    <col min="14596" max="14597" width="9.40625" style="10" customWidth="1"/>
    <col min="14598" max="14598" width="11.40625" style="10" customWidth="1"/>
    <col min="14599" max="14610" width="9.40625" style="10" customWidth="1"/>
    <col min="14611" max="14847" width="8.7265625" style="10"/>
    <col min="14848" max="14850" width="4.86328125" style="10" bestFit="1" customWidth="1"/>
    <col min="14851" max="14851" width="23" style="10" customWidth="1"/>
    <col min="14852" max="14853" width="9.40625" style="10" customWidth="1"/>
    <col min="14854" max="14854" width="11.40625" style="10" customWidth="1"/>
    <col min="14855" max="14866" width="9.40625" style="10" customWidth="1"/>
    <col min="14867" max="15103" width="8.7265625" style="10"/>
    <col min="15104" max="15106" width="4.86328125" style="10" bestFit="1" customWidth="1"/>
    <col min="15107" max="15107" width="23" style="10" customWidth="1"/>
    <col min="15108" max="15109" width="9.40625" style="10" customWidth="1"/>
    <col min="15110" max="15110" width="11.40625" style="10" customWidth="1"/>
    <col min="15111" max="15122" width="9.40625" style="10" customWidth="1"/>
    <col min="15123" max="15359" width="8.7265625" style="10"/>
    <col min="15360" max="15362" width="4.86328125" style="10" bestFit="1" customWidth="1"/>
    <col min="15363" max="15363" width="23" style="10" customWidth="1"/>
    <col min="15364" max="15365" width="9.40625" style="10" customWidth="1"/>
    <col min="15366" max="15366" width="11.40625" style="10" customWidth="1"/>
    <col min="15367" max="15378" width="9.40625" style="10" customWidth="1"/>
    <col min="15379" max="15615" width="8.7265625" style="10"/>
    <col min="15616" max="15618" width="4.86328125" style="10" bestFit="1" customWidth="1"/>
    <col min="15619" max="15619" width="23" style="10" customWidth="1"/>
    <col min="15620" max="15621" width="9.40625" style="10" customWidth="1"/>
    <col min="15622" max="15622" width="11.40625" style="10" customWidth="1"/>
    <col min="15623" max="15634" width="9.40625" style="10" customWidth="1"/>
    <col min="15635" max="16359" width="8.7265625" style="10"/>
    <col min="16360" max="16382" width="8.86328125" style="10" customWidth="1"/>
    <col min="16383" max="16384" width="8.7265625" style="10"/>
  </cols>
  <sheetData>
    <row r="1" spans="1:22" s="4" customFormat="1" ht="9.9499999999999993" customHeight="1">
      <c r="A1" s="1"/>
      <c r="B1" s="1"/>
      <c r="C1" s="1"/>
      <c r="D1" s="2"/>
      <c r="E1" s="2"/>
      <c r="F1" s="2"/>
      <c r="G1" s="2"/>
      <c r="H1" s="1"/>
      <c r="I1" s="1"/>
      <c r="J1" s="1"/>
      <c r="K1" s="2"/>
      <c r="L1" s="2"/>
      <c r="M1" s="3"/>
      <c r="N1" s="2"/>
      <c r="O1" s="2"/>
      <c r="P1" s="2"/>
      <c r="Q1" s="2"/>
      <c r="R1" s="2"/>
      <c r="S1" s="3"/>
    </row>
    <row r="2" spans="1:22" s="4" customFormat="1" ht="9.9499999999999993" customHeight="1">
      <c r="A2" s="5"/>
      <c r="B2" s="6"/>
      <c r="C2" s="6"/>
      <c r="D2" s="1"/>
      <c r="E2" s="6"/>
      <c r="F2" s="6"/>
      <c r="G2" s="6"/>
      <c r="H2" s="1"/>
      <c r="I2" s="1"/>
      <c r="J2" s="1"/>
      <c r="K2" s="6"/>
      <c r="L2" s="6"/>
      <c r="M2" s="7"/>
      <c r="N2" s="6"/>
      <c r="O2" s="6"/>
      <c r="P2" s="6"/>
      <c r="Q2" s="6"/>
      <c r="R2" s="6"/>
      <c r="S2" s="7"/>
    </row>
    <row r="3" spans="1:22" s="4" customFormat="1" ht="9.9499999999999993" customHeight="1">
      <c r="A3" s="5"/>
      <c r="B3" s="6"/>
      <c r="C3" s="6"/>
      <c r="D3" s="1"/>
      <c r="E3" s="6"/>
      <c r="F3" s="6"/>
      <c r="G3" s="6"/>
      <c r="H3" s="1"/>
      <c r="I3" s="1"/>
      <c r="J3" s="1"/>
      <c r="K3" s="6"/>
      <c r="L3" s="6"/>
      <c r="M3" s="7"/>
      <c r="N3" s="6"/>
      <c r="O3" s="6"/>
      <c r="P3" s="6"/>
      <c r="Q3" s="6"/>
      <c r="R3" s="6"/>
      <c r="S3" s="7"/>
    </row>
    <row r="4" spans="1:22" ht="9.949999999999999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8"/>
      <c r="O4" s="8"/>
      <c r="P4" s="8"/>
      <c r="Q4" s="8"/>
      <c r="R4" s="8"/>
      <c r="S4" s="9"/>
    </row>
    <row r="5" spans="1:22" ht="30" customHeight="1">
      <c r="A5" s="11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12"/>
      <c r="O5" s="12"/>
      <c r="P5" s="12"/>
      <c r="Q5" s="12"/>
      <c r="R5" s="12"/>
      <c r="S5" s="13"/>
      <c r="T5" s="186"/>
    </row>
    <row r="6" spans="1:22" ht="30" customHeight="1">
      <c r="A6" s="11" t="s">
        <v>290</v>
      </c>
      <c r="B6" s="14"/>
      <c r="C6" s="14"/>
      <c r="D6" s="15"/>
      <c r="E6" s="15"/>
      <c r="F6" s="15"/>
      <c r="G6" s="15"/>
      <c r="H6" s="15"/>
      <c r="I6" s="15"/>
      <c r="J6" s="187"/>
      <c r="K6" s="15"/>
      <c r="L6" s="15"/>
      <c r="M6" s="16"/>
      <c r="N6" s="15"/>
      <c r="O6" s="15"/>
      <c r="P6" s="15"/>
      <c r="Q6" s="15"/>
      <c r="R6" s="15"/>
      <c r="S6" s="16"/>
      <c r="T6" s="186"/>
    </row>
    <row r="7" spans="1:22" ht="30" customHeight="1">
      <c r="A7" s="11" t="str">
        <f>[1]Costing!$K$11</f>
        <v>អគ្គនាយកដ្ឋានគោលនយោបាយ</v>
      </c>
      <c r="B7" s="14"/>
      <c r="C7" s="14"/>
      <c r="D7" s="15"/>
      <c r="E7" s="15"/>
      <c r="F7" s="15"/>
      <c r="G7" s="15"/>
      <c r="H7" s="15"/>
      <c r="I7" s="15"/>
      <c r="J7" s="187"/>
      <c r="K7" s="15"/>
      <c r="L7" s="15"/>
      <c r="M7" s="16"/>
      <c r="N7" s="15"/>
      <c r="O7" s="15"/>
      <c r="P7" s="15"/>
      <c r="Q7" s="15"/>
      <c r="R7" s="15"/>
      <c r="S7" s="16"/>
      <c r="T7" s="186"/>
    </row>
    <row r="8" spans="1:22" ht="21.75" customHeight="1">
      <c r="A8" s="17"/>
      <c r="B8" s="18"/>
      <c r="C8" s="18"/>
      <c r="D8" s="17"/>
      <c r="E8" s="20"/>
      <c r="F8" s="20"/>
      <c r="G8" s="20"/>
      <c r="H8" s="20"/>
      <c r="I8" s="20"/>
      <c r="J8" s="188"/>
      <c r="K8" s="20"/>
      <c r="L8" s="20"/>
      <c r="M8" s="19"/>
      <c r="N8" s="20"/>
      <c r="O8" s="20"/>
      <c r="P8" s="21"/>
      <c r="Q8" s="20"/>
      <c r="R8" s="20"/>
      <c r="S8" s="19"/>
      <c r="T8" s="21" t="s">
        <v>291</v>
      </c>
      <c r="U8" s="21"/>
    </row>
    <row r="9" spans="1:22" ht="21.75" customHeight="1" thickBot="1">
      <c r="A9" s="17"/>
      <c r="B9" s="18"/>
      <c r="C9" s="18"/>
      <c r="D9" s="17"/>
      <c r="E9" s="20"/>
      <c r="F9" s="20"/>
      <c r="G9" s="20"/>
      <c r="H9" s="20"/>
      <c r="I9" s="20"/>
      <c r="J9" s="188"/>
      <c r="K9" s="20"/>
      <c r="L9" s="20"/>
      <c r="M9" s="19"/>
      <c r="N9" s="20"/>
      <c r="O9" s="20"/>
      <c r="P9" s="23"/>
      <c r="Q9" s="20"/>
      <c r="R9" s="20"/>
      <c r="S9" s="19"/>
      <c r="T9" s="23" t="s">
        <v>3</v>
      </c>
      <c r="U9" s="22"/>
    </row>
    <row r="10" spans="1:22" s="28" customFormat="1" ht="23.25" hidden="1" thickBot="1">
      <c r="A10" s="24"/>
      <c r="B10" s="25"/>
      <c r="C10" s="25"/>
      <c r="D10" s="26" t="s">
        <v>292</v>
      </c>
      <c r="G10" s="24"/>
      <c r="H10" s="24"/>
      <c r="I10" s="24"/>
      <c r="J10" s="24"/>
      <c r="K10" s="24"/>
      <c r="L10" s="24"/>
      <c r="M10" s="27"/>
      <c r="N10" s="24"/>
      <c r="O10" s="24"/>
      <c r="Q10" s="24"/>
      <c r="R10" s="24"/>
      <c r="S10" s="27"/>
    </row>
    <row r="11" spans="1:22" s="28" customFormat="1" ht="23.25" hidden="1" thickBot="1">
      <c r="A11" s="24"/>
      <c r="B11" s="25"/>
      <c r="C11" s="25"/>
      <c r="D11" s="26"/>
      <c r="E11" s="24"/>
      <c r="F11" s="24"/>
      <c r="G11" s="24"/>
      <c r="H11" s="24"/>
      <c r="I11" s="24"/>
      <c r="J11" s="24"/>
      <c r="K11" s="24"/>
      <c r="L11" s="24"/>
      <c r="M11" s="27"/>
      <c r="N11" s="24"/>
      <c r="O11" s="24"/>
      <c r="P11" s="24"/>
      <c r="Q11" s="24"/>
      <c r="R11" s="24"/>
      <c r="S11" s="27"/>
    </row>
    <row r="12" spans="1:22" s="4" customFormat="1" ht="25.5" customHeight="1" thickTop="1">
      <c r="A12" s="29" t="s">
        <v>4</v>
      </c>
      <c r="B12" s="30" t="s">
        <v>5</v>
      </c>
      <c r="C12" s="30" t="s">
        <v>6</v>
      </c>
      <c r="D12" s="31" t="s">
        <v>7</v>
      </c>
      <c r="E12" s="189" t="s">
        <v>293</v>
      </c>
      <c r="F12" s="190" t="s">
        <v>9</v>
      </c>
      <c r="G12" s="190"/>
      <c r="H12" s="190"/>
      <c r="I12" s="190" t="s">
        <v>294</v>
      </c>
      <c r="J12" s="190"/>
      <c r="K12" s="190"/>
      <c r="L12" s="190"/>
      <c r="M12" s="190"/>
      <c r="N12" s="190" t="s">
        <v>0</v>
      </c>
      <c r="O12" s="190"/>
      <c r="P12" s="191"/>
      <c r="Q12" s="191" t="s">
        <v>295</v>
      </c>
      <c r="R12" s="192"/>
      <c r="S12" s="193" t="s">
        <v>296</v>
      </c>
      <c r="T12" s="194" t="s">
        <v>297</v>
      </c>
    </row>
    <row r="13" spans="1:22" s="4" customFormat="1" ht="25.5" customHeight="1">
      <c r="A13" s="35"/>
      <c r="B13" s="36"/>
      <c r="C13" s="36"/>
      <c r="D13" s="37"/>
      <c r="E13" s="195"/>
      <c r="F13" s="196" t="s">
        <v>298</v>
      </c>
      <c r="G13" s="196" t="s">
        <v>299</v>
      </c>
      <c r="H13" s="196" t="s">
        <v>300</v>
      </c>
      <c r="I13" s="39" t="s">
        <v>301</v>
      </c>
      <c r="J13" s="40" t="s">
        <v>302</v>
      </c>
      <c r="K13" s="40" t="s">
        <v>17</v>
      </c>
      <c r="L13" s="40"/>
      <c r="M13" s="40"/>
      <c r="N13" s="196" t="s">
        <v>303</v>
      </c>
      <c r="O13" s="197" t="s">
        <v>304</v>
      </c>
      <c r="P13" s="198" t="s">
        <v>305</v>
      </c>
      <c r="Q13" s="196" t="s">
        <v>303</v>
      </c>
      <c r="R13" s="198" t="s">
        <v>304</v>
      </c>
      <c r="S13" s="199"/>
      <c r="T13" s="200"/>
    </row>
    <row r="14" spans="1:22" ht="39" customHeight="1" thickBot="1">
      <c r="A14" s="42"/>
      <c r="B14" s="43"/>
      <c r="C14" s="43"/>
      <c r="D14" s="44"/>
      <c r="E14" s="201"/>
      <c r="F14" s="202"/>
      <c r="G14" s="202"/>
      <c r="H14" s="202"/>
      <c r="I14" s="46"/>
      <c r="J14" s="47"/>
      <c r="K14" s="50" t="s">
        <v>303</v>
      </c>
      <c r="L14" s="203" t="s">
        <v>306</v>
      </c>
      <c r="M14" s="203" t="s">
        <v>307</v>
      </c>
      <c r="N14" s="202"/>
      <c r="O14" s="204"/>
      <c r="P14" s="205"/>
      <c r="Q14" s="202"/>
      <c r="R14" s="205"/>
      <c r="S14" s="206"/>
      <c r="T14" s="207"/>
      <c r="V14"/>
    </row>
    <row r="15" spans="1:22" s="60" customFormat="1" ht="20.149999999999999" customHeight="1" thickTop="1">
      <c r="A15" s="208" t="s">
        <v>308</v>
      </c>
      <c r="B15" s="209"/>
      <c r="C15" s="209"/>
      <c r="D15" s="210"/>
      <c r="E15" s="211">
        <f t="shared" ref="E15:K15" si="0">E16+E343</f>
        <v>21633.012999999999</v>
      </c>
      <c r="F15" s="211">
        <f t="shared" si="0"/>
        <v>2069.3989999999999</v>
      </c>
      <c r="G15" s="211">
        <f t="shared" si="0"/>
        <v>0</v>
      </c>
      <c r="H15" s="211">
        <f t="shared" si="0"/>
        <v>2069.3989999999999</v>
      </c>
      <c r="I15" s="211">
        <f t="shared" si="0"/>
        <v>992.87000000000012</v>
      </c>
      <c r="J15" s="211">
        <f t="shared" si="0"/>
        <v>1076.529</v>
      </c>
      <c r="K15" s="211">
        <f t="shared" si="0"/>
        <v>2069.3989999999999</v>
      </c>
      <c r="L15" s="212">
        <f t="shared" ref="L15:L20" si="1">IFERROR(K15/F15,"-")</f>
        <v>1</v>
      </c>
      <c r="M15" s="212">
        <f t="shared" ref="M15:M20" si="2">IFERROR(K15/H15,"-")</f>
        <v>1</v>
      </c>
      <c r="N15" s="211">
        <f t="shared" ref="N15" si="3">N16+N343</f>
        <v>3110.7</v>
      </c>
      <c r="O15" s="212">
        <f t="shared" ref="O15:O20" si="4">IFERROR(N15/F15,"-")</f>
        <v>1.5031900566299683</v>
      </c>
      <c r="P15" s="212">
        <f t="shared" ref="P15:P20" si="5">IFERROR(N15/H15,"-")</f>
        <v>1.5031900566299683</v>
      </c>
      <c r="Q15" s="211">
        <f t="shared" ref="Q15" si="6">Q16+Q343</f>
        <v>1041.3009999999999</v>
      </c>
      <c r="R15" s="212">
        <f t="shared" ref="R15:R20" si="7">IFERROR(Q15/F15,"-")</f>
        <v>0.50319005662996841</v>
      </c>
      <c r="S15" s="213">
        <f>S16+S343</f>
        <v>52.2</v>
      </c>
      <c r="T15" s="214"/>
      <c r="U15" s="60" t="str">
        <f t="shared" ref="U15:U78" si="8">IF(OR(F15&gt;0,H15&gt;0,N15&gt;0),"ok","-")</f>
        <v>ok</v>
      </c>
      <c r="V15"/>
    </row>
    <row r="16" spans="1:22" s="60" customFormat="1" ht="20.149999999999999" customHeight="1">
      <c r="A16" s="215" t="s">
        <v>309</v>
      </c>
      <c r="B16" s="216"/>
      <c r="C16" s="216"/>
      <c r="D16" s="217"/>
      <c r="E16" s="218">
        <f t="shared" ref="E16:K16" si="9">E17+E324</f>
        <v>21633.012999999999</v>
      </c>
      <c r="F16" s="218">
        <f t="shared" si="9"/>
        <v>2069.3989999999999</v>
      </c>
      <c r="G16" s="218">
        <f t="shared" si="9"/>
        <v>0</v>
      </c>
      <c r="H16" s="218">
        <f t="shared" si="9"/>
        <v>2069.3989999999999</v>
      </c>
      <c r="I16" s="218">
        <f t="shared" si="9"/>
        <v>992.87000000000012</v>
      </c>
      <c r="J16" s="218">
        <f t="shared" si="9"/>
        <v>1076.529</v>
      </c>
      <c r="K16" s="218">
        <f t="shared" si="9"/>
        <v>2069.3989999999999</v>
      </c>
      <c r="L16" s="219">
        <f t="shared" si="1"/>
        <v>1</v>
      </c>
      <c r="M16" s="219">
        <f t="shared" si="2"/>
        <v>1</v>
      </c>
      <c r="N16" s="218">
        <f t="shared" ref="N16" si="10">N17+N324</f>
        <v>3110.7</v>
      </c>
      <c r="O16" s="219">
        <f t="shared" si="4"/>
        <v>1.5031900566299683</v>
      </c>
      <c r="P16" s="219">
        <f t="shared" si="5"/>
        <v>1.5031900566299683</v>
      </c>
      <c r="Q16" s="218">
        <f t="shared" ref="Q16" si="11">Q17+Q324</f>
        <v>1041.3009999999999</v>
      </c>
      <c r="R16" s="219">
        <f t="shared" si="7"/>
        <v>0.50319005662996841</v>
      </c>
      <c r="S16" s="220">
        <f t="shared" ref="S16" si="12">S17+S324</f>
        <v>52.2</v>
      </c>
      <c r="T16" s="221"/>
      <c r="U16" s="60" t="str">
        <f t="shared" si="8"/>
        <v>ok</v>
      </c>
      <c r="V16"/>
    </row>
    <row r="17" spans="1:22" ht="20.149999999999999" customHeight="1">
      <c r="A17" s="222" t="s">
        <v>310</v>
      </c>
      <c r="B17" s="223"/>
      <c r="C17" s="223"/>
      <c r="D17" s="224"/>
      <c r="E17" s="225">
        <f t="shared" ref="E17:K17" si="13">E18+E201+E215+E295</f>
        <v>21633.012999999999</v>
      </c>
      <c r="F17" s="225">
        <f t="shared" si="13"/>
        <v>2069.3989999999999</v>
      </c>
      <c r="G17" s="225">
        <f t="shared" si="13"/>
        <v>0</v>
      </c>
      <c r="H17" s="225">
        <f t="shared" si="13"/>
        <v>2069.3989999999999</v>
      </c>
      <c r="I17" s="225">
        <f t="shared" si="13"/>
        <v>992.87000000000012</v>
      </c>
      <c r="J17" s="225">
        <f t="shared" si="13"/>
        <v>1076.529</v>
      </c>
      <c r="K17" s="225">
        <f t="shared" si="13"/>
        <v>2069.3989999999999</v>
      </c>
      <c r="L17" s="226">
        <f t="shared" si="1"/>
        <v>1</v>
      </c>
      <c r="M17" s="226">
        <f t="shared" si="2"/>
        <v>1</v>
      </c>
      <c r="N17" s="225">
        <f t="shared" ref="N17" si="14">N18+N201+N215+N295</f>
        <v>3110.7</v>
      </c>
      <c r="O17" s="226">
        <f t="shared" si="4"/>
        <v>1.5031900566299683</v>
      </c>
      <c r="P17" s="226">
        <f t="shared" si="5"/>
        <v>1.5031900566299683</v>
      </c>
      <c r="Q17" s="225">
        <f t="shared" ref="Q17" si="15">Q18+Q201+Q215+Q295</f>
        <v>1041.3009999999999</v>
      </c>
      <c r="R17" s="226">
        <f t="shared" si="7"/>
        <v>0.50319005662996841</v>
      </c>
      <c r="S17" s="227">
        <f t="shared" ref="S17" si="16">S18+S201+S215+S295</f>
        <v>52.2</v>
      </c>
      <c r="T17" s="228"/>
      <c r="U17" s="10" t="str">
        <f t="shared" si="8"/>
        <v>ok</v>
      </c>
      <c r="V17"/>
    </row>
    <row r="18" spans="1:22" s="137" customFormat="1" ht="20.149999999999999" customHeight="1">
      <c r="A18" s="229" t="s">
        <v>311</v>
      </c>
      <c r="B18" s="229"/>
      <c r="C18" s="229"/>
      <c r="D18" s="229"/>
      <c r="E18" s="230">
        <f t="shared" ref="E18:K18" si="17">E19+E63+E148</f>
        <v>1633.0129999999997</v>
      </c>
      <c r="F18" s="230">
        <f t="shared" si="17"/>
        <v>2069.3989999999999</v>
      </c>
      <c r="G18" s="230">
        <f t="shared" si="17"/>
        <v>0</v>
      </c>
      <c r="H18" s="230">
        <f t="shared" si="17"/>
        <v>2069.3989999999999</v>
      </c>
      <c r="I18" s="230">
        <f t="shared" si="17"/>
        <v>992.87000000000012</v>
      </c>
      <c r="J18" s="230">
        <f t="shared" si="17"/>
        <v>1076.529</v>
      </c>
      <c r="K18" s="230">
        <f t="shared" si="17"/>
        <v>2069.3989999999999</v>
      </c>
      <c r="L18" s="231">
        <f t="shared" si="1"/>
        <v>1</v>
      </c>
      <c r="M18" s="231">
        <f t="shared" si="2"/>
        <v>1</v>
      </c>
      <c r="N18" s="230">
        <f t="shared" ref="N18" si="18">N19+N63+N148</f>
        <v>3110.7</v>
      </c>
      <c r="O18" s="231">
        <f t="shared" si="4"/>
        <v>1.5031900566299683</v>
      </c>
      <c r="P18" s="231">
        <f t="shared" si="5"/>
        <v>1.5031900566299683</v>
      </c>
      <c r="Q18" s="230">
        <f t="shared" ref="Q18" si="19">Q19+Q63+Q148</f>
        <v>1041.3009999999999</v>
      </c>
      <c r="R18" s="231">
        <f t="shared" si="7"/>
        <v>0.50319005662996841</v>
      </c>
      <c r="S18" s="232">
        <f t="shared" ref="S18" si="20">S19+S63+S148</f>
        <v>52.2</v>
      </c>
      <c r="T18" s="233"/>
      <c r="U18" s="137" t="str">
        <f t="shared" si="8"/>
        <v>ok</v>
      </c>
      <c r="V18"/>
    </row>
    <row r="19" spans="1:22" ht="20.149999999999999" customHeight="1">
      <c r="A19" s="234">
        <v>60</v>
      </c>
      <c r="B19" s="234"/>
      <c r="C19" s="235"/>
      <c r="D19" s="236" t="s">
        <v>312</v>
      </c>
      <c r="E19" s="237">
        <f t="shared" ref="E19:K19" si="21">E20+E27+E32+E41+E46+E53+E57+E61</f>
        <v>247.84700000000001</v>
      </c>
      <c r="F19" s="237">
        <f t="shared" si="21"/>
        <v>322</v>
      </c>
      <c r="G19" s="237">
        <f t="shared" si="21"/>
        <v>0</v>
      </c>
      <c r="H19" s="237">
        <f t="shared" si="21"/>
        <v>322</v>
      </c>
      <c r="I19" s="237">
        <f t="shared" si="21"/>
        <v>279.97000000000003</v>
      </c>
      <c r="J19" s="237">
        <f t="shared" si="21"/>
        <v>42.029999999999987</v>
      </c>
      <c r="K19" s="237">
        <f t="shared" si="21"/>
        <v>322</v>
      </c>
      <c r="L19" s="238">
        <f t="shared" si="1"/>
        <v>1</v>
      </c>
      <c r="M19" s="238">
        <f t="shared" si="2"/>
        <v>1</v>
      </c>
      <c r="N19" s="237">
        <f t="shared" ref="N19" si="22">N20+N27+N32+N41+N46+N53+N57+N61</f>
        <v>446.3</v>
      </c>
      <c r="O19" s="238">
        <f t="shared" si="4"/>
        <v>1.386024844720497</v>
      </c>
      <c r="P19" s="238">
        <f t="shared" si="5"/>
        <v>1.386024844720497</v>
      </c>
      <c r="Q19" s="237">
        <f t="shared" ref="Q19" si="23">Q20+Q27+Q32+Q41+Q46+Q53+Q57+Q61</f>
        <v>124.3</v>
      </c>
      <c r="R19" s="238">
        <f t="shared" si="7"/>
        <v>0.38602484472049686</v>
      </c>
      <c r="S19" s="239">
        <f t="shared" ref="S19" si="24">S20+S27+S32+S41+S46+S53+S57+S61</f>
        <v>52.2</v>
      </c>
      <c r="T19" s="240"/>
      <c r="U19" s="10" t="str">
        <f t="shared" si="8"/>
        <v>ok</v>
      </c>
      <c r="V19"/>
    </row>
    <row r="20" spans="1:22" s="104" customFormat="1" ht="20.149999999999999" customHeight="1">
      <c r="A20" s="241"/>
      <c r="B20" s="241">
        <v>6001</v>
      </c>
      <c r="C20" s="241"/>
      <c r="D20" s="242" t="s">
        <v>313</v>
      </c>
      <c r="E20" s="243">
        <f t="shared" ref="E20" si="25">SUM(E21:E26)</f>
        <v>86.662000000000006</v>
      </c>
      <c r="F20" s="243">
        <f t="shared" ref="F20:K20" si="26">SUM(F21:F26)</f>
        <v>104.30000000000001</v>
      </c>
      <c r="G20" s="243">
        <f t="shared" si="26"/>
        <v>0</v>
      </c>
      <c r="H20" s="243">
        <f t="shared" si="26"/>
        <v>104.30000000000001</v>
      </c>
      <c r="I20" s="243">
        <f t="shared" si="26"/>
        <v>96.81</v>
      </c>
      <c r="J20" s="243">
        <f t="shared" si="26"/>
        <v>7.4899999999999984</v>
      </c>
      <c r="K20" s="243">
        <f t="shared" si="26"/>
        <v>104.30000000000001</v>
      </c>
      <c r="L20" s="244">
        <f t="shared" si="1"/>
        <v>1</v>
      </c>
      <c r="M20" s="244">
        <f t="shared" si="2"/>
        <v>1</v>
      </c>
      <c r="N20" s="243">
        <f t="shared" ref="N20" si="27">SUM(N21:N26)</f>
        <v>154</v>
      </c>
      <c r="O20" s="244">
        <f t="shared" si="4"/>
        <v>1.4765100671140938</v>
      </c>
      <c r="P20" s="244">
        <f t="shared" si="5"/>
        <v>1.4765100671140938</v>
      </c>
      <c r="Q20" s="243">
        <f t="shared" ref="Q20" si="28">SUM(Q21:Q26)</f>
        <v>49.699999999999989</v>
      </c>
      <c r="R20" s="244">
        <f t="shared" si="7"/>
        <v>0.47651006711409377</v>
      </c>
      <c r="S20" s="245">
        <f t="shared" ref="S20" si="29">SUM(S21:S26)</f>
        <v>0</v>
      </c>
      <c r="T20" s="246"/>
      <c r="U20" s="104" t="str">
        <f t="shared" si="8"/>
        <v>ok</v>
      </c>
      <c r="V20"/>
    </row>
    <row r="21" spans="1:22" ht="20.149999999999999" customHeight="1">
      <c r="A21" s="247"/>
      <c r="B21" s="247"/>
      <c r="C21" s="248">
        <v>60011</v>
      </c>
      <c r="D21" s="249" t="s">
        <v>314</v>
      </c>
      <c r="E21" s="250">
        <v>33.354999999999997</v>
      </c>
      <c r="F21" s="251">
        <v>48.4</v>
      </c>
      <c r="G21" s="250"/>
      <c r="H21" s="251">
        <v>48.4</v>
      </c>
      <c r="I21" s="250">
        <v>40.92</v>
      </c>
      <c r="J21" s="250">
        <f>H21-I21</f>
        <v>7.4799999999999969</v>
      </c>
      <c r="K21" s="250">
        <f>SUM(I21:J21)</f>
        <v>48.4</v>
      </c>
      <c r="L21" s="252">
        <f>IFERROR(K21/F21,"-")</f>
        <v>1</v>
      </c>
      <c r="M21" s="252">
        <f>IFERROR(K21/H21,"-")</f>
        <v>1</v>
      </c>
      <c r="N21" s="250">
        <f>[1]PB8!E21</f>
        <v>66.3</v>
      </c>
      <c r="O21" s="252">
        <f>IFERROR(N21/F21,"-")</f>
        <v>1.3698347107438016</v>
      </c>
      <c r="P21" s="252">
        <f>IFERROR(N21/H21,"-")</f>
        <v>1.3698347107438016</v>
      </c>
      <c r="Q21" s="250">
        <f>N21-F21</f>
        <v>17.899999999999999</v>
      </c>
      <c r="R21" s="252">
        <f>IFERROR(Q21/F21,"-")</f>
        <v>0.36983471074380164</v>
      </c>
      <c r="S21" s="253">
        <f>[1]PB8!W21</f>
        <v>0</v>
      </c>
      <c r="T21" s="254" t="s">
        <v>315</v>
      </c>
      <c r="U21" s="10" t="str">
        <f t="shared" si="8"/>
        <v>ok</v>
      </c>
      <c r="V21"/>
    </row>
    <row r="22" spans="1:22" ht="20.149999999999999" hidden="1" customHeight="1">
      <c r="A22" s="247"/>
      <c r="B22" s="247"/>
      <c r="C22" s="248">
        <v>60012</v>
      </c>
      <c r="D22" s="249" t="s">
        <v>316</v>
      </c>
      <c r="E22" s="250"/>
      <c r="F22" s="255"/>
      <c r="G22" s="250"/>
      <c r="H22" s="255"/>
      <c r="I22" s="250"/>
      <c r="J22" s="250">
        <f t="shared" ref="J22:J26" si="30">H22-I22</f>
        <v>0</v>
      </c>
      <c r="K22" s="250">
        <f t="shared" ref="K22:K26" si="31">SUM(I22:J22)</f>
        <v>0</v>
      </c>
      <c r="L22" s="252" t="str">
        <f t="shared" ref="L22:L85" si="32">IFERROR(K22/F22,"-")</f>
        <v>-</v>
      </c>
      <c r="M22" s="252" t="str">
        <f t="shared" ref="M22:M85" si="33">IFERROR(K22/H22,"-")</f>
        <v>-</v>
      </c>
      <c r="N22" s="250">
        <f>[1]PB8!E22</f>
        <v>0</v>
      </c>
      <c r="O22" s="252" t="str">
        <f t="shared" ref="O22:O85" si="34">IFERROR(N22/F22,"-")</f>
        <v>-</v>
      </c>
      <c r="P22" s="252" t="str">
        <f t="shared" ref="P22:P85" si="35">IFERROR(N22/H22,"-")</f>
        <v>-</v>
      </c>
      <c r="Q22" s="250">
        <f t="shared" ref="Q22:Q26" si="36">N22-F22</f>
        <v>0</v>
      </c>
      <c r="R22" s="252" t="str">
        <f t="shared" ref="R22:R85" si="37">IFERROR(Q22/F22,"-")</f>
        <v>-</v>
      </c>
      <c r="S22" s="253">
        <f>[1]PB8!W22</f>
        <v>0</v>
      </c>
      <c r="T22" s="256"/>
      <c r="U22" s="10" t="str">
        <f t="shared" si="8"/>
        <v>-</v>
      </c>
      <c r="V22"/>
    </row>
    <row r="23" spans="1:22" ht="20.149999999999999" hidden="1" customHeight="1">
      <c r="A23" s="247"/>
      <c r="B23" s="247"/>
      <c r="C23" s="248">
        <v>60013</v>
      </c>
      <c r="D23" s="249" t="s">
        <v>317</v>
      </c>
      <c r="E23" s="250"/>
      <c r="F23" s="255"/>
      <c r="G23" s="250"/>
      <c r="H23" s="255"/>
      <c r="I23" s="250"/>
      <c r="J23" s="250">
        <f t="shared" si="30"/>
        <v>0</v>
      </c>
      <c r="K23" s="250">
        <f t="shared" si="31"/>
        <v>0</v>
      </c>
      <c r="L23" s="252" t="str">
        <f t="shared" si="32"/>
        <v>-</v>
      </c>
      <c r="M23" s="252" t="str">
        <f t="shared" si="33"/>
        <v>-</v>
      </c>
      <c r="N23" s="250">
        <f>[1]PB8!E23</f>
        <v>0</v>
      </c>
      <c r="O23" s="252" t="str">
        <f t="shared" si="34"/>
        <v>-</v>
      </c>
      <c r="P23" s="252" t="str">
        <f t="shared" si="35"/>
        <v>-</v>
      </c>
      <c r="Q23" s="250">
        <f t="shared" si="36"/>
        <v>0</v>
      </c>
      <c r="R23" s="252" t="str">
        <f t="shared" si="37"/>
        <v>-</v>
      </c>
      <c r="S23" s="253">
        <f>[1]PB8!W23</f>
        <v>0</v>
      </c>
      <c r="T23" s="256"/>
      <c r="U23" s="10" t="str">
        <f t="shared" si="8"/>
        <v>-</v>
      </c>
      <c r="V23"/>
    </row>
    <row r="24" spans="1:22" ht="20.149999999999999" customHeight="1">
      <c r="A24" s="247"/>
      <c r="B24" s="247"/>
      <c r="C24" s="248">
        <v>60014</v>
      </c>
      <c r="D24" s="249" t="s">
        <v>318</v>
      </c>
      <c r="E24" s="250">
        <v>26.207000000000001</v>
      </c>
      <c r="F24" s="251">
        <v>28.8</v>
      </c>
      <c r="G24" s="250"/>
      <c r="H24" s="251">
        <v>28.8</v>
      </c>
      <c r="I24" s="250">
        <v>28.79</v>
      </c>
      <c r="J24" s="250">
        <f t="shared" si="30"/>
        <v>1.0000000000001563E-2</v>
      </c>
      <c r="K24" s="250">
        <f t="shared" si="31"/>
        <v>28.8</v>
      </c>
      <c r="L24" s="252">
        <f t="shared" si="32"/>
        <v>1</v>
      </c>
      <c r="M24" s="252">
        <f t="shared" si="33"/>
        <v>1</v>
      </c>
      <c r="N24" s="250">
        <f>[1]PB8!E24</f>
        <v>35.199999999999996</v>
      </c>
      <c r="O24" s="252">
        <f t="shared" si="34"/>
        <v>1.2222222222222221</v>
      </c>
      <c r="P24" s="252">
        <f t="shared" si="35"/>
        <v>1.2222222222222221</v>
      </c>
      <c r="Q24" s="250">
        <f t="shared" si="36"/>
        <v>6.399999999999995</v>
      </c>
      <c r="R24" s="252">
        <f t="shared" si="37"/>
        <v>0.22222222222222204</v>
      </c>
      <c r="S24" s="253">
        <f>[1]PB8!W24</f>
        <v>0</v>
      </c>
      <c r="T24" s="254" t="s">
        <v>319</v>
      </c>
      <c r="U24" s="10" t="str">
        <f t="shared" si="8"/>
        <v>ok</v>
      </c>
      <c r="V24"/>
    </row>
    <row r="25" spans="1:22" ht="20.149999999999999" customHeight="1">
      <c r="A25" s="247"/>
      <c r="B25" s="247"/>
      <c r="C25" s="248">
        <v>60015</v>
      </c>
      <c r="D25" s="249" t="s">
        <v>320</v>
      </c>
      <c r="E25" s="250">
        <f>54.2/2</f>
        <v>27.1</v>
      </c>
      <c r="F25" s="251">
        <v>27.1</v>
      </c>
      <c r="G25" s="250"/>
      <c r="H25" s="251">
        <v>27.1</v>
      </c>
      <c r="I25" s="250">
        <v>27.1</v>
      </c>
      <c r="J25" s="250">
        <f t="shared" si="30"/>
        <v>0</v>
      </c>
      <c r="K25" s="250">
        <f t="shared" si="31"/>
        <v>27.1</v>
      </c>
      <c r="L25" s="252">
        <f t="shared" si="32"/>
        <v>1</v>
      </c>
      <c r="M25" s="252">
        <f t="shared" si="33"/>
        <v>1</v>
      </c>
      <c r="N25" s="250">
        <f>[1]PB8!E25</f>
        <v>52.5</v>
      </c>
      <c r="O25" s="252">
        <f t="shared" si="34"/>
        <v>1.9372693726937269</v>
      </c>
      <c r="P25" s="252">
        <f t="shared" si="35"/>
        <v>1.9372693726937269</v>
      </c>
      <c r="Q25" s="250">
        <f t="shared" si="36"/>
        <v>25.4</v>
      </c>
      <c r="R25" s="252">
        <f t="shared" si="37"/>
        <v>0.93726937269372679</v>
      </c>
      <c r="S25" s="253">
        <f>[1]PB8!W25</f>
        <v>0</v>
      </c>
      <c r="T25" s="254" t="s">
        <v>321</v>
      </c>
      <c r="U25" s="10" t="str">
        <f t="shared" si="8"/>
        <v>ok</v>
      </c>
      <c r="V25"/>
    </row>
    <row r="26" spans="1:22" ht="20.149999999999999" customHeight="1">
      <c r="A26" s="247"/>
      <c r="B26" s="247"/>
      <c r="C26" s="248">
        <v>60018</v>
      </c>
      <c r="D26" s="249" t="s">
        <v>322</v>
      </c>
      <c r="E26" s="250"/>
      <c r="F26" s="250"/>
      <c r="G26" s="250"/>
      <c r="H26" s="250"/>
      <c r="I26" s="250"/>
      <c r="J26" s="250">
        <f t="shared" si="30"/>
        <v>0</v>
      </c>
      <c r="K26" s="250">
        <f t="shared" si="31"/>
        <v>0</v>
      </c>
      <c r="L26" s="252" t="str">
        <f t="shared" si="32"/>
        <v>-</v>
      </c>
      <c r="M26" s="252" t="str">
        <f t="shared" si="33"/>
        <v>-</v>
      </c>
      <c r="N26" s="250">
        <f>[1]PB8!E26</f>
        <v>0</v>
      </c>
      <c r="O26" s="252" t="str">
        <f t="shared" si="34"/>
        <v>-</v>
      </c>
      <c r="P26" s="252" t="str">
        <f t="shared" si="35"/>
        <v>-</v>
      </c>
      <c r="Q26" s="250">
        <f t="shared" si="36"/>
        <v>0</v>
      </c>
      <c r="R26" s="252" t="str">
        <f t="shared" si="37"/>
        <v>-</v>
      </c>
      <c r="S26" s="253">
        <f>[1]PB8!W26</f>
        <v>0</v>
      </c>
      <c r="T26" s="257"/>
      <c r="U26" s="10" t="str">
        <f t="shared" si="8"/>
        <v>-</v>
      </c>
      <c r="V26"/>
    </row>
    <row r="27" spans="1:22" ht="20.149999999999999" customHeight="1">
      <c r="A27" s="241"/>
      <c r="B27" s="241">
        <v>6002</v>
      </c>
      <c r="C27" s="241"/>
      <c r="D27" s="242" t="s">
        <v>323</v>
      </c>
      <c r="E27" s="243">
        <f t="shared" ref="E27" si="38">SUM(E28:E31)</f>
        <v>98.34</v>
      </c>
      <c r="F27" s="243">
        <f t="shared" ref="F27:K27" si="39">SUM(F28:F31)</f>
        <v>106</v>
      </c>
      <c r="G27" s="243">
        <f t="shared" si="39"/>
        <v>0</v>
      </c>
      <c r="H27" s="243">
        <f t="shared" si="39"/>
        <v>106</v>
      </c>
      <c r="I27" s="243">
        <f t="shared" si="39"/>
        <v>88.29</v>
      </c>
      <c r="J27" s="243">
        <f t="shared" si="39"/>
        <v>17.709999999999994</v>
      </c>
      <c r="K27" s="243">
        <f t="shared" si="39"/>
        <v>106</v>
      </c>
      <c r="L27" s="244">
        <f t="shared" si="32"/>
        <v>1</v>
      </c>
      <c r="M27" s="244">
        <f t="shared" si="33"/>
        <v>1</v>
      </c>
      <c r="N27" s="243">
        <f t="shared" ref="N27" si="40">SUM(N28:N31)</f>
        <v>137.80000000000001</v>
      </c>
      <c r="O27" s="244">
        <f t="shared" si="34"/>
        <v>1.3</v>
      </c>
      <c r="P27" s="244">
        <f t="shared" si="35"/>
        <v>1.3</v>
      </c>
      <c r="Q27" s="243">
        <f t="shared" ref="Q27" si="41">SUM(Q28:Q31)</f>
        <v>31.800000000000011</v>
      </c>
      <c r="R27" s="244">
        <f t="shared" si="37"/>
        <v>0.3000000000000001</v>
      </c>
      <c r="S27" s="245">
        <f t="shared" ref="S27" si="42">SUM(S28:S31)</f>
        <v>0</v>
      </c>
      <c r="T27" s="246"/>
      <c r="U27" s="10" t="str">
        <f t="shared" si="8"/>
        <v>ok</v>
      </c>
      <c r="V27"/>
    </row>
    <row r="28" spans="1:22" ht="20.149999999999999" customHeight="1">
      <c r="A28" s="247"/>
      <c r="B28" s="247"/>
      <c r="C28" s="248">
        <v>60021</v>
      </c>
      <c r="D28" s="249" t="s">
        <v>324</v>
      </c>
      <c r="E28" s="250">
        <v>73.468000000000004</v>
      </c>
      <c r="F28" s="250">
        <v>106</v>
      </c>
      <c r="G28" s="250"/>
      <c r="H28" s="250">
        <v>106</v>
      </c>
      <c r="I28" s="250">
        <v>88.29</v>
      </c>
      <c r="J28" s="250">
        <f>H28-I28</f>
        <v>17.709999999999994</v>
      </c>
      <c r="K28" s="250">
        <f t="shared" ref="K28:K31" si="43">SUM(I28:J28)</f>
        <v>106</v>
      </c>
      <c r="L28" s="252">
        <f t="shared" si="32"/>
        <v>1</v>
      </c>
      <c r="M28" s="252">
        <f t="shared" si="33"/>
        <v>1</v>
      </c>
      <c r="N28" s="250">
        <f>[1]PB8!E28</f>
        <v>137.80000000000001</v>
      </c>
      <c r="O28" s="252">
        <f t="shared" si="34"/>
        <v>1.3</v>
      </c>
      <c r="P28" s="252">
        <f t="shared" si="35"/>
        <v>1.3</v>
      </c>
      <c r="Q28" s="250">
        <f t="shared" ref="Q28:Q31" si="44">N28-F28</f>
        <v>31.800000000000011</v>
      </c>
      <c r="R28" s="252">
        <f t="shared" si="37"/>
        <v>0.3000000000000001</v>
      </c>
      <c r="S28" s="253">
        <f>[1]PB8!W28</f>
        <v>0</v>
      </c>
      <c r="T28" s="254" t="s">
        <v>325</v>
      </c>
      <c r="U28" s="10" t="str">
        <f t="shared" si="8"/>
        <v>ok</v>
      </c>
      <c r="V28"/>
    </row>
    <row r="29" spans="1:22" ht="20.149999999999999" customHeight="1">
      <c r="A29" s="247"/>
      <c r="B29" s="247"/>
      <c r="C29" s="248">
        <v>60022</v>
      </c>
      <c r="D29" s="249" t="s">
        <v>326</v>
      </c>
      <c r="E29" s="250"/>
      <c r="F29" s="250"/>
      <c r="G29" s="250"/>
      <c r="H29" s="250"/>
      <c r="I29" s="250"/>
      <c r="J29" s="250">
        <f t="shared" ref="J29:J31" si="45">I29-H29</f>
        <v>0</v>
      </c>
      <c r="K29" s="250">
        <f t="shared" si="43"/>
        <v>0</v>
      </c>
      <c r="L29" s="252" t="str">
        <f t="shared" si="32"/>
        <v>-</v>
      </c>
      <c r="M29" s="252" t="str">
        <f t="shared" si="33"/>
        <v>-</v>
      </c>
      <c r="N29" s="250">
        <f>[1]PB8!E29</f>
        <v>0</v>
      </c>
      <c r="O29" s="252" t="str">
        <f t="shared" si="34"/>
        <v>-</v>
      </c>
      <c r="P29" s="252" t="str">
        <f t="shared" si="35"/>
        <v>-</v>
      </c>
      <c r="Q29" s="250">
        <f t="shared" si="44"/>
        <v>0</v>
      </c>
      <c r="R29" s="252" t="str">
        <f t="shared" si="37"/>
        <v>-</v>
      </c>
      <c r="S29" s="253">
        <f>[1]PB8!W29</f>
        <v>0</v>
      </c>
      <c r="T29" s="257"/>
      <c r="U29" s="10" t="str">
        <f t="shared" si="8"/>
        <v>-</v>
      </c>
      <c r="V29"/>
    </row>
    <row r="30" spans="1:22" ht="20.149999999999999" customHeight="1">
      <c r="A30" s="247"/>
      <c r="B30" s="247"/>
      <c r="C30" s="248">
        <v>60023</v>
      </c>
      <c r="D30" s="249" t="s">
        <v>327</v>
      </c>
      <c r="E30" s="250">
        <v>24.872</v>
      </c>
      <c r="F30" s="250"/>
      <c r="G30" s="250"/>
      <c r="H30" s="250"/>
      <c r="I30" s="250"/>
      <c r="J30" s="250">
        <f t="shared" si="45"/>
        <v>0</v>
      </c>
      <c r="K30" s="250">
        <f t="shared" si="43"/>
        <v>0</v>
      </c>
      <c r="L30" s="252" t="str">
        <f t="shared" si="32"/>
        <v>-</v>
      </c>
      <c r="M30" s="252" t="str">
        <f t="shared" si="33"/>
        <v>-</v>
      </c>
      <c r="N30" s="250">
        <f>[1]PB8!E30</f>
        <v>0</v>
      </c>
      <c r="O30" s="252" t="str">
        <f t="shared" si="34"/>
        <v>-</v>
      </c>
      <c r="P30" s="252" t="str">
        <f t="shared" si="35"/>
        <v>-</v>
      </c>
      <c r="Q30" s="250">
        <f t="shared" si="44"/>
        <v>0</v>
      </c>
      <c r="R30" s="252" t="str">
        <f t="shared" si="37"/>
        <v>-</v>
      </c>
      <c r="S30" s="253">
        <f>[1]PB8!W30</f>
        <v>0</v>
      </c>
      <c r="T30" s="257"/>
      <c r="U30" s="10" t="str">
        <f t="shared" si="8"/>
        <v>-</v>
      </c>
      <c r="V30"/>
    </row>
    <row r="31" spans="1:22" ht="20.149999999999999" customHeight="1">
      <c r="A31" s="247"/>
      <c r="B31" s="247"/>
      <c r="C31" s="248">
        <v>60028</v>
      </c>
      <c r="D31" s="249" t="s">
        <v>328</v>
      </c>
      <c r="E31" s="250"/>
      <c r="F31" s="250"/>
      <c r="G31" s="250"/>
      <c r="H31" s="250"/>
      <c r="I31" s="250"/>
      <c r="J31" s="250">
        <f t="shared" si="45"/>
        <v>0</v>
      </c>
      <c r="K31" s="250">
        <f t="shared" si="43"/>
        <v>0</v>
      </c>
      <c r="L31" s="252" t="str">
        <f t="shared" si="32"/>
        <v>-</v>
      </c>
      <c r="M31" s="252" t="str">
        <f t="shared" si="33"/>
        <v>-</v>
      </c>
      <c r="N31" s="250">
        <f>[1]PB8!E31</f>
        <v>0</v>
      </c>
      <c r="O31" s="252" t="str">
        <f t="shared" si="34"/>
        <v>-</v>
      </c>
      <c r="P31" s="252" t="str">
        <f t="shared" si="35"/>
        <v>-</v>
      </c>
      <c r="Q31" s="250">
        <f t="shared" si="44"/>
        <v>0</v>
      </c>
      <c r="R31" s="252" t="str">
        <f t="shared" si="37"/>
        <v>-</v>
      </c>
      <c r="S31" s="253">
        <f>[1]PB8!W31</f>
        <v>0</v>
      </c>
      <c r="T31" s="257"/>
      <c r="U31" s="10" t="str">
        <f t="shared" si="8"/>
        <v>-</v>
      </c>
      <c r="V31"/>
    </row>
    <row r="32" spans="1:22" ht="20.149999999999999" customHeight="1">
      <c r="A32" s="241"/>
      <c r="B32" s="241">
        <v>6003</v>
      </c>
      <c r="C32" s="241"/>
      <c r="D32" s="242" t="s">
        <v>329</v>
      </c>
      <c r="E32" s="243">
        <f t="shared" ref="E32:K32" si="46">SUM(E33:E40)</f>
        <v>42.933999999999997</v>
      </c>
      <c r="F32" s="243">
        <f t="shared" si="46"/>
        <v>56.8</v>
      </c>
      <c r="G32" s="243">
        <f t="shared" si="46"/>
        <v>0</v>
      </c>
      <c r="H32" s="243">
        <f t="shared" si="46"/>
        <v>56.8</v>
      </c>
      <c r="I32" s="243">
        <f t="shared" si="46"/>
        <v>47.36</v>
      </c>
      <c r="J32" s="243">
        <f t="shared" si="46"/>
        <v>9.4399999999999977</v>
      </c>
      <c r="K32" s="243">
        <f t="shared" si="46"/>
        <v>56.8</v>
      </c>
      <c r="L32" s="244">
        <f t="shared" si="32"/>
        <v>1</v>
      </c>
      <c r="M32" s="244">
        <f t="shared" si="33"/>
        <v>1</v>
      </c>
      <c r="N32" s="243">
        <f t="shared" ref="N32" si="47">SUM(N33:N40)</f>
        <v>74.3</v>
      </c>
      <c r="O32" s="244">
        <f t="shared" si="34"/>
        <v>1.3080985915492958</v>
      </c>
      <c r="P32" s="244">
        <f t="shared" si="35"/>
        <v>1.3080985915492958</v>
      </c>
      <c r="Q32" s="243">
        <f t="shared" ref="Q32" si="48">SUM(Q33:Q40)</f>
        <v>17.5</v>
      </c>
      <c r="R32" s="244">
        <f t="shared" si="37"/>
        <v>0.30809859154929581</v>
      </c>
      <c r="S32" s="245">
        <f t="shared" ref="S32" si="49">SUM(S33:S40)</f>
        <v>0</v>
      </c>
      <c r="T32" s="246"/>
      <c r="U32" s="10" t="str">
        <f t="shared" si="8"/>
        <v>ok</v>
      </c>
      <c r="V32"/>
    </row>
    <row r="33" spans="1:22" ht="20.149999999999999" hidden="1" customHeight="1" outlineLevel="1">
      <c r="A33" s="247"/>
      <c r="B33" s="247"/>
      <c r="C33" s="248">
        <v>60031</v>
      </c>
      <c r="D33" s="249" t="s">
        <v>330</v>
      </c>
      <c r="E33" s="250"/>
      <c r="F33" s="250"/>
      <c r="G33" s="250"/>
      <c r="H33" s="250"/>
      <c r="I33" s="250"/>
      <c r="J33" s="250"/>
      <c r="K33" s="250">
        <f t="shared" ref="K33:K40" si="50">SUM(I33:J33)</f>
        <v>0</v>
      </c>
      <c r="L33" s="252" t="str">
        <f t="shared" si="32"/>
        <v>-</v>
      </c>
      <c r="M33" s="252" t="str">
        <f t="shared" si="33"/>
        <v>-</v>
      </c>
      <c r="N33" s="250">
        <f>[1]PB8!E33</f>
        <v>0</v>
      </c>
      <c r="O33" s="252" t="str">
        <f t="shared" si="34"/>
        <v>-</v>
      </c>
      <c r="P33" s="252" t="str">
        <f t="shared" si="35"/>
        <v>-</v>
      </c>
      <c r="Q33" s="250">
        <f t="shared" ref="Q33:Q40" si="51">N33-F33</f>
        <v>0</v>
      </c>
      <c r="R33" s="252" t="str">
        <f t="shared" si="37"/>
        <v>-</v>
      </c>
      <c r="S33" s="253">
        <f>[1]PB8!W33</f>
        <v>0</v>
      </c>
      <c r="T33" s="257"/>
      <c r="U33" s="10" t="str">
        <f t="shared" si="8"/>
        <v>-</v>
      </c>
      <c r="V33"/>
    </row>
    <row r="34" spans="1:22" ht="20.149999999999999" hidden="1" customHeight="1" outlineLevel="1">
      <c r="A34" s="247"/>
      <c r="B34" s="247"/>
      <c r="C34" s="248">
        <v>60032</v>
      </c>
      <c r="D34" s="249" t="s">
        <v>331</v>
      </c>
      <c r="E34" s="250"/>
      <c r="F34" s="250"/>
      <c r="G34" s="250"/>
      <c r="H34" s="250"/>
      <c r="I34" s="250"/>
      <c r="J34" s="250"/>
      <c r="K34" s="250">
        <f t="shared" si="50"/>
        <v>0</v>
      </c>
      <c r="L34" s="252" t="str">
        <f t="shared" si="32"/>
        <v>-</v>
      </c>
      <c r="M34" s="252" t="str">
        <f t="shared" si="33"/>
        <v>-</v>
      </c>
      <c r="N34" s="250">
        <f>[1]PB8!E34</f>
        <v>0</v>
      </c>
      <c r="O34" s="252" t="str">
        <f t="shared" si="34"/>
        <v>-</v>
      </c>
      <c r="P34" s="252" t="str">
        <f t="shared" si="35"/>
        <v>-</v>
      </c>
      <c r="Q34" s="250">
        <f t="shared" si="51"/>
        <v>0</v>
      </c>
      <c r="R34" s="252" t="str">
        <f t="shared" si="37"/>
        <v>-</v>
      </c>
      <c r="S34" s="253">
        <f>[1]PB8!W34</f>
        <v>0</v>
      </c>
      <c r="T34" s="257"/>
      <c r="U34" s="10" t="str">
        <f t="shared" si="8"/>
        <v>-</v>
      </c>
      <c r="V34"/>
    </row>
    <row r="35" spans="1:22" ht="20.149999999999999" hidden="1" customHeight="1" outlineLevel="1">
      <c r="A35" s="247"/>
      <c r="B35" s="247"/>
      <c r="C35" s="248">
        <v>60033</v>
      </c>
      <c r="D35" s="249" t="s">
        <v>332</v>
      </c>
      <c r="E35" s="250"/>
      <c r="F35" s="250"/>
      <c r="G35" s="250"/>
      <c r="H35" s="250"/>
      <c r="I35" s="250"/>
      <c r="J35" s="250"/>
      <c r="K35" s="250">
        <f t="shared" si="50"/>
        <v>0</v>
      </c>
      <c r="L35" s="252" t="str">
        <f t="shared" si="32"/>
        <v>-</v>
      </c>
      <c r="M35" s="252" t="str">
        <f t="shared" si="33"/>
        <v>-</v>
      </c>
      <c r="N35" s="250">
        <f>[1]PB8!E35</f>
        <v>0</v>
      </c>
      <c r="O35" s="252" t="str">
        <f t="shared" si="34"/>
        <v>-</v>
      </c>
      <c r="P35" s="252" t="str">
        <f t="shared" si="35"/>
        <v>-</v>
      </c>
      <c r="Q35" s="250">
        <f t="shared" si="51"/>
        <v>0</v>
      </c>
      <c r="R35" s="252" t="str">
        <f t="shared" si="37"/>
        <v>-</v>
      </c>
      <c r="S35" s="253">
        <f>[1]PB8!W35</f>
        <v>0</v>
      </c>
      <c r="T35" s="257"/>
      <c r="U35" s="10" t="str">
        <f t="shared" si="8"/>
        <v>-</v>
      </c>
      <c r="V35"/>
    </row>
    <row r="36" spans="1:22" ht="20.149999999999999" hidden="1" customHeight="1" outlineLevel="1">
      <c r="A36" s="247"/>
      <c r="B36" s="247"/>
      <c r="C36" s="248">
        <v>60034</v>
      </c>
      <c r="D36" s="249" t="s">
        <v>333</v>
      </c>
      <c r="E36" s="250"/>
      <c r="F36" s="250"/>
      <c r="G36" s="250"/>
      <c r="H36" s="250"/>
      <c r="I36" s="250"/>
      <c r="J36" s="250"/>
      <c r="K36" s="250">
        <f t="shared" si="50"/>
        <v>0</v>
      </c>
      <c r="L36" s="252" t="str">
        <f t="shared" si="32"/>
        <v>-</v>
      </c>
      <c r="M36" s="252" t="str">
        <f t="shared" si="33"/>
        <v>-</v>
      </c>
      <c r="N36" s="250">
        <f>[1]PB8!E36</f>
        <v>0</v>
      </c>
      <c r="O36" s="252" t="str">
        <f t="shared" si="34"/>
        <v>-</v>
      </c>
      <c r="P36" s="252" t="str">
        <f t="shared" si="35"/>
        <v>-</v>
      </c>
      <c r="Q36" s="250">
        <f t="shared" si="51"/>
        <v>0</v>
      </c>
      <c r="R36" s="252" t="str">
        <f t="shared" si="37"/>
        <v>-</v>
      </c>
      <c r="S36" s="253">
        <f>[1]PB8!W36</f>
        <v>0</v>
      </c>
      <c r="T36" s="257"/>
      <c r="U36" s="10" t="str">
        <f t="shared" si="8"/>
        <v>-</v>
      </c>
      <c r="V36"/>
    </row>
    <row r="37" spans="1:22" ht="20.149999999999999" hidden="1" customHeight="1" outlineLevel="1">
      <c r="A37" s="247"/>
      <c r="B37" s="247"/>
      <c r="C37" s="248">
        <v>60035</v>
      </c>
      <c r="D37" s="249" t="s">
        <v>334</v>
      </c>
      <c r="E37" s="250"/>
      <c r="F37" s="250"/>
      <c r="G37" s="250"/>
      <c r="H37" s="250"/>
      <c r="I37" s="250"/>
      <c r="J37" s="250"/>
      <c r="K37" s="250">
        <f t="shared" si="50"/>
        <v>0</v>
      </c>
      <c r="L37" s="252" t="str">
        <f t="shared" si="32"/>
        <v>-</v>
      </c>
      <c r="M37" s="252" t="str">
        <f t="shared" si="33"/>
        <v>-</v>
      </c>
      <c r="N37" s="250">
        <f>[1]PB8!E37</f>
        <v>0</v>
      </c>
      <c r="O37" s="252" t="str">
        <f t="shared" si="34"/>
        <v>-</v>
      </c>
      <c r="P37" s="252" t="str">
        <f t="shared" si="35"/>
        <v>-</v>
      </c>
      <c r="Q37" s="250">
        <f t="shared" si="51"/>
        <v>0</v>
      </c>
      <c r="R37" s="252" t="str">
        <f t="shared" si="37"/>
        <v>-</v>
      </c>
      <c r="S37" s="253">
        <f>[1]PB8!W37</f>
        <v>0</v>
      </c>
      <c r="T37" s="257"/>
      <c r="U37" s="10" t="str">
        <f t="shared" si="8"/>
        <v>-</v>
      </c>
      <c r="V37"/>
    </row>
    <row r="38" spans="1:22" ht="20.149999999999999" hidden="1" customHeight="1" outlineLevel="1">
      <c r="A38" s="247"/>
      <c r="B38" s="247"/>
      <c r="C38" s="248">
        <v>60036</v>
      </c>
      <c r="D38" s="249" t="s">
        <v>335</v>
      </c>
      <c r="E38" s="250"/>
      <c r="F38" s="250"/>
      <c r="G38" s="250"/>
      <c r="H38" s="250"/>
      <c r="I38" s="250"/>
      <c r="J38" s="250"/>
      <c r="K38" s="250">
        <f t="shared" si="50"/>
        <v>0</v>
      </c>
      <c r="L38" s="252" t="str">
        <f t="shared" si="32"/>
        <v>-</v>
      </c>
      <c r="M38" s="252" t="str">
        <f t="shared" si="33"/>
        <v>-</v>
      </c>
      <c r="N38" s="250">
        <f>[1]PB8!E38</f>
        <v>0</v>
      </c>
      <c r="O38" s="252" t="str">
        <f t="shared" si="34"/>
        <v>-</v>
      </c>
      <c r="P38" s="252" t="str">
        <f t="shared" si="35"/>
        <v>-</v>
      </c>
      <c r="Q38" s="250">
        <f t="shared" si="51"/>
        <v>0</v>
      </c>
      <c r="R38" s="252" t="str">
        <f t="shared" si="37"/>
        <v>-</v>
      </c>
      <c r="S38" s="253">
        <f>[1]PB8!W38</f>
        <v>0</v>
      </c>
      <c r="T38" s="257"/>
      <c r="U38" s="10" t="str">
        <f t="shared" si="8"/>
        <v>-</v>
      </c>
      <c r="V38"/>
    </row>
    <row r="39" spans="1:22" ht="20.149999999999999" customHeight="1" collapsed="1">
      <c r="A39" s="247"/>
      <c r="B39" s="247"/>
      <c r="C39" s="248">
        <v>60037</v>
      </c>
      <c r="D39" s="249" t="s">
        <v>336</v>
      </c>
      <c r="E39" s="250">
        <v>42.933999999999997</v>
      </c>
      <c r="F39" s="251">
        <v>56.8</v>
      </c>
      <c r="G39" s="250"/>
      <c r="H39" s="251">
        <v>56.8</v>
      </c>
      <c r="I39" s="250">
        <v>47.36</v>
      </c>
      <c r="J39" s="250">
        <f>H39-I39</f>
        <v>9.4399999999999977</v>
      </c>
      <c r="K39" s="250">
        <f t="shared" si="50"/>
        <v>56.8</v>
      </c>
      <c r="L39" s="252">
        <f t="shared" si="32"/>
        <v>1</v>
      </c>
      <c r="M39" s="252">
        <f t="shared" si="33"/>
        <v>1</v>
      </c>
      <c r="N39" s="250">
        <f>[1]PB8!E39</f>
        <v>74.3</v>
      </c>
      <c r="O39" s="252">
        <f t="shared" si="34"/>
        <v>1.3080985915492958</v>
      </c>
      <c r="P39" s="252">
        <f t="shared" si="35"/>
        <v>1.3080985915492958</v>
      </c>
      <c r="Q39" s="250">
        <f t="shared" si="51"/>
        <v>17.5</v>
      </c>
      <c r="R39" s="252">
        <f t="shared" si="37"/>
        <v>0.30809859154929581</v>
      </c>
      <c r="S39" s="253">
        <f>[1]PB8!W39</f>
        <v>0</v>
      </c>
      <c r="T39" s="254" t="s">
        <v>337</v>
      </c>
      <c r="U39" s="10" t="str">
        <f t="shared" si="8"/>
        <v>ok</v>
      </c>
      <c r="V39"/>
    </row>
    <row r="40" spans="1:22" ht="20.149999999999999" hidden="1" customHeight="1">
      <c r="A40" s="247"/>
      <c r="B40" s="247"/>
      <c r="C40" s="248">
        <v>60038</v>
      </c>
      <c r="D40" s="249" t="s">
        <v>338</v>
      </c>
      <c r="E40" s="250"/>
      <c r="F40" s="250"/>
      <c r="G40" s="250"/>
      <c r="H40" s="250"/>
      <c r="I40" s="250"/>
      <c r="J40" s="250"/>
      <c r="K40" s="250">
        <f t="shared" si="50"/>
        <v>0</v>
      </c>
      <c r="L40" s="252" t="str">
        <f t="shared" si="32"/>
        <v>-</v>
      </c>
      <c r="M40" s="252" t="str">
        <f t="shared" si="33"/>
        <v>-</v>
      </c>
      <c r="N40" s="250">
        <f>[1]PB8!E40</f>
        <v>0</v>
      </c>
      <c r="O40" s="252" t="str">
        <f t="shared" si="34"/>
        <v>-</v>
      </c>
      <c r="P40" s="252" t="str">
        <f t="shared" si="35"/>
        <v>-</v>
      </c>
      <c r="Q40" s="250">
        <f t="shared" si="51"/>
        <v>0</v>
      </c>
      <c r="R40" s="252" t="str">
        <f t="shared" si="37"/>
        <v>-</v>
      </c>
      <c r="S40" s="253">
        <f>[1]PB8!W40</f>
        <v>0</v>
      </c>
      <c r="T40" s="257"/>
      <c r="U40" s="10" t="str">
        <f t="shared" si="8"/>
        <v>-</v>
      </c>
      <c r="V40"/>
    </row>
    <row r="41" spans="1:22" ht="20.149999999999999" hidden="1" customHeight="1" outlineLevel="1">
      <c r="A41" s="241"/>
      <c r="B41" s="241">
        <v>6004</v>
      </c>
      <c r="C41" s="241"/>
      <c r="D41" s="242" t="s">
        <v>339</v>
      </c>
      <c r="E41" s="243">
        <f t="shared" ref="E41:K41" si="52">SUM(E42:E45)</f>
        <v>0</v>
      </c>
      <c r="F41" s="243">
        <f t="shared" si="52"/>
        <v>0</v>
      </c>
      <c r="G41" s="243">
        <f t="shared" si="52"/>
        <v>0</v>
      </c>
      <c r="H41" s="243">
        <f t="shared" si="52"/>
        <v>0</v>
      </c>
      <c r="I41" s="243">
        <f t="shared" si="52"/>
        <v>0</v>
      </c>
      <c r="J41" s="243">
        <f t="shared" si="52"/>
        <v>0</v>
      </c>
      <c r="K41" s="243">
        <f t="shared" si="52"/>
        <v>0</v>
      </c>
      <c r="L41" s="244" t="str">
        <f t="shared" si="32"/>
        <v>-</v>
      </c>
      <c r="M41" s="244" t="str">
        <f t="shared" si="33"/>
        <v>-</v>
      </c>
      <c r="N41" s="243">
        <f t="shared" ref="N41" si="53">SUM(N42:N45)</f>
        <v>0</v>
      </c>
      <c r="O41" s="244" t="str">
        <f t="shared" si="34"/>
        <v>-</v>
      </c>
      <c r="P41" s="244" t="str">
        <f t="shared" si="35"/>
        <v>-</v>
      </c>
      <c r="Q41" s="243">
        <f t="shared" ref="Q41" si="54">SUM(Q42:Q45)</f>
        <v>0</v>
      </c>
      <c r="R41" s="244" t="str">
        <f t="shared" si="37"/>
        <v>-</v>
      </c>
      <c r="S41" s="245">
        <f t="shared" ref="S41" si="55">SUM(S42:S45)</f>
        <v>0</v>
      </c>
      <c r="T41" s="246"/>
      <c r="U41" s="10" t="str">
        <f t="shared" si="8"/>
        <v>-</v>
      </c>
      <c r="V41"/>
    </row>
    <row r="42" spans="1:22" ht="20.149999999999999" hidden="1" customHeight="1" outlineLevel="1">
      <c r="A42" s="247"/>
      <c r="B42" s="247"/>
      <c r="C42" s="248">
        <v>60041</v>
      </c>
      <c r="D42" s="249" t="s">
        <v>340</v>
      </c>
      <c r="E42" s="250"/>
      <c r="F42" s="250"/>
      <c r="G42" s="250"/>
      <c r="H42" s="250"/>
      <c r="I42" s="250"/>
      <c r="J42" s="250"/>
      <c r="K42" s="250">
        <f t="shared" ref="K42:K45" si="56">SUM(I42:J42)</f>
        <v>0</v>
      </c>
      <c r="L42" s="252" t="str">
        <f t="shared" si="32"/>
        <v>-</v>
      </c>
      <c r="M42" s="252" t="str">
        <f t="shared" si="33"/>
        <v>-</v>
      </c>
      <c r="N42" s="250">
        <f>[1]PB8!E42</f>
        <v>0</v>
      </c>
      <c r="O42" s="252" t="str">
        <f t="shared" si="34"/>
        <v>-</v>
      </c>
      <c r="P42" s="252" t="str">
        <f t="shared" si="35"/>
        <v>-</v>
      </c>
      <c r="Q42" s="250">
        <f t="shared" ref="Q42:Q45" si="57">N42-F42</f>
        <v>0</v>
      </c>
      <c r="R42" s="252" t="str">
        <f t="shared" si="37"/>
        <v>-</v>
      </c>
      <c r="S42" s="253">
        <f>[1]PB8!W42</f>
        <v>0</v>
      </c>
      <c r="T42" s="257"/>
      <c r="U42" s="10" t="str">
        <f t="shared" si="8"/>
        <v>-</v>
      </c>
      <c r="V42"/>
    </row>
    <row r="43" spans="1:22" ht="20.149999999999999" hidden="1" customHeight="1" outlineLevel="1">
      <c r="A43" s="247"/>
      <c r="B43" s="247"/>
      <c r="C43" s="248">
        <v>60042</v>
      </c>
      <c r="D43" s="249" t="s">
        <v>341</v>
      </c>
      <c r="E43" s="250"/>
      <c r="F43" s="250"/>
      <c r="G43" s="250"/>
      <c r="H43" s="250"/>
      <c r="I43" s="250"/>
      <c r="J43" s="250"/>
      <c r="K43" s="250">
        <f t="shared" si="56"/>
        <v>0</v>
      </c>
      <c r="L43" s="252" t="str">
        <f t="shared" si="32"/>
        <v>-</v>
      </c>
      <c r="M43" s="252" t="str">
        <f t="shared" si="33"/>
        <v>-</v>
      </c>
      <c r="N43" s="250">
        <f>[1]PB8!E43</f>
        <v>0</v>
      </c>
      <c r="O43" s="252" t="str">
        <f t="shared" si="34"/>
        <v>-</v>
      </c>
      <c r="P43" s="252" t="str">
        <f t="shared" si="35"/>
        <v>-</v>
      </c>
      <c r="Q43" s="250">
        <f t="shared" si="57"/>
        <v>0</v>
      </c>
      <c r="R43" s="252" t="str">
        <f t="shared" si="37"/>
        <v>-</v>
      </c>
      <c r="S43" s="253">
        <f>[1]PB8!W43</f>
        <v>0</v>
      </c>
      <c r="T43" s="257"/>
      <c r="U43" s="10" t="str">
        <f t="shared" si="8"/>
        <v>-</v>
      </c>
      <c r="V43"/>
    </row>
    <row r="44" spans="1:22" ht="20.149999999999999" hidden="1" customHeight="1" outlineLevel="1">
      <c r="A44" s="247"/>
      <c r="B44" s="247"/>
      <c r="C44" s="248">
        <v>60043</v>
      </c>
      <c r="D44" s="249" t="s">
        <v>342</v>
      </c>
      <c r="E44" s="250"/>
      <c r="F44" s="250"/>
      <c r="G44" s="250"/>
      <c r="H44" s="250"/>
      <c r="I44" s="250"/>
      <c r="J44" s="250"/>
      <c r="K44" s="250">
        <f t="shared" si="56"/>
        <v>0</v>
      </c>
      <c r="L44" s="252" t="str">
        <f t="shared" si="32"/>
        <v>-</v>
      </c>
      <c r="M44" s="252" t="str">
        <f t="shared" si="33"/>
        <v>-</v>
      </c>
      <c r="N44" s="250">
        <f>[1]PB8!E44</f>
        <v>0</v>
      </c>
      <c r="O44" s="252" t="str">
        <f t="shared" si="34"/>
        <v>-</v>
      </c>
      <c r="P44" s="252" t="str">
        <f t="shared" si="35"/>
        <v>-</v>
      </c>
      <c r="Q44" s="250">
        <f t="shared" si="57"/>
        <v>0</v>
      </c>
      <c r="R44" s="252" t="str">
        <f t="shared" si="37"/>
        <v>-</v>
      </c>
      <c r="S44" s="253">
        <f>[1]PB8!W44</f>
        <v>0</v>
      </c>
      <c r="T44" s="257"/>
      <c r="U44" s="10" t="str">
        <f t="shared" si="8"/>
        <v>-</v>
      </c>
      <c r="V44"/>
    </row>
    <row r="45" spans="1:22" ht="20.149999999999999" hidden="1" customHeight="1" outlineLevel="1">
      <c r="A45" s="247"/>
      <c r="B45" s="247"/>
      <c r="C45" s="248">
        <v>60048</v>
      </c>
      <c r="D45" s="249" t="s">
        <v>343</v>
      </c>
      <c r="E45" s="250"/>
      <c r="F45" s="250"/>
      <c r="G45" s="250"/>
      <c r="H45" s="250"/>
      <c r="I45" s="250"/>
      <c r="J45" s="250"/>
      <c r="K45" s="250">
        <f t="shared" si="56"/>
        <v>0</v>
      </c>
      <c r="L45" s="252" t="str">
        <f t="shared" si="32"/>
        <v>-</v>
      </c>
      <c r="M45" s="252" t="str">
        <f t="shared" si="33"/>
        <v>-</v>
      </c>
      <c r="N45" s="250">
        <f>[1]PB8!E45</f>
        <v>0</v>
      </c>
      <c r="O45" s="252" t="str">
        <f t="shared" si="34"/>
        <v>-</v>
      </c>
      <c r="P45" s="252" t="str">
        <f t="shared" si="35"/>
        <v>-</v>
      </c>
      <c r="Q45" s="250">
        <f t="shared" si="57"/>
        <v>0</v>
      </c>
      <c r="R45" s="252" t="str">
        <f t="shared" si="37"/>
        <v>-</v>
      </c>
      <c r="S45" s="253">
        <f>[1]PB8!W45</f>
        <v>0</v>
      </c>
      <c r="T45" s="257"/>
      <c r="U45" s="10" t="str">
        <f t="shared" si="8"/>
        <v>-</v>
      </c>
      <c r="V45"/>
    </row>
    <row r="46" spans="1:22" ht="20.149999999999999" customHeight="1" collapsed="1">
      <c r="A46" s="241"/>
      <c r="B46" s="241">
        <v>6005</v>
      </c>
      <c r="C46" s="241"/>
      <c r="D46" s="242" t="s">
        <v>344</v>
      </c>
      <c r="E46" s="243">
        <f t="shared" ref="E46:K46" si="58">SUM(E47:E52)</f>
        <v>19.910999999999998</v>
      </c>
      <c r="F46" s="243">
        <f t="shared" si="58"/>
        <v>54.9</v>
      </c>
      <c r="G46" s="243">
        <f t="shared" si="58"/>
        <v>0</v>
      </c>
      <c r="H46" s="243">
        <f t="shared" si="58"/>
        <v>54.9</v>
      </c>
      <c r="I46" s="243">
        <f t="shared" si="58"/>
        <v>47.510000000000005</v>
      </c>
      <c r="J46" s="243">
        <f t="shared" si="58"/>
        <v>7.3899999999999988</v>
      </c>
      <c r="K46" s="243">
        <f t="shared" si="58"/>
        <v>54.9</v>
      </c>
      <c r="L46" s="244">
        <f t="shared" si="32"/>
        <v>1</v>
      </c>
      <c r="M46" s="244">
        <f t="shared" si="33"/>
        <v>1</v>
      </c>
      <c r="N46" s="243">
        <f t="shared" ref="N46" si="59">SUM(N47:N52)</f>
        <v>80.2</v>
      </c>
      <c r="O46" s="244">
        <f t="shared" si="34"/>
        <v>1.4608378870673953</v>
      </c>
      <c r="P46" s="244">
        <f t="shared" si="35"/>
        <v>1.4608378870673953</v>
      </c>
      <c r="Q46" s="243">
        <f t="shared" ref="Q46" si="60">SUM(Q47:Q52)</f>
        <v>25.299999999999997</v>
      </c>
      <c r="R46" s="244">
        <f t="shared" si="37"/>
        <v>0.4608378870673952</v>
      </c>
      <c r="S46" s="245">
        <f t="shared" ref="S46" si="61">SUM(S47:S52)</f>
        <v>52.2</v>
      </c>
      <c r="T46" s="246"/>
      <c r="U46" s="10" t="str">
        <f t="shared" si="8"/>
        <v>ok</v>
      </c>
      <c r="V46"/>
    </row>
    <row r="47" spans="1:22" ht="20.149999999999999" customHeight="1">
      <c r="A47" s="247"/>
      <c r="B47" s="247"/>
      <c r="C47" s="248">
        <v>60051</v>
      </c>
      <c r="D47" s="249" t="s">
        <v>345</v>
      </c>
      <c r="E47" s="250">
        <v>0.29799999999999999</v>
      </c>
      <c r="F47" s="250">
        <v>4</v>
      </c>
      <c r="G47" s="250"/>
      <c r="H47" s="250">
        <v>4</v>
      </c>
      <c r="I47" s="250">
        <v>4</v>
      </c>
      <c r="J47" s="250">
        <f>H47-I47</f>
        <v>0</v>
      </c>
      <c r="K47" s="250">
        <f t="shared" ref="K47:K52" si="62">SUM(I47:J47)</f>
        <v>4</v>
      </c>
      <c r="L47" s="252">
        <f t="shared" si="32"/>
        <v>1</v>
      </c>
      <c r="M47" s="252">
        <f t="shared" si="33"/>
        <v>1</v>
      </c>
      <c r="N47" s="250">
        <f>[1]PB8!E47</f>
        <v>12</v>
      </c>
      <c r="O47" s="252">
        <f t="shared" si="34"/>
        <v>3</v>
      </c>
      <c r="P47" s="252">
        <f t="shared" si="35"/>
        <v>3</v>
      </c>
      <c r="Q47" s="250">
        <f t="shared" ref="Q47:Q52" si="63">N47-F47</f>
        <v>8</v>
      </c>
      <c r="R47" s="252">
        <f t="shared" si="37"/>
        <v>2</v>
      </c>
      <c r="S47" s="253">
        <f>[1]PB8!W47</f>
        <v>0</v>
      </c>
      <c r="T47" s="256" t="s">
        <v>346</v>
      </c>
      <c r="U47" s="10" t="str">
        <f t="shared" si="8"/>
        <v>ok</v>
      </c>
      <c r="V47"/>
    </row>
    <row r="48" spans="1:22" ht="20.149999999999999" customHeight="1">
      <c r="A48" s="247"/>
      <c r="B48" s="247"/>
      <c r="C48" s="248">
        <v>60052</v>
      </c>
      <c r="D48" s="249" t="s">
        <v>347</v>
      </c>
      <c r="E48" s="250">
        <v>6.9880000000000004</v>
      </c>
      <c r="F48" s="250">
        <v>10.9</v>
      </c>
      <c r="G48" s="250"/>
      <c r="H48" s="250">
        <v>10.9</v>
      </c>
      <c r="I48" s="250">
        <v>9.5</v>
      </c>
      <c r="J48" s="250">
        <f t="shared" ref="J48:J52" si="64">H48-I48</f>
        <v>1.4000000000000004</v>
      </c>
      <c r="K48" s="250">
        <f t="shared" si="62"/>
        <v>10.9</v>
      </c>
      <c r="L48" s="252">
        <f t="shared" si="32"/>
        <v>1</v>
      </c>
      <c r="M48" s="252">
        <f t="shared" si="33"/>
        <v>1</v>
      </c>
      <c r="N48" s="250">
        <f>[1]PB8!E48</f>
        <v>21.2</v>
      </c>
      <c r="O48" s="252">
        <f t="shared" si="34"/>
        <v>1.9449541284403669</v>
      </c>
      <c r="P48" s="252">
        <f t="shared" si="35"/>
        <v>1.9449541284403669</v>
      </c>
      <c r="Q48" s="250">
        <f t="shared" si="63"/>
        <v>10.299999999999999</v>
      </c>
      <c r="R48" s="252">
        <f t="shared" si="37"/>
        <v>0.94495412844036686</v>
      </c>
      <c r="S48" s="253">
        <f>[1]PB8!W48</f>
        <v>21.2</v>
      </c>
      <c r="T48" s="256" t="s">
        <v>348</v>
      </c>
      <c r="U48" s="10" t="str">
        <f t="shared" si="8"/>
        <v>ok</v>
      </c>
      <c r="V48"/>
    </row>
    <row r="49" spans="1:22" ht="20.149999999999999" customHeight="1">
      <c r="A49" s="247"/>
      <c r="B49" s="247"/>
      <c r="C49" s="248">
        <v>60053</v>
      </c>
      <c r="D49" s="249" t="s">
        <v>349</v>
      </c>
      <c r="E49" s="250">
        <v>4.085</v>
      </c>
      <c r="F49" s="250">
        <v>12</v>
      </c>
      <c r="G49" s="250"/>
      <c r="H49" s="250">
        <v>12</v>
      </c>
      <c r="I49" s="250">
        <v>10</v>
      </c>
      <c r="J49" s="250">
        <f t="shared" si="64"/>
        <v>2</v>
      </c>
      <c r="K49" s="250">
        <f t="shared" si="62"/>
        <v>12</v>
      </c>
      <c r="L49" s="252">
        <f t="shared" si="32"/>
        <v>1</v>
      </c>
      <c r="M49" s="252">
        <f t="shared" si="33"/>
        <v>1</v>
      </c>
      <c r="N49" s="250">
        <f>[1]PB8!E49</f>
        <v>8</v>
      </c>
      <c r="O49" s="252">
        <f t="shared" si="34"/>
        <v>0.66666666666666663</v>
      </c>
      <c r="P49" s="252">
        <f t="shared" si="35"/>
        <v>0.66666666666666663</v>
      </c>
      <c r="Q49" s="250">
        <f t="shared" si="63"/>
        <v>-4</v>
      </c>
      <c r="R49" s="252">
        <f t="shared" si="37"/>
        <v>-0.33333333333333331</v>
      </c>
      <c r="S49" s="253">
        <f>[1]PB8!W49</f>
        <v>0</v>
      </c>
      <c r="T49" s="256"/>
      <c r="U49" s="10" t="str">
        <f t="shared" si="8"/>
        <v>ok</v>
      </c>
      <c r="V49"/>
    </row>
    <row r="50" spans="1:22" ht="20.149999999999999" hidden="1" customHeight="1">
      <c r="A50" s="247"/>
      <c r="B50" s="247"/>
      <c r="C50" s="248">
        <v>60054</v>
      </c>
      <c r="D50" s="249" t="s">
        <v>350</v>
      </c>
      <c r="E50" s="250"/>
      <c r="F50" s="250"/>
      <c r="G50" s="250"/>
      <c r="H50" s="250"/>
      <c r="I50" s="250"/>
      <c r="J50" s="250">
        <f t="shared" si="64"/>
        <v>0</v>
      </c>
      <c r="K50" s="250">
        <f t="shared" si="62"/>
        <v>0</v>
      </c>
      <c r="L50" s="252" t="str">
        <f t="shared" si="32"/>
        <v>-</v>
      </c>
      <c r="M50" s="252" t="str">
        <f t="shared" si="33"/>
        <v>-</v>
      </c>
      <c r="N50" s="250">
        <f>[1]PB8!E50</f>
        <v>0</v>
      </c>
      <c r="O50" s="252" t="str">
        <f t="shared" si="34"/>
        <v>-</v>
      </c>
      <c r="P50" s="252" t="str">
        <f t="shared" si="35"/>
        <v>-</v>
      </c>
      <c r="Q50" s="250">
        <f t="shared" si="63"/>
        <v>0</v>
      </c>
      <c r="R50" s="252" t="str">
        <f t="shared" si="37"/>
        <v>-</v>
      </c>
      <c r="S50" s="253">
        <f>[1]PB8!W50</f>
        <v>0</v>
      </c>
      <c r="T50" s="257"/>
      <c r="U50" s="10" t="str">
        <f t="shared" si="8"/>
        <v>-</v>
      </c>
      <c r="V50"/>
    </row>
    <row r="51" spans="1:22" ht="20.149999999999999" customHeight="1">
      <c r="A51" s="247"/>
      <c r="B51" s="247"/>
      <c r="C51" s="248">
        <v>60055</v>
      </c>
      <c r="D51" s="249" t="s">
        <v>351</v>
      </c>
      <c r="E51" s="250">
        <v>4.968</v>
      </c>
      <c r="F51" s="250">
        <v>20</v>
      </c>
      <c r="G51" s="250"/>
      <c r="H51" s="250">
        <v>20</v>
      </c>
      <c r="I51" s="250">
        <v>17.010000000000002</v>
      </c>
      <c r="J51" s="250">
        <f t="shared" si="64"/>
        <v>2.9899999999999984</v>
      </c>
      <c r="K51" s="250">
        <f t="shared" si="62"/>
        <v>20</v>
      </c>
      <c r="L51" s="252">
        <f t="shared" si="32"/>
        <v>1</v>
      </c>
      <c r="M51" s="252">
        <f t="shared" si="33"/>
        <v>1</v>
      </c>
      <c r="N51" s="250">
        <f>[1]PB8!E51</f>
        <v>31</v>
      </c>
      <c r="O51" s="252">
        <f t="shared" si="34"/>
        <v>1.55</v>
      </c>
      <c r="P51" s="252">
        <f t="shared" si="35"/>
        <v>1.55</v>
      </c>
      <c r="Q51" s="250">
        <f t="shared" si="63"/>
        <v>11</v>
      </c>
      <c r="R51" s="252">
        <f t="shared" si="37"/>
        <v>0.55000000000000004</v>
      </c>
      <c r="S51" s="253">
        <f>[1]PB8!W51</f>
        <v>31</v>
      </c>
      <c r="T51" s="256" t="s">
        <v>352</v>
      </c>
      <c r="U51" s="10" t="str">
        <f t="shared" si="8"/>
        <v>ok</v>
      </c>
      <c r="V51"/>
    </row>
    <row r="52" spans="1:22" ht="20.149999999999999" customHeight="1">
      <c r="A52" s="247"/>
      <c r="B52" s="247"/>
      <c r="C52" s="248">
        <v>60058</v>
      </c>
      <c r="D52" s="249" t="s">
        <v>353</v>
      </c>
      <c r="E52" s="250">
        <v>3.5720000000000001</v>
      </c>
      <c r="F52" s="250">
        <v>8</v>
      </c>
      <c r="G52" s="250"/>
      <c r="H52" s="250">
        <v>8</v>
      </c>
      <c r="I52" s="250">
        <v>7</v>
      </c>
      <c r="J52" s="250">
        <f t="shared" si="64"/>
        <v>1</v>
      </c>
      <c r="K52" s="250">
        <f t="shared" si="62"/>
        <v>8</v>
      </c>
      <c r="L52" s="252">
        <f t="shared" si="32"/>
        <v>1</v>
      </c>
      <c r="M52" s="252">
        <f t="shared" si="33"/>
        <v>1</v>
      </c>
      <c r="N52" s="250">
        <f>[1]PB8!E52</f>
        <v>8</v>
      </c>
      <c r="O52" s="252">
        <f t="shared" si="34"/>
        <v>1</v>
      </c>
      <c r="P52" s="252">
        <f t="shared" si="35"/>
        <v>1</v>
      </c>
      <c r="Q52" s="250">
        <f t="shared" si="63"/>
        <v>0</v>
      </c>
      <c r="R52" s="252">
        <f t="shared" si="37"/>
        <v>0</v>
      </c>
      <c r="S52" s="253">
        <f>[1]PB8!W52</f>
        <v>0</v>
      </c>
      <c r="T52" s="257"/>
      <c r="U52" s="10" t="str">
        <f t="shared" si="8"/>
        <v>ok</v>
      </c>
      <c r="V52"/>
    </row>
    <row r="53" spans="1:22" ht="20.149999999999999" hidden="1" customHeight="1" outlineLevel="1">
      <c r="A53" s="241"/>
      <c r="B53" s="241">
        <v>6006</v>
      </c>
      <c r="C53" s="241"/>
      <c r="D53" s="242" t="s">
        <v>354</v>
      </c>
      <c r="E53" s="243">
        <f t="shared" ref="E53:K53" si="65">SUM(E54:E56)</f>
        <v>0</v>
      </c>
      <c r="F53" s="243">
        <f t="shared" si="65"/>
        <v>0</v>
      </c>
      <c r="G53" s="243">
        <f t="shared" si="65"/>
        <v>0</v>
      </c>
      <c r="H53" s="243">
        <f t="shared" si="65"/>
        <v>0</v>
      </c>
      <c r="I53" s="243">
        <f t="shared" si="65"/>
        <v>0</v>
      </c>
      <c r="J53" s="243">
        <f t="shared" si="65"/>
        <v>0</v>
      </c>
      <c r="K53" s="243">
        <f t="shared" si="65"/>
        <v>0</v>
      </c>
      <c r="L53" s="244" t="str">
        <f t="shared" si="32"/>
        <v>-</v>
      </c>
      <c r="M53" s="244" t="str">
        <f t="shared" si="33"/>
        <v>-</v>
      </c>
      <c r="N53" s="243">
        <f t="shared" ref="N53" si="66">SUM(N54:N56)</f>
        <v>0</v>
      </c>
      <c r="O53" s="244" t="str">
        <f t="shared" si="34"/>
        <v>-</v>
      </c>
      <c r="P53" s="244" t="str">
        <f t="shared" si="35"/>
        <v>-</v>
      </c>
      <c r="Q53" s="243">
        <f t="shared" ref="Q53" si="67">SUM(Q54:Q56)</f>
        <v>0</v>
      </c>
      <c r="R53" s="244" t="str">
        <f t="shared" si="37"/>
        <v>-</v>
      </c>
      <c r="S53" s="245">
        <f t="shared" ref="S53" si="68">SUM(S54:S56)</f>
        <v>0</v>
      </c>
      <c r="T53" s="246"/>
      <c r="U53" s="10" t="str">
        <f t="shared" si="8"/>
        <v>-</v>
      </c>
      <c r="V53"/>
    </row>
    <row r="54" spans="1:22" ht="20.149999999999999" hidden="1" customHeight="1" outlineLevel="1">
      <c r="A54" s="247"/>
      <c r="B54" s="247"/>
      <c r="C54" s="248">
        <v>60061</v>
      </c>
      <c r="D54" s="249" t="s">
        <v>355</v>
      </c>
      <c r="E54" s="250"/>
      <c r="F54" s="250"/>
      <c r="G54" s="250"/>
      <c r="H54" s="250"/>
      <c r="I54" s="250"/>
      <c r="J54" s="250"/>
      <c r="K54" s="250">
        <f t="shared" ref="K54:K56" si="69">SUM(I54:J54)</f>
        <v>0</v>
      </c>
      <c r="L54" s="252" t="str">
        <f t="shared" si="32"/>
        <v>-</v>
      </c>
      <c r="M54" s="252" t="str">
        <f t="shared" si="33"/>
        <v>-</v>
      </c>
      <c r="N54" s="250">
        <f>[1]PB8!E54</f>
        <v>0</v>
      </c>
      <c r="O54" s="252" t="str">
        <f t="shared" si="34"/>
        <v>-</v>
      </c>
      <c r="P54" s="252" t="str">
        <f t="shared" si="35"/>
        <v>-</v>
      </c>
      <c r="Q54" s="250">
        <f t="shared" ref="Q54:Q56" si="70">N54-F54</f>
        <v>0</v>
      </c>
      <c r="R54" s="252" t="str">
        <f t="shared" si="37"/>
        <v>-</v>
      </c>
      <c r="S54" s="253">
        <f>[1]PB8!W54</f>
        <v>0</v>
      </c>
      <c r="T54" s="257"/>
      <c r="U54" s="10" t="str">
        <f t="shared" si="8"/>
        <v>-</v>
      </c>
      <c r="V54"/>
    </row>
    <row r="55" spans="1:22" ht="20.149999999999999" hidden="1" customHeight="1" outlineLevel="1">
      <c r="A55" s="247"/>
      <c r="B55" s="247"/>
      <c r="C55" s="248">
        <v>60062</v>
      </c>
      <c r="D55" s="249" t="s">
        <v>356</v>
      </c>
      <c r="E55" s="250"/>
      <c r="F55" s="250"/>
      <c r="G55" s="250"/>
      <c r="H55" s="250"/>
      <c r="I55" s="250"/>
      <c r="J55" s="250"/>
      <c r="K55" s="250">
        <f t="shared" si="69"/>
        <v>0</v>
      </c>
      <c r="L55" s="252" t="str">
        <f t="shared" si="32"/>
        <v>-</v>
      </c>
      <c r="M55" s="252" t="str">
        <f t="shared" si="33"/>
        <v>-</v>
      </c>
      <c r="N55" s="250">
        <f>[1]PB8!E55</f>
        <v>0</v>
      </c>
      <c r="O55" s="252" t="str">
        <f t="shared" si="34"/>
        <v>-</v>
      </c>
      <c r="P55" s="252" t="str">
        <f t="shared" si="35"/>
        <v>-</v>
      </c>
      <c r="Q55" s="250">
        <f t="shared" si="70"/>
        <v>0</v>
      </c>
      <c r="R55" s="252" t="str">
        <f t="shared" si="37"/>
        <v>-</v>
      </c>
      <c r="S55" s="253">
        <f>[1]PB8!W55</f>
        <v>0</v>
      </c>
      <c r="T55" s="257"/>
      <c r="U55" s="10" t="str">
        <f t="shared" si="8"/>
        <v>-</v>
      </c>
      <c r="V55"/>
    </row>
    <row r="56" spans="1:22" ht="20.149999999999999" hidden="1" customHeight="1" outlineLevel="1">
      <c r="A56" s="247"/>
      <c r="B56" s="247"/>
      <c r="C56" s="248">
        <v>60068</v>
      </c>
      <c r="D56" s="249" t="s">
        <v>50</v>
      </c>
      <c r="E56" s="250"/>
      <c r="F56" s="250"/>
      <c r="G56" s="250"/>
      <c r="H56" s="250"/>
      <c r="I56" s="250"/>
      <c r="J56" s="250"/>
      <c r="K56" s="250">
        <f t="shared" si="69"/>
        <v>0</v>
      </c>
      <c r="L56" s="252" t="str">
        <f t="shared" si="32"/>
        <v>-</v>
      </c>
      <c r="M56" s="252" t="str">
        <f t="shared" si="33"/>
        <v>-</v>
      </c>
      <c r="N56" s="250">
        <f>[1]PB8!E56</f>
        <v>0</v>
      </c>
      <c r="O56" s="252" t="str">
        <f t="shared" si="34"/>
        <v>-</v>
      </c>
      <c r="P56" s="252" t="str">
        <f t="shared" si="35"/>
        <v>-</v>
      </c>
      <c r="Q56" s="250">
        <f t="shared" si="70"/>
        <v>0</v>
      </c>
      <c r="R56" s="252" t="str">
        <f t="shared" si="37"/>
        <v>-</v>
      </c>
      <c r="S56" s="253">
        <f>[1]PB8!W56</f>
        <v>0</v>
      </c>
      <c r="T56" s="257"/>
      <c r="U56" s="10" t="str">
        <f t="shared" si="8"/>
        <v>-</v>
      </c>
      <c r="V56"/>
    </row>
    <row r="57" spans="1:22" ht="20.149999999999999" hidden="1" customHeight="1" outlineLevel="1">
      <c r="A57" s="241"/>
      <c r="B57" s="241">
        <v>6007</v>
      </c>
      <c r="C57" s="241"/>
      <c r="D57" s="242" t="s">
        <v>357</v>
      </c>
      <c r="E57" s="243">
        <f t="shared" ref="E57:K57" si="71">SUM(E58:E60)</f>
        <v>0</v>
      </c>
      <c r="F57" s="243">
        <f t="shared" si="71"/>
        <v>0</v>
      </c>
      <c r="G57" s="243">
        <f t="shared" si="71"/>
        <v>0</v>
      </c>
      <c r="H57" s="243">
        <f t="shared" si="71"/>
        <v>0</v>
      </c>
      <c r="I57" s="243">
        <f t="shared" si="71"/>
        <v>0</v>
      </c>
      <c r="J57" s="243">
        <f t="shared" si="71"/>
        <v>0</v>
      </c>
      <c r="K57" s="243">
        <f t="shared" si="71"/>
        <v>0</v>
      </c>
      <c r="L57" s="244" t="str">
        <f t="shared" si="32"/>
        <v>-</v>
      </c>
      <c r="M57" s="244" t="str">
        <f t="shared" si="33"/>
        <v>-</v>
      </c>
      <c r="N57" s="243">
        <f t="shared" ref="N57" si="72">SUM(N58:N60)</f>
        <v>0</v>
      </c>
      <c r="O57" s="244" t="str">
        <f t="shared" si="34"/>
        <v>-</v>
      </c>
      <c r="P57" s="244" t="str">
        <f t="shared" si="35"/>
        <v>-</v>
      </c>
      <c r="Q57" s="243">
        <f t="shared" ref="Q57" si="73">SUM(Q58:Q60)</f>
        <v>0</v>
      </c>
      <c r="R57" s="244" t="str">
        <f t="shared" si="37"/>
        <v>-</v>
      </c>
      <c r="S57" s="245">
        <f t="shared" ref="S57" si="74">SUM(S58:S60)</f>
        <v>0</v>
      </c>
      <c r="T57" s="246"/>
      <c r="U57" s="10" t="str">
        <f t="shared" si="8"/>
        <v>-</v>
      </c>
      <c r="V57"/>
    </row>
    <row r="58" spans="1:22" ht="20.149999999999999" hidden="1" customHeight="1" outlineLevel="1">
      <c r="A58" s="247"/>
      <c r="B58" s="247"/>
      <c r="C58" s="248">
        <v>60071</v>
      </c>
      <c r="D58" s="249" t="s">
        <v>358</v>
      </c>
      <c r="E58" s="250"/>
      <c r="F58" s="250"/>
      <c r="G58" s="250"/>
      <c r="H58" s="250"/>
      <c r="I58" s="250"/>
      <c r="J58" s="250"/>
      <c r="K58" s="250">
        <f t="shared" ref="K58:K60" si="75">SUM(I58:J58)</f>
        <v>0</v>
      </c>
      <c r="L58" s="252" t="str">
        <f t="shared" si="32"/>
        <v>-</v>
      </c>
      <c r="M58" s="252" t="str">
        <f t="shared" si="33"/>
        <v>-</v>
      </c>
      <c r="N58" s="250">
        <f>[1]PB8!E58</f>
        <v>0</v>
      </c>
      <c r="O58" s="252" t="str">
        <f t="shared" si="34"/>
        <v>-</v>
      </c>
      <c r="P58" s="252" t="str">
        <f t="shared" si="35"/>
        <v>-</v>
      </c>
      <c r="Q58" s="250">
        <f t="shared" ref="Q58:Q60" si="76">N58-F58</f>
        <v>0</v>
      </c>
      <c r="R58" s="252" t="str">
        <f t="shared" si="37"/>
        <v>-</v>
      </c>
      <c r="S58" s="253">
        <f>[1]PB8!W58</f>
        <v>0</v>
      </c>
      <c r="T58" s="257"/>
      <c r="U58" s="10" t="str">
        <f t="shared" si="8"/>
        <v>-</v>
      </c>
      <c r="V58"/>
    </row>
    <row r="59" spans="1:22" ht="20.149999999999999" hidden="1" customHeight="1" outlineLevel="1">
      <c r="A59" s="247"/>
      <c r="B59" s="247"/>
      <c r="C59" s="248">
        <v>60072</v>
      </c>
      <c r="D59" s="249" t="s">
        <v>359</v>
      </c>
      <c r="E59" s="250"/>
      <c r="F59" s="250"/>
      <c r="G59" s="250"/>
      <c r="H59" s="250"/>
      <c r="I59" s="250"/>
      <c r="J59" s="250"/>
      <c r="K59" s="250">
        <f t="shared" si="75"/>
        <v>0</v>
      </c>
      <c r="L59" s="252" t="str">
        <f t="shared" si="32"/>
        <v>-</v>
      </c>
      <c r="M59" s="252" t="str">
        <f t="shared" si="33"/>
        <v>-</v>
      </c>
      <c r="N59" s="250">
        <f>[1]PB8!E59</f>
        <v>0</v>
      </c>
      <c r="O59" s="252" t="str">
        <f t="shared" si="34"/>
        <v>-</v>
      </c>
      <c r="P59" s="252" t="str">
        <f t="shared" si="35"/>
        <v>-</v>
      </c>
      <c r="Q59" s="250">
        <f t="shared" si="76"/>
        <v>0</v>
      </c>
      <c r="R59" s="252" t="str">
        <f t="shared" si="37"/>
        <v>-</v>
      </c>
      <c r="S59" s="253">
        <f>[1]PB8!W59</f>
        <v>0</v>
      </c>
      <c r="T59" s="257"/>
      <c r="U59" s="10" t="str">
        <f t="shared" si="8"/>
        <v>-</v>
      </c>
      <c r="V59"/>
    </row>
    <row r="60" spans="1:22" ht="20.149999999999999" hidden="1" customHeight="1" outlineLevel="1">
      <c r="A60" s="247"/>
      <c r="B60" s="247"/>
      <c r="C60" s="248">
        <v>60078</v>
      </c>
      <c r="D60" s="249" t="s">
        <v>360</v>
      </c>
      <c r="E60" s="250"/>
      <c r="F60" s="250"/>
      <c r="G60" s="250"/>
      <c r="H60" s="250"/>
      <c r="I60" s="250"/>
      <c r="J60" s="250"/>
      <c r="K60" s="250">
        <f t="shared" si="75"/>
        <v>0</v>
      </c>
      <c r="L60" s="252" t="str">
        <f t="shared" si="32"/>
        <v>-</v>
      </c>
      <c r="M60" s="252" t="str">
        <f t="shared" si="33"/>
        <v>-</v>
      </c>
      <c r="N60" s="250">
        <f>[1]PB8!E60</f>
        <v>0</v>
      </c>
      <c r="O60" s="252" t="str">
        <f t="shared" si="34"/>
        <v>-</v>
      </c>
      <c r="P60" s="252" t="str">
        <f t="shared" si="35"/>
        <v>-</v>
      </c>
      <c r="Q60" s="250">
        <f t="shared" si="76"/>
        <v>0</v>
      </c>
      <c r="R60" s="252" t="str">
        <f t="shared" si="37"/>
        <v>-</v>
      </c>
      <c r="S60" s="253">
        <f>[1]PB8!W60</f>
        <v>0</v>
      </c>
      <c r="T60" s="257"/>
      <c r="U60" s="10" t="str">
        <f t="shared" si="8"/>
        <v>-</v>
      </c>
      <c r="V60"/>
    </row>
    <row r="61" spans="1:22" ht="20.149999999999999" hidden="1" customHeight="1" outlineLevel="1">
      <c r="A61" s="241"/>
      <c r="B61" s="241">
        <v>6098</v>
      </c>
      <c r="C61" s="241"/>
      <c r="D61" s="242" t="s">
        <v>361</v>
      </c>
      <c r="E61" s="243">
        <f t="shared" ref="E61:K61" si="77">E62</f>
        <v>0</v>
      </c>
      <c r="F61" s="243">
        <f t="shared" si="77"/>
        <v>0</v>
      </c>
      <c r="G61" s="243">
        <f t="shared" si="77"/>
        <v>0</v>
      </c>
      <c r="H61" s="243">
        <f t="shared" si="77"/>
        <v>0</v>
      </c>
      <c r="I61" s="243">
        <f t="shared" si="77"/>
        <v>0</v>
      </c>
      <c r="J61" s="243">
        <f t="shared" si="77"/>
        <v>0</v>
      </c>
      <c r="K61" s="243">
        <f t="shared" si="77"/>
        <v>0</v>
      </c>
      <c r="L61" s="244" t="str">
        <f t="shared" si="32"/>
        <v>-</v>
      </c>
      <c r="M61" s="244" t="str">
        <f t="shared" si="33"/>
        <v>-</v>
      </c>
      <c r="N61" s="243">
        <f t="shared" ref="N61" si="78">N62</f>
        <v>0</v>
      </c>
      <c r="O61" s="244" t="str">
        <f t="shared" si="34"/>
        <v>-</v>
      </c>
      <c r="P61" s="244" t="str">
        <f t="shared" si="35"/>
        <v>-</v>
      </c>
      <c r="Q61" s="243">
        <f t="shared" ref="Q61" si="79">Q62</f>
        <v>0</v>
      </c>
      <c r="R61" s="244" t="str">
        <f t="shared" si="37"/>
        <v>-</v>
      </c>
      <c r="S61" s="245">
        <f t="shared" ref="S61" si="80">S62</f>
        <v>0</v>
      </c>
      <c r="T61" s="246"/>
      <c r="U61" s="10" t="str">
        <f t="shared" si="8"/>
        <v>-</v>
      </c>
      <c r="V61"/>
    </row>
    <row r="62" spans="1:22" ht="20.149999999999999" hidden="1" customHeight="1" outlineLevel="1">
      <c r="A62" s="241"/>
      <c r="B62" s="241"/>
      <c r="C62" s="248">
        <v>60981</v>
      </c>
      <c r="D62" s="249" t="s">
        <v>361</v>
      </c>
      <c r="E62" s="250"/>
      <c r="F62" s="250"/>
      <c r="G62" s="250"/>
      <c r="H62" s="250"/>
      <c r="I62" s="250"/>
      <c r="J62" s="250"/>
      <c r="K62" s="250">
        <f>SUM(I62:J62)</f>
        <v>0</v>
      </c>
      <c r="L62" s="252" t="str">
        <f>IFERROR(K62/F62,"-")</f>
        <v>-</v>
      </c>
      <c r="M62" s="252" t="str">
        <f>IFERROR(K62/H62,"-")</f>
        <v>-</v>
      </c>
      <c r="N62" s="250">
        <f>[1]PB8!E62</f>
        <v>0</v>
      </c>
      <c r="O62" s="252" t="str">
        <f>IFERROR(N62/F62,"-")</f>
        <v>-</v>
      </c>
      <c r="P62" s="252" t="str">
        <f>IFERROR(N62/H62,"-")</f>
        <v>-</v>
      </c>
      <c r="Q62" s="250">
        <f>N62-F62</f>
        <v>0</v>
      </c>
      <c r="R62" s="252" t="str">
        <f t="shared" si="37"/>
        <v>-</v>
      </c>
      <c r="S62" s="253">
        <f>[1]PB8!W62</f>
        <v>0</v>
      </c>
      <c r="T62" s="257"/>
      <c r="U62" s="10" t="str">
        <f t="shared" si="8"/>
        <v>-</v>
      </c>
      <c r="V62"/>
    </row>
    <row r="63" spans="1:22" ht="20.149999999999999" customHeight="1" collapsed="1">
      <c r="A63" s="234">
        <v>61</v>
      </c>
      <c r="B63" s="234"/>
      <c r="C63" s="235"/>
      <c r="D63" s="236" t="s">
        <v>362</v>
      </c>
      <c r="E63" s="258">
        <f t="shared" ref="E63:K63" si="81">E64+E68+E71+E75+E78+E87+E92+E98+E101+E107+E116+E121+E126+E131+E135+E137+E146</f>
        <v>150.37699999999998</v>
      </c>
      <c r="F63" s="258">
        <f t="shared" si="81"/>
        <v>528.99900000000002</v>
      </c>
      <c r="G63" s="258">
        <f t="shared" si="81"/>
        <v>0</v>
      </c>
      <c r="H63" s="258">
        <f t="shared" si="81"/>
        <v>528.99900000000002</v>
      </c>
      <c r="I63" s="258">
        <f t="shared" si="81"/>
        <v>166.59</v>
      </c>
      <c r="J63" s="258">
        <f t="shared" si="81"/>
        <v>362.40899999999999</v>
      </c>
      <c r="K63" s="258">
        <f t="shared" si="81"/>
        <v>528.99900000000002</v>
      </c>
      <c r="L63" s="259">
        <f t="shared" si="32"/>
        <v>1</v>
      </c>
      <c r="M63" s="259">
        <f t="shared" si="33"/>
        <v>1</v>
      </c>
      <c r="N63" s="258">
        <f t="shared" ref="N63" si="82">N64+N68+N71+N75+N78+N87+N92+N98+N101+N107+N116+N121+N126+N131+N135+N137+N146</f>
        <v>1402.6</v>
      </c>
      <c r="O63" s="259">
        <f t="shared" si="34"/>
        <v>2.6514227815175451</v>
      </c>
      <c r="P63" s="259">
        <f t="shared" si="35"/>
        <v>2.6514227815175451</v>
      </c>
      <c r="Q63" s="258">
        <f t="shared" ref="Q63" si="83">Q64+Q68+Q71+Q75+Q78+Q87+Q92+Q98+Q101+Q107+Q116+Q121+Q126+Q131+Q135+Q137+Q146</f>
        <v>873.601</v>
      </c>
      <c r="R63" s="259">
        <f t="shared" si="37"/>
        <v>1.6514227815175453</v>
      </c>
      <c r="S63" s="260">
        <f t="shared" ref="S63" si="84">S64+S68+S71+S75+S78+S87+S92+S98+S101+S107+S116+S121+S126+S131+S135+S137+S146</f>
        <v>0</v>
      </c>
      <c r="T63" s="261"/>
      <c r="U63" s="10" t="str">
        <f t="shared" si="8"/>
        <v>ok</v>
      </c>
      <c r="V63"/>
    </row>
    <row r="64" spans="1:22" ht="20.149999999999999" hidden="1" customHeight="1" outlineLevel="1">
      <c r="A64" s="241"/>
      <c r="B64" s="241">
        <v>6101</v>
      </c>
      <c r="C64" s="241"/>
      <c r="D64" s="242" t="s">
        <v>363</v>
      </c>
      <c r="E64" s="243">
        <f t="shared" ref="E64" si="85">SUM(E65:E67)</f>
        <v>0</v>
      </c>
      <c r="F64" s="243">
        <f t="shared" ref="F64:K64" si="86">SUM(F65:F67)</f>
        <v>0</v>
      </c>
      <c r="G64" s="243">
        <f t="shared" si="86"/>
        <v>0</v>
      </c>
      <c r="H64" s="243">
        <f t="shared" si="86"/>
        <v>0</v>
      </c>
      <c r="I64" s="243">
        <f t="shared" si="86"/>
        <v>0</v>
      </c>
      <c r="J64" s="243">
        <f t="shared" si="86"/>
        <v>0</v>
      </c>
      <c r="K64" s="243">
        <f t="shared" si="86"/>
        <v>0</v>
      </c>
      <c r="L64" s="244" t="str">
        <f t="shared" si="32"/>
        <v>-</v>
      </c>
      <c r="M64" s="244" t="str">
        <f t="shared" si="33"/>
        <v>-</v>
      </c>
      <c r="N64" s="243">
        <f t="shared" ref="N64" si="87">SUM(N65:N67)</f>
        <v>0</v>
      </c>
      <c r="O64" s="244" t="str">
        <f t="shared" si="34"/>
        <v>-</v>
      </c>
      <c r="P64" s="244" t="str">
        <f t="shared" si="35"/>
        <v>-</v>
      </c>
      <c r="Q64" s="243">
        <f t="shared" ref="Q64" si="88">SUM(Q65:Q67)</f>
        <v>0</v>
      </c>
      <c r="R64" s="244" t="str">
        <f t="shared" si="37"/>
        <v>-</v>
      </c>
      <c r="S64" s="245">
        <f t="shared" ref="S64" si="89">SUM(S65:S67)</f>
        <v>0</v>
      </c>
      <c r="T64" s="246"/>
      <c r="U64" s="10" t="str">
        <f t="shared" si="8"/>
        <v>-</v>
      </c>
      <c r="V64"/>
    </row>
    <row r="65" spans="1:22" ht="20.149999999999999" hidden="1" customHeight="1" outlineLevel="1">
      <c r="A65" s="241"/>
      <c r="B65" s="241"/>
      <c r="C65" s="248">
        <v>61011</v>
      </c>
      <c r="D65" s="249" t="s">
        <v>364</v>
      </c>
      <c r="E65" s="250"/>
      <c r="F65" s="250"/>
      <c r="G65" s="250"/>
      <c r="H65" s="250"/>
      <c r="I65" s="250"/>
      <c r="J65" s="250"/>
      <c r="K65" s="250">
        <f t="shared" ref="K65:K67" si="90">SUM(I65:J65)</f>
        <v>0</v>
      </c>
      <c r="L65" s="252" t="str">
        <f t="shared" si="32"/>
        <v>-</v>
      </c>
      <c r="M65" s="252" t="str">
        <f t="shared" si="33"/>
        <v>-</v>
      </c>
      <c r="N65" s="250">
        <f>[1]PB8!E65</f>
        <v>0</v>
      </c>
      <c r="O65" s="252" t="str">
        <f t="shared" si="34"/>
        <v>-</v>
      </c>
      <c r="P65" s="252" t="str">
        <f t="shared" si="35"/>
        <v>-</v>
      </c>
      <c r="Q65" s="250">
        <f t="shared" ref="Q65:Q67" si="91">N65-F65</f>
        <v>0</v>
      </c>
      <c r="R65" s="252" t="str">
        <f t="shared" si="37"/>
        <v>-</v>
      </c>
      <c r="S65" s="253">
        <f>[1]PB8!W65</f>
        <v>0</v>
      </c>
      <c r="T65" s="257"/>
      <c r="U65" s="10" t="str">
        <f t="shared" si="8"/>
        <v>-</v>
      </c>
      <c r="V65"/>
    </row>
    <row r="66" spans="1:22" ht="20.149999999999999" hidden="1" customHeight="1" outlineLevel="1">
      <c r="A66" s="241"/>
      <c r="B66" s="241"/>
      <c r="C66" s="248">
        <v>61012</v>
      </c>
      <c r="D66" s="249" t="s">
        <v>365</v>
      </c>
      <c r="E66" s="250"/>
      <c r="F66" s="250"/>
      <c r="G66" s="250"/>
      <c r="H66" s="250"/>
      <c r="I66" s="250"/>
      <c r="J66" s="250"/>
      <c r="K66" s="250">
        <f t="shared" si="90"/>
        <v>0</v>
      </c>
      <c r="L66" s="252" t="str">
        <f t="shared" si="32"/>
        <v>-</v>
      </c>
      <c r="M66" s="252" t="str">
        <f t="shared" si="33"/>
        <v>-</v>
      </c>
      <c r="N66" s="250">
        <f>[1]PB8!E66</f>
        <v>0</v>
      </c>
      <c r="O66" s="252" t="str">
        <f t="shared" si="34"/>
        <v>-</v>
      </c>
      <c r="P66" s="252" t="str">
        <f t="shared" si="35"/>
        <v>-</v>
      </c>
      <c r="Q66" s="250">
        <f t="shared" si="91"/>
        <v>0</v>
      </c>
      <c r="R66" s="252" t="str">
        <f t="shared" si="37"/>
        <v>-</v>
      </c>
      <c r="S66" s="253">
        <f>[1]PB8!W66</f>
        <v>0</v>
      </c>
      <c r="T66" s="257"/>
      <c r="U66" s="10" t="str">
        <f t="shared" si="8"/>
        <v>-</v>
      </c>
      <c r="V66"/>
    </row>
    <row r="67" spans="1:22" ht="20.149999999999999" hidden="1" customHeight="1" outlineLevel="1">
      <c r="A67" s="241"/>
      <c r="B67" s="241"/>
      <c r="C67" s="248">
        <v>61018</v>
      </c>
      <c r="D67" s="249" t="s">
        <v>366</v>
      </c>
      <c r="E67" s="250"/>
      <c r="F67" s="250"/>
      <c r="G67" s="250"/>
      <c r="H67" s="250"/>
      <c r="I67" s="250"/>
      <c r="J67" s="250"/>
      <c r="K67" s="250">
        <f t="shared" si="90"/>
        <v>0</v>
      </c>
      <c r="L67" s="252" t="str">
        <f t="shared" si="32"/>
        <v>-</v>
      </c>
      <c r="M67" s="252" t="str">
        <f t="shared" si="33"/>
        <v>-</v>
      </c>
      <c r="N67" s="250">
        <f>[1]PB8!E67</f>
        <v>0</v>
      </c>
      <c r="O67" s="252" t="str">
        <f t="shared" si="34"/>
        <v>-</v>
      </c>
      <c r="P67" s="252" t="str">
        <f t="shared" si="35"/>
        <v>-</v>
      </c>
      <c r="Q67" s="250">
        <f t="shared" si="91"/>
        <v>0</v>
      </c>
      <c r="R67" s="252" t="str">
        <f t="shared" si="37"/>
        <v>-</v>
      </c>
      <c r="S67" s="253">
        <f>[1]PB8!W67</f>
        <v>0</v>
      </c>
      <c r="T67" s="257"/>
      <c r="U67" s="10" t="str">
        <f t="shared" si="8"/>
        <v>-</v>
      </c>
      <c r="V67"/>
    </row>
    <row r="68" spans="1:22" ht="20.149999999999999" customHeight="1" collapsed="1">
      <c r="A68" s="241"/>
      <c r="B68" s="241">
        <v>6102</v>
      </c>
      <c r="C68" s="241"/>
      <c r="D68" s="242" t="s">
        <v>367</v>
      </c>
      <c r="E68" s="243">
        <f t="shared" ref="E68:K68" si="92">SUM(E69:E70)</f>
        <v>0</v>
      </c>
      <c r="F68" s="243">
        <f t="shared" si="92"/>
        <v>4</v>
      </c>
      <c r="G68" s="243">
        <f t="shared" si="92"/>
        <v>0</v>
      </c>
      <c r="H68" s="243">
        <f t="shared" si="92"/>
        <v>4</v>
      </c>
      <c r="I68" s="243">
        <f t="shared" si="92"/>
        <v>0</v>
      </c>
      <c r="J68" s="243">
        <f t="shared" si="92"/>
        <v>4</v>
      </c>
      <c r="K68" s="243">
        <f t="shared" si="92"/>
        <v>4</v>
      </c>
      <c r="L68" s="244">
        <f t="shared" si="32"/>
        <v>1</v>
      </c>
      <c r="M68" s="244">
        <f t="shared" si="33"/>
        <v>1</v>
      </c>
      <c r="N68" s="243">
        <f t="shared" ref="N68" si="93">SUM(N69:N70)</f>
        <v>4</v>
      </c>
      <c r="O68" s="244">
        <f t="shared" si="34"/>
        <v>1</v>
      </c>
      <c r="P68" s="244">
        <f t="shared" si="35"/>
        <v>1</v>
      </c>
      <c r="Q68" s="243">
        <f t="shared" ref="Q68" si="94">SUM(Q69:Q70)</f>
        <v>0</v>
      </c>
      <c r="R68" s="244">
        <f t="shared" si="37"/>
        <v>0</v>
      </c>
      <c r="S68" s="245">
        <f t="shared" ref="S68" si="95">SUM(S69:S70)</f>
        <v>0</v>
      </c>
      <c r="T68" s="246"/>
      <c r="U68" s="10" t="str">
        <f t="shared" si="8"/>
        <v>ok</v>
      </c>
      <c r="V68"/>
    </row>
    <row r="69" spans="1:22" ht="20.149999999999999" customHeight="1">
      <c r="A69" s="241"/>
      <c r="B69" s="241"/>
      <c r="C69" s="248">
        <v>61021</v>
      </c>
      <c r="D69" s="249" t="s">
        <v>367</v>
      </c>
      <c r="E69" s="250"/>
      <c r="F69" s="250">
        <v>4</v>
      </c>
      <c r="G69" s="250"/>
      <c r="H69" s="250">
        <v>4</v>
      </c>
      <c r="I69" s="250"/>
      <c r="J69" s="250">
        <f>H69-I69</f>
        <v>4</v>
      </c>
      <c r="K69" s="250">
        <f t="shared" ref="K69:K70" si="96">SUM(I69:J69)</f>
        <v>4</v>
      </c>
      <c r="L69" s="252">
        <f t="shared" si="32"/>
        <v>1</v>
      </c>
      <c r="M69" s="252">
        <f t="shared" si="33"/>
        <v>1</v>
      </c>
      <c r="N69" s="250">
        <f>[1]PB8!E69</f>
        <v>4</v>
      </c>
      <c r="O69" s="252">
        <f t="shared" si="34"/>
        <v>1</v>
      </c>
      <c r="P69" s="252">
        <f t="shared" si="35"/>
        <v>1</v>
      </c>
      <c r="Q69" s="250">
        <f t="shared" ref="Q69:Q70" si="97">N69-F69</f>
        <v>0</v>
      </c>
      <c r="R69" s="252">
        <f t="shared" si="37"/>
        <v>0</v>
      </c>
      <c r="S69" s="253">
        <f>[1]PB8!W69</f>
        <v>0</v>
      </c>
      <c r="T69" s="257"/>
      <c r="U69" s="10" t="str">
        <f t="shared" si="8"/>
        <v>ok</v>
      </c>
      <c r="V69"/>
    </row>
    <row r="70" spans="1:22" ht="20.149999999999999" hidden="1" customHeight="1">
      <c r="A70" s="241"/>
      <c r="B70" s="241"/>
      <c r="C70" s="248">
        <v>61028</v>
      </c>
      <c r="D70" s="249" t="s">
        <v>368</v>
      </c>
      <c r="E70" s="250"/>
      <c r="F70" s="250"/>
      <c r="G70" s="250"/>
      <c r="H70" s="250"/>
      <c r="I70" s="250"/>
      <c r="J70" s="250"/>
      <c r="K70" s="250">
        <f t="shared" si="96"/>
        <v>0</v>
      </c>
      <c r="L70" s="252" t="str">
        <f t="shared" si="32"/>
        <v>-</v>
      </c>
      <c r="M70" s="252" t="str">
        <f t="shared" si="33"/>
        <v>-</v>
      </c>
      <c r="N70" s="250">
        <f>[1]PB8!E70</f>
        <v>0</v>
      </c>
      <c r="O70" s="252" t="str">
        <f t="shared" si="34"/>
        <v>-</v>
      </c>
      <c r="P70" s="252" t="str">
        <f t="shared" si="35"/>
        <v>-</v>
      </c>
      <c r="Q70" s="250">
        <f t="shared" si="97"/>
        <v>0</v>
      </c>
      <c r="R70" s="252" t="str">
        <f t="shared" si="37"/>
        <v>-</v>
      </c>
      <c r="S70" s="253">
        <f>[1]PB8!W70</f>
        <v>0</v>
      </c>
      <c r="T70" s="257"/>
      <c r="U70" s="10" t="str">
        <f t="shared" si="8"/>
        <v>-</v>
      </c>
      <c r="V70"/>
    </row>
    <row r="71" spans="1:22" ht="20.149999999999999" hidden="1" customHeight="1" outlineLevel="1">
      <c r="A71" s="241"/>
      <c r="B71" s="241">
        <v>6103</v>
      </c>
      <c r="C71" s="241"/>
      <c r="D71" s="262" t="s">
        <v>369</v>
      </c>
      <c r="E71" s="243">
        <f t="shared" ref="E71:K71" si="98">SUM(E72:E74)</f>
        <v>0</v>
      </c>
      <c r="F71" s="243">
        <f t="shared" si="98"/>
        <v>0</v>
      </c>
      <c r="G71" s="243">
        <f t="shared" si="98"/>
        <v>0</v>
      </c>
      <c r="H71" s="243">
        <f t="shared" si="98"/>
        <v>0</v>
      </c>
      <c r="I71" s="243">
        <f t="shared" si="98"/>
        <v>0</v>
      </c>
      <c r="J71" s="243">
        <f t="shared" si="98"/>
        <v>0</v>
      </c>
      <c r="K71" s="243">
        <f t="shared" si="98"/>
        <v>0</v>
      </c>
      <c r="L71" s="244" t="str">
        <f t="shared" si="32"/>
        <v>-</v>
      </c>
      <c r="M71" s="244" t="str">
        <f t="shared" si="33"/>
        <v>-</v>
      </c>
      <c r="N71" s="243">
        <f t="shared" ref="N71" si="99">SUM(N72:N74)</f>
        <v>0</v>
      </c>
      <c r="O71" s="244" t="str">
        <f t="shared" si="34"/>
        <v>-</v>
      </c>
      <c r="P71" s="244" t="str">
        <f t="shared" si="35"/>
        <v>-</v>
      </c>
      <c r="Q71" s="243">
        <f t="shared" ref="Q71" si="100">SUM(Q72:Q74)</f>
        <v>0</v>
      </c>
      <c r="R71" s="244" t="str">
        <f t="shared" si="37"/>
        <v>-</v>
      </c>
      <c r="S71" s="245">
        <f t="shared" ref="S71" si="101">SUM(S72:S74)</f>
        <v>0</v>
      </c>
      <c r="T71" s="246"/>
      <c r="U71" s="10" t="str">
        <f t="shared" si="8"/>
        <v>-</v>
      </c>
      <c r="V71"/>
    </row>
    <row r="72" spans="1:22" ht="20.149999999999999" hidden="1" customHeight="1" outlineLevel="1">
      <c r="A72" s="241"/>
      <c r="B72" s="241"/>
      <c r="C72" s="248">
        <v>61031</v>
      </c>
      <c r="D72" s="249" t="s">
        <v>370</v>
      </c>
      <c r="E72" s="250"/>
      <c r="F72" s="250"/>
      <c r="G72" s="250"/>
      <c r="H72" s="250"/>
      <c r="I72" s="250"/>
      <c r="J72" s="250"/>
      <c r="K72" s="250">
        <f t="shared" ref="K72:K74" si="102">SUM(I72:J72)</f>
        <v>0</v>
      </c>
      <c r="L72" s="252" t="str">
        <f t="shared" si="32"/>
        <v>-</v>
      </c>
      <c r="M72" s="252" t="str">
        <f t="shared" si="33"/>
        <v>-</v>
      </c>
      <c r="N72" s="250">
        <f>[1]PB8!E72</f>
        <v>0</v>
      </c>
      <c r="O72" s="252" t="str">
        <f t="shared" si="34"/>
        <v>-</v>
      </c>
      <c r="P72" s="252" t="str">
        <f t="shared" si="35"/>
        <v>-</v>
      </c>
      <c r="Q72" s="250">
        <f t="shared" ref="Q72:Q74" si="103">N72-F72</f>
        <v>0</v>
      </c>
      <c r="R72" s="252" t="str">
        <f t="shared" si="37"/>
        <v>-</v>
      </c>
      <c r="S72" s="253">
        <f>[1]PB8!W72</f>
        <v>0</v>
      </c>
      <c r="T72" s="257"/>
      <c r="U72" s="10" t="str">
        <f t="shared" si="8"/>
        <v>-</v>
      </c>
      <c r="V72"/>
    </row>
    <row r="73" spans="1:22" ht="20.149999999999999" hidden="1" customHeight="1" outlineLevel="1">
      <c r="A73" s="241"/>
      <c r="B73" s="241"/>
      <c r="C73" s="248">
        <v>61032</v>
      </c>
      <c r="D73" s="249" t="s">
        <v>371</v>
      </c>
      <c r="E73" s="250"/>
      <c r="F73" s="250"/>
      <c r="G73" s="250"/>
      <c r="H73" s="250"/>
      <c r="I73" s="250"/>
      <c r="J73" s="250"/>
      <c r="K73" s="250">
        <f t="shared" si="102"/>
        <v>0</v>
      </c>
      <c r="L73" s="252" t="str">
        <f t="shared" si="32"/>
        <v>-</v>
      </c>
      <c r="M73" s="252" t="str">
        <f t="shared" si="33"/>
        <v>-</v>
      </c>
      <c r="N73" s="250">
        <f>[1]PB8!E73</f>
        <v>0</v>
      </c>
      <c r="O73" s="252" t="str">
        <f t="shared" si="34"/>
        <v>-</v>
      </c>
      <c r="P73" s="252" t="str">
        <f t="shared" si="35"/>
        <v>-</v>
      </c>
      <c r="Q73" s="250">
        <f t="shared" si="103"/>
        <v>0</v>
      </c>
      <c r="R73" s="252" t="str">
        <f t="shared" si="37"/>
        <v>-</v>
      </c>
      <c r="S73" s="253">
        <f>[1]PB8!W73</f>
        <v>0</v>
      </c>
      <c r="T73" s="257"/>
      <c r="U73" s="10" t="str">
        <f t="shared" si="8"/>
        <v>-</v>
      </c>
      <c r="V73"/>
    </row>
    <row r="74" spans="1:22" ht="20.149999999999999" hidden="1" customHeight="1" outlineLevel="1">
      <c r="A74" s="241"/>
      <c r="B74" s="241"/>
      <c r="C74" s="248">
        <v>61038</v>
      </c>
      <c r="D74" s="249" t="s">
        <v>372</v>
      </c>
      <c r="E74" s="250"/>
      <c r="F74" s="250"/>
      <c r="G74" s="250"/>
      <c r="H74" s="250"/>
      <c r="I74" s="250"/>
      <c r="J74" s="250"/>
      <c r="K74" s="250">
        <f t="shared" si="102"/>
        <v>0</v>
      </c>
      <c r="L74" s="252" t="str">
        <f t="shared" si="32"/>
        <v>-</v>
      </c>
      <c r="M74" s="252" t="str">
        <f t="shared" si="33"/>
        <v>-</v>
      </c>
      <c r="N74" s="250">
        <f>[1]PB8!E74</f>
        <v>0</v>
      </c>
      <c r="O74" s="252" t="str">
        <f t="shared" si="34"/>
        <v>-</v>
      </c>
      <c r="P74" s="252" t="str">
        <f t="shared" si="35"/>
        <v>-</v>
      </c>
      <c r="Q74" s="250">
        <f t="shared" si="103"/>
        <v>0</v>
      </c>
      <c r="R74" s="252" t="str">
        <f t="shared" si="37"/>
        <v>-</v>
      </c>
      <c r="S74" s="253">
        <f>[1]PB8!W74</f>
        <v>0</v>
      </c>
      <c r="T74" s="257"/>
      <c r="U74" s="10" t="str">
        <f t="shared" si="8"/>
        <v>-</v>
      </c>
      <c r="V74"/>
    </row>
    <row r="75" spans="1:22" ht="20.149999999999999" hidden="1" customHeight="1" outlineLevel="1">
      <c r="A75" s="241"/>
      <c r="B75" s="241">
        <v>6104</v>
      </c>
      <c r="C75" s="241"/>
      <c r="D75" s="242" t="s">
        <v>373</v>
      </c>
      <c r="E75" s="243">
        <f t="shared" ref="E75:K75" si="104">SUM(E76:E77)</f>
        <v>0</v>
      </c>
      <c r="F75" s="243">
        <f t="shared" si="104"/>
        <v>0</v>
      </c>
      <c r="G75" s="243">
        <f t="shared" si="104"/>
        <v>0</v>
      </c>
      <c r="H75" s="243">
        <f t="shared" si="104"/>
        <v>0</v>
      </c>
      <c r="I75" s="243">
        <f t="shared" si="104"/>
        <v>0</v>
      </c>
      <c r="J75" s="243">
        <f t="shared" si="104"/>
        <v>0</v>
      </c>
      <c r="K75" s="243">
        <f t="shared" si="104"/>
        <v>0</v>
      </c>
      <c r="L75" s="244" t="str">
        <f t="shared" si="32"/>
        <v>-</v>
      </c>
      <c r="M75" s="244" t="str">
        <f t="shared" si="33"/>
        <v>-</v>
      </c>
      <c r="N75" s="243">
        <f t="shared" ref="N75" si="105">SUM(N76:N77)</f>
        <v>0</v>
      </c>
      <c r="O75" s="244" t="str">
        <f t="shared" si="34"/>
        <v>-</v>
      </c>
      <c r="P75" s="244" t="str">
        <f t="shared" si="35"/>
        <v>-</v>
      </c>
      <c r="Q75" s="243">
        <f t="shared" ref="Q75" si="106">SUM(Q76:Q77)</f>
        <v>0</v>
      </c>
      <c r="R75" s="244" t="str">
        <f t="shared" si="37"/>
        <v>-</v>
      </c>
      <c r="S75" s="245">
        <f t="shared" ref="S75" si="107">SUM(S76:S77)</f>
        <v>0</v>
      </c>
      <c r="T75" s="246"/>
      <c r="U75" s="10" t="str">
        <f t="shared" si="8"/>
        <v>-</v>
      </c>
      <c r="V75"/>
    </row>
    <row r="76" spans="1:22" ht="20.149999999999999" hidden="1" customHeight="1" outlineLevel="1">
      <c r="A76" s="241"/>
      <c r="B76" s="241"/>
      <c r="C76" s="248">
        <v>61041</v>
      </c>
      <c r="D76" s="249" t="s">
        <v>373</v>
      </c>
      <c r="E76" s="250"/>
      <c r="F76" s="250"/>
      <c r="G76" s="250"/>
      <c r="H76" s="250"/>
      <c r="I76" s="250"/>
      <c r="J76" s="250"/>
      <c r="K76" s="250">
        <f t="shared" ref="K76:K77" si="108">SUM(I76:J76)</f>
        <v>0</v>
      </c>
      <c r="L76" s="252" t="str">
        <f t="shared" si="32"/>
        <v>-</v>
      </c>
      <c r="M76" s="252" t="str">
        <f t="shared" si="33"/>
        <v>-</v>
      </c>
      <c r="N76" s="250">
        <f>[1]PB8!E76</f>
        <v>0</v>
      </c>
      <c r="O76" s="252" t="str">
        <f t="shared" si="34"/>
        <v>-</v>
      </c>
      <c r="P76" s="252" t="str">
        <f t="shared" si="35"/>
        <v>-</v>
      </c>
      <c r="Q76" s="250">
        <f t="shared" ref="Q76:Q77" si="109">N76-F76</f>
        <v>0</v>
      </c>
      <c r="R76" s="252" t="str">
        <f t="shared" si="37"/>
        <v>-</v>
      </c>
      <c r="S76" s="253">
        <f>[1]PB8!W76</f>
        <v>0</v>
      </c>
      <c r="T76" s="257"/>
      <c r="U76" s="10" t="str">
        <f t="shared" si="8"/>
        <v>-</v>
      </c>
      <c r="V76"/>
    </row>
    <row r="77" spans="1:22" ht="20.149999999999999" hidden="1" customHeight="1" outlineLevel="1">
      <c r="A77" s="241"/>
      <c r="B77" s="241"/>
      <c r="C77" s="248">
        <v>61048</v>
      </c>
      <c r="D77" s="249" t="s">
        <v>374</v>
      </c>
      <c r="E77" s="250"/>
      <c r="F77" s="250"/>
      <c r="G77" s="250"/>
      <c r="H77" s="250"/>
      <c r="I77" s="250"/>
      <c r="J77" s="250"/>
      <c r="K77" s="250">
        <f t="shared" si="108"/>
        <v>0</v>
      </c>
      <c r="L77" s="252" t="str">
        <f t="shared" si="32"/>
        <v>-</v>
      </c>
      <c r="M77" s="252" t="str">
        <f t="shared" si="33"/>
        <v>-</v>
      </c>
      <c r="N77" s="250">
        <f>[1]PB8!E77</f>
        <v>0</v>
      </c>
      <c r="O77" s="252" t="str">
        <f t="shared" si="34"/>
        <v>-</v>
      </c>
      <c r="P77" s="252" t="str">
        <f t="shared" si="35"/>
        <v>-</v>
      </c>
      <c r="Q77" s="250">
        <f t="shared" si="109"/>
        <v>0</v>
      </c>
      <c r="R77" s="252" t="str">
        <f t="shared" si="37"/>
        <v>-</v>
      </c>
      <c r="S77" s="253">
        <f>[1]PB8!W77</f>
        <v>0</v>
      </c>
      <c r="T77" s="257"/>
      <c r="U77" s="10" t="str">
        <f t="shared" si="8"/>
        <v>-</v>
      </c>
      <c r="V77"/>
    </row>
    <row r="78" spans="1:22" ht="20.149999999999999" customHeight="1" collapsed="1">
      <c r="A78" s="241"/>
      <c r="B78" s="241">
        <v>6105</v>
      </c>
      <c r="C78" s="241"/>
      <c r="D78" s="242" t="s">
        <v>375</v>
      </c>
      <c r="E78" s="243">
        <f t="shared" ref="E78:K78" si="110">SUM(E79:E86)</f>
        <v>99.818999999999988</v>
      </c>
      <c r="F78" s="243">
        <f t="shared" si="110"/>
        <v>133.19999999999999</v>
      </c>
      <c r="G78" s="243">
        <f t="shared" si="110"/>
        <v>0</v>
      </c>
      <c r="H78" s="243">
        <f t="shared" si="110"/>
        <v>133.19999999999999</v>
      </c>
      <c r="I78" s="243">
        <f t="shared" si="110"/>
        <v>111.04</v>
      </c>
      <c r="J78" s="243">
        <f t="shared" si="110"/>
        <v>22.159999999999997</v>
      </c>
      <c r="K78" s="243">
        <f t="shared" si="110"/>
        <v>133.19999999999999</v>
      </c>
      <c r="L78" s="244">
        <f t="shared" si="32"/>
        <v>1</v>
      </c>
      <c r="M78" s="244">
        <f t="shared" si="33"/>
        <v>1</v>
      </c>
      <c r="N78" s="243">
        <f t="shared" ref="N78" si="111">SUM(N79:N86)</f>
        <v>148.80000000000001</v>
      </c>
      <c r="O78" s="244">
        <f t="shared" si="34"/>
        <v>1.1171171171171173</v>
      </c>
      <c r="P78" s="244">
        <f t="shared" si="35"/>
        <v>1.1171171171171173</v>
      </c>
      <c r="Q78" s="243">
        <f t="shared" ref="Q78" si="112">SUM(Q79:Q86)</f>
        <v>15.600000000000001</v>
      </c>
      <c r="R78" s="244">
        <f t="shared" si="37"/>
        <v>0.11711711711711714</v>
      </c>
      <c r="S78" s="245">
        <f t="shared" ref="S78" si="113">SUM(S79:S86)</f>
        <v>0</v>
      </c>
      <c r="T78" s="246"/>
      <c r="U78" s="10" t="str">
        <f t="shared" si="8"/>
        <v>ok</v>
      </c>
      <c r="V78"/>
    </row>
    <row r="79" spans="1:22" ht="20.149999999999999" hidden="1" customHeight="1" outlineLevel="1">
      <c r="A79" s="247"/>
      <c r="B79" s="247"/>
      <c r="C79" s="248">
        <v>61051</v>
      </c>
      <c r="D79" s="249" t="s">
        <v>376</v>
      </c>
      <c r="E79" s="250"/>
      <c r="F79" s="250"/>
      <c r="G79" s="250"/>
      <c r="H79" s="250"/>
      <c r="I79" s="250"/>
      <c r="J79" s="250"/>
      <c r="K79" s="250">
        <f t="shared" ref="K79:K86" si="114">SUM(I79:J79)</f>
        <v>0</v>
      </c>
      <c r="L79" s="252" t="str">
        <f t="shared" si="32"/>
        <v>-</v>
      </c>
      <c r="M79" s="252" t="str">
        <f t="shared" si="33"/>
        <v>-</v>
      </c>
      <c r="N79" s="250">
        <f>[1]PB8!E79</f>
        <v>0</v>
      </c>
      <c r="O79" s="252" t="str">
        <f t="shared" si="34"/>
        <v>-</v>
      </c>
      <c r="P79" s="252" t="str">
        <f t="shared" si="35"/>
        <v>-</v>
      </c>
      <c r="Q79" s="250">
        <f t="shared" ref="Q79:Q86" si="115">N79-F79</f>
        <v>0</v>
      </c>
      <c r="R79" s="252" t="str">
        <f t="shared" si="37"/>
        <v>-</v>
      </c>
      <c r="S79" s="253">
        <f>[1]PB8!W79</f>
        <v>0</v>
      </c>
      <c r="T79" s="257"/>
      <c r="U79" s="10" t="str">
        <f t="shared" ref="U79:U142" si="116">IF(OR(F79&gt;0,H79&gt;0,N79&gt;0),"ok","-")</f>
        <v>-</v>
      </c>
      <c r="V79"/>
    </row>
    <row r="80" spans="1:22" ht="20.149999999999999" hidden="1" customHeight="1" outlineLevel="1">
      <c r="A80" s="247"/>
      <c r="B80" s="247"/>
      <c r="C80" s="248">
        <v>61052</v>
      </c>
      <c r="D80" s="249" t="s">
        <v>377</v>
      </c>
      <c r="E80" s="250"/>
      <c r="F80" s="250"/>
      <c r="G80" s="250"/>
      <c r="H80" s="250"/>
      <c r="I80" s="250"/>
      <c r="J80" s="250"/>
      <c r="K80" s="250">
        <f t="shared" si="114"/>
        <v>0</v>
      </c>
      <c r="L80" s="252" t="str">
        <f t="shared" si="32"/>
        <v>-</v>
      </c>
      <c r="M80" s="252" t="str">
        <f t="shared" si="33"/>
        <v>-</v>
      </c>
      <c r="N80" s="250">
        <f>[1]PB8!E80</f>
        <v>0</v>
      </c>
      <c r="O80" s="252" t="str">
        <f t="shared" si="34"/>
        <v>-</v>
      </c>
      <c r="P80" s="252" t="str">
        <f t="shared" si="35"/>
        <v>-</v>
      </c>
      <c r="Q80" s="250">
        <f t="shared" si="115"/>
        <v>0</v>
      </c>
      <c r="R80" s="252" t="str">
        <f t="shared" si="37"/>
        <v>-</v>
      </c>
      <c r="S80" s="253">
        <f>[1]PB8!W80</f>
        <v>0</v>
      </c>
      <c r="T80" s="257"/>
      <c r="U80" s="10" t="str">
        <f t="shared" si="116"/>
        <v>-</v>
      </c>
      <c r="V80"/>
    </row>
    <row r="81" spans="1:22" ht="20.149999999999999" hidden="1" customHeight="1" outlineLevel="1">
      <c r="A81" s="247"/>
      <c r="B81" s="247"/>
      <c r="C81" s="248">
        <v>61053</v>
      </c>
      <c r="D81" s="249" t="s">
        <v>378</v>
      </c>
      <c r="E81" s="250"/>
      <c r="F81" s="250"/>
      <c r="G81" s="250"/>
      <c r="H81" s="250"/>
      <c r="I81" s="250"/>
      <c r="J81" s="250"/>
      <c r="K81" s="250">
        <f t="shared" si="114"/>
        <v>0</v>
      </c>
      <c r="L81" s="252" t="str">
        <f t="shared" si="32"/>
        <v>-</v>
      </c>
      <c r="M81" s="252" t="str">
        <f t="shared" si="33"/>
        <v>-</v>
      </c>
      <c r="N81" s="250">
        <f>[1]PB8!E81</f>
        <v>0</v>
      </c>
      <c r="O81" s="252" t="str">
        <f t="shared" si="34"/>
        <v>-</v>
      </c>
      <c r="P81" s="252" t="str">
        <f t="shared" si="35"/>
        <v>-</v>
      </c>
      <c r="Q81" s="250">
        <f t="shared" si="115"/>
        <v>0</v>
      </c>
      <c r="R81" s="252" t="str">
        <f t="shared" si="37"/>
        <v>-</v>
      </c>
      <c r="S81" s="253">
        <f>[1]PB8!W81</f>
        <v>0</v>
      </c>
      <c r="T81" s="257"/>
      <c r="U81" s="10" t="str">
        <f t="shared" si="116"/>
        <v>-</v>
      </c>
      <c r="V81"/>
    </row>
    <row r="82" spans="1:22" ht="20.149999999999999" hidden="1" customHeight="1" outlineLevel="1">
      <c r="A82" s="247"/>
      <c r="B82" s="247"/>
      <c r="C82" s="248">
        <v>61054</v>
      </c>
      <c r="D82" s="249" t="s">
        <v>379</v>
      </c>
      <c r="E82" s="250"/>
      <c r="F82" s="250"/>
      <c r="G82" s="250"/>
      <c r="H82" s="250"/>
      <c r="I82" s="250"/>
      <c r="J82" s="250"/>
      <c r="K82" s="250">
        <f t="shared" si="114"/>
        <v>0</v>
      </c>
      <c r="L82" s="252" t="str">
        <f t="shared" si="32"/>
        <v>-</v>
      </c>
      <c r="M82" s="252" t="str">
        <f t="shared" si="33"/>
        <v>-</v>
      </c>
      <c r="N82" s="250">
        <f>[1]PB8!E82</f>
        <v>0</v>
      </c>
      <c r="O82" s="252" t="str">
        <f t="shared" si="34"/>
        <v>-</v>
      </c>
      <c r="P82" s="252" t="str">
        <f t="shared" si="35"/>
        <v>-</v>
      </c>
      <c r="Q82" s="250">
        <f t="shared" si="115"/>
        <v>0</v>
      </c>
      <c r="R82" s="252" t="str">
        <f t="shared" si="37"/>
        <v>-</v>
      </c>
      <c r="S82" s="253">
        <f>[1]PB8!W82</f>
        <v>0</v>
      </c>
      <c r="T82" s="257"/>
      <c r="U82" s="10" t="str">
        <f t="shared" si="116"/>
        <v>-</v>
      </c>
      <c r="V82"/>
    </row>
    <row r="83" spans="1:22" ht="20.149999999999999" hidden="1" customHeight="1" outlineLevel="1">
      <c r="A83" s="247"/>
      <c r="B83" s="247"/>
      <c r="C83" s="248">
        <v>61055</v>
      </c>
      <c r="D83" s="249" t="s">
        <v>380</v>
      </c>
      <c r="E83" s="250"/>
      <c r="F83" s="250"/>
      <c r="G83" s="250"/>
      <c r="H83" s="250"/>
      <c r="I83" s="250"/>
      <c r="J83" s="250"/>
      <c r="K83" s="250">
        <f t="shared" si="114"/>
        <v>0</v>
      </c>
      <c r="L83" s="252" t="str">
        <f t="shared" si="32"/>
        <v>-</v>
      </c>
      <c r="M83" s="252" t="str">
        <f t="shared" si="33"/>
        <v>-</v>
      </c>
      <c r="N83" s="250">
        <f>[1]PB8!E83</f>
        <v>0</v>
      </c>
      <c r="O83" s="252" t="str">
        <f t="shared" si="34"/>
        <v>-</v>
      </c>
      <c r="P83" s="252" t="str">
        <f t="shared" si="35"/>
        <v>-</v>
      </c>
      <c r="Q83" s="250">
        <f t="shared" si="115"/>
        <v>0</v>
      </c>
      <c r="R83" s="252" t="str">
        <f t="shared" si="37"/>
        <v>-</v>
      </c>
      <c r="S83" s="253">
        <f>[1]PB8!W83</f>
        <v>0</v>
      </c>
      <c r="T83" s="257"/>
      <c r="U83" s="10" t="str">
        <f t="shared" si="116"/>
        <v>-</v>
      </c>
      <c r="V83"/>
    </row>
    <row r="84" spans="1:22" ht="20.149999999999999" customHeight="1" collapsed="1">
      <c r="A84" s="247"/>
      <c r="B84" s="247"/>
      <c r="C84" s="248">
        <v>61056</v>
      </c>
      <c r="D84" s="249" t="s">
        <v>381</v>
      </c>
      <c r="E84" s="250">
        <v>58.000999999999998</v>
      </c>
      <c r="F84" s="250">
        <v>76.7</v>
      </c>
      <c r="G84" s="250"/>
      <c r="H84" s="250">
        <v>76.7</v>
      </c>
      <c r="I84" s="250">
        <v>65.09</v>
      </c>
      <c r="J84" s="250">
        <f>H84-I84</f>
        <v>11.61</v>
      </c>
      <c r="K84" s="250">
        <f t="shared" si="114"/>
        <v>76.7</v>
      </c>
      <c r="L84" s="252">
        <f t="shared" si="32"/>
        <v>1</v>
      </c>
      <c r="M84" s="252">
        <f t="shared" si="33"/>
        <v>1</v>
      </c>
      <c r="N84" s="250">
        <f>[1]PB8!E84</f>
        <v>86.7</v>
      </c>
      <c r="O84" s="252">
        <f t="shared" si="34"/>
        <v>1.1303780964797914</v>
      </c>
      <c r="P84" s="252">
        <f t="shared" si="35"/>
        <v>1.1303780964797914</v>
      </c>
      <c r="Q84" s="250">
        <f t="shared" si="115"/>
        <v>10</v>
      </c>
      <c r="R84" s="252">
        <f t="shared" si="37"/>
        <v>0.1303780964797914</v>
      </c>
      <c r="S84" s="253">
        <f>[1]PB8!W84</f>
        <v>0</v>
      </c>
      <c r="T84" s="256" t="s">
        <v>382</v>
      </c>
      <c r="U84" s="10" t="str">
        <f t="shared" si="116"/>
        <v>ok</v>
      </c>
      <c r="V84"/>
    </row>
    <row r="85" spans="1:22" ht="20.149999999999999" customHeight="1">
      <c r="A85" s="247"/>
      <c r="B85" s="247"/>
      <c r="C85" s="248">
        <v>61057</v>
      </c>
      <c r="D85" s="249" t="s">
        <v>383</v>
      </c>
      <c r="E85" s="250">
        <v>41.817999999999998</v>
      </c>
      <c r="F85" s="250">
        <v>56.5</v>
      </c>
      <c r="G85" s="250"/>
      <c r="H85" s="250">
        <v>56.5</v>
      </c>
      <c r="I85" s="250">
        <v>45.95</v>
      </c>
      <c r="J85" s="250">
        <f t="shared" ref="J85:J106" si="117">H85-I85</f>
        <v>10.549999999999997</v>
      </c>
      <c r="K85" s="250">
        <f t="shared" si="114"/>
        <v>56.5</v>
      </c>
      <c r="L85" s="252">
        <f t="shared" si="32"/>
        <v>1</v>
      </c>
      <c r="M85" s="252">
        <f t="shared" si="33"/>
        <v>1</v>
      </c>
      <c r="N85" s="250">
        <f>[1]PB8!E85</f>
        <v>62.1</v>
      </c>
      <c r="O85" s="252">
        <f t="shared" si="34"/>
        <v>1.0991150442477877</v>
      </c>
      <c r="P85" s="252">
        <f t="shared" si="35"/>
        <v>1.0991150442477877</v>
      </c>
      <c r="Q85" s="250">
        <f t="shared" si="115"/>
        <v>5.6000000000000014</v>
      </c>
      <c r="R85" s="252">
        <f t="shared" si="37"/>
        <v>9.9115044247787637E-2</v>
      </c>
      <c r="S85" s="253">
        <f>[1]PB8!W85</f>
        <v>0</v>
      </c>
      <c r="T85" s="254" t="s">
        <v>384</v>
      </c>
      <c r="U85" s="10" t="str">
        <f t="shared" si="116"/>
        <v>ok</v>
      </c>
      <c r="V85"/>
    </row>
    <row r="86" spans="1:22" ht="20.149999999999999" hidden="1" customHeight="1">
      <c r="A86" s="247"/>
      <c r="B86" s="247"/>
      <c r="C86" s="248">
        <v>61058</v>
      </c>
      <c r="D86" s="249" t="s">
        <v>385</v>
      </c>
      <c r="E86" s="250"/>
      <c r="F86" s="250"/>
      <c r="G86" s="250"/>
      <c r="H86" s="250"/>
      <c r="I86" s="250"/>
      <c r="J86" s="250">
        <f t="shared" si="117"/>
        <v>0</v>
      </c>
      <c r="K86" s="250">
        <f t="shared" si="114"/>
        <v>0</v>
      </c>
      <c r="L86" s="252" t="str">
        <f t="shared" ref="L86:L149" si="118">IFERROR(K86/F86,"-")</f>
        <v>-</v>
      </c>
      <c r="M86" s="252" t="str">
        <f t="shared" ref="M86:M149" si="119">IFERROR(K86/H86,"-")</f>
        <v>-</v>
      </c>
      <c r="N86" s="250">
        <f>[1]PB8!E86</f>
        <v>0</v>
      </c>
      <c r="O86" s="252" t="str">
        <f t="shared" ref="O86:O149" si="120">IFERROR(N86/F86,"-")</f>
        <v>-</v>
      </c>
      <c r="P86" s="252" t="str">
        <f t="shared" ref="P86:P149" si="121">IFERROR(N86/H86,"-")</f>
        <v>-</v>
      </c>
      <c r="Q86" s="250">
        <f t="shared" si="115"/>
        <v>0</v>
      </c>
      <c r="R86" s="252" t="str">
        <f t="shared" ref="R86:R149" si="122">IFERROR(Q86/F86,"-")</f>
        <v>-</v>
      </c>
      <c r="S86" s="253">
        <f>[1]PB8!W86</f>
        <v>0</v>
      </c>
      <c r="T86" s="257"/>
      <c r="U86" s="10" t="str">
        <f t="shared" si="116"/>
        <v>-</v>
      </c>
      <c r="V86"/>
    </row>
    <row r="87" spans="1:22" ht="20.149999999999999" hidden="1" customHeight="1" outlineLevel="1">
      <c r="A87" s="241"/>
      <c r="B87" s="241">
        <v>6106</v>
      </c>
      <c r="C87" s="263"/>
      <c r="D87" s="242" t="s">
        <v>386</v>
      </c>
      <c r="E87" s="243">
        <f t="shared" ref="E87" si="123">SUM(E88:E91)</f>
        <v>0</v>
      </c>
      <c r="F87" s="243">
        <f t="shared" ref="F87:K87" si="124">SUM(F88:F91)</f>
        <v>0</v>
      </c>
      <c r="G87" s="243">
        <f t="shared" si="124"/>
        <v>0</v>
      </c>
      <c r="H87" s="243">
        <f t="shared" si="124"/>
        <v>0</v>
      </c>
      <c r="I87" s="243">
        <f t="shared" si="124"/>
        <v>0</v>
      </c>
      <c r="J87" s="250">
        <f t="shared" si="117"/>
        <v>0</v>
      </c>
      <c r="K87" s="243">
        <f t="shared" si="124"/>
        <v>0</v>
      </c>
      <c r="L87" s="244" t="str">
        <f t="shared" si="118"/>
        <v>-</v>
      </c>
      <c r="M87" s="244" t="str">
        <f t="shared" si="119"/>
        <v>-</v>
      </c>
      <c r="N87" s="243">
        <f t="shared" ref="N87" si="125">SUM(N88:N91)</f>
        <v>0</v>
      </c>
      <c r="O87" s="244" t="str">
        <f t="shared" si="120"/>
        <v>-</v>
      </c>
      <c r="P87" s="244" t="str">
        <f t="shared" si="121"/>
        <v>-</v>
      </c>
      <c r="Q87" s="243">
        <f t="shared" ref="Q87" si="126">SUM(Q88:Q91)</f>
        <v>0</v>
      </c>
      <c r="R87" s="244" t="str">
        <f t="shared" si="122"/>
        <v>-</v>
      </c>
      <c r="S87" s="245">
        <f t="shared" ref="S87" si="127">SUM(S88:S91)</f>
        <v>0</v>
      </c>
      <c r="T87" s="246"/>
      <c r="U87" s="10" t="str">
        <f t="shared" si="116"/>
        <v>-</v>
      </c>
      <c r="V87"/>
    </row>
    <row r="88" spans="1:22" ht="20.149999999999999" hidden="1" customHeight="1" outlineLevel="1">
      <c r="A88" s="241"/>
      <c r="B88" s="241"/>
      <c r="C88" s="248">
        <v>61061</v>
      </c>
      <c r="D88" s="249" t="s">
        <v>387</v>
      </c>
      <c r="E88" s="250"/>
      <c r="F88" s="250"/>
      <c r="G88" s="250"/>
      <c r="H88" s="250"/>
      <c r="I88" s="250"/>
      <c r="J88" s="250">
        <f t="shared" si="117"/>
        <v>0</v>
      </c>
      <c r="K88" s="250">
        <f t="shared" ref="K88:K91" si="128">SUM(I88:J88)</f>
        <v>0</v>
      </c>
      <c r="L88" s="252" t="str">
        <f t="shared" si="118"/>
        <v>-</v>
      </c>
      <c r="M88" s="252" t="str">
        <f t="shared" si="119"/>
        <v>-</v>
      </c>
      <c r="N88" s="250">
        <f>[1]PB8!E88</f>
        <v>0</v>
      </c>
      <c r="O88" s="252" t="str">
        <f t="shared" si="120"/>
        <v>-</v>
      </c>
      <c r="P88" s="252" t="str">
        <f t="shared" si="121"/>
        <v>-</v>
      </c>
      <c r="Q88" s="250">
        <f t="shared" ref="Q88:Q91" si="129">N88-F88</f>
        <v>0</v>
      </c>
      <c r="R88" s="252" t="str">
        <f t="shared" si="122"/>
        <v>-</v>
      </c>
      <c r="S88" s="253">
        <f>[1]PB8!W88</f>
        <v>0</v>
      </c>
      <c r="T88" s="257"/>
      <c r="U88" s="10" t="str">
        <f t="shared" si="116"/>
        <v>-</v>
      </c>
      <c r="V88"/>
    </row>
    <row r="89" spans="1:22" ht="20.149999999999999" hidden="1" customHeight="1" outlineLevel="1">
      <c r="A89" s="241"/>
      <c r="B89" s="241"/>
      <c r="C89" s="248">
        <v>61062</v>
      </c>
      <c r="D89" s="249" t="s">
        <v>388</v>
      </c>
      <c r="E89" s="250"/>
      <c r="F89" s="250"/>
      <c r="G89" s="250"/>
      <c r="H89" s="250"/>
      <c r="I89" s="250"/>
      <c r="J89" s="250">
        <f t="shared" si="117"/>
        <v>0</v>
      </c>
      <c r="K89" s="250">
        <f t="shared" si="128"/>
        <v>0</v>
      </c>
      <c r="L89" s="252" t="str">
        <f t="shared" si="118"/>
        <v>-</v>
      </c>
      <c r="M89" s="252" t="str">
        <f t="shared" si="119"/>
        <v>-</v>
      </c>
      <c r="N89" s="250">
        <f>[1]PB8!E89</f>
        <v>0</v>
      </c>
      <c r="O89" s="252" t="str">
        <f t="shared" si="120"/>
        <v>-</v>
      </c>
      <c r="P89" s="252" t="str">
        <f t="shared" si="121"/>
        <v>-</v>
      </c>
      <c r="Q89" s="250">
        <f t="shared" si="129"/>
        <v>0</v>
      </c>
      <c r="R89" s="252" t="str">
        <f t="shared" si="122"/>
        <v>-</v>
      </c>
      <c r="S89" s="253">
        <f>[1]PB8!W89</f>
        <v>0</v>
      </c>
      <c r="T89" s="257"/>
      <c r="U89" s="10" t="str">
        <f t="shared" si="116"/>
        <v>-</v>
      </c>
      <c r="V89"/>
    </row>
    <row r="90" spans="1:22" ht="20.149999999999999" hidden="1" customHeight="1" outlineLevel="1">
      <c r="A90" s="241"/>
      <c r="B90" s="241"/>
      <c r="C90" s="248">
        <v>61063</v>
      </c>
      <c r="D90" s="249" t="s">
        <v>389</v>
      </c>
      <c r="E90" s="250"/>
      <c r="F90" s="250"/>
      <c r="G90" s="250"/>
      <c r="H90" s="250"/>
      <c r="I90" s="250"/>
      <c r="J90" s="250">
        <f t="shared" si="117"/>
        <v>0</v>
      </c>
      <c r="K90" s="250">
        <f t="shared" si="128"/>
        <v>0</v>
      </c>
      <c r="L90" s="252" t="str">
        <f t="shared" si="118"/>
        <v>-</v>
      </c>
      <c r="M90" s="252" t="str">
        <f t="shared" si="119"/>
        <v>-</v>
      </c>
      <c r="N90" s="250">
        <f>[1]PB8!E90</f>
        <v>0</v>
      </c>
      <c r="O90" s="252" t="str">
        <f t="shared" si="120"/>
        <v>-</v>
      </c>
      <c r="P90" s="252" t="str">
        <f t="shared" si="121"/>
        <v>-</v>
      </c>
      <c r="Q90" s="250">
        <f t="shared" si="129"/>
        <v>0</v>
      </c>
      <c r="R90" s="252" t="str">
        <f t="shared" si="122"/>
        <v>-</v>
      </c>
      <c r="S90" s="253">
        <f>[1]PB8!W90</f>
        <v>0</v>
      </c>
      <c r="T90" s="257"/>
      <c r="U90" s="10" t="str">
        <f t="shared" si="116"/>
        <v>-</v>
      </c>
      <c r="V90"/>
    </row>
    <row r="91" spans="1:22" ht="20.149999999999999" hidden="1" customHeight="1" outlineLevel="1">
      <c r="A91" s="241"/>
      <c r="B91" s="241"/>
      <c r="C91" s="248">
        <v>61068</v>
      </c>
      <c r="D91" s="249" t="s">
        <v>390</v>
      </c>
      <c r="E91" s="250"/>
      <c r="F91" s="250"/>
      <c r="G91" s="250"/>
      <c r="H91" s="250"/>
      <c r="I91" s="250"/>
      <c r="J91" s="250">
        <f t="shared" si="117"/>
        <v>0</v>
      </c>
      <c r="K91" s="250">
        <f t="shared" si="128"/>
        <v>0</v>
      </c>
      <c r="L91" s="252" t="str">
        <f t="shared" si="118"/>
        <v>-</v>
      </c>
      <c r="M91" s="252" t="str">
        <f t="shared" si="119"/>
        <v>-</v>
      </c>
      <c r="N91" s="250">
        <f>[1]PB8!E91</f>
        <v>0</v>
      </c>
      <c r="O91" s="252" t="str">
        <f t="shared" si="120"/>
        <v>-</v>
      </c>
      <c r="P91" s="252" t="str">
        <f t="shared" si="121"/>
        <v>-</v>
      </c>
      <c r="Q91" s="250">
        <f t="shared" si="129"/>
        <v>0</v>
      </c>
      <c r="R91" s="252" t="str">
        <f t="shared" si="122"/>
        <v>-</v>
      </c>
      <c r="S91" s="253">
        <f>[1]PB8!W91</f>
        <v>0</v>
      </c>
      <c r="T91" s="257"/>
      <c r="U91" s="10" t="str">
        <f t="shared" si="116"/>
        <v>-</v>
      </c>
      <c r="V91"/>
    </row>
    <row r="92" spans="1:22" ht="20.149999999999999" hidden="1" customHeight="1" outlineLevel="1">
      <c r="A92" s="241"/>
      <c r="B92" s="241">
        <v>6107</v>
      </c>
      <c r="C92" s="263"/>
      <c r="D92" s="242" t="s">
        <v>391</v>
      </c>
      <c r="E92" s="243">
        <f t="shared" ref="E92:K92" si="130">SUM(E93:E97)</f>
        <v>0</v>
      </c>
      <c r="F92" s="243">
        <f t="shared" si="130"/>
        <v>0</v>
      </c>
      <c r="G92" s="243">
        <f t="shared" si="130"/>
        <v>0</v>
      </c>
      <c r="H92" s="243">
        <f t="shared" si="130"/>
        <v>0</v>
      </c>
      <c r="I92" s="243">
        <f t="shared" si="130"/>
        <v>0</v>
      </c>
      <c r="J92" s="250">
        <f t="shared" si="117"/>
        <v>0</v>
      </c>
      <c r="K92" s="243">
        <f t="shared" si="130"/>
        <v>0</v>
      </c>
      <c r="L92" s="244" t="str">
        <f t="shared" si="118"/>
        <v>-</v>
      </c>
      <c r="M92" s="244" t="str">
        <f t="shared" si="119"/>
        <v>-</v>
      </c>
      <c r="N92" s="243">
        <f t="shared" ref="N92" si="131">SUM(N93:N97)</f>
        <v>0</v>
      </c>
      <c r="O92" s="244" t="str">
        <f t="shared" si="120"/>
        <v>-</v>
      </c>
      <c r="P92" s="244" t="str">
        <f t="shared" si="121"/>
        <v>-</v>
      </c>
      <c r="Q92" s="243">
        <f t="shared" ref="Q92" si="132">SUM(Q93:Q97)</f>
        <v>0</v>
      </c>
      <c r="R92" s="244" t="str">
        <f t="shared" si="122"/>
        <v>-</v>
      </c>
      <c r="S92" s="245">
        <f t="shared" ref="S92" si="133">SUM(S93:S97)</f>
        <v>0</v>
      </c>
      <c r="T92" s="246"/>
      <c r="U92" s="10" t="str">
        <f t="shared" si="116"/>
        <v>-</v>
      </c>
      <c r="V92"/>
    </row>
    <row r="93" spans="1:22" ht="20.149999999999999" hidden="1" customHeight="1" outlineLevel="1">
      <c r="A93" s="247"/>
      <c r="B93" s="247"/>
      <c r="C93" s="248">
        <v>61071</v>
      </c>
      <c r="D93" s="249" t="s">
        <v>392</v>
      </c>
      <c r="E93" s="250"/>
      <c r="F93" s="250"/>
      <c r="G93" s="250"/>
      <c r="H93" s="250"/>
      <c r="I93" s="250"/>
      <c r="J93" s="250">
        <f t="shared" si="117"/>
        <v>0</v>
      </c>
      <c r="K93" s="250">
        <f t="shared" ref="K93:K97" si="134">SUM(I93:J93)</f>
        <v>0</v>
      </c>
      <c r="L93" s="252" t="str">
        <f t="shared" si="118"/>
        <v>-</v>
      </c>
      <c r="M93" s="252" t="str">
        <f t="shared" si="119"/>
        <v>-</v>
      </c>
      <c r="N93" s="250">
        <f>[1]PB8!E93</f>
        <v>0</v>
      </c>
      <c r="O93" s="252" t="str">
        <f t="shared" si="120"/>
        <v>-</v>
      </c>
      <c r="P93" s="252" t="str">
        <f t="shared" si="121"/>
        <v>-</v>
      </c>
      <c r="Q93" s="250">
        <f t="shared" ref="Q93:Q97" si="135">N93-F93</f>
        <v>0</v>
      </c>
      <c r="R93" s="252" t="str">
        <f t="shared" si="122"/>
        <v>-</v>
      </c>
      <c r="S93" s="253">
        <f>[1]PB8!W93</f>
        <v>0</v>
      </c>
      <c r="T93" s="257"/>
      <c r="U93" s="10" t="str">
        <f t="shared" si="116"/>
        <v>-</v>
      </c>
      <c r="V93"/>
    </row>
    <row r="94" spans="1:22" ht="20.149999999999999" hidden="1" customHeight="1" outlineLevel="1">
      <c r="A94" s="247"/>
      <c r="B94" s="247"/>
      <c r="C94" s="248">
        <v>61072</v>
      </c>
      <c r="D94" s="249" t="s">
        <v>393</v>
      </c>
      <c r="E94" s="250"/>
      <c r="F94" s="250"/>
      <c r="G94" s="250"/>
      <c r="H94" s="250"/>
      <c r="I94" s="250"/>
      <c r="J94" s="250">
        <f t="shared" si="117"/>
        <v>0</v>
      </c>
      <c r="K94" s="250">
        <f t="shared" si="134"/>
        <v>0</v>
      </c>
      <c r="L94" s="252" t="str">
        <f t="shared" si="118"/>
        <v>-</v>
      </c>
      <c r="M94" s="252" t="str">
        <f t="shared" si="119"/>
        <v>-</v>
      </c>
      <c r="N94" s="250">
        <f>[1]PB8!E94</f>
        <v>0</v>
      </c>
      <c r="O94" s="252" t="str">
        <f t="shared" si="120"/>
        <v>-</v>
      </c>
      <c r="P94" s="252" t="str">
        <f t="shared" si="121"/>
        <v>-</v>
      </c>
      <c r="Q94" s="250">
        <f t="shared" si="135"/>
        <v>0</v>
      </c>
      <c r="R94" s="252" t="str">
        <f t="shared" si="122"/>
        <v>-</v>
      </c>
      <c r="S94" s="253">
        <f>[1]PB8!W94</f>
        <v>0</v>
      </c>
      <c r="T94" s="257"/>
      <c r="U94" s="10" t="str">
        <f t="shared" si="116"/>
        <v>-</v>
      </c>
      <c r="V94"/>
    </row>
    <row r="95" spans="1:22" ht="20.149999999999999" hidden="1" customHeight="1" outlineLevel="1">
      <c r="A95" s="247"/>
      <c r="B95" s="247"/>
      <c r="C95" s="248">
        <v>61073</v>
      </c>
      <c r="D95" s="249" t="s">
        <v>394</v>
      </c>
      <c r="E95" s="250"/>
      <c r="F95" s="250"/>
      <c r="G95" s="250"/>
      <c r="H95" s="250"/>
      <c r="I95" s="250"/>
      <c r="J95" s="250">
        <f t="shared" si="117"/>
        <v>0</v>
      </c>
      <c r="K95" s="250">
        <f t="shared" si="134"/>
        <v>0</v>
      </c>
      <c r="L95" s="252" t="str">
        <f t="shared" si="118"/>
        <v>-</v>
      </c>
      <c r="M95" s="252" t="str">
        <f t="shared" si="119"/>
        <v>-</v>
      </c>
      <c r="N95" s="250">
        <f>[1]PB8!E95</f>
        <v>0</v>
      </c>
      <c r="O95" s="252" t="str">
        <f t="shared" si="120"/>
        <v>-</v>
      </c>
      <c r="P95" s="252" t="str">
        <f t="shared" si="121"/>
        <v>-</v>
      </c>
      <c r="Q95" s="250">
        <f t="shared" si="135"/>
        <v>0</v>
      </c>
      <c r="R95" s="252" t="str">
        <f t="shared" si="122"/>
        <v>-</v>
      </c>
      <c r="S95" s="253">
        <f>[1]PB8!W95</f>
        <v>0</v>
      </c>
      <c r="T95" s="257"/>
      <c r="U95" s="10" t="str">
        <f t="shared" si="116"/>
        <v>-</v>
      </c>
      <c r="V95"/>
    </row>
    <row r="96" spans="1:22" ht="20.149999999999999" hidden="1" customHeight="1" outlineLevel="1">
      <c r="A96" s="247"/>
      <c r="B96" s="247"/>
      <c r="C96" s="248">
        <v>61074</v>
      </c>
      <c r="D96" s="249" t="s">
        <v>395</v>
      </c>
      <c r="E96" s="250"/>
      <c r="F96" s="250"/>
      <c r="G96" s="250"/>
      <c r="H96" s="250"/>
      <c r="I96" s="250"/>
      <c r="J96" s="250">
        <f t="shared" si="117"/>
        <v>0</v>
      </c>
      <c r="K96" s="250">
        <f t="shared" si="134"/>
        <v>0</v>
      </c>
      <c r="L96" s="252" t="str">
        <f t="shared" si="118"/>
        <v>-</v>
      </c>
      <c r="M96" s="252" t="str">
        <f t="shared" si="119"/>
        <v>-</v>
      </c>
      <c r="N96" s="250">
        <f>[1]PB8!E96</f>
        <v>0</v>
      </c>
      <c r="O96" s="252" t="str">
        <f t="shared" si="120"/>
        <v>-</v>
      </c>
      <c r="P96" s="252" t="str">
        <f t="shared" si="121"/>
        <v>-</v>
      </c>
      <c r="Q96" s="250">
        <f t="shared" si="135"/>
        <v>0</v>
      </c>
      <c r="R96" s="252" t="str">
        <f t="shared" si="122"/>
        <v>-</v>
      </c>
      <c r="S96" s="253">
        <f>[1]PB8!W96</f>
        <v>0</v>
      </c>
      <c r="T96" s="257"/>
      <c r="U96" s="10" t="str">
        <f t="shared" si="116"/>
        <v>-</v>
      </c>
      <c r="V96"/>
    </row>
    <row r="97" spans="1:22" ht="20.149999999999999" hidden="1" customHeight="1" outlineLevel="1">
      <c r="A97" s="247"/>
      <c r="B97" s="247"/>
      <c r="C97" s="248">
        <v>61078</v>
      </c>
      <c r="D97" s="249" t="s">
        <v>396</v>
      </c>
      <c r="E97" s="250"/>
      <c r="F97" s="250"/>
      <c r="G97" s="250"/>
      <c r="H97" s="250"/>
      <c r="I97" s="250"/>
      <c r="J97" s="250">
        <f t="shared" si="117"/>
        <v>0</v>
      </c>
      <c r="K97" s="250">
        <f t="shared" si="134"/>
        <v>0</v>
      </c>
      <c r="L97" s="252" t="str">
        <f t="shared" si="118"/>
        <v>-</v>
      </c>
      <c r="M97" s="252" t="str">
        <f t="shared" si="119"/>
        <v>-</v>
      </c>
      <c r="N97" s="250">
        <f>[1]PB8!E97</f>
        <v>0</v>
      </c>
      <c r="O97" s="252" t="str">
        <f t="shared" si="120"/>
        <v>-</v>
      </c>
      <c r="P97" s="252" t="str">
        <f t="shared" si="121"/>
        <v>-</v>
      </c>
      <c r="Q97" s="250">
        <f t="shared" si="135"/>
        <v>0</v>
      </c>
      <c r="R97" s="252" t="str">
        <f t="shared" si="122"/>
        <v>-</v>
      </c>
      <c r="S97" s="253">
        <f>[1]PB8!W97</f>
        <v>0</v>
      </c>
      <c r="T97" s="257"/>
      <c r="U97" s="10" t="str">
        <f t="shared" si="116"/>
        <v>-</v>
      </c>
      <c r="V97"/>
    </row>
    <row r="98" spans="1:22" ht="20.149999999999999" hidden="1" customHeight="1" outlineLevel="1">
      <c r="A98" s="241"/>
      <c r="B98" s="241">
        <v>6108</v>
      </c>
      <c r="C98" s="241"/>
      <c r="D98" s="242" t="s">
        <v>397</v>
      </c>
      <c r="E98" s="243">
        <f t="shared" ref="E98:K98" si="136">SUM(E99:E100)</f>
        <v>0</v>
      </c>
      <c r="F98" s="243">
        <f t="shared" si="136"/>
        <v>0</v>
      </c>
      <c r="G98" s="243">
        <f t="shared" si="136"/>
        <v>0</v>
      </c>
      <c r="H98" s="243">
        <f t="shared" si="136"/>
        <v>0</v>
      </c>
      <c r="I98" s="243">
        <f t="shared" si="136"/>
        <v>0</v>
      </c>
      <c r="J98" s="250">
        <f t="shared" si="117"/>
        <v>0</v>
      </c>
      <c r="K98" s="243">
        <f t="shared" si="136"/>
        <v>0</v>
      </c>
      <c r="L98" s="244" t="str">
        <f t="shared" si="118"/>
        <v>-</v>
      </c>
      <c r="M98" s="244" t="str">
        <f t="shared" si="119"/>
        <v>-</v>
      </c>
      <c r="N98" s="243">
        <f t="shared" ref="N98" si="137">SUM(N99:N100)</f>
        <v>0</v>
      </c>
      <c r="O98" s="244" t="str">
        <f t="shared" si="120"/>
        <v>-</v>
      </c>
      <c r="P98" s="244" t="str">
        <f t="shared" si="121"/>
        <v>-</v>
      </c>
      <c r="Q98" s="243">
        <f t="shared" ref="Q98" si="138">SUM(Q99:Q100)</f>
        <v>0</v>
      </c>
      <c r="R98" s="244" t="str">
        <f t="shared" si="122"/>
        <v>-</v>
      </c>
      <c r="S98" s="245">
        <f t="shared" ref="S98" si="139">SUM(S99:S100)</f>
        <v>0</v>
      </c>
      <c r="T98" s="246"/>
      <c r="U98" s="10" t="str">
        <f t="shared" si="116"/>
        <v>-</v>
      </c>
      <c r="V98"/>
    </row>
    <row r="99" spans="1:22" ht="20.149999999999999" hidden="1" customHeight="1" outlineLevel="1">
      <c r="A99" s="247"/>
      <c r="B99" s="247"/>
      <c r="C99" s="248">
        <v>61081</v>
      </c>
      <c r="D99" s="249" t="s">
        <v>398</v>
      </c>
      <c r="E99" s="250"/>
      <c r="F99" s="250"/>
      <c r="G99" s="250"/>
      <c r="H99" s="250"/>
      <c r="I99" s="250"/>
      <c r="J99" s="250">
        <f t="shared" si="117"/>
        <v>0</v>
      </c>
      <c r="K99" s="250">
        <f t="shared" ref="K99:K100" si="140">SUM(I99:J99)</f>
        <v>0</v>
      </c>
      <c r="L99" s="252" t="str">
        <f t="shared" si="118"/>
        <v>-</v>
      </c>
      <c r="M99" s="252" t="str">
        <f t="shared" si="119"/>
        <v>-</v>
      </c>
      <c r="N99" s="250">
        <f>[1]PB8!E99</f>
        <v>0</v>
      </c>
      <c r="O99" s="252" t="str">
        <f t="shared" si="120"/>
        <v>-</v>
      </c>
      <c r="P99" s="252" t="str">
        <f t="shared" si="121"/>
        <v>-</v>
      </c>
      <c r="Q99" s="250">
        <f t="shared" ref="Q99:Q100" si="141">N99-F99</f>
        <v>0</v>
      </c>
      <c r="R99" s="252" t="str">
        <f t="shared" si="122"/>
        <v>-</v>
      </c>
      <c r="S99" s="253">
        <f>[1]PB8!W99</f>
        <v>0</v>
      </c>
      <c r="T99" s="257"/>
      <c r="U99" s="10" t="str">
        <f t="shared" si="116"/>
        <v>-</v>
      </c>
      <c r="V99"/>
    </row>
    <row r="100" spans="1:22" ht="20.149999999999999" hidden="1" customHeight="1" outlineLevel="1">
      <c r="A100" s="247"/>
      <c r="B100" s="247"/>
      <c r="C100" s="248">
        <v>61088</v>
      </c>
      <c r="D100" s="249" t="s">
        <v>399</v>
      </c>
      <c r="E100" s="250"/>
      <c r="F100" s="250"/>
      <c r="G100" s="250"/>
      <c r="H100" s="250"/>
      <c r="I100" s="250"/>
      <c r="J100" s="250">
        <f t="shared" si="117"/>
        <v>0</v>
      </c>
      <c r="K100" s="250">
        <f t="shared" si="140"/>
        <v>0</v>
      </c>
      <c r="L100" s="252" t="str">
        <f t="shared" si="118"/>
        <v>-</v>
      </c>
      <c r="M100" s="252" t="str">
        <f t="shared" si="119"/>
        <v>-</v>
      </c>
      <c r="N100" s="250">
        <f>[1]PB8!E100</f>
        <v>0</v>
      </c>
      <c r="O100" s="252" t="str">
        <f t="shared" si="120"/>
        <v>-</v>
      </c>
      <c r="P100" s="252" t="str">
        <f t="shared" si="121"/>
        <v>-</v>
      </c>
      <c r="Q100" s="250">
        <f t="shared" si="141"/>
        <v>0</v>
      </c>
      <c r="R100" s="252" t="str">
        <f t="shared" si="122"/>
        <v>-</v>
      </c>
      <c r="S100" s="253">
        <f>[1]PB8!W100</f>
        <v>0</v>
      </c>
      <c r="T100" s="257"/>
      <c r="U100" s="10" t="str">
        <f t="shared" si="116"/>
        <v>-</v>
      </c>
      <c r="V100"/>
    </row>
    <row r="101" spans="1:22" ht="20.149999999999999" hidden="1" customHeight="1" outlineLevel="1">
      <c r="A101" s="241"/>
      <c r="B101" s="241">
        <v>6109</v>
      </c>
      <c r="C101" s="241"/>
      <c r="D101" s="242" t="s">
        <v>400</v>
      </c>
      <c r="E101" s="243">
        <f t="shared" ref="E101:K101" si="142">SUM(E102:E106)</f>
        <v>0</v>
      </c>
      <c r="F101" s="243">
        <f t="shared" si="142"/>
        <v>0</v>
      </c>
      <c r="G101" s="243">
        <f t="shared" si="142"/>
        <v>0</v>
      </c>
      <c r="H101" s="243">
        <f t="shared" si="142"/>
        <v>0</v>
      </c>
      <c r="I101" s="243">
        <f t="shared" si="142"/>
        <v>0</v>
      </c>
      <c r="J101" s="250">
        <f t="shared" si="117"/>
        <v>0</v>
      </c>
      <c r="K101" s="243">
        <f t="shared" si="142"/>
        <v>0</v>
      </c>
      <c r="L101" s="244" t="str">
        <f t="shared" si="118"/>
        <v>-</v>
      </c>
      <c r="M101" s="244" t="str">
        <f t="shared" si="119"/>
        <v>-</v>
      </c>
      <c r="N101" s="243">
        <f t="shared" ref="N101" si="143">SUM(N102:N106)</f>
        <v>0</v>
      </c>
      <c r="O101" s="244" t="str">
        <f t="shared" si="120"/>
        <v>-</v>
      </c>
      <c r="P101" s="244" t="str">
        <f t="shared" si="121"/>
        <v>-</v>
      </c>
      <c r="Q101" s="243">
        <f t="shared" ref="Q101" si="144">SUM(Q102:Q106)</f>
        <v>0</v>
      </c>
      <c r="R101" s="244" t="str">
        <f t="shared" si="122"/>
        <v>-</v>
      </c>
      <c r="S101" s="245">
        <f t="shared" ref="S101" si="145">SUM(S102:S106)</f>
        <v>0</v>
      </c>
      <c r="T101" s="246"/>
      <c r="U101" s="10" t="str">
        <f t="shared" si="116"/>
        <v>-</v>
      </c>
      <c r="V101"/>
    </row>
    <row r="102" spans="1:22" ht="20.149999999999999" hidden="1" customHeight="1" outlineLevel="1">
      <c r="A102" s="247"/>
      <c r="B102" s="247"/>
      <c r="C102" s="248">
        <v>61091</v>
      </c>
      <c r="D102" s="249" t="s">
        <v>401</v>
      </c>
      <c r="E102" s="250"/>
      <c r="F102" s="250"/>
      <c r="G102" s="250"/>
      <c r="H102" s="250"/>
      <c r="I102" s="250"/>
      <c r="J102" s="250">
        <f t="shared" si="117"/>
        <v>0</v>
      </c>
      <c r="K102" s="250">
        <f t="shared" ref="K102:K106" si="146">SUM(I102:J102)</f>
        <v>0</v>
      </c>
      <c r="L102" s="252" t="str">
        <f t="shared" si="118"/>
        <v>-</v>
      </c>
      <c r="M102" s="252" t="str">
        <f t="shared" si="119"/>
        <v>-</v>
      </c>
      <c r="N102" s="250">
        <f>[1]PB8!E102</f>
        <v>0</v>
      </c>
      <c r="O102" s="252" t="str">
        <f t="shared" si="120"/>
        <v>-</v>
      </c>
      <c r="P102" s="252" t="str">
        <f t="shared" si="121"/>
        <v>-</v>
      </c>
      <c r="Q102" s="250">
        <f t="shared" ref="Q102:Q106" si="147">N102-F102</f>
        <v>0</v>
      </c>
      <c r="R102" s="252" t="str">
        <f t="shared" si="122"/>
        <v>-</v>
      </c>
      <c r="S102" s="253">
        <f>[1]PB8!W102</f>
        <v>0</v>
      </c>
      <c r="T102" s="257"/>
      <c r="U102" s="10" t="str">
        <f t="shared" si="116"/>
        <v>-</v>
      </c>
      <c r="V102"/>
    </row>
    <row r="103" spans="1:22" ht="20.149999999999999" hidden="1" customHeight="1" outlineLevel="1">
      <c r="A103" s="247"/>
      <c r="B103" s="247"/>
      <c r="C103" s="248">
        <v>61092</v>
      </c>
      <c r="D103" s="249" t="s">
        <v>402</v>
      </c>
      <c r="E103" s="250"/>
      <c r="F103" s="250"/>
      <c r="G103" s="250"/>
      <c r="H103" s="250"/>
      <c r="I103" s="250"/>
      <c r="J103" s="250">
        <f t="shared" si="117"/>
        <v>0</v>
      </c>
      <c r="K103" s="250">
        <f t="shared" si="146"/>
        <v>0</v>
      </c>
      <c r="L103" s="252" t="str">
        <f t="shared" si="118"/>
        <v>-</v>
      </c>
      <c r="M103" s="252" t="str">
        <f t="shared" si="119"/>
        <v>-</v>
      </c>
      <c r="N103" s="250">
        <f>[1]PB8!E103</f>
        <v>0</v>
      </c>
      <c r="O103" s="252" t="str">
        <f t="shared" si="120"/>
        <v>-</v>
      </c>
      <c r="P103" s="252" t="str">
        <f t="shared" si="121"/>
        <v>-</v>
      </c>
      <c r="Q103" s="250">
        <f t="shared" si="147"/>
        <v>0</v>
      </c>
      <c r="R103" s="252" t="str">
        <f t="shared" si="122"/>
        <v>-</v>
      </c>
      <c r="S103" s="253">
        <f>[1]PB8!W103</f>
        <v>0</v>
      </c>
      <c r="T103" s="257"/>
      <c r="U103" s="10" t="str">
        <f t="shared" si="116"/>
        <v>-</v>
      </c>
      <c r="V103"/>
    </row>
    <row r="104" spans="1:22" ht="20.149999999999999" hidden="1" customHeight="1" outlineLevel="1">
      <c r="A104" s="247"/>
      <c r="B104" s="247"/>
      <c r="C104" s="248">
        <v>61093</v>
      </c>
      <c r="D104" s="249" t="s">
        <v>403</v>
      </c>
      <c r="E104" s="250"/>
      <c r="F104" s="250"/>
      <c r="G104" s="250"/>
      <c r="H104" s="250"/>
      <c r="I104" s="250"/>
      <c r="J104" s="250">
        <f t="shared" si="117"/>
        <v>0</v>
      </c>
      <c r="K104" s="250">
        <f t="shared" si="146"/>
        <v>0</v>
      </c>
      <c r="L104" s="252" t="str">
        <f t="shared" si="118"/>
        <v>-</v>
      </c>
      <c r="M104" s="252" t="str">
        <f t="shared" si="119"/>
        <v>-</v>
      </c>
      <c r="N104" s="250">
        <f>[1]PB8!E104</f>
        <v>0</v>
      </c>
      <c r="O104" s="252" t="str">
        <f t="shared" si="120"/>
        <v>-</v>
      </c>
      <c r="P104" s="252" t="str">
        <f t="shared" si="121"/>
        <v>-</v>
      </c>
      <c r="Q104" s="250">
        <f t="shared" si="147"/>
        <v>0</v>
      </c>
      <c r="R104" s="252" t="str">
        <f t="shared" si="122"/>
        <v>-</v>
      </c>
      <c r="S104" s="253">
        <f>[1]PB8!W104</f>
        <v>0</v>
      </c>
      <c r="T104" s="257"/>
      <c r="U104" s="10" t="str">
        <f t="shared" si="116"/>
        <v>-</v>
      </c>
      <c r="V104"/>
    </row>
    <row r="105" spans="1:22" ht="20.149999999999999" hidden="1" customHeight="1" outlineLevel="1">
      <c r="A105" s="247"/>
      <c r="B105" s="247"/>
      <c r="C105" s="248">
        <v>61094</v>
      </c>
      <c r="D105" s="249" t="s">
        <v>404</v>
      </c>
      <c r="E105" s="250"/>
      <c r="F105" s="250"/>
      <c r="G105" s="250"/>
      <c r="H105" s="250"/>
      <c r="I105" s="250"/>
      <c r="J105" s="250">
        <f t="shared" si="117"/>
        <v>0</v>
      </c>
      <c r="K105" s="250">
        <f t="shared" si="146"/>
        <v>0</v>
      </c>
      <c r="L105" s="252" t="str">
        <f t="shared" si="118"/>
        <v>-</v>
      </c>
      <c r="M105" s="252" t="str">
        <f t="shared" si="119"/>
        <v>-</v>
      </c>
      <c r="N105" s="250">
        <f>[1]PB8!E105</f>
        <v>0</v>
      </c>
      <c r="O105" s="252" t="str">
        <f t="shared" si="120"/>
        <v>-</v>
      </c>
      <c r="P105" s="252" t="str">
        <f t="shared" si="121"/>
        <v>-</v>
      </c>
      <c r="Q105" s="250">
        <f t="shared" si="147"/>
        <v>0</v>
      </c>
      <c r="R105" s="252" t="str">
        <f t="shared" si="122"/>
        <v>-</v>
      </c>
      <c r="S105" s="253">
        <f>[1]PB8!W105</f>
        <v>0</v>
      </c>
      <c r="T105" s="257"/>
      <c r="U105" s="10" t="str">
        <f t="shared" si="116"/>
        <v>-</v>
      </c>
      <c r="V105"/>
    </row>
    <row r="106" spans="1:22" ht="20.149999999999999" hidden="1" customHeight="1" outlineLevel="1">
      <c r="A106" s="247"/>
      <c r="B106" s="247"/>
      <c r="C106" s="248">
        <v>61098</v>
      </c>
      <c r="D106" s="249" t="s">
        <v>405</v>
      </c>
      <c r="E106" s="250"/>
      <c r="F106" s="250"/>
      <c r="G106" s="250"/>
      <c r="H106" s="250"/>
      <c r="I106" s="250"/>
      <c r="J106" s="250">
        <f t="shared" si="117"/>
        <v>0</v>
      </c>
      <c r="K106" s="250">
        <f t="shared" si="146"/>
        <v>0</v>
      </c>
      <c r="L106" s="252" t="str">
        <f t="shared" si="118"/>
        <v>-</v>
      </c>
      <c r="M106" s="252" t="str">
        <f t="shared" si="119"/>
        <v>-</v>
      </c>
      <c r="N106" s="250">
        <f>[1]PB8!E106</f>
        <v>0</v>
      </c>
      <c r="O106" s="252" t="str">
        <f t="shared" si="120"/>
        <v>-</v>
      </c>
      <c r="P106" s="252" t="str">
        <f t="shared" si="121"/>
        <v>-</v>
      </c>
      <c r="Q106" s="250">
        <f t="shared" si="147"/>
        <v>0</v>
      </c>
      <c r="R106" s="252" t="str">
        <f t="shared" si="122"/>
        <v>-</v>
      </c>
      <c r="S106" s="253">
        <f>[1]PB8!W106</f>
        <v>0</v>
      </c>
      <c r="T106" s="257"/>
      <c r="U106" s="10" t="str">
        <f t="shared" si="116"/>
        <v>-</v>
      </c>
      <c r="V106"/>
    </row>
    <row r="107" spans="1:22" ht="20.149999999999999" customHeight="1" collapsed="1">
      <c r="A107" s="241"/>
      <c r="B107" s="241">
        <v>6110</v>
      </c>
      <c r="C107" s="241"/>
      <c r="D107" s="242" t="s">
        <v>406</v>
      </c>
      <c r="E107" s="243">
        <f t="shared" ref="E107:K107" si="148">SUM(E108:E115)</f>
        <v>3.23</v>
      </c>
      <c r="F107" s="243">
        <f t="shared" si="148"/>
        <v>168.3</v>
      </c>
      <c r="G107" s="243">
        <f t="shared" si="148"/>
        <v>0</v>
      </c>
      <c r="H107" s="243">
        <f t="shared" si="148"/>
        <v>168.3</v>
      </c>
      <c r="I107" s="243">
        <f t="shared" si="148"/>
        <v>0</v>
      </c>
      <c r="J107" s="243">
        <f t="shared" si="148"/>
        <v>168.3</v>
      </c>
      <c r="K107" s="243">
        <f t="shared" si="148"/>
        <v>168.3</v>
      </c>
      <c r="L107" s="244">
        <f t="shared" si="118"/>
        <v>1</v>
      </c>
      <c r="M107" s="244">
        <f t="shared" si="119"/>
        <v>1</v>
      </c>
      <c r="N107" s="243">
        <f t="shared" ref="N107" si="149">SUM(N108:N115)</f>
        <v>297.2</v>
      </c>
      <c r="O107" s="244">
        <f t="shared" si="120"/>
        <v>1.7658942364824717</v>
      </c>
      <c r="P107" s="244">
        <f t="shared" si="121"/>
        <v>1.7658942364824717</v>
      </c>
      <c r="Q107" s="243">
        <f t="shared" ref="Q107" si="150">SUM(Q108:Q115)</f>
        <v>128.9</v>
      </c>
      <c r="R107" s="244">
        <f t="shared" si="122"/>
        <v>0.76589423648247179</v>
      </c>
      <c r="S107" s="245">
        <f t="shared" ref="S107" si="151">SUM(S108:S115)</f>
        <v>0</v>
      </c>
      <c r="T107" s="246"/>
      <c r="U107" s="10" t="str">
        <f t="shared" si="116"/>
        <v>ok</v>
      </c>
      <c r="V107"/>
    </row>
    <row r="108" spans="1:22" ht="20.149999999999999" hidden="1" customHeight="1">
      <c r="A108" s="247"/>
      <c r="B108" s="247"/>
      <c r="C108" s="248">
        <v>61101</v>
      </c>
      <c r="D108" s="249" t="s">
        <v>407</v>
      </c>
      <c r="E108" s="250"/>
      <c r="F108" s="250"/>
      <c r="G108" s="250"/>
      <c r="H108" s="250"/>
      <c r="I108" s="250"/>
      <c r="J108" s="250"/>
      <c r="K108" s="250">
        <f t="shared" ref="K108:K115" si="152">SUM(I108:J108)</f>
        <v>0</v>
      </c>
      <c r="L108" s="252" t="str">
        <f t="shared" si="118"/>
        <v>-</v>
      </c>
      <c r="M108" s="252" t="str">
        <f t="shared" si="119"/>
        <v>-</v>
      </c>
      <c r="N108" s="250">
        <f>[1]PB8!E108</f>
        <v>0</v>
      </c>
      <c r="O108" s="252" t="str">
        <f t="shared" si="120"/>
        <v>-</v>
      </c>
      <c r="P108" s="252" t="str">
        <f t="shared" si="121"/>
        <v>-</v>
      </c>
      <c r="Q108" s="250">
        <f t="shared" ref="Q108:Q115" si="153">N108-F108</f>
        <v>0</v>
      </c>
      <c r="R108" s="252" t="str">
        <f t="shared" si="122"/>
        <v>-</v>
      </c>
      <c r="S108" s="253">
        <f>[1]PB8!W108</f>
        <v>0</v>
      </c>
      <c r="T108" s="257"/>
      <c r="U108" s="10" t="str">
        <f t="shared" si="116"/>
        <v>-</v>
      </c>
      <c r="V108"/>
    </row>
    <row r="109" spans="1:22" ht="20.149999999999999" customHeight="1">
      <c r="A109" s="247"/>
      <c r="B109" s="247"/>
      <c r="C109" s="248">
        <v>61102</v>
      </c>
      <c r="D109" s="249" t="s">
        <v>408</v>
      </c>
      <c r="E109" s="250"/>
      <c r="F109" s="250">
        <v>8.4</v>
      </c>
      <c r="G109" s="250"/>
      <c r="H109" s="250">
        <v>8.4</v>
      </c>
      <c r="I109" s="250"/>
      <c r="J109" s="250">
        <f>H109-I109</f>
        <v>8.4</v>
      </c>
      <c r="K109" s="250">
        <f t="shared" si="152"/>
        <v>8.4</v>
      </c>
      <c r="L109" s="252">
        <f t="shared" si="118"/>
        <v>1</v>
      </c>
      <c r="M109" s="252">
        <f t="shared" si="119"/>
        <v>1</v>
      </c>
      <c r="N109" s="250">
        <f>[1]PB8!E109</f>
        <v>12.9</v>
      </c>
      <c r="O109" s="252">
        <f t="shared" si="120"/>
        <v>1.5357142857142856</v>
      </c>
      <c r="P109" s="252">
        <f t="shared" si="121"/>
        <v>1.5357142857142856</v>
      </c>
      <c r="Q109" s="250">
        <f t="shared" si="153"/>
        <v>4.5</v>
      </c>
      <c r="R109" s="252">
        <f t="shared" si="122"/>
        <v>0.5357142857142857</v>
      </c>
      <c r="S109" s="253">
        <f>[1]PB8!W109</f>
        <v>0</v>
      </c>
      <c r="T109" s="256" t="s">
        <v>409</v>
      </c>
      <c r="U109" s="10" t="str">
        <f t="shared" si="116"/>
        <v>ok</v>
      </c>
      <c r="V109"/>
    </row>
    <row r="110" spans="1:22" ht="20.149999999999999" customHeight="1">
      <c r="A110" s="247"/>
      <c r="B110" s="247"/>
      <c r="C110" s="248">
        <v>61103</v>
      </c>
      <c r="D110" s="249" t="s">
        <v>410</v>
      </c>
      <c r="E110" s="250">
        <v>3.23</v>
      </c>
      <c r="F110" s="250">
        <v>159.9</v>
      </c>
      <c r="G110" s="250"/>
      <c r="H110" s="250">
        <v>159.9</v>
      </c>
      <c r="I110" s="250"/>
      <c r="J110" s="250">
        <f>H110-I110</f>
        <v>159.9</v>
      </c>
      <c r="K110" s="250">
        <f t="shared" si="152"/>
        <v>159.9</v>
      </c>
      <c r="L110" s="252">
        <f t="shared" si="118"/>
        <v>1</v>
      </c>
      <c r="M110" s="252">
        <f t="shared" si="119"/>
        <v>1</v>
      </c>
      <c r="N110" s="250">
        <f>[1]PB8!E110</f>
        <v>284.3</v>
      </c>
      <c r="O110" s="252">
        <f t="shared" si="120"/>
        <v>1.7779862414008756</v>
      </c>
      <c r="P110" s="252">
        <f t="shared" si="121"/>
        <v>1.7779862414008756</v>
      </c>
      <c r="Q110" s="250">
        <f t="shared" si="153"/>
        <v>124.4</v>
      </c>
      <c r="R110" s="252">
        <f t="shared" si="122"/>
        <v>0.77798624140087558</v>
      </c>
      <c r="S110" s="250">
        <f>[1]PB8!W110</f>
        <v>0</v>
      </c>
      <c r="T110" s="256" t="s">
        <v>411</v>
      </c>
      <c r="U110" s="10" t="str">
        <f t="shared" si="116"/>
        <v>ok</v>
      </c>
      <c r="V110"/>
    </row>
    <row r="111" spans="1:22" ht="20.149999999999999" hidden="1" customHeight="1" outlineLevel="1">
      <c r="A111" s="247"/>
      <c r="B111" s="247"/>
      <c r="C111" s="248">
        <v>61104</v>
      </c>
      <c r="D111" s="249" t="s">
        <v>412</v>
      </c>
      <c r="E111" s="250"/>
      <c r="F111" s="250"/>
      <c r="G111" s="250"/>
      <c r="H111" s="250"/>
      <c r="I111" s="250"/>
      <c r="J111" s="250"/>
      <c r="K111" s="250">
        <f t="shared" si="152"/>
        <v>0</v>
      </c>
      <c r="L111" s="252" t="str">
        <f t="shared" si="118"/>
        <v>-</v>
      </c>
      <c r="M111" s="252" t="str">
        <f t="shared" si="119"/>
        <v>-</v>
      </c>
      <c r="N111" s="250">
        <f>[1]PB8!E111</f>
        <v>0</v>
      </c>
      <c r="O111" s="252" t="str">
        <f t="shared" si="120"/>
        <v>-</v>
      </c>
      <c r="P111" s="252" t="str">
        <f t="shared" si="121"/>
        <v>-</v>
      </c>
      <c r="Q111" s="250">
        <f t="shared" si="153"/>
        <v>0</v>
      </c>
      <c r="R111" s="252" t="str">
        <f t="shared" si="122"/>
        <v>-</v>
      </c>
      <c r="S111" s="253">
        <f>[1]PB8!W111</f>
        <v>0</v>
      </c>
      <c r="T111" s="257"/>
      <c r="U111" s="10" t="str">
        <f t="shared" si="116"/>
        <v>-</v>
      </c>
      <c r="V111"/>
    </row>
    <row r="112" spans="1:22" ht="20.149999999999999" hidden="1" customHeight="1" outlineLevel="1">
      <c r="A112" s="247"/>
      <c r="B112" s="247"/>
      <c r="C112" s="248">
        <v>61105</v>
      </c>
      <c r="D112" s="249" t="s">
        <v>413</v>
      </c>
      <c r="E112" s="250"/>
      <c r="F112" s="250"/>
      <c r="G112" s="250"/>
      <c r="H112" s="250"/>
      <c r="I112" s="250"/>
      <c r="J112" s="250"/>
      <c r="K112" s="250">
        <f t="shared" si="152"/>
        <v>0</v>
      </c>
      <c r="L112" s="252" t="str">
        <f t="shared" si="118"/>
        <v>-</v>
      </c>
      <c r="M112" s="252" t="str">
        <f t="shared" si="119"/>
        <v>-</v>
      </c>
      <c r="N112" s="250">
        <f>[1]PB8!E112</f>
        <v>0</v>
      </c>
      <c r="O112" s="252" t="str">
        <f t="shared" si="120"/>
        <v>-</v>
      </c>
      <c r="P112" s="252" t="str">
        <f t="shared" si="121"/>
        <v>-</v>
      </c>
      <c r="Q112" s="250">
        <f t="shared" si="153"/>
        <v>0</v>
      </c>
      <c r="R112" s="252" t="str">
        <f t="shared" si="122"/>
        <v>-</v>
      </c>
      <c r="S112" s="253">
        <f>[1]PB8!W112</f>
        <v>0</v>
      </c>
      <c r="T112" s="257"/>
      <c r="U112" s="10" t="str">
        <f t="shared" si="116"/>
        <v>-</v>
      </c>
      <c r="V112"/>
    </row>
    <row r="113" spans="1:22" ht="20.149999999999999" hidden="1" customHeight="1" outlineLevel="1">
      <c r="A113" s="247"/>
      <c r="B113" s="247"/>
      <c r="C113" s="248">
        <v>61106</v>
      </c>
      <c r="D113" s="249" t="s">
        <v>414</v>
      </c>
      <c r="E113" s="250"/>
      <c r="F113" s="250"/>
      <c r="G113" s="250"/>
      <c r="H113" s="250"/>
      <c r="I113" s="250"/>
      <c r="J113" s="250"/>
      <c r="K113" s="250">
        <f t="shared" si="152"/>
        <v>0</v>
      </c>
      <c r="L113" s="252" t="str">
        <f t="shared" si="118"/>
        <v>-</v>
      </c>
      <c r="M113" s="252" t="str">
        <f t="shared" si="119"/>
        <v>-</v>
      </c>
      <c r="N113" s="250">
        <f>[1]PB8!E113</f>
        <v>0</v>
      </c>
      <c r="O113" s="252" t="str">
        <f t="shared" si="120"/>
        <v>-</v>
      </c>
      <c r="P113" s="252" t="str">
        <f t="shared" si="121"/>
        <v>-</v>
      </c>
      <c r="Q113" s="250">
        <f t="shared" si="153"/>
        <v>0</v>
      </c>
      <c r="R113" s="252" t="str">
        <f t="shared" si="122"/>
        <v>-</v>
      </c>
      <c r="S113" s="253">
        <f>[1]PB8!W113</f>
        <v>0</v>
      </c>
      <c r="T113" s="257"/>
      <c r="U113" s="10" t="str">
        <f t="shared" si="116"/>
        <v>-</v>
      </c>
      <c r="V113"/>
    </row>
    <row r="114" spans="1:22" ht="20.149999999999999" hidden="1" customHeight="1" outlineLevel="1">
      <c r="A114" s="247"/>
      <c r="B114" s="247"/>
      <c r="C114" s="248">
        <v>61107</v>
      </c>
      <c r="D114" s="249" t="s">
        <v>415</v>
      </c>
      <c r="E114" s="250"/>
      <c r="F114" s="250"/>
      <c r="G114" s="250"/>
      <c r="H114" s="250"/>
      <c r="I114" s="250"/>
      <c r="J114" s="250"/>
      <c r="K114" s="250">
        <f t="shared" si="152"/>
        <v>0</v>
      </c>
      <c r="L114" s="252" t="str">
        <f t="shared" si="118"/>
        <v>-</v>
      </c>
      <c r="M114" s="252" t="str">
        <f t="shared" si="119"/>
        <v>-</v>
      </c>
      <c r="N114" s="250">
        <f>[1]PB8!E114</f>
        <v>0</v>
      </c>
      <c r="O114" s="252" t="str">
        <f t="shared" si="120"/>
        <v>-</v>
      </c>
      <c r="P114" s="252" t="str">
        <f t="shared" si="121"/>
        <v>-</v>
      </c>
      <c r="Q114" s="250">
        <f t="shared" si="153"/>
        <v>0</v>
      </c>
      <c r="R114" s="252" t="str">
        <f t="shared" si="122"/>
        <v>-</v>
      </c>
      <c r="S114" s="253">
        <f>[1]PB8!W114</f>
        <v>0</v>
      </c>
      <c r="T114" s="257"/>
      <c r="U114" s="10" t="str">
        <f t="shared" si="116"/>
        <v>-</v>
      </c>
      <c r="V114"/>
    </row>
    <row r="115" spans="1:22" ht="20.149999999999999" hidden="1" customHeight="1" outlineLevel="1">
      <c r="A115" s="247"/>
      <c r="B115" s="247"/>
      <c r="C115" s="248">
        <v>61108</v>
      </c>
      <c r="D115" s="249" t="s">
        <v>416</v>
      </c>
      <c r="E115" s="250"/>
      <c r="F115" s="250"/>
      <c r="G115" s="250"/>
      <c r="H115" s="250"/>
      <c r="I115" s="250"/>
      <c r="J115" s="250"/>
      <c r="K115" s="250">
        <f t="shared" si="152"/>
        <v>0</v>
      </c>
      <c r="L115" s="252" t="str">
        <f t="shared" si="118"/>
        <v>-</v>
      </c>
      <c r="M115" s="252" t="str">
        <f t="shared" si="119"/>
        <v>-</v>
      </c>
      <c r="N115" s="250">
        <f>[1]PB8!E115</f>
        <v>0</v>
      </c>
      <c r="O115" s="252" t="str">
        <f t="shared" si="120"/>
        <v>-</v>
      </c>
      <c r="P115" s="252" t="str">
        <f t="shared" si="121"/>
        <v>-</v>
      </c>
      <c r="Q115" s="250">
        <f t="shared" si="153"/>
        <v>0</v>
      </c>
      <c r="R115" s="252" t="str">
        <f t="shared" si="122"/>
        <v>-</v>
      </c>
      <c r="S115" s="253">
        <f>[1]PB8!W115</f>
        <v>0</v>
      </c>
      <c r="T115" s="257"/>
      <c r="U115" s="10" t="str">
        <f t="shared" si="116"/>
        <v>-</v>
      </c>
      <c r="V115"/>
    </row>
    <row r="116" spans="1:22" ht="20.149999999999999" customHeight="1" collapsed="1">
      <c r="A116" s="241"/>
      <c r="B116" s="241">
        <v>6111</v>
      </c>
      <c r="C116" s="241"/>
      <c r="D116" s="242" t="s">
        <v>417</v>
      </c>
      <c r="E116" s="243">
        <f t="shared" ref="E116:K116" si="154">SUM(E117:E120)</f>
        <v>1.7989999999999999</v>
      </c>
      <c r="F116" s="243">
        <f t="shared" si="154"/>
        <v>1.7989999999999999</v>
      </c>
      <c r="G116" s="243">
        <f t="shared" si="154"/>
        <v>0</v>
      </c>
      <c r="H116" s="243">
        <f t="shared" si="154"/>
        <v>1.7989999999999999</v>
      </c>
      <c r="I116" s="243">
        <f t="shared" si="154"/>
        <v>0.42</v>
      </c>
      <c r="J116" s="243">
        <f t="shared" si="154"/>
        <v>1.379</v>
      </c>
      <c r="K116" s="243">
        <f t="shared" si="154"/>
        <v>1.7989999999999999</v>
      </c>
      <c r="L116" s="244">
        <f t="shared" si="118"/>
        <v>1</v>
      </c>
      <c r="M116" s="244">
        <f t="shared" si="119"/>
        <v>1</v>
      </c>
      <c r="N116" s="243">
        <f t="shared" ref="N116" si="155">SUM(N117:N120)</f>
        <v>5.4</v>
      </c>
      <c r="O116" s="244">
        <f t="shared" si="120"/>
        <v>3.0016675931072823</v>
      </c>
      <c r="P116" s="244">
        <f t="shared" si="121"/>
        <v>3.0016675931072823</v>
      </c>
      <c r="Q116" s="243">
        <f t="shared" ref="Q116" si="156">SUM(Q117:Q120)</f>
        <v>3.6010000000000004</v>
      </c>
      <c r="R116" s="244">
        <f t="shared" si="122"/>
        <v>2.0016675931072823</v>
      </c>
      <c r="S116" s="245">
        <f t="shared" ref="S116" si="157">SUM(S117:S120)</f>
        <v>0</v>
      </c>
      <c r="T116" s="246"/>
      <c r="U116" s="10" t="str">
        <f t="shared" si="116"/>
        <v>ok</v>
      </c>
      <c r="V116"/>
    </row>
    <row r="117" spans="1:22" ht="20.149999999999999" customHeight="1">
      <c r="A117" s="248"/>
      <c r="B117" s="248"/>
      <c r="C117" s="248">
        <v>61111</v>
      </c>
      <c r="D117" s="249" t="s">
        <v>418</v>
      </c>
      <c r="E117" s="250">
        <v>1.7989999999999999</v>
      </c>
      <c r="F117" s="250">
        <v>1.7989999999999999</v>
      </c>
      <c r="G117" s="250"/>
      <c r="H117" s="250">
        <v>1.7989999999999999</v>
      </c>
      <c r="I117" s="250">
        <v>0.42</v>
      </c>
      <c r="J117" s="250">
        <f>H117-I117</f>
        <v>1.379</v>
      </c>
      <c r="K117" s="250">
        <f t="shared" ref="K117:K120" si="158">SUM(I117:J117)</f>
        <v>1.7989999999999999</v>
      </c>
      <c r="L117" s="252">
        <f t="shared" si="118"/>
        <v>1</v>
      </c>
      <c r="M117" s="252">
        <f t="shared" si="119"/>
        <v>1</v>
      </c>
      <c r="N117" s="250">
        <f>[1]PB8!E117</f>
        <v>5.4</v>
      </c>
      <c r="O117" s="252">
        <f t="shared" si="120"/>
        <v>3.0016675931072823</v>
      </c>
      <c r="P117" s="252">
        <f t="shared" si="121"/>
        <v>3.0016675931072823</v>
      </c>
      <c r="Q117" s="250">
        <f t="shared" ref="Q117:Q120" si="159">N117-F117</f>
        <v>3.6010000000000004</v>
      </c>
      <c r="R117" s="252">
        <f t="shared" si="122"/>
        <v>2.0016675931072823</v>
      </c>
      <c r="S117" s="253">
        <f>[1]PB8!W117</f>
        <v>0</v>
      </c>
      <c r="T117" s="256" t="s">
        <v>419</v>
      </c>
      <c r="U117" s="10" t="str">
        <f t="shared" si="116"/>
        <v>ok</v>
      </c>
      <c r="V117"/>
    </row>
    <row r="118" spans="1:22" ht="20.149999999999999" hidden="1" customHeight="1" outlineLevel="1">
      <c r="A118" s="248"/>
      <c r="B118" s="248"/>
      <c r="C118" s="248">
        <v>61112</v>
      </c>
      <c r="D118" s="249" t="s">
        <v>420</v>
      </c>
      <c r="E118" s="250"/>
      <c r="F118" s="250"/>
      <c r="G118" s="250"/>
      <c r="H118" s="250"/>
      <c r="I118" s="250"/>
      <c r="J118" s="250"/>
      <c r="K118" s="250">
        <f t="shared" si="158"/>
        <v>0</v>
      </c>
      <c r="L118" s="252" t="str">
        <f t="shared" si="118"/>
        <v>-</v>
      </c>
      <c r="M118" s="252" t="str">
        <f t="shared" si="119"/>
        <v>-</v>
      </c>
      <c r="N118" s="250">
        <f>[1]PB8!E118</f>
        <v>0</v>
      </c>
      <c r="O118" s="252" t="str">
        <f t="shared" si="120"/>
        <v>-</v>
      </c>
      <c r="P118" s="252" t="str">
        <f t="shared" si="121"/>
        <v>-</v>
      </c>
      <c r="Q118" s="250">
        <f t="shared" si="159"/>
        <v>0</v>
      </c>
      <c r="R118" s="252" t="str">
        <f t="shared" si="122"/>
        <v>-</v>
      </c>
      <c r="S118" s="253">
        <f>[1]PB8!W118</f>
        <v>0</v>
      </c>
      <c r="T118" s="257"/>
      <c r="U118" s="10" t="str">
        <f t="shared" si="116"/>
        <v>-</v>
      </c>
      <c r="V118"/>
    </row>
    <row r="119" spans="1:22" ht="20.149999999999999" hidden="1" customHeight="1" outlineLevel="1">
      <c r="A119" s="248"/>
      <c r="B119" s="248"/>
      <c r="C119" s="248">
        <v>61113</v>
      </c>
      <c r="D119" s="249" t="s">
        <v>421</v>
      </c>
      <c r="E119" s="250"/>
      <c r="F119" s="250"/>
      <c r="G119" s="250"/>
      <c r="H119" s="250"/>
      <c r="I119" s="250"/>
      <c r="J119" s="250"/>
      <c r="K119" s="250">
        <f t="shared" si="158"/>
        <v>0</v>
      </c>
      <c r="L119" s="252" t="str">
        <f t="shared" si="118"/>
        <v>-</v>
      </c>
      <c r="M119" s="252" t="str">
        <f t="shared" si="119"/>
        <v>-</v>
      </c>
      <c r="N119" s="250">
        <f>[1]PB8!E119</f>
        <v>0</v>
      </c>
      <c r="O119" s="252" t="str">
        <f t="shared" si="120"/>
        <v>-</v>
      </c>
      <c r="P119" s="252" t="str">
        <f t="shared" si="121"/>
        <v>-</v>
      </c>
      <c r="Q119" s="250">
        <f t="shared" si="159"/>
        <v>0</v>
      </c>
      <c r="R119" s="252" t="str">
        <f t="shared" si="122"/>
        <v>-</v>
      </c>
      <c r="S119" s="253">
        <f>[1]PB8!W119</f>
        <v>0</v>
      </c>
      <c r="T119" s="257"/>
      <c r="U119" s="10" t="str">
        <f t="shared" si="116"/>
        <v>-</v>
      </c>
      <c r="V119"/>
    </row>
    <row r="120" spans="1:22" ht="20.149999999999999" hidden="1" customHeight="1" outlineLevel="1">
      <c r="A120" s="248"/>
      <c r="B120" s="248"/>
      <c r="C120" s="248">
        <v>61118</v>
      </c>
      <c r="D120" s="249" t="s">
        <v>422</v>
      </c>
      <c r="E120" s="250"/>
      <c r="F120" s="250"/>
      <c r="G120" s="250"/>
      <c r="H120" s="250"/>
      <c r="I120" s="250"/>
      <c r="J120" s="250"/>
      <c r="K120" s="250">
        <f t="shared" si="158"/>
        <v>0</v>
      </c>
      <c r="L120" s="252" t="str">
        <f t="shared" si="118"/>
        <v>-</v>
      </c>
      <c r="M120" s="252" t="str">
        <f t="shared" si="119"/>
        <v>-</v>
      </c>
      <c r="N120" s="250">
        <f>[1]PB8!E120</f>
        <v>0</v>
      </c>
      <c r="O120" s="252" t="str">
        <f t="shared" si="120"/>
        <v>-</v>
      </c>
      <c r="P120" s="252" t="str">
        <f t="shared" si="121"/>
        <v>-</v>
      </c>
      <c r="Q120" s="250">
        <f t="shared" si="159"/>
        <v>0</v>
      </c>
      <c r="R120" s="252" t="str">
        <f t="shared" si="122"/>
        <v>-</v>
      </c>
      <c r="S120" s="253">
        <f>[1]PB8!W120</f>
        <v>0</v>
      </c>
      <c r="T120" s="257"/>
      <c r="U120" s="10" t="str">
        <f t="shared" si="116"/>
        <v>-</v>
      </c>
      <c r="V120"/>
    </row>
    <row r="121" spans="1:22" ht="20.149999999999999" customHeight="1" collapsed="1">
      <c r="A121" s="241"/>
      <c r="B121" s="241">
        <v>6112</v>
      </c>
      <c r="C121" s="241"/>
      <c r="D121" s="242" t="s">
        <v>423</v>
      </c>
      <c r="E121" s="264">
        <f t="shared" ref="E121:K121" si="160">SUM(E122:E125)</f>
        <v>42.548999999999999</v>
      </c>
      <c r="F121" s="264">
        <f t="shared" si="160"/>
        <v>207.7</v>
      </c>
      <c r="G121" s="264">
        <f t="shared" si="160"/>
        <v>0</v>
      </c>
      <c r="H121" s="264">
        <f t="shared" si="160"/>
        <v>207.7</v>
      </c>
      <c r="I121" s="264">
        <f t="shared" si="160"/>
        <v>55.129999999999995</v>
      </c>
      <c r="J121" s="264">
        <f t="shared" si="160"/>
        <v>152.57</v>
      </c>
      <c r="K121" s="264">
        <f t="shared" si="160"/>
        <v>207.7</v>
      </c>
      <c r="L121" s="265">
        <f t="shared" si="118"/>
        <v>1</v>
      </c>
      <c r="M121" s="265">
        <f t="shared" si="119"/>
        <v>1</v>
      </c>
      <c r="N121" s="264">
        <f t="shared" ref="N121" si="161">SUM(N122:N125)</f>
        <v>312.90000000000003</v>
      </c>
      <c r="O121" s="265">
        <f t="shared" si="120"/>
        <v>1.5064997592681755</v>
      </c>
      <c r="P121" s="265">
        <f t="shared" si="121"/>
        <v>1.5064997592681755</v>
      </c>
      <c r="Q121" s="264">
        <f t="shared" ref="Q121" si="162">SUM(Q122:Q125)</f>
        <v>105.20000000000003</v>
      </c>
      <c r="R121" s="265">
        <f t="shared" si="122"/>
        <v>0.50649975926817548</v>
      </c>
      <c r="S121" s="266">
        <f t="shared" ref="S121" si="163">SUM(S122:S125)</f>
        <v>0</v>
      </c>
      <c r="T121" s="267"/>
      <c r="U121" s="10" t="str">
        <f t="shared" si="116"/>
        <v>ok</v>
      </c>
      <c r="V121"/>
    </row>
    <row r="122" spans="1:22" ht="20.149999999999999" customHeight="1">
      <c r="A122" s="247"/>
      <c r="B122" s="247"/>
      <c r="C122" s="248">
        <v>61121</v>
      </c>
      <c r="D122" s="249" t="s">
        <v>397</v>
      </c>
      <c r="E122" s="250">
        <v>4.1210000000000004</v>
      </c>
      <c r="F122" s="250">
        <v>26.4</v>
      </c>
      <c r="G122" s="250"/>
      <c r="H122" s="250">
        <v>26.4</v>
      </c>
      <c r="I122" s="250">
        <v>5.21</v>
      </c>
      <c r="J122" s="250">
        <f>H122-I122</f>
        <v>21.189999999999998</v>
      </c>
      <c r="K122" s="250">
        <f t="shared" ref="K122:K125" si="164">SUM(I122:J122)</f>
        <v>26.4</v>
      </c>
      <c r="L122" s="252">
        <f t="shared" si="118"/>
        <v>1</v>
      </c>
      <c r="M122" s="252">
        <f t="shared" si="119"/>
        <v>1</v>
      </c>
      <c r="N122" s="250">
        <f>[1]PB8!E122</f>
        <v>35</v>
      </c>
      <c r="O122" s="252">
        <f t="shared" si="120"/>
        <v>1.3257575757575759</v>
      </c>
      <c r="P122" s="252">
        <f t="shared" si="121"/>
        <v>1.3257575757575759</v>
      </c>
      <c r="Q122" s="250">
        <f t="shared" ref="Q122:Q125" si="165">N122-F122</f>
        <v>8.6000000000000014</v>
      </c>
      <c r="R122" s="252">
        <f t="shared" si="122"/>
        <v>0.3257575757575758</v>
      </c>
      <c r="S122" s="253">
        <f>[1]PB8!W122</f>
        <v>0</v>
      </c>
      <c r="T122" s="256" t="s">
        <v>424</v>
      </c>
      <c r="U122" s="10" t="str">
        <f t="shared" si="116"/>
        <v>ok</v>
      </c>
      <c r="V122"/>
    </row>
    <row r="123" spans="1:22" ht="20.149999999999999" customHeight="1">
      <c r="A123" s="247"/>
      <c r="B123" s="247"/>
      <c r="C123" s="248">
        <v>61122</v>
      </c>
      <c r="D123" s="249" t="s">
        <v>425</v>
      </c>
      <c r="E123" s="250">
        <v>4.7880000000000003</v>
      </c>
      <c r="F123" s="250">
        <v>24.3</v>
      </c>
      <c r="G123" s="250"/>
      <c r="H123" s="250">
        <v>24.3</v>
      </c>
      <c r="I123" s="250">
        <v>5.88</v>
      </c>
      <c r="J123" s="250">
        <f t="shared" ref="J123:J125" si="166">H123-I123</f>
        <v>18.420000000000002</v>
      </c>
      <c r="K123" s="250">
        <f t="shared" si="164"/>
        <v>24.3</v>
      </c>
      <c r="L123" s="252">
        <f t="shared" si="118"/>
        <v>1</v>
      </c>
      <c r="M123" s="252">
        <f t="shared" si="119"/>
        <v>1</v>
      </c>
      <c r="N123" s="250">
        <f>[1]PB8!E123</f>
        <v>36.499999999999993</v>
      </c>
      <c r="O123" s="252">
        <f t="shared" si="120"/>
        <v>1.502057613168724</v>
      </c>
      <c r="P123" s="252">
        <f t="shared" si="121"/>
        <v>1.502057613168724</v>
      </c>
      <c r="Q123" s="250">
        <f t="shared" si="165"/>
        <v>12.199999999999992</v>
      </c>
      <c r="R123" s="252">
        <f t="shared" si="122"/>
        <v>0.50205761316872399</v>
      </c>
      <c r="S123" s="253">
        <f>[1]PB8!W123</f>
        <v>0</v>
      </c>
      <c r="T123" s="256" t="s">
        <v>424</v>
      </c>
      <c r="U123" s="10" t="str">
        <f t="shared" si="116"/>
        <v>ok</v>
      </c>
      <c r="V123"/>
    </row>
    <row r="124" spans="1:22" ht="20.149999999999999" customHeight="1">
      <c r="A124" s="247"/>
      <c r="B124" s="247"/>
      <c r="C124" s="248">
        <v>61123</v>
      </c>
      <c r="D124" s="249" t="s">
        <v>426</v>
      </c>
      <c r="E124" s="250">
        <v>33.64</v>
      </c>
      <c r="F124" s="250">
        <v>157</v>
      </c>
      <c r="G124" s="250"/>
      <c r="H124" s="250">
        <v>157</v>
      </c>
      <c r="I124" s="250">
        <v>44.04</v>
      </c>
      <c r="J124" s="250">
        <f t="shared" si="166"/>
        <v>112.96000000000001</v>
      </c>
      <c r="K124" s="250">
        <f t="shared" si="164"/>
        <v>157</v>
      </c>
      <c r="L124" s="252">
        <f t="shared" si="118"/>
        <v>1</v>
      </c>
      <c r="M124" s="252">
        <f t="shared" si="119"/>
        <v>1</v>
      </c>
      <c r="N124" s="250">
        <f>[1]PB8!E124</f>
        <v>241.40000000000003</v>
      </c>
      <c r="O124" s="252">
        <f t="shared" si="120"/>
        <v>1.5375796178343952</v>
      </c>
      <c r="P124" s="252">
        <f t="shared" si="121"/>
        <v>1.5375796178343952</v>
      </c>
      <c r="Q124" s="250">
        <f t="shared" si="165"/>
        <v>84.400000000000034</v>
      </c>
      <c r="R124" s="252">
        <f t="shared" si="122"/>
        <v>0.53757961783439512</v>
      </c>
      <c r="S124" s="253">
        <f>[1]PB8!W124</f>
        <v>0</v>
      </c>
      <c r="T124" s="256" t="s">
        <v>424</v>
      </c>
      <c r="U124" s="10" t="str">
        <f t="shared" si="116"/>
        <v>ok</v>
      </c>
      <c r="V124"/>
    </row>
    <row r="125" spans="1:22" ht="20.149999999999999" customHeight="1">
      <c r="A125" s="247"/>
      <c r="B125" s="247"/>
      <c r="C125" s="248">
        <v>61128</v>
      </c>
      <c r="D125" s="249" t="s">
        <v>427</v>
      </c>
      <c r="E125" s="250"/>
      <c r="F125" s="250"/>
      <c r="G125" s="250"/>
      <c r="H125" s="250"/>
      <c r="I125" s="250"/>
      <c r="J125" s="250">
        <f t="shared" si="166"/>
        <v>0</v>
      </c>
      <c r="K125" s="250">
        <f t="shared" si="164"/>
        <v>0</v>
      </c>
      <c r="L125" s="252" t="str">
        <f t="shared" si="118"/>
        <v>-</v>
      </c>
      <c r="M125" s="252" t="str">
        <f t="shared" si="119"/>
        <v>-</v>
      </c>
      <c r="N125" s="250">
        <f>[1]PB8!E125</f>
        <v>0</v>
      </c>
      <c r="O125" s="252" t="str">
        <f t="shared" si="120"/>
        <v>-</v>
      </c>
      <c r="P125" s="252" t="str">
        <f t="shared" si="121"/>
        <v>-</v>
      </c>
      <c r="Q125" s="250">
        <f t="shared" si="165"/>
        <v>0</v>
      </c>
      <c r="R125" s="252" t="str">
        <f t="shared" si="122"/>
        <v>-</v>
      </c>
      <c r="S125" s="253">
        <f>[1]PB8!W125</f>
        <v>0</v>
      </c>
      <c r="T125" s="257"/>
      <c r="U125" s="10" t="str">
        <f t="shared" si="116"/>
        <v>-</v>
      </c>
      <c r="V125"/>
    </row>
    <row r="126" spans="1:22" ht="20.149999999999999" customHeight="1">
      <c r="A126" s="241"/>
      <c r="B126" s="241">
        <v>6113</v>
      </c>
      <c r="C126" s="241"/>
      <c r="D126" s="242" t="s">
        <v>428</v>
      </c>
      <c r="E126" s="264">
        <f t="shared" ref="E126:K126" si="167">SUM(E127:E130)</f>
        <v>0</v>
      </c>
      <c r="F126" s="264">
        <f t="shared" si="167"/>
        <v>0</v>
      </c>
      <c r="G126" s="264">
        <f t="shared" si="167"/>
        <v>0</v>
      </c>
      <c r="H126" s="264">
        <f t="shared" si="167"/>
        <v>0</v>
      </c>
      <c r="I126" s="264">
        <f t="shared" si="167"/>
        <v>0</v>
      </c>
      <c r="J126" s="264">
        <f t="shared" si="167"/>
        <v>0</v>
      </c>
      <c r="K126" s="264">
        <f t="shared" si="167"/>
        <v>0</v>
      </c>
      <c r="L126" s="265" t="str">
        <f t="shared" si="118"/>
        <v>-</v>
      </c>
      <c r="M126" s="265" t="str">
        <f t="shared" si="119"/>
        <v>-</v>
      </c>
      <c r="N126" s="264">
        <f t="shared" ref="N126" si="168">SUM(N127:N130)</f>
        <v>624.29999999999995</v>
      </c>
      <c r="O126" s="265" t="str">
        <f t="shared" si="120"/>
        <v>-</v>
      </c>
      <c r="P126" s="265" t="str">
        <f t="shared" si="121"/>
        <v>-</v>
      </c>
      <c r="Q126" s="264">
        <f t="shared" ref="Q126" si="169">SUM(Q127:Q130)</f>
        <v>624.29999999999995</v>
      </c>
      <c r="R126" s="265" t="str">
        <f t="shared" si="122"/>
        <v>-</v>
      </c>
      <c r="S126" s="266">
        <f t="shared" ref="S126" si="170">SUM(S127:S130)</f>
        <v>0</v>
      </c>
      <c r="T126" s="267"/>
      <c r="U126" s="10" t="str">
        <f t="shared" si="116"/>
        <v>ok</v>
      </c>
      <c r="V126"/>
    </row>
    <row r="127" spans="1:22" ht="20.149999999999999" customHeight="1">
      <c r="A127" s="247"/>
      <c r="B127" s="247"/>
      <c r="C127" s="248">
        <v>61131</v>
      </c>
      <c r="D127" s="249" t="s">
        <v>397</v>
      </c>
      <c r="E127" s="250"/>
      <c r="F127" s="250"/>
      <c r="G127" s="250"/>
      <c r="H127" s="250"/>
      <c r="I127" s="250"/>
      <c r="J127" s="250"/>
      <c r="K127" s="250">
        <f t="shared" ref="K127:K130" si="171">SUM(I127:J127)</f>
        <v>0</v>
      </c>
      <c r="L127" s="252" t="str">
        <f t="shared" si="118"/>
        <v>-</v>
      </c>
      <c r="M127" s="252" t="str">
        <f t="shared" si="119"/>
        <v>-</v>
      </c>
      <c r="N127" s="250">
        <f>[1]PB8!E127</f>
        <v>223.8</v>
      </c>
      <c r="O127" s="252" t="str">
        <f t="shared" si="120"/>
        <v>-</v>
      </c>
      <c r="P127" s="252" t="str">
        <f t="shared" si="121"/>
        <v>-</v>
      </c>
      <c r="Q127" s="250">
        <f t="shared" ref="Q127:Q130" si="172">N127-F127</f>
        <v>223.8</v>
      </c>
      <c r="R127" s="252" t="str">
        <f t="shared" si="122"/>
        <v>-</v>
      </c>
      <c r="S127" s="253">
        <f>[1]PB8!W127</f>
        <v>0</v>
      </c>
      <c r="T127" s="256" t="s">
        <v>424</v>
      </c>
      <c r="U127" s="10" t="str">
        <f t="shared" si="116"/>
        <v>ok</v>
      </c>
      <c r="V127"/>
    </row>
    <row r="128" spans="1:22" ht="20.149999999999999" customHeight="1">
      <c r="A128" s="247"/>
      <c r="B128" s="247"/>
      <c r="C128" s="248">
        <v>61132</v>
      </c>
      <c r="D128" s="249" t="s">
        <v>425</v>
      </c>
      <c r="E128" s="250"/>
      <c r="F128" s="250"/>
      <c r="G128" s="250"/>
      <c r="H128" s="250"/>
      <c r="I128" s="250"/>
      <c r="J128" s="250"/>
      <c r="K128" s="250">
        <f t="shared" si="171"/>
        <v>0</v>
      </c>
      <c r="L128" s="252" t="str">
        <f t="shared" si="118"/>
        <v>-</v>
      </c>
      <c r="M128" s="252" t="str">
        <f t="shared" si="119"/>
        <v>-</v>
      </c>
      <c r="N128" s="250">
        <f>[1]PB8!E128</f>
        <v>47.400000000000006</v>
      </c>
      <c r="O128" s="252" t="str">
        <f t="shared" si="120"/>
        <v>-</v>
      </c>
      <c r="P128" s="252" t="str">
        <f t="shared" si="121"/>
        <v>-</v>
      </c>
      <c r="Q128" s="250">
        <f t="shared" si="172"/>
        <v>47.400000000000006</v>
      </c>
      <c r="R128" s="252" t="str">
        <f t="shared" si="122"/>
        <v>-</v>
      </c>
      <c r="S128" s="253">
        <f>[1]PB8!W128</f>
        <v>0</v>
      </c>
      <c r="T128" s="256" t="s">
        <v>424</v>
      </c>
      <c r="U128" s="10" t="str">
        <f t="shared" si="116"/>
        <v>ok</v>
      </c>
      <c r="V128"/>
    </row>
    <row r="129" spans="1:22" ht="20.149999999999999" customHeight="1">
      <c r="A129" s="247"/>
      <c r="B129" s="247"/>
      <c r="C129" s="248">
        <v>61133</v>
      </c>
      <c r="D129" s="249" t="s">
        <v>426</v>
      </c>
      <c r="E129" s="250"/>
      <c r="F129" s="250"/>
      <c r="G129" s="250"/>
      <c r="H129" s="250"/>
      <c r="I129" s="250"/>
      <c r="J129" s="250"/>
      <c r="K129" s="250">
        <f t="shared" si="171"/>
        <v>0</v>
      </c>
      <c r="L129" s="252" t="str">
        <f t="shared" si="118"/>
        <v>-</v>
      </c>
      <c r="M129" s="252" t="str">
        <f t="shared" si="119"/>
        <v>-</v>
      </c>
      <c r="N129" s="250">
        <f>[1]PB8!E129</f>
        <v>352.29999999999995</v>
      </c>
      <c r="O129" s="252" t="str">
        <f t="shared" si="120"/>
        <v>-</v>
      </c>
      <c r="P129" s="252" t="str">
        <f t="shared" si="121"/>
        <v>-</v>
      </c>
      <c r="Q129" s="250">
        <f t="shared" si="172"/>
        <v>352.29999999999995</v>
      </c>
      <c r="R129" s="252" t="str">
        <f t="shared" si="122"/>
        <v>-</v>
      </c>
      <c r="S129" s="253">
        <f>[1]PB8!W129</f>
        <v>0</v>
      </c>
      <c r="T129" s="256" t="s">
        <v>424</v>
      </c>
      <c r="U129" s="10" t="str">
        <f t="shared" si="116"/>
        <v>ok</v>
      </c>
      <c r="V129"/>
    </row>
    <row r="130" spans="1:22" ht="20.149999999999999" customHeight="1">
      <c r="A130" s="247"/>
      <c r="B130" s="247"/>
      <c r="C130" s="248">
        <v>61138</v>
      </c>
      <c r="D130" s="249" t="s">
        <v>429</v>
      </c>
      <c r="E130" s="250"/>
      <c r="F130" s="250"/>
      <c r="G130" s="250"/>
      <c r="H130" s="250"/>
      <c r="I130" s="250"/>
      <c r="J130" s="250"/>
      <c r="K130" s="250">
        <f t="shared" si="171"/>
        <v>0</v>
      </c>
      <c r="L130" s="252" t="str">
        <f t="shared" si="118"/>
        <v>-</v>
      </c>
      <c r="M130" s="252" t="str">
        <f t="shared" si="119"/>
        <v>-</v>
      </c>
      <c r="N130" s="250">
        <f>[1]PB8!E130</f>
        <v>0.8</v>
      </c>
      <c r="O130" s="252" t="str">
        <f t="shared" si="120"/>
        <v>-</v>
      </c>
      <c r="P130" s="252" t="str">
        <f t="shared" si="121"/>
        <v>-</v>
      </c>
      <c r="Q130" s="250">
        <f t="shared" si="172"/>
        <v>0.8</v>
      </c>
      <c r="R130" s="252" t="str">
        <f t="shared" si="122"/>
        <v>-</v>
      </c>
      <c r="S130" s="253">
        <f>[1]PB8!W130</f>
        <v>0</v>
      </c>
      <c r="T130" s="257"/>
      <c r="U130" s="10" t="str">
        <f t="shared" si="116"/>
        <v>ok</v>
      </c>
      <c r="V130"/>
    </row>
    <row r="131" spans="1:22" ht="20.149999999999999" customHeight="1">
      <c r="A131" s="241"/>
      <c r="B131" s="241">
        <v>6114</v>
      </c>
      <c r="C131" s="241"/>
      <c r="D131" s="242" t="s">
        <v>430</v>
      </c>
      <c r="E131" s="243">
        <f t="shared" ref="E131:K131" si="173">SUM(E132:E134)</f>
        <v>2.98</v>
      </c>
      <c r="F131" s="243">
        <f t="shared" si="173"/>
        <v>14</v>
      </c>
      <c r="G131" s="243">
        <f t="shared" si="173"/>
        <v>0</v>
      </c>
      <c r="H131" s="243">
        <f t="shared" si="173"/>
        <v>14</v>
      </c>
      <c r="I131" s="243">
        <f t="shared" si="173"/>
        <v>0</v>
      </c>
      <c r="J131" s="243">
        <f t="shared" si="173"/>
        <v>14</v>
      </c>
      <c r="K131" s="243">
        <f t="shared" si="173"/>
        <v>14</v>
      </c>
      <c r="L131" s="244">
        <f t="shared" si="118"/>
        <v>1</v>
      </c>
      <c r="M131" s="244">
        <f t="shared" si="119"/>
        <v>1</v>
      </c>
      <c r="N131" s="243">
        <f t="shared" ref="N131" si="174">SUM(N132:N134)</f>
        <v>10</v>
      </c>
      <c r="O131" s="244">
        <f t="shared" si="120"/>
        <v>0.7142857142857143</v>
      </c>
      <c r="P131" s="244">
        <f t="shared" si="121"/>
        <v>0.7142857142857143</v>
      </c>
      <c r="Q131" s="243">
        <f t="shared" ref="Q131" si="175">SUM(Q132:Q134)</f>
        <v>-4</v>
      </c>
      <c r="R131" s="244">
        <f t="shared" si="122"/>
        <v>-0.2857142857142857</v>
      </c>
      <c r="S131" s="245">
        <f t="shared" ref="S131" si="176">SUM(S132:S134)</f>
        <v>0</v>
      </c>
      <c r="T131" s="246"/>
      <c r="U131" s="10" t="str">
        <f t="shared" si="116"/>
        <v>ok</v>
      </c>
      <c r="V131"/>
    </row>
    <row r="132" spans="1:22" ht="20.149999999999999" customHeight="1">
      <c r="A132" s="247"/>
      <c r="B132" s="247"/>
      <c r="C132" s="248">
        <v>61141</v>
      </c>
      <c r="D132" s="249" t="s">
        <v>431</v>
      </c>
      <c r="E132" s="250">
        <v>2.98</v>
      </c>
      <c r="F132" s="250">
        <v>4</v>
      </c>
      <c r="G132" s="250"/>
      <c r="H132" s="250">
        <v>4</v>
      </c>
      <c r="I132" s="250"/>
      <c r="J132" s="250">
        <f>H132-I132</f>
        <v>4</v>
      </c>
      <c r="K132" s="250">
        <f t="shared" ref="K132:K134" si="177">SUM(I132:J132)</f>
        <v>4</v>
      </c>
      <c r="L132" s="252">
        <f t="shared" si="118"/>
        <v>1</v>
      </c>
      <c r="M132" s="252">
        <f t="shared" si="119"/>
        <v>1</v>
      </c>
      <c r="N132" s="250">
        <f>[1]PB8!E132</f>
        <v>10</v>
      </c>
      <c r="O132" s="252">
        <f t="shared" si="120"/>
        <v>2.5</v>
      </c>
      <c r="P132" s="252">
        <f t="shared" si="121"/>
        <v>2.5</v>
      </c>
      <c r="Q132" s="250">
        <f t="shared" ref="Q132:Q134" si="178">N132-F132</f>
        <v>6</v>
      </c>
      <c r="R132" s="252">
        <f t="shared" si="122"/>
        <v>1.5</v>
      </c>
      <c r="S132" s="253">
        <f>[1]PB8!W132</f>
        <v>0</v>
      </c>
      <c r="T132" s="256" t="s">
        <v>432</v>
      </c>
      <c r="U132" s="10" t="str">
        <f t="shared" si="116"/>
        <v>ok</v>
      </c>
      <c r="V132"/>
    </row>
    <row r="133" spans="1:22" ht="20.149999999999999" customHeight="1">
      <c r="A133" s="247"/>
      <c r="B133" s="247"/>
      <c r="C133" s="248">
        <v>61142</v>
      </c>
      <c r="D133" s="249" t="s">
        <v>433</v>
      </c>
      <c r="E133" s="250"/>
      <c r="F133" s="250">
        <v>10</v>
      </c>
      <c r="G133" s="250"/>
      <c r="H133" s="250">
        <v>10</v>
      </c>
      <c r="I133" s="250"/>
      <c r="J133" s="250">
        <f t="shared" ref="J133:J134" si="179">H133-I133</f>
        <v>10</v>
      </c>
      <c r="K133" s="250">
        <f t="shared" si="177"/>
        <v>10</v>
      </c>
      <c r="L133" s="252">
        <f t="shared" si="118"/>
        <v>1</v>
      </c>
      <c r="M133" s="252">
        <f t="shared" si="119"/>
        <v>1</v>
      </c>
      <c r="N133" s="250">
        <f>[1]PB8!E133</f>
        <v>0</v>
      </c>
      <c r="O133" s="252">
        <f t="shared" si="120"/>
        <v>0</v>
      </c>
      <c r="P133" s="252">
        <f t="shared" si="121"/>
        <v>0</v>
      </c>
      <c r="Q133" s="250">
        <f t="shared" si="178"/>
        <v>-10</v>
      </c>
      <c r="R133" s="252">
        <f t="shared" si="122"/>
        <v>-1</v>
      </c>
      <c r="S133" s="253">
        <f>[1]PB8!W133</f>
        <v>0</v>
      </c>
      <c r="T133" s="256" t="s">
        <v>434</v>
      </c>
      <c r="U133" s="10" t="str">
        <f t="shared" si="116"/>
        <v>ok</v>
      </c>
      <c r="V133"/>
    </row>
    <row r="134" spans="1:22" ht="20.149999999999999" customHeight="1">
      <c r="A134" s="247"/>
      <c r="B134" s="247"/>
      <c r="C134" s="248">
        <v>61148</v>
      </c>
      <c r="D134" s="249" t="s">
        <v>435</v>
      </c>
      <c r="E134" s="250"/>
      <c r="F134" s="250"/>
      <c r="G134" s="250"/>
      <c r="H134" s="250"/>
      <c r="I134" s="250"/>
      <c r="J134" s="250">
        <f t="shared" si="179"/>
        <v>0</v>
      </c>
      <c r="K134" s="250">
        <f t="shared" si="177"/>
        <v>0</v>
      </c>
      <c r="L134" s="252" t="str">
        <f t="shared" si="118"/>
        <v>-</v>
      </c>
      <c r="M134" s="252" t="str">
        <f t="shared" si="119"/>
        <v>-</v>
      </c>
      <c r="N134" s="250">
        <f>[1]PB8!E134</f>
        <v>0</v>
      </c>
      <c r="O134" s="252" t="str">
        <f t="shared" si="120"/>
        <v>-</v>
      </c>
      <c r="P134" s="252" t="str">
        <f t="shared" si="121"/>
        <v>-</v>
      </c>
      <c r="Q134" s="250">
        <f t="shared" si="178"/>
        <v>0</v>
      </c>
      <c r="R134" s="252" t="str">
        <f t="shared" si="122"/>
        <v>-</v>
      </c>
      <c r="S134" s="253">
        <f>[1]PB8!W134</f>
        <v>0</v>
      </c>
      <c r="T134" s="257"/>
      <c r="U134" s="10" t="str">
        <f t="shared" si="116"/>
        <v>-</v>
      </c>
      <c r="V134"/>
    </row>
    <row r="135" spans="1:22" ht="20.149999999999999" hidden="1" customHeight="1" outlineLevel="1">
      <c r="A135" s="241"/>
      <c r="B135" s="241">
        <v>6115</v>
      </c>
      <c r="C135" s="241"/>
      <c r="D135" s="242" t="s">
        <v>436</v>
      </c>
      <c r="E135" s="268">
        <f t="shared" ref="E135:K135" si="180">E136</f>
        <v>0</v>
      </c>
      <c r="F135" s="268">
        <f t="shared" si="180"/>
        <v>0</v>
      </c>
      <c r="G135" s="268">
        <f t="shared" si="180"/>
        <v>0</v>
      </c>
      <c r="H135" s="268">
        <f t="shared" si="180"/>
        <v>0</v>
      </c>
      <c r="I135" s="268">
        <f t="shared" si="180"/>
        <v>0</v>
      </c>
      <c r="J135" s="268">
        <f t="shared" si="180"/>
        <v>0</v>
      </c>
      <c r="K135" s="268">
        <f t="shared" si="180"/>
        <v>0</v>
      </c>
      <c r="L135" s="244" t="str">
        <f t="shared" si="118"/>
        <v>-</v>
      </c>
      <c r="M135" s="244" t="str">
        <f t="shared" si="119"/>
        <v>-</v>
      </c>
      <c r="N135" s="268">
        <f t="shared" ref="N135" si="181">N136</f>
        <v>0</v>
      </c>
      <c r="O135" s="244" t="str">
        <f t="shared" si="120"/>
        <v>-</v>
      </c>
      <c r="P135" s="244" t="str">
        <f t="shared" si="121"/>
        <v>-</v>
      </c>
      <c r="Q135" s="268">
        <f t="shared" ref="Q135" si="182">Q136</f>
        <v>0</v>
      </c>
      <c r="R135" s="244" t="str">
        <f t="shared" si="122"/>
        <v>-</v>
      </c>
      <c r="S135" s="269">
        <f t="shared" ref="S135" si="183">S136</f>
        <v>0</v>
      </c>
      <c r="T135" s="246"/>
      <c r="U135" s="10" t="str">
        <f t="shared" si="116"/>
        <v>-</v>
      </c>
      <c r="V135"/>
    </row>
    <row r="136" spans="1:22" ht="20.149999999999999" hidden="1" customHeight="1" outlineLevel="1">
      <c r="A136" s="241"/>
      <c r="B136" s="241"/>
      <c r="C136" s="248">
        <v>61151</v>
      </c>
      <c r="D136" s="249" t="s">
        <v>436</v>
      </c>
      <c r="E136" s="250"/>
      <c r="F136" s="250"/>
      <c r="G136" s="250"/>
      <c r="H136" s="250"/>
      <c r="I136" s="250"/>
      <c r="J136" s="250"/>
      <c r="K136" s="250">
        <f>SUM(I136:J136)</f>
        <v>0</v>
      </c>
      <c r="L136" s="252" t="str">
        <f>IFERROR(K136/F136,"-")</f>
        <v>-</v>
      </c>
      <c r="M136" s="252" t="str">
        <f>IFERROR(K136/H136,"-")</f>
        <v>-</v>
      </c>
      <c r="N136" s="250">
        <f>[1]PB8!E136</f>
        <v>0</v>
      </c>
      <c r="O136" s="252" t="str">
        <f>IFERROR(N136/F136,"-")</f>
        <v>-</v>
      </c>
      <c r="P136" s="252" t="str">
        <f>IFERROR(N136/H136,"-")</f>
        <v>-</v>
      </c>
      <c r="Q136" s="250">
        <f>N136-F136</f>
        <v>0</v>
      </c>
      <c r="R136" s="252" t="str">
        <f t="shared" si="122"/>
        <v>-</v>
      </c>
      <c r="S136" s="253">
        <f>[1]PB8!W136</f>
        <v>0</v>
      </c>
      <c r="T136" s="257"/>
      <c r="U136" s="10" t="str">
        <f t="shared" si="116"/>
        <v>-</v>
      </c>
      <c r="V136"/>
    </row>
    <row r="137" spans="1:22" ht="20.149999999999999" hidden="1" customHeight="1" outlineLevel="1">
      <c r="A137" s="241"/>
      <c r="B137" s="241">
        <v>6116</v>
      </c>
      <c r="C137" s="241"/>
      <c r="D137" s="242" t="s">
        <v>437</v>
      </c>
      <c r="E137" s="268">
        <f t="shared" ref="E137" si="184">SUM(E138:E145)</f>
        <v>0</v>
      </c>
      <c r="F137" s="268">
        <f t="shared" ref="F137:K137" si="185">SUM(F138:F145)</f>
        <v>0</v>
      </c>
      <c r="G137" s="268">
        <f t="shared" si="185"/>
        <v>0</v>
      </c>
      <c r="H137" s="268">
        <f t="shared" si="185"/>
        <v>0</v>
      </c>
      <c r="I137" s="268">
        <f t="shared" si="185"/>
        <v>0</v>
      </c>
      <c r="J137" s="268">
        <f t="shared" si="185"/>
        <v>0</v>
      </c>
      <c r="K137" s="268">
        <f t="shared" si="185"/>
        <v>0</v>
      </c>
      <c r="L137" s="244" t="str">
        <f t="shared" si="118"/>
        <v>-</v>
      </c>
      <c r="M137" s="244" t="str">
        <f t="shared" si="119"/>
        <v>-</v>
      </c>
      <c r="N137" s="268">
        <f t="shared" ref="N137" si="186">SUM(N138:N145)</f>
        <v>0</v>
      </c>
      <c r="O137" s="244" t="str">
        <f t="shared" si="120"/>
        <v>-</v>
      </c>
      <c r="P137" s="244" t="str">
        <f t="shared" si="121"/>
        <v>-</v>
      </c>
      <c r="Q137" s="268">
        <f t="shared" ref="Q137" si="187">SUM(Q138:Q145)</f>
        <v>0</v>
      </c>
      <c r="R137" s="244" t="str">
        <f t="shared" si="122"/>
        <v>-</v>
      </c>
      <c r="S137" s="269">
        <f t="shared" ref="S137" si="188">SUM(S138:S145)</f>
        <v>0</v>
      </c>
      <c r="T137" s="246"/>
      <c r="U137" s="10" t="str">
        <f t="shared" si="116"/>
        <v>-</v>
      </c>
      <c r="V137"/>
    </row>
    <row r="138" spans="1:22" ht="20.149999999999999" hidden="1" customHeight="1" outlineLevel="1">
      <c r="A138" s="241"/>
      <c r="B138" s="241"/>
      <c r="C138" s="248">
        <v>61161</v>
      </c>
      <c r="D138" s="249" t="s">
        <v>438</v>
      </c>
      <c r="E138" s="250"/>
      <c r="F138" s="250"/>
      <c r="G138" s="250"/>
      <c r="H138" s="250"/>
      <c r="I138" s="250"/>
      <c r="J138" s="250"/>
      <c r="K138" s="250">
        <f t="shared" ref="K138:K145" si="189">SUM(I138:J138)</f>
        <v>0</v>
      </c>
      <c r="L138" s="252" t="str">
        <f t="shared" si="118"/>
        <v>-</v>
      </c>
      <c r="M138" s="252" t="str">
        <f t="shared" si="119"/>
        <v>-</v>
      </c>
      <c r="N138" s="250">
        <f>[1]PB8!E138</f>
        <v>0</v>
      </c>
      <c r="O138" s="252" t="str">
        <f t="shared" si="120"/>
        <v>-</v>
      </c>
      <c r="P138" s="252" t="str">
        <f t="shared" si="121"/>
        <v>-</v>
      </c>
      <c r="Q138" s="250">
        <f t="shared" ref="Q138:Q145" si="190">N138-F138</f>
        <v>0</v>
      </c>
      <c r="R138" s="252" t="str">
        <f t="shared" si="122"/>
        <v>-</v>
      </c>
      <c r="S138" s="253">
        <f>[1]PB8!W138</f>
        <v>0</v>
      </c>
      <c r="T138" s="257"/>
      <c r="U138" s="10" t="str">
        <f t="shared" si="116"/>
        <v>-</v>
      </c>
      <c r="V138"/>
    </row>
    <row r="139" spans="1:22" ht="20.149999999999999" hidden="1" customHeight="1" outlineLevel="1">
      <c r="A139" s="241"/>
      <c r="B139" s="241"/>
      <c r="C139" s="248">
        <v>61162</v>
      </c>
      <c r="D139" s="249" t="s">
        <v>439</v>
      </c>
      <c r="E139" s="250"/>
      <c r="F139" s="250"/>
      <c r="G139" s="250"/>
      <c r="H139" s="250"/>
      <c r="I139" s="250"/>
      <c r="J139" s="250"/>
      <c r="K139" s="250">
        <f t="shared" si="189"/>
        <v>0</v>
      </c>
      <c r="L139" s="252" t="str">
        <f t="shared" si="118"/>
        <v>-</v>
      </c>
      <c r="M139" s="252" t="str">
        <f t="shared" si="119"/>
        <v>-</v>
      </c>
      <c r="N139" s="250">
        <f>[1]PB8!E139</f>
        <v>0</v>
      </c>
      <c r="O139" s="252" t="str">
        <f t="shared" si="120"/>
        <v>-</v>
      </c>
      <c r="P139" s="252" t="str">
        <f t="shared" si="121"/>
        <v>-</v>
      </c>
      <c r="Q139" s="250">
        <f t="shared" si="190"/>
        <v>0</v>
      </c>
      <c r="R139" s="252" t="str">
        <f t="shared" si="122"/>
        <v>-</v>
      </c>
      <c r="S139" s="253">
        <f>[1]PB8!W139</f>
        <v>0</v>
      </c>
      <c r="T139" s="257"/>
      <c r="U139" s="10" t="str">
        <f t="shared" si="116"/>
        <v>-</v>
      </c>
      <c r="V139"/>
    </row>
    <row r="140" spans="1:22" ht="20.149999999999999" hidden="1" customHeight="1" outlineLevel="1">
      <c r="A140" s="241"/>
      <c r="B140" s="241"/>
      <c r="C140" s="248">
        <v>61163</v>
      </c>
      <c r="D140" s="249" t="s">
        <v>440</v>
      </c>
      <c r="E140" s="250"/>
      <c r="F140" s="250"/>
      <c r="G140" s="250"/>
      <c r="H140" s="250"/>
      <c r="I140" s="250"/>
      <c r="J140" s="250"/>
      <c r="K140" s="250">
        <f t="shared" si="189"/>
        <v>0</v>
      </c>
      <c r="L140" s="252" t="str">
        <f t="shared" si="118"/>
        <v>-</v>
      </c>
      <c r="M140" s="252" t="str">
        <f t="shared" si="119"/>
        <v>-</v>
      </c>
      <c r="N140" s="250">
        <f>[1]PB8!E140</f>
        <v>0</v>
      </c>
      <c r="O140" s="252" t="str">
        <f t="shared" si="120"/>
        <v>-</v>
      </c>
      <c r="P140" s="252" t="str">
        <f t="shared" si="121"/>
        <v>-</v>
      </c>
      <c r="Q140" s="250">
        <f t="shared" si="190"/>
        <v>0</v>
      </c>
      <c r="R140" s="252" t="str">
        <f t="shared" si="122"/>
        <v>-</v>
      </c>
      <c r="S140" s="253">
        <f>[1]PB8!W140</f>
        <v>0</v>
      </c>
      <c r="T140" s="257"/>
      <c r="U140" s="10" t="str">
        <f t="shared" si="116"/>
        <v>-</v>
      </c>
      <c r="V140"/>
    </row>
    <row r="141" spans="1:22" ht="20.149999999999999" hidden="1" customHeight="1" outlineLevel="1">
      <c r="A141" s="241"/>
      <c r="B141" s="241"/>
      <c r="C141" s="248">
        <v>61164</v>
      </c>
      <c r="D141" s="249" t="s">
        <v>441</v>
      </c>
      <c r="E141" s="250"/>
      <c r="F141" s="250"/>
      <c r="G141" s="250"/>
      <c r="H141" s="250"/>
      <c r="I141" s="250"/>
      <c r="J141" s="250"/>
      <c r="K141" s="250">
        <f t="shared" si="189"/>
        <v>0</v>
      </c>
      <c r="L141" s="252" t="str">
        <f t="shared" si="118"/>
        <v>-</v>
      </c>
      <c r="M141" s="252" t="str">
        <f t="shared" si="119"/>
        <v>-</v>
      </c>
      <c r="N141" s="250">
        <f>[1]PB8!E141</f>
        <v>0</v>
      </c>
      <c r="O141" s="252" t="str">
        <f t="shared" si="120"/>
        <v>-</v>
      </c>
      <c r="P141" s="252" t="str">
        <f t="shared" si="121"/>
        <v>-</v>
      </c>
      <c r="Q141" s="250">
        <f t="shared" si="190"/>
        <v>0</v>
      </c>
      <c r="R141" s="252" t="str">
        <f t="shared" si="122"/>
        <v>-</v>
      </c>
      <c r="S141" s="253">
        <f>[1]PB8!W141</f>
        <v>0</v>
      </c>
      <c r="T141" s="257"/>
      <c r="U141" s="10" t="str">
        <f t="shared" si="116"/>
        <v>-</v>
      </c>
      <c r="V141"/>
    </row>
    <row r="142" spans="1:22" ht="20.149999999999999" hidden="1" customHeight="1" outlineLevel="1">
      <c r="A142" s="241"/>
      <c r="B142" s="241"/>
      <c r="C142" s="248">
        <v>61165</v>
      </c>
      <c r="D142" s="249" t="s">
        <v>442</v>
      </c>
      <c r="E142" s="250"/>
      <c r="F142" s="250"/>
      <c r="G142" s="250"/>
      <c r="H142" s="250"/>
      <c r="I142" s="250"/>
      <c r="J142" s="250"/>
      <c r="K142" s="250">
        <f t="shared" si="189"/>
        <v>0</v>
      </c>
      <c r="L142" s="252" t="str">
        <f t="shared" si="118"/>
        <v>-</v>
      </c>
      <c r="M142" s="252" t="str">
        <f t="shared" si="119"/>
        <v>-</v>
      </c>
      <c r="N142" s="250">
        <f>[1]PB8!E142</f>
        <v>0</v>
      </c>
      <c r="O142" s="252" t="str">
        <f t="shared" si="120"/>
        <v>-</v>
      </c>
      <c r="P142" s="252" t="str">
        <f t="shared" si="121"/>
        <v>-</v>
      </c>
      <c r="Q142" s="250">
        <f t="shared" si="190"/>
        <v>0</v>
      </c>
      <c r="R142" s="252" t="str">
        <f t="shared" si="122"/>
        <v>-</v>
      </c>
      <c r="S142" s="253">
        <f>[1]PB8!W142</f>
        <v>0</v>
      </c>
      <c r="T142" s="257"/>
      <c r="U142" s="10" t="str">
        <f t="shared" si="116"/>
        <v>-</v>
      </c>
      <c r="V142"/>
    </row>
    <row r="143" spans="1:22" ht="20.149999999999999" hidden="1" customHeight="1" outlineLevel="1">
      <c r="A143" s="241"/>
      <c r="B143" s="241"/>
      <c r="C143" s="248">
        <v>61166</v>
      </c>
      <c r="D143" s="249" t="s">
        <v>355</v>
      </c>
      <c r="E143" s="250"/>
      <c r="F143" s="250"/>
      <c r="G143" s="250"/>
      <c r="H143" s="250"/>
      <c r="I143" s="250"/>
      <c r="J143" s="250"/>
      <c r="K143" s="250">
        <f t="shared" si="189"/>
        <v>0</v>
      </c>
      <c r="L143" s="252" t="str">
        <f t="shared" si="118"/>
        <v>-</v>
      </c>
      <c r="M143" s="252" t="str">
        <f t="shared" si="119"/>
        <v>-</v>
      </c>
      <c r="N143" s="250">
        <f>[1]PB8!E143</f>
        <v>0</v>
      </c>
      <c r="O143" s="252" t="str">
        <f t="shared" si="120"/>
        <v>-</v>
      </c>
      <c r="P143" s="252" t="str">
        <f t="shared" si="121"/>
        <v>-</v>
      </c>
      <c r="Q143" s="250">
        <f t="shared" si="190"/>
        <v>0</v>
      </c>
      <c r="R143" s="252" t="str">
        <f t="shared" si="122"/>
        <v>-</v>
      </c>
      <c r="S143" s="253">
        <f>[1]PB8!W143</f>
        <v>0</v>
      </c>
      <c r="T143" s="257"/>
      <c r="U143" s="10" t="str">
        <f t="shared" ref="U143:U206" si="191">IF(OR(F143&gt;0,H143&gt;0,N143&gt;0),"ok","-")</f>
        <v>-</v>
      </c>
      <c r="V143"/>
    </row>
    <row r="144" spans="1:22" ht="20.149999999999999" hidden="1" customHeight="1" outlineLevel="1">
      <c r="A144" s="241"/>
      <c r="B144" s="241"/>
      <c r="C144" s="248">
        <v>61167</v>
      </c>
      <c r="D144" s="249" t="s">
        <v>443</v>
      </c>
      <c r="E144" s="250"/>
      <c r="F144" s="250"/>
      <c r="G144" s="250"/>
      <c r="H144" s="250"/>
      <c r="I144" s="250"/>
      <c r="J144" s="250"/>
      <c r="K144" s="250">
        <f t="shared" si="189"/>
        <v>0</v>
      </c>
      <c r="L144" s="252" t="str">
        <f t="shared" si="118"/>
        <v>-</v>
      </c>
      <c r="M144" s="252" t="str">
        <f t="shared" si="119"/>
        <v>-</v>
      </c>
      <c r="N144" s="250">
        <f>[1]PB8!E144</f>
        <v>0</v>
      </c>
      <c r="O144" s="252" t="str">
        <f t="shared" si="120"/>
        <v>-</v>
      </c>
      <c r="P144" s="252" t="str">
        <f t="shared" si="121"/>
        <v>-</v>
      </c>
      <c r="Q144" s="250">
        <f t="shared" si="190"/>
        <v>0</v>
      </c>
      <c r="R144" s="252" t="str">
        <f t="shared" si="122"/>
        <v>-</v>
      </c>
      <c r="S144" s="253">
        <f>[1]PB8!W144</f>
        <v>0</v>
      </c>
      <c r="T144" s="257"/>
      <c r="U144" s="10" t="str">
        <f t="shared" si="191"/>
        <v>-</v>
      </c>
      <c r="V144"/>
    </row>
    <row r="145" spans="1:22" ht="20.149999999999999" hidden="1" customHeight="1" outlineLevel="1">
      <c r="A145" s="241"/>
      <c r="B145" s="241"/>
      <c r="C145" s="248">
        <v>61168</v>
      </c>
      <c r="D145" s="249" t="s">
        <v>444</v>
      </c>
      <c r="E145" s="250"/>
      <c r="F145" s="250"/>
      <c r="G145" s="250"/>
      <c r="H145" s="250"/>
      <c r="I145" s="250"/>
      <c r="J145" s="250"/>
      <c r="K145" s="250">
        <f t="shared" si="189"/>
        <v>0</v>
      </c>
      <c r="L145" s="252" t="str">
        <f t="shared" si="118"/>
        <v>-</v>
      </c>
      <c r="M145" s="252" t="str">
        <f t="shared" si="119"/>
        <v>-</v>
      </c>
      <c r="N145" s="250">
        <f>[1]PB8!E145</f>
        <v>0</v>
      </c>
      <c r="O145" s="252" t="str">
        <f t="shared" si="120"/>
        <v>-</v>
      </c>
      <c r="P145" s="252" t="str">
        <f t="shared" si="121"/>
        <v>-</v>
      </c>
      <c r="Q145" s="250">
        <f t="shared" si="190"/>
        <v>0</v>
      </c>
      <c r="R145" s="252" t="str">
        <f t="shared" si="122"/>
        <v>-</v>
      </c>
      <c r="S145" s="253">
        <f>[1]PB8!W145</f>
        <v>0</v>
      </c>
      <c r="T145" s="257"/>
      <c r="U145" s="10" t="str">
        <f t="shared" si="191"/>
        <v>-</v>
      </c>
      <c r="V145"/>
    </row>
    <row r="146" spans="1:22" ht="20.149999999999999" hidden="1" customHeight="1" outlineLevel="1">
      <c r="A146" s="241"/>
      <c r="B146" s="241">
        <v>6198</v>
      </c>
      <c r="C146" s="241"/>
      <c r="D146" s="242" t="s">
        <v>445</v>
      </c>
      <c r="E146" s="268">
        <f t="shared" ref="E146:K146" si="192">E147</f>
        <v>0</v>
      </c>
      <c r="F146" s="268">
        <f t="shared" si="192"/>
        <v>0</v>
      </c>
      <c r="G146" s="268">
        <f t="shared" si="192"/>
        <v>0</v>
      </c>
      <c r="H146" s="268">
        <f t="shared" si="192"/>
        <v>0</v>
      </c>
      <c r="I146" s="268">
        <f t="shared" si="192"/>
        <v>0</v>
      </c>
      <c r="J146" s="268">
        <f t="shared" si="192"/>
        <v>0</v>
      </c>
      <c r="K146" s="268">
        <f t="shared" si="192"/>
        <v>0</v>
      </c>
      <c r="L146" s="244" t="str">
        <f t="shared" si="118"/>
        <v>-</v>
      </c>
      <c r="M146" s="244" t="str">
        <f t="shared" si="119"/>
        <v>-</v>
      </c>
      <c r="N146" s="268">
        <f t="shared" ref="N146" si="193">N147</f>
        <v>0</v>
      </c>
      <c r="O146" s="244" t="str">
        <f t="shared" si="120"/>
        <v>-</v>
      </c>
      <c r="P146" s="244" t="str">
        <f t="shared" si="121"/>
        <v>-</v>
      </c>
      <c r="Q146" s="268">
        <f t="shared" ref="Q146" si="194">Q147</f>
        <v>0</v>
      </c>
      <c r="R146" s="244" t="str">
        <f t="shared" si="122"/>
        <v>-</v>
      </c>
      <c r="S146" s="269">
        <f t="shared" ref="S146" si="195">S147</f>
        <v>0</v>
      </c>
      <c r="T146" s="246"/>
      <c r="U146" s="10" t="str">
        <f t="shared" si="191"/>
        <v>-</v>
      </c>
      <c r="V146"/>
    </row>
    <row r="147" spans="1:22" ht="20.149999999999999" hidden="1" customHeight="1" outlineLevel="1">
      <c r="A147" s="241"/>
      <c r="B147" s="241"/>
      <c r="C147" s="248">
        <v>61981</v>
      </c>
      <c r="D147" s="249" t="s">
        <v>445</v>
      </c>
      <c r="E147" s="250"/>
      <c r="F147" s="250"/>
      <c r="G147" s="250"/>
      <c r="H147" s="250"/>
      <c r="I147" s="250"/>
      <c r="J147" s="250"/>
      <c r="K147" s="250">
        <f>SUM(I147:J147)</f>
        <v>0</v>
      </c>
      <c r="L147" s="252" t="str">
        <f>IFERROR(K147/F147,"-")</f>
        <v>-</v>
      </c>
      <c r="M147" s="252" t="str">
        <f>IFERROR(K147/H147,"-")</f>
        <v>-</v>
      </c>
      <c r="N147" s="250">
        <f>[1]PB8!E147</f>
        <v>0</v>
      </c>
      <c r="O147" s="252" t="str">
        <f>IFERROR(N147/F147,"-")</f>
        <v>-</v>
      </c>
      <c r="P147" s="252" t="str">
        <f>IFERROR(N147/H147,"-")</f>
        <v>-</v>
      </c>
      <c r="Q147" s="250">
        <f>N147-F147</f>
        <v>0</v>
      </c>
      <c r="R147" s="252" t="str">
        <f t="shared" si="122"/>
        <v>-</v>
      </c>
      <c r="S147" s="253">
        <f>[1]PB8!W147</f>
        <v>0</v>
      </c>
      <c r="T147" s="257"/>
      <c r="U147" s="10" t="str">
        <f t="shared" si="191"/>
        <v>-</v>
      </c>
      <c r="V147"/>
    </row>
    <row r="148" spans="1:22" ht="20.149999999999999" customHeight="1" collapsed="1">
      <c r="A148" s="234">
        <v>64</v>
      </c>
      <c r="B148" s="234"/>
      <c r="C148" s="235"/>
      <c r="D148" s="236" t="s">
        <v>446</v>
      </c>
      <c r="E148" s="258">
        <f t="shared" ref="E148:K148" si="196">E149+E158+E167+E173+E177+E185+E190+E199</f>
        <v>1234.7889999999998</v>
      </c>
      <c r="F148" s="258">
        <f t="shared" si="196"/>
        <v>1218.3999999999999</v>
      </c>
      <c r="G148" s="258">
        <f t="shared" si="196"/>
        <v>0</v>
      </c>
      <c r="H148" s="258">
        <f t="shared" si="196"/>
        <v>1218.3999999999999</v>
      </c>
      <c r="I148" s="258">
        <f t="shared" si="196"/>
        <v>546.31000000000006</v>
      </c>
      <c r="J148" s="258">
        <f t="shared" si="196"/>
        <v>672.08999999999992</v>
      </c>
      <c r="K148" s="258">
        <f t="shared" si="196"/>
        <v>1218.3999999999999</v>
      </c>
      <c r="L148" s="259">
        <f t="shared" si="118"/>
        <v>1</v>
      </c>
      <c r="M148" s="259">
        <f t="shared" si="119"/>
        <v>1</v>
      </c>
      <c r="N148" s="258">
        <f t="shared" ref="N148" si="197">N149+N158+N167+N173+N177+N185+N190+N199</f>
        <v>1261.8</v>
      </c>
      <c r="O148" s="259">
        <f t="shared" si="120"/>
        <v>1.0356204858831255</v>
      </c>
      <c r="P148" s="259">
        <f t="shared" si="121"/>
        <v>1.0356204858831255</v>
      </c>
      <c r="Q148" s="258">
        <f t="shared" ref="Q148" si="198">Q149+Q158+Q167+Q173+Q177+Q185+Q190+Q199</f>
        <v>43.400000000000084</v>
      </c>
      <c r="R148" s="259">
        <f t="shared" si="122"/>
        <v>3.5620485883125483E-2</v>
      </c>
      <c r="S148" s="260">
        <f t="shared" ref="S148" si="199">S149+S158+S167+S173+S177+S185+S190+S199</f>
        <v>0</v>
      </c>
      <c r="T148" s="261"/>
      <c r="U148" s="10" t="str">
        <f t="shared" si="191"/>
        <v>ok</v>
      </c>
      <c r="V148"/>
    </row>
    <row r="149" spans="1:22" ht="20.149999999999999" hidden="1" customHeight="1" outlineLevel="1">
      <c r="A149" s="241"/>
      <c r="B149" s="241">
        <v>6401</v>
      </c>
      <c r="C149" s="241"/>
      <c r="D149" s="242" t="s">
        <v>447</v>
      </c>
      <c r="E149" s="243">
        <f t="shared" ref="E149" si="200">SUM(E150:E157)</f>
        <v>0</v>
      </c>
      <c r="F149" s="243">
        <f t="shared" ref="F149:K149" si="201">SUM(F150:F157)</f>
        <v>0</v>
      </c>
      <c r="G149" s="243">
        <f t="shared" si="201"/>
        <v>0</v>
      </c>
      <c r="H149" s="243">
        <f t="shared" si="201"/>
        <v>0</v>
      </c>
      <c r="I149" s="243">
        <f t="shared" si="201"/>
        <v>0</v>
      </c>
      <c r="J149" s="243">
        <f t="shared" si="201"/>
        <v>0</v>
      </c>
      <c r="K149" s="243">
        <f t="shared" si="201"/>
        <v>0</v>
      </c>
      <c r="L149" s="244" t="str">
        <f t="shared" si="118"/>
        <v>-</v>
      </c>
      <c r="M149" s="244" t="str">
        <f t="shared" si="119"/>
        <v>-</v>
      </c>
      <c r="N149" s="243">
        <f t="shared" ref="N149" si="202">SUM(N150:N157)</f>
        <v>0</v>
      </c>
      <c r="O149" s="244" t="str">
        <f t="shared" si="120"/>
        <v>-</v>
      </c>
      <c r="P149" s="244" t="str">
        <f t="shared" si="121"/>
        <v>-</v>
      </c>
      <c r="Q149" s="243">
        <f t="shared" ref="Q149" si="203">SUM(Q150:Q157)</f>
        <v>0</v>
      </c>
      <c r="R149" s="244" t="str">
        <f t="shared" si="122"/>
        <v>-</v>
      </c>
      <c r="S149" s="245">
        <f t="shared" ref="S149" si="204">SUM(S150:S157)</f>
        <v>0</v>
      </c>
      <c r="T149" s="246"/>
      <c r="U149" s="10" t="str">
        <f t="shared" si="191"/>
        <v>-</v>
      </c>
      <c r="V149"/>
    </row>
    <row r="150" spans="1:22" ht="20.149999999999999" hidden="1" customHeight="1" outlineLevel="1">
      <c r="A150" s="248"/>
      <c r="B150" s="248"/>
      <c r="C150" s="248">
        <v>64011</v>
      </c>
      <c r="D150" s="249" t="s">
        <v>448</v>
      </c>
      <c r="E150" s="250"/>
      <c r="F150" s="250"/>
      <c r="G150" s="250"/>
      <c r="H150" s="250"/>
      <c r="I150" s="250"/>
      <c r="J150" s="250"/>
      <c r="K150" s="250">
        <f t="shared" ref="K150:K157" si="205">SUM(I150:J150)</f>
        <v>0</v>
      </c>
      <c r="L150" s="252" t="str">
        <f t="shared" ref="L150:L213" si="206">IFERROR(K150/F150,"-")</f>
        <v>-</v>
      </c>
      <c r="M150" s="252" t="str">
        <f t="shared" ref="M150:M213" si="207">IFERROR(K150/H150,"-")</f>
        <v>-</v>
      </c>
      <c r="N150" s="250">
        <f>[1]PB8!E150</f>
        <v>0</v>
      </c>
      <c r="O150" s="252" t="str">
        <f t="shared" ref="O150:O213" si="208">IFERROR(N150/F150,"-")</f>
        <v>-</v>
      </c>
      <c r="P150" s="252" t="str">
        <f t="shared" ref="P150:P213" si="209">IFERROR(N150/H150,"-")</f>
        <v>-</v>
      </c>
      <c r="Q150" s="250">
        <f t="shared" ref="Q150:Q157" si="210">N150-F150</f>
        <v>0</v>
      </c>
      <c r="R150" s="252" t="str">
        <f t="shared" ref="R150:R213" si="211">IFERROR(Q150/F150,"-")</f>
        <v>-</v>
      </c>
      <c r="S150" s="253">
        <f>[1]PB8!W150</f>
        <v>0</v>
      </c>
      <c r="T150" s="257"/>
      <c r="U150" s="10" t="str">
        <f t="shared" si="191"/>
        <v>-</v>
      </c>
      <c r="V150"/>
    </row>
    <row r="151" spans="1:22" ht="20.149999999999999" hidden="1" customHeight="1" outlineLevel="1">
      <c r="A151" s="248"/>
      <c r="B151" s="248"/>
      <c r="C151" s="248">
        <v>64012</v>
      </c>
      <c r="D151" s="249" t="s">
        <v>449</v>
      </c>
      <c r="E151" s="250"/>
      <c r="F151" s="250"/>
      <c r="G151" s="250"/>
      <c r="H151" s="250"/>
      <c r="I151" s="250"/>
      <c r="J151" s="250"/>
      <c r="K151" s="250">
        <f t="shared" si="205"/>
        <v>0</v>
      </c>
      <c r="L151" s="252" t="str">
        <f t="shared" si="206"/>
        <v>-</v>
      </c>
      <c r="M151" s="252" t="str">
        <f t="shared" si="207"/>
        <v>-</v>
      </c>
      <c r="N151" s="250">
        <f>[1]PB8!E151</f>
        <v>0</v>
      </c>
      <c r="O151" s="252" t="str">
        <f t="shared" si="208"/>
        <v>-</v>
      </c>
      <c r="P151" s="252" t="str">
        <f t="shared" si="209"/>
        <v>-</v>
      </c>
      <c r="Q151" s="250">
        <f t="shared" si="210"/>
        <v>0</v>
      </c>
      <c r="R151" s="252" t="str">
        <f t="shared" si="211"/>
        <v>-</v>
      </c>
      <c r="S151" s="253">
        <f>[1]PB8!W151</f>
        <v>0</v>
      </c>
      <c r="T151" s="257"/>
      <c r="U151" s="10" t="str">
        <f t="shared" si="191"/>
        <v>-</v>
      </c>
      <c r="V151"/>
    </row>
    <row r="152" spans="1:22" ht="20.149999999999999" hidden="1" customHeight="1" outlineLevel="1">
      <c r="A152" s="248"/>
      <c r="B152" s="248"/>
      <c r="C152" s="248">
        <v>64013</v>
      </c>
      <c r="D152" s="249" t="s">
        <v>450</v>
      </c>
      <c r="E152" s="250"/>
      <c r="F152" s="250"/>
      <c r="G152" s="250"/>
      <c r="H152" s="250"/>
      <c r="I152" s="250"/>
      <c r="J152" s="250"/>
      <c r="K152" s="250">
        <f t="shared" si="205"/>
        <v>0</v>
      </c>
      <c r="L152" s="252" t="str">
        <f t="shared" si="206"/>
        <v>-</v>
      </c>
      <c r="M152" s="252" t="str">
        <f t="shared" si="207"/>
        <v>-</v>
      </c>
      <c r="N152" s="250">
        <f>[1]PB8!E152</f>
        <v>0</v>
      </c>
      <c r="O152" s="252" t="str">
        <f t="shared" si="208"/>
        <v>-</v>
      </c>
      <c r="P152" s="252" t="str">
        <f t="shared" si="209"/>
        <v>-</v>
      </c>
      <c r="Q152" s="250">
        <f t="shared" si="210"/>
        <v>0</v>
      </c>
      <c r="R152" s="252" t="str">
        <f t="shared" si="211"/>
        <v>-</v>
      </c>
      <c r="S152" s="253">
        <f>[1]PB8!W152</f>
        <v>0</v>
      </c>
      <c r="T152" s="257"/>
      <c r="U152" s="10" t="str">
        <f t="shared" si="191"/>
        <v>-</v>
      </c>
      <c r="V152"/>
    </row>
    <row r="153" spans="1:22" ht="20.149999999999999" hidden="1" customHeight="1" outlineLevel="1">
      <c r="A153" s="248"/>
      <c r="B153" s="248"/>
      <c r="C153" s="248">
        <v>64014</v>
      </c>
      <c r="D153" s="249" t="s">
        <v>451</v>
      </c>
      <c r="E153" s="250"/>
      <c r="F153" s="250"/>
      <c r="G153" s="250"/>
      <c r="H153" s="250"/>
      <c r="I153" s="250"/>
      <c r="J153" s="250"/>
      <c r="K153" s="250">
        <f t="shared" si="205"/>
        <v>0</v>
      </c>
      <c r="L153" s="252" t="str">
        <f t="shared" si="206"/>
        <v>-</v>
      </c>
      <c r="M153" s="252" t="str">
        <f t="shared" si="207"/>
        <v>-</v>
      </c>
      <c r="N153" s="250">
        <f>[1]PB8!E153</f>
        <v>0</v>
      </c>
      <c r="O153" s="252" t="str">
        <f t="shared" si="208"/>
        <v>-</v>
      </c>
      <c r="P153" s="252" t="str">
        <f t="shared" si="209"/>
        <v>-</v>
      </c>
      <c r="Q153" s="250">
        <f t="shared" si="210"/>
        <v>0</v>
      </c>
      <c r="R153" s="252" t="str">
        <f t="shared" si="211"/>
        <v>-</v>
      </c>
      <c r="S153" s="253">
        <f>[1]PB8!W153</f>
        <v>0</v>
      </c>
      <c r="T153" s="257"/>
      <c r="U153" s="10" t="str">
        <f t="shared" si="191"/>
        <v>-</v>
      </c>
      <c r="V153"/>
    </row>
    <row r="154" spans="1:22" ht="20.149999999999999" hidden="1" customHeight="1" outlineLevel="1">
      <c r="A154" s="248"/>
      <c r="B154" s="248"/>
      <c r="C154" s="248">
        <v>64015</v>
      </c>
      <c r="D154" s="249" t="s">
        <v>452</v>
      </c>
      <c r="E154" s="250"/>
      <c r="F154" s="250"/>
      <c r="G154" s="250"/>
      <c r="H154" s="250"/>
      <c r="I154" s="250"/>
      <c r="J154" s="250"/>
      <c r="K154" s="250">
        <f t="shared" si="205"/>
        <v>0</v>
      </c>
      <c r="L154" s="252" t="str">
        <f t="shared" si="206"/>
        <v>-</v>
      </c>
      <c r="M154" s="252" t="str">
        <f t="shared" si="207"/>
        <v>-</v>
      </c>
      <c r="N154" s="250">
        <f>[1]PB8!E154</f>
        <v>0</v>
      </c>
      <c r="O154" s="252" t="str">
        <f t="shared" si="208"/>
        <v>-</v>
      </c>
      <c r="P154" s="252" t="str">
        <f t="shared" si="209"/>
        <v>-</v>
      </c>
      <c r="Q154" s="250">
        <f t="shared" si="210"/>
        <v>0</v>
      </c>
      <c r="R154" s="252" t="str">
        <f t="shared" si="211"/>
        <v>-</v>
      </c>
      <c r="S154" s="253">
        <f>[1]PB8!W154</f>
        <v>0</v>
      </c>
      <c r="T154" s="257"/>
      <c r="U154" s="10" t="str">
        <f t="shared" si="191"/>
        <v>-</v>
      </c>
      <c r="V154"/>
    </row>
    <row r="155" spans="1:22" ht="20.149999999999999" hidden="1" customHeight="1" outlineLevel="1">
      <c r="A155" s="248"/>
      <c r="B155" s="248"/>
      <c r="C155" s="248">
        <v>64016</v>
      </c>
      <c r="D155" s="249" t="s">
        <v>453</v>
      </c>
      <c r="E155" s="250"/>
      <c r="F155" s="250"/>
      <c r="G155" s="250"/>
      <c r="H155" s="250"/>
      <c r="I155" s="250"/>
      <c r="J155" s="250"/>
      <c r="K155" s="250">
        <f t="shared" si="205"/>
        <v>0</v>
      </c>
      <c r="L155" s="252" t="str">
        <f t="shared" si="206"/>
        <v>-</v>
      </c>
      <c r="M155" s="252" t="str">
        <f t="shared" si="207"/>
        <v>-</v>
      </c>
      <c r="N155" s="250">
        <f>[1]PB8!E155</f>
        <v>0</v>
      </c>
      <c r="O155" s="252" t="str">
        <f t="shared" si="208"/>
        <v>-</v>
      </c>
      <c r="P155" s="252" t="str">
        <f t="shared" si="209"/>
        <v>-</v>
      </c>
      <c r="Q155" s="250">
        <f t="shared" si="210"/>
        <v>0</v>
      </c>
      <c r="R155" s="252" t="str">
        <f t="shared" si="211"/>
        <v>-</v>
      </c>
      <c r="S155" s="253">
        <f>[1]PB8!W155</f>
        <v>0</v>
      </c>
      <c r="T155" s="257"/>
      <c r="U155" s="10" t="str">
        <f t="shared" si="191"/>
        <v>-</v>
      </c>
      <c r="V155"/>
    </row>
    <row r="156" spans="1:22" ht="20.149999999999999" hidden="1" customHeight="1" outlineLevel="1">
      <c r="A156" s="248"/>
      <c r="B156" s="248"/>
      <c r="C156" s="248">
        <v>64017</v>
      </c>
      <c r="D156" s="249" t="s">
        <v>454</v>
      </c>
      <c r="E156" s="250"/>
      <c r="F156" s="250"/>
      <c r="G156" s="250"/>
      <c r="H156" s="250"/>
      <c r="I156" s="250"/>
      <c r="J156" s="250"/>
      <c r="K156" s="250">
        <f t="shared" si="205"/>
        <v>0</v>
      </c>
      <c r="L156" s="252" t="str">
        <f t="shared" si="206"/>
        <v>-</v>
      </c>
      <c r="M156" s="252" t="str">
        <f t="shared" si="207"/>
        <v>-</v>
      </c>
      <c r="N156" s="250">
        <f>[1]PB8!E156</f>
        <v>0</v>
      </c>
      <c r="O156" s="252" t="str">
        <f t="shared" si="208"/>
        <v>-</v>
      </c>
      <c r="P156" s="252" t="str">
        <f t="shared" si="209"/>
        <v>-</v>
      </c>
      <c r="Q156" s="250">
        <f t="shared" si="210"/>
        <v>0</v>
      </c>
      <c r="R156" s="252" t="str">
        <f t="shared" si="211"/>
        <v>-</v>
      </c>
      <c r="S156" s="253">
        <f>[1]PB8!W156</f>
        <v>0</v>
      </c>
      <c r="T156" s="257"/>
      <c r="U156" s="10" t="str">
        <f t="shared" si="191"/>
        <v>-</v>
      </c>
      <c r="V156"/>
    </row>
    <row r="157" spans="1:22" ht="20.149999999999999" hidden="1" customHeight="1" outlineLevel="1">
      <c r="A157" s="248"/>
      <c r="B157" s="248"/>
      <c r="C157" s="248">
        <v>64018</v>
      </c>
      <c r="D157" s="249" t="s">
        <v>455</v>
      </c>
      <c r="E157" s="250"/>
      <c r="F157" s="250"/>
      <c r="G157" s="250"/>
      <c r="H157" s="250"/>
      <c r="I157" s="250"/>
      <c r="J157" s="250"/>
      <c r="K157" s="250">
        <f t="shared" si="205"/>
        <v>0</v>
      </c>
      <c r="L157" s="252" t="str">
        <f t="shared" si="206"/>
        <v>-</v>
      </c>
      <c r="M157" s="252" t="str">
        <f t="shared" si="207"/>
        <v>-</v>
      </c>
      <c r="N157" s="250">
        <f>[1]PB8!E157</f>
        <v>0</v>
      </c>
      <c r="O157" s="252" t="str">
        <f t="shared" si="208"/>
        <v>-</v>
      </c>
      <c r="P157" s="252" t="str">
        <f t="shared" si="209"/>
        <v>-</v>
      </c>
      <c r="Q157" s="250">
        <f t="shared" si="210"/>
        <v>0</v>
      </c>
      <c r="R157" s="252" t="str">
        <f t="shared" si="211"/>
        <v>-</v>
      </c>
      <c r="S157" s="253">
        <f>[1]PB8!W157</f>
        <v>0</v>
      </c>
      <c r="T157" s="257"/>
      <c r="U157" s="10" t="str">
        <f t="shared" si="191"/>
        <v>-</v>
      </c>
      <c r="V157"/>
    </row>
    <row r="158" spans="1:22" ht="20.149999999999999" customHeight="1" collapsed="1">
      <c r="A158" s="241"/>
      <c r="B158" s="241">
        <v>6402</v>
      </c>
      <c r="C158" s="241"/>
      <c r="D158" s="262" t="s">
        <v>456</v>
      </c>
      <c r="E158" s="243">
        <f t="shared" ref="E158" si="212">SUM(E159:E166)</f>
        <v>1200.944</v>
      </c>
      <c r="F158" s="243">
        <f t="shared" ref="F158:K158" si="213">SUM(F159:F166)</f>
        <v>1187.5999999999999</v>
      </c>
      <c r="G158" s="243">
        <f t="shared" si="213"/>
        <v>0</v>
      </c>
      <c r="H158" s="243">
        <f t="shared" si="213"/>
        <v>1187.5999999999999</v>
      </c>
      <c r="I158" s="243">
        <f t="shared" si="213"/>
        <v>533.01</v>
      </c>
      <c r="J158" s="243">
        <f t="shared" si="213"/>
        <v>654.59</v>
      </c>
      <c r="K158" s="243">
        <f t="shared" si="213"/>
        <v>1187.5999999999999</v>
      </c>
      <c r="L158" s="244">
        <f t="shared" si="206"/>
        <v>1</v>
      </c>
      <c r="M158" s="244">
        <f t="shared" si="207"/>
        <v>1</v>
      </c>
      <c r="N158" s="243">
        <f t="shared" ref="N158" si="214">SUM(N159:N166)</f>
        <v>1231.1999999999998</v>
      </c>
      <c r="O158" s="244">
        <f t="shared" si="208"/>
        <v>1.0367126978780734</v>
      </c>
      <c r="P158" s="244">
        <f t="shared" si="209"/>
        <v>1.0367126978780734</v>
      </c>
      <c r="Q158" s="243">
        <f t="shared" ref="Q158" si="215">SUM(Q159:Q166)</f>
        <v>43.60000000000008</v>
      </c>
      <c r="R158" s="244">
        <f t="shared" si="211"/>
        <v>3.6712697878073498E-2</v>
      </c>
      <c r="S158" s="245">
        <f t="shared" ref="S158" si="216">SUM(S159:S166)</f>
        <v>0</v>
      </c>
      <c r="T158" s="246"/>
      <c r="U158" s="10" t="str">
        <f t="shared" si="191"/>
        <v>ok</v>
      </c>
      <c r="V158"/>
    </row>
    <row r="159" spans="1:22" ht="20.149999999999999" customHeight="1">
      <c r="A159" s="248"/>
      <c r="B159" s="248"/>
      <c r="C159" s="248">
        <v>64021</v>
      </c>
      <c r="D159" s="249" t="s">
        <v>457</v>
      </c>
      <c r="E159" s="250">
        <v>628.56399999999996</v>
      </c>
      <c r="F159" s="250">
        <v>625.79999999999995</v>
      </c>
      <c r="G159" s="250"/>
      <c r="H159" s="250">
        <v>625.79999999999995</v>
      </c>
      <c r="I159" s="250">
        <v>319.77999999999997</v>
      </c>
      <c r="J159" s="250">
        <f>H159-I159</f>
        <v>306.02</v>
      </c>
      <c r="K159" s="250">
        <f t="shared" ref="K159:K166" si="217">SUM(I159:J159)</f>
        <v>625.79999999999995</v>
      </c>
      <c r="L159" s="252">
        <f t="shared" si="206"/>
        <v>1</v>
      </c>
      <c r="M159" s="252">
        <f t="shared" si="207"/>
        <v>1</v>
      </c>
      <c r="N159" s="250">
        <f>[1]PB8!E159</f>
        <v>602.6</v>
      </c>
      <c r="O159" s="252">
        <f t="shared" si="208"/>
        <v>0.96292745286033887</v>
      </c>
      <c r="P159" s="252">
        <f t="shared" si="209"/>
        <v>0.96292745286033887</v>
      </c>
      <c r="Q159" s="250">
        <f t="shared" ref="Q159:Q166" si="218">N159-F159</f>
        <v>-23.199999999999932</v>
      </c>
      <c r="R159" s="252">
        <f t="shared" si="211"/>
        <v>-3.7072547139661127E-2</v>
      </c>
      <c r="S159" s="253">
        <f>[1]PB8!W159</f>
        <v>0</v>
      </c>
      <c r="T159" s="257"/>
      <c r="U159" s="10" t="str">
        <f t="shared" si="191"/>
        <v>ok</v>
      </c>
      <c r="V159"/>
    </row>
    <row r="160" spans="1:22" ht="20.149999999999999" customHeight="1">
      <c r="A160" s="248"/>
      <c r="B160" s="248"/>
      <c r="C160" s="248">
        <v>64022</v>
      </c>
      <c r="D160" s="249" t="s">
        <v>458</v>
      </c>
      <c r="E160" s="250">
        <v>424.78</v>
      </c>
      <c r="F160" s="250">
        <v>414.2</v>
      </c>
      <c r="G160" s="250"/>
      <c r="H160" s="250">
        <v>414.2</v>
      </c>
      <c r="I160" s="250">
        <v>213.23</v>
      </c>
      <c r="J160" s="250">
        <f t="shared" ref="J160:J166" si="219">H160-I160</f>
        <v>200.97</v>
      </c>
      <c r="K160" s="250">
        <f t="shared" si="217"/>
        <v>414.2</v>
      </c>
      <c r="L160" s="252">
        <f t="shared" si="206"/>
        <v>1</v>
      </c>
      <c r="M160" s="252">
        <f t="shared" si="207"/>
        <v>1</v>
      </c>
      <c r="N160" s="250">
        <f>[1]PB8!E160</f>
        <v>481</v>
      </c>
      <c r="O160" s="252">
        <f t="shared" si="208"/>
        <v>1.1612747464992756</v>
      </c>
      <c r="P160" s="252">
        <f t="shared" si="209"/>
        <v>1.1612747464992756</v>
      </c>
      <c r="Q160" s="250">
        <f t="shared" si="218"/>
        <v>66.800000000000011</v>
      </c>
      <c r="R160" s="252">
        <f t="shared" si="211"/>
        <v>0.16127474649927576</v>
      </c>
      <c r="S160" s="253">
        <f>[1]PB8!W160</f>
        <v>0</v>
      </c>
      <c r="T160" s="257"/>
      <c r="U160" s="10" t="str">
        <f t="shared" si="191"/>
        <v>ok</v>
      </c>
      <c r="V160"/>
    </row>
    <row r="161" spans="1:22" ht="20.149999999999999" hidden="1" customHeight="1" outlineLevel="1">
      <c r="A161" s="248"/>
      <c r="B161" s="248"/>
      <c r="C161" s="248">
        <v>64023</v>
      </c>
      <c r="D161" s="249" t="s">
        <v>459</v>
      </c>
      <c r="E161" s="250"/>
      <c r="F161" s="250"/>
      <c r="G161" s="250"/>
      <c r="H161" s="250"/>
      <c r="I161" s="250"/>
      <c r="J161" s="250">
        <f t="shared" si="219"/>
        <v>0</v>
      </c>
      <c r="K161" s="250">
        <f t="shared" si="217"/>
        <v>0</v>
      </c>
      <c r="L161" s="252" t="str">
        <f t="shared" si="206"/>
        <v>-</v>
      </c>
      <c r="M161" s="252" t="str">
        <f t="shared" si="207"/>
        <v>-</v>
      </c>
      <c r="N161" s="250">
        <f>[1]PB8!E161</f>
        <v>0</v>
      </c>
      <c r="O161" s="252" t="str">
        <f t="shared" si="208"/>
        <v>-</v>
      </c>
      <c r="P161" s="252" t="str">
        <f t="shared" si="209"/>
        <v>-</v>
      </c>
      <c r="Q161" s="250">
        <f t="shared" si="218"/>
        <v>0</v>
      </c>
      <c r="R161" s="252" t="str">
        <f t="shared" si="211"/>
        <v>-</v>
      </c>
      <c r="S161" s="253">
        <f>[1]PB8!W161</f>
        <v>0</v>
      </c>
      <c r="T161" s="257"/>
      <c r="U161" s="10" t="str">
        <f t="shared" si="191"/>
        <v>-</v>
      </c>
      <c r="V161"/>
    </row>
    <row r="162" spans="1:22" ht="20.149999999999999" hidden="1" customHeight="1" outlineLevel="1">
      <c r="A162" s="248"/>
      <c r="B162" s="248"/>
      <c r="C162" s="248">
        <v>64024</v>
      </c>
      <c r="D162" s="249" t="s">
        <v>460</v>
      </c>
      <c r="E162" s="250"/>
      <c r="F162" s="250"/>
      <c r="G162" s="250"/>
      <c r="H162" s="250"/>
      <c r="I162" s="250"/>
      <c r="J162" s="250">
        <f t="shared" si="219"/>
        <v>0</v>
      </c>
      <c r="K162" s="250">
        <f t="shared" si="217"/>
        <v>0</v>
      </c>
      <c r="L162" s="252" t="str">
        <f t="shared" si="206"/>
        <v>-</v>
      </c>
      <c r="M162" s="252" t="str">
        <f t="shared" si="207"/>
        <v>-</v>
      </c>
      <c r="N162" s="250">
        <f>[1]PB8!E162</f>
        <v>0</v>
      </c>
      <c r="O162" s="252" t="str">
        <f t="shared" si="208"/>
        <v>-</v>
      </c>
      <c r="P162" s="252" t="str">
        <f t="shared" si="209"/>
        <v>-</v>
      </c>
      <c r="Q162" s="250">
        <f t="shared" si="218"/>
        <v>0</v>
      </c>
      <c r="R162" s="252" t="str">
        <f t="shared" si="211"/>
        <v>-</v>
      </c>
      <c r="S162" s="253">
        <f>[1]PB8!W162</f>
        <v>0</v>
      </c>
      <c r="T162" s="257"/>
      <c r="U162" s="10" t="str">
        <f t="shared" si="191"/>
        <v>-</v>
      </c>
      <c r="V162"/>
    </row>
    <row r="163" spans="1:22" ht="20.149999999999999" hidden="1" customHeight="1" outlineLevel="1">
      <c r="A163" s="248"/>
      <c r="B163" s="248"/>
      <c r="C163" s="248">
        <v>64025</v>
      </c>
      <c r="D163" s="249" t="s">
        <v>461</v>
      </c>
      <c r="E163" s="250"/>
      <c r="F163" s="250"/>
      <c r="G163" s="250"/>
      <c r="H163" s="250"/>
      <c r="I163" s="250"/>
      <c r="J163" s="250">
        <f t="shared" si="219"/>
        <v>0</v>
      </c>
      <c r="K163" s="250">
        <f t="shared" si="217"/>
        <v>0</v>
      </c>
      <c r="L163" s="252" t="str">
        <f t="shared" si="206"/>
        <v>-</v>
      </c>
      <c r="M163" s="252" t="str">
        <f t="shared" si="207"/>
        <v>-</v>
      </c>
      <c r="N163" s="250">
        <f>[1]PB8!E163</f>
        <v>0</v>
      </c>
      <c r="O163" s="252" t="str">
        <f t="shared" si="208"/>
        <v>-</v>
      </c>
      <c r="P163" s="252" t="str">
        <f t="shared" si="209"/>
        <v>-</v>
      </c>
      <c r="Q163" s="250">
        <f t="shared" si="218"/>
        <v>0</v>
      </c>
      <c r="R163" s="252" t="str">
        <f t="shared" si="211"/>
        <v>-</v>
      </c>
      <c r="S163" s="253">
        <f>[1]PB8!W163</f>
        <v>0</v>
      </c>
      <c r="T163" s="257"/>
      <c r="U163" s="10" t="str">
        <f t="shared" si="191"/>
        <v>-</v>
      </c>
      <c r="V163"/>
    </row>
    <row r="164" spans="1:22" ht="20.149999999999999" hidden="1" customHeight="1" outlineLevel="1">
      <c r="A164" s="248"/>
      <c r="B164" s="248"/>
      <c r="C164" s="248">
        <v>64026</v>
      </c>
      <c r="D164" s="249" t="s">
        <v>462</v>
      </c>
      <c r="E164" s="250"/>
      <c r="F164" s="250"/>
      <c r="G164" s="250"/>
      <c r="H164" s="250"/>
      <c r="I164" s="250"/>
      <c r="J164" s="250">
        <f t="shared" si="219"/>
        <v>0</v>
      </c>
      <c r="K164" s="250">
        <f t="shared" si="217"/>
        <v>0</v>
      </c>
      <c r="L164" s="252" t="str">
        <f t="shared" si="206"/>
        <v>-</v>
      </c>
      <c r="M164" s="252" t="str">
        <f t="shared" si="207"/>
        <v>-</v>
      </c>
      <c r="N164" s="250">
        <f>[1]PB8!E164</f>
        <v>0</v>
      </c>
      <c r="O164" s="252" t="str">
        <f t="shared" si="208"/>
        <v>-</v>
      </c>
      <c r="P164" s="252" t="str">
        <f t="shared" si="209"/>
        <v>-</v>
      </c>
      <c r="Q164" s="250">
        <f t="shared" si="218"/>
        <v>0</v>
      </c>
      <c r="R164" s="252" t="str">
        <f t="shared" si="211"/>
        <v>-</v>
      </c>
      <c r="S164" s="253">
        <f>[1]PB8!W164</f>
        <v>0</v>
      </c>
      <c r="T164" s="257"/>
      <c r="U164" s="10" t="str">
        <f t="shared" si="191"/>
        <v>-</v>
      </c>
      <c r="V164"/>
    </row>
    <row r="165" spans="1:22" ht="20.149999999999999" customHeight="1" collapsed="1">
      <c r="A165" s="248"/>
      <c r="B165" s="248"/>
      <c r="C165" s="248">
        <v>64027</v>
      </c>
      <c r="D165" s="249" t="s">
        <v>463</v>
      </c>
      <c r="E165" s="250">
        <v>147.6</v>
      </c>
      <c r="F165" s="250">
        <v>147.6</v>
      </c>
      <c r="G165" s="250"/>
      <c r="H165" s="250">
        <v>147.6</v>
      </c>
      <c r="I165" s="250"/>
      <c r="J165" s="250">
        <f t="shared" si="219"/>
        <v>147.6</v>
      </c>
      <c r="K165" s="250">
        <f t="shared" si="217"/>
        <v>147.6</v>
      </c>
      <c r="L165" s="252">
        <f t="shared" si="206"/>
        <v>1</v>
      </c>
      <c r="M165" s="252">
        <f t="shared" si="207"/>
        <v>1</v>
      </c>
      <c r="N165" s="250">
        <f>[1]PB8!E165</f>
        <v>147.6</v>
      </c>
      <c r="O165" s="252">
        <f t="shared" si="208"/>
        <v>1</v>
      </c>
      <c r="P165" s="252">
        <f t="shared" si="209"/>
        <v>1</v>
      </c>
      <c r="Q165" s="250">
        <f t="shared" si="218"/>
        <v>0</v>
      </c>
      <c r="R165" s="252">
        <f t="shared" si="211"/>
        <v>0</v>
      </c>
      <c r="S165" s="253">
        <f>[1]PB8!W165</f>
        <v>0</v>
      </c>
      <c r="T165" s="257"/>
      <c r="U165" s="10" t="str">
        <f t="shared" si="191"/>
        <v>ok</v>
      </c>
      <c r="V165"/>
    </row>
    <row r="166" spans="1:22" ht="20.149999999999999" customHeight="1">
      <c r="A166" s="248"/>
      <c r="B166" s="248"/>
      <c r="C166" s="248">
        <v>64028</v>
      </c>
      <c r="D166" s="249" t="s">
        <v>464</v>
      </c>
      <c r="E166" s="250"/>
      <c r="F166" s="250"/>
      <c r="G166" s="250"/>
      <c r="H166" s="250"/>
      <c r="I166" s="250"/>
      <c r="J166" s="250">
        <f t="shared" si="219"/>
        <v>0</v>
      </c>
      <c r="K166" s="250">
        <f t="shared" si="217"/>
        <v>0</v>
      </c>
      <c r="L166" s="252" t="str">
        <f t="shared" si="206"/>
        <v>-</v>
      </c>
      <c r="M166" s="252" t="str">
        <f t="shared" si="207"/>
        <v>-</v>
      </c>
      <c r="N166" s="250">
        <f>[1]PB8!E166</f>
        <v>0</v>
      </c>
      <c r="O166" s="252" t="str">
        <f t="shared" si="208"/>
        <v>-</v>
      </c>
      <c r="P166" s="252" t="str">
        <f t="shared" si="209"/>
        <v>-</v>
      </c>
      <c r="Q166" s="250">
        <f t="shared" si="218"/>
        <v>0</v>
      </c>
      <c r="R166" s="252" t="str">
        <f t="shared" si="211"/>
        <v>-</v>
      </c>
      <c r="S166" s="253">
        <f>[1]PB8!W166</f>
        <v>0</v>
      </c>
      <c r="T166" s="257"/>
      <c r="U166" s="10" t="str">
        <f t="shared" si="191"/>
        <v>-</v>
      </c>
      <c r="V166"/>
    </row>
    <row r="167" spans="1:22" ht="20.149999999999999" hidden="1" customHeight="1" outlineLevel="1">
      <c r="A167" s="241"/>
      <c r="B167" s="241">
        <v>6403</v>
      </c>
      <c r="C167" s="241"/>
      <c r="D167" s="242" t="s">
        <v>465</v>
      </c>
      <c r="E167" s="243">
        <f t="shared" ref="E167:K167" si="220">SUM(E168:E172)</f>
        <v>0</v>
      </c>
      <c r="F167" s="243">
        <f t="shared" si="220"/>
        <v>0</v>
      </c>
      <c r="G167" s="243">
        <f t="shared" si="220"/>
        <v>0</v>
      </c>
      <c r="H167" s="243">
        <f t="shared" si="220"/>
        <v>0</v>
      </c>
      <c r="I167" s="243">
        <f t="shared" si="220"/>
        <v>0</v>
      </c>
      <c r="J167" s="243">
        <f t="shared" si="220"/>
        <v>0</v>
      </c>
      <c r="K167" s="243">
        <f t="shared" si="220"/>
        <v>0</v>
      </c>
      <c r="L167" s="244" t="str">
        <f t="shared" si="206"/>
        <v>-</v>
      </c>
      <c r="M167" s="244" t="str">
        <f t="shared" si="207"/>
        <v>-</v>
      </c>
      <c r="N167" s="243">
        <f t="shared" ref="N167" si="221">SUM(N168:N172)</f>
        <v>0</v>
      </c>
      <c r="O167" s="244" t="str">
        <f t="shared" si="208"/>
        <v>-</v>
      </c>
      <c r="P167" s="244" t="str">
        <f t="shared" si="209"/>
        <v>-</v>
      </c>
      <c r="Q167" s="243">
        <f t="shared" ref="Q167" si="222">SUM(Q168:Q172)</f>
        <v>0</v>
      </c>
      <c r="R167" s="244" t="str">
        <f t="shared" si="211"/>
        <v>-</v>
      </c>
      <c r="S167" s="245">
        <f t="shared" ref="S167" si="223">SUM(S168:S172)</f>
        <v>0</v>
      </c>
      <c r="T167" s="246"/>
      <c r="U167" s="10" t="str">
        <f t="shared" si="191"/>
        <v>-</v>
      </c>
      <c r="V167"/>
    </row>
    <row r="168" spans="1:22" ht="20.149999999999999" hidden="1" customHeight="1" outlineLevel="1">
      <c r="A168" s="248"/>
      <c r="B168" s="248"/>
      <c r="C168" s="248">
        <v>64033</v>
      </c>
      <c r="D168" s="249" t="s">
        <v>466</v>
      </c>
      <c r="E168" s="250"/>
      <c r="F168" s="250"/>
      <c r="G168" s="250"/>
      <c r="H168" s="250"/>
      <c r="I168" s="250"/>
      <c r="J168" s="250"/>
      <c r="K168" s="250">
        <f t="shared" ref="K168:K172" si="224">SUM(I168:J168)</f>
        <v>0</v>
      </c>
      <c r="L168" s="252" t="str">
        <f t="shared" si="206"/>
        <v>-</v>
      </c>
      <c r="M168" s="252" t="str">
        <f t="shared" si="207"/>
        <v>-</v>
      </c>
      <c r="N168" s="250">
        <f>[1]PB8!E168</f>
        <v>0</v>
      </c>
      <c r="O168" s="252" t="str">
        <f t="shared" si="208"/>
        <v>-</v>
      </c>
      <c r="P168" s="252" t="str">
        <f t="shared" si="209"/>
        <v>-</v>
      </c>
      <c r="Q168" s="250">
        <f t="shared" ref="Q168:Q172" si="225">N168-F168</f>
        <v>0</v>
      </c>
      <c r="R168" s="252" t="str">
        <f t="shared" si="211"/>
        <v>-</v>
      </c>
      <c r="S168" s="253">
        <f>[1]PB8!W168</f>
        <v>0</v>
      </c>
      <c r="T168" s="257"/>
      <c r="U168" s="10" t="str">
        <f t="shared" si="191"/>
        <v>-</v>
      </c>
      <c r="V168"/>
    </row>
    <row r="169" spans="1:22" ht="20.149999999999999" hidden="1" customHeight="1" outlineLevel="1">
      <c r="A169" s="248"/>
      <c r="B169" s="248"/>
      <c r="C169" s="248">
        <v>64034</v>
      </c>
      <c r="D169" s="249" t="s">
        <v>467</v>
      </c>
      <c r="E169" s="250"/>
      <c r="F169" s="250"/>
      <c r="G169" s="250"/>
      <c r="H169" s="250"/>
      <c r="I169" s="250"/>
      <c r="J169" s="250"/>
      <c r="K169" s="250">
        <f t="shared" si="224"/>
        <v>0</v>
      </c>
      <c r="L169" s="252" t="str">
        <f t="shared" si="206"/>
        <v>-</v>
      </c>
      <c r="M169" s="252" t="str">
        <f t="shared" si="207"/>
        <v>-</v>
      </c>
      <c r="N169" s="250">
        <f>[1]PB8!E169</f>
        <v>0</v>
      </c>
      <c r="O169" s="252" t="str">
        <f t="shared" si="208"/>
        <v>-</v>
      </c>
      <c r="P169" s="252" t="str">
        <f t="shared" si="209"/>
        <v>-</v>
      </c>
      <c r="Q169" s="250">
        <f t="shared" si="225"/>
        <v>0</v>
      </c>
      <c r="R169" s="252" t="str">
        <f t="shared" si="211"/>
        <v>-</v>
      </c>
      <c r="S169" s="253">
        <f>[1]PB8!W169</f>
        <v>0</v>
      </c>
      <c r="T169" s="257"/>
      <c r="U169" s="10" t="str">
        <f t="shared" si="191"/>
        <v>-</v>
      </c>
      <c r="V169"/>
    </row>
    <row r="170" spans="1:22" ht="20.149999999999999" hidden="1" customHeight="1" outlineLevel="1">
      <c r="A170" s="248"/>
      <c r="B170" s="248"/>
      <c r="C170" s="248">
        <v>64035</v>
      </c>
      <c r="D170" s="249" t="s">
        <v>468</v>
      </c>
      <c r="E170" s="250"/>
      <c r="F170" s="250"/>
      <c r="G170" s="250"/>
      <c r="H170" s="250"/>
      <c r="I170" s="250"/>
      <c r="J170" s="250"/>
      <c r="K170" s="250">
        <f t="shared" si="224"/>
        <v>0</v>
      </c>
      <c r="L170" s="252" t="str">
        <f t="shared" si="206"/>
        <v>-</v>
      </c>
      <c r="M170" s="252" t="str">
        <f t="shared" si="207"/>
        <v>-</v>
      </c>
      <c r="N170" s="250">
        <f>[1]PB8!E170</f>
        <v>0</v>
      </c>
      <c r="O170" s="252" t="str">
        <f t="shared" si="208"/>
        <v>-</v>
      </c>
      <c r="P170" s="252" t="str">
        <f t="shared" si="209"/>
        <v>-</v>
      </c>
      <c r="Q170" s="250">
        <f t="shared" si="225"/>
        <v>0</v>
      </c>
      <c r="R170" s="252" t="str">
        <f t="shared" si="211"/>
        <v>-</v>
      </c>
      <c r="S170" s="253">
        <f>[1]PB8!W170</f>
        <v>0</v>
      </c>
      <c r="T170" s="257"/>
      <c r="U170" s="10" t="str">
        <f t="shared" si="191"/>
        <v>-</v>
      </c>
      <c r="V170"/>
    </row>
    <row r="171" spans="1:22" ht="20.149999999999999" hidden="1" customHeight="1" outlineLevel="1">
      <c r="A171" s="248"/>
      <c r="B171" s="248"/>
      <c r="C171" s="248">
        <v>64037</v>
      </c>
      <c r="D171" s="249" t="s">
        <v>469</v>
      </c>
      <c r="E171" s="250"/>
      <c r="F171" s="250"/>
      <c r="G171" s="250"/>
      <c r="H171" s="250"/>
      <c r="I171" s="250"/>
      <c r="J171" s="250"/>
      <c r="K171" s="250">
        <f t="shared" si="224"/>
        <v>0</v>
      </c>
      <c r="L171" s="252" t="str">
        <f t="shared" si="206"/>
        <v>-</v>
      </c>
      <c r="M171" s="252" t="str">
        <f t="shared" si="207"/>
        <v>-</v>
      </c>
      <c r="N171" s="250">
        <f>[1]PB8!E171</f>
        <v>0</v>
      </c>
      <c r="O171" s="252" t="str">
        <f t="shared" si="208"/>
        <v>-</v>
      </c>
      <c r="P171" s="252" t="str">
        <f t="shared" si="209"/>
        <v>-</v>
      </c>
      <c r="Q171" s="250">
        <f t="shared" si="225"/>
        <v>0</v>
      </c>
      <c r="R171" s="252" t="str">
        <f t="shared" si="211"/>
        <v>-</v>
      </c>
      <c r="S171" s="253">
        <f>[1]PB8!W171</f>
        <v>0</v>
      </c>
      <c r="T171" s="257"/>
      <c r="U171" s="10" t="str">
        <f t="shared" si="191"/>
        <v>-</v>
      </c>
      <c r="V171"/>
    </row>
    <row r="172" spans="1:22" ht="20.149999999999999" hidden="1" customHeight="1" outlineLevel="1">
      <c r="A172" s="248"/>
      <c r="B172" s="248"/>
      <c r="C172" s="248">
        <v>64038</v>
      </c>
      <c r="D172" s="249" t="s">
        <v>465</v>
      </c>
      <c r="E172" s="250"/>
      <c r="F172" s="250"/>
      <c r="G172" s="250"/>
      <c r="H172" s="250"/>
      <c r="I172" s="250"/>
      <c r="J172" s="250"/>
      <c r="K172" s="250">
        <f t="shared" si="224"/>
        <v>0</v>
      </c>
      <c r="L172" s="252" t="str">
        <f t="shared" si="206"/>
        <v>-</v>
      </c>
      <c r="M172" s="252" t="str">
        <f t="shared" si="207"/>
        <v>-</v>
      </c>
      <c r="N172" s="250">
        <f>[1]PB8!E172</f>
        <v>0</v>
      </c>
      <c r="O172" s="252" t="str">
        <f t="shared" si="208"/>
        <v>-</v>
      </c>
      <c r="P172" s="252" t="str">
        <f t="shared" si="209"/>
        <v>-</v>
      </c>
      <c r="Q172" s="250">
        <f t="shared" si="225"/>
        <v>0</v>
      </c>
      <c r="R172" s="252" t="str">
        <f t="shared" si="211"/>
        <v>-</v>
      </c>
      <c r="S172" s="253">
        <f>[1]PB8!W172</f>
        <v>0</v>
      </c>
      <c r="T172" s="257"/>
      <c r="U172" s="10" t="str">
        <f t="shared" si="191"/>
        <v>-</v>
      </c>
      <c r="V172"/>
    </row>
    <row r="173" spans="1:22" ht="20.149999999999999" customHeight="1" collapsed="1">
      <c r="A173" s="241"/>
      <c r="B173" s="241">
        <v>6404</v>
      </c>
      <c r="C173" s="241"/>
      <c r="D173" s="242" t="s">
        <v>470</v>
      </c>
      <c r="E173" s="243">
        <f t="shared" ref="E173:K173" si="226">SUM(E174:E176)</f>
        <v>16.079999999999998</v>
      </c>
      <c r="F173" s="243">
        <f t="shared" si="226"/>
        <v>16.100000000000001</v>
      </c>
      <c r="G173" s="243">
        <f t="shared" si="226"/>
        <v>0</v>
      </c>
      <c r="H173" s="243">
        <f t="shared" si="226"/>
        <v>16.100000000000001</v>
      </c>
      <c r="I173" s="243">
        <f t="shared" si="226"/>
        <v>6.7</v>
      </c>
      <c r="J173" s="243">
        <f t="shared" si="226"/>
        <v>9.4000000000000021</v>
      </c>
      <c r="K173" s="243">
        <f t="shared" si="226"/>
        <v>16.100000000000001</v>
      </c>
      <c r="L173" s="244">
        <f t="shared" si="206"/>
        <v>1</v>
      </c>
      <c r="M173" s="244">
        <f t="shared" si="207"/>
        <v>1</v>
      </c>
      <c r="N173" s="243">
        <f t="shared" ref="N173" si="227">SUM(N174:N176)</f>
        <v>17.100000000000001</v>
      </c>
      <c r="O173" s="244">
        <f t="shared" si="208"/>
        <v>1.0621118012422359</v>
      </c>
      <c r="P173" s="244">
        <f t="shared" si="209"/>
        <v>1.0621118012422359</v>
      </c>
      <c r="Q173" s="243">
        <f t="shared" ref="Q173" si="228">SUM(Q174:Q176)</f>
        <v>1</v>
      </c>
      <c r="R173" s="244">
        <f t="shared" si="211"/>
        <v>6.2111801242236017E-2</v>
      </c>
      <c r="S173" s="245">
        <f t="shared" ref="S173" si="229">SUM(S174:S176)</f>
        <v>0</v>
      </c>
      <c r="T173" s="246"/>
      <c r="U173" s="10" t="str">
        <f t="shared" si="191"/>
        <v>ok</v>
      </c>
      <c r="V173"/>
    </row>
    <row r="174" spans="1:22" ht="20.149999999999999" customHeight="1">
      <c r="A174" s="247"/>
      <c r="B174" s="247"/>
      <c r="C174" s="248">
        <v>64041</v>
      </c>
      <c r="D174" s="249" t="s">
        <v>471</v>
      </c>
      <c r="E174" s="250">
        <v>16.079999999999998</v>
      </c>
      <c r="F174" s="250">
        <v>16.100000000000001</v>
      </c>
      <c r="G174" s="250"/>
      <c r="H174" s="250">
        <v>16.100000000000001</v>
      </c>
      <c r="I174" s="250">
        <v>6.7</v>
      </c>
      <c r="J174" s="250">
        <f>H174-I174</f>
        <v>9.4000000000000021</v>
      </c>
      <c r="K174" s="250">
        <f t="shared" ref="K174:K176" si="230">SUM(I174:J174)</f>
        <v>16.100000000000001</v>
      </c>
      <c r="L174" s="252">
        <f t="shared" si="206"/>
        <v>1</v>
      </c>
      <c r="M174" s="252">
        <f t="shared" si="207"/>
        <v>1</v>
      </c>
      <c r="N174" s="250">
        <f>[1]PB8!E174</f>
        <v>17.100000000000001</v>
      </c>
      <c r="O174" s="252">
        <f t="shared" si="208"/>
        <v>1.0621118012422359</v>
      </c>
      <c r="P174" s="252">
        <f t="shared" si="209"/>
        <v>1.0621118012422359</v>
      </c>
      <c r="Q174" s="250">
        <f t="shared" ref="Q174:Q176" si="231">N174-F174</f>
        <v>1</v>
      </c>
      <c r="R174" s="252">
        <f t="shared" si="211"/>
        <v>6.2111801242236017E-2</v>
      </c>
      <c r="S174" s="253">
        <f>[1]PB8!W174</f>
        <v>0</v>
      </c>
      <c r="T174" s="257"/>
      <c r="U174" s="10" t="str">
        <f t="shared" si="191"/>
        <v>ok</v>
      </c>
      <c r="V174"/>
    </row>
    <row r="175" spans="1:22" ht="20.149999999999999" customHeight="1">
      <c r="A175" s="247"/>
      <c r="B175" s="247"/>
      <c r="C175" s="248">
        <v>64042</v>
      </c>
      <c r="D175" s="249" t="s">
        <v>472</v>
      </c>
      <c r="E175" s="250"/>
      <c r="F175" s="250"/>
      <c r="G175" s="250"/>
      <c r="H175" s="250"/>
      <c r="I175" s="250"/>
      <c r="J175" s="250">
        <f t="shared" ref="J175:J176" si="232">H175-I175</f>
        <v>0</v>
      </c>
      <c r="K175" s="250">
        <f t="shared" si="230"/>
        <v>0</v>
      </c>
      <c r="L175" s="252" t="str">
        <f t="shared" si="206"/>
        <v>-</v>
      </c>
      <c r="M175" s="252" t="str">
        <f t="shared" si="207"/>
        <v>-</v>
      </c>
      <c r="N175" s="250">
        <f>[1]PB8!E175</f>
        <v>0</v>
      </c>
      <c r="O175" s="252" t="str">
        <f t="shared" si="208"/>
        <v>-</v>
      </c>
      <c r="P175" s="252" t="str">
        <f t="shared" si="209"/>
        <v>-</v>
      </c>
      <c r="Q175" s="250">
        <f t="shared" si="231"/>
        <v>0</v>
      </c>
      <c r="R175" s="252" t="str">
        <f t="shared" si="211"/>
        <v>-</v>
      </c>
      <c r="S175" s="253">
        <f>[1]PB8!W175</f>
        <v>0</v>
      </c>
      <c r="T175" s="257"/>
      <c r="U175" s="10" t="str">
        <f t="shared" si="191"/>
        <v>-</v>
      </c>
      <c r="V175"/>
    </row>
    <row r="176" spans="1:22" ht="20.149999999999999" customHeight="1">
      <c r="A176" s="247"/>
      <c r="B176" s="247"/>
      <c r="C176" s="248">
        <v>64048</v>
      </c>
      <c r="D176" s="249" t="s">
        <v>473</v>
      </c>
      <c r="E176" s="250"/>
      <c r="F176" s="250"/>
      <c r="G176" s="250"/>
      <c r="H176" s="250"/>
      <c r="I176" s="250"/>
      <c r="J176" s="250">
        <f t="shared" si="232"/>
        <v>0</v>
      </c>
      <c r="K176" s="250">
        <f t="shared" si="230"/>
        <v>0</v>
      </c>
      <c r="L176" s="252" t="str">
        <f t="shared" si="206"/>
        <v>-</v>
      </c>
      <c r="M176" s="252" t="str">
        <f t="shared" si="207"/>
        <v>-</v>
      </c>
      <c r="N176" s="250">
        <f>[1]PB8!E176</f>
        <v>0</v>
      </c>
      <c r="O176" s="252" t="str">
        <f t="shared" si="208"/>
        <v>-</v>
      </c>
      <c r="P176" s="252" t="str">
        <f t="shared" si="209"/>
        <v>-</v>
      </c>
      <c r="Q176" s="250">
        <f t="shared" si="231"/>
        <v>0</v>
      </c>
      <c r="R176" s="252" t="str">
        <f t="shared" si="211"/>
        <v>-</v>
      </c>
      <c r="S176" s="253">
        <f>[1]PB8!W176</f>
        <v>0</v>
      </c>
      <c r="T176" s="257"/>
      <c r="U176" s="10" t="str">
        <f t="shared" si="191"/>
        <v>-</v>
      </c>
      <c r="V176"/>
    </row>
    <row r="177" spans="1:22" ht="20.149999999999999" customHeight="1">
      <c r="A177" s="241"/>
      <c r="B177" s="241">
        <v>6405</v>
      </c>
      <c r="C177" s="241"/>
      <c r="D177" s="242" t="s">
        <v>474</v>
      </c>
      <c r="E177" s="243">
        <f t="shared" ref="E177:K177" si="233">SUM(E178:E184)</f>
        <v>7.9649999999999999</v>
      </c>
      <c r="F177" s="243">
        <f t="shared" si="233"/>
        <v>4.8</v>
      </c>
      <c r="G177" s="243">
        <f t="shared" si="233"/>
        <v>0</v>
      </c>
      <c r="H177" s="243">
        <f t="shared" si="233"/>
        <v>4.8</v>
      </c>
      <c r="I177" s="243">
        <f t="shared" si="233"/>
        <v>0</v>
      </c>
      <c r="J177" s="243">
        <f t="shared" si="233"/>
        <v>4.8</v>
      </c>
      <c r="K177" s="243">
        <f t="shared" si="233"/>
        <v>4.8</v>
      </c>
      <c r="L177" s="244">
        <f t="shared" si="206"/>
        <v>1</v>
      </c>
      <c r="M177" s="244">
        <f t="shared" si="207"/>
        <v>1</v>
      </c>
      <c r="N177" s="243">
        <f t="shared" ref="N177" si="234">SUM(N178:N184)</f>
        <v>2.4</v>
      </c>
      <c r="O177" s="244">
        <f t="shared" si="208"/>
        <v>0.5</v>
      </c>
      <c r="P177" s="244">
        <f t="shared" si="209"/>
        <v>0.5</v>
      </c>
      <c r="Q177" s="243">
        <f t="shared" ref="Q177" si="235">SUM(Q178:Q184)</f>
        <v>-2.4</v>
      </c>
      <c r="R177" s="244">
        <f t="shared" si="211"/>
        <v>-0.5</v>
      </c>
      <c r="S177" s="245">
        <f t="shared" ref="S177" si="236">SUM(S178:S184)</f>
        <v>0</v>
      </c>
      <c r="T177" s="246"/>
      <c r="U177" s="10" t="str">
        <f t="shared" si="191"/>
        <v>ok</v>
      </c>
      <c r="V177"/>
    </row>
    <row r="178" spans="1:22" ht="20.149999999999999" customHeight="1">
      <c r="A178" s="247"/>
      <c r="B178" s="247"/>
      <c r="C178" s="248">
        <v>64051</v>
      </c>
      <c r="D178" s="249" t="s">
        <v>475</v>
      </c>
      <c r="E178" s="250"/>
      <c r="F178" s="250"/>
      <c r="G178" s="250"/>
      <c r="H178" s="250"/>
      <c r="I178" s="250"/>
      <c r="J178" s="250"/>
      <c r="K178" s="250">
        <f t="shared" ref="K178:K184" si="237">SUM(I178:J178)</f>
        <v>0</v>
      </c>
      <c r="L178" s="252" t="str">
        <f t="shared" si="206"/>
        <v>-</v>
      </c>
      <c r="M178" s="252" t="str">
        <f t="shared" si="207"/>
        <v>-</v>
      </c>
      <c r="N178" s="250">
        <f>[1]PB8!E178</f>
        <v>0</v>
      </c>
      <c r="O178" s="252" t="str">
        <f t="shared" si="208"/>
        <v>-</v>
      </c>
      <c r="P178" s="252" t="str">
        <f t="shared" si="209"/>
        <v>-</v>
      </c>
      <c r="Q178" s="250">
        <f t="shared" ref="Q178:Q184" si="238">N178-F178</f>
        <v>0</v>
      </c>
      <c r="R178" s="252" t="str">
        <f t="shared" si="211"/>
        <v>-</v>
      </c>
      <c r="S178" s="253">
        <f>[1]PB8!W178</f>
        <v>0</v>
      </c>
      <c r="T178" s="257"/>
      <c r="U178" s="10" t="str">
        <f t="shared" si="191"/>
        <v>-</v>
      </c>
      <c r="V178"/>
    </row>
    <row r="179" spans="1:22" ht="20.149999999999999" customHeight="1">
      <c r="A179" s="247"/>
      <c r="B179" s="247"/>
      <c r="C179" s="248">
        <v>64052</v>
      </c>
      <c r="D179" s="249" t="s">
        <v>476</v>
      </c>
      <c r="E179" s="250"/>
      <c r="F179" s="250">
        <v>4.8</v>
      </c>
      <c r="G179" s="250"/>
      <c r="H179" s="250">
        <v>4.8</v>
      </c>
      <c r="I179" s="250"/>
      <c r="J179" s="250">
        <f>H179-I179</f>
        <v>4.8</v>
      </c>
      <c r="K179" s="250">
        <f t="shared" si="237"/>
        <v>4.8</v>
      </c>
      <c r="L179" s="252">
        <f t="shared" si="206"/>
        <v>1</v>
      </c>
      <c r="M179" s="252">
        <f t="shared" si="207"/>
        <v>1</v>
      </c>
      <c r="N179" s="250">
        <f>[1]PB8!E179</f>
        <v>2.4</v>
      </c>
      <c r="O179" s="252">
        <f t="shared" si="208"/>
        <v>0.5</v>
      </c>
      <c r="P179" s="252">
        <f t="shared" si="209"/>
        <v>0.5</v>
      </c>
      <c r="Q179" s="250">
        <f t="shared" si="238"/>
        <v>-2.4</v>
      </c>
      <c r="R179" s="252">
        <f t="shared" si="211"/>
        <v>-0.5</v>
      </c>
      <c r="S179" s="253">
        <f>[1]PB8!W179</f>
        <v>0</v>
      </c>
      <c r="T179" s="257"/>
      <c r="U179" s="10" t="str">
        <f t="shared" si="191"/>
        <v>ok</v>
      </c>
      <c r="V179"/>
    </row>
    <row r="180" spans="1:22" ht="20.149999999999999" hidden="1" customHeight="1">
      <c r="A180" s="247"/>
      <c r="B180" s="247"/>
      <c r="C180" s="248">
        <v>64053</v>
      </c>
      <c r="D180" s="249" t="s">
        <v>477</v>
      </c>
      <c r="E180" s="250"/>
      <c r="F180" s="250"/>
      <c r="G180" s="250"/>
      <c r="H180" s="250"/>
      <c r="I180" s="250"/>
      <c r="J180" s="250">
        <f t="shared" ref="J180:J184" si="239">H180-I180</f>
        <v>0</v>
      </c>
      <c r="K180" s="250">
        <f t="shared" si="237"/>
        <v>0</v>
      </c>
      <c r="L180" s="252" t="str">
        <f t="shared" si="206"/>
        <v>-</v>
      </c>
      <c r="M180" s="252" t="str">
        <f t="shared" si="207"/>
        <v>-</v>
      </c>
      <c r="N180" s="250">
        <f>[1]PB8!E180</f>
        <v>0</v>
      </c>
      <c r="O180" s="252" t="str">
        <f t="shared" si="208"/>
        <v>-</v>
      </c>
      <c r="P180" s="252" t="str">
        <f t="shared" si="209"/>
        <v>-</v>
      </c>
      <c r="Q180" s="250">
        <f t="shared" si="238"/>
        <v>0</v>
      </c>
      <c r="R180" s="252" t="str">
        <f t="shared" si="211"/>
        <v>-</v>
      </c>
      <c r="S180" s="253">
        <f>[1]PB8!W180</f>
        <v>0</v>
      </c>
      <c r="T180" s="257"/>
      <c r="U180" s="10" t="str">
        <f t="shared" si="191"/>
        <v>-</v>
      </c>
      <c r="V180"/>
    </row>
    <row r="181" spans="1:22" ht="20.149999999999999" hidden="1" customHeight="1">
      <c r="A181" s="247"/>
      <c r="B181" s="247"/>
      <c r="C181" s="248">
        <v>64054</v>
      </c>
      <c r="D181" s="249" t="s">
        <v>478</v>
      </c>
      <c r="E181" s="250"/>
      <c r="F181" s="250"/>
      <c r="G181" s="250"/>
      <c r="H181" s="250"/>
      <c r="I181" s="250"/>
      <c r="J181" s="250">
        <f t="shared" si="239"/>
        <v>0</v>
      </c>
      <c r="K181" s="250">
        <f t="shared" si="237"/>
        <v>0</v>
      </c>
      <c r="L181" s="252" t="str">
        <f t="shared" si="206"/>
        <v>-</v>
      </c>
      <c r="M181" s="252" t="str">
        <f t="shared" si="207"/>
        <v>-</v>
      </c>
      <c r="N181" s="250">
        <f>[1]PB8!E181</f>
        <v>0</v>
      </c>
      <c r="O181" s="252" t="str">
        <f t="shared" si="208"/>
        <v>-</v>
      </c>
      <c r="P181" s="252" t="str">
        <f t="shared" si="209"/>
        <v>-</v>
      </c>
      <c r="Q181" s="250">
        <f t="shared" si="238"/>
        <v>0</v>
      </c>
      <c r="R181" s="252" t="str">
        <f t="shared" si="211"/>
        <v>-</v>
      </c>
      <c r="S181" s="253">
        <f>[1]PB8!W181</f>
        <v>0</v>
      </c>
      <c r="T181" s="257"/>
      <c r="U181" s="10" t="str">
        <f t="shared" si="191"/>
        <v>-</v>
      </c>
      <c r="V181"/>
    </row>
    <row r="182" spans="1:22" ht="20.149999999999999" customHeight="1">
      <c r="A182" s="247"/>
      <c r="B182" s="247"/>
      <c r="C182" s="248">
        <v>64055</v>
      </c>
      <c r="D182" s="249" t="s">
        <v>479</v>
      </c>
      <c r="E182" s="250">
        <v>7.9649999999999999</v>
      </c>
      <c r="F182" s="250"/>
      <c r="G182" s="250"/>
      <c r="H182" s="250"/>
      <c r="I182" s="250"/>
      <c r="J182" s="250">
        <f t="shared" si="239"/>
        <v>0</v>
      </c>
      <c r="K182" s="250">
        <f t="shared" si="237"/>
        <v>0</v>
      </c>
      <c r="L182" s="252" t="str">
        <f t="shared" si="206"/>
        <v>-</v>
      </c>
      <c r="M182" s="252" t="str">
        <f t="shared" si="207"/>
        <v>-</v>
      </c>
      <c r="N182" s="250">
        <f>[1]PB8!E182</f>
        <v>0</v>
      </c>
      <c r="O182" s="252" t="str">
        <f t="shared" si="208"/>
        <v>-</v>
      </c>
      <c r="P182" s="252" t="str">
        <f t="shared" si="209"/>
        <v>-</v>
      </c>
      <c r="Q182" s="250">
        <f t="shared" si="238"/>
        <v>0</v>
      </c>
      <c r="R182" s="252" t="str">
        <f t="shared" si="211"/>
        <v>-</v>
      </c>
      <c r="S182" s="253">
        <f>[1]PB8!W182</f>
        <v>0</v>
      </c>
      <c r="T182" s="257"/>
      <c r="U182" s="10" t="str">
        <f t="shared" si="191"/>
        <v>-</v>
      </c>
      <c r="V182"/>
    </row>
    <row r="183" spans="1:22" ht="20.149999999999999" hidden="1" customHeight="1">
      <c r="A183" s="247"/>
      <c r="B183" s="247"/>
      <c r="C183" s="248">
        <v>64056</v>
      </c>
      <c r="D183" s="249" t="s">
        <v>480</v>
      </c>
      <c r="E183" s="250"/>
      <c r="F183" s="250"/>
      <c r="G183" s="250"/>
      <c r="H183" s="250"/>
      <c r="I183" s="250"/>
      <c r="J183" s="250">
        <f t="shared" si="239"/>
        <v>0</v>
      </c>
      <c r="K183" s="250">
        <f t="shared" si="237"/>
        <v>0</v>
      </c>
      <c r="L183" s="252" t="str">
        <f t="shared" si="206"/>
        <v>-</v>
      </c>
      <c r="M183" s="252" t="str">
        <f t="shared" si="207"/>
        <v>-</v>
      </c>
      <c r="N183" s="250">
        <f>[1]PB8!E183</f>
        <v>0</v>
      </c>
      <c r="O183" s="252" t="str">
        <f t="shared" si="208"/>
        <v>-</v>
      </c>
      <c r="P183" s="252" t="str">
        <f t="shared" si="209"/>
        <v>-</v>
      </c>
      <c r="Q183" s="250">
        <f t="shared" si="238"/>
        <v>0</v>
      </c>
      <c r="R183" s="252" t="str">
        <f t="shared" si="211"/>
        <v>-</v>
      </c>
      <c r="S183" s="253">
        <f>[1]PB8!W183</f>
        <v>0</v>
      </c>
      <c r="T183" s="257"/>
      <c r="U183" s="10" t="str">
        <f t="shared" si="191"/>
        <v>-</v>
      </c>
      <c r="V183"/>
    </row>
    <row r="184" spans="1:22" ht="20.149999999999999" hidden="1" customHeight="1">
      <c r="A184" s="247"/>
      <c r="B184" s="247"/>
      <c r="C184" s="248">
        <v>64058</v>
      </c>
      <c r="D184" s="249" t="s">
        <v>481</v>
      </c>
      <c r="E184" s="250"/>
      <c r="F184" s="250"/>
      <c r="G184" s="250"/>
      <c r="H184" s="250"/>
      <c r="I184" s="250"/>
      <c r="J184" s="250">
        <f t="shared" si="239"/>
        <v>0</v>
      </c>
      <c r="K184" s="250">
        <f t="shared" si="237"/>
        <v>0</v>
      </c>
      <c r="L184" s="252" t="str">
        <f t="shared" si="206"/>
        <v>-</v>
      </c>
      <c r="M184" s="252" t="str">
        <f t="shared" si="207"/>
        <v>-</v>
      </c>
      <c r="N184" s="250">
        <f>[1]PB8!E184</f>
        <v>0</v>
      </c>
      <c r="O184" s="252" t="str">
        <f t="shared" si="208"/>
        <v>-</v>
      </c>
      <c r="P184" s="252" t="str">
        <f t="shared" si="209"/>
        <v>-</v>
      </c>
      <c r="Q184" s="250">
        <f t="shared" si="238"/>
        <v>0</v>
      </c>
      <c r="R184" s="252" t="str">
        <f t="shared" si="211"/>
        <v>-</v>
      </c>
      <c r="S184" s="253">
        <f>[1]PB8!W184</f>
        <v>0</v>
      </c>
      <c r="T184" s="257"/>
      <c r="U184" s="10" t="str">
        <f t="shared" si="191"/>
        <v>-</v>
      </c>
      <c r="V184"/>
    </row>
    <row r="185" spans="1:22" ht="20.149999999999999" customHeight="1">
      <c r="A185" s="241"/>
      <c r="B185" s="241">
        <v>6406</v>
      </c>
      <c r="C185" s="241"/>
      <c r="D185" s="270" t="s">
        <v>482</v>
      </c>
      <c r="E185" s="243">
        <f t="shared" ref="E185:K185" si="240">SUM(E186:E189)</f>
        <v>4.45</v>
      </c>
      <c r="F185" s="243">
        <f t="shared" si="240"/>
        <v>4.5</v>
      </c>
      <c r="G185" s="243">
        <f t="shared" si="240"/>
        <v>0</v>
      </c>
      <c r="H185" s="243">
        <f t="shared" si="240"/>
        <v>4.5</v>
      </c>
      <c r="I185" s="243">
        <f t="shared" si="240"/>
        <v>3.7</v>
      </c>
      <c r="J185" s="243">
        <f t="shared" si="240"/>
        <v>0.79999999999999993</v>
      </c>
      <c r="K185" s="243">
        <f t="shared" si="240"/>
        <v>4.5</v>
      </c>
      <c r="L185" s="244">
        <f t="shared" si="206"/>
        <v>1</v>
      </c>
      <c r="M185" s="244">
        <f t="shared" si="207"/>
        <v>1</v>
      </c>
      <c r="N185" s="243">
        <f t="shared" ref="N185" si="241">SUM(N186:N189)</f>
        <v>5.7</v>
      </c>
      <c r="O185" s="244">
        <f t="shared" si="208"/>
        <v>1.2666666666666666</v>
      </c>
      <c r="P185" s="244">
        <f t="shared" si="209"/>
        <v>1.2666666666666666</v>
      </c>
      <c r="Q185" s="243">
        <f t="shared" ref="Q185" si="242">SUM(Q186:Q189)</f>
        <v>1.2</v>
      </c>
      <c r="R185" s="244">
        <f t="shared" si="211"/>
        <v>0.26666666666666666</v>
      </c>
      <c r="S185" s="245">
        <f t="shared" ref="S185" si="243">SUM(S186:S189)</f>
        <v>0</v>
      </c>
      <c r="T185" s="246"/>
      <c r="U185" s="10" t="str">
        <f t="shared" si="191"/>
        <v>ok</v>
      </c>
      <c r="V185"/>
    </row>
    <row r="186" spans="1:22" ht="20.149999999999999" customHeight="1">
      <c r="A186" s="247"/>
      <c r="B186" s="247"/>
      <c r="C186" s="248">
        <v>64061</v>
      </c>
      <c r="D186" s="249" t="s">
        <v>483</v>
      </c>
      <c r="E186" s="250">
        <v>3.37</v>
      </c>
      <c r="F186" s="250">
        <v>3.4</v>
      </c>
      <c r="G186" s="250"/>
      <c r="H186" s="250">
        <v>3.4</v>
      </c>
      <c r="I186" s="250">
        <v>3.04</v>
      </c>
      <c r="J186" s="250">
        <f>H186-I186</f>
        <v>0.35999999999999988</v>
      </c>
      <c r="K186" s="250">
        <f t="shared" ref="K186:K189" si="244">SUM(I186:J186)</f>
        <v>3.4</v>
      </c>
      <c r="L186" s="252">
        <f t="shared" si="206"/>
        <v>1</v>
      </c>
      <c r="M186" s="252">
        <f t="shared" si="207"/>
        <v>1</v>
      </c>
      <c r="N186" s="250">
        <f>[1]PB8!E186</f>
        <v>3.9</v>
      </c>
      <c r="O186" s="252">
        <f t="shared" si="208"/>
        <v>1.1470588235294117</v>
      </c>
      <c r="P186" s="252">
        <f t="shared" si="209"/>
        <v>1.1470588235294117</v>
      </c>
      <c r="Q186" s="250">
        <f t="shared" ref="Q186:Q189" si="245">N186-F186</f>
        <v>0.5</v>
      </c>
      <c r="R186" s="252">
        <f t="shared" si="211"/>
        <v>0.14705882352941177</v>
      </c>
      <c r="S186" s="253">
        <f>[1]PB8!W186</f>
        <v>0</v>
      </c>
      <c r="T186" s="257"/>
      <c r="U186" s="10" t="str">
        <f t="shared" si="191"/>
        <v>ok</v>
      </c>
      <c r="V186"/>
    </row>
    <row r="187" spans="1:22" ht="20.149999999999999" customHeight="1">
      <c r="A187" s="247"/>
      <c r="B187" s="247"/>
      <c r="C187" s="248">
        <v>64063</v>
      </c>
      <c r="D187" s="249" t="s">
        <v>484</v>
      </c>
      <c r="E187" s="250">
        <v>1.08</v>
      </c>
      <c r="F187" s="250">
        <v>1.1000000000000001</v>
      </c>
      <c r="G187" s="250"/>
      <c r="H187" s="250">
        <v>1.1000000000000001</v>
      </c>
      <c r="I187" s="250">
        <v>0.66</v>
      </c>
      <c r="J187" s="250">
        <f>H187-I187</f>
        <v>0.44000000000000006</v>
      </c>
      <c r="K187" s="250">
        <f t="shared" si="244"/>
        <v>1.1000000000000001</v>
      </c>
      <c r="L187" s="252">
        <f t="shared" si="206"/>
        <v>1</v>
      </c>
      <c r="M187" s="252">
        <f t="shared" si="207"/>
        <v>1</v>
      </c>
      <c r="N187" s="250">
        <f>[1]PB8!E187</f>
        <v>1.8</v>
      </c>
      <c r="O187" s="252">
        <f t="shared" si="208"/>
        <v>1.6363636363636362</v>
      </c>
      <c r="P187" s="252">
        <f t="shared" si="209"/>
        <v>1.6363636363636362</v>
      </c>
      <c r="Q187" s="250">
        <f t="shared" si="245"/>
        <v>0.7</v>
      </c>
      <c r="R187" s="252">
        <f t="shared" si="211"/>
        <v>0.63636363636363624</v>
      </c>
      <c r="S187" s="253">
        <f>[1]PB8!W187</f>
        <v>0</v>
      </c>
      <c r="T187" s="257"/>
      <c r="U187" s="10" t="str">
        <f t="shared" si="191"/>
        <v>ok</v>
      </c>
      <c r="V187"/>
    </row>
    <row r="188" spans="1:22" ht="20.149999999999999" hidden="1" customHeight="1" outlineLevel="1">
      <c r="A188" s="247"/>
      <c r="B188" s="247"/>
      <c r="C188" s="248">
        <v>64064</v>
      </c>
      <c r="D188" s="249" t="s">
        <v>485</v>
      </c>
      <c r="E188" s="250"/>
      <c r="F188" s="250"/>
      <c r="G188" s="250"/>
      <c r="H188" s="250"/>
      <c r="I188" s="250"/>
      <c r="J188" s="250"/>
      <c r="K188" s="250">
        <f t="shared" si="244"/>
        <v>0</v>
      </c>
      <c r="L188" s="252" t="str">
        <f t="shared" si="206"/>
        <v>-</v>
      </c>
      <c r="M188" s="252" t="str">
        <f t="shared" si="207"/>
        <v>-</v>
      </c>
      <c r="N188" s="250">
        <f>[1]PB8!E188</f>
        <v>0</v>
      </c>
      <c r="O188" s="252" t="str">
        <f t="shared" si="208"/>
        <v>-</v>
      </c>
      <c r="P188" s="252" t="str">
        <f t="shared" si="209"/>
        <v>-</v>
      </c>
      <c r="Q188" s="250">
        <f t="shared" si="245"/>
        <v>0</v>
      </c>
      <c r="R188" s="252" t="str">
        <f t="shared" si="211"/>
        <v>-</v>
      </c>
      <c r="S188" s="253">
        <f>[1]PB8!W188</f>
        <v>0</v>
      </c>
      <c r="T188" s="257"/>
      <c r="U188" s="10" t="str">
        <f t="shared" si="191"/>
        <v>-</v>
      </c>
      <c r="V188"/>
    </row>
    <row r="189" spans="1:22" ht="20.149999999999999" hidden="1" customHeight="1" outlineLevel="1">
      <c r="A189" s="247"/>
      <c r="B189" s="247"/>
      <c r="C189" s="248">
        <v>64068</v>
      </c>
      <c r="D189" s="249" t="s">
        <v>486</v>
      </c>
      <c r="E189" s="250"/>
      <c r="F189" s="250"/>
      <c r="G189" s="250"/>
      <c r="H189" s="250"/>
      <c r="I189" s="250"/>
      <c r="J189" s="250"/>
      <c r="K189" s="250">
        <f t="shared" si="244"/>
        <v>0</v>
      </c>
      <c r="L189" s="252" t="str">
        <f t="shared" si="206"/>
        <v>-</v>
      </c>
      <c r="M189" s="252" t="str">
        <f t="shared" si="207"/>
        <v>-</v>
      </c>
      <c r="N189" s="250">
        <f>[1]PB8!E189</f>
        <v>0</v>
      </c>
      <c r="O189" s="252" t="str">
        <f t="shared" si="208"/>
        <v>-</v>
      </c>
      <c r="P189" s="252" t="str">
        <f t="shared" si="209"/>
        <v>-</v>
      </c>
      <c r="Q189" s="250">
        <f t="shared" si="245"/>
        <v>0</v>
      </c>
      <c r="R189" s="252" t="str">
        <f t="shared" si="211"/>
        <v>-</v>
      </c>
      <c r="S189" s="253">
        <f>[1]PB8!W189</f>
        <v>0</v>
      </c>
      <c r="T189" s="257"/>
      <c r="U189" s="10" t="str">
        <f t="shared" si="191"/>
        <v>-</v>
      </c>
      <c r="V189"/>
    </row>
    <row r="190" spans="1:22" ht="20.149999999999999" hidden="1" customHeight="1" outlineLevel="1">
      <c r="A190" s="241"/>
      <c r="B190" s="241">
        <v>6407</v>
      </c>
      <c r="C190" s="241"/>
      <c r="D190" s="242" t="s">
        <v>487</v>
      </c>
      <c r="E190" s="243">
        <f t="shared" ref="E190:K190" si="246">SUM(E191:E198)</f>
        <v>0</v>
      </c>
      <c r="F190" s="243">
        <f t="shared" si="246"/>
        <v>0</v>
      </c>
      <c r="G190" s="243">
        <f t="shared" si="246"/>
        <v>0</v>
      </c>
      <c r="H190" s="243">
        <f t="shared" si="246"/>
        <v>0</v>
      </c>
      <c r="I190" s="243">
        <f t="shared" si="246"/>
        <v>0</v>
      </c>
      <c r="J190" s="243">
        <f t="shared" si="246"/>
        <v>0</v>
      </c>
      <c r="K190" s="243">
        <f t="shared" si="246"/>
        <v>0</v>
      </c>
      <c r="L190" s="244" t="str">
        <f t="shared" si="206"/>
        <v>-</v>
      </c>
      <c r="M190" s="244" t="str">
        <f t="shared" si="207"/>
        <v>-</v>
      </c>
      <c r="N190" s="243">
        <f t="shared" ref="N190" si="247">SUM(N191:N198)</f>
        <v>0</v>
      </c>
      <c r="O190" s="244" t="str">
        <f t="shared" si="208"/>
        <v>-</v>
      </c>
      <c r="P190" s="244" t="str">
        <f t="shared" si="209"/>
        <v>-</v>
      </c>
      <c r="Q190" s="243">
        <f t="shared" ref="Q190" si="248">SUM(Q191:Q198)</f>
        <v>0</v>
      </c>
      <c r="R190" s="244" t="str">
        <f t="shared" si="211"/>
        <v>-</v>
      </c>
      <c r="S190" s="245">
        <f t="shared" ref="S190" si="249">SUM(S191:S198)</f>
        <v>0</v>
      </c>
      <c r="T190" s="246"/>
      <c r="U190" s="10" t="str">
        <f t="shared" si="191"/>
        <v>-</v>
      </c>
      <c r="V190"/>
    </row>
    <row r="191" spans="1:22" ht="20.149999999999999" hidden="1" customHeight="1" outlineLevel="1">
      <c r="A191" s="247"/>
      <c r="B191" s="247"/>
      <c r="C191" s="248">
        <v>64071</v>
      </c>
      <c r="D191" s="249" t="s">
        <v>488</v>
      </c>
      <c r="E191" s="250"/>
      <c r="F191" s="250"/>
      <c r="G191" s="250"/>
      <c r="H191" s="250"/>
      <c r="I191" s="250"/>
      <c r="J191" s="250"/>
      <c r="K191" s="250">
        <f t="shared" ref="K191:K198" si="250">SUM(I191:J191)</f>
        <v>0</v>
      </c>
      <c r="L191" s="252" t="str">
        <f t="shared" si="206"/>
        <v>-</v>
      </c>
      <c r="M191" s="252" t="str">
        <f t="shared" si="207"/>
        <v>-</v>
      </c>
      <c r="N191" s="250">
        <f>[1]PB8!E191</f>
        <v>0</v>
      </c>
      <c r="O191" s="252" t="str">
        <f t="shared" si="208"/>
        <v>-</v>
      </c>
      <c r="P191" s="252" t="str">
        <f t="shared" si="209"/>
        <v>-</v>
      </c>
      <c r="Q191" s="250">
        <f t="shared" ref="Q191:Q198" si="251">N191-F191</f>
        <v>0</v>
      </c>
      <c r="R191" s="252" t="str">
        <f t="shared" si="211"/>
        <v>-</v>
      </c>
      <c r="S191" s="253">
        <f>[1]PB8!W191</f>
        <v>0</v>
      </c>
      <c r="T191" s="257"/>
      <c r="U191" s="10" t="str">
        <f t="shared" si="191"/>
        <v>-</v>
      </c>
      <c r="V191"/>
    </row>
    <row r="192" spans="1:22" ht="20.149999999999999" hidden="1" customHeight="1" outlineLevel="1">
      <c r="A192" s="247"/>
      <c r="B192" s="247"/>
      <c r="C192" s="248">
        <v>64072</v>
      </c>
      <c r="D192" s="249" t="s">
        <v>489</v>
      </c>
      <c r="E192" s="250"/>
      <c r="F192" s="250"/>
      <c r="G192" s="250"/>
      <c r="H192" s="250"/>
      <c r="I192" s="250"/>
      <c r="J192" s="250"/>
      <c r="K192" s="250">
        <f t="shared" si="250"/>
        <v>0</v>
      </c>
      <c r="L192" s="252" t="str">
        <f t="shared" si="206"/>
        <v>-</v>
      </c>
      <c r="M192" s="252" t="str">
        <f t="shared" si="207"/>
        <v>-</v>
      </c>
      <c r="N192" s="250">
        <f>[1]PB8!E192</f>
        <v>0</v>
      </c>
      <c r="O192" s="252" t="str">
        <f t="shared" si="208"/>
        <v>-</v>
      </c>
      <c r="P192" s="252" t="str">
        <f t="shared" si="209"/>
        <v>-</v>
      </c>
      <c r="Q192" s="250">
        <f t="shared" si="251"/>
        <v>0</v>
      </c>
      <c r="R192" s="252" t="str">
        <f t="shared" si="211"/>
        <v>-</v>
      </c>
      <c r="S192" s="253">
        <f>[1]PB8!W192</f>
        <v>0</v>
      </c>
      <c r="T192" s="257"/>
      <c r="U192" s="10" t="str">
        <f t="shared" si="191"/>
        <v>-</v>
      </c>
      <c r="V192"/>
    </row>
    <row r="193" spans="1:22" ht="20.149999999999999" hidden="1" customHeight="1" outlineLevel="1">
      <c r="A193" s="247"/>
      <c r="B193" s="247"/>
      <c r="C193" s="248">
        <v>64073</v>
      </c>
      <c r="D193" s="249" t="s">
        <v>490</v>
      </c>
      <c r="E193" s="250"/>
      <c r="F193" s="250"/>
      <c r="G193" s="250"/>
      <c r="H193" s="250"/>
      <c r="I193" s="250"/>
      <c r="J193" s="250"/>
      <c r="K193" s="250">
        <f t="shared" si="250"/>
        <v>0</v>
      </c>
      <c r="L193" s="252" t="str">
        <f t="shared" si="206"/>
        <v>-</v>
      </c>
      <c r="M193" s="252" t="str">
        <f t="shared" si="207"/>
        <v>-</v>
      </c>
      <c r="N193" s="250">
        <f>[1]PB8!E193</f>
        <v>0</v>
      </c>
      <c r="O193" s="252" t="str">
        <f t="shared" si="208"/>
        <v>-</v>
      </c>
      <c r="P193" s="252" t="str">
        <f t="shared" si="209"/>
        <v>-</v>
      </c>
      <c r="Q193" s="250">
        <f t="shared" si="251"/>
        <v>0</v>
      </c>
      <c r="R193" s="252" t="str">
        <f t="shared" si="211"/>
        <v>-</v>
      </c>
      <c r="S193" s="253">
        <f>[1]PB8!W193</f>
        <v>0</v>
      </c>
      <c r="T193" s="257"/>
      <c r="U193" s="10" t="str">
        <f t="shared" si="191"/>
        <v>-</v>
      </c>
      <c r="V193"/>
    </row>
    <row r="194" spans="1:22" ht="20.149999999999999" hidden="1" customHeight="1" outlineLevel="1">
      <c r="A194" s="247"/>
      <c r="B194" s="247"/>
      <c r="C194" s="248">
        <v>64074</v>
      </c>
      <c r="D194" s="249" t="s">
        <v>491</v>
      </c>
      <c r="E194" s="250"/>
      <c r="F194" s="250"/>
      <c r="G194" s="250"/>
      <c r="H194" s="250"/>
      <c r="I194" s="250"/>
      <c r="J194" s="250"/>
      <c r="K194" s="250">
        <f t="shared" si="250"/>
        <v>0</v>
      </c>
      <c r="L194" s="252" t="str">
        <f t="shared" si="206"/>
        <v>-</v>
      </c>
      <c r="M194" s="252" t="str">
        <f t="shared" si="207"/>
        <v>-</v>
      </c>
      <c r="N194" s="250">
        <f>[1]PB8!E194</f>
        <v>0</v>
      </c>
      <c r="O194" s="252" t="str">
        <f t="shared" si="208"/>
        <v>-</v>
      </c>
      <c r="P194" s="252" t="str">
        <f t="shared" si="209"/>
        <v>-</v>
      </c>
      <c r="Q194" s="250">
        <f t="shared" si="251"/>
        <v>0</v>
      </c>
      <c r="R194" s="252" t="str">
        <f t="shared" si="211"/>
        <v>-</v>
      </c>
      <c r="S194" s="253">
        <f>[1]PB8!W194</f>
        <v>0</v>
      </c>
      <c r="T194" s="257"/>
      <c r="U194" s="10" t="str">
        <f t="shared" si="191"/>
        <v>-</v>
      </c>
      <c r="V194"/>
    </row>
    <row r="195" spans="1:22" ht="20.149999999999999" hidden="1" customHeight="1" outlineLevel="1">
      <c r="A195" s="247"/>
      <c r="B195" s="247"/>
      <c r="C195" s="248">
        <v>64075</v>
      </c>
      <c r="D195" s="249" t="s">
        <v>453</v>
      </c>
      <c r="E195" s="250"/>
      <c r="F195" s="250"/>
      <c r="G195" s="250"/>
      <c r="H195" s="250"/>
      <c r="I195" s="250"/>
      <c r="J195" s="250"/>
      <c r="K195" s="250">
        <f t="shared" si="250"/>
        <v>0</v>
      </c>
      <c r="L195" s="252" t="str">
        <f t="shared" si="206"/>
        <v>-</v>
      </c>
      <c r="M195" s="252" t="str">
        <f t="shared" si="207"/>
        <v>-</v>
      </c>
      <c r="N195" s="250">
        <f>[1]PB8!E195</f>
        <v>0</v>
      </c>
      <c r="O195" s="252" t="str">
        <f t="shared" si="208"/>
        <v>-</v>
      </c>
      <c r="P195" s="252" t="str">
        <f t="shared" si="209"/>
        <v>-</v>
      </c>
      <c r="Q195" s="250">
        <f t="shared" si="251"/>
        <v>0</v>
      </c>
      <c r="R195" s="252" t="str">
        <f t="shared" si="211"/>
        <v>-</v>
      </c>
      <c r="S195" s="253">
        <f>[1]PB8!W195</f>
        <v>0</v>
      </c>
      <c r="T195" s="257"/>
      <c r="U195" s="10" t="str">
        <f t="shared" si="191"/>
        <v>-</v>
      </c>
      <c r="V195"/>
    </row>
    <row r="196" spans="1:22" ht="20.149999999999999" hidden="1" customHeight="1" outlineLevel="1">
      <c r="A196" s="247"/>
      <c r="B196" s="247"/>
      <c r="C196" s="248">
        <v>64076</v>
      </c>
      <c r="D196" s="249" t="s">
        <v>454</v>
      </c>
      <c r="E196" s="250"/>
      <c r="F196" s="250"/>
      <c r="G196" s="250"/>
      <c r="H196" s="250"/>
      <c r="I196" s="250"/>
      <c r="J196" s="250"/>
      <c r="K196" s="250">
        <f t="shared" si="250"/>
        <v>0</v>
      </c>
      <c r="L196" s="252" t="str">
        <f t="shared" si="206"/>
        <v>-</v>
      </c>
      <c r="M196" s="252" t="str">
        <f t="shared" si="207"/>
        <v>-</v>
      </c>
      <c r="N196" s="250">
        <f>[1]PB8!E196</f>
        <v>0</v>
      </c>
      <c r="O196" s="252" t="str">
        <f t="shared" si="208"/>
        <v>-</v>
      </c>
      <c r="P196" s="252" t="str">
        <f t="shared" si="209"/>
        <v>-</v>
      </c>
      <c r="Q196" s="250">
        <f t="shared" si="251"/>
        <v>0</v>
      </c>
      <c r="R196" s="252" t="str">
        <f t="shared" si="211"/>
        <v>-</v>
      </c>
      <c r="S196" s="253">
        <f>[1]PB8!W196</f>
        <v>0</v>
      </c>
      <c r="T196" s="257"/>
      <c r="U196" s="10" t="str">
        <f t="shared" si="191"/>
        <v>-</v>
      </c>
      <c r="V196"/>
    </row>
    <row r="197" spans="1:22" ht="20.149999999999999" hidden="1" customHeight="1" outlineLevel="1">
      <c r="A197" s="247"/>
      <c r="B197" s="247"/>
      <c r="C197" s="248">
        <v>64077</v>
      </c>
      <c r="D197" s="249" t="s">
        <v>455</v>
      </c>
      <c r="E197" s="250"/>
      <c r="F197" s="250"/>
      <c r="G197" s="250"/>
      <c r="H197" s="250"/>
      <c r="I197" s="250"/>
      <c r="J197" s="250"/>
      <c r="K197" s="250">
        <f t="shared" si="250"/>
        <v>0</v>
      </c>
      <c r="L197" s="252" t="str">
        <f t="shared" si="206"/>
        <v>-</v>
      </c>
      <c r="M197" s="252" t="str">
        <f t="shared" si="207"/>
        <v>-</v>
      </c>
      <c r="N197" s="250">
        <f>[1]PB8!E197</f>
        <v>0</v>
      </c>
      <c r="O197" s="252" t="str">
        <f t="shared" si="208"/>
        <v>-</v>
      </c>
      <c r="P197" s="252" t="str">
        <f t="shared" si="209"/>
        <v>-</v>
      </c>
      <c r="Q197" s="250">
        <f t="shared" si="251"/>
        <v>0</v>
      </c>
      <c r="R197" s="252" t="str">
        <f t="shared" si="211"/>
        <v>-</v>
      </c>
      <c r="S197" s="253">
        <f>[1]PB8!W197</f>
        <v>0</v>
      </c>
      <c r="T197" s="257"/>
      <c r="U197" s="10" t="str">
        <f t="shared" si="191"/>
        <v>-</v>
      </c>
      <c r="V197"/>
    </row>
    <row r="198" spans="1:22" ht="20.149999999999999" hidden="1" customHeight="1" outlineLevel="1">
      <c r="A198" s="247"/>
      <c r="B198" s="247"/>
      <c r="C198" s="248">
        <v>64078</v>
      </c>
      <c r="D198" s="249" t="s">
        <v>492</v>
      </c>
      <c r="E198" s="250"/>
      <c r="F198" s="250"/>
      <c r="G198" s="250"/>
      <c r="H198" s="250"/>
      <c r="I198" s="250"/>
      <c r="J198" s="250"/>
      <c r="K198" s="250">
        <f t="shared" si="250"/>
        <v>0</v>
      </c>
      <c r="L198" s="252" t="str">
        <f t="shared" si="206"/>
        <v>-</v>
      </c>
      <c r="M198" s="252" t="str">
        <f t="shared" si="207"/>
        <v>-</v>
      </c>
      <c r="N198" s="250">
        <f>[1]PB8!E198</f>
        <v>0</v>
      </c>
      <c r="O198" s="252" t="str">
        <f t="shared" si="208"/>
        <v>-</v>
      </c>
      <c r="P198" s="252" t="str">
        <f t="shared" si="209"/>
        <v>-</v>
      </c>
      <c r="Q198" s="250">
        <f t="shared" si="251"/>
        <v>0</v>
      </c>
      <c r="R198" s="252" t="str">
        <f t="shared" si="211"/>
        <v>-</v>
      </c>
      <c r="S198" s="253">
        <f>[1]PB8!W198</f>
        <v>0</v>
      </c>
      <c r="T198" s="257"/>
      <c r="U198" s="10" t="str">
        <f t="shared" si="191"/>
        <v>-</v>
      </c>
      <c r="V198"/>
    </row>
    <row r="199" spans="1:22" ht="20.149999999999999" customHeight="1" collapsed="1">
      <c r="A199" s="241"/>
      <c r="B199" s="241">
        <v>6498</v>
      </c>
      <c r="C199" s="241"/>
      <c r="D199" s="242" t="s">
        <v>493</v>
      </c>
      <c r="E199" s="271">
        <f t="shared" ref="E199:K199" si="252">E200</f>
        <v>5.35</v>
      </c>
      <c r="F199" s="271">
        <f t="shared" si="252"/>
        <v>5.4</v>
      </c>
      <c r="G199" s="271">
        <f t="shared" si="252"/>
        <v>0</v>
      </c>
      <c r="H199" s="271">
        <f t="shared" si="252"/>
        <v>5.4</v>
      </c>
      <c r="I199" s="271">
        <f t="shared" si="252"/>
        <v>2.9</v>
      </c>
      <c r="J199" s="271">
        <f t="shared" si="252"/>
        <v>2.5000000000000004</v>
      </c>
      <c r="K199" s="271">
        <f t="shared" si="252"/>
        <v>5.4</v>
      </c>
      <c r="L199" s="272">
        <f t="shared" si="206"/>
        <v>1</v>
      </c>
      <c r="M199" s="272">
        <f t="shared" si="207"/>
        <v>1</v>
      </c>
      <c r="N199" s="271">
        <f t="shared" ref="N199" si="253">N200</f>
        <v>5.4</v>
      </c>
      <c r="O199" s="272">
        <f t="shared" si="208"/>
        <v>1</v>
      </c>
      <c r="P199" s="272">
        <f t="shared" si="209"/>
        <v>1</v>
      </c>
      <c r="Q199" s="271">
        <f t="shared" ref="Q199" si="254">Q200</f>
        <v>0</v>
      </c>
      <c r="R199" s="272">
        <f t="shared" si="211"/>
        <v>0</v>
      </c>
      <c r="S199" s="273">
        <f t="shared" ref="S199" si="255">S200</f>
        <v>0</v>
      </c>
      <c r="T199" s="274"/>
      <c r="U199" s="10" t="str">
        <f t="shared" si="191"/>
        <v>ok</v>
      </c>
      <c r="V199"/>
    </row>
    <row r="200" spans="1:22" ht="20.149999999999999" customHeight="1">
      <c r="A200" s="275"/>
      <c r="B200" s="247"/>
      <c r="C200" s="248">
        <v>64981</v>
      </c>
      <c r="D200" s="249" t="s">
        <v>493</v>
      </c>
      <c r="E200" s="250">
        <v>5.35</v>
      </c>
      <c r="F200" s="250">
        <v>5.4</v>
      </c>
      <c r="G200" s="250"/>
      <c r="H200" s="250">
        <v>5.4</v>
      </c>
      <c r="I200" s="250">
        <v>2.9</v>
      </c>
      <c r="J200" s="250">
        <f>H200-I200</f>
        <v>2.5000000000000004</v>
      </c>
      <c r="K200" s="250">
        <f>SUM(I200:J200)</f>
        <v>5.4</v>
      </c>
      <c r="L200" s="252">
        <f>IFERROR(K200/F200,"-")</f>
        <v>1</v>
      </c>
      <c r="M200" s="252">
        <f>IFERROR(K200/H200,"-")</f>
        <v>1</v>
      </c>
      <c r="N200" s="250">
        <f>[1]PB8!E200</f>
        <v>5.4</v>
      </c>
      <c r="O200" s="252">
        <f>IFERROR(N200/F200,"-")</f>
        <v>1</v>
      </c>
      <c r="P200" s="252">
        <f>IFERROR(N200/H200,"-")</f>
        <v>1</v>
      </c>
      <c r="Q200" s="250">
        <f>N200-F200</f>
        <v>0</v>
      </c>
      <c r="R200" s="252">
        <f t="shared" si="211"/>
        <v>0</v>
      </c>
      <c r="S200" s="253">
        <f>[1]PB8!W200</f>
        <v>0</v>
      </c>
      <c r="T200" s="257"/>
      <c r="U200" s="10" t="str">
        <f t="shared" si="191"/>
        <v>ok</v>
      </c>
      <c r="V200"/>
    </row>
    <row r="201" spans="1:22" s="137" customFormat="1" ht="20.149999999999999" customHeight="1">
      <c r="A201" s="229" t="s">
        <v>494</v>
      </c>
      <c r="B201" s="229"/>
      <c r="C201" s="229"/>
      <c r="D201" s="229"/>
      <c r="E201" s="230">
        <f t="shared" ref="E201:K201" si="256">E202</f>
        <v>0</v>
      </c>
      <c r="F201" s="230">
        <f t="shared" si="256"/>
        <v>0</v>
      </c>
      <c r="G201" s="230">
        <f t="shared" si="256"/>
        <v>0</v>
      </c>
      <c r="H201" s="230">
        <f t="shared" si="256"/>
        <v>0</v>
      </c>
      <c r="I201" s="230">
        <f t="shared" si="256"/>
        <v>0</v>
      </c>
      <c r="J201" s="230">
        <f t="shared" si="256"/>
        <v>0</v>
      </c>
      <c r="K201" s="230">
        <f t="shared" si="256"/>
        <v>0</v>
      </c>
      <c r="L201" s="231" t="str">
        <f t="shared" si="206"/>
        <v>-</v>
      </c>
      <c r="M201" s="231" t="str">
        <f t="shared" si="207"/>
        <v>-</v>
      </c>
      <c r="N201" s="230">
        <f t="shared" ref="N201" si="257">N202</f>
        <v>0</v>
      </c>
      <c r="O201" s="231" t="str">
        <f t="shared" si="208"/>
        <v>-</v>
      </c>
      <c r="P201" s="231" t="str">
        <f t="shared" si="209"/>
        <v>-</v>
      </c>
      <c r="Q201" s="230">
        <f t="shared" ref="Q201" si="258">Q202</f>
        <v>0</v>
      </c>
      <c r="R201" s="231" t="str">
        <f t="shared" si="211"/>
        <v>-</v>
      </c>
      <c r="S201" s="232">
        <f t="shared" ref="S201" si="259">S202</f>
        <v>0</v>
      </c>
      <c r="T201" s="233"/>
      <c r="U201" s="137" t="str">
        <f t="shared" si="191"/>
        <v>-</v>
      </c>
      <c r="V201"/>
    </row>
    <row r="202" spans="1:22" ht="20.149999999999999" hidden="1" customHeight="1" outlineLevel="1">
      <c r="A202" s="234">
        <v>66</v>
      </c>
      <c r="B202" s="234"/>
      <c r="C202" s="235"/>
      <c r="D202" s="236" t="s">
        <v>495</v>
      </c>
      <c r="E202" s="237">
        <f t="shared" ref="E202:K202" si="260">E203+E209+E212</f>
        <v>0</v>
      </c>
      <c r="F202" s="237">
        <f t="shared" si="260"/>
        <v>0</v>
      </c>
      <c r="G202" s="237">
        <f t="shared" si="260"/>
        <v>0</v>
      </c>
      <c r="H202" s="237">
        <f t="shared" si="260"/>
        <v>0</v>
      </c>
      <c r="I202" s="237">
        <f t="shared" si="260"/>
        <v>0</v>
      </c>
      <c r="J202" s="237">
        <f t="shared" si="260"/>
        <v>0</v>
      </c>
      <c r="K202" s="237">
        <f t="shared" si="260"/>
        <v>0</v>
      </c>
      <c r="L202" s="238" t="str">
        <f t="shared" si="206"/>
        <v>-</v>
      </c>
      <c r="M202" s="238" t="str">
        <f t="shared" si="207"/>
        <v>-</v>
      </c>
      <c r="N202" s="237">
        <f t="shared" ref="N202" si="261">N203+N209+N212</f>
        <v>0</v>
      </c>
      <c r="O202" s="238" t="str">
        <f t="shared" si="208"/>
        <v>-</v>
      </c>
      <c r="P202" s="238" t="str">
        <f t="shared" si="209"/>
        <v>-</v>
      </c>
      <c r="Q202" s="237">
        <f t="shared" ref="Q202" si="262">Q203+Q209+Q212</f>
        <v>0</v>
      </c>
      <c r="R202" s="238" t="str">
        <f t="shared" si="211"/>
        <v>-</v>
      </c>
      <c r="S202" s="239">
        <f t="shared" ref="S202" si="263">S203+S209+S212</f>
        <v>0</v>
      </c>
      <c r="T202" s="240"/>
      <c r="U202" s="10" t="str">
        <f t="shared" si="191"/>
        <v>-</v>
      </c>
      <c r="V202"/>
    </row>
    <row r="203" spans="1:22" ht="20.149999999999999" hidden="1" customHeight="1" outlineLevel="1">
      <c r="A203" s="241"/>
      <c r="B203" s="241">
        <v>6601</v>
      </c>
      <c r="C203" s="241"/>
      <c r="D203" s="242" t="s">
        <v>496</v>
      </c>
      <c r="E203" s="243">
        <f t="shared" ref="E203" si="264">SUM(E204:E208)</f>
        <v>0</v>
      </c>
      <c r="F203" s="243">
        <f t="shared" ref="F203:K203" si="265">SUM(F204:F208)</f>
        <v>0</v>
      </c>
      <c r="G203" s="243">
        <f t="shared" si="265"/>
        <v>0</v>
      </c>
      <c r="H203" s="243">
        <f t="shared" si="265"/>
        <v>0</v>
      </c>
      <c r="I203" s="243">
        <f t="shared" si="265"/>
        <v>0</v>
      </c>
      <c r="J203" s="243">
        <f t="shared" si="265"/>
        <v>0</v>
      </c>
      <c r="K203" s="243">
        <f t="shared" si="265"/>
        <v>0</v>
      </c>
      <c r="L203" s="244" t="str">
        <f t="shared" si="206"/>
        <v>-</v>
      </c>
      <c r="M203" s="244" t="str">
        <f t="shared" si="207"/>
        <v>-</v>
      </c>
      <c r="N203" s="243">
        <f t="shared" ref="N203" si="266">SUM(N204:N208)</f>
        <v>0</v>
      </c>
      <c r="O203" s="244" t="str">
        <f t="shared" si="208"/>
        <v>-</v>
      </c>
      <c r="P203" s="244" t="str">
        <f t="shared" si="209"/>
        <v>-</v>
      </c>
      <c r="Q203" s="243">
        <f t="shared" ref="Q203" si="267">SUM(Q204:Q208)</f>
        <v>0</v>
      </c>
      <c r="R203" s="244" t="str">
        <f t="shared" si="211"/>
        <v>-</v>
      </c>
      <c r="S203" s="245">
        <f t="shared" ref="S203" si="268">SUM(S204:S208)</f>
        <v>0</v>
      </c>
      <c r="T203" s="246"/>
      <c r="U203" s="10" t="str">
        <f t="shared" si="191"/>
        <v>-</v>
      </c>
      <c r="V203"/>
    </row>
    <row r="204" spans="1:22" ht="20.149999999999999" hidden="1" customHeight="1" outlineLevel="1">
      <c r="A204" s="247"/>
      <c r="B204" s="247"/>
      <c r="C204" s="248">
        <v>66011</v>
      </c>
      <c r="D204" s="249" t="s">
        <v>277</v>
      </c>
      <c r="E204" s="250"/>
      <c r="F204" s="250"/>
      <c r="G204" s="250"/>
      <c r="H204" s="250"/>
      <c r="I204" s="250"/>
      <c r="J204" s="250"/>
      <c r="K204" s="250">
        <f t="shared" ref="K204:K208" si="269">SUM(I204:J204)</f>
        <v>0</v>
      </c>
      <c r="L204" s="252" t="str">
        <f t="shared" si="206"/>
        <v>-</v>
      </c>
      <c r="M204" s="252" t="str">
        <f t="shared" si="207"/>
        <v>-</v>
      </c>
      <c r="N204" s="250">
        <f>[1]PB8!E204</f>
        <v>0</v>
      </c>
      <c r="O204" s="252" t="str">
        <f t="shared" si="208"/>
        <v>-</v>
      </c>
      <c r="P204" s="252" t="str">
        <f t="shared" si="209"/>
        <v>-</v>
      </c>
      <c r="Q204" s="250">
        <f t="shared" ref="Q204:Q208" si="270">N204-F204</f>
        <v>0</v>
      </c>
      <c r="R204" s="252" t="str">
        <f t="shared" si="211"/>
        <v>-</v>
      </c>
      <c r="S204" s="253">
        <f>[1]PB8!W204</f>
        <v>0</v>
      </c>
      <c r="T204" s="257"/>
      <c r="U204" s="10" t="str">
        <f t="shared" si="191"/>
        <v>-</v>
      </c>
      <c r="V204"/>
    </row>
    <row r="205" spans="1:22" ht="20.149999999999999" hidden="1" customHeight="1" outlineLevel="1">
      <c r="A205" s="247"/>
      <c r="B205" s="247"/>
      <c r="C205" s="248">
        <v>66012</v>
      </c>
      <c r="D205" s="249" t="s">
        <v>278</v>
      </c>
      <c r="E205" s="250"/>
      <c r="F205" s="250"/>
      <c r="G205" s="250"/>
      <c r="H205" s="250"/>
      <c r="I205" s="250"/>
      <c r="J205" s="250"/>
      <c r="K205" s="250">
        <f t="shared" si="269"/>
        <v>0</v>
      </c>
      <c r="L205" s="252" t="str">
        <f t="shared" si="206"/>
        <v>-</v>
      </c>
      <c r="M205" s="252" t="str">
        <f t="shared" si="207"/>
        <v>-</v>
      </c>
      <c r="N205" s="250">
        <f>[1]PB8!E205</f>
        <v>0</v>
      </c>
      <c r="O205" s="252" t="str">
        <f t="shared" si="208"/>
        <v>-</v>
      </c>
      <c r="P205" s="252" t="str">
        <f t="shared" si="209"/>
        <v>-</v>
      </c>
      <c r="Q205" s="250">
        <f t="shared" si="270"/>
        <v>0</v>
      </c>
      <c r="R205" s="252" t="str">
        <f t="shared" si="211"/>
        <v>-</v>
      </c>
      <c r="S205" s="253">
        <f>[1]PB8!W205</f>
        <v>0</v>
      </c>
      <c r="T205" s="257"/>
      <c r="U205" s="10" t="str">
        <f t="shared" si="191"/>
        <v>-</v>
      </c>
      <c r="V205"/>
    </row>
    <row r="206" spans="1:22" ht="20.149999999999999" hidden="1" customHeight="1" outlineLevel="1">
      <c r="A206" s="247"/>
      <c r="B206" s="247"/>
      <c r="C206" s="248">
        <v>66013</v>
      </c>
      <c r="D206" s="249" t="s">
        <v>497</v>
      </c>
      <c r="E206" s="250"/>
      <c r="F206" s="250"/>
      <c r="G206" s="250"/>
      <c r="H206" s="250"/>
      <c r="I206" s="250"/>
      <c r="J206" s="250"/>
      <c r="K206" s="250">
        <f t="shared" si="269"/>
        <v>0</v>
      </c>
      <c r="L206" s="252" t="str">
        <f t="shared" si="206"/>
        <v>-</v>
      </c>
      <c r="M206" s="252" t="str">
        <f t="shared" si="207"/>
        <v>-</v>
      </c>
      <c r="N206" s="250">
        <f>[1]PB8!E206</f>
        <v>0</v>
      </c>
      <c r="O206" s="252" t="str">
        <f t="shared" si="208"/>
        <v>-</v>
      </c>
      <c r="P206" s="252" t="str">
        <f t="shared" si="209"/>
        <v>-</v>
      </c>
      <c r="Q206" s="250">
        <f t="shared" si="270"/>
        <v>0</v>
      </c>
      <c r="R206" s="252" t="str">
        <f t="shared" si="211"/>
        <v>-</v>
      </c>
      <c r="S206" s="253">
        <f>[1]PB8!W206</f>
        <v>0</v>
      </c>
      <c r="T206" s="257"/>
      <c r="U206" s="10" t="str">
        <f t="shared" si="191"/>
        <v>-</v>
      </c>
      <c r="V206"/>
    </row>
    <row r="207" spans="1:22" ht="20.149999999999999" hidden="1" customHeight="1" outlineLevel="1">
      <c r="A207" s="247"/>
      <c r="B207" s="247"/>
      <c r="C207" s="248">
        <v>66014</v>
      </c>
      <c r="D207" s="249" t="s">
        <v>283</v>
      </c>
      <c r="E207" s="250"/>
      <c r="F207" s="250"/>
      <c r="G207" s="250"/>
      <c r="H207" s="250"/>
      <c r="I207" s="250"/>
      <c r="J207" s="250"/>
      <c r="K207" s="250">
        <f t="shared" si="269"/>
        <v>0</v>
      </c>
      <c r="L207" s="252" t="str">
        <f t="shared" si="206"/>
        <v>-</v>
      </c>
      <c r="M207" s="252" t="str">
        <f t="shared" si="207"/>
        <v>-</v>
      </c>
      <c r="N207" s="250">
        <f>[1]PB8!E207</f>
        <v>0</v>
      </c>
      <c r="O207" s="252" t="str">
        <f t="shared" si="208"/>
        <v>-</v>
      </c>
      <c r="P207" s="252" t="str">
        <f t="shared" si="209"/>
        <v>-</v>
      </c>
      <c r="Q207" s="250">
        <f t="shared" si="270"/>
        <v>0</v>
      </c>
      <c r="R207" s="252" t="str">
        <f t="shared" si="211"/>
        <v>-</v>
      </c>
      <c r="S207" s="253">
        <f>[1]PB8!W207</f>
        <v>0</v>
      </c>
      <c r="T207" s="257"/>
      <c r="U207" s="10" t="str">
        <f t="shared" ref="U207:U270" si="271">IF(OR(F207&gt;0,H207&gt;0,N207&gt;0),"ok","-")</f>
        <v>-</v>
      </c>
      <c r="V207"/>
    </row>
    <row r="208" spans="1:22" ht="20.149999999999999" hidden="1" customHeight="1" outlineLevel="1">
      <c r="A208" s="247"/>
      <c r="B208" s="247"/>
      <c r="C208" s="248">
        <v>66018</v>
      </c>
      <c r="D208" s="249" t="s">
        <v>50</v>
      </c>
      <c r="E208" s="250"/>
      <c r="F208" s="250"/>
      <c r="G208" s="250"/>
      <c r="H208" s="250"/>
      <c r="I208" s="250"/>
      <c r="J208" s="250"/>
      <c r="K208" s="250">
        <f t="shared" si="269"/>
        <v>0</v>
      </c>
      <c r="L208" s="252" t="str">
        <f t="shared" si="206"/>
        <v>-</v>
      </c>
      <c r="M208" s="252" t="str">
        <f t="shared" si="207"/>
        <v>-</v>
      </c>
      <c r="N208" s="250">
        <f>[1]PB8!E208</f>
        <v>0</v>
      </c>
      <c r="O208" s="252" t="str">
        <f t="shared" si="208"/>
        <v>-</v>
      </c>
      <c r="P208" s="252" t="str">
        <f t="shared" si="209"/>
        <v>-</v>
      </c>
      <c r="Q208" s="250">
        <f t="shared" si="270"/>
        <v>0</v>
      </c>
      <c r="R208" s="252" t="str">
        <f t="shared" si="211"/>
        <v>-</v>
      </c>
      <c r="S208" s="253">
        <f>[1]PB8!W208</f>
        <v>0</v>
      </c>
      <c r="T208" s="257"/>
      <c r="U208" s="10" t="str">
        <f t="shared" si="271"/>
        <v>-</v>
      </c>
      <c r="V208"/>
    </row>
    <row r="209" spans="1:22" ht="20.149999999999999" hidden="1" customHeight="1" outlineLevel="1">
      <c r="A209" s="241"/>
      <c r="B209" s="241">
        <v>6602</v>
      </c>
      <c r="C209" s="241"/>
      <c r="D209" s="242" t="s">
        <v>498</v>
      </c>
      <c r="E209" s="243">
        <f t="shared" ref="E209" si="272">SUM(E210:E211)</f>
        <v>0</v>
      </c>
      <c r="F209" s="243">
        <f t="shared" ref="F209:K209" si="273">SUM(F210:F211)</f>
        <v>0</v>
      </c>
      <c r="G209" s="243">
        <f t="shared" si="273"/>
        <v>0</v>
      </c>
      <c r="H209" s="243">
        <f t="shared" si="273"/>
        <v>0</v>
      </c>
      <c r="I209" s="243">
        <f t="shared" si="273"/>
        <v>0</v>
      </c>
      <c r="J209" s="243">
        <f t="shared" si="273"/>
        <v>0</v>
      </c>
      <c r="K209" s="243">
        <f t="shared" si="273"/>
        <v>0</v>
      </c>
      <c r="L209" s="244" t="str">
        <f t="shared" si="206"/>
        <v>-</v>
      </c>
      <c r="M209" s="244" t="str">
        <f t="shared" si="207"/>
        <v>-</v>
      </c>
      <c r="N209" s="243">
        <f t="shared" ref="N209" si="274">SUM(N210:N211)</f>
        <v>0</v>
      </c>
      <c r="O209" s="244" t="str">
        <f t="shared" si="208"/>
        <v>-</v>
      </c>
      <c r="P209" s="244" t="str">
        <f t="shared" si="209"/>
        <v>-</v>
      </c>
      <c r="Q209" s="243">
        <f t="shared" ref="Q209" si="275">SUM(Q210:Q211)</f>
        <v>0</v>
      </c>
      <c r="R209" s="244" t="str">
        <f t="shared" si="211"/>
        <v>-</v>
      </c>
      <c r="S209" s="245">
        <f t="shared" ref="S209" si="276">SUM(S210:S211)</f>
        <v>0</v>
      </c>
      <c r="T209" s="246"/>
      <c r="U209" s="10" t="str">
        <f t="shared" si="271"/>
        <v>-</v>
      </c>
      <c r="V209"/>
    </row>
    <row r="210" spans="1:22" ht="20.149999999999999" hidden="1" customHeight="1" outlineLevel="1">
      <c r="A210" s="247"/>
      <c r="B210" s="247"/>
      <c r="C210" s="248">
        <v>66021</v>
      </c>
      <c r="D210" s="249" t="s">
        <v>499</v>
      </c>
      <c r="E210" s="250"/>
      <c r="F210" s="250"/>
      <c r="G210" s="250"/>
      <c r="H210" s="250"/>
      <c r="I210" s="250"/>
      <c r="J210" s="250"/>
      <c r="K210" s="250">
        <f t="shared" ref="K210:K211" si="277">SUM(I210:J210)</f>
        <v>0</v>
      </c>
      <c r="L210" s="252" t="str">
        <f t="shared" si="206"/>
        <v>-</v>
      </c>
      <c r="M210" s="252" t="str">
        <f t="shared" si="207"/>
        <v>-</v>
      </c>
      <c r="N210" s="250">
        <f>[1]PB8!E210</f>
        <v>0</v>
      </c>
      <c r="O210" s="252" t="str">
        <f t="shared" si="208"/>
        <v>-</v>
      </c>
      <c r="P210" s="252" t="str">
        <f t="shared" si="209"/>
        <v>-</v>
      </c>
      <c r="Q210" s="250">
        <f t="shared" ref="Q210:Q211" si="278">N210-F210</f>
        <v>0</v>
      </c>
      <c r="R210" s="252" t="str">
        <f t="shared" si="211"/>
        <v>-</v>
      </c>
      <c r="S210" s="253">
        <f>[1]PB8!W210</f>
        <v>0</v>
      </c>
      <c r="T210" s="257"/>
      <c r="U210" s="10" t="str">
        <f t="shared" si="271"/>
        <v>-</v>
      </c>
      <c r="V210"/>
    </row>
    <row r="211" spans="1:22" ht="20.149999999999999" hidden="1" customHeight="1" outlineLevel="1">
      <c r="A211" s="247"/>
      <c r="B211" s="247"/>
      <c r="C211" s="248">
        <v>66022</v>
      </c>
      <c r="D211" s="249" t="s">
        <v>500</v>
      </c>
      <c r="E211" s="250"/>
      <c r="F211" s="250"/>
      <c r="G211" s="250"/>
      <c r="H211" s="250"/>
      <c r="I211" s="250"/>
      <c r="J211" s="250"/>
      <c r="K211" s="250">
        <f t="shared" si="277"/>
        <v>0</v>
      </c>
      <c r="L211" s="252" t="str">
        <f t="shared" si="206"/>
        <v>-</v>
      </c>
      <c r="M211" s="252" t="str">
        <f t="shared" si="207"/>
        <v>-</v>
      </c>
      <c r="N211" s="250">
        <f>[1]PB8!E211</f>
        <v>0</v>
      </c>
      <c r="O211" s="252" t="str">
        <f t="shared" si="208"/>
        <v>-</v>
      </c>
      <c r="P211" s="252" t="str">
        <f t="shared" si="209"/>
        <v>-</v>
      </c>
      <c r="Q211" s="250">
        <f t="shared" si="278"/>
        <v>0</v>
      </c>
      <c r="R211" s="252" t="str">
        <f t="shared" si="211"/>
        <v>-</v>
      </c>
      <c r="S211" s="253">
        <f>[1]PB8!W211</f>
        <v>0</v>
      </c>
      <c r="T211" s="257"/>
      <c r="U211" s="10" t="str">
        <f t="shared" si="271"/>
        <v>-</v>
      </c>
      <c r="V211"/>
    </row>
    <row r="212" spans="1:22" ht="20.149999999999999" hidden="1" customHeight="1" outlineLevel="1">
      <c r="A212" s="241"/>
      <c r="B212" s="241">
        <v>6698</v>
      </c>
      <c r="C212" s="241"/>
      <c r="D212" s="242" t="s">
        <v>501</v>
      </c>
      <c r="E212" s="243">
        <f t="shared" ref="E212:K212" si="279">SUM(E213:E214)</f>
        <v>0</v>
      </c>
      <c r="F212" s="243">
        <f t="shared" si="279"/>
        <v>0</v>
      </c>
      <c r="G212" s="243">
        <f t="shared" si="279"/>
        <v>0</v>
      </c>
      <c r="H212" s="243">
        <f t="shared" si="279"/>
        <v>0</v>
      </c>
      <c r="I212" s="243">
        <f t="shared" si="279"/>
        <v>0</v>
      </c>
      <c r="J212" s="243">
        <f t="shared" si="279"/>
        <v>0</v>
      </c>
      <c r="K212" s="243">
        <f t="shared" si="279"/>
        <v>0</v>
      </c>
      <c r="L212" s="244" t="str">
        <f t="shared" si="206"/>
        <v>-</v>
      </c>
      <c r="M212" s="244" t="str">
        <f t="shared" si="207"/>
        <v>-</v>
      </c>
      <c r="N212" s="243">
        <f t="shared" ref="N212" si="280">SUM(N213:N214)</f>
        <v>0</v>
      </c>
      <c r="O212" s="244" t="str">
        <f t="shared" si="208"/>
        <v>-</v>
      </c>
      <c r="P212" s="244" t="str">
        <f t="shared" si="209"/>
        <v>-</v>
      </c>
      <c r="Q212" s="243">
        <f t="shared" ref="Q212" si="281">SUM(Q213:Q214)</f>
        <v>0</v>
      </c>
      <c r="R212" s="244" t="str">
        <f t="shared" si="211"/>
        <v>-</v>
      </c>
      <c r="S212" s="245">
        <f t="shared" ref="S212" si="282">SUM(S213:S214)</f>
        <v>0</v>
      </c>
      <c r="T212" s="246"/>
      <c r="U212" s="10" t="str">
        <f t="shared" si="271"/>
        <v>-</v>
      </c>
      <c r="V212"/>
    </row>
    <row r="213" spans="1:22" ht="20.149999999999999" hidden="1" customHeight="1" outlineLevel="1">
      <c r="A213" s="247"/>
      <c r="B213" s="247"/>
      <c r="C213" s="248">
        <v>66981</v>
      </c>
      <c r="D213" s="249" t="s">
        <v>502</v>
      </c>
      <c r="E213" s="250"/>
      <c r="F213" s="250"/>
      <c r="G213" s="250"/>
      <c r="H213" s="250"/>
      <c r="I213" s="250"/>
      <c r="J213" s="250"/>
      <c r="K213" s="250">
        <f t="shared" ref="K213:K214" si="283">SUM(I213:J213)</f>
        <v>0</v>
      </c>
      <c r="L213" s="252" t="str">
        <f t="shared" si="206"/>
        <v>-</v>
      </c>
      <c r="M213" s="252" t="str">
        <f t="shared" si="207"/>
        <v>-</v>
      </c>
      <c r="N213" s="250">
        <f>[1]PB8!E213</f>
        <v>0</v>
      </c>
      <c r="O213" s="252" t="str">
        <f t="shared" si="208"/>
        <v>-</v>
      </c>
      <c r="P213" s="252" t="str">
        <f t="shared" si="209"/>
        <v>-</v>
      </c>
      <c r="Q213" s="250">
        <f t="shared" ref="Q213:Q214" si="284">N213-F213</f>
        <v>0</v>
      </c>
      <c r="R213" s="252" t="str">
        <f t="shared" si="211"/>
        <v>-</v>
      </c>
      <c r="S213" s="253">
        <f>[1]PB8!W213</f>
        <v>0</v>
      </c>
      <c r="T213" s="257"/>
      <c r="U213" s="10" t="str">
        <f t="shared" si="271"/>
        <v>-</v>
      </c>
      <c r="V213"/>
    </row>
    <row r="214" spans="1:22" ht="20.149999999999999" hidden="1" customHeight="1" outlineLevel="1">
      <c r="A214" s="247"/>
      <c r="B214" s="247"/>
      <c r="C214" s="248">
        <v>66988</v>
      </c>
      <c r="D214" s="249" t="s">
        <v>503</v>
      </c>
      <c r="E214" s="250"/>
      <c r="F214" s="250"/>
      <c r="G214" s="250"/>
      <c r="H214" s="250"/>
      <c r="I214" s="250"/>
      <c r="J214" s="250"/>
      <c r="K214" s="250">
        <f t="shared" si="283"/>
        <v>0</v>
      </c>
      <c r="L214" s="252" t="str">
        <f t="shared" ref="L214:L277" si="285">IFERROR(K214/F214,"-")</f>
        <v>-</v>
      </c>
      <c r="M214" s="252" t="str">
        <f t="shared" ref="M214:M277" si="286">IFERROR(K214/H214,"-")</f>
        <v>-</v>
      </c>
      <c r="N214" s="250">
        <f>[1]PB8!E214</f>
        <v>0</v>
      </c>
      <c r="O214" s="252" t="str">
        <f t="shared" ref="O214:O277" si="287">IFERROR(N214/F214,"-")</f>
        <v>-</v>
      </c>
      <c r="P214" s="252" t="str">
        <f t="shared" ref="P214:P277" si="288">IFERROR(N214/H214,"-")</f>
        <v>-</v>
      </c>
      <c r="Q214" s="250">
        <f t="shared" si="284"/>
        <v>0</v>
      </c>
      <c r="R214" s="252" t="str">
        <f t="shared" ref="R214:R277" si="289">IFERROR(Q214/F214,"-")</f>
        <v>-</v>
      </c>
      <c r="S214" s="253">
        <f>[1]PB8!W214</f>
        <v>0</v>
      </c>
      <c r="T214" s="257"/>
      <c r="U214" s="10" t="str">
        <f t="shared" si="271"/>
        <v>-</v>
      </c>
      <c r="V214"/>
    </row>
    <row r="215" spans="1:22" s="137" customFormat="1" ht="20.149999999999999" customHeight="1" collapsed="1">
      <c r="A215" s="229" t="s">
        <v>504</v>
      </c>
      <c r="B215" s="229"/>
      <c r="C215" s="229"/>
      <c r="D215" s="229"/>
      <c r="E215" s="230">
        <f t="shared" ref="E215:K215" si="290">E216+E248</f>
        <v>20000</v>
      </c>
      <c r="F215" s="230">
        <f t="shared" si="290"/>
        <v>0</v>
      </c>
      <c r="G215" s="230">
        <f t="shared" si="290"/>
        <v>0</v>
      </c>
      <c r="H215" s="230">
        <f t="shared" si="290"/>
        <v>0</v>
      </c>
      <c r="I215" s="230">
        <f t="shared" si="290"/>
        <v>0</v>
      </c>
      <c r="J215" s="230">
        <f t="shared" si="290"/>
        <v>0</v>
      </c>
      <c r="K215" s="230">
        <f t="shared" si="290"/>
        <v>0</v>
      </c>
      <c r="L215" s="231" t="str">
        <f t="shared" si="285"/>
        <v>-</v>
      </c>
      <c r="M215" s="231" t="str">
        <f t="shared" si="286"/>
        <v>-</v>
      </c>
      <c r="N215" s="230">
        <f t="shared" ref="N215" si="291">N216+N248</f>
        <v>0</v>
      </c>
      <c r="O215" s="231" t="str">
        <f t="shared" si="287"/>
        <v>-</v>
      </c>
      <c r="P215" s="231" t="str">
        <f t="shared" si="288"/>
        <v>-</v>
      </c>
      <c r="Q215" s="230">
        <f t="shared" ref="Q215" si="292">Q216+Q248</f>
        <v>0</v>
      </c>
      <c r="R215" s="231" t="str">
        <f t="shared" si="289"/>
        <v>-</v>
      </c>
      <c r="S215" s="232">
        <f t="shared" ref="S215" si="293">S216+S248</f>
        <v>0</v>
      </c>
      <c r="T215" s="233"/>
      <c r="U215" s="137" t="str">
        <f t="shared" si="271"/>
        <v>-</v>
      </c>
      <c r="V215"/>
    </row>
    <row r="216" spans="1:22" ht="20.149999999999999" customHeight="1">
      <c r="A216" s="234">
        <v>62</v>
      </c>
      <c r="B216" s="234"/>
      <c r="C216" s="235"/>
      <c r="D216" s="236" t="s">
        <v>505</v>
      </c>
      <c r="E216" s="237">
        <f t="shared" ref="E216:K216" si="294">E217+E221+E230+E239+E241+E243+E246</f>
        <v>0</v>
      </c>
      <c r="F216" s="237">
        <f t="shared" si="294"/>
        <v>0</v>
      </c>
      <c r="G216" s="237">
        <f t="shared" si="294"/>
        <v>0</v>
      </c>
      <c r="H216" s="237">
        <f t="shared" si="294"/>
        <v>0</v>
      </c>
      <c r="I216" s="237">
        <f t="shared" si="294"/>
        <v>0</v>
      </c>
      <c r="J216" s="237">
        <f t="shared" si="294"/>
        <v>0</v>
      </c>
      <c r="K216" s="237">
        <f t="shared" si="294"/>
        <v>0</v>
      </c>
      <c r="L216" s="238" t="str">
        <f t="shared" si="285"/>
        <v>-</v>
      </c>
      <c r="M216" s="238" t="str">
        <f t="shared" si="286"/>
        <v>-</v>
      </c>
      <c r="N216" s="237">
        <f t="shared" ref="N216" si="295">N217+N221+N230+N239+N241+N243+N246</f>
        <v>0</v>
      </c>
      <c r="O216" s="238" t="str">
        <f t="shared" si="287"/>
        <v>-</v>
      </c>
      <c r="P216" s="238" t="str">
        <f t="shared" si="288"/>
        <v>-</v>
      </c>
      <c r="Q216" s="237">
        <f t="shared" ref="Q216" si="296">Q217+Q221+Q230+Q239+Q241+Q243+Q246</f>
        <v>0</v>
      </c>
      <c r="R216" s="238" t="str">
        <f t="shared" si="289"/>
        <v>-</v>
      </c>
      <c r="S216" s="239">
        <f t="shared" ref="S216" si="297">S217+S221+S230+S239+S241+S243+S246</f>
        <v>0</v>
      </c>
      <c r="T216" s="240"/>
      <c r="U216" s="10" t="str">
        <f t="shared" si="271"/>
        <v>-</v>
      </c>
      <c r="V216"/>
    </row>
    <row r="217" spans="1:22" ht="20.149999999999999" hidden="1" customHeight="1" outlineLevel="1">
      <c r="A217" s="241"/>
      <c r="B217" s="241">
        <v>6201</v>
      </c>
      <c r="C217" s="241"/>
      <c r="D217" s="242" t="s">
        <v>506</v>
      </c>
      <c r="E217" s="243">
        <f>SUM(E218:E220)</f>
        <v>0</v>
      </c>
      <c r="F217" s="243">
        <f t="shared" ref="F217:K217" si="298">SUM(F218:F220)</f>
        <v>0</v>
      </c>
      <c r="G217" s="243">
        <f t="shared" si="298"/>
        <v>0</v>
      </c>
      <c r="H217" s="243">
        <f t="shared" si="298"/>
        <v>0</v>
      </c>
      <c r="I217" s="243">
        <f t="shared" si="298"/>
        <v>0</v>
      </c>
      <c r="J217" s="243">
        <f t="shared" si="298"/>
        <v>0</v>
      </c>
      <c r="K217" s="243">
        <f t="shared" si="298"/>
        <v>0</v>
      </c>
      <c r="L217" s="244" t="str">
        <f t="shared" si="285"/>
        <v>-</v>
      </c>
      <c r="M217" s="244" t="str">
        <f t="shared" si="286"/>
        <v>-</v>
      </c>
      <c r="N217" s="243">
        <f>SUM(N218:N220)</f>
        <v>0</v>
      </c>
      <c r="O217" s="244" t="str">
        <f t="shared" si="287"/>
        <v>-</v>
      </c>
      <c r="P217" s="244" t="str">
        <f t="shared" si="288"/>
        <v>-</v>
      </c>
      <c r="Q217" s="243">
        <f>SUM(Q218:Q220)</f>
        <v>0</v>
      </c>
      <c r="R217" s="244" t="str">
        <f t="shared" si="289"/>
        <v>-</v>
      </c>
      <c r="S217" s="245">
        <f>SUM(S218:S220)</f>
        <v>0</v>
      </c>
      <c r="T217" s="246"/>
      <c r="U217" s="10" t="str">
        <f t="shared" si="271"/>
        <v>-</v>
      </c>
      <c r="V217"/>
    </row>
    <row r="218" spans="1:22" ht="20.149999999999999" hidden="1" customHeight="1" outlineLevel="1">
      <c r="A218" s="241"/>
      <c r="B218" s="241"/>
      <c r="C218" s="248">
        <v>62011</v>
      </c>
      <c r="D218" s="249" t="s">
        <v>506</v>
      </c>
      <c r="E218" s="250"/>
      <c r="F218" s="250"/>
      <c r="G218" s="250"/>
      <c r="H218" s="250"/>
      <c r="I218" s="250"/>
      <c r="J218" s="250"/>
      <c r="K218" s="250">
        <f>SUM(I218:J218)</f>
        <v>0</v>
      </c>
      <c r="L218" s="252" t="str">
        <f>IFERROR(K218/F218,"-")</f>
        <v>-</v>
      </c>
      <c r="M218" s="252" t="str">
        <f>IFERROR(K218/H218,"-")</f>
        <v>-</v>
      </c>
      <c r="N218" s="250">
        <f>[1]PB8!E218</f>
        <v>0</v>
      </c>
      <c r="O218" s="252" t="str">
        <f>IFERROR(N218/F218,"-")</f>
        <v>-</v>
      </c>
      <c r="P218" s="252" t="str">
        <f>IFERROR(N218/H218,"-")</f>
        <v>-</v>
      </c>
      <c r="Q218" s="250">
        <f t="shared" ref="Q218:Q220" si="299">N218-F218</f>
        <v>0</v>
      </c>
      <c r="R218" s="252" t="str">
        <f t="shared" si="289"/>
        <v>-</v>
      </c>
      <c r="S218" s="253">
        <f>[1]PB8!W218</f>
        <v>0</v>
      </c>
      <c r="T218" s="257"/>
      <c r="U218" s="10" t="str">
        <f t="shared" si="271"/>
        <v>-</v>
      </c>
      <c r="V218"/>
    </row>
    <row r="219" spans="1:22" ht="20.149999999999999" hidden="1" customHeight="1" outlineLevel="1">
      <c r="A219" s="247"/>
      <c r="B219" s="247"/>
      <c r="C219" s="248">
        <v>62012</v>
      </c>
      <c r="D219" s="249" t="s">
        <v>507</v>
      </c>
      <c r="E219" s="250"/>
      <c r="F219" s="250"/>
      <c r="G219" s="250"/>
      <c r="H219" s="250"/>
      <c r="I219" s="250"/>
      <c r="J219" s="250"/>
      <c r="K219" s="250">
        <f t="shared" ref="K219:K220" si="300">SUM(I219:J219)</f>
        <v>0</v>
      </c>
      <c r="L219" s="252" t="str">
        <f t="shared" ref="L219:L220" si="301">IFERROR(K219/F219,"-")</f>
        <v>-</v>
      </c>
      <c r="M219" s="252" t="str">
        <f t="shared" ref="M219:M220" si="302">IFERROR(K219/H219,"-")</f>
        <v>-</v>
      </c>
      <c r="N219" s="250">
        <f>[1]PB8!E219</f>
        <v>0</v>
      </c>
      <c r="O219" s="252" t="str">
        <f t="shared" ref="O219:O220" si="303">IFERROR(N219/F219,"-")</f>
        <v>-</v>
      </c>
      <c r="P219" s="252" t="str">
        <f t="shared" ref="P219:P220" si="304">IFERROR(N219/H219,"-")</f>
        <v>-</v>
      </c>
      <c r="Q219" s="250">
        <f t="shared" si="299"/>
        <v>0</v>
      </c>
      <c r="R219" s="252" t="str">
        <f t="shared" si="289"/>
        <v>-</v>
      </c>
      <c r="S219" s="253">
        <f>[1]PB8!W219</f>
        <v>0</v>
      </c>
      <c r="T219" s="257"/>
      <c r="U219" s="10" t="str">
        <f t="shared" si="271"/>
        <v>-</v>
      </c>
      <c r="V219"/>
    </row>
    <row r="220" spans="1:22" ht="20.149999999999999" hidden="1" customHeight="1" outlineLevel="1">
      <c r="A220" s="247"/>
      <c r="B220" s="247"/>
      <c r="C220" s="248">
        <v>62013</v>
      </c>
      <c r="D220" s="249" t="s">
        <v>508</v>
      </c>
      <c r="E220" s="250"/>
      <c r="F220" s="250"/>
      <c r="G220" s="250"/>
      <c r="H220" s="250"/>
      <c r="I220" s="250"/>
      <c r="J220" s="250"/>
      <c r="K220" s="250">
        <f t="shared" si="300"/>
        <v>0</v>
      </c>
      <c r="L220" s="252" t="str">
        <f t="shared" si="301"/>
        <v>-</v>
      </c>
      <c r="M220" s="252" t="str">
        <f t="shared" si="302"/>
        <v>-</v>
      </c>
      <c r="N220" s="250">
        <f>[1]PB8!E220</f>
        <v>0</v>
      </c>
      <c r="O220" s="252" t="str">
        <f t="shared" si="303"/>
        <v>-</v>
      </c>
      <c r="P220" s="252" t="str">
        <f t="shared" si="304"/>
        <v>-</v>
      </c>
      <c r="Q220" s="250">
        <f t="shared" si="299"/>
        <v>0</v>
      </c>
      <c r="R220" s="252" t="str">
        <f t="shared" si="289"/>
        <v>-</v>
      </c>
      <c r="S220" s="253">
        <f>[1]PB8!W220</f>
        <v>0</v>
      </c>
      <c r="T220" s="257"/>
      <c r="U220" s="10" t="str">
        <f t="shared" si="271"/>
        <v>-</v>
      </c>
      <c r="V220"/>
    </row>
    <row r="221" spans="1:22" ht="20.149999999999999" hidden="1" customHeight="1" outlineLevel="1">
      <c r="A221" s="241"/>
      <c r="B221" s="241">
        <v>6202</v>
      </c>
      <c r="C221" s="241"/>
      <c r="D221" s="242" t="s">
        <v>509</v>
      </c>
      <c r="E221" s="243">
        <f t="shared" ref="E221" si="305">SUM(E222:E229)</f>
        <v>0</v>
      </c>
      <c r="F221" s="243">
        <f t="shared" ref="F221:K221" si="306">SUM(F222:F229)</f>
        <v>0</v>
      </c>
      <c r="G221" s="243">
        <f t="shared" si="306"/>
        <v>0</v>
      </c>
      <c r="H221" s="243">
        <f t="shared" si="306"/>
        <v>0</v>
      </c>
      <c r="I221" s="243">
        <f t="shared" si="306"/>
        <v>0</v>
      </c>
      <c r="J221" s="243">
        <f t="shared" si="306"/>
        <v>0</v>
      </c>
      <c r="K221" s="243">
        <f t="shared" si="306"/>
        <v>0</v>
      </c>
      <c r="L221" s="244" t="str">
        <f t="shared" si="285"/>
        <v>-</v>
      </c>
      <c r="M221" s="244" t="str">
        <f t="shared" si="286"/>
        <v>-</v>
      </c>
      <c r="N221" s="243">
        <f t="shared" ref="N221" si="307">SUM(N222:N229)</f>
        <v>0</v>
      </c>
      <c r="O221" s="244" t="str">
        <f t="shared" si="287"/>
        <v>-</v>
      </c>
      <c r="P221" s="244" t="str">
        <f t="shared" si="288"/>
        <v>-</v>
      </c>
      <c r="Q221" s="243">
        <f t="shared" ref="Q221" si="308">SUM(Q222:Q229)</f>
        <v>0</v>
      </c>
      <c r="R221" s="244" t="str">
        <f t="shared" si="289"/>
        <v>-</v>
      </c>
      <c r="S221" s="245">
        <f t="shared" ref="S221" si="309">SUM(S222:S229)</f>
        <v>0</v>
      </c>
      <c r="T221" s="246"/>
      <c r="U221" s="10" t="str">
        <f t="shared" si="271"/>
        <v>-</v>
      </c>
      <c r="V221"/>
    </row>
    <row r="222" spans="1:22" ht="20.149999999999999" hidden="1" customHeight="1" outlineLevel="1">
      <c r="A222" s="247"/>
      <c r="B222" s="247"/>
      <c r="C222" s="248">
        <v>62021</v>
      </c>
      <c r="D222" s="249" t="s">
        <v>510</v>
      </c>
      <c r="E222" s="250"/>
      <c r="F222" s="250"/>
      <c r="G222" s="250"/>
      <c r="H222" s="250"/>
      <c r="I222" s="250"/>
      <c r="J222" s="250"/>
      <c r="K222" s="250">
        <f t="shared" ref="K222:K229" si="310">SUM(I222:J222)</f>
        <v>0</v>
      </c>
      <c r="L222" s="252" t="str">
        <f t="shared" si="285"/>
        <v>-</v>
      </c>
      <c r="M222" s="252" t="str">
        <f t="shared" si="286"/>
        <v>-</v>
      </c>
      <c r="N222" s="250">
        <f>[1]PB8!E222</f>
        <v>0</v>
      </c>
      <c r="O222" s="252" t="str">
        <f t="shared" si="287"/>
        <v>-</v>
      </c>
      <c r="P222" s="252" t="str">
        <f t="shared" si="288"/>
        <v>-</v>
      </c>
      <c r="Q222" s="250">
        <f t="shared" ref="Q222:Q229" si="311">N222-F222</f>
        <v>0</v>
      </c>
      <c r="R222" s="252" t="str">
        <f t="shared" si="289"/>
        <v>-</v>
      </c>
      <c r="S222" s="253">
        <f>[1]PB8!W222</f>
        <v>0</v>
      </c>
      <c r="T222" s="257"/>
      <c r="U222" s="10" t="str">
        <f t="shared" si="271"/>
        <v>-</v>
      </c>
      <c r="V222"/>
    </row>
    <row r="223" spans="1:22" ht="20.149999999999999" hidden="1" customHeight="1" outlineLevel="1">
      <c r="A223" s="247"/>
      <c r="B223" s="247"/>
      <c r="C223" s="248">
        <v>62022</v>
      </c>
      <c r="D223" s="249" t="s">
        <v>511</v>
      </c>
      <c r="E223" s="250"/>
      <c r="F223" s="250"/>
      <c r="G223" s="250"/>
      <c r="H223" s="250"/>
      <c r="I223" s="250"/>
      <c r="J223" s="250"/>
      <c r="K223" s="250">
        <f t="shared" si="310"/>
        <v>0</v>
      </c>
      <c r="L223" s="252" t="str">
        <f t="shared" si="285"/>
        <v>-</v>
      </c>
      <c r="M223" s="252" t="str">
        <f t="shared" si="286"/>
        <v>-</v>
      </c>
      <c r="N223" s="250">
        <f>[1]PB8!E223</f>
        <v>0</v>
      </c>
      <c r="O223" s="252" t="str">
        <f t="shared" si="287"/>
        <v>-</v>
      </c>
      <c r="P223" s="252" t="str">
        <f t="shared" si="288"/>
        <v>-</v>
      </c>
      <c r="Q223" s="250">
        <f t="shared" si="311"/>
        <v>0</v>
      </c>
      <c r="R223" s="252" t="str">
        <f t="shared" si="289"/>
        <v>-</v>
      </c>
      <c r="S223" s="253">
        <f>[1]PB8!W223</f>
        <v>0</v>
      </c>
      <c r="T223" s="257"/>
      <c r="U223" s="10" t="str">
        <f t="shared" si="271"/>
        <v>-</v>
      </c>
      <c r="V223"/>
    </row>
    <row r="224" spans="1:22" ht="20.149999999999999" hidden="1" customHeight="1" outlineLevel="1">
      <c r="A224" s="247"/>
      <c r="B224" s="247"/>
      <c r="C224" s="248">
        <v>62023</v>
      </c>
      <c r="D224" s="249" t="s">
        <v>512</v>
      </c>
      <c r="E224" s="250"/>
      <c r="F224" s="250"/>
      <c r="G224" s="250"/>
      <c r="H224" s="250"/>
      <c r="I224" s="250"/>
      <c r="J224" s="250"/>
      <c r="K224" s="250">
        <f t="shared" si="310"/>
        <v>0</v>
      </c>
      <c r="L224" s="252" t="str">
        <f t="shared" si="285"/>
        <v>-</v>
      </c>
      <c r="M224" s="252" t="str">
        <f t="shared" si="286"/>
        <v>-</v>
      </c>
      <c r="N224" s="250">
        <f>[1]PB8!E224</f>
        <v>0</v>
      </c>
      <c r="O224" s="252" t="str">
        <f t="shared" si="287"/>
        <v>-</v>
      </c>
      <c r="P224" s="252" t="str">
        <f t="shared" si="288"/>
        <v>-</v>
      </c>
      <c r="Q224" s="250">
        <f t="shared" si="311"/>
        <v>0</v>
      </c>
      <c r="R224" s="252" t="str">
        <f t="shared" si="289"/>
        <v>-</v>
      </c>
      <c r="S224" s="253">
        <f>[1]PB8!W224</f>
        <v>0</v>
      </c>
      <c r="T224" s="257"/>
      <c r="U224" s="10" t="str">
        <f t="shared" si="271"/>
        <v>-</v>
      </c>
      <c r="V224"/>
    </row>
    <row r="225" spans="1:22" ht="20.149999999999999" hidden="1" customHeight="1" outlineLevel="1">
      <c r="A225" s="247"/>
      <c r="B225" s="247"/>
      <c r="C225" s="248">
        <v>62024</v>
      </c>
      <c r="D225" s="249" t="s">
        <v>513</v>
      </c>
      <c r="E225" s="250"/>
      <c r="F225" s="250"/>
      <c r="G225" s="250"/>
      <c r="H225" s="250"/>
      <c r="I225" s="250"/>
      <c r="J225" s="250"/>
      <c r="K225" s="250">
        <f t="shared" si="310"/>
        <v>0</v>
      </c>
      <c r="L225" s="252" t="str">
        <f t="shared" si="285"/>
        <v>-</v>
      </c>
      <c r="M225" s="252" t="str">
        <f t="shared" si="286"/>
        <v>-</v>
      </c>
      <c r="N225" s="250">
        <f>[1]PB8!E225</f>
        <v>0</v>
      </c>
      <c r="O225" s="252" t="str">
        <f t="shared" si="287"/>
        <v>-</v>
      </c>
      <c r="P225" s="252" t="str">
        <f t="shared" si="288"/>
        <v>-</v>
      </c>
      <c r="Q225" s="250">
        <f t="shared" si="311"/>
        <v>0</v>
      </c>
      <c r="R225" s="252" t="str">
        <f t="shared" si="289"/>
        <v>-</v>
      </c>
      <c r="S225" s="253">
        <f>[1]PB8!W225</f>
        <v>0</v>
      </c>
      <c r="T225" s="257"/>
      <c r="U225" s="10" t="str">
        <f t="shared" si="271"/>
        <v>-</v>
      </c>
      <c r="V225"/>
    </row>
    <row r="226" spans="1:22" ht="20.149999999999999" hidden="1" customHeight="1" outlineLevel="1">
      <c r="A226" s="247"/>
      <c r="B226" s="247"/>
      <c r="C226" s="248">
        <v>62025</v>
      </c>
      <c r="D226" s="249" t="s">
        <v>514</v>
      </c>
      <c r="E226" s="250"/>
      <c r="F226" s="250"/>
      <c r="G226" s="250"/>
      <c r="H226" s="250"/>
      <c r="I226" s="250"/>
      <c r="J226" s="250"/>
      <c r="K226" s="250">
        <f t="shared" si="310"/>
        <v>0</v>
      </c>
      <c r="L226" s="252" t="str">
        <f t="shared" si="285"/>
        <v>-</v>
      </c>
      <c r="M226" s="252" t="str">
        <f t="shared" si="286"/>
        <v>-</v>
      </c>
      <c r="N226" s="250">
        <f>[1]PB8!E226</f>
        <v>0</v>
      </c>
      <c r="O226" s="252" t="str">
        <f t="shared" si="287"/>
        <v>-</v>
      </c>
      <c r="P226" s="252" t="str">
        <f t="shared" si="288"/>
        <v>-</v>
      </c>
      <c r="Q226" s="250">
        <f t="shared" si="311"/>
        <v>0</v>
      </c>
      <c r="R226" s="252" t="str">
        <f t="shared" si="289"/>
        <v>-</v>
      </c>
      <c r="S226" s="253">
        <f>[1]PB8!W226</f>
        <v>0</v>
      </c>
      <c r="T226" s="257"/>
      <c r="U226" s="10" t="str">
        <f t="shared" si="271"/>
        <v>-</v>
      </c>
      <c r="V226"/>
    </row>
    <row r="227" spans="1:22" ht="20.149999999999999" hidden="1" customHeight="1" outlineLevel="1">
      <c r="A227" s="247"/>
      <c r="B227" s="247"/>
      <c r="C227" s="248">
        <v>62026</v>
      </c>
      <c r="D227" s="249" t="s">
        <v>515</v>
      </c>
      <c r="E227" s="250"/>
      <c r="F227" s="250"/>
      <c r="G227" s="250"/>
      <c r="H227" s="250"/>
      <c r="I227" s="250"/>
      <c r="J227" s="250"/>
      <c r="K227" s="250">
        <f t="shared" si="310"/>
        <v>0</v>
      </c>
      <c r="L227" s="252" t="str">
        <f t="shared" si="285"/>
        <v>-</v>
      </c>
      <c r="M227" s="252" t="str">
        <f t="shared" si="286"/>
        <v>-</v>
      </c>
      <c r="N227" s="250">
        <f>[1]PB8!E227</f>
        <v>0</v>
      </c>
      <c r="O227" s="252" t="str">
        <f t="shared" si="287"/>
        <v>-</v>
      </c>
      <c r="P227" s="252" t="str">
        <f t="shared" si="288"/>
        <v>-</v>
      </c>
      <c r="Q227" s="250">
        <f t="shared" si="311"/>
        <v>0</v>
      </c>
      <c r="R227" s="252" t="str">
        <f t="shared" si="289"/>
        <v>-</v>
      </c>
      <c r="S227" s="253">
        <f>[1]PB8!W227</f>
        <v>0</v>
      </c>
      <c r="T227" s="257"/>
      <c r="U227" s="10" t="str">
        <f t="shared" si="271"/>
        <v>-</v>
      </c>
      <c r="V227"/>
    </row>
    <row r="228" spans="1:22" ht="20.149999999999999" hidden="1" customHeight="1" outlineLevel="1">
      <c r="A228" s="247"/>
      <c r="B228" s="247"/>
      <c r="C228" s="248">
        <v>62027</v>
      </c>
      <c r="D228" s="249" t="s">
        <v>516</v>
      </c>
      <c r="E228" s="250"/>
      <c r="F228" s="250"/>
      <c r="G228" s="250"/>
      <c r="H228" s="250"/>
      <c r="I228" s="250"/>
      <c r="J228" s="250"/>
      <c r="K228" s="250">
        <f t="shared" si="310"/>
        <v>0</v>
      </c>
      <c r="L228" s="252" t="str">
        <f t="shared" si="285"/>
        <v>-</v>
      </c>
      <c r="M228" s="252" t="str">
        <f t="shared" si="286"/>
        <v>-</v>
      </c>
      <c r="N228" s="250">
        <f>[1]PB8!E228</f>
        <v>0</v>
      </c>
      <c r="O228" s="252" t="str">
        <f t="shared" si="287"/>
        <v>-</v>
      </c>
      <c r="P228" s="252" t="str">
        <f t="shared" si="288"/>
        <v>-</v>
      </c>
      <c r="Q228" s="250">
        <f t="shared" si="311"/>
        <v>0</v>
      </c>
      <c r="R228" s="252" t="str">
        <f t="shared" si="289"/>
        <v>-</v>
      </c>
      <c r="S228" s="253">
        <f>[1]PB8!W228</f>
        <v>0</v>
      </c>
      <c r="T228" s="257"/>
      <c r="U228" s="10" t="str">
        <f t="shared" si="271"/>
        <v>-</v>
      </c>
      <c r="V228"/>
    </row>
    <row r="229" spans="1:22" ht="20.149999999999999" hidden="1" customHeight="1" outlineLevel="1">
      <c r="A229" s="247"/>
      <c r="B229" s="247"/>
      <c r="C229" s="248">
        <v>62028</v>
      </c>
      <c r="D229" s="249" t="s">
        <v>517</v>
      </c>
      <c r="E229" s="250"/>
      <c r="F229" s="250"/>
      <c r="G229" s="250"/>
      <c r="H229" s="250"/>
      <c r="I229" s="250"/>
      <c r="J229" s="250"/>
      <c r="K229" s="250">
        <f t="shared" si="310"/>
        <v>0</v>
      </c>
      <c r="L229" s="252" t="str">
        <f t="shared" si="285"/>
        <v>-</v>
      </c>
      <c r="M229" s="252" t="str">
        <f t="shared" si="286"/>
        <v>-</v>
      </c>
      <c r="N229" s="250">
        <f>[1]PB8!E229</f>
        <v>0</v>
      </c>
      <c r="O229" s="252" t="str">
        <f t="shared" si="287"/>
        <v>-</v>
      </c>
      <c r="P229" s="252" t="str">
        <f t="shared" si="288"/>
        <v>-</v>
      </c>
      <c r="Q229" s="250">
        <f t="shared" si="311"/>
        <v>0</v>
      </c>
      <c r="R229" s="252" t="str">
        <f t="shared" si="289"/>
        <v>-</v>
      </c>
      <c r="S229" s="253">
        <f>[1]PB8!W229</f>
        <v>0</v>
      </c>
      <c r="T229" s="257"/>
      <c r="U229" s="10" t="str">
        <f t="shared" si="271"/>
        <v>-</v>
      </c>
      <c r="V229"/>
    </row>
    <row r="230" spans="1:22" ht="20.149999999999999" hidden="1" customHeight="1" outlineLevel="1">
      <c r="A230" s="241"/>
      <c r="B230" s="241">
        <v>6203</v>
      </c>
      <c r="C230" s="241"/>
      <c r="D230" s="242" t="s">
        <v>518</v>
      </c>
      <c r="E230" s="243">
        <f t="shared" ref="E230:K230" si="312">SUM(E231:E238)</f>
        <v>0</v>
      </c>
      <c r="F230" s="243">
        <f t="shared" si="312"/>
        <v>0</v>
      </c>
      <c r="G230" s="243">
        <f t="shared" si="312"/>
        <v>0</v>
      </c>
      <c r="H230" s="243">
        <f t="shared" si="312"/>
        <v>0</v>
      </c>
      <c r="I230" s="243">
        <f t="shared" si="312"/>
        <v>0</v>
      </c>
      <c r="J230" s="243">
        <f t="shared" si="312"/>
        <v>0</v>
      </c>
      <c r="K230" s="243">
        <f t="shared" si="312"/>
        <v>0</v>
      </c>
      <c r="L230" s="244" t="str">
        <f t="shared" si="285"/>
        <v>-</v>
      </c>
      <c r="M230" s="244" t="str">
        <f t="shared" si="286"/>
        <v>-</v>
      </c>
      <c r="N230" s="243">
        <f t="shared" ref="N230" si="313">SUM(N231:N238)</f>
        <v>0</v>
      </c>
      <c r="O230" s="244" t="str">
        <f t="shared" si="287"/>
        <v>-</v>
      </c>
      <c r="P230" s="244" t="str">
        <f t="shared" si="288"/>
        <v>-</v>
      </c>
      <c r="Q230" s="243">
        <f t="shared" ref="Q230" si="314">SUM(Q231:Q238)</f>
        <v>0</v>
      </c>
      <c r="R230" s="244" t="str">
        <f t="shared" si="289"/>
        <v>-</v>
      </c>
      <c r="S230" s="245">
        <f t="shared" ref="S230" si="315">SUM(S231:S238)</f>
        <v>0</v>
      </c>
      <c r="T230" s="246"/>
      <c r="U230" s="10" t="str">
        <f t="shared" si="271"/>
        <v>-</v>
      </c>
      <c r="V230"/>
    </row>
    <row r="231" spans="1:22" ht="20.149999999999999" hidden="1" customHeight="1" outlineLevel="1">
      <c r="A231" s="247"/>
      <c r="B231" s="247"/>
      <c r="C231" s="248">
        <v>62031</v>
      </c>
      <c r="D231" s="249" t="s">
        <v>519</v>
      </c>
      <c r="E231" s="250"/>
      <c r="F231" s="250"/>
      <c r="G231" s="250"/>
      <c r="H231" s="250"/>
      <c r="I231" s="250"/>
      <c r="J231" s="250"/>
      <c r="K231" s="250">
        <f t="shared" ref="K231:K238" si="316">SUM(I231:J231)</f>
        <v>0</v>
      </c>
      <c r="L231" s="252" t="str">
        <f t="shared" si="285"/>
        <v>-</v>
      </c>
      <c r="M231" s="252" t="str">
        <f t="shared" si="286"/>
        <v>-</v>
      </c>
      <c r="N231" s="250">
        <f>[1]PB8!E231</f>
        <v>0</v>
      </c>
      <c r="O231" s="252" t="str">
        <f t="shared" si="287"/>
        <v>-</v>
      </c>
      <c r="P231" s="252" t="str">
        <f t="shared" si="288"/>
        <v>-</v>
      </c>
      <c r="Q231" s="250">
        <f t="shared" ref="Q231:Q238" si="317">N231-F231</f>
        <v>0</v>
      </c>
      <c r="R231" s="252" t="str">
        <f t="shared" si="289"/>
        <v>-</v>
      </c>
      <c r="S231" s="253">
        <f>[1]PB8!W231</f>
        <v>0</v>
      </c>
      <c r="T231" s="257"/>
      <c r="U231" s="10" t="str">
        <f t="shared" si="271"/>
        <v>-</v>
      </c>
      <c r="V231"/>
    </row>
    <row r="232" spans="1:22" ht="20.149999999999999" hidden="1" customHeight="1" outlineLevel="1">
      <c r="A232" s="247"/>
      <c r="B232" s="247"/>
      <c r="C232" s="248">
        <v>62032</v>
      </c>
      <c r="D232" s="249" t="s">
        <v>520</v>
      </c>
      <c r="E232" s="250"/>
      <c r="F232" s="250"/>
      <c r="G232" s="250"/>
      <c r="H232" s="250"/>
      <c r="I232" s="250"/>
      <c r="J232" s="250"/>
      <c r="K232" s="250">
        <f t="shared" si="316"/>
        <v>0</v>
      </c>
      <c r="L232" s="252" t="str">
        <f t="shared" si="285"/>
        <v>-</v>
      </c>
      <c r="M232" s="252" t="str">
        <f t="shared" si="286"/>
        <v>-</v>
      </c>
      <c r="N232" s="250">
        <f>[1]PB8!E232</f>
        <v>0</v>
      </c>
      <c r="O232" s="252" t="str">
        <f t="shared" si="287"/>
        <v>-</v>
      </c>
      <c r="P232" s="252" t="str">
        <f t="shared" si="288"/>
        <v>-</v>
      </c>
      <c r="Q232" s="250">
        <f t="shared" si="317"/>
        <v>0</v>
      </c>
      <c r="R232" s="252" t="str">
        <f t="shared" si="289"/>
        <v>-</v>
      </c>
      <c r="S232" s="253">
        <f>[1]PB8!W232</f>
        <v>0</v>
      </c>
      <c r="T232" s="257"/>
      <c r="U232" s="10" t="str">
        <f t="shared" si="271"/>
        <v>-</v>
      </c>
      <c r="V232"/>
    </row>
    <row r="233" spans="1:22" ht="20.149999999999999" hidden="1" customHeight="1" outlineLevel="1">
      <c r="A233" s="247"/>
      <c r="B233" s="247"/>
      <c r="C233" s="248">
        <v>62033</v>
      </c>
      <c r="D233" s="249" t="s">
        <v>521</v>
      </c>
      <c r="E233" s="250"/>
      <c r="F233" s="250"/>
      <c r="G233" s="250"/>
      <c r="H233" s="250"/>
      <c r="I233" s="250"/>
      <c r="J233" s="250"/>
      <c r="K233" s="250">
        <f t="shared" si="316"/>
        <v>0</v>
      </c>
      <c r="L233" s="252" t="str">
        <f t="shared" si="285"/>
        <v>-</v>
      </c>
      <c r="M233" s="252" t="str">
        <f t="shared" si="286"/>
        <v>-</v>
      </c>
      <c r="N233" s="250">
        <f>[1]PB8!E233</f>
        <v>0</v>
      </c>
      <c r="O233" s="252" t="str">
        <f t="shared" si="287"/>
        <v>-</v>
      </c>
      <c r="P233" s="252" t="str">
        <f t="shared" si="288"/>
        <v>-</v>
      </c>
      <c r="Q233" s="250">
        <f t="shared" si="317"/>
        <v>0</v>
      </c>
      <c r="R233" s="252" t="str">
        <f t="shared" si="289"/>
        <v>-</v>
      </c>
      <c r="S233" s="253">
        <f>[1]PB8!W233</f>
        <v>0</v>
      </c>
      <c r="T233" s="257"/>
      <c r="U233" s="10" t="str">
        <f t="shared" si="271"/>
        <v>-</v>
      </c>
      <c r="V233"/>
    </row>
    <row r="234" spans="1:22" ht="20.149999999999999" hidden="1" customHeight="1" outlineLevel="1">
      <c r="A234" s="247"/>
      <c r="B234" s="247"/>
      <c r="C234" s="248">
        <v>62034</v>
      </c>
      <c r="D234" s="249" t="s">
        <v>522</v>
      </c>
      <c r="E234" s="250"/>
      <c r="F234" s="250"/>
      <c r="G234" s="250"/>
      <c r="H234" s="250"/>
      <c r="I234" s="250"/>
      <c r="J234" s="250"/>
      <c r="K234" s="250">
        <f t="shared" si="316"/>
        <v>0</v>
      </c>
      <c r="L234" s="252" t="str">
        <f t="shared" si="285"/>
        <v>-</v>
      </c>
      <c r="M234" s="252" t="str">
        <f t="shared" si="286"/>
        <v>-</v>
      </c>
      <c r="N234" s="250">
        <f>[1]PB8!E234</f>
        <v>0</v>
      </c>
      <c r="O234" s="252" t="str">
        <f t="shared" si="287"/>
        <v>-</v>
      </c>
      <c r="P234" s="252" t="str">
        <f t="shared" si="288"/>
        <v>-</v>
      </c>
      <c r="Q234" s="250">
        <f t="shared" si="317"/>
        <v>0</v>
      </c>
      <c r="R234" s="252" t="str">
        <f t="shared" si="289"/>
        <v>-</v>
      </c>
      <c r="S234" s="253">
        <f>[1]PB8!W234</f>
        <v>0</v>
      </c>
      <c r="T234" s="257"/>
      <c r="U234" s="10" t="str">
        <f t="shared" si="271"/>
        <v>-</v>
      </c>
      <c r="V234"/>
    </row>
    <row r="235" spans="1:22" ht="20.149999999999999" hidden="1" customHeight="1" outlineLevel="1">
      <c r="A235" s="247"/>
      <c r="B235" s="247"/>
      <c r="C235" s="248">
        <v>62035</v>
      </c>
      <c r="D235" s="249" t="s">
        <v>523</v>
      </c>
      <c r="E235" s="250"/>
      <c r="F235" s="250"/>
      <c r="G235" s="250"/>
      <c r="H235" s="250"/>
      <c r="I235" s="250"/>
      <c r="J235" s="250"/>
      <c r="K235" s="250">
        <f t="shared" si="316"/>
        <v>0</v>
      </c>
      <c r="L235" s="252" t="str">
        <f t="shared" si="285"/>
        <v>-</v>
      </c>
      <c r="M235" s="252" t="str">
        <f t="shared" si="286"/>
        <v>-</v>
      </c>
      <c r="N235" s="250">
        <f>[1]PB8!E235</f>
        <v>0</v>
      </c>
      <c r="O235" s="252" t="str">
        <f t="shared" si="287"/>
        <v>-</v>
      </c>
      <c r="P235" s="252" t="str">
        <f t="shared" si="288"/>
        <v>-</v>
      </c>
      <c r="Q235" s="250">
        <f t="shared" si="317"/>
        <v>0</v>
      </c>
      <c r="R235" s="252" t="str">
        <f t="shared" si="289"/>
        <v>-</v>
      </c>
      <c r="S235" s="253">
        <f>[1]PB8!W235</f>
        <v>0</v>
      </c>
      <c r="T235" s="257"/>
      <c r="U235" s="10" t="str">
        <f t="shared" si="271"/>
        <v>-</v>
      </c>
      <c r="V235"/>
    </row>
    <row r="236" spans="1:22" ht="20.149999999999999" hidden="1" customHeight="1" outlineLevel="1">
      <c r="A236" s="247"/>
      <c r="B236" s="247"/>
      <c r="C236" s="248">
        <v>62036</v>
      </c>
      <c r="D236" s="249" t="s">
        <v>524</v>
      </c>
      <c r="E236" s="250"/>
      <c r="F236" s="250"/>
      <c r="G236" s="250"/>
      <c r="H236" s="250"/>
      <c r="I236" s="250"/>
      <c r="J236" s="250"/>
      <c r="K236" s="250">
        <f t="shared" si="316"/>
        <v>0</v>
      </c>
      <c r="L236" s="252" t="str">
        <f t="shared" si="285"/>
        <v>-</v>
      </c>
      <c r="M236" s="252" t="str">
        <f t="shared" si="286"/>
        <v>-</v>
      </c>
      <c r="N236" s="250">
        <f>[1]PB8!E236</f>
        <v>0</v>
      </c>
      <c r="O236" s="252" t="str">
        <f t="shared" si="287"/>
        <v>-</v>
      </c>
      <c r="P236" s="252" t="str">
        <f t="shared" si="288"/>
        <v>-</v>
      </c>
      <c r="Q236" s="250">
        <f t="shared" si="317"/>
        <v>0</v>
      </c>
      <c r="R236" s="252" t="str">
        <f t="shared" si="289"/>
        <v>-</v>
      </c>
      <c r="S236" s="253">
        <f>[1]PB8!W236</f>
        <v>0</v>
      </c>
      <c r="T236" s="257"/>
      <c r="U236" s="10" t="str">
        <f t="shared" si="271"/>
        <v>-</v>
      </c>
      <c r="V236"/>
    </row>
    <row r="237" spans="1:22" ht="20.149999999999999" hidden="1" customHeight="1" outlineLevel="1">
      <c r="A237" s="247"/>
      <c r="B237" s="247"/>
      <c r="C237" s="248">
        <v>62037</v>
      </c>
      <c r="D237" s="249" t="s">
        <v>525</v>
      </c>
      <c r="E237" s="250"/>
      <c r="F237" s="250"/>
      <c r="G237" s="250"/>
      <c r="H237" s="250"/>
      <c r="I237" s="250"/>
      <c r="J237" s="250"/>
      <c r="K237" s="250">
        <f t="shared" si="316"/>
        <v>0</v>
      </c>
      <c r="L237" s="252" t="str">
        <f t="shared" si="285"/>
        <v>-</v>
      </c>
      <c r="M237" s="252" t="str">
        <f t="shared" si="286"/>
        <v>-</v>
      </c>
      <c r="N237" s="250">
        <f>[1]PB8!E237</f>
        <v>0</v>
      </c>
      <c r="O237" s="252" t="str">
        <f t="shared" si="287"/>
        <v>-</v>
      </c>
      <c r="P237" s="252" t="str">
        <f t="shared" si="288"/>
        <v>-</v>
      </c>
      <c r="Q237" s="250">
        <f t="shared" si="317"/>
        <v>0</v>
      </c>
      <c r="R237" s="252" t="str">
        <f t="shared" si="289"/>
        <v>-</v>
      </c>
      <c r="S237" s="253">
        <f>[1]PB8!W237</f>
        <v>0</v>
      </c>
      <c r="T237" s="257"/>
      <c r="U237" s="10" t="str">
        <f t="shared" si="271"/>
        <v>-</v>
      </c>
      <c r="V237"/>
    </row>
    <row r="238" spans="1:22" ht="20.149999999999999" hidden="1" customHeight="1" outlineLevel="1">
      <c r="A238" s="247"/>
      <c r="B238" s="247"/>
      <c r="C238" s="248">
        <v>62038</v>
      </c>
      <c r="D238" s="249" t="s">
        <v>526</v>
      </c>
      <c r="E238" s="250"/>
      <c r="F238" s="250"/>
      <c r="G238" s="250"/>
      <c r="H238" s="250"/>
      <c r="I238" s="250"/>
      <c r="J238" s="250"/>
      <c r="K238" s="250">
        <f t="shared" si="316"/>
        <v>0</v>
      </c>
      <c r="L238" s="252" t="str">
        <f t="shared" si="285"/>
        <v>-</v>
      </c>
      <c r="M238" s="252" t="str">
        <f t="shared" si="286"/>
        <v>-</v>
      </c>
      <c r="N238" s="250">
        <f>[1]PB8!E238</f>
        <v>0</v>
      </c>
      <c r="O238" s="252" t="str">
        <f t="shared" si="287"/>
        <v>-</v>
      </c>
      <c r="P238" s="252" t="str">
        <f t="shared" si="288"/>
        <v>-</v>
      </c>
      <c r="Q238" s="250">
        <f t="shared" si="317"/>
        <v>0</v>
      </c>
      <c r="R238" s="252" t="str">
        <f t="shared" si="289"/>
        <v>-</v>
      </c>
      <c r="S238" s="253">
        <f>[1]PB8!W238</f>
        <v>0</v>
      </c>
      <c r="T238" s="257"/>
      <c r="U238" s="10" t="str">
        <f t="shared" si="271"/>
        <v>-</v>
      </c>
      <c r="V238"/>
    </row>
    <row r="239" spans="1:22" ht="20.149999999999999" hidden="1" customHeight="1" outlineLevel="1">
      <c r="A239" s="241"/>
      <c r="B239" s="241">
        <v>6204</v>
      </c>
      <c r="C239" s="241"/>
      <c r="D239" s="242" t="s">
        <v>527</v>
      </c>
      <c r="E239" s="268">
        <f t="shared" ref="E239:K239" si="318">E240</f>
        <v>0</v>
      </c>
      <c r="F239" s="268">
        <f t="shared" si="318"/>
        <v>0</v>
      </c>
      <c r="G239" s="268">
        <f t="shared" si="318"/>
        <v>0</v>
      </c>
      <c r="H239" s="268">
        <f t="shared" si="318"/>
        <v>0</v>
      </c>
      <c r="I239" s="268">
        <f t="shared" si="318"/>
        <v>0</v>
      </c>
      <c r="J239" s="268">
        <f t="shared" si="318"/>
        <v>0</v>
      </c>
      <c r="K239" s="268">
        <f t="shared" si="318"/>
        <v>0</v>
      </c>
      <c r="L239" s="244" t="str">
        <f t="shared" si="285"/>
        <v>-</v>
      </c>
      <c r="M239" s="244" t="str">
        <f t="shared" si="286"/>
        <v>-</v>
      </c>
      <c r="N239" s="268">
        <f t="shared" ref="N239" si="319">N240</f>
        <v>0</v>
      </c>
      <c r="O239" s="244" t="str">
        <f t="shared" si="287"/>
        <v>-</v>
      </c>
      <c r="P239" s="244" t="str">
        <f t="shared" si="288"/>
        <v>-</v>
      </c>
      <c r="Q239" s="268">
        <f t="shared" ref="Q239" si="320">Q240</f>
        <v>0</v>
      </c>
      <c r="R239" s="244" t="str">
        <f t="shared" si="289"/>
        <v>-</v>
      </c>
      <c r="S239" s="269">
        <f t="shared" ref="S239" si="321">S240</f>
        <v>0</v>
      </c>
      <c r="T239" s="246"/>
      <c r="U239" s="10" t="str">
        <f t="shared" si="271"/>
        <v>-</v>
      </c>
      <c r="V239"/>
    </row>
    <row r="240" spans="1:22" ht="20.149999999999999" hidden="1" customHeight="1" outlineLevel="1">
      <c r="A240" s="241"/>
      <c r="B240" s="241"/>
      <c r="C240" s="248">
        <v>62041</v>
      </c>
      <c r="D240" s="249" t="s">
        <v>527</v>
      </c>
      <c r="E240" s="250"/>
      <c r="F240" s="250"/>
      <c r="G240" s="250"/>
      <c r="H240" s="250"/>
      <c r="I240" s="250"/>
      <c r="J240" s="250"/>
      <c r="K240" s="250">
        <f>SUM(I240:J240)</f>
        <v>0</v>
      </c>
      <c r="L240" s="252" t="str">
        <f>IFERROR(K240/F240,"-")</f>
        <v>-</v>
      </c>
      <c r="M240" s="252" t="str">
        <f>IFERROR(K240/H240,"-")</f>
        <v>-</v>
      </c>
      <c r="N240" s="250">
        <f>[1]PB8!E240</f>
        <v>0</v>
      </c>
      <c r="O240" s="252" t="str">
        <f>IFERROR(N240/F240,"-")</f>
        <v>-</v>
      </c>
      <c r="P240" s="252" t="str">
        <f>IFERROR(N240/H240,"-")</f>
        <v>-</v>
      </c>
      <c r="Q240" s="250">
        <f>N240-F240</f>
        <v>0</v>
      </c>
      <c r="R240" s="252" t="str">
        <f t="shared" si="289"/>
        <v>-</v>
      </c>
      <c r="S240" s="253">
        <f>[1]PB8!W240</f>
        <v>0</v>
      </c>
      <c r="T240" s="257"/>
      <c r="U240" s="10" t="str">
        <f t="shared" si="271"/>
        <v>-</v>
      </c>
      <c r="V240"/>
    </row>
    <row r="241" spans="1:22" ht="20.149999999999999" hidden="1" customHeight="1" outlineLevel="1">
      <c r="A241" s="241"/>
      <c r="B241" s="241">
        <v>6205</v>
      </c>
      <c r="C241" s="241"/>
      <c r="D241" s="242" t="s">
        <v>528</v>
      </c>
      <c r="E241" s="268">
        <f t="shared" ref="E241:K241" si="322">E242</f>
        <v>0</v>
      </c>
      <c r="F241" s="268">
        <f t="shared" si="322"/>
        <v>0</v>
      </c>
      <c r="G241" s="268">
        <f t="shared" si="322"/>
        <v>0</v>
      </c>
      <c r="H241" s="268">
        <f t="shared" si="322"/>
        <v>0</v>
      </c>
      <c r="I241" s="268">
        <f t="shared" si="322"/>
        <v>0</v>
      </c>
      <c r="J241" s="268">
        <f t="shared" si="322"/>
        <v>0</v>
      </c>
      <c r="K241" s="268">
        <f t="shared" si="322"/>
        <v>0</v>
      </c>
      <c r="L241" s="244" t="str">
        <f t="shared" si="285"/>
        <v>-</v>
      </c>
      <c r="M241" s="244" t="str">
        <f t="shared" si="286"/>
        <v>-</v>
      </c>
      <c r="N241" s="268">
        <f t="shared" ref="N241" si="323">N242</f>
        <v>0</v>
      </c>
      <c r="O241" s="244" t="str">
        <f t="shared" si="287"/>
        <v>-</v>
      </c>
      <c r="P241" s="244" t="str">
        <f t="shared" si="288"/>
        <v>-</v>
      </c>
      <c r="Q241" s="268">
        <f t="shared" ref="Q241" si="324">Q242</f>
        <v>0</v>
      </c>
      <c r="R241" s="244" t="str">
        <f t="shared" si="289"/>
        <v>-</v>
      </c>
      <c r="S241" s="269">
        <f t="shared" ref="S241" si="325">S242</f>
        <v>0</v>
      </c>
      <c r="T241" s="246"/>
      <c r="U241" s="10" t="str">
        <f t="shared" si="271"/>
        <v>-</v>
      </c>
      <c r="V241"/>
    </row>
    <row r="242" spans="1:22" ht="20.149999999999999" hidden="1" customHeight="1" outlineLevel="1">
      <c r="A242" s="241"/>
      <c r="B242" s="241"/>
      <c r="C242" s="248">
        <v>62051</v>
      </c>
      <c r="D242" s="249" t="s">
        <v>528</v>
      </c>
      <c r="E242" s="250"/>
      <c r="F242" s="250"/>
      <c r="G242" s="250"/>
      <c r="H242" s="250"/>
      <c r="I242" s="250"/>
      <c r="J242" s="250"/>
      <c r="K242" s="250">
        <f>SUM(I242:J242)</f>
        <v>0</v>
      </c>
      <c r="L242" s="252" t="str">
        <f>IFERROR(K242/F242,"-")</f>
        <v>-</v>
      </c>
      <c r="M242" s="252" t="str">
        <f>IFERROR(K242/H242,"-")</f>
        <v>-</v>
      </c>
      <c r="N242" s="250">
        <f>[1]PB8!E242</f>
        <v>0</v>
      </c>
      <c r="O242" s="252" t="str">
        <f>IFERROR(N242/F242,"-")</f>
        <v>-</v>
      </c>
      <c r="P242" s="252" t="str">
        <f>IFERROR(N242/H242,"-")</f>
        <v>-</v>
      </c>
      <c r="Q242" s="250">
        <f>N242-F242</f>
        <v>0</v>
      </c>
      <c r="R242" s="252" t="str">
        <f t="shared" si="289"/>
        <v>-</v>
      </c>
      <c r="S242" s="253">
        <f>[1]PB8!W242</f>
        <v>0</v>
      </c>
      <c r="T242" s="257"/>
      <c r="U242" s="10" t="str">
        <f t="shared" si="271"/>
        <v>-</v>
      </c>
      <c r="V242"/>
    </row>
    <row r="243" spans="1:22" ht="20.149999999999999" hidden="1" customHeight="1" outlineLevel="1">
      <c r="A243" s="241"/>
      <c r="B243" s="241">
        <v>6206</v>
      </c>
      <c r="C243" s="241"/>
      <c r="D243" s="242" t="s">
        <v>529</v>
      </c>
      <c r="E243" s="268">
        <f t="shared" ref="E243" si="326">SUM(E244:E245)</f>
        <v>0</v>
      </c>
      <c r="F243" s="268">
        <f t="shared" ref="F243:K243" si="327">SUM(F244:F245)</f>
        <v>0</v>
      </c>
      <c r="G243" s="268">
        <f t="shared" si="327"/>
        <v>0</v>
      </c>
      <c r="H243" s="268">
        <f t="shared" si="327"/>
        <v>0</v>
      </c>
      <c r="I243" s="268">
        <f t="shared" si="327"/>
        <v>0</v>
      </c>
      <c r="J243" s="268">
        <f t="shared" si="327"/>
        <v>0</v>
      </c>
      <c r="K243" s="268">
        <f t="shared" si="327"/>
        <v>0</v>
      </c>
      <c r="L243" s="244" t="str">
        <f t="shared" si="285"/>
        <v>-</v>
      </c>
      <c r="M243" s="244" t="str">
        <f t="shared" si="286"/>
        <v>-</v>
      </c>
      <c r="N243" s="268">
        <f t="shared" ref="N243" si="328">SUM(N244:N245)</f>
        <v>0</v>
      </c>
      <c r="O243" s="244" t="str">
        <f t="shared" si="287"/>
        <v>-</v>
      </c>
      <c r="P243" s="244" t="str">
        <f t="shared" si="288"/>
        <v>-</v>
      </c>
      <c r="Q243" s="268">
        <f t="shared" ref="Q243" si="329">SUM(Q244:Q245)</f>
        <v>0</v>
      </c>
      <c r="R243" s="244" t="str">
        <f t="shared" si="289"/>
        <v>-</v>
      </c>
      <c r="S243" s="269">
        <f t="shared" ref="S243" si="330">SUM(S244:S245)</f>
        <v>0</v>
      </c>
      <c r="T243" s="246"/>
      <c r="U243" s="10" t="str">
        <f t="shared" si="271"/>
        <v>-</v>
      </c>
      <c r="V243"/>
    </row>
    <row r="244" spans="1:22" ht="20.149999999999999" hidden="1" customHeight="1" outlineLevel="1">
      <c r="A244" s="241"/>
      <c r="B244" s="241"/>
      <c r="C244" s="248">
        <v>62061</v>
      </c>
      <c r="D244" s="249" t="s">
        <v>530</v>
      </c>
      <c r="E244" s="250"/>
      <c r="F244" s="250"/>
      <c r="G244" s="250"/>
      <c r="H244" s="250"/>
      <c r="I244" s="250"/>
      <c r="J244" s="250"/>
      <c r="K244" s="250">
        <f t="shared" ref="K244:K245" si="331">SUM(I244:J244)</f>
        <v>0</v>
      </c>
      <c r="L244" s="252" t="str">
        <f t="shared" si="285"/>
        <v>-</v>
      </c>
      <c r="M244" s="252" t="str">
        <f t="shared" si="286"/>
        <v>-</v>
      </c>
      <c r="N244" s="250">
        <f>[1]PB8!E244</f>
        <v>0</v>
      </c>
      <c r="O244" s="252" t="str">
        <f t="shared" si="287"/>
        <v>-</v>
      </c>
      <c r="P244" s="252" t="str">
        <f t="shared" si="288"/>
        <v>-</v>
      </c>
      <c r="Q244" s="250">
        <f t="shared" ref="Q244:Q245" si="332">N244-F244</f>
        <v>0</v>
      </c>
      <c r="R244" s="252" t="str">
        <f t="shared" si="289"/>
        <v>-</v>
      </c>
      <c r="S244" s="253">
        <f>[1]PB8!W244</f>
        <v>0</v>
      </c>
      <c r="T244" s="257"/>
      <c r="U244" s="10" t="str">
        <f t="shared" si="271"/>
        <v>-</v>
      </c>
      <c r="V244"/>
    </row>
    <row r="245" spans="1:22" ht="20.149999999999999" hidden="1" customHeight="1" outlineLevel="1">
      <c r="A245" s="241"/>
      <c r="B245" s="241"/>
      <c r="C245" s="248">
        <v>62068</v>
      </c>
      <c r="D245" s="249" t="s">
        <v>531</v>
      </c>
      <c r="E245" s="250"/>
      <c r="F245" s="250"/>
      <c r="G245" s="250"/>
      <c r="H245" s="250"/>
      <c r="I245" s="250"/>
      <c r="J245" s="250"/>
      <c r="K245" s="250">
        <f t="shared" si="331"/>
        <v>0</v>
      </c>
      <c r="L245" s="252" t="str">
        <f t="shared" si="285"/>
        <v>-</v>
      </c>
      <c r="M245" s="252" t="str">
        <f t="shared" si="286"/>
        <v>-</v>
      </c>
      <c r="N245" s="250">
        <f>[1]PB8!E245</f>
        <v>0</v>
      </c>
      <c r="O245" s="252" t="str">
        <f t="shared" si="287"/>
        <v>-</v>
      </c>
      <c r="P245" s="252" t="str">
        <f t="shared" si="288"/>
        <v>-</v>
      </c>
      <c r="Q245" s="250">
        <f t="shared" si="332"/>
        <v>0</v>
      </c>
      <c r="R245" s="252" t="str">
        <f t="shared" si="289"/>
        <v>-</v>
      </c>
      <c r="S245" s="253">
        <f>[1]PB8!W245</f>
        <v>0</v>
      </c>
      <c r="T245" s="257"/>
      <c r="U245" s="10" t="str">
        <f t="shared" si="271"/>
        <v>-</v>
      </c>
      <c r="V245"/>
    </row>
    <row r="246" spans="1:22" ht="20.149999999999999" hidden="1" customHeight="1" outlineLevel="1">
      <c r="A246" s="241"/>
      <c r="B246" s="241">
        <v>6298</v>
      </c>
      <c r="C246" s="241"/>
      <c r="D246" s="242" t="s">
        <v>532</v>
      </c>
      <c r="E246" s="268">
        <f t="shared" ref="E246:K246" si="333">E247</f>
        <v>0</v>
      </c>
      <c r="F246" s="268">
        <f t="shared" si="333"/>
        <v>0</v>
      </c>
      <c r="G246" s="268">
        <f t="shared" si="333"/>
        <v>0</v>
      </c>
      <c r="H246" s="268">
        <f t="shared" si="333"/>
        <v>0</v>
      </c>
      <c r="I246" s="268">
        <f t="shared" si="333"/>
        <v>0</v>
      </c>
      <c r="J246" s="268">
        <f t="shared" si="333"/>
        <v>0</v>
      </c>
      <c r="K246" s="268">
        <f t="shared" si="333"/>
        <v>0</v>
      </c>
      <c r="L246" s="244" t="str">
        <f t="shared" si="285"/>
        <v>-</v>
      </c>
      <c r="M246" s="244" t="str">
        <f t="shared" si="286"/>
        <v>-</v>
      </c>
      <c r="N246" s="268">
        <f t="shared" ref="N246" si="334">N247</f>
        <v>0</v>
      </c>
      <c r="O246" s="244" t="str">
        <f t="shared" si="287"/>
        <v>-</v>
      </c>
      <c r="P246" s="244" t="str">
        <f t="shared" si="288"/>
        <v>-</v>
      </c>
      <c r="Q246" s="268">
        <f t="shared" ref="Q246" si="335">Q247</f>
        <v>0</v>
      </c>
      <c r="R246" s="244" t="str">
        <f t="shared" si="289"/>
        <v>-</v>
      </c>
      <c r="S246" s="269">
        <f t="shared" ref="S246" si="336">S247</f>
        <v>0</v>
      </c>
      <c r="T246" s="246"/>
      <c r="U246" s="10" t="str">
        <f t="shared" si="271"/>
        <v>-</v>
      </c>
      <c r="V246"/>
    </row>
    <row r="247" spans="1:22" ht="20.149999999999999" hidden="1" customHeight="1" outlineLevel="1">
      <c r="A247" s="241"/>
      <c r="B247" s="241"/>
      <c r="C247" s="248">
        <v>62981</v>
      </c>
      <c r="D247" s="249" t="s">
        <v>532</v>
      </c>
      <c r="E247" s="250"/>
      <c r="F247" s="250"/>
      <c r="G247" s="250"/>
      <c r="H247" s="250"/>
      <c r="I247" s="250"/>
      <c r="J247" s="250"/>
      <c r="K247" s="250">
        <f>SUM(I247:J247)</f>
        <v>0</v>
      </c>
      <c r="L247" s="252" t="str">
        <f>IFERROR(K247/F247,"-")</f>
        <v>-</v>
      </c>
      <c r="M247" s="252" t="str">
        <f>IFERROR(K247/H247,"-")</f>
        <v>-</v>
      </c>
      <c r="N247" s="250">
        <f>[1]PB8!E247</f>
        <v>0</v>
      </c>
      <c r="O247" s="252" t="str">
        <f>IFERROR(N247/F247,"-")</f>
        <v>-</v>
      </c>
      <c r="P247" s="252" t="str">
        <f>IFERROR(N247/H247,"-")</f>
        <v>-</v>
      </c>
      <c r="Q247" s="250">
        <f>N247-F247</f>
        <v>0</v>
      </c>
      <c r="R247" s="252" t="str">
        <f t="shared" si="289"/>
        <v>-</v>
      </c>
      <c r="S247" s="253">
        <f>[1]PB8!W247</f>
        <v>0</v>
      </c>
      <c r="T247" s="257"/>
      <c r="U247" s="10" t="str">
        <f t="shared" si="271"/>
        <v>-</v>
      </c>
      <c r="V247"/>
    </row>
    <row r="248" spans="1:22" ht="20.149999999999999" customHeight="1" collapsed="1">
      <c r="A248" s="234">
        <v>65</v>
      </c>
      <c r="B248" s="234"/>
      <c r="C248" s="235"/>
      <c r="D248" s="236" t="s">
        <v>533</v>
      </c>
      <c r="E248" s="258">
        <f>E249+E255+E264+E267+E273+E276+E283+E286+E289+E293</f>
        <v>20000</v>
      </c>
      <c r="F248" s="258">
        <f t="shared" ref="F248:K248" si="337">F249+F255+F264+F267+F273+F276+F283+F286+F289+F293</f>
        <v>0</v>
      </c>
      <c r="G248" s="258">
        <f t="shared" si="337"/>
        <v>0</v>
      </c>
      <c r="H248" s="258">
        <f t="shared" si="337"/>
        <v>0</v>
      </c>
      <c r="I248" s="258">
        <f t="shared" si="337"/>
        <v>0</v>
      </c>
      <c r="J248" s="258">
        <f t="shared" si="337"/>
        <v>0</v>
      </c>
      <c r="K248" s="258">
        <f t="shared" si="337"/>
        <v>0</v>
      </c>
      <c r="L248" s="259" t="str">
        <f t="shared" si="285"/>
        <v>-</v>
      </c>
      <c r="M248" s="259" t="str">
        <f t="shared" si="286"/>
        <v>-</v>
      </c>
      <c r="N248" s="258">
        <f>N249+N255+N264+N267+N273+N276+N283+N286+N289+N293</f>
        <v>0</v>
      </c>
      <c r="O248" s="259" t="str">
        <f t="shared" si="287"/>
        <v>-</v>
      </c>
      <c r="P248" s="259" t="str">
        <f t="shared" si="288"/>
        <v>-</v>
      </c>
      <c r="Q248" s="258">
        <f>Q249+Q255+Q264+Q267+Q273+Q276+Q283+Q286+Q289+Q293</f>
        <v>0</v>
      </c>
      <c r="R248" s="259" t="str">
        <f t="shared" si="289"/>
        <v>-</v>
      </c>
      <c r="S248" s="260">
        <f>S249+S255+S264+S267+S273+S276+S283+S286+S289+S293</f>
        <v>0</v>
      </c>
      <c r="T248" s="261"/>
      <c r="U248" s="10" t="str">
        <f t="shared" si="271"/>
        <v>-</v>
      </c>
      <c r="V248"/>
    </row>
    <row r="249" spans="1:22" ht="20.149999999999999" hidden="1" customHeight="1" outlineLevel="1">
      <c r="A249" s="241"/>
      <c r="B249" s="241">
        <v>6501</v>
      </c>
      <c r="C249" s="241"/>
      <c r="D249" s="242" t="s">
        <v>534</v>
      </c>
      <c r="E249" s="243">
        <f t="shared" ref="E249" si="338">SUM(E250:E254)</f>
        <v>0</v>
      </c>
      <c r="F249" s="243">
        <f t="shared" ref="F249:K249" si="339">SUM(F250:F254)</f>
        <v>0</v>
      </c>
      <c r="G249" s="243">
        <f t="shared" si="339"/>
        <v>0</v>
      </c>
      <c r="H249" s="243">
        <f t="shared" si="339"/>
        <v>0</v>
      </c>
      <c r="I249" s="243">
        <f t="shared" si="339"/>
        <v>0</v>
      </c>
      <c r="J249" s="243">
        <f t="shared" si="339"/>
        <v>0</v>
      </c>
      <c r="K249" s="243">
        <f t="shared" si="339"/>
        <v>0</v>
      </c>
      <c r="L249" s="244" t="str">
        <f t="shared" si="285"/>
        <v>-</v>
      </c>
      <c r="M249" s="244" t="str">
        <f t="shared" si="286"/>
        <v>-</v>
      </c>
      <c r="N249" s="243">
        <f t="shared" ref="N249" si="340">SUM(N250:N254)</f>
        <v>0</v>
      </c>
      <c r="O249" s="244" t="str">
        <f t="shared" si="287"/>
        <v>-</v>
      </c>
      <c r="P249" s="244" t="str">
        <f t="shared" si="288"/>
        <v>-</v>
      </c>
      <c r="Q249" s="243">
        <f t="shared" ref="Q249" si="341">SUM(Q250:Q254)</f>
        <v>0</v>
      </c>
      <c r="R249" s="244" t="str">
        <f t="shared" si="289"/>
        <v>-</v>
      </c>
      <c r="S249" s="245">
        <f t="shared" ref="S249" si="342">SUM(S250:S254)</f>
        <v>0</v>
      </c>
      <c r="T249" s="246"/>
      <c r="U249" s="10" t="str">
        <f t="shared" si="271"/>
        <v>-</v>
      </c>
      <c r="V249"/>
    </row>
    <row r="250" spans="1:22" ht="20.149999999999999" hidden="1" customHeight="1" outlineLevel="1">
      <c r="A250" s="247"/>
      <c r="B250" s="247"/>
      <c r="C250" s="248">
        <v>65011</v>
      </c>
      <c r="D250" s="249" t="s">
        <v>535</v>
      </c>
      <c r="E250" s="250"/>
      <c r="F250" s="250"/>
      <c r="G250" s="250"/>
      <c r="H250" s="250"/>
      <c r="I250" s="250"/>
      <c r="J250" s="250"/>
      <c r="K250" s="250">
        <f t="shared" ref="K250:K254" si="343">SUM(I250:J250)</f>
        <v>0</v>
      </c>
      <c r="L250" s="252" t="str">
        <f t="shared" si="285"/>
        <v>-</v>
      </c>
      <c r="M250" s="252" t="str">
        <f t="shared" si="286"/>
        <v>-</v>
      </c>
      <c r="N250" s="250">
        <f>[1]PB8!E250</f>
        <v>0</v>
      </c>
      <c r="O250" s="252" t="str">
        <f t="shared" si="287"/>
        <v>-</v>
      </c>
      <c r="P250" s="252" t="str">
        <f t="shared" si="288"/>
        <v>-</v>
      </c>
      <c r="Q250" s="250">
        <f t="shared" ref="Q250:Q254" si="344">N250-F250</f>
        <v>0</v>
      </c>
      <c r="R250" s="252" t="str">
        <f t="shared" si="289"/>
        <v>-</v>
      </c>
      <c r="S250" s="253">
        <f>[1]PB8!W250</f>
        <v>0</v>
      </c>
      <c r="T250" s="257"/>
      <c r="U250" s="10" t="str">
        <f t="shared" si="271"/>
        <v>-</v>
      </c>
      <c r="V250"/>
    </row>
    <row r="251" spans="1:22" ht="20.149999999999999" hidden="1" customHeight="1" outlineLevel="1">
      <c r="A251" s="247"/>
      <c r="B251" s="247"/>
      <c r="C251" s="248">
        <v>65012</v>
      </c>
      <c r="D251" s="249" t="s">
        <v>536</v>
      </c>
      <c r="E251" s="250"/>
      <c r="F251" s="250"/>
      <c r="G251" s="250"/>
      <c r="H251" s="250"/>
      <c r="I251" s="250"/>
      <c r="J251" s="250"/>
      <c r="K251" s="250">
        <f t="shared" si="343"/>
        <v>0</v>
      </c>
      <c r="L251" s="252" t="str">
        <f t="shared" si="285"/>
        <v>-</v>
      </c>
      <c r="M251" s="252" t="str">
        <f t="shared" si="286"/>
        <v>-</v>
      </c>
      <c r="N251" s="250">
        <f>[1]PB8!E251</f>
        <v>0</v>
      </c>
      <c r="O251" s="252" t="str">
        <f t="shared" si="287"/>
        <v>-</v>
      </c>
      <c r="P251" s="252" t="str">
        <f t="shared" si="288"/>
        <v>-</v>
      </c>
      <c r="Q251" s="250">
        <f t="shared" si="344"/>
        <v>0</v>
      </c>
      <c r="R251" s="252" t="str">
        <f t="shared" si="289"/>
        <v>-</v>
      </c>
      <c r="S251" s="253">
        <f>[1]PB8!W251</f>
        <v>0</v>
      </c>
      <c r="T251" s="257"/>
      <c r="U251" s="10" t="str">
        <f t="shared" si="271"/>
        <v>-</v>
      </c>
      <c r="V251"/>
    </row>
    <row r="252" spans="1:22" ht="20.149999999999999" hidden="1" customHeight="1" outlineLevel="1">
      <c r="A252" s="247"/>
      <c r="B252" s="247"/>
      <c r="C252" s="248">
        <v>65013</v>
      </c>
      <c r="D252" s="249" t="s">
        <v>537</v>
      </c>
      <c r="E252" s="250"/>
      <c r="F252" s="250"/>
      <c r="G252" s="250"/>
      <c r="H252" s="250"/>
      <c r="I252" s="250"/>
      <c r="J252" s="250"/>
      <c r="K252" s="250">
        <f t="shared" si="343"/>
        <v>0</v>
      </c>
      <c r="L252" s="252" t="str">
        <f t="shared" si="285"/>
        <v>-</v>
      </c>
      <c r="M252" s="252" t="str">
        <f t="shared" si="286"/>
        <v>-</v>
      </c>
      <c r="N252" s="250">
        <f>[1]PB8!E252</f>
        <v>0</v>
      </c>
      <c r="O252" s="252" t="str">
        <f t="shared" si="287"/>
        <v>-</v>
      </c>
      <c r="P252" s="252" t="str">
        <f t="shared" si="288"/>
        <v>-</v>
      </c>
      <c r="Q252" s="250">
        <f t="shared" si="344"/>
        <v>0</v>
      </c>
      <c r="R252" s="252" t="str">
        <f t="shared" si="289"/>
        <v>-</v>
      </c>
      <c r="S252" s="253">
        <f>[1]PB8!W252</f>
        <v>0</v>
      </c>
      <c r="T252" s="257"/>
      <c r="U252" s="10" t="str">
        <f t="shared" si="271"/>
        <v>-</v>
      </c>
      <c r="V252"/>
    </row>
    <row r="253" spans="1:22" ht="20.149999999999999" hidden="1" customHeight="1" outlineLevel="1">
      <c r="A253" s="247"/>
      <c r="B253" s="247"/>
      <c r="C253" s="248">
        <v>65014</v>
      </c>
      <c r="D253" s="249" t="s">
        <v>538</v>
      </c>
      <c r="E253" s="250"/>
      <c r="F253" s="250"/>
      <c r="G253" s="250"/>
      <c r="H253" s="250"/>
      <c r="I253" s="250"/>
      <c r="J253" s="250"/>
      <c r="K253" s="250">
        <f t="shared" si="343"/>
        <v>0</v>
      </c>
      <c r="L253" s="252" t="str">
        <f t="shared" si="285"/>
        <v>-</v>
      </c>
      <c r="M253" s="252" t="str">
        <f t="shared" si="286"/>
        <v>-</v>
      </c>
      <c r="N253" s="250">
        <f>[1]PB8!E253</f>
        <v>0</v>
      </c>
      <c r="O253" s="252" t="str">
        <f t="shared" si="287"/>
        <v>-</v>
      </c>
      <c r="P253" s="252" t="str">
        <f t="shared" si="288"/>
        <v>-</v>
      </c>
      <c r="Q253" s="250">
        <f t="shared" si="344"/>
        <v>0</v>
      </c>
      <c r="R253" s="252" t="str">
        <f t="shared" si="289"/>
        <v>-</v>
      </c>
      <c r="S253" s="253">
        <f>[1]PB8!W253</f>
        <v>0</v>
      </c>
      <c r="T253" s="257"/>
      <c r="U253" s="10" t="str">
        <f t="shared" si="271"/>
        <v>-</v>
      </c>
      <c r="V253"/>
    </row>
    <row r="254" spans="1:22" ht="20.149999999999999" hidden="1" customHeight="1" outlineLevel="1">
      <c r="A254" s="247"/>
      <c r="B254" s="247"/>
      <c r="C254" s="248">
        <v>65018</v>
      </c>
      <c r="D254" s="249" t="s">
        <v>50</v>
      </c>
      <c r="E254" s="250"/>
      <c r="F254" s="250"/>
      <c r="G254" s="250"/>
      <c r="H254" s="250"/>
      <c r="I254" s="250"/>
      <c r="J254" s="250"/>
      <c r="K254" s="250">
        <f t="shared" si="343"/>
        <v>0</v>
      </c>
      <c r="L254" s="252" t="str">
        <f t="shared" si="285"/>
        <v>-</v>
      </c>
      <c r="M254" s="252" t="str">
        <f t="shared" si="286"/>
        <v>-</v>
      </c>
      <c r="N254" s="250">
        <f>[1]PB8!E254</f>
        <v>0</v>
      </c>
      <c r="O254" s="252" t="str">
        <f t="shared" si="287"/>
        <v>-</v>
      </c>
      <c r="P254" s="252" t="str">
        <f t="shared" si="288"/>
        <v>-</v>
      </c>
      <c r="Q254" s="250">
        <f t="shared" si="344"/>
        <v>0</v>
      </c>
      <c r="R254" s="252" t="str">
        <f t="shared" si="289"/>
        <v>-</v>
      </c>
      <c r="S254" s="253">
        <f>[1]PB8!W254</f>
        <v>0</v>
      </c>
      <c r="T254" s="257"/>
      <c r="U254" s="10" t="str">
        <f t="shared" si="271"/>
        <v>-</v>
      </c>
      <c r="V254"/>
    </row>
    <row r="255" spans="1:22" ht="20.149999999999999" customHeight="1" collapsed="1">
      <c r="A255" s="241"/>
      <c r="B255" s="241">
        <v>6502</v>
      </c>
      <c r="C255" s="241"/>
      <c r="D255" s="242" t="s">
        <v>539</v>
      </c>
      <c r="E255" s="243">
        <f t="shared" ref="E255:K255" si="345">SUM(E256:E263)</f>
        <v>20000</v>
      </c>
      <c r="F255" s="243">
        <f t="shared" si="345"/>
        <v>0</v>
      </c>
      <c r="G255" s="243">
        <f t="shared" si="345"/>
        <v>0</v>
      </c>
      <c r="H255" s="243">
        <f t="shared" si="345"/>
        <v>0</v>
      </c>
      <c r="I255" s="243">
        <f t="shared" si="345"/>
        <v>0</v>
      </c>
      <c r="J255" s="243">
        <f t="shared" si="345"/>
        <v>0</v>
      </c>
      <c r="K255" s="243">
        <f t="shared" si="345"/>
        <v>0</v>
      </c>
      <c r="L255" s="244" t="str">
        <f t="shared" si="285"/>
        <v>-</v>
      </c>
      <c r="M255" s="244" t="str">
        <f t="shared" si="286"/>
        <v>-</v>
      </c>
      <c r="N255" s="243">
        <f t="shared" ref="N255" si="346">SUM(N256:N263)</f>
        <v>0</v>
      </c>
      <c r="O255" s="244" t="str">
        <f t="shared" si="287"/>
        <v>-</v>
      </c>
      <c r="P255" s="244" t="str">
        <f t="shared" si="288"/>
        <v>-</v>
      </c>
      <c r="Q255" s="243">
        <f t="shared" ref="Q255" si="347">SUM(Q256:Q263)</f>
        <v>0</v>
      </c>
      <c r="R255" s="244" t="str">
        <f t="shared" si="289"/>
        <v>-</v>
      </c>
      <c r="S255" s="245">
        <f t="shared" ref="S255" si="348">SUM(S256:S263)</f>
        <v>0</v>
      </c>
      <c r="T255" s="246"/>
      <c r="U255" s="10" t="str">
        <f t="shared" si="271"/>
        <v>-</v>
      </c>
      <c r="V255"/>
    </row>
    <row r="256" spans="1:22" ht="20.149999999999999" customHeight="1">
      <c r="A256" s="247"/>
      <c r="B256" s="247"/>
      <c r="C256" s="248">
        <v>65021</v>
      </c>
      <c r="D256" s="249" t="s">
        <v>540</v>
      </c>
      <c r="E256" s="250">
        <v>20000</v>
      </c>
      <c r="F256" s="250"/>
      <c r="G256" s="250"/>
      <c r="H256" s="250"/>
      <c r="I256" s="250"/>
      <c r="J256" s="250"/>
      <c r="K256" s="250">
        <f t="shared" ref="K256:K263" si="349">SUM(I256:J256)</f>
        <v>0</v>
      </c>
      <c r="L256" s="252" t="str">
        <f t="shared" si="285"/>
        <v>-</v>
      </c>
      <c r="M256" s="252" t="str">
        <f t="shared" si="286"/>
        <v>-</v>
      </c>
      <c r="N256" s="250">
        <f>[1]PB8!E256</f>
        <v>0</v>
      </c>
      <c r="O256" s="252" t="str">
        <f t="shared" si="287"/>
        <v>-</v>
      </c>
      <c r="P256" s="252" t="str">
        <f t="shared" si="288"/>
        <v>-</v>
      </c>
      <c r="Q256" s="250">
        <f t="shared" ref="Q256:Q263" si="350">N256-F256</f>
        <v>0</v>
      </c>
      <c r="R256" s="252" t="str">
        <f t="shared" si="289"/>
        <v>-</v>
      </c>
      <c r="S256" s="253">
        <f>[1]PB8!W256</f>
        <v>0</v>
      </c>
      <c r="T256" s="257"/>
      <c r="U256" s="10" t="str">
        <f t="shared" si="271"/>
        <v>-</v>
      </c>
      <c r="V256"/>
    </row>
    <row r="257" spans="1:22" ht="20.149999999999999" hidden="1" customHeight="1" outlineLevel="1">
      <c r="A257" s="247"/>
      <c r="B257" s="247"/>
      <c r="C257" s="248">
        <v>65022</v>
      </c>
      <c r="D257" s="249" t="s">
        <v>541</v>
      </c>
      <c r="E257" s="250"/>
      <c r="F257" s="250"/>
      <c r="G257" s="250"/>
      <c r="H257" s="250"/>
      <c r="I257" s="250"/>
      <c r="J257" s="250"/>
      <c r="K257" s="250">
        <f t="shared" si="349"/>
        <v>0</v>
      </c>
      <c r="L257" s="252" t="str">
        <f t="shared" si="285"/>
        <v>-</v>
      </c>
      <c r="M257" s="252" t="str">
        <f t="shared" si="286"/>
        <v>-</v>
      </c>
      <c r="N257" s="250">
        <f>[1]PB8!E257</f>
        <v>0</v>
      </c>
      <c r="O257" s="252" t="str">
        <f t="shared" si="287"/>
        <v>-</v>
      </c>
      <c r="P257" s="252" t="str">
        <f t="shared" si="288"/>
        <v>-</v>
      </c>
      <c r="Q257" s="250">
        <f t="shared" si="350"/>
        <v>0</v>
      </c>
      <c r="R257" s="252" t="str">
        <f t="shared" si="289"/>
        <v>-</v>
      </c>
      <c r="S257" s="253">
        <f>[1]PB8!W257</f>
        <v>0</v>
      </c>
      <c r="T257" s="257"/>
      <c r="U257" s="10" t="str">
        <f t="shared" si="271"/>
        <v>-</v>
      </c>
      <c r="V257"/>
    </row>
    <row r="258" spans="1:22" ht="20.149999999999999" hidden="1" customHeight="1" outlineLevel="1">
      <c r="A258" s="247"/>
      <c r="B258" s="247"/>
      <c r="C258" s="248">
        <v>65023</v>
      </c>
      <c r="D258" s="249" t="s">
        <v>542</v>
      </c>
      <c r="E258" s="250"/>
      <c r="F258" s="250"/>
      <c r="G258" s="250"/>
      <c r="H258" s="250"/>
      <c r="I258" s="250"/>
      <c r="J258" s="250"/>
      <c r="K258" s="250">
        <f t="shared" si="349"/>
        <v>0</v>
      </c>
      <c r="L258" s="252" t="str">
        <f t="shared" si="285"/>
        <v>-</v>
      </c>
      <c r="M258" s="252" t="str">
        <f t="shared" si="286"/>
        <v>-</v>
      </c>
      <c r="N258" s="250">
        <f>[1]PB8!E258</f>
        <v>0</v>
      </c>
      <c r="O258" s="252" t="str">
        <f t="shared" si="287"/>
        <v>-</v>
      </c>
      <c r="P258" s="252" t="str">
        <f t="shared" si="288"/>
        <v>-</v>
      </c>
      <c r="Q258" s="250">
        <f t="shared" si="350"/>
        <v>0</v>
      </c>
      <c r="R258" s="252" t="str">
        <f t="shared" si="289"/>
        <v>-</v>
      </c>
      <c r="S258" s="253">
        <f>[1]PB8!W258</f>
        <v>0</v>
      </c>
      <c r="T258" s="257"/>
      <c r="U258" s="10" t="str">
        <f t="shared" si="271"/>
        <v>-</v>
      </c>
      <c r="V258"/>
    </row>
    <row r="259" spans="1:22" ht="20.149999999999999" hidden="1" customHeight="1" outlineLevel="1">
      <c r="A259" s="247"/>
      <c r="B259" s="247"/>
      <c r="C259" s="248">
        <v>65024</v>
      </c>
      <c r="D259" s="249" t="s">
        <v>543</v>
      </c>
      <c r="E259" s="250"/>
      <c r="F259" s="250"/>
      <c r="G259" s="250"/>
      <c r="H259" s="250"/>
      <c r="I259" s="250"/>
      <c r="J259" s="250"/>
      <c r="K259" s="250">
        <f t="shared" si="349"/>
        <v>0</v>
      </c>
      <c r="L259" s="252" t="str">
        <f t="shared" si="285"/>
        <v>-</v>
      </c>
      <c r="M259" s="252" t="str">
        <f t="shared" si="286"/>
        <v>-</v>
      </c>
      <c r="N259" s="250">
        <f>[1]PB8!E259</f>
        <v>0</v>
      </c>
      <c r="O259" s="252" t="str">
        <f t="shared" si="287"/>
        <v>-</v>
      </c>
      <c r="P259" s="252" t="str">
        <f t="shared" si="288"/>
        <v>-</v>
      </c>
      <c r="Q259" s="250">
        <f t="shared" si="350"/>
        <v>0</v>
      </c>
      <c r="R259" s="252" t="str">
        <f t="shared" si="289"/>
        <v>-</v>
      </c>
      <c r="S259" s="253">
        <f>[1]PB8!W259</f>
        <v>0</v>
      </c>
      <c r="T259" s="257"/>
      <c r="U259" s="10" t="str">
        <f t="shared" si="271"/>
        <v>-</v>
      </c>
      <c r="V259"/>
    </row>
    <row r="260" spans="1:22" ht="20.149999999999999" hidden="1" customHeight="1" outlineLevel="1">
      <c r="A260" s="247"/>
      <c r="B260" s="247"/>
      <c r="C260" s="248">
        <v>65025</v>
      </c>
      <c r="D260" s="249" t="s">
        <v>544</v>
      </c>
      <c r="E260" s="250"/>
      <c r="F260" s="250"/>
      <c r="G260" s="250"/>
      <c r="H260" s="250"/>
      <c r="I260" s="250"/>
      <c r="J260" s="250"/>
      <c r="K260" s="250">
        <f t="shared" si="349"/>
        <v>0</v>
      </c>
      <c r="L260" s="252" t="str">
        <f t="shared" si="285"/>
        <v>-</v>
      </c>
      <c r="M260" s="252" t="str">
        <f t="shared" si="286"/>
        <v>-</v>
      </c>
      <c r="N260" s="250">
        <f>[1]PB8!E260</f>
        <v>0</v>
      </c>
      <c r="O260" s="252" t="str">
        <f t="shared" si="287"/>
        <v>-</v>
      </c>
      <c r="P260" s="252" t="str">
        <f t="shared" si="288"/>
        <v>-</v>
      </c>
      <c r="Q260" s="250">
        <f t="shared" si="350"/>
        <v>0</v>
      </c>
      <c r="R260" s="252" t="str">
        <f t="shared" si="289"/>
        <v>-</v>
      </c>
      <c r="S260" s="253">
        <f>[1]PB8!W260</f>
        <v>0</v>
      </c>
      <c r="T260" s="257"/>
      <c r="U260" s="10" t="str">
        <f t="shared" si="271"/>
        <v>-</v>
      </c>
      <c r="V260"/>
    </row>
    <row r="261" spans="1:22" ht="20.149999999999999" hidden="1" customHeight="1" outlineLevel="1">
      <c r="A261" s="247"/>
      <c r="B261" s="247"/>
      <c r="C261" s="248">
        <v>65026</v>
      </c>
      <c r="D261" s="249" t="s">
        <v>545</v>
      </c>
      <c r="E261" s="250"/>
      <c r="F261" s="250"/>
      <c r="G261" s="250"/>
      <c r="H261" s="250"/>
      <c r="I261" s="250"/>
      <c r="J261" s="250"/>
      <c r="K261" s="250">
        <f t="shared" si="349"/>
        <v>0</v>
      </c>
      <c r="L261" s="252" t="str">
        <f t="shared" si="285"/>
        <v>-</v>
      </c>
      <c r="M261" s="252" t="str">
        <f t="shared" si="286"/>
        <v>-</v>
      </c>
      <c r="N261" s="250">
        <f>[1]PB8!E261</f>
        <v>0</v>
      </c>
      <c r="O261" s="252" t="str">
        <f t="shared" si="287"/>
        <v>-</v>
      </c>
      <c r="P261" s="252" t="str">
        <f t="shared" si="288"/>
        <v>-</v>
      </c>
      <c r="Q261" s="250">
        <f t="shared" si="350"/>
        <v>0</v>
      </c>
      <c r="R261" s="252" t="str">
        <f t="shared" si="289"/>
        <v>-</v>
      </c>
      <c r="S261" s="253">
        <f>[1]PB8!W261</f>
        <v>0</v>
      </c>
      <c r="T261" s="257"/>
      <c r="U261" s="10" t="str">
        <f t="shared" si="271"/>
        <v>-</v>
      </c>
      <c r="V261"/>
    </row>
    <row r="262" spans="1:22" ht="20.149999999999999" hidden="1" customHeight="1" outlineLevel="1">
      <c r="A262" s="247"/>
      <c r="B262" s="247"/>
      <c r="C262" s="248">
        <v>65027</v>
      </c>
      <c r="D262" s="249" t="s">
        <v>546</v>
      </c>
      <c r="E262" s="250"/>
      <c r="F262" s="250"/>
      <c r="G262" s="250"/>
      <c r="H262" s="250"/>
      <c r="I262" s="250"/>
      <c r="J262" s="250"/>
      <c r="K262" s="250">
        <f t="shared" si="349"/>
        <v>0</v>
      </c>
      <c r="L262" s="252" t="str">
        <f t="shared" si="285"/>
        <v>-</v>
      </c>
      <c r="M262" s="252" t="str">
        <f t="shared" si="286"/>
        <v>-</v>
      </c>
      <c r="N262" s="250">
        <f>[1]PB8!E262</f>
        <v>0</v>
      </c>
      <c r="O262" s="252" t="str">
        <f t="shared" si="287"/>
        <v>-</v>
      </c>
      <c r="P262" s="252" t="str">
        <f t="shared" si="288"/>
        <v>-</v>
      </c>
      <c r="Q262" s="250">
        <f t="shared" si="350"/>
        <v>0</v>
      </c>
      <c r="R262" s="252" t="str">
        <f t="shared" si="289"/>
        <v>-</v>
      </c>
      <c r="S262" s="253">
        <f>[1]PB8!W262</f>
        <v>0</v>
      </c>
      <c r="T262" s="257"/>
      <c r="U262" s="10" t="str">
        <f t="shared" si="271"/>
        <v>-</v>
      </c>
      <c r="V262"/>
    </row>
    <row r="263" spans="1:22" ht="20.149999999999999" hidden="1" customHeight="1" outlineLevel="1">
      <c r="A263" s="247"/>
      <c r="B263" s="247"/>
      <c r="C263" s="248">
        <v>65028</v>
      </c>
      <c r="D263" s="249" t="s">
        <v>50</v>
      </c>
      <c r="E263" s="250"/>
      <c r="F263" s="250"/>
      <c r="G263" s="250"/>
      <c r="H263" s="250"/>
      <c r="I263" s="250"/>
      <c r="J263" s="250"/>
      <c r="K263" s="250">
        <f t="shared" si="349"/>
        <v>0</v>
      </c>
      <c r="L263" s="252" t="str">
        <f t="shared" si="285"/>
        <v>-</v>
      </c>
      <c r="M263" s="252" t="str">
        <f t="shared" si="286"/>
        <v>-</v>
      </c>
      <c r="N263" s="250">
        <f>[1]PB8!E263</f>
        <v>0</v>
      </c>
      <c r="O263" s="252" t="str">
        <f t="shared" si="287"/>
        <v>-</v>
      </c>
      <c r="P263" s="252" t="str">
        <f t="shared" si="288"/>
        <v>-</v>
      </c>
      <c r="Q263" s="250">
        <f t="shared" si="350"/>
        <v>0</v>
      </c>
      <c r="R263" s="252" t="str">
        <f t="shared" si="289"/>
        <v>-</v>
      </c>
      <c r="S263" s="253">
        <f>[1]PB8!W263</f>
        <v>0</v>
      </c>
      <c r="T263" s="257"/>
      <c r="U263" s="10" t="str">
        <f t="shared" si="271"/>
        <v>-</v>
      </c>
      <c r="V263"/>
    </row>
    <row r="264" spans="1:22" ht="20.149999999999999" hidden="1" customHeight="1" outlineLevel="1">
      <c r="A264" s="241"/>
      <c r="B264" s="241">
        <v>6503</v>
      </c>
      <c r="C264" s="241"/>
      <c r="D264" s="242" t="s">
        <v>547</v>
      </c>
      <c r="E264" s="268">
        <f t="shared" ref="E264:K264" si="351">SUM(E265:E266)</f>
        <v>0</v>
      </c>
      <c r="F264" s="268">
        <f t="shared" si="351"/>
        <v>0</v>
      </c>
      <c r="G264" s="268">
        <f t="shared" si="351"/>
        <v>0</v>
      </c>
      <c r="H264" s="268">
        <f t="shared" si="351"/>
        <v>0</v>
      </c>
      <c r="I264" s="268">
        <f t="shared" si="351"/>
        <v>0</v>
      </c>
      <c r="J264" s="268">
        <f t="shared" si="351"/>
        <v>0</v>
      </c>
      <c r="K264" s="268">
        <f t="shared" si="351"/>
        <v>0</v>
      </c>
      <c r="L264" s="244" t="str">
        <f t="shared" si="285"/>
        <v>-</v>
      </c>
      <c r="M264" s="244" t="str">
        <f t="shared" si="286"/>
        <v>-</v>
      </c>
      <c r="N264" s="268">
        <f t="shared" ref="N264" si="352">SUM(N265:N266)</f>
        <v>0</v>
      </c>
      <c r="O264" s="244" t="str">
        <f t="shared" si="287"/>
        <v>-</v>
      </c>
      <c r="P264" s="244" t="str">
        <f t="shared" si="288"/>
        <v>-</v>
      </c>
      <c r="Q264" s="268">
        <f t="shared" ref="Q264" si="353">SUM(Q265:Q266)</f>
        <v>0</v>
      </c>
      <c r="R264" s="244" t="str">
        <f t="shared" si="289"/>
        <v>-</v>
      </c>
      <c r="S264" s="269">
        <f t="shared" ref="S264" si="354">SUM(S265:S266)</f>
        <v>0</v>
      </c>
      <c r="T264" s="246"/>
      <c r="U264" s="10" t="str">
        <f t="shared" si="271"/>
        <v>-</v>
      </c>
      <c r="V264"/>
    </row>
    <row r="265" spans="1:22" ht="20.149999999999999" hidden="1" customHeight="1" outlineLevel="1">
      <c r="A265" s="241"/>
      <c r="B265" s="241"/>
      <c r="C265" s="248">
        <v>65031</v>
      </c>
      <c r="D265" s="249" t="s">
        <v>548</v>
      </c>
      <c r="E265" s="250"/>
      <c r="F265" s="250"/>
      <c r="G265" s="250"/>
      <c r="H265" s="250"/>
      <c r="I265" s="250"/>
      <c r="J265" s="250"/>
      <c r="K265" s="250">
        <f t="shared" ref="K265:K266" si="355">SUM(I265:J265)</f>
        <v>0</v>
      </c>
      <c r="L265" s="252" t="str">
        <f t="shared" si="285"/>
        <v>-</v>
      </c>
      <c r="M265" s="252" t="str">
        <f t="shared" si="286"/>
        <v>-</v>
      </c>
      <c r="N265" s="250">
        <f>[1]PB8!E265</f>
        <v>0</v>
      </c>
      <c r="O265" s="252" t="str">
        <f t="shared" si="287"/>
        <v>-</v>
      </c>
      <c r="P265" s="252" t="str">
        <f t="shared" si="288"/>
        <v>-</v>
      </c>
      <c r="Q265" s="250">
        <f t="shared" ref="Q265:Q266" si="356">N265-F265</f>
        <v>0</v>
      </c>
      <c r="R265" s="252" t="str">
        <f t="shared" si="289"/>
        <v>-</v>
      </c>
      <c r="S265" s="253">
        <f>[1]PB8!W265</f>
        <v>0</v>
      </c>
      <c r="T265" s="257"/>
      <c r="U265" s="10" t="str">
        <f t="shared" si="271"/>
        <v>-</v>
      </c>
      <c r="V265"/>
    </row>
    <row r="266" spans="1:22" ht="20.149999999999999" hidden="1" customHeight="1" outlineLevel="1">
      <c r="A266" s="241"/>
      <c r="B266" s="241"/>
      <c r="C266" s="248">
        <v>65032</v>
      </c>
      <c r="D266" s="249" t="s">
        <v>549</v>
      </c>
      <c r="E266" s="250"/>
      <c r="F266" s="250"/>
      <c r="G266" s="250"/>
      <c r="H266" s="250"/>
      <c r="I266" s="250"/>
      <c r="J266" s="250"/>
      <c r="K266" s="250">
        <f t="shared" si="355"/>
        <v>0</v>
      </c>
      <c r="L266" s="252" t="str">
        <f t="shared" si="285"/>
        <v>-</v>
      </c>
      <c r="M266" s="252" t="str">
        <f t="shared" si="286"/>
        <v>-</v>
      </c>
      <c r="N266" s="250">
        <f>[1]PB8!E266</f>
        <v>0</v>
      </c>
      <c r="O266" s="252" t="str">
        <f t="shared" si="287"/>
        <v>-</v>
      </c>
      <c r="P266" s="252" t="str">
        <f t="shared" si="288"/>
        <v>-</v>
      </c>
      <c r="Q266" s="250">
        <f t="shared" si="356"/>
        <v>0</v>
      </c>
      <c r="R266" s="252" t="str">
        <f t="shared" si="289"/>
        <v>-</v>
      </c>
      <c r="S266" s="253">
        <f>[1]PB8!W266</f>
        <v>0</v>
      </c>
      <c r="T266" s="257"/>
      <c r="U266" s="10" t="str">
        <f t="shared" si="271"/>
        <v>-</v>
      </c>
      <c r="V266"/>
    </row>
    <row r="267" spans="1:22" ht="20.149999999999999" hidden="1" customHeight="1" outlineLevel="1">
      <c r="A267" s="241"/>
      <c r="B267" s="241">
        <v>6504</v>
      </c>
      <c r="C267" s="241"/>
      <c r="D267" s="242" t="s">
        <v>550</v>
      </c>
      <c r="E267" s="243">
        <f t="shared" ref="E267:K267" si="357">SUM(E268:E272)</f>
        <v>0</v>
      </c>
      <c r="F267" s="243">
        <f t="shared" si="357"/>
        <v>0</v>
      </c>
      <c r="G267" s="243">
        <f t="shared" si="357"/>
        <v>0</v>
      </c>
      <c r="H267" s="243">
        <f t="shared" si="357"/>
        <v>0</v>
      </c>
      <c r="I267" s="243">
        <f t="shared" si="357"/>
        <v>0</v>
      </c>
      <c r="J267" s="243">
        <f t="shared" si="357"/>
        <v>0</v>
      </c>
      <c r="K267" s="243">
        <f t="shared" si="357"/>
        <v>0</v>
      </c>
      <c r="L267" s="244" t="str">
        <f t="shared" si="285"/>
        <v>-</v>
      </c>
      <c r="M267" s="244" t="str">
        <f t="shared" si="286"/>
        <v>-</v>
      </c>
      <c r="N267" s="243">
        <f t="shared" ref="N267" si="358">SUM(N268:N272)</f>
        <v>0</v>
      </c>
      <c r="O267" s="244" t="str">
        <f t="shared" si="287"/>
        <v>-</v>
      </c>
      <c r="P267" s="244" t="str">
        <f t="shared" si="288"/>
        <v>-</v>
      </c>
      <c r="Q267" s="243">
        <f t="shared" ref="Q267" si="359">SUM(Q268:Q272)</f>
        <v>0</v>
      </c>
      <c r="R267" s="244" t="str">
        <f t="shared" si="289"/>
        <v>-</v>
      </c>
      <c r="S267" s="245">
        <f t="shared" ref="S267" si="360">SUM(S268:S272)</f>
        <v>0</v>
      </c>
      <c r="T267" s="246"/>
      <c r="U267" s="10" t="str">
        <f t="shared" si="271"/>
        <v>-</v>
      </c>
      <c r="V267"/>
    </row>
    <row r="268" spans="1:22" ht="20.149999999999999" hidden="1" customHeight="1" outlineLevel="1">
      <c r="A268" s="247"/>
      <c r="B268" s="247"/>
      <c r="C268" s="248">
        <v>65041</v>
      </c>
      <c r="D268" s="249" t="s">
        <v>551</v>
      </c>
      <c r="E268" s="250"/>
      <c r="F268" s="250"/>
      <c r="G268" s="250"/>
      <c r="H268" s="250"/>
      <c r="I268" s="250"/>
      <c r="J268" s="250"/>
      <c r="K268" s="250">
        <f t="shared" ref="K268:K272" si="361">SUM(I268:J268)</f>
        <v>0</v>
      </c>
      <c r="L268" s="252" t="str">
        <f t="shared" si="285"/>
        <v>-</v>
      </c>
      <c r="M268" s="252" t="str">
        <f t="shared" si="286"/>
        <v>-</v>
      </c>
      <c r="N268" s="250">
        <f>[1]PB8!E268</f>
        <v>0</v>
      </c>
      <c r="O268" s="252" t="str">
        <f t="shared" si="287"/>
        <v>-</v>
      </c>
      <c r="P268" s="252" t="str">
        <f t="shared" si="288"/>
        <v>-</v>
      </c>
      <c r="Q268" s="250">
        <f t="shared" ref="Q268:Q272" si="362">N268-F268</f>
        <v>0</v>
      </c>
      <c r="R268" s="252" t="str">
        <f t="shared" si="289"/>
        <v>-</v>
      </c>
      <c r="S268" s="253">
        <f>[1]PB8!W268</f>
        <v>0</v>
      </c>
      <c r="T268" s="257"/>
      <c r="U268" s="10" t="str">
        <f t="shared" si="271"/>
        <v>-</v>
      </c>
      <c r="V268"/>
    </row>
    <row r="269" spans="1:22" ht="20.149999999999999" hidden="1" customHeight="1" outlineLevel="1">
      <c r="A269" s="247"/>
      <c r="B269" s="247"/>
      <c r="C269" s="248">
        <v>65042</v>
      </c>
      <c r="D269" s="249" t="s">
        <v>552</v>
      </c>
      <c r="E269" s="250"/>
      <c r="F269" s="250"/>
      <c r="G269" s="250"/>
      <c r="H269" s="250"/>
      <c r="I269" s="250"/>
      <c r="J269" s="250"/>
      <c r="K269" s="250">
        <f t="shared" si="361"/>
        <v>0</v>
      </c>
      <c r="L269" s="252" t="str">
        <f t="shared" si="285"/>
        <v>-</v>
      </c>
      <c r="M269" s="252" t="str">
        <f t="shared" si="286"/>
        <v>-</v>
      </c>
      <c r="N269" s="250">
        <f>[1]PB8!E269</f>
        <v>0</v>
      </c>
      <c r="O269" s="252" t="str">
        <f t="shared" si="287"/>
        <v>-</v>
      </c>
      <c r="P269" s="252" t="str">
        <f t="shared" si="288"/>
        <v>-</v>
      </c>
      <c r="Q269" s="250">
        <f t="shared" si="362"/>
        <v>0</v>
      </c>
      <c r="R269" s="252" t="str">
        <f t="shared" si="289"/>
        <v>-</v>
      </c>
      <c r="S269" s="253">
        <f>[1]PB8!W269</f>
        <v>0</v>
      </c>
      <c r="T269" s="257"/>
      <c r="U269" s="10" t="str">
        <f t="shared" si="271"/>
        <v>-</v>
      </c>
      <c r="V269"/>
    </row>
    <row r="270" spans="1:22" ht="20.149999999999999" hidden="1" customHeight="1" outlineLevel="1">
      <c r="A270" s="247"/>
      <c r="B270" s="247"/>
      <c r="C270" s="248">
        <v>65043</v>
      </c>
      <c r="D270" s="249" t="s">
        <v>553</v>
      </c>
      <c r="E270" s="250"/>
      <c r="F270" s="250"/>
      <c r="G270" s="250"/>
      <c r="H270" s="250"/>
      <c r="I270" s="250"/>
      <c r="J270" s="250"/>
      <c r="K270" s="250">
        <f t="shared" si="361"/>
        <v>0</v>
      </c>
      <c r="L270" s="252" t="str">
        <f t="shared" si="285"/>
        <v>-</v>
      </c>
      <c r="M270" s="252" t="str">
        <f t="shared" si="286"/>
        <v>-</v>
      </c>
      <c r="N270" s="250">
        <f>[1]PB8!E270</f>
        <v>0</v>
      </c>
      <c r="O270" s="252" t="str">
        <f t="shared" si="287"/>
        <v>-</v>
      </c>
      <c r="P270" s="252" t="str">
        <f t="shared" si="288"/>
        <v>-</v>
      </c>
      <c r="Q270" s="250">
        <f t="shared" si="362"/>
        <v>0</v>
      </c>
      <c r="R270" s="252" t="str">
        <f t="shared" si="289"/>
        <v>-</v>
      </c>
      <c r="S270" s="253">
        <f>[1]PB8!W270</f>
        <v>0</v>
      </c>
      <c r="T270" s="257"/>
      <c r="U270" s="10" t="str">
        <f t="shared" si="271"/>
        <v>-</v>
      </c>
      <c r="V270"/>
    </row>
    <row r="271" spans="1:22" ht="20.149999999999999" hidden="1" customHeight="1" outlineLevel="1">
      <c r="A271" s="247"/>
      <c r="B271" s="247"/>
      <c r="C271" s="248">
        <v>65044</v>
      </c>
      <c r="D271" s="249" t="s">
        <v>554</v>
      </c>
      <c r="E271" s="250"/>
      <c r="F271" s="250"/>
      <c r="G271" s="250"/>
      <c r="H271" s="250"/>
      <c r="I271" s="250"/>
      <c r="J271" s="250"/>
      <c r="K271" s="250">
        <f t="shared" si="361"/>
        <v>0</v>
      </c>
      <c r="L271" s="252" t="str">
        <f t="shared" si="285"/>
        <v>-</v>
      </c>
      <c r="M271" s="252" t="str">
        <f t="shared" si="286"/>
        <v>-</v>
      </c>
      <c r="N271" s="250">
        <f>[1]PB8!E271</f>
        <v>0</v>
      </c>
      <c r="O271" s="252" t="str">
        <f t="shared" si="287"/>
        <v>-</v>
      </c>
      <c r="P271" s="252" t="str">
        <f t="shared" si="288"/>
        <v>-</v>
      </c>
      <c r="Q271" s="250">
        <f t="shared" si="362"/>
        <v>0</v>
      </c>
      <c r="R271" s="252" t="str">
        <f t="shared" si="289"/>
        <v>-</v>
      </c>
      <c r="S271" s="253">
        <f>[1]PB8!W271</f>
        <v>0</v>
      </c>
      <c r="T271" s="257"/>
      <c r="U271" s="10" t="str">
        <f t="shared" ref="U271:U334" si="363">IF(OR(F271&gt;0,H271&gt;0,N271&gt;0),"ok","-")</f>
        <v>-</v>
      </c>
      <c r="V271"/>
    </row>
    <row r="272" spans="1:22" ht="20.149999999999999" hidden="1" customHeight="1" outlineLevel="1">
      <c r="A272" s="247"/>
      <c r="B272" s="247"/>
      <c r="C272" s="248">
        <v>65045</v>
      </c>
      <c r="D272" s="249" t="s">
        <v>555</v>
      </c>
      <c r="E272" s="250"/>
      <c r="F272" s="250"/>
      <c r="G272" s="250"/>
      <c r="H272" s="250"/>
      <c r="I272" s="250"/>
      <c r="J272" s="250"/>
      <c r="K272" s="250">
        <f t="shared" si="361"/>
        <v>0</v>
      </c>
      <c r="L272" s="252" t="str">
        <f t="shared" si="285"/>
        <v>-</v>
      </c>
      <c r="M272" s="252" t="str">
        <f t="shared" si="286"/>
        <v>-</v>
      </c>
      <c r="N272" s="250">
        <f>[1]PB8!E272</f>
        <v>0</v>
      </c>
      <c r="O272" s="252" t="str">
        <f t="shared" si="287"/>
        <v>-</v>
      </c>
      <c r="P272" s="252" t="str">
        <f t="shared" si="288"/>
        <v>-</v>
      </c>
      <c r="Q272" s="250">
        <f t="shared" si="362"/>
        <v>0</v>
      </c>
      <c r="R272" s="252" t="str">
        <f t="shared" si="289"/>
        <v>-</v>
      </c>
      <c r="S272" s="253">
        <f>[1]PB8!W272</f>
        <v>0</v>
      </c>
      <c r="T272" s="257"/>
      <c r="U272" s="10" t="str">
        <f t="shared" si="363"/>
        <v>-</v>
      </c>
      <c r="V272"/>
    </row>
    <row r="273" spans="1:22" ht="20.149999999999999" hidden="1" customHeight="1" outlineLevel="1">
      <c r="A273" s="241"/>
      <c r="B273" s="241">
        <v>6505</v>
      </c>
      <c r="C273" s="241"/>
      <c r="D273" s="242" t="s">
        <v>556</v>
      </c>
      <c r="E273" s="268">
        <f t="shared" ref="E273" si="364">SUM(E274:E275)</f>
        <v>0</v>
      </c>
      <c r="F273" s="268">
        <f t="shared" ref="F273:K273" si="365">SUM(F274:F275)</f>
        <v>0</v>
      </c>
      <c r="G273" s="268">
        <f t="shared" si="365"/>
        <v>0</v>
      </c>
      <c r="H273" s="268">
        <f t="shared" si="365"/>
        <v>0</v>
      </c>
      <c r="I273" s="268">
        <f t="shared" si="365"/>
        <v>0</v>
      </c>
      <c r="J273" s="268">
        <f t="shared" si="365"/>
        <v>0</v>
      </c>
      <c r="K273" s="268">
        <f t="shared" si="365"/>
        <v>0</v>
      </c>
      <c r="L273" s="244" t="str">
        <f t="shared" si="285"/>
        <v>-</v>
      </c>
      <c r="M273" s="244" t="str">
        <f t="shared" si="286"/>
        <v>-</v>
      </c>
      <c r="N273" s="268">
        <f t="shared" ref="N273" si="366">SUM(N274:N275)</f>
        <v>0</v>
      </c>
      <c r="O273" s="244" t="str">
        <f t="shared" si="287"/>
        <v>-</v>
      </c>
      <c r="P273" s="244" t="str">
        <f t="shared" si="288"/>
        <v>-</v>
      </c>
      <c r="Q273" s="268">
        <f t="shared" ref="Q273" si="367">SUM(Q274:Q275)</f>
        <v>0</v>
      </c>
      <c r="R273" s="244" t="str">
        <f t="shared" si="289"/>
        <v>-</v>
      </c>
      <c r="S273" s="269">
        <f t="shared" ref="S273" si="368">SUM(S274:S275)</f>
        <v>0</v>
      </c>
      <c r="T273" s="246"/>
      <c r="U273" s="10" t="str">
        <f t="shared" si="363"/>
        <v>-</v>
      </c>
      <c r="V273"/>
    </row>
    <row r="274" spans="1:22" ht="20.149999999999999" hidden="1" customHeight="1" outlineLevel="1">
      <c r="A274" s="241"/>
      <c r="B274" s="241"/>
      <c r="C274" s="248">
        <v>65051</v>
      </c>
      <c r="D274" s="249" t="s">
        <v>557</v>
      </c>
      <c r="E274" s="250"/>
      <c r="F274" s="250"/>
      <c r="G274" s="250"/>
      <c r="H274" s="250"/>
      <c r="I274" s="250"/>
      <c r="J274" s="250"/>
      <c r="K274" s="250">
        <f t="shared" ref="K274:K275" si="369">SUM(I274:J274)</f>
        <v>0</v>
      </c>
      <c r="L274" s="252" t="str">
        <f t="shared" si="285"/>
        <v>-</v>
      </c>
      <c r="M274" s="252" t="str">
        <f t="shared" si="286"/>
        <v>-</v>
      </c>
      <c r="N274" s="250">
        <f>[1]PB8!E274</f>
        <v>0</v>
      </c>
      <c r="O274" s="252" t="str">
        <f t="shared" si="287"/>
        <v>-</v>
      </c>
      <c r="P274" s="252" t="str">
        <f t="shared" si="288"/>
        <v>-</v>
      </c>
      <c r="Q274" s="250">
        <f t="shared" ref="Q274:Q275" si="370">N274-F274</f>
        <v>0</v>
      </c>
      <c r="R274" s="252" t="str">
        <f t="shared" si="289"/>
        <v>-</v>
      </c>
      <c r="S274" s="253">
        <f>[1]PB8!W274</f>
        <v>0</v>
      </c>
      <c r="T274" s="257"/>
      <c r="U274" s="10" t="str">
        <f t="shared" si="363"/>
        <v>-</v>
      </c>
      <c r="V274"/>
    </row>
    <row r="275" spans="1:22" ht="20.149999999999999" hidden="1" customHeight="1" outlineLevel="1">
      <c r="A275" s="241"/>
      <c r="B275" s="241"/>
      <c r="C275" s="248">
        <v>65052</v>
      </c>
      <c r="D275" s="249" t="s">
        <v>558</v>
      </c>
      <c r="E275" s="250"/>
      <c r="F275" s="250"/>
      <c r="G275" s="250"/>
      <c r="H275" s="250"/>
      <c r="I275" s="250"/>
      <c r="J275" s="250"/>
      <c r="K275" s="250">
        <f t="shared" si="369"/>
        <v>0</v>
      </c>
      <c r="L275" s="252" t="str">
        <f t="shared" si="285"/>
        <v>-</v>
      </c>
      <c r="M275" s="252" t="str">
        <f t="shared" si="286"/>
        <v>-</v>
      </c>
      <c r="N275" s="250">
        <f>[1]PB8!E275</f>
        <v>0</v>
      </c>
      <c r="O275" s="252" t="str">
        <f t="shared" si="287"/>
        <v>-</v>
      </c>
      <c r="P275" s="252" t="str">
        <f t="shared" si="288"/>
        <v>-</v>
      </c>
      <c r="Q275" s="250">
        <f t="shared" si="370"/>
        <v>0</v>
      </c>
      <c r="R275" s="252" t="str">
        <f t="shared" si="289"/>
        <v>-</v>
      </c>
      <c r="S275" s="253">
        <f>[1]PB8!W275</f>
        <v>0</v>
      </c>
      <c r="T275" s="257"/>
      <c r="U275" s="10" t="str">
        <f t="shared" si="363"/>
        <v>-</v>
      </c>
      <c r="V275"/>
    </row>
    <row r="276" spans="1:22" ht="20.149999999999999" hidden="1" customHeight="1" outlineLevel="1">
      <c r="A276" s="241"/>
      <c r="B276" s="241">
        <v>6506</v>
      </c>
      <c r="C276" s="241"/>
      <c r="D276" s="242" t="s">
        <v>559</v>
      </c>
      <c r="E276" s="243">
        <f t="shared" ref="E276:K276" si="371">SUM(E277:E282)</f>
        <v>0</v>
      </c>
      <c r="F276" s="243">
        <f t="shared" si="371"/>
        <v>0</v>
      </c>
      <c r="G276" s="243">
        <f t="shared" si="371"/>
        <v>0</v>
      </c>
      <c r="H276" s="243">
        <f t="shared" si="371"/>
        <v>0</v>
      </c>
      <c r="I276" s="243">
        <f t="shared" si="371"/>
        <v>0</v>
      </c>
      <c r="J276" s="243">
        <f t="shared" si="371"/>
        <v>0</v>
      </c>
      <c r="K276" s="243">
        <f t="shared" si="371"/>
        <v>0</v>
      </c>
      <c r="L276" s="244" t="str">
        <f t="shared" si="285"/>
        <v>-</v>
      </c>
      <c r="M276" s="244" t="str">
        <f t="shared" si="286"/>
        <v>-</v>
      </c>
      <c r="N276" s="243">
        <f t="shared" ref="N276" si="372">SUM(N277:N282)</f>
        <v>0</v>
      </c>
      <c r="O276" s="244" t="str">
        <f t="shared" si="287"/>
        <v>-</v>
      </c>
      <c r="P276" s="244" t="str">
        <f t="shared" si="288"/>
        <v>-</v>
      </c>
      <c r="Q276" s="243">
        <f t="shared" ref="Q276" si="373">SUM(Q277:Q282)</f>
        <v>0</v>
      </c>
      <c r="R276" s="244" t="str">
        <f t="shared" si="289"/>
        <v>-</v>
      </c>
      <c r="S276" s="245">
        <f t="shared" ref="S276" si="374">SUM(S277:S282)</f>
        <v>0</v>
      </c>
      <c r="T276" s="246"/>
      <c r="U276" s="10" t="str">
        <f t="shared" si="363"/>
        <v>-</v>
      </c>
      <c r="V276"/>
    </row>
    <row r="277" spans="1:22" ht="20.149999999999999" hidden="1" customHeight="1" outlineLevel="1">
      <c r="A277" s="247"/>
      <c r="B277" s="247"/>
      <c r="C277" s="248">
        <v>65061</v>
      </c>
      <c r="D277" s="249" t="s">
        <v>560</v>
      </c>
      <c r="E277" s="250"/>
      <c r="F277" s="250"/>
      <c r="G277" s="250"/>
      <c r="H277" s="250"/>
      <c r="I277" s="250"/>
      <c r="J277" s="250"/>
      <c r="K277" s="250">
        <f t="shared" ref="K277:K282" si="375">SUM(I277:J277)</f>
        <v>0</v>
      </c>
      <c r="L277" s="252" t="str">
        <f t="shared" si="285"/>
        <v>-</v>
      </c>
      <c r="M277" s="252" t="str">
        <f t="shared" si="286"/>
        <v>-</v>
      </c>
      <c r="N277" s="250">
        <f>[1]PB8!E277</f>
        <v>0</v>
      </c>
      <c r="O277" s="252" t="str">
        <f t="shared" si="287"/>
        <v>-</v>
      </c>
      <c r="P277" s="252" t="str">
        <f t="shared" si="288"/>
        <v>-</v>
      </c>
      <c r="Q277" s="250">
        <f t="shared" ref="Q277:Q282" si="376">N277-F277</f>
        <v>0</v>
      </c>
      <c r="R277" s="252" t="str">
        <f t="shared" si="289"/>
        <v>-</v>
      </c>
      <c r="S277" s="253">
        <f>[1]PB8!W277</f>
        <v>0</v>
      </c>
      <c r="T277" s="257"/>
      <c r="U277" s="10" t="str">
        <f t="shared" si="363"/>
        <v>-</v>
      </c>
      <c r="V277"/>
    </row>
    <row r="278" spans="1:22" ht="20.149999999999999" hidden="1" customHeight="1" outlineLevel="1">
      <c r="A278" s="247"/>
      <c r="B278" s="247"/>
      <c r="C278" s="248">
        <v>65062</v>
      </c>
      <c r="D278" s="249" t="s">
        <v>561</v>
      </c>
      <c r="E278" s="250"/>
      <c r="F278" s="250"/>
      <c r="G278" s="250"/>
      <c r="H278" s="250"/>
      <c r="I278" s="250"/>
      <c r="J278" s="250"/>
      <c r="K278" s="250">
        <f t="shared" si="375"/>
        <v>0</v>
      </c>
      <c r="L278" s="252" t="str">
        <f t="shared" ref="L278:L342" si="377">IFERROR(K278/F278,"-")</f>
        <v>-</v>
      </c>
      <c r="M278" s="252" t="str">
        <f t="shared" ref="M278:M342" si="378">IFERROR(K278/H278,"-")</f>
        <v>-</v>
      </c>
      <c r="N278" s="250">
        <f>[1]PB8!E278</f>
        <v>0</v>
      </c>
      <c r="O278" s="252" t="str">
        <f t="shared" ref="O278:O342" si="379">IFERROR(N278/F278,"-")</f>
        <v>-</v>
      </c>
      <c r="P278" s="252" t="str">
        <f t="shared" ref="P278:P342" si="380">IFERROR(N278/H278,"-")</f>
        <v>-</v>
      </c>
      <c r="Q278" s="250">
        <f t="shared" si="376"/>
        <v>0</v>
      </c>
      <c r="R278" s="252" t="str">
        <f t="shared" ref="R278:R341" si="381">IFERROR(Q278/F278,"-")</f>
        <v>-</v>
      </c>
      <c r="S278" s="253">
        <f>[1]PB8!W278</f>
        <v>0</v>
      </c>
      <c r="T278" s="257"/>
      <c r="U278" s="10" t="str">
        <f t="shared" si="363"/>
        <v>-</v>
      </c>
      <c r="V278"/>
    </row>
    <row r="279" spans="1:22" ht="20.149999999999999" hidden="1" customHeight="1" outlineLevel="1">
      <c r="A279" s="247"/>
      <c r="B279" s="247"/>
      <c r="C279" s="248">
        <v>65063</v>
      </c>
      <c r="D279" s="249" t="s">
        <v>562</v>
      </c>
      <c r="E279" s="250"/>
      <c r="F279" s="250"/>
      <c r="G279" s="250"/>
      <c r="H279" s="250"/>
      <c r="I279" s="250"/>
      <c r="J279" s="250"/>
      <c r="K279" s="250">
        <f t="shared" si="375"/>
        <v>0</v>
      </c>
      <c r="L279" s="252" t="str">
        <f t="shared" si="377"/>
        <v>-</v>
      </c>
      <c r="M279" s="252" t="str">
        <f t="shared" si="378"/>
        <v>-</v>
      </c>
      <c r="N279" s="250">
        <f>[1]PB8!E279</f>
        <v>0</v>
      </c>
      <c r="O279" s="252" t="str">
        <f t="shared" si="379"/>
        <v>-</v>
      </c>
      <c r="P279" s="252" t="str">
        <f t="shared" si="380"/>
        <v>-</v>
      </c>
      <c r="Q279" s="250">
        <f t="shared" si="376"/>
        <v>0</v>
      </c>
      <c r="R279" s="252" t="str">
        <f t="shared" si="381"/>
        <v>-</v>
      </c>
      <c r="S279" s="253">
        <f>[1]PB8!W279</f>
        <v>0</v>
      </c>
      <c r="T279" s="257"/>
      <c r="U279" s="10" t="str">
        <f t="shared" si="363"/>
        <v>-</v>
      </c>
      <c r="V279"/>
    </row>
    <row r="280" spans="1:22" ht="20.149999999999999" hidden="1" customHeight="1" outlineLevel="1">
      <c r="A280" s="247"/>
      <c r="B280" s="247"/>
      <c r="C280" s="248">
        <v>65064</v>
      </c>
      <c r="D280" s="249" t="s">
        <v>563</v>
      </c>
      <c r="E280" s="250"/>
      <c r="F280" s="250"/>
      <c r="G280" s="250"/>
      <c r="H280" s="250"/>
      <c r="I280" s="250"/>
      <c r="J280" s="250"/>
      <c r="K280" s="250">
        <f t="shared" si="375"/>
        <v>0</v>
      </c>
      <c r="L280" s="252" t="str">
        <f t="shared" si="377"/>
        <v>-</v>
      </c>
      <c r="M280" s="252" t="str">
        <f t="shared" si="378"/>
        <v>-</v>
      </c>
      <c r="N280" s="250">
        <f>[1]PB8!E280</f>
        <v>0</v>
      </c>
      <c r="O280" s="252" t="str">
        <f t="shared" si="379"/>
        <v>-</v>
      </c>
      <c r="P280" s="252" t="str">
        <f t="shared" si="380"/>
        <v>-</v>
      </c>
      <c r="Q280" s="250">
        <f t="shared" si="376"/>
        <v>0</v>
      </c>
      <c r="R280" s="252" t="str">
        <f t="shared" si="381"/>
        <v>-</v>
      </c>
      <c r="S280" s="253">
        <f>[1]PB8!W280</f>
        <v>0</v>
      </c>
      <c r="T280" s="257"/>
      <c r="U280" s="10" t="str">
        <f t="shared" si="363"/>
        <v>-</v>
      </c>
      <c r="V280"/>
    </row>
    <row r="281" spans="1:22" ht="20.149999999999999" hidden="1" customHeight="1" outlineLevel="1">
      <c r="A281" s="247"/>
      <c r="B281" s="247"/>
      <c r="C281" s="248">
        <v>65065</v>
      </c>
      <c r="D281" s="249" t="s">
        <v>564</v>
      </c>
      <c r="E281" s="250"/>
      <c r="F281" s="250"/>
      <c r="G281" s="250"/>
      <c r="H281" s="250"/>
      <c r="I281" s="250"/>
      <c r="J281" s="250"/>
      <c r="K281" s="250">
        <f t="shared" si="375"/>
        <v>0</v>
      </c>
      <c r="L281" s="252" t="str">
        <f t="shared" si="377"/>
        <v>-</v>
      </c>
      <c r="M281" s="252" t="str">
        <f t="shared" si="378"/>
        <v>-</v>
      </c>
      <c r="N281" s="250">
        <f>[1]PB8!E281</f>
        <v>0</v>
      </c>
      <c r="O281" s="252" t="str">
        <f t="shared" si="379"/>
        <v>-</v>
      </c>
      <c r="P281" s="252" t="str">
        <f t="shared" si="380"/>
        <v>-</v>
      </c>
      <c r="Q281" s="250">
        <f t="shared" si="376"/>
        <v>0</v>
      </c>
      <c r="R281" s="252" t="str">
        <f t="shared" si="381"/>
        <v>-</v>
      </c>
      <c r="S281" s="253">
        <f>[1]PB8!W281</f>
        <v>0</v>
      </c>
      <c r="T281" s="257"/>
      <c r="U281" s="10" t="str">
        <f t="shared" si="363"/>
        <v>-</v>
      </c>
      <c r="V281"/>
    </row>
    <row r="282" spans="1:22" ht="20.149999999999999" hidden="1" customHeight="1" outlineLevel="1">
      <c r="A282" s="247"/>
      <c r="B282" s="247"/>
      <c r="C282" s="248">
        <v>65068</v>
      </c>
      <c r="D282" s="249" t="s">
        <v>565</v>
      </c>
      <c r="E282" s="250"/>
      <c r="F282" s="250"/>
      <c r="G282" s="250"/>
      <c r="H282" s="250"/>
      <c r="I282" s="250"/>
      <c r="J282" s="250"/>
      <c r="K282" s="250">
        <f t="shared" si="375"/>
        <v>0</v>
      </c>
      <c r="L282" s="252" t="str">
        <f t="shared" si="377"/>
        <v>-</v>
      </c>
      <c r="M282" s="252" t="str">
        <f t="shared" si="378"/>
        <v>-</v>
      </c>
      <c r="N282" s="250">
        <f>[1]PB8!E282</f>
        <v>0</v>
      </c>
      <c r="O282" s="252" t="str">
        <f t="shared" si="379"/>
        <v>-</v>
      </c>
      <c r="P282" s="252" t="str">
        <f t="shared" si="380"/>
        <v>-</v>
      </c>
      <c r="Q282" s="250">
        <f t="shared" si="376"/>
        <v>0</v>
      </c>
      <c r="R282" s="252" t="str">
        <f t="shared" si="381"/>
        <v>-</v>
      </c>
      <c r="S282" s="253">
        <f>[1]PB8!W282</f>
        <v>0</v>
      </c>
      <c r="T282" s="257"/>
      <c r="U282" s="10" t="str">
        <f t="shared" si="363"/>
        <v>-</v>
      </c>
      <c r="V282"/>
    </row>
    <row r="283" spans="1:22" ht="20.149999999999999" hidden="1" customHeight="1" outlineLevel="1">
      <c r="A283" s="241"/>
      <c r="B283" s="241">
        <v>6507</v>
      </c>
      <c r="C283" s="241"/>
      <c r="D283" s="242" t="s">
        <v>566</v>
      </c>
      <c r="E283" s="268">
        <f t="shared" ref="E283" si="382">SUM(E284:E285)</f>
        <v>0</v>
      </c>
      <c r="F283" s="268">
        <f t="shared" ref="F283:K283" si="383">SUM(F284:F285)</f>
        <v>0</v>
      </c>
      <c r="G283" s="268">
        <f t="shared" si="383"/>
        <v>0</v>
      </c>
      <c r="H283" s="268">
        <f t="shared" si="383"/>
        <v>0</v>
      </c>
      <c r="I283" s="268">
        <f t="shared" si="383"/>
        <v>0</v>
      </c>
      <c r="J283" s="268">
        <f t="shared" si="383"/>
        <v>0</v>
      </c>
      <c r="K283" s="268">
        <f t="shared" si="383"/>
        <v>0</v>
      </c>
      <c r="L283" s="244" t="str">
        <f t="shared" si="377"/>
        <v>-</v>
      </c>
      <c r="M283" s="244" t="str">
        <f t="shared" si="378"/>
        <v>-</v>
      </c>
      <c r="N283" s="268">
        <f t="shared" ref="N283" si="384">SUM(N284:N285)</f>
        <v>0</v>
      </c>
      <c r="O283" s="244" t="str">
        <f t="shared" si="379"/>
        <v>-</v>
      </c>
      <c r="P283" s="244" t="str">
        <f t="shared" si="380"/>
        <v>-</v>
      </c>
      <c r="Q283" s="268">
        <f t="shared" ref="Q283" si="385">SUM(Q284:Q285)</f>
        <v>0</v>
      </c>
      <c r="R283" s="244" t="str">
        <f t="shared" si="381"/>
        <v>-</v>
      </c>
      <c r="S283" s="269">
        <f t="shared" ref="S283" si="386">SUM(S284:S285)</f>
        <v>0</v>
      </c>
      <c r="T283" s="246"/>
      <c r="U283" s="10" t="str">
        <f t="shared" si="363"/>
        <v>-</v>
      </c>
      <c r="V283"/>
    </row>
    <row r="284" spans="1:22" ht="20.149999999999999" hidden="1" customHeight="1" outlineLevel="1">
      <c r="A284" s="276"/>
      <c r="B284" s="276"/>
      <c r="C284" s="248">
        <v>65071</v>
      </c>
      <c r="D284" s="249" t="s">
        <v>567</v>
      </c>
      <c r="E284" s="250"/>
      <c r="F284" s="250"/>
      <c r="G284" s="250"/>
      <c r="H284" s="250"/>
      <c r="I284" s="250"/>
      <c r="J284" s="250"/>
      <c r="K284" s="250">
        <f t="shared" ref="K284:K285" si="387">SUM(I284:J284)</f>
        <v>0</v>
      </c>
      <c r="L284" s="252" t="str">
        <f t="shared" si="377"/>
        <v>-</v>
      </c>
      <c r="M284" s="252" t="str">
        <f t="shared" si="378"/>
        <v>-</v>
      </c>
      <c r="N284" s="250">
        <f>[1]PB8!E284</f>
        <v>0</v>
      </c>
      <c r="O284" s="252" t="str">
        <f t="shared" si="379"/>
        <v>-</v>
      </c>
      <c r="P284" s="252" t="str">
        <f t="shared" si="380"/>
        <v>-</v>
      </c>
      <c r="Q284" s="250">
        <f t="shared" ref="Q284:Q285" si="388">N284-F284</f>
        <v>0</v>
      </c>
      <c r="R284" s="252" t="str">
        <f t="shared" si="381"/>
        <v>-</v>
      </c>
      <c r="S284" s="253">
        <f>[1]PB8!W284</f>
        <v>0</v>
      </c>
      <c r="T284" s="257"/>
      <c r="U284" s="10" t="str">
        <f t="shared" si="363"/>
        <v>-</v>
      </c>
      <c r="V284"/>
    </row>
    <row r="285" spans="1:22" ht="20.149999999999999" hidden="1" customHeight="1" outlineLevel="1">
      <c r="A285" s="276"/>
      <c r="B285" s="276"/>
      <c r="C285" s="248">
        <v>65072</v>
      </c>
      <c r="D285" s="249" t="s">
        <v>568</v>
      </c>
      <c r="E285" s="250"/>
      <c r="F285" s="250"/>
      <c r="G285" s="250"/>
      <c r="H285" s="250"/>
      <c r="I285" s="250"/>
      <c r="J285" s="250"/>
      <c r="K285" s="250">
        <f t="shared" si="387"/>
        <v>0</v>
      </c>
      <c r="L285" s="252" t="str">
        <f t="shared" si="377"/>
        <v>-</v>
      </c>
      <c r="M285" s="252" t="str">
        <f t="shared" si="378"/>
        <v>-</v>
      </c>
      <c r="N285" s="250">
        <f>[1]PB8!E285</f>
        <v>0</v>
      </c>
      <c r="O285" s="252" t="str">
        <f t="shared" si="379"/>
        <v>-</v>
      </c>
      <c r="P285" s="252" t="str">
        <f t="shared" si="380"/>
        <v>-</v>
      </c>
      <c r="Q285" s="250">
        <f t="shared" si="388"/>
        <v>0</v>
      </c>
      <c r="R285" s="252" t="str">
        <f t="shared" si="381"/>
        <v>-</v>
      </c>
      <c r="S285" s="253">
        <f>[1]PB8!W285</f>
        <v>0</v>
      </c>
      <c r="T285" s="257"/>
      <c r="U285" s="10" t="str">
        <f t="shared" si="363"/>
        <v>-</v>
      </c>
      <c r="V285"/>
    </row>
    <row r="286" spans="1:22" ht="20.149999999999999" hidden="1" customHeight="1" outlineLevel="1">
      <c r="A286" s="276"/>
      <c r="B286" s="241">
        <v>6508</v>
      </c>
      <c r="C286" s="241"/>
      <c r="D286" s="242" t="s">
        <v>569</v>
      </c>
      <c r="E286" s="268">
        <f t="shared" ref="E286:K286" si="389">SUM(E287:E288)</f>
        <v>0</v>
      </c>
      <c r="F286" s="268">
        <f t="shared" si="389"/>
        <v>0</v>
      </c>
      <c r="G286" s="268">
        <f t="shared" si="389"/>
        <v>0</v>
      </c>
      <c r="H286" s="268">
        <f t="shared" si="389"/>
        <v>0</v>
      </c>
      <c r="I286" s="268">
        <f t="shared" si="389"/>
        <v>0</v>
      </c>
      <c r="J286" s="268">
        <f t="shared" si="389"/>
        <v>0</v>
      </c>
      <c r="K286" s="268">
        <f t="shared" si="389"/>
        <v>0</v>
      </c>
      <c r="L286" s="244" t="str">
        <f t="shared" si="377"/>
        <v>-</v>
      </c>
      <c r="M286" s="244" t="str">
        <f t="shared" si="378"/>
        <v>-</v>
      </c>
      <c r="N286" s="268">
        <f t="shared" ref="N286" si="390">SUM(N287:N288)</f>
        <v>0</v>
      </c>
      <c r="O286" s="244" t="str">
        <f t="shared" si="379"/>
        <v>-</v>
      </c>
      <c r="P286" s="244" t="str">
        <f t="shared" si="380"/>
        <v>-</v>
      </c>
      <c r="Q286" s="268">
        <f t="shared" ref="Q286" si="391">SUM(Q287:Q288)</f>
        <v>0</v>
      </c>
      <c r="R286" s="244" t="str">
        <f t="shared" si="381"/>
        <v>-</v>
      </c>
      <c r="S286" s="269">
        <f t="shared" ref="S286" si="392">SUM(S287:S288)</f>
        <v>0</v>
      </c>
      <c r="T286" s="246"/>
      <c r="U286" s="10" t="str">
        <f t="shared" si="363"/>
        <v>-</v>
      </c>
      <c r="V286"/>
    </row>
    <row r="287" spans="1:22" ht="20.149999999999999" hidden="1" customHeight="1" outlineLevel="1">
      <c r="A287" s="276"/>
      <c r="B287" s="276"/>
      <c r="C287" s="248">
        <v>65081</v>
      </c>
      <c r="D287" s="249" t="s">
        <v>570</v>
      </c>
      <c r="E287" s="250"/>
      <c r="F287" s="250"/>
      <c r="G287" s="250"/>
      <c r="H287" s="250"/>
      <c r="I287" s="250"/>
      <c r="J287" s="250"/>
      <c r="K287" s="250">
        <f t="shared" ref="K287:K288" si="393">SUM(I287:J287)</f>
        <v>0</v>
      </c>
      <c r="L287" s="252" t="str">
        <f t="shared" si="377"/>
        <v>-</v>
      </c>
      <c r="M287" s="252" t="str">
        <f t="shared" si="378"/>
        <v>-</v>
      </c>
      <c r="N287" s="250">
        <f>[1]PB8!E287</f>
        <v>0</v>
      </c>
      <c r="O287" s="252" t="str">
        <f t="shared" si="379"/>
        <v>-</v>
      </c>
      <c r="P287" s="252" t="str">
        <f t="shared" si="380"/>
        <v>-</v>
      </c>
      <c r="Q287" s="250">
        <f t="shared" ref="Q287:Q288" si="394">N287-F287</f>
        <v>0</v>
      </c>
      <c r="R287" s="252" t="str">
        <f t="shared" si="381"/>
        <v>-</v>
      </c>
      <c r="S287" s="253">
        <f>[1]PB8!W287</f>
        <v>0</v>
      </c>
      <c r="T287" s="257"/>
      <c r="U287" s="10" t="str">
        <f t="shared" si="363"/>
        <v>-</v>
      </c>
      <c r="V287"/>
    </row>
    <row r="288" spans="1:22" ht="20.149999999999999" hidden="1" customHeight="1" outlineLevel="1">
      <c r="A288" s="276"/>
      <c r="B288" s="276"/>
      <c r="C288" s="248">
        <v>65082</v>
      </c>
      <c r="D288" s="249" t="s">
        <v>571</v>
      </c>
      <c r="E288" s="250"/>
      <c r="F288" s="250"/>
      <c r="G288" s="250"/>
      <c r="H288" s="250"/>
      <c r="I288" s="250"/>
      <c r="J288" s="250"/>
      <c r="K288" s="250">
        <f t="shared" si="393"/>
        <v>0</v>
      </c>
      <c r="L288" s="252" t="str">
        <f t="shared" si="377"/>
        <v>-</v>
      </c>
      <c r="M288" s="252" t="str">
        <f t="shared" si="378"/>
        <v>-</v>
      </c>
      <c r="N288" s="250">
        <f>[1]PB8!E288</f>
        <v>0</v>
      </c>
      <c r="O288" s="252" t="str">
        <f t="shared" si="379"/>
        <v>-</v>
      </c>
      <c r="P288" s="252" t="str">
        <f t="shared" si="380"/>
        <v>-</v>
      </c>
      <c r="Q288" s="250">
        <f t="shared" si="394"/>
        <v>0</v>
      </c>
      <c r="R288" s="252" t="str">
        <f t="shared" si="381"/>
        <v>-</v>
      </c>
      <c r="S288" s="253">
        <f>[1]PB8!W288</f>
        <v>0</v>
      </c>
      <c r="T288" s="257"/>
      <c r="U288" s="10" t="str">
        <f t="shared" si="363"/>
        <v>-</v>
      </c>
      <c r="V288"/>
    </row>
    <row r="289" spans="1:22" ht="20.149999999999999" hidden="1" customHeight="1" outlineLevel="1">
      <c r="A289" s="241"/>
      <c r="B289" s="241">
        <v>6509</v>
      </c>
      <c r="C289" s="241"/>
      <c r="D289" s="242" t="s">
        <v>572</v>
      </c>
      <c r="E289" s="243">
        <f>SUM(E290:E292)</f>
        <v>0</v>
      </c>
      <c r="F289" s="243">
        <f t="shared" ref="F289:K289" si="395">SUM(F290:F292)</f>
        <v>0</v>
      </c>
      <c r="G289" s="243">
        <f t="shared" si="395"/>
        <v>0</v>
      </c>
      <c r="H289" s="243">
        <f t="shared" si="395"/>
        <v>0</v>
      </c>
      <c r="I289" s="243">
        <f t="shared" si="395"/>
        <v>0</v>
      </c>
      <c r="J289" s="243">
        <f t="shared" si="395"/>
        <v>0</v>
      </c>
      <c r="K289" s="243">
        <f t="shared" si="395"/>
        <v>0</v>
      </c>
      <c r="L289" s="244" t="str">
        <f t="shared" si="377"/>
        <v>-</v>
      </c>
      <c r="M289" s="244" t="str">
        <f t="shared" si="378"/>
        <v>-</v>
      </c>
      <c r="N289" s="243">
        <f>SUM(N290:N292)</f>
        <v>0</v>
      </c>
      <c r="O289" s="244" t="str">
        <f t="shared" si="379"/>
        <v>-</v>
      </c>
      <c r="P289" s="244" t="str">
        <f t="shared" si="380"/>
        <v>-</v>
      </c>
      <c r="Q289" s="243">
        <f>SUM(Q290:Q292)</f>
        <v>0</v>
      </c>
      <c r="R289" s="244" t="str">
        <f t="shared" si="381"/>
        <v>-</v>
      </c>
      <c r="S289" s="245">
        <f>SUM(S290:S292)</f>
        <v>0</v>
      </c>
      <c r="T289" s="246"/>
      <c r="U289" s="10" t="str">
        <f t="shared" si="363"/>
        <v>-</v>
      </c>
      <c r="V289"/>
    </row>
    <row r="290" spans="1:22" ht="20.149999999999999" hidden="1" customHeight="1" outlineLevel="1">
      <c r="A290" s="241"/>
      <c r="B290" s="241"/>
      <c r="C290" s="248">
        <v>65091</v>
      </c>
      <c r="D290" s="249" t="s">
        <v>573</v>
      </c>
      <c r="E290" s="250"/>
      <c r="F290" s="250"/>
      <c r="G290" s="250"/>
      <c r="H290" s="250"/>
      <c r="I290" s="250"/>
      <c r="J290" s="250"/>
      <c r="K290" s="250">
        <f>SUM(I290:J290)</f>
        <v>0</v>
      </c>
      <c r="L290" s="252" t="str">
        <f>IFERROR(K290/F290,"-")</f>
        <v>-</v>
      </c>
      <c r="M290" s="252" t="str">
        <f>IFERROR(K290/H290,"-")</f>
        <v>-</v>
      </c>
      <c r="N290" s="250">
        <f>[1]PB8!E294</f>
        <v>0</v>
      </c>
      <c r="O290" s="252" t="str">
        <f>IFERROR(N290/F290,"-")</f>
        <v>-</v>
      </c>
      <c r="P290" s="252" t="str">
        <f>IFERROR(N290/H290,"-")</f>
        <v>-</v>
      </c>
      <c r="Q290" s="250">
        <f t="shared" ref="Q290:Q292" si="396">N290-F290</f>
        <v>0</v>
      </c>
      <c r="R290" s="252" t="str">
        <f t="shared" si="381"/>
        <v>-</v>
      </c>
      <c r="S290" s="253">
        <f>[1]PB8!W294</f>
        <v>0</v>
      </c>
      <c r="T290" s="257"/>
      <c r="U290" s="10" t="str">
        <f t="shared" si="363"/>
        <v>-</v>
      </c>
      <c r="V290"/>
    </row>
    <row r="291" spans="1:22" ht="20.149999999999999" hidden="1" customHeight="1" outlineLevel="1">
      <c r="A291" s="247"/>
      <c r="B291" s="247"/>
      <c r="C291" s="248">
        <v>65092</v>
      </c>
      <c r="D291" s="249" t="s">
        <v>574</v>
      </c>
      <c r="E291" s="250"/>
      <c r="F291" s="250"/>
      <c r="G291" s="250"/>
      <c r="H291" s="250"/>
      <c r="I291" s="250"/>
      <c r="J291" s="250"/>
      <c r="K291" s="250">
        <f t="shared" ref="K291:K292" si="397">SUM(I291:J291)</f>
        <v>0</v>
      </c>
      <c r="L291" s="252" t="str">
        <f t="shared" ref="L291:L292" si="398">IFERROR(K291/F291,"-")</f>
        <v>-</v>
      </c>
      <c r="M291" s="252" t="str">
        <f t="shared" ref="M291:M292" si="399">IFERROR(K291/H291,"-")</f>
        <v>-</v>
      </c>
      <c r="N291" s="250">
        <f>[1]PB8!E295</f>
        <v>0</v>
      </c>
      <c r="O291" s="252" t="str">
        <f t="shared" ref="O291:O292" si="400">IFERROR(N291/F291,"-")</f>
        <v>-</v>
      </c>
      <c r="P291" s="252" t="str">
        <f t="shared" ref="P291:P292" si="401">IFERROR(N291/H291,"-")</f>
        <v>-</v>
      </c>
      <c r="Q291" s="250">
        <f t="shared" si="396"/>
        <v>0</v>
      </c>
      <c r="R291" s="252" t="str">
        <f t="shared" si="381"/>
        <v>-</v>
      </c>
      <c r="S291" s="253">
        <f>[1]PB8!W295</f>
        <v>0</v>
      </c>
      <c r="T291" s="257"/>
      <c r="U291" s="10" t="str">
        <f t="shared" si="363"/>
        <v>-</v>
      </c>
      <c r="V291"/>
    </row>
    <row r="292" spans="1:22" ht="20.149999999999999" hidden="1" customHeight="1" outlineLevel="1">
      <c r="A292" s="247"/>
      <c r="B292" s="247"/>
      <c r="C292" s="248">
        <v>65098</v>
      </c>
      <c r="D292" s="249" t="s">
        <v>50</v>
      </c>
      <c r="E292" s="250"/>
      <c r="F292" s="250"/>
      <c r="G292" s="250"/>
      <c r="H292" s="250"/>
      <c r="I292" s="250"/>
      <c r="J292" s="250"/>
      <c r="K292" s="250">
        <f t="shared" si="397"/>
        <v>0</v>
      </c>
      <c r="L292" s="252" t="str">
        <f t="shared" si="398"/>
        <v>-</v>
      </c>
      <c r="M292" s="252" t="str">
        <f t="shared" si="399"/>
        <v>-</v>
      </c>
      <c r="N292" s="250">
        <f>[1]PB8!E296</f>
        <v>0</v>
      </c>
      <c r="O292" s="252" t="str">
        <f t="shared" si="400"/>
        <v>-</v>
      </c>
      <c r="P292" s="252" t="str">
        <f t="shared" si="401"/>
        <v>-</v>
      </c>
      <c r="Q292" s="250">
        <f t="shared" si="396"/>
        <v>0</v>
      </c>
      <c r="R292" s="252" t="str">
        <f t="shared" si="381"/>
        <v>-</v>
      </c>
      <c r="S292" s="253">
        <f>[1]PB8!W296</f>
        <v>0</v>
      </c>
      <c r="T292" s="257"/>
      <c r="U292" s="10" t="str">
        <f t="shared" si="363"/>
        <v>-</v>
      </c>
      <c r="V292"/>
    </row>
    <row r="293" spans="1:22" ht="20.149999999999999" hidden="1" customHeight="1" outlineLevel="1">
      <c r="A293" s="241"/>
      <c r="B293" s="241">
        <v>6598</v>
      </c>
      <c r="C293" s="276"/>
      <c r="D293" s="277" t="s">
        <v>575</v>
      </c>
      <c r="E293" s="271">
        <f t="shared" ref="E293:K293" si="402">E294</f>
        <v>0</v>
      </c>
      <c r="F293" s="271">
        <f t="shared" si="402"/>
        <v>0</v>
      </c>
      <c r="G293" s="271">
        <f t="shared" si="402"/>
        <v>0</v>
      </c>
      <c r="H293" s="271">
        <f t="shared" si="402"/>
        <v>0</v>
      </c>
      <c r="I293" s="271">
        <f t="shared" si="402"/>
        <v>0</v>
      </c>
      <c r="J293" s="271">
        <f t="shared" si="402"/>
        <v>0</v>
      </c>
      <c r="K293" s="271">
        <f t="shared" si="402"/>
        <v>0</v>
      </c>
      <c r="L293" s="272" t="str">
        <f t="shared" si="377"/>
        <v>-</v>
      </c>
      <c r="M293" s="272" t="str">
        <f t="shared" si="378"/>
        <v>-</v>
      </c>
      <c r="N293" s="271">
        <f t="shared" ref="N293" si="403">N294</f>
        <v>0</v>
      </c>
      <c r="O293" s="272" t="str">
        <f t="shared" si="379"/>
        <v>-</v>
      </c>
      <c r="P293" s="272" t="str">
        <f t="shared" si="380"/>
        <v>-</v>
      </c>
      <c r="Q293" s="271">
        <f t="shared" ref="Q293" si="404">Q294</f>
        <v>0</v>
      </c>
      <c r="R293" s="272" t="str">
        <f t="shared" si="381"/>
        <v>-</v>
      </c>
      <c r="S293" s="273">
        <f t="shared" ref="S293" si="405">S294</f>
        <v>0</v>
      </c>
      <c r="T293" s="274"/>
      <c r="U293" s="10" t="str">
        <f t="shared" si="363"/>
        <v>-</v>
      </c>
      <c r="V293"/>
    </row>
    <row r="294" spans="1:22" ht="20.149999999999999" hidden="1" customHeight="1" outlineLevel="1">
      <c r="A294" s="275"/>
      <c r="B294" s="275"/>
      <c r="C294" s="248">
        <v>65981</v>
      </c>
      <c r="D294" s="249" t="s">
        <v>575</v>
      </c>
      <c r="E294" s="250"/>
      <c r="F294" s="250"/>
      <c r="G294" s="250"/>
      <c r="H294" s="250"/>
      <c r="I294" s="250"/>
      <c r="J294" s="250"/>
      <c r="K294" s="250">
        <f>SUM(I294:J294)</f>
        <v>0</v>
      </c>
      <c r="L294" s="252" t="str">
        <f>IFERROR(K294/F294,"-")</f>
        <v>-</v>
      </c>
      <c r="M294" s="252" t="str">
        <f>IFERROR(K294/H294,"-")</f>
        <v>-</v>
      </c>
      <c r="N294" s="250">
        <f>[1]PB8!E294</f>
        <v>0</v>
      </c>
      <c r="O294" s="252" t="str">
        <f>IFERROR(N294/F294,"-")</f>
        <v>-</v>
      </c>
      <c r="P294" s="252" t="str">
        <f>IFERROR(N294/H294,"-")</f>
        <v>-</v>
      </c>
      <c r="Q294" s="250">
        <f>N294-F294</f>
        <v>0</v>
      </c>
      <c r="R294" s="252" t="str">
        <f t="shared" si="381"/>
        <v>-</v>
      </c>
      <c r="S294" s="253">
        <f>[1]PB8!W294</f>
        <v>0</v>
      </c>
      <c r="T294" s="257"/>
      <c r="U294" s="10" t="str">
        <f t="shared" si="363"/>
        <v>-</v>
      </c>
      <c r="V294"/>
    </row>
    <row r="295" spans="1:22" s="137" customFormat="1" ht="20.149999999999999" hidden="1" customHeight="1" outlineLevel="1">
      <c r="A295" s="229" t="s">
        <v>576</v>
      </c>
      <c r="B295" s="229"/>
      <c r="C295" s="229"/>
      <c r="D295" s="229"/>
      <c r="E295" s="230">
        <f t="shared" ref="E295:K295" si="406">E296</f>
        <v>0</v>
      </c>
      <c r="F295" s="230">
        <f t="shared" si="406"/>
        <v>0</v>
      </c>
      <c r="G295" s="230">
        <f t="shared" si="406"/>
        <v>0</v>
      </c>
      <c r="H295" s="230">
        <f t="shared" si="406"/>
        <v>0</v>
      </c>
      <c r="I295" s="230">
        <f t="shared" si="406"/>
        <v>0</v>
      </c>
      <c r="J295" s="230">
        <f t="shared" si="406"/>
        <v>0</v>
      </c>
      <c r="K295" s="230">
        <f t="shared" si="406"/>
        <v>0</v>
      </c>
      <c r="L295" s="231" t="str">
        <f t="shared" si="377"/>
        <v>-</v>
      </c>
      <c r="M295" s="231" t="str">
        <f t="shared" si="378"/>
        <v>-</v>
      </c>
      <c r="N295" s="230">
        <f t="shared" ref="N295" si="407">N296</f>
        <v>0</v>
      </c>
      <c r="O295" s="231" t="str">
        <f t="shared" si="379"/>
        <v>-</v>
      </c>
      <c r="P295" s="231" t="str">
        <f t="shared" si="380"/>
        <v>-</v>
      </c>
      <c r="Q295" s="230">
        <f t="shared" ref="Q295" si="408">Q296</f>
        <v>0</v>
      </c>
      <c r="R295" s="231" t="str">
        <f t="shared" si="381"/>
        <v>-</v>
      </c>
      <c r="S295" s="232">
        <f t="shared" ref="S295" si="409">S296</f>
        <v>0</v>
      </c>
      <c r="T295" s="233"/>
      <c r="U295" s="137" t="str">
        <f t="shared" si="363"/>
        <v>-</v>
      </c>
      <c r="V295"/>
    </row>
    <row r="296" spans="1:22" ht="20.149999999999999" hidden="1" customHeight="1" outlineLevel="1">
      <c r="A296" s="234">
        <v>63</v>
      </c>
      <c r="B296" s="234"/>
      <c r="C296" s="235"/>
      <c r="D296" s="236" t="s">
        <v>577</v>
      </c>
      <c r="E296" s="237">
        <f t="shared" ref="E296:K296" si="410">E297+E299+E304+E308+E310+E314+E319+E321</f>
        <v>0</v>
      </c>
      <c r="F296" s="237">
        <f t="shared" si="410"/>
        <v>0</v>
      </c>
      <c r="G296" s="237">
        <f t="shared" si="410"/>
        <v>0</v>
      </c>
      <c r="H296" s="237">
        <f t="shared" si="410"/>
        <v>0</v>
      </c>
      <c r="I296" s="237">
        <f t="shared" si="410"/>
        <v>0</v>
      </c>
      <c r="J296" s="237">
        <f t="shared" si="410"/>
        <v>0</v>
      </c>
      <c r="K296" s="237">
        <f t="shared" si="410"/>
        <v>0</v>
      </c>
      <c r="L296" s="238" t="str">
        <f t="shared" si="377"/>
        <v>-</v>
      </c>
      <c r="M296" s="238" t="str">
        <f t="shared" si="378"/>
        <v>-</v>
      </c>
      <c r="N296" s="237">
        <f t="shared" ref="N296" si="411">N297+N299+N304+N308+N310+N314+N319+N321</f>
        <v>0</v>
      </c>
      <c r="O296" s="238" t="str">
        <f t="shared" si="379"/>
        <v>-</v>
      </c>
      <c r="P296" s="238" t="str">
        <f t="shared" si="380"/>
        <v>-</v>
      </c>
      <c r="Q296" s="237">
        <f t="shared" ref="Q296" si="412">Q297+Q299+Q304+Q308+Q310+Q314+Q319+Q321</f>
        <v>0</v>
      </c>
      <c r="R296" s="238" t="str">
        <f t="shared" si="381"/>
        <v>-</v>
      </c>
      <c r="S296" s="239">
        <f t="shared" ref="S296" si="413">S297+S299+S304+S308+S310+S314+S319+S321</f>
        <v>0</v>
      </c>
      <c r="T296" s="240"/>
      <c r="U296" s="10" t="str">
        <f t="shared" si="363"/>
        <v>-</v>
      </c>
      <c r="V296"/>
    </row>
    <row r="297" spans="1:22" ht="20.149999999999999" hidden="1" customHeight="1" outlineLevel="1">
      <c r="A297" s="241"/>
      <c r="B297" s="241">
        <v>6301</v>
      </c>
      <c r="C297" s="241"/>
      <c r="D297" s="242" t="s">
        <v>578</v>
      </c>
      <c r="E297" s="268">
        <f t="shared" ref="E297:K297" si="414">E298</f>
        <v>0</v>
      </c>
      <c r="F297" s="268">
        <f t="shared" si="414"/>
        <v>0</v>
      </c>
      <c r="G297" s="268">
        <f t="shared" si="414"/>
        <v>0</v>
      </c>
      <c r="H297" s="268">
        <f t="shared" si="414"/>
        <v>0</v>
      </c>
      <c r="I297" s="268">
        <f t="shared" si="414"/>
        <v>0</v>
      </c>
      <c r="J297" s="268">
        <f t="shared" si="414"/>
        <v>0</v>
      </c>
      <c r="K297" s="268">
        <f t="shared" si="414"/>
        <v>0</v>
      </c>
      <c r="L297" s="244" t="str">
        <f t="shared" si="377"/>
        <v>-</v>
      </c>
      <c r="M297" s="244" t="str">
        <f t="shared" si="378"/>
        <v>-</v>
      </c>
      <c r="N297" s="268">
        <f t="shared" ref="N297" si="415">N298</f>
        <v>0</v>
      </c>
      <c r="O297" s="244" t="str">
        <f t="shared" si="379"/>
        <v>-</v>
      </c>
      <c r="P297" s="244" t="str">
        <f t="shared" si="380"/>
        <v>-</v>
      </c>
      <c r="Q297" s="268">
        <f t="shared" ref="Q297" si="416">Q298</f>
        <v>0</v>
      </c>
      <c r="R297" s="244" t="str">
        <f t="shared" si="381"/>
        <v>-</v>
      </c>
      <c r="S297" s="269">
        <f t="shared" ref="S297" si="417">S298</f>
        <v>0</v>
      </c>
      <c r="T297" s="246"/>
      <c r="U297" s="10" t="str">
        <f t="shared" si="363"/>
        <v>-</v>
      </c>
      <c r="V297"/>
    </row>
    <row r="298" spans="1:22" ht="20.149999999999999" hidden="1" customHeight="1" outlineLevel="1">
      <c r="A298" s="241"/>
      <c r="B298" s="241"/>
      <c r="C298" s="248">
        <v>63011</v>
      </c>
      <c r="D298" s="249" t="s">
        <v>578</v>
      </c>
      <c r="E298" s="250"/>
      <c r="F298" s="250"/>
      <c r="G298" s="250"/>
      <c r="H298" s="250"/>
      <c r="I298" s="250"/>
      <c r="J298" s="250"/>
      <c r="K298" s="250">
        <f>SUM(I298:J298)</f>
        <v>0</v>
      </c>
      <c r="L298" s="252" t="str">
        <f>IFERROR(K298/F298,"-")</f>
        <v>-</v>
      </c>
      <c r="M298" s="252" t="str">
        <f>IFERROR(K298/H298,"-")</f>
        <v>-</v>
      </c>
      <c r="N298" s="250">
        <f>[1]PB8!E298</f>
        <v>0</v>
      </c>
      <c r="O298" s="252" t="str">
        <f>IFERROR(N298/F298,"-")</f>
        <v>-</v>
      </c>
      <c r="P298" s="252" t="str">
        <f>IFERROR(N298/H298,"-")</f>
        <v>-</v>
      </c>
      <c r="Q298" s="250">
        <f>N298-F298</f>
        <v>0</v>
      </c>
      <c r="R298" s="252" t="str">
        <f t="shared" si="381"/>
        <v>-</v>
      </c>
      <c r="S298" s="253">
        <f>[1]PB8!W298</f>
        <v>0</v>
      </c>
      <c r="T298" s="257"/>
      <c r="U298" s="10" t="str">
        <f t="shared" si="363"/>
        <v>-</v>
      </c>
      <c r="V298"/>
    </row>
    <row r="299" spans="1:22" ht="20.149999999999999" hidden="1" customHeight="1" outlineLevel="1">
      <c r="A299" s="241"/>
      <c r="B299" s="241">
        <v>6302</v>
      </c>
      <c r="C299" s="241"/>
      <c r="D299" s="242" t="s">
        <v>579</v>
      </c>
      <c r="E299" s="268">
        <f t="shared" ref="E299" si="418">SUM(E300:E303)</f>
        <v>0</v>
      </c>
      <c r="F299" s="268">
        <f t="shared" ref="F299:K299" si="419">SUM(F300:F303)</f>
        <v>0</v>
      </c>
      <c r="G299" s="268">
        <f t="shared" si="419"/>
        <v>0</v>
      </c>
      <c r="H299" s="268">
        <f t="shared" si="419"/>
        <v>0</v>
      </c>
      <c r="I299" s="268">
        <f t="shared" si="419"/>
        <v>0</v>
      </c>
      <c r="J299" s="268">
        <f t="shared" si="419"/>
        <v>0</v>
      </c>
      <c r="K299" s="268">
        <f t="shared" si="419"/>
        <v>0</v>
      </c>
      <c r="L299" s="244" t="str">
        <f t="shared" si="377"/>
        <v>-</v>
      </c>
      <c r="M299" s="244" t="str">
        <f t="shared" si="378"/>
        <v>-</v>
      </c>
      <c r="N299" s="268">
        <f t="shared" ref="N299" si="420">SUM(N300:N303)</f>
        <v>0</v>
      </c>
      <c r="O299" s="244" t="str">
        <f t="shared" si="379"/>
        <v>-</v>
      </c>
      <c r="P299" s="244" t="str">
        <f t="shared" si="380"/>
        <v>-</v>
      </c>
      <c r="Q299" s="268">
        <f t="shared" ref="Q299" si="421">SUM(Q300:Q303)</f>
        <v>0</v>
      </c>
      <c r="R299" s="244" t="str">
        <f t="shared" si="381"/>
        <v>-</v>
      </c>
      <c r="S299" s="269">
        <f t="shared" ref="S299" si="422">SUM(S300:S303)</f>
        <v>0</v>
      </c>
      <c r="T299" s="246"/>
      <c r="U299" s="10" t="str">
        <f t="shared" si="363"/>
        <v>-</v>
      </c>
      <c r="V299"/>
    </row>
    <row r="300" spans="1:22" ht="20.149999999999999" hidden="1" customHeight="1" outlineLevel="1">
      <c r="A300" s="241"/>
      <c r="B300" s="241"/>
      <c r="C300" s="248">
        <v>63021</v>
      </c>
      <c r="D300" s="249" t="s">
        <v>579</v>
      </c>
      <c r="E300" s="250"/>
      <c r="F300" s="250"/>
      <c r="G300" s="250"/>
      <c r="H300" s="250"/>
      <c r="I300" s="250"/>
      <c r="J300" s="250"/>
      <c r="K300" s="250">
        <f t="shared" ref="K300:K303" si="423">SUM(I300:J300)</f>
        <v>0</v>
      </c>
      <c r="L300" s="252" t="str">
        <f t="shared" si="377"/>
        <v>-</v>
      </c>
      <c r="M300" s="252" t="str">
        <f t="shared" si="378"/>
        <v>-</v>
      </c>
      <c r="N300" s="250">
        <f>[1]PB8!E300</f>
        <v>0</v>
      </c>
      <c r="O300" s="252" t="str">
        <f t="shared" si="379"/>
        <v>-</v>
      </c>
      <c r="P300" s="252" t="str">
        <f t="shared" si="380"/>
        <v>-</v>
      </c>
      <c r="Q300" s="250">
        <f t="shared" ref="Q300:Q303" si="424">N300-F300</f>
        <v>0</v>
      </c>
      <c r="R300" s="252" t="str">
        <f t="shared" si="381"/>
        <v>-</v>
      </c>
      <c r="S300" s="253">
        <f>[1]PB8!W300</f>
        <v>0</v>
      </c>
      <c r="T300" s="257"/>
      <c r="U300" s="10" t="str">
        <f t="shared" si="363"/>
        <v>-</v>
      </c>
      <c r="V300"/>
    </row>
    <row r="301" spans="1:22" ht="20.149999999999999" hidden="1" customHeight="1" outlineLevel="1">
      <c r="A301" s="241"/>
      <c r="B301" s="241"/>
      <c r="C301" s="248">
        <v>63022</v>
      </c>
      <c r="D301" s="278" t="s">
        <v>580</v>
      </c>
      <c r="E301" s="250"/>
      <c r="F301" s="250"/>
      <c r="G301" s="250"/>
      <c r="H301" s="250"/>
      <c r="I301" s="250"/>
      <c r="J301" s="250"/>
      <c r="K301" s="250">
        <f t="shared" si="423"/>
        <v>0</v>
      </c>
      <c r="L301" s="252" t="str">
        <f t="shared" si="377"/>
        <v>-</v>
      </c>
      <c r="M301" s="252" t="str">
        <f t="shared" si="378"/>
        <v>-</v>
      </c>
      <c r="N301" s="250">
        <f>[1]PB8!E301</f>
        <v>0</v>
      </c>
      <c r="O301" s="252" t="str">
        <f t="shared" si="379"/>
        <v>-</v>
      </c>
      <c r="P301" s="252" t="str">
        <f t="shared" si="380"/>
        <v>-</v>
      </c>
      <c r="Q301" s="250">
        <f t="shared" si="424"/>
        <v>0</v>
      </c>
      <c r="R301" s="252" t="str">
        <f t="shared" si="381"/>
        <v>-</v>
      </c>
      <c r="S301" s="253">
        <f>[1]PB8!W301</f>
        <v>0</v>
      </c>
      <c r="T301" s="257"/>
      <c r="U301" s="10" t="str">
        <f t="shared" si="363"/>
        <v>-</v>
      </c>
      <c r="V301"/>
    </row>
    <row r="302" spans="1:22" ht="20.149999999999999" hidden="1" customHeight="1" outlineLevel="1">
      <c r="A302" s="241"/>
      <c r="B302" s="241"/>
      <c r="C302" s="248">
        <v>63023</v>
      </c>
      <c r="D302" s="278" t="s">
        <v>581</v>
      </c>
      <c r="E302" s="250"/>
      <c r="F302" s="250"/>
      <c r="G302" s="250"/>
      <c r="H302" s="250"/>
      <c r="I302" s="250"/>
      <c r="J302" s="250"/>
      <c r="K302" s="250">
        <f t="shared" si="423"/>
        <v>0</v>
      </c>
      <c r="L302" s="252" t="str">
        <f t="shared" si="377"/>
        <v>-</v>
      </c>
      <c r="M302" s="252" t="str">
        <f t="shared" si="378"/>
        <v>-</v>
      </c>
      <c r="N302" s="250">
        <f>[1]PB8!E302</f>
        <v>0</v>
      </c>
      <c r="O302" s="252" t="str">
        <f t="shared" si="379"/>
        <v>-</v>
      </c>
      <c r="P302" s="252" t="str">
        <f t="shared" si="380"/>
        <v>-</v>
      </c>
      <c r="Q302" s="250">
        <f t="shared" si="424"/>
        <v>0</v>
      </c>
      <c r="R302" s="252" t="str">
        <f t="shared" si="381"/>
        <v>-</v>
      </c>
      <c r="S302" s="253">
        <f>[1]PB8!W302</f>
        <v>0</v>
      </c>
      <c r="T302" s="257"/>
      <c r="U302" s="10" t="str">
        <f t="shared" si="363"/>
        <v>-</v>
      </c>
      <c r="V302"/>
    </row>
    <row r="303" spans="1:22" ht="20.149999999999999" hidden="1" customHeight="1" outlineLevel="1">
      <c r="A303" s="241"/>
      <c r="B303" s="241"/>
      <c r="C303" s="248">
        <v>63028</v>
      </c>
      <c r="D303" s="249" t="s">
        <v>50</v>
      </c>
      <c r="E303" s="250"/>
      <c r="F303" s="250"/>
      <c r="G303" s="250"/>
      <c r="H303" s="250"/>
      <c r="I303" s="250"/>
      <c r="J303" s="250"/>
      <c r="K303" s="250">
        <f t="shared" si="423"/>
        <v>0</v>
      </c>
      <c r="L303" s="252" t="str">
        <f t="shared" si="377"/>
        <v>-</v>
      </c>
      <c r="M303" s="252" t="str">
        <f t="shared" si="378"/>
        <v>-</v>
      </c>
      <c r="N303" s="250">
        <f>[1]PB8!E303</f>
        <v>0</v>
      </c>
      <c r="O303" s="252" t="str">
        <f t="shared" si="379"/>
        <v>-</v>
      </c>
      <c r="P303" s="252" t="str">
        <f t="shared" si="380"/>
        <v>-</v>
      </c>
      <c r="Q303" s="250">
        <f t="shared" si="424"/>
        <v>0</v>
      </c>
      <c r="R303" s="252" t="str">
        <f t="shared" si="381"/>
        <v>-</v>
      </c>
      <c r="S303" s="253">
        <f>[1]PB8!W303</f>
        <v>0</v>
      </c>
      <c r="T303" s="257"/>
      <c r="U303" s="10" t="str">
        <f t="shared" si="363"/>
        <v>-</v>
      </c>
      <c r="V303"/>
    </row>
    <row r="304" spans="1:22" ht="20.149999999999999" hidden="1" customHeight="1" outlineLevel="1">
      <c r="A304" s="241"/>
      <c r="B304" s="241">
        <v>6303</v>
      </c>
      <c r="C304" s="241"/>
      <c r="D304" s="242" t="s">
        <v>582</v>
      </c>
      <c r="E304" s="268">
        <f t="shared" ref="E304:K304" si="425">SUM(E305:E307)</f>
        <v>0</v>
      </c>
      <c r="F304" s="268">
        <f t="shared" si="425"/>
        <v>0</v>
      </c>
      <c r="G304" s="268">
        <f t="shared" si="425"/>
        <v>0</v>
      </c>
      <c r="H304" s="268">
        <f t="shared" si="425"/>
        <v>0</v>
      </c>
      <c r="I304" s="268">
        <f t="shared" si="425"/>
        <v>0</v>
      </c>
      <c r="J304" s="268">
        <f t="shared" si="425"/>
        <v>0</v>
      </c>
      <c r="K304" s="268">
        <f t="shared" si="425"/>
        <v>0</v>
      </c>
      <c r="L304" s="244" t="str">
        <f t="shared" si="377"/>
        <v>-</v>
      </c>
      <c r="M304" s="244" t="str">
        <f t="shared" si="378"/>
        <v>-</v>
      </c>
      <c r="N304" s="268">
        <f t="shared" ref="N304" si="426">SUM(N305:N307)</f>
        <v>0</v>
      </c>
      <c r="O304" s="244" t="str">
        <f t="shared" si="379"/>
        <v>-</v>
      </c>
      <c r="P304" s="244" t="str">
        <f t="shared" si="380"/>
        <v>-</v>
      </c>
      <c r="Q304" s="268">
        <f t="shared" ref="Q304" si="427">SUM(Q305:Q307)</f>
        <v>0</v>
      </c>
      <c r="R304" s="244" t="str">
        <f t="shared" si="381"/>
        <v>-</v>
      </c>
      <c r="S304" s="269">
        <f t="shared" ref="S304" si="428">SUM(S305:S307)</f>
        <v>0</v>
      </c>
      <c r="T304" s="246"/>
      <c r="U304" s="10" t="str">
        <f t="shared" si="363"/>
        <v>-</v>
      </c>
      <c r="V304"/>
    </row>
    <row r="305" spans="1:22" ht="20.149999999999999" hidden="1" customHeight="1" outlineLevel="1">
      <c r="A305" s="241"/>
      <c r="B305" s="241"/>
      <c r="C305" s="248">
        <v>63031</v>
      </c>
      <c r="D305" s="249" t="s">
        <v>583</v>
      </c>
      <c r="E305" s="250"/>
      <c r="F305" s="250"/>
      <c r="G305" s="250"/>
      <c r="H305" s="250"/>
      <c r="I305" s="250"/>
      <c r="J305" s="250"/>
      <c r="K305" s="250">
        <f t="shared" ref="K305:K307" si="429">SUM(I305:J305)</f>
        <v>0</v>
      </c>
      <c r="L305" s="252" t="str">
        <f t="shared" si="377"/>
        <v>-</v>
      </c>
      <c r="M305" s="252" t="str">
        <f t="shared" si="378"/>
        <v>-</v>
      </c>
      <c r="N305" s="250">
        <f>[1]PB8!E305</f>
        <v>0</v>
      </c>
      <c r="O305" s="252" t="str">
        <f t="shared" si="379"/>
        <v>-</v>
      </c>
      <c r="P305" s="252" t="str">
        <f t="shared" si="380"/>
        <v>-</v>
      </c>
      <c r="Q305" s="250">
        <f t="shared" ref="Q305:Q307" si="430">N305-F305</f>
        <v>0</v>
      </c>
      <c r="R305" s="252" t="str">
        <f t="shared" si="381"/>
        <v>-</v>
      </c>
      <c r="S305" s="253">
        <f>[1]PB8!W305</f>
        <v>0</v>
      </c>
      <c r="T305" s="257"/>
      <c r="U305" s="10" t="str">
        <f t="shared" si="363"/>
        <v>-</v>
      </c>
      <c r="V305"/>
    </row>
    <row r="306" spans="1:22" ht="20.149999999999999" hidden="1" customHeight="1" outlineLevel="1">
      <c r="A306" s="241"/>
      <c r="B306" s="241"/>
      <c r="C306" s="248">
        <v>63032</v>
      </c>
      <c r="D306" s="249" t="s">
        <v>584</v>
      </c>
      <c r="E306" s="250"/>
      <c r="F306" s="250"/>
      <c r="G306" s="250"/>
      <c r="H306" s="250"/>
      <c r="I306" s="250"/>
      <c r="J306" s="250"/>
      <c r="K306" s="250">
        <f t="shared" si="429"/>
        <v>0</v>
      </c>
      <c r="L306" s="252" t="str">
        <f t="shared" si="377"/>
        <v>-</v>
      </c>
      <c r="M306" s="252" t="str">
        <f t="shared" si="378"/>
        <v>-</v>
      </c>
      <c r="N306" s="250">
        <f>[1]PB8!E306</f>
        <v>0</v>
      </c>
      <c r="O306" s="252" t="str">
        <f t="shared" si="379"/>
        <v>-</v>
      </c>
      <c r="P306" s="252" t="str">
        <f t="shared" si="380"/>
        <v>-</v>
      </c>
      <c r="Q306" s="250">
        <f t="shared" si="430"/>
        <v>0</v>
      </c>
      <c r="R306" s="252" t="str">
        <f t="shared" si="381"/>
        <v>-</v>
      </c>
      <c r="S306" s="253">
        <f>[1]PB8!W306</f>
        <v>0</v>
      </c>
      <c r="T306" s="257"/>
      <c r="U306" s="10" t="str">
        <f t="shared" si="363"/>
        <v>-</v>
      </c>
      <c r="V306"/>
    </row>
    <row r="307" spans="1:22" ht="20.149999999999999" hidden="1" customHeight="1" outlineLevel="1">
      <c r="A307" s="241"/>
      <c r="B307" s="241"/>
      <c r="C307" s="248">
        <v>63038</v>
      </c>
      <c r="D307" s="249" t="s">
        <v>50</v>
      </c>
      <c r="E307" s="250"/>
      <c r="F307" s="250"/>
      <c r="G307" s="250"/>
      <c r="H307" s="250"/>
      <c r="I307" s="250"/>
      <c r="J307" s="250"/>
      <c r="K307" s="250">
        <f t="shared" si="429"/>
        <v>0</v>
      </c>
      <c r="L307" s="252" t="str">
        <f t="shared" si="377"/>
        <v>-</v>
      </c>
      <c r="M307" s="252" t="str">
        <f t="shared" si="378"/>
        <v>-</v>
      </c>
      <c r="N307" s="250">
        <f>[1]PB8!E307</f>
        <v>0</v>
      </c>
      <c r="O307" s="252" t="str">
        <f t="shared" si="379"/>
        <v>-</v>
      </c>
      <c r="P307" s="252" t="str">
        <f t="shared" si="380"/>
        <v>-</v>
      </c>
      <c r="Q307" s="250">
        <f t="shared" si="430"/>
        <v>0</v>
      </c>
      <c r="R307" s="252" t="str">
        <f t="shared" si="381"/>
        <v>-</v>
      </c>
      <c r="S307" s="253">
        <f>[1]PB8!W307</f>
        <v>0</v>
      </c>
      <c r="T307" s="257"/>
      <c r="U307" s="10" t="str">
        <f t="shared" si="363"/>
        <v>-</v>
      </c>
      <c r="V307"/>
    </row>
    <row r="308" spans="1:22" ht="20.149999999999999" hidden="1" customHeight="1" outlineLevel="1">
      <c r="A308" s="241"/>
      <c r="B308" s="241">
        <v>6304</v>
      </c>
      <c r="C308" s="241"/>
      <c r="D308" s="242" t="s">
        <v>585</v>
      </c>
      <c r="E308" s="268">
        <f t="shared" ref="E308:K308" si="431">E309</f>
        <v>0</v>
      </c>
      <c r="F308" s="268">
        <f t="shared" si="431"/>
        <v>0</v>
      </c>
      <c r="G308" s="268">
        <f t="shared" si="431"/>
        <v>0</v>
      </c>
      <c r="H308" s="268">
        <f t="shared" si="431"/>
        <v>0</v>
      </c>
      <c r="I308" s="268">
        <f t="shared" si="431"/>
        <v>0</v>
      </c>
      <c r="J308" s="268">
        <f t="shared" si="431"/>
        <v>0</v>
      </c>
      <c r="K308" s="268">
        <f t="shared" si="431"/>
        <v>0</v>
      </c>
      <c r="L308" s="244" t="str">
        <f t="shared" si="377"/>
        <v>-</v>
      </c>
      <c r="M308" s="244" t="str">
        <f t="shared" si="378"/>
        <v>-</v>
      </c>
      <c r="N308" s="268">
        <f t="shared" ref="N308" si="432">N309</f>
        <v>0</v>
      </c>
      <c r="O308" s="244" t="str">
        <f t="shared" si="379"/>
        <v>-</v>
      </c>
      <c r="P308" s="244" t="str">
        <f t="shared" si="380"/>
        <v>-</v>
      </c>
      <c r="Q308" s="268">
        <f t="shared" ref="Q308" si="433">Q309</f>
        <v>0</v>
      </c>
      <c r="R308" s="244" t="str">
        <f t="shared" si="381"/>
        <v>-</v>
      </c>
      <c r="S308" s="269">
        <f t="shared" ref="S308" si="434">S309</f>
        <v>0</v>
      </c>
      <c r="T308" s="246"/>
      <c r="U308" s="10" t="str">
        <f t="shared" si="363"/>
        <v>-</v>
      </c>
      <c r="V308"/>
    </row>
    <row r="309" spans="1:22" ht="20.149999999999999" hidden="1" customHeight="1" outlineLevel="1">
      <c r="A309" s="241"/>
      <c r="B309" s="241"/>
      <c r="C309" s="248">
        <v>63041</v>
      </c>
      <c r="D309" s="249" t="s">
        <v>585</v>
      </c>
      <c r="E309" s="250"/>
      <c r="F309" s="250"/>
      <c r="G309" s="250"/>
      <c r="H309" s="250"/>
      <c r="I309" s="250"/>
      <c r="J309" s="250"/>
      <c r="K309" s="250">
        <f>SUM(I309:J309)</f>
        <v>0</v>
      </c>
      <c r="L309" s="252" t="str">
        <f>IFERROR(K309/F309,"-")</f>
        <v>-</v>
      </c>
      <c r="M309" s="252" t="str">
        <f>IFERROR(K309/H309,"-")</f>
        <v>-</v>
      </c>
      <c r="N309" s="250">
        <f>[1]PB8!E309</f>
        <v>0</v>
      </c>
      <c r="O309" s="252" t="str">
        <f>IFERROR(N309/F309,"-")</f>
        <v>-</v>
      </c>
      <c r="P309" s="252" t="str">
        <f>IFERROR(N309/H309,"-")</f>
        <v>-</v>
      </c>
      <c r="Q309" s="250">
        <f>N309-F309</f>
        <v>0</v>
      </c>
      <c r="R309" s="252" t="str">
        <f t="shared" si="381"/>
        <v>-</v>
      </c>
      <c r="S309" s="253">
        <f>[1]PB8!W309</f>
        <v>0</v>
      </c>
      <c r="T309" s="257"/>
      <c r="U309" s="10" t="str">
        <f t="shared" si="363"/>
        <v>-</v>
      </c>
      <c r="V309"/>
    </row>
    <row r="310" spans="1:22" ht="20.149999999999999" hidden="1" customHeight="1" outlineLevel="1">
      <c r="A310" s="241"/>
      <c r="B310" s="241">
        <v>6305</v>
      </c>
      <c r="C310" s="241"/>
      <c r="D310" s="279" t="s">
        <v>586</v>
      </c>
      <c r="E310" s="268">
        <f t="shared" ref="E310" si="435">SUM(E311:E313)</f>
        <v>0</v>
      </c>
      <c r="F310" s="268">
        <f t="shared" ref="F310:K310" si="436">SUM(F311:F313)</f>
        <v>0</v>
      </c>
      <c r="G310" s="268">
        <f t="shared" si="436"/>
        <v>0</v>
      </c>
      <c r="H310" s="268">
        <f t="shared" si="436"/>
        <v>0</v>
      </c>
      <c r="I310" s="268">
        <f t="shared" si="436"/>
        <v>0</v>
      </c>
      <c r="J310" s="268">
        <f t="shared" si="436"/>
        <v>0</v>
      </c>
      <c r="K310" s="268">
        <f t="shared" si="436"/>
        <v>0</v>
      </c>
      <c r="L310" s="244" t="str">
        <f t="shared" si="377"/>
        <v>-</v>
      </c>
      <c r="M310" s="244" t="str">
        <f t="shared" si="378"/>
        <v>-</v>
      </c>
      <c r="N310" s="268">
        <f t="shared" ref="N310" si="437">SUM(N311:N313)</f>
        <v>0</v>
      </c>
      <c r="O310" s="244" t="str">
        <f t="shared" si="379"/>
        <v>-</v>
      </c>
      <c r="P310" s="244" t="str">
        <f t="shared" si="380"/>
        <v>-</v>
      </c>
      <c r="Q310" s="268">
        <f t="shared" ref="Q310" si="438">SUM(Q311:Q313)</f>
        <v>0</v>
      </c>
      <c r="R310" s="244" t="str">
        <f t="shared" si="381"/>
        <v>-</v>
      </c>
      <c r="S310" s="269">
        <f t="shared" ref="S310" si="439">SUM(S311:S313)</f>
        <v>0</v>
      </c>
      <c r="T310" s="246"/>
      <c r="U310" s="10" t="str">
        <f t="shared" si="363"/>
        <v>-</v>
      </c>
      <c r="V310"/>
    </row>
    <row r="311" spans="1:22" ht="20.149999999999999" hidden="1" customHeight="1" outlineLevel="1">
      <c r="A311" s="241"/>
      <c r="B311" s="241"/>
      <c r="C311" s="248">
        <v>63051</v>
      </c>
      <c r="D311" s="249" t="s">
        <v>587</v>
      </c>
      <c r="E311" s="250"/>
      <c r="F311" s="250"/>
      <c r="G311" s="250"/>
      <c r="H311" s="250"/>
      <c r="I311" s="250"/>
      <c r="J311" s="250"/>
      <c r="K311" s="250">
        <f t="shared" ref="K311:K313" si="440">SUM(I311:J311)</f>
        <v>0</v>
      </c>
      <c r="L311" s="252" t="str">
        <f t="shared" si="377"/>
        <v>-</v>
      </c>
      <c r="M311" s="252" t="str">
        <f t="shared" si="378"/>
        <v>-</v>
      </c>
      <c r="N311" s="250">
        <f>[1]PB8!E311</f>
        <v>0</v>
      </c>
      <c r="O311" s="252" t="str">
        <f t="shared" si="379"/>
        <v>-</v>
      </c>
      <c r="P311" s="252" t="str">
        <f t="shared" si="380"/>
        <v>-</v>
      </c>
      <c r="Q311" s="250">
        <f t="shared" ref="Q311:Q313" si="441">N311-F311</f>
        <v>0</v>
      </c>
      <c r="R311" s="252" t="str">
        <f t="shared" si="381"/>
        <v>-</v>
      </c>
      <c r="S311" s="253">
        <f>[1]PB8!W311</f>
        <v>0</v>
      </c>
      <c r="T311" s="257"/>
      <c r="U311" s="10" t="str">
        <f t="shared" si="363"/>
        <v>-</v>
      </c>
      <c r="V311"/>
    </row>
    <row r="312" spans="1:22" ht="20.149999999999999" hidden="1" customHeight="1" outlineLevel="1">
      <c r="A312" s="241"/>
      <c r="B312" s="241"/>
      <c r="C312" s="248">
        <v>63052</v>
      </c>
      <c r="D312" s="249" t="s">
        <v>588</v>
      </c>
      <c r="E312" s="250"/>
      <c r="F312" s="250"/>
      <c r="G312" s="250"/>
      <c r="H312" s="250"/>
      <c r="I312" s="250"/>
      <c r="J312" s="250"/>
      <c r="K312" s="250">
        <f t="shared" si="440"/>
        <v>0</v>
      </c>
      <c r="L312" s="252" t="str">
        <f t="shared" si="377"/>
        <v>-</v>
      </c>
      <c r="M312" s="252" t="str">
        <f t="shared" si="378"/>
        <v>-</v>
      </c>
      <c r="N312" s="250">
        <f>[1]PB8!E312</f>
        <v>0</v>
      </c>
      <c r="O312" s="252" t="str">
        <f t="shared" si="379"/>
        <v>-</v>
      </c>
      <c r="P312" s="252" t="str">
        <f t="shared" si="380"/>
        <v>-</v>
      </c>
      <c r="Q312" s="250">
        <f t="shared" si="441"/>
        <v>0</v>
      </c>
      <c r="R312" s="252" t="str">
        <f t="shared" si="381"/>
        <v>-</v>
      </c>
      <c r="S312" s="253">
        <f>[1]PB8!W312</f>
        <v>0</v>
      </c>
      <c r="T312" s="257"/>
      <c r="U312" s="10" t="str">
        <f t="shared" si="363"/>
        <v>-</v>
      </c>
      <c r="V312"/>
    </row>
    <row r="313" spans="1:22" ht="20.149999999999999" hidden="1" customHeight="1" outlineLevel="1">
      <c r="A313" s="241"/>
      <c r="B313" s="241"/>
      <c r="C313" s="248">
        <v>63058</v>
      </c>
      <c r="D313" s="249" t="s">
        <v>50</v>
      </c>
      <c r="E313" s="250"/>
      <c r="F313" s="250"/>
      <c r="G313" s="250"/>
      <c r="H313" s="250"/>
      <c r="I313" s="250"/>
      <c r="J313" s="250"/>
      <c r="K313" s="250">
        <f t="shared" si="440"/>
        <v>0</v>
      </c>
      <c r="L313" s="252" t="str">
        <f t="shared" si="377"/>
        <v>-</v>
      </c>
      <c r="M313" s="252" t="str">
        <f t="shared" si="378"/>
        <v>-</v>
      </c>
      <c r="N313" s="250">
        <f>[1]PB8!E313</f>
        <v>0</v>
      </c>
      <c r="O313" s="252" t="str">
        <f t="shared" si="379"/>
        <v>-</v>
      </c>
      <c r="P313" s="252" t="str">
        <f t="shared" si="380"/>
        <v>-</v>
      </c>
      <c r="Q313" s="250">
        <f t="shared" si="441"/>
        <v>0</v>
      </c>
      <c r="R313" s="252" t="str">
        <f t="shared" si="381"/>
        <v>-</v>
      </c>
      <c r="S313" s="253">
        <f>[1]PB8!W313</f>
        <v>0</v>
      </c>
      <c r="T313" s="257"/>
      <c r="U313" s="10" t="str">
        <f t="shared" si="363"/>
        <v>-</v>
      </c>
      <c r="V313"/>
    </row>
    <row r="314" spans="1:22" ht="20.149999999999999" hidden="1" customHeight="1" outlineLevel="1">
      <c r="A314" s="241"/>
      <c r="B314" s="241">
        <v>6306</v>
      </c>
      <c r="C314" s="241"/>
      <c r="D314" s="242" t="s">
        <v>589</v>
      </c>
      <c r="E314" s="268">
        <f t="shared" ref="E314:K314" si="442">SUM(E315:E318)</f>
        <v>0</v>
      </c>
      <c r="F314" s="268">
        <f t="shared" si="442"/>
        <v>0</v>
      </c>
      <c r="G314" s="268">
        <f t="shared" si="442"/>
        <v>0</v>
      </c>
      <c r="H314" s="268">
        <f t="shared" si="442"/>
        <v>0</v>
      </c>
      <c r="I314" s="268">
        <f t="shared" si="442"/>
        <v>0</v>
      </c>
      <c r="J314" s="268">
        <f t="shared" si="442"/>
        <v>0</v>
      </c>
      <c r="K314" s="268">
        <f t="shared" si="442"/>
        <v>0</v>
      </c>
      <c r="L314" s="244" t="str">
        <f t="shared" si="377"/>
        <v>-</v>
      </c>
      <c r="M314" s="244" t="str">
        <f t="shared" si="378"/>
        <v>-</v>
      </c>
      <c r="N314" s="268">
        <f t="shared" ref="N314" si="443">SUM(N315:N318)</f>
        <v>0</v>
      </c>
      <c r="O314" s="244" t="str">
        <f t="shared" si="379"/>
        <v>-</v>
      </c>
      <c r="P314" s="244" t="str">
        <f t="shared" si="380"/>
        <v>-</v>
      </c>
      <c r="Q314" s="268">
        <f t="shared" ref="Q314" si="444">SUM(Q315:Q318)</f>
        <v>0</v>
      </c>
      <c r="R314" s="244" t="str">
        <f t="shared" si="381"/>
        <v>-</v>
      </c>
      <c r="S314" s="269">
        <f t="shared" ref="S314" si="445">SUM(S315:S318)</f>
        <v>0</v>
      </c>
      <c r="T314" s="246"/>
      <c r="U314" s="10" t="str">
        <f t="shared" si="363"/>
        <v>-</v>
      </c>
      <c r="V314"/>
    </row>
    <row r="315" spans="1:22" ht="20.149999999999999" hidden="1" customHeight="1" outlineLevel="1">
      <c r="A315" s="241"/>
      <c r="B315" s="241"/>
      <c r="C315" s="248">
        <v>63061</v>
      </c>
      <c r="D315" s="249" t="s">
        <v>590</v>
      </c>
      <c r="E315" s="250"/>
      <c r="F315" s="250"/>
      <c r="G315" s="250"/>
      <c r="H315" s="250"/>
      <c r="I315" s="250"/>
      <c r="J315" s="250"/>
      <c r="K315" s="250">
        <f t="shared" ref="K315:K318" si="446">SUM(I315:J315)</f>
        <v>0</v>
      </c>
      <c r="L315" s="252" t="str">
        <f t="shared" si="377"/>
        <v>-</v>
      </c>
      <c r="M315" s="252" t="str">
        <f t="shared" si="378"/>
        <v>-</v>
      </c>
      <c r="N315" s="250">
        <f>[1]PB8!E315</f>
        <v>0</v>
      </c>
      <c r="O315" s="252" t="str">
        <f t="shared" si="379"/>
        <v>-</v>
      </c>
      <c r="P315" s="252" t="str">
        <f t="shared" si="380"/>
        <v>-</v>
      </c>
      <c r="Q315" s="250">
        <f t="shared" ref="Q315:Q318" si="447">N315-F315</f>
        <v>0</v>
      </c>
      <c r="R315" s="252" t="str">
        <f t="shared" si="381"/>
        <v>-</v>
      </c>
      <c r="S315" s="253">
        <f>[1]PB8!W315</f>
        <v>0</v>
      </c>
      <c r="T315" s="257"/>
      <c r="U315" s="10" t="str">
        <f t="shared" si="363"/>
        <v>-</v>
      </c>
      <c r="V315"/>
    </row>
    <row r="316" spans="1:22" ht="20.149999999999999" hidden="1" customHeight="1" outlineLevel="1">
      <c r="A316" s="241"/>
      <c r="B316" s="241"/>
      <c r="C316" s="248">
        <v>63062</v>
      </c>
      <c r="D316" s="249" t="s">
        <v>591</v>
      </c>
      <c r="E316" s="250"/>
      <c r="F316" s="250"/>
      <c r="G316" s="250"/>
      <c r="H316" s="250"/>
      <c r="I316" s="250"/>
      <c r="J316" s="250"/>
      <c r="K316" s="250">
        <f t="shared" si="446"/>
        <v>0</v>
      </c>
      <c r="L316" s="252" t="str">
        <f t="shared" si="377"/>
        <v>-</v>
      </c>
      <c r="M316" s="252" t="str">
        <f t="shared" si="378"/>
        <v>-</v>
      </c>
      <c r="N316" s="250">
        <f>[1]PB8!E316</f>
        <v>0</v>
      </c>
      <c r="O316" s="252" t="str">
        <f t="shared" si="379"/>
        <v>-</v>
      </c>
      <c r="P316" s="252" t="str">
        <f t="shared" si="380"/>
        <v>-</v>
      </c>
      <c r="Q316" s="250">
        <f t="shared" si="447"/>
        <v>0</v>
      </c>
      <c r="R316" s="252" t="str">
        <f t="shared" si="381"/>
        <v>-</v>
      </c>
      <c r="S316" s="253">
        <f>[1]PB8!W316</f>
        <v>0</v>
      </c>
      <c r="T316" s="257"/>
      <c r="U316" s="10" t="str">
        <f t="shared" si="363"/>
        <v>-</v>
      </c>
      <c r="V316"/>
    </row>
    <row r="317" spans="1:22" ht="20.149999999999999" hidden="1" customHeight="1" outlineLevel="1">
      <c r="A317" s="241"/>
      <c r="B317" s="241"/>
      <c r="C317" s="248">
        <v>63063</v>
      </c>
      <c r="D317" s="249" t="s">
        <v>35</v>
      </c>
      <c r="E317" s="250"/>
      <c r="F317" s="250"/>
      <c r="G317" s="250"/>
      <c r="H317" s="250"/>
      <c r="I317" s="250"/>
      <c r="J317" s="250"/>
      <c r="K317" s="250">
        <f t="shared" si="446"/>
        <v>0</v>
      </c>
      <c r="L317" s="252" t="str">
        <f t="shared" si="377"/>
        <v>-</v>
      </c>
      <c r="M317" s="252" t="str">
        <f t="shared" si="378"/>
        <v>-</v>
      </c>
      <c r="N317" s="250">
        <f>[1]PB8!E317</f>
        <v>0</v>
      </c>
      <c r="O317" s="252" t="str">
        <f t="shared" si="379"/>
        <v>-</v>
      </c>
      <c r="P317" s="252" t="str">
        <f t="shared" si="380"/>
        <v>-</v>
      </c>
      <c r="Q317" s="250">
        <f t="shared" si="447"/>
        <v>0</v>
      </c>
      <c r="R317" s="252" t="str">
        <f t="shared" si="381"/>
        <v>-</v>
      </c>
      <c r="S317" s="253">
        <f>[1]PB8!W317</f>
        <v>0</v>
      </c>
      <c r="T317" s="257"/>
      <c r="U317" s="10" t="str">
        <f t="shared" si="363"/>
        <v>-</v>
      </c>
      <c r="V317"/>
    </row>
    <row r="318" spans="1:22" ht="20.149999999999999" hidden="1" customHeight="1" outlineLevel="1">
      <c r="A318" s="241"/>
      <c r="B318" s="241"/>
      <c r="C318" s="248">
        <v>63068</v>
      </c>
      <c r="D318" s="249" t="s">
        <v>50</v>
      </c>
      <c r="E318" s="250"/>
      <c r="F318" s="250"/>
      <c r="G318" s="250"/>
      <c r="H318" s="250"/>
      <c r="I318" s="250"/>
      <c r="J318" s="250"/>
      <c r="K318" s="250">
        <f t="shared" si="446"/>
        <v>0</v>
      </c>
      <c r="L318" s="252" t="str">
        <f t="shared" si="377"/>
        <v>-</v>
      </c>
      <c r="M318" s="252" t="str">
        <f t="shared" si="378"/>
        <v>-</v>
      </c>
      <c r="N318" s="250">
        <f>[1]PB8!E318</f>
        <v>0</v>
      </c>
      <c r="O318" s="252" t="str">
        <f t="shared" si="379"/>
        <v>-</v>
      </c>
      <c r="P318" s="252" t="str">
        <f t="shared" si="380"/>
        <v>-</v>
      </c>
      <c r="Q318" s="250">
        <f t="shared" si="447"/>
        <v>0</v>
      </c>
      <c r="R318" s="252" t="str">
        <f t="shared" si="381"/>
        <v>-</v>
      </c>
      <c r="S318" s="253">
        <f>[1]PB8!W318</f>
        <v>0</v>
      </c>
      <c r="T318" s="257"/>
      <c r="U318" s="10" t="str">
        <f t="shared" si="363"/>
        <v>-</v>
      </c>
      <c r="V318"/>
    </row>
    <row r="319" spans="1:22" ht="20.149999999999999" hidden="1" customHeight="1" outlineLevel="1">
      <c r="A319" s="241"/>
      <c r="B319" s="241">
        <v>6398</v>
      </c>
      <c r="C319" s="241"/>
      <c r="D319" s="242" t="s">
        <v>592</v>
      </c>
      <c r="E319" s="268">
        <f t="shared" ref="E319:K319" si="448">E320</f>
        <v>0</v>
      </c>
      <c r="F319" s="268">
        <f t="shared" si="448"/>
        <v>0</v>
      </c>
      <c r="G319" s="268">
        <f t="shared" si="448"/>
        <v>0</v>
      </c>
      <c r="H319" s="268">
        <f t="shared" si="448"/>
        <v>0</v>
      </c>
      <c r="I319" s="268">
        <f t="shared" si="448"/>
        <v>0</v>
      </c>
      <c r="J319" s="268">
        <f t="shared" si="448"/>
        <v>0</v>
      </c>
      <c r="K319" s="268">
        <f t="shared" si="448"/>
        <v>0</v>
      </c>
      <c r="L319" s="244" t="str">
        <f t="shared" si="377"/>
        <v>-</v>
      </c>
      <c r="M319" s="244" t="str">
        <f t="shared" si="378"/>
        <v>-</v>
      </c>
      <c r="N319" s="268">
        <f t="shared" ref="N319" si="449">N320</f>
        <v>0</v>
      </c>
      <c r="O319" s="244" t="str">
        <f t="shared" si="379"/>
        <v>-</v>
      </c>
      <c r="P319" s="244" t="str">
        <f t="shared" si="380"/>
        <v>-</v>
      </c>
      <c r="Q319" s="268">
        <f t="shared" ref="Q319" si="450">Q320</f>
        <v>0</v>
      </c>
      <c r="R319" s="244" t="str">
        <f t="shared" si="381"/>
        <v>-</v>
      </c>
      <c r="S319" s="269">
        <f t="shared" ref="S319" si="451">S320</f>
        <v>0</v>
      </c>
      <c r="T319" s="246"/>
      <c r="U319" s="10" t="str">
        <f t="shared" si="363"/>
        <v>-</v>
      </c>
      <c r="V319"/>
    </row>
    <row r="320" spans="1:22" ht="20.149999999999999" hidden="1" customHeight="1" outlineLevel="1">
      <c r="A320" s="276"/>
      <c r="B320" s="276"/>
      <c r="C320" s="248">
        <v>63981</v>
      </c>
      <c r="D320" s="249" t="s">
        <v>592</v>
      </c>
      <c r="E320" s="250"/>
      <c r="F320" s="250"/>
      <c r="G320" s="250"/>
      <c r="H320" s="250"/>
      <c r="I320" s="250"/>
      <c r="J320" s="250"/>
      <c r="K320" s="250">
        <f>SUM(I320:J320)</f>
        <v>0</v>
      </c>
      <c r="L320" s="252" t="str">
        <f>IFERROR(K320/F320,"-")</f>
        <v>-</v>
      </c>
      <c r="M320" s="252" t="str">
        <f>IFERROR(K320/H320,"-")</f>
        <v>-</v>
      </c>
      <c r="N320" s="250">
        <f>[1]PB8!E320</f>
        <v>0</v>
      </c>
      <c r="O320" s="252" t="str">
        <f>IFERROR(N320/F320,"-")</f>
        <v>-</v>
      </c>
      <c r="P320" s="252" t="str">
        <f>IFERROR(N320/H320,"-")</f>
        <v>-</v>
      </c>
      <c r="Q320" s="250">
        <f>N320-F320</f>
        <v>0</v>
      </c>
      <c r="R320" s="252" t="str">
        <f t="shared" si="381"/>
        <v>-</v>
      </c>
      <c r="S320" s="253">
        <f>[1]PB8!W320</f>
        <v>0</v>
      </c>
      <c r="T320" s="257"/>
      <c r="U320" s="10" t="str">
        <f t="shared" si="363"/>
        <v>-</v>
      </c>
      <c r="V320"/>
    </row>
    <row r="321" spans="1:22" ht="20.149999999999999" hidden="1" customHeight="1" outlineLevel="1">
      <c r="A321" s="241"/>
      <c r="B321" s="241">
        <v>7009</v>
      </c>
      <c r="C321" s="241"/>
      <c r="D321" s="242" t="s">
        <v>593</v>
      </c>
      <c r="E321" s="268">
        <f t="shared" ref="E321" si="452">SUM(E322:E323)</f>
        <v>0</v>
      </c>
      <c r="F321" s="268">
        <f t="shared" ref="F321:K321" si="453">SUM(F322:F323)</f>
        <v>0</v>
      </c>
      <c r="G321" s="268">
        <f t="shared" si="453"/>
        <v>0</v>
      </c>
      <c r="H321" s="268">
        <f t="shared" si="453"/>
        <v>0</v>
      </c>
      <c r="I321" s="268">
        <f t="shared" si="453"/>
        <v>0</v>
      </c>
      <c r="J321" s="268">
        <f t="shared" si="453"/>
        <v>0</v>
      </c>
      <c r="K321" s="268">
        <f t="shared" si="453"/>
        <v>0</v>
      </c>
      <c r="L321" s="244" t="str">
        <f t="shared" si="377"/>
        <v>-</v>
      </c>
      <c r="M321" s="244" t="str">
        <f t="shared" si="378"/>
        <v>-</v>
      </c>
      <c r="N321" s="268">
        <f t="shared" ref="N321" si="454">SUM(N322:N323)</f>
        <v>0</v>
      </c>
      <c r="O321" s="244" t="str">
        <f t="shared" si="379"/>
        <v>-</v>
      </c>
      <c r="P321" s="244" t="str">
        <f t="shared" si="380"/>
        <v>-</v>
      </c>
      <c r="Q321" s="268">
        <f t="shared" ref="Q321" si="455">SUM(Q322:Q323)</f>
        <v>0</v>
      </c>
      <c r="R321" s="244" t="str">
        <f t="shared" si="381"/>
        <v>-</v>
      </c>
      <c r="S321" s="269">
        <f t="shared" ref="S321" si="456">SUM(S322:S323)</f>
        <v>0</v>
      </c>
      <c r="T321" s="246"/>
      <c r="U321" s="10" t="str">
        <f t="shared" si="363"/>
        <v>-</v>
      </c>
      <c r="V321"/>
    </row>
    <row r="322" spans="1:22" ht="20.149999999999999" hidden="1" customHeight="1" outlineLevel="1">
      <c r="A322" s="241"/>
      <c r="B322" s="241"/>
      <c r="C322" s="248">
        <v>70091</v>
      </c>
      <c r="D322" s="249" t="s">
        <v>594</v>
      </c>
      <c r="E322" s="250"/>
      <c r="F322" s="250"/>
      <c r="G322" s="250"/>
      <c r="H322" s="250"/>
      <c r="I322" s="250"/>
      <c r="J322" s="250"/>
      <c r="K322" s="250">
        <f t="shared" ref="K322:K323" si="457">SUM(I322:J322)</f>
        <v>0</v>
      </c>
      <c r="L322" s="252" t="str">
        <f t="shared" si="377"/>
        <v>-</v>
      </c>
      <c r="M322" s="252" t="str">
        <f t="shared" si="378"/>
        <v>-</v>
      </c>
      <c r="N322" s="250">
        <f>[1]PB8!E322</f>
        <v>0</v>
      </c>
      <c r="O322" s="252" t="str">
        <f t="shared" si="379"/>
        <v>-</v>
      </c>
      <c r="P322" s="252" t="str">
        <f t="shared" si="380"/>
        <v>-</v>
      </c>
      <c r="Q322" s="250">
        <f t="shared" ref="Q322:Q323" si="458">N322-F322</f>
        <v>0</v>
      </c>
      <c r="R322" s="252" t="str">
        <f t="shared" si="381"/>
        <v>-</v>
      </c>
      <c r="S322" s="253">
        <f>[1]PB8!W322</f>
        <v>0</v>
      </c>
      <c r="T322" s="257"/>
      <c r="U322" s="10" t="str">
        <f t="shared" si="363"/>
        <v>-</v>
      </c>
      <c r="V322"/>
    </row>
    <row r="323" spans="1:22" ht="20.149999999999999" hidden="1" customHeight="1" outlineLevel="1">
      <c r="A323" s="280"/>
      <c r="B323" s="280"/>
      <c r="C323" s="248">
        <v>70098</v>
      </c>
      <c r="D323" s="249" t="s">
        <v>50</v>
      </c>
      <c r="E323" s="250"/>
      <c r="F323" s="250"/>
      <c r="G323" s="250"/>
      <c r="H323" s="250"/>
      <c r="I323" s="250"/>
      <c r="J323" s="250"/>
      <c r="K323" s="250">
        <f t="shared" si="457"/>
        <v>0</v>
      </c>
      <c r="L323" s="252" t="str">
        <f t="shared" si="377"/>
        <v>-</v>
      </c>
      <c r="M323" s="252" t="str">
        <f t="shared" si="378"/>
        <v>-</v>
      </c>
      <c r="N323" s="250">
        <f>[1]PB8!E323</f>
        <v>0</v>
      </c>
      <c r="O323" s="252" t="str">
        <f t="shared" si="379"/>
        <v>-</v>
      </c>
      <c r="P323" s="252" t="str">
        <f t="shared" si="380"/>
        <v>-</v>
      </c>
      <c r="Q323" s="250">
        <f t="shared" si="458"/>
        <v>0</v>
      </c>
      <c r="R323" s="252" t="str">
        <f t="shared" si="381"/>
        <v>-</v>
      </c>
      <c r="S323" s="253">
        <f>[1]PB8!W323</f>
        <v>0</v>
      </c>
      <c r="T323" s="257"/>
      <c r="U323" s="10" t="str">
        <f t="shared" si="363"/>
        <v>-</v>
      </c>
      <c r="V323"/>
    </row>
    <row r="324" spans="1:22" ht="20.149999999999999" hidden="1" customHeight="1" outlineLevel="1">
      <c r="A324" s="281" t="s">
        <v>595</v>
      </c>
      <c r="B324" s="281"/>
      <c r="C324" s="281"/>
      <c r="D324" s="281"/>
      <c r="E324" s="282">
        <f t="shared" ref="E324:K324" si="459">E325+E335</f>
        <v>0</v>
      </c>
      <c r="F324" s="282">
        <f t="shared" si="459"/>
        <v>0</v>
      </c>
      <c r="G324" s="282">
        <f t="shared" si="459"/>
        <v>0</v>
      </c>
      <c r="H324" s="282">
        <f t="shared" si="459"/>
        <v>0</v>
      </c>
      <c r="I324" s="282">
        <f t="shared" si="459"/>
        <v>0</v>
      </c>
      <c r="J324" s="282">
        <f t="shared" si="459"/>
        <v>0</v>
      </c>
      <c r="K324" s="282">
        <f t="shared" si="459"/>
        <v>0</v>
      </c>
      <c r="L324" s="283" t="str">
        <f t="shared" si="377"/>
        <v>-</v>
      </c>
      <c r="M324" s="283" t="str">
        <f t="shared" si="378"/>
        <v>-</v>
      </c>
      <c r="N324" s="282">
        <f t="shared" ref="N324" si="460">N325+N335</f>
        <v>0</v>
      </c>
      <c r="O324" s="283" t="str">
        <f t="shared" si="379"/>
        <v>-</v>
      </c>
      <c r="P324" s="283" t="str">
        <f t="shared" si="380"/>
        <v>-</v>
      </c>
      <c r="Q324" s="282">
        <f t="shared" ref="Q324" si="461">Q325+Q335</f>
        <v>0</v>
      </c>
      <c r="R324" s="283" t="str">
        <f t="shared" si="381"/>
        <v>-</v>
      </c>
      <c r="S324" s="284">
        <f t="shared" ref="S324" si="462">S325+S335</f>
        <v>0</v>
      </c>
      <c r="T324" s="285"/>
      <c r="U324" s="10" t="str">
        <f t="shared" si="363"/>
        <v>-</v>
      </c>
      <c r="V324"/>
    </row>
    <row r="325" spans="1:22" s="137" customFormat="1" ht="20.149999999999999" hidden="1" customHeight="1" outlineLevel="1">
      <c r="A325" s="229" t="s">
        <v>596</v>
      </c>
      <c r="B325" s="229"/>
      <c r="C325" s="229"/>
      <c r="D325" s="229"/>
      <c r="E325" s="230">
        <f t="shared" ref="E325:K325" si="463">E326+E331</f>
        <v>0</v>
      </c>
      <c r="F325" s="230">
        <f t="shared" si="463"/>
        <v>0</v>
      </c>
      <c r="G325" s="230">
        <f t="shared" si="463"/>
        <v>0</v>
      </c>
      <c r="H325" s="230">
        <f t="shared" si="463"/>
        <v>0</v>
      </c>
      <c r="I325" s="230">
        <f t="shared" si="463"/>
        <v>0</v>
      </c>
      <c r="J325" s="230">
        <f t="shared" si="463"/>
        <v>0</v>
      </c>
      <c r="K325" s="230">
        <f t="shared" si="463"/>
        <v>0</v>
      </c>
      <c r="L325" s="231" t="str">
        <f t="shared" si="377"/>
        <v>-</v>
      </c>
      <c r="M325" s="231" t="str">
        <f t="shared" si="378"/>
        <v>-</v>
      </c>
      <c r="N325" s="230">
        <f t="shared" ref="N325" si="464">N326+N331</f>
        <v>0</v>
      </c>
      <c r="O325" s="231" t="str">
        <f t="shared" si="379"/>
        <v>-</v>
      </c>
      <c r="P325" s="231" t="str">
        <f t="shared" si="380"/>
        <v>-</v>
      </c>
      <c r="Q325" s="230">
        <f t="shared" ref="Q325" si="465">Q326+Q331</f>
        <v>0</v>
      </c>
      <c r="R325" s="231" t="str">
        <f t="shared" si="381"/>
        <v>-</v>
      </c>
      <c r="S325" s="232">
        <f t="shared" ref="S325" si="466">S326+S331</f>
        <v>0</v>
      </c>
      <c r="T325" s="233"/>
      <c r="U325" s="137" t="str">
        <f t="shared" si="363"/>
        <v>-</v>
      </c>
      <c r="V325"/>
    </row>
    <row r="326" spans="1:22" ht="20.149999999999999" hidden="1" customHeight="1" outlineLevel="1">
      <c r="A326" s="234">
        <v>67</v>
      </c>
      <c r="B326" s="234"/>
      <c r="C326" s="235"/>
      <c r="D326" s="236" t="s">
        <v>597</v>
      </c>
      <c r="E326" s="237">
        <f t="shared" ref="E326:K326" si="467">E327+E329</f>
        <v>0</v>
      </c>
      <c r="F326" s="237">
        <f t="shared" si="467"/>
        <v>0</v>
      </c>
      <c r="G326" s="237">
        <f t="shared" si="467"/>
        <v>0</v>
      </c>
      <c r="H326" s="237">
        <f t="shared" si="467"/>
        <v>0</v>
      </c>
      <c r="I326" s="237">
        <f t="shared" si="467"/>
        <v>0</v>
      </c>
      <c r="J326" s="237">
        <f t="shared" si="467"/>
        <v>0</v>
      </c>
      <c r="K326" s="237">
        <f t="shared" si="467"/>
        <v>0</v>
      </c>
      <c r="L326" s="238" t="str">
        <f t="shared" si="377"/>
        <v>-</v>
      </c>
      <c r="M326" s="238" t="str">
        <f t="shared" si="378"/>
        <v>-</v>
      </c>
      <c r="N326" s="237">
        <f t="shared" ref="N326" si="468">N327+N329</f>
        <v>0</v>
      </c>
      <c r="O326" s="238" t="str">
        <f t="shared" si="379"/>
        <v>-</v>
      </c>
      <c r="P326" s="238" t="str">
        <f t="shared" si="380"/>
        <v>-</v>
      </c>
      <c r="Q326" s="237">
        <f t="shared" ref="Q326" si="469">Q327+Q329</f>
        <v>0</v>
      </c>
      <c r="R326" s="238" t="str">
        <f t="shared" si="381"/>
        <v>-</v>
      </c>
      <c r="S326" s="239">
        <f t="shared" ref="S326" si="470">S327+S329</f>
        <v>0</v>
      </c>
      <c r="T326" s="240"/>
      <c r="U326" s="10" t="str">
        <f t="shared" si="363"/>
        <v>-</v>
      </c>
      <c r="V326"/>
    </row>
    <row r="327" spans="1:22" ht="20.149999999999999" hidden="1" customHeight="1" outlineLevel="1">
      <c r="A327" s="241"/>
      <c r="B327" s="241">
        <v>6701</v>
      </c>
      <c r="C327" s="241"/>
      <c r="D327" s="242" t="s">
        <v>598</v>
      </c>
      <c r="E327" s="243">
        <f t="shared" ref="E327:K327" si="471">SUM(E328:E328)</f>
        <v>0</v>
      </c>
      <c r="F327" s="243">
        <f t="shared" si="471"/>
        <v>0</v>
      </c>
      <c r="G327" s="243">
        <f t="shared" si="471"/>
        <v>0</v>
      </c>
      <c r="H327" s="243">
        <f t="shared" si="471"/>
        <v>0</v>
      </c>
      <c r="I327" s="243">
        <f t="shared" si="471"/>
        <v>0</v>
      </c>
      <c r="J327" s="243">
        <f t="shared" si="471"/>
        <v>0</v>
      </c>
      <c r="K327" s="243">
        <f t="shared" si="471"/>
        <v>0</v>
      </c>
      <c r="L327" s="244" t="str">
        <f t="shared" si="377"/>
        <v>-</v>
      </c>
      <c r="M327" s="244" t="str">
        <f t="shared" si="378"/>
        <v>-</v>
      </c>
      <c r="N327" s="243">
        <f t="shared" ref="N327" si="472">SUM(N328:N328)</f>
        <v>0</v>
      </c>
      <c r="O327" s="244" t="str">
        <f t="shared" si="379"/>
        <v>-</v>
      </c>
      <c r="P327" s="244" t="str">
        <f t="shared" si="380"/>
        <v>-</v>
      </c>
      <c r="Q327" s="243">
        <f t="shared" ref="Q327" si="473">SUM(Q328:Q328)</f>
        <v>0</v>
      </c>
      <c r="R327" s="244" t="str">
        <f t="shared" si="381"/>
        <v>-</v>
      </c>
      <c r="S327" s="245">
        <f t="shared" ref="S327" si="474">SUM(S328:S328)</f>
        <v>0</v>
      </c>
      <c r="T327" s="246"/>
      <c r="U327" s="10" t="str">
        <f t="shared" si="363"/>
        <v>-</v>
      </c>
      <c r="V327"/>
    </row>
    <row r="328" spans="1:22" ht="20.149999999999999" hidden="1" customHeight="1" outlineLevel="1">
      <c r="A328" s="247"/>
      <c r="B328" s="247"/>
      <c r="C328" s="248">
        <v>67011</v>
      </c>
      <c r="D328" s="249" t="s">
        <v>599</v>
      </c>
      <c r="E328" s="250"/>
      <c r="F328" s="250"/>
      <c r="G328" s="250"/>
      <c r="H328" s="250"/>
      <c r="I328" s="250"/>
      <c r="J328" s="250"/>
      <c r="K328" s="250">
        <f>SUM(I328:J328)</f>
        <v>0</v>
      </c>
      <c r="L328" s="252" t="str">
        <f>IFERROR(K328/F328,"-")</f>
        <v>-</v>
      </c>
      <c r="M328" s="252" t="str">
        <f>IFERROR(K328/H328,"-")</f>
        <v>-</v>
      </c>
      <c r="N328" s="250">
        <f>[1]PB8!E328</f>
        <v>0</v>
      </c>
      <c r="O328" s="252" t="str">
        <f>IFERROR(N328/F328,"-")</f>
        <v>-</v>
      </c>
      <c r="P328" s="252" t="str">
        <f>IFERROR(N328/H328,"-")</f>
        <v>-</v>
      </c>
      <c r="Q328" s="250">
        <f>N328-F328</f>
        <v>0</v>
      </c>
      <c r="R328" s="252" t="str">
        <f t="shared" si="381"/>
        <v>-</v>
      </c>
      <c r="S328" s="253">
        <f>[1]PB8!W328</f>
        <v>0</v>
      </c>
      <c r="T328" s="257"/>
      <c r="U328" s="10" t="str">
        <f t="shared" si="363"/>
        <v>-</v>
      </c>
      <c r="V328"/>
    </row>
    <row r="329" spans="1:22" ht="20.149999999999999" hidden="1" customHeight="1" outlineLevel="1">
      <c r="A329" s="241"/>
      <c r="B329" s="241">
        <v>6705</v>
      </c>
      <c r="C329" s="241"/>
      <c r="D329" s="242" t="s">
        <v>600</v>
      </c>
      <c r="E329" s="268">
        <f t="shared" ref="E329:K329" si="475">E330</f>
        <v>0</v>
      </c>
      <c r="F329" s="268">
        <f t="shared" si="475"/>
        <v>0</v>
      </c>
      <c r="G329" s="268">
        <f t="shared" si="475"/>
        <v>0</v>
      </c>
      <c r="H329" s="268">
        <f t="shared" si="475"/>
        <v>0</v>
      </c>
      <c r="I329" s="268">
        <f t="shared" si="475"/>
        <v>0</v>
      </c>
      <c r="J329" s="268">
        <f t="shared" si="475"/>
        <v>0</v>
      </c>
      <c r="K329" s="268">
        <f t="shared" si="475"/>
        <v>0</v>
      </c>
      <c r="L329" s="244" t="str">
        <f t="shared" si="377"/>
        <v>-</v>
      </c>
      <c r="M329" s="244" t="str">
        <f t="shared" si="378"/>
        <v>-</v>
      </c>
      <c r="N329" s="268">
        <f t="shared" ref="N329" si="476">N330</f>
        <v>0</v>
      </c>
      <c r="O329" s="244" t="str">
        <f t="shared" si="379"/>
        <v>-</v>
      </c>
      <c r="P329" s="244" t="str">
        <f t="shared" si="380"/>
        <v>-</v>
      </c>
      <c r="Q329" s="268">
        <f t="shared" ref="Q329" si="477">Q330</f>
        <v>0</v>
      </c>
      <c r="R329" s="244" t="str">
        <f t="shared" si="381"/>
        <v>-</v>
      </c>
      <c r="S329" s="269">
        <f t="shared" ref="S329" si="478">S330</f>
        <v>0</v>
      </c>
      <c r="T329" s="246"/>
      <c r="U329" s="10" t="str">
        <f t="shared" si="363"/>
        <v>-</v>
      </c>
      <c r="V329"/>
    </row>
    <row r="330" spans="1:22" ht="20.149999999999999" hidden="1" customHeight="1" outlineLevel="1">
      <c r="A330" s="241"/>
      <c r="B330" s="241"/>
      <c r="C330" s="248">
        <v>67051</v>
      </c>
      <c r="D330" s="249" t="s">
        <v>600</v>
      </c>
      <c r="E330" s="250"/>
      <c r="F330" s="250"/>
      <c r="G330" s="250"/>
      <c r="H330" s="250"/>
      <c r="I330" s="250"/>
      <c r="J330" s="250"/>
      <c r="K330" s="250">
        <f>SUM(I330:J330)</f>
        <v>0</v>
      </c>
      <c r="L330" s="252" t="str">
        <f>IFERROR(K330/F330,"-")</f>
        <v>-</v>
      </c>
      <c r="M330" s="252" t="str">
        <f>IFERROR(K330/H330,"-")</f>
        <v>-</v>
      </c>
      <c r="N330" s="250">
        <f>[1]PB8!E330</f>
        <v>0</v>
      </c>
      <c r="O330" s="252" t="str">
        <f>IFERROR(N330/F330,"-")</f>
        <v>-</v>
      </c>
      <c r="P330" s="252" t="str">
        <f>IFERROR(N330/H330,"-")</f>
        <v>-</v>
      </c>
      <c r="Q330" s="250">
        <f>N330-F330</f>
        <v>0</v>
      </c>
      <c r="R330" s="252" t="str">
        <f t="shared" si="381"/>
        <v>-</v>
      </c>
      <c r="S330" s="253">
        <f>[1]PB8!W330</f>
        <v>0</v>
      </c>
      <c r="T330" s="257"/>
      <c r="U330" s="10" t="str">
        <f t="shared" si="363"/>
        <v>-</v>
      </c>
      <c r="V330"/>
    </row>
    <row r="331" spans="1:22" ht="20.149999999999999" hidden="1" customHeight="1" outlineLevel="1">
      <c r="A331" s="234">
        <v>68</v>
      </c>
      <c r="B331" s="234"/>
      <c r="C331" s="235"/>
      <c r="D331" s="236" t="s">
        <v>601</v>
      </c>
      <c r="E331" s="258">
        <f t="shared" ref="E331:K331" si="479">E332</f>
        <v>0</v>
      </c>
      <c r="F331" s="258">
        <f t="shared" si="479"/>
        <v>0</v>
      </c>
      <c r="G331" s="258">
        <f t="shared" si="479"/>
        <v>0</v>
      </c>
      <c r="H331" s="258">
        <f t="shared" si="479"/>
        <v>0</v>
      </c>
      <c r="I331" s="258">
        <f t="shared" si="479"/>
        <v>0</v>
      </c>
      <c r="J331" s="258">
        <f t="shared" si="479"/>
        <v>0</v>
      </c>
      <c r="K331" s="258">
        <f t="shared" si="479"/>
        <v>0</v>
      </c>
      <c r="L331" s="259" t="str">
        <f t="shared" si="377"/>
        <v>-</v>
      </c>
      <c r="M331" s="259" t="str">
        <f t="shared" si="378"/>
        <v>-</v>
      </c>
      <c r="N331" s="258">
        <f t="shared" ref="N331" si="480">N332</f>
        <v>0</v>
      </c>
      <c r="O331" s="259" t="str">
        <f t="shared" si="379"/>
        <v>-</v>
      </c>
      <c r="P331" s="259" t="str">
        <f t="shared" si="380"/>
        <v>-</v>
      </c>
      <c r="Q331" s="258">
        <f t="shared" ref="Q331" si="481">Q332</f>
        <v>0</v>
      </c>
      <c r="R331" s="259" t="str">
        <f t="shared" si="381"/>
        <v>-</v>
      </c>
      <c r="S331" s="260">
        <f t="shared" ref="S331" si="482">S332</f>
        <v>0</v>
      </c>
      <c r="T331" s="261"/>
      <c r="U331" s="10" t="str">
        <f t="shared" si="363"/>
        <v>-</v>
      </c>
      <c r="V331"/>
    </row>
    <row r="332" spans="1:22" ht="20.149999999999999" hidden="1" customHeight="1" outlineLevel="1">
      <c r="A332" s="241"/>
      <c r="B332" s="241">
        <v>6801</v>
      </c>
      <c r="C332" s="241"/>
      <c r="D332" s="242" t="s">
        <v>601</v>
      </c>
      <c r="E332" s="268">
        <f t="shared" ref="E332" si="483">SUM(E333:E334)</f>
        <v>0</v>
      </c>
      <c r="F332" s="268">
        <f t="shared" ref="F332:K332" si="484">SUM(F333:F334)</f>
        <v>0</v>
      </c>
      <c r="G332" s="268">
        <f t="shared" si="484"/>
        <v>0</v>
      </c>
      <c r="H332" s="268">
        <f t="shared" si="484"/>
        <v>0</v>
      </c>
      <c r="I332" s="268">
        <f t="shared" si="484"/>
        <v>0</v>
      </c>
      <c r="J332" s="268">
        <f t="shared" si="484"/>
        <v>0</v>
      </c>
      <c r="K332" s="268">
        <f t="shared" si="484"/>
        <v>0</v>
      </c>
      <c r="L332" s="244" t="str">
        <f t="shared" si="377"/>
        <v>-</v>
      </c>
      <c r="M332" s="244" t="str">
        <f t="shared" si="378"/>
        <v>-</v>
      </c>
      <c r="N332" s="268">
        <f t="shared" ref="N332" si="485">SUM(N333:N334)</f>
        <v>0</v>
      </c>
      <c r="O332" s="244" t="str">
        <f t="shared" si="379"/>
        <v>-</v>
      </c>
      <c r="P332" s="244" t="str">
        <f t="shared" si="380"/>
        <v>-</v>
      </c>
      <c r="Q332" s="268">
        <f t="shared" ref="Q332" si="486">SUM(Q333:Q334)</f>
        <v>0</v>
      </c>
      <c r="R332" s="244" t="str">
        <f t="shared" si="381"/>
        <v>-</v>
      </c>
      <c r="S332" s="269">
        <f t="shared" ref="S332" si="487">SUM(S333:S334)</f>
        <v>0</v>
      </c>
      <c r="T332" s="246"/>
      <c r="U332" s="10" t="str">
        <f t="shared" si="363"/>
        <v>-</v>
      </c>
      <c r="V332"/>
    </row>
    <row r="333" spans="1:22" ht="20.149999999999999" hidden="1" customHeight="1" outlineLevel="1">
      <c r="A333" s="241"/>
      <c r="B333" s="241"/>
      <c r="C333" s="248">
        <v>68011</v>
      </c>
      <c r="D333" s="249" t="s">
        <v>602</v>
      </c>
      <c r="E333" s="250"/>
      <c r="F333" s="250"/>
      <c r="G333" s="250"/>
      <c r="H333" s="250"/>
      <c r="I333" s="250"/>
      <c r="J333" s="250"/>
      <c r="K333" s="250">
        <f t="shared" ref="K333:K334" si="488">SUM(I333:J333)</f>
        <v>0</v>
      </c>
      <c r="L333" s="252" t="str">
        <f t="shared" si="377"/>
        <v>-</v>
      </c>
      <c r="M333" s="252" t="str">
        <f t="shared" si="378"/>
        <v>-</v>
      </c>
      <c r="N333" s="250">
        <f>[1]PB8!E333</f>
        <v>0</v>
      </c>
      <c r="O333" s="252" t="str">
        <f t="shared" si="379"/>
        <v>-</v>
      </c>
      <c r="P333" s="252" t="str">
        <f t="shared" si="380"/>
        <v>-</v>
      </c>
      <c r="Q333" s="250">
        <f t="shared" ref="Q333:Q334" si="489">N333-F333</f>
        <v>0</v>
      </c>
      <c r="R333" s="252" t="str">
        <f t="shared" si="381"/>
        <v>-</v>
      </c>
      <c r="S333" s="253">
        <f>[1]PB8!W333</f>
        <v>0</v>
      </c>
      <c r="T333" s="257"/>
      <c r="U333" s="10" t="str">
        <f t="shared" si="363"/>
        <v>-</v>
      </c>
      <c r="V333"/>
    </row>
    <row r="334" spans="1:22" ht="20.149999999999999" hidden="1" customHeight="1" outlineLevel="1">
      <c r="A334" s="241"/>
      <c r="B334" s="241"/>
      <c r="C334" s="248">
        <v>68012</v>
      </c>
      <c r="D334" s="249" t="s">
        <v>603</v>
      </c>
      <c r="E334" s="250"/>
      <c r="F334" s="250"/>
      <c r="G334" s="250"/>
      <c r="H334" s="250"/>
      <c r="I334" s="250"/>
      <c r="J334" s="250"/>
      <c r="K334" s="250">
        <f t="shared" si="488"/>
        <v>0</v>
      </c>
      <c r="L334" s="252" t="str">
        <f t="shared" si="377"/>
        <v>-</v>
      </c>
      <c r="M334" s="252" t="str">
        <f t="shared" si="378"/>
        <v>-</v>
      </c>
      <c r="N334" s="250">
        <f>[1]PB8!E334</f>
        <v>0</v>
      </c>
      <c r="O334" s="252" t="str">
        <f t="shared" si="379"/>
        <v>-</v>
      </c>
      <c r="P334" s="252" t="str">
        <f t="shared" si="380"/>
        <v>-</v>
      </c>
      <c r="Q334" s="250">
        <f t="shared" si="489"/>
        <v>0</v>
      </c>
      <c r="R334" s="252" t="str">
        <f t="shared" si="381"/>
        <v>-</v>
      </c>
      <c r="S334" s="253">
        <f>[1]PB8!W334</f>
        <v>0</v>
      </c>
      <c r="T334" s="257"/>
      <c r="U334" s="10" t="str">
        <f t="shared" si="363"/>
        <v>-</v>
      </c>
      <c r="V334"/>
    </row>
    <row r="335" spans="1:22" s="137" customFormat="1" ht="20.149999999999999" hidden="1" customHeight="1" outlineLevel="1">
      <c r="A335" s="229" t="s">
        <v>604</v>
      </c>
      <c r="B335" s="229"/>
      <c r="C335" s="229"/>
      <c r="D335" s="229"/>
      <c r="E335" s="230">
        <f t="shared" ref="E335:K335" si="490">E336</f>
        <v>0</v>
      </c>
      <c r="F335" s="230">
        <f t="shared" si="490"/>
        <v>0</v>
      </c>
      <c r="G335" s="230">
        <f t="shared" si="490"/>
        <v>0</v>
      </c>
      <c r="H335" s="230">
        <f t="shared" si="490"/>
        <v>0</v>
      </c>
      <c r="I335" s="230">
        <f t="shared" si="490"/>
        <v>0</v>
      </c>
      <c r="J335" s="230">
        <f t="shared" si="490"/>
        <v>0</v>
      </c>
      <c r="K335" s="230">
        <f t="shared" si="490"/>
        <v>0</v>
      </c>
      <c r="L335" s="231" t="str">
        <f t="shared" si="377"/>
        <v>-</v>
      </c>
      <c r="M335" s="231" t="str">
        <f t="shared" si="378"/>
        <v>-</v>
      </c>
      <c r="N335" s="230">
        <f t="shared" ref="N335" si="491">N336</f>
        <v>0</v>
      </c>
      <c r="O335" s="231" t="str">
        <f t="shared" si="379"/>
        <v>-</v>
      </c>
      <c r="P335" s="231" t="str">
        <f t="shared" si="380"/>
        <v>-</v>
      </c>
      <c r="Q335" s="230">
        <f t="shared" ref="Q335" si="492">Q336</f>
        <v>0</v>
      </c>
      <c r="R335" s="231" t="str">
        <f t="shared" si="381"/>
        <v>-</v>
      </c>
      <c r="S335" s="232">
        <f t="shared" ref="S335" si="493">S336</f>
        <v>0</v>
      </c>
      <c r="T335" s="233"/>
      <c r="U335" s="137" t="str">
        <f t="shared" ref="U335:U398" si="494">IF(OR(F335&gt;0,H335&gt;0,N335&gt;0),"ok","-")</f>
        <v>-</v>
      </c>
      <c r="V335"/>
    </row>
    <row r="336" spans="1:22" ht="20.149999999999999" hidden="1" customHeight="1" outlineLevel="1">
      <c r="A336" s="234">
        <v>69</v>
      </c>
      <c r="B336" s="234"/>
      <c r="C336" s="235"/>
      <c r="D336" s="236" t="s">
        <v>605</v>
      </c>
      <c r="E336" s="286">
        <f t="shared" ref="E336:K336" si="495">E337+E339+E341</f>
        <v>0</v>
      </c>
      <c r="F336" s="286">
        <f t="shared" si="495"/>
        <v>0</v>
      </c>
      <c r="G336" s="286">
        <f t="shared" si="495"/>
        <v>0</v>
      </c>
      <c r="H336" s="286">
        <f t="shared" si="495"/>
        <v>0</v>
      </c>
      <c r="I336" s="286">
        <f t="shared" si="495"/>
        <v>0</v>
      </c>
      <c r="J336" s="286">
        <f t="shared" si="495"/>
        <v>0</v>
      </c>
      <c r="K336" s="286">
        <f t="shared" si="495"/>
        <v>0</v>
      </c>
      <c r="L336" s="287" t="str">
        <f t="shared" si="377"/>
        <v>-</v>
      </c>
      <c r="M336" s="287" t="str">
        <f t="shared" si="378"/>
        <v>-</v>
      </c>
      <c r="N336" s="286">
        <f t="shared" ref="N336" si="496">N337+N339+N341</f>
        <v>0</v>
      </c>
      <c r="O336" s="287" t="str">
        <f t="shared" si="379"/>
        <v>-</v>
      </c>
      <c r="P336" s="287" t="str">
        <f t="shared" si="380"/>
        <v>-</v>
      </c>
      <c r="Q336" s="286">
        <f t="shared" ref="Q336" si="497">Q337+Q339+Q341</f>
        <v>0</v>
      </c>
      <c r="R336" s="287" t="str">
        <f t="shared" si="381"/>
        <v>-</v>
      </c>
      <c r="S336" s="288">
        <f t="shared" ref="S336" si="498">S337+S339+S341</f>
        <v>0</v>
      </c>
      <c r="T336" s="289"/>
      <c r="U336" s="10" t="str">
        <f t="shared" si="494"/>
        <v>-</v>
      </c>
      <c r="V336"/>
    </row>
    <row r="337" spans="1:22" ht="20.149999999999999" hidden="1" customHeight="1" outlineLevel="1">
      <c r="A337" s="290"/>
      <c r="B337" s="290">
        <v>6901</v>
      </c>
      <c r="C337" s="290"/>
      <c r="D337" s="291" t="s">
        <v>606</v>
      </c>
      <c r="E337" s="243">
        <f t="shared" ref="E337:K337" si="499">E338</f>
        <v>0</v>
      </c>
      <c r="F337" s="243">
        <f t="shared" si="499"/>
        <v>0</v>
      </c>
      <c r="G337" s="243">
        <f t="shared" si="499"/>
        <v>0</v>
      </c>
      <c r="H337" s="243">
        <f t="shared" si="499"/>
        <v>0</v>
      </c>
      <c r="I337" s="243">
        <f t="shared" si="499"/>
        <v>0</v>
      </c>
      <c r="J337" s="243">
        <f t="shared" si="499"/>
        <v>0</v>
      </c>
      <c r="K337" s="243">
        <f t="shared" si="499"/>
        <v>0</v>
      </c>
      <c r="L337" s="244" t="str">
        <f t="shared" si="377"/>
        <v>-</v>
      </c>
      <c r="M337" s="244" t="str">
        <f t="shared" si="378"/>
        <v>-</v>
      </c>
      <c r="N337" s="243">
        <f t="shared" ref="N337" si="500">N338</f>
        <v>0</v>
      </c>
      <c r="O337" s="244" t="str">
        <f t="shared" si="379"/>
        <v>-</v>
      </c>
      <c r="P337" s="244" t="str">
        <f t="shared" si="380"/>
        <v>-</v>
      </c>
      <c r="Q337" s="243">
        <f t="shared" ref="Q337" si="501">Q338</f>
        <v>0</v>
      </c>
      <c r="R337" s="244" t="str">
        <f t="shared" si="381"/>
        <v>-</v>
      </c>
      <c r="S337" s="245">
        <f t="shared" ref="S337" si="502">S338</f>
        <v>0</v>
      </c>
      <c r="T337" s="246"/>
      <c r="U337" s="10" t="str">
        <f t="shared" si="494"/>
        <v>-</v>
      </c>
      <c r="V337"/>
    </row>
    <row r="338" spans="1:22" ht="20.149999999999999" hidden="1" customHeight="1" outlineLevel="1">
      <c r="A338" s="292"/>
      <c r="B338" s="293"/>
      <c r="C338" s="248">
        <v>69011</v>
      </c>
      <c r="D338" s="249" t="s">
        <v>606</v>
      </c>
      <c r="E338" s="250"/>
      <c r="F338" s="250"/>
      <c r="G338" s="250"/>
      <c r="H338" s="250"/>
      <c r="I338" s="250"/>
      <c r="J338" s="250"/>
      <c r="K338" s="250">
        <f>SUM(I338:J338)</f>
        <v>0</v>
      </c>
      <c r="L338" s="252" t="str">
        <f>IFERROR(K338/F338,"-")</f>
        <v>-</v>
      </c>
      <c r="M338" s="252" t="str">
        <f>IFERROR(K338/H338,"-")</f>
        <v>-</v>
      </c>
      <c r="N338" s="250">
        <f>[1]PB8!E338</f>
        <v>0</v>
      </c>
      <c r="O338" s="252" t="str">
        <f>IFERROR(N338/F338,"-")</f>
        <v>-</v>
      </c>
      <c r="P338" s="252" t="str">
        <f>IFERROR(N338/H338,"-")</f>
        <v>-</v>
      </c>
      <c r="Q338" s="250">
        <f>N338-F338</f>
        <v>0</v>
      </c>
      <c r="R338" s="252" t="str">
        <f t="shared" si="381"/>
        <v>-</v>
      </c>
      <c r="S338" s="253">
        <f>[1]PB8!W338</f>
        <v>0</v>
      </c>
      <c r="T338" s="257"/>
      <c r="U338" s="10" t="str">
        <f t="shared" si="494"/>
        <v>-</v>
      </c>
      <c r="V338"/>
    </row>
    <row r="339" spans="1:22" ht="20.149999999999999" hidden="1" customHeight="1" outlineLevel="1">
      <c r="A339" s="294"/>
      <c r="B339" s="293">
        <v>6902</v>
      </c>
      <c r="C339" s="293"/>
      <c r="D339" s="295" t="s">
        <v>607</v>
      </c>
      <c r="E339" s="243">
        <f t="shared" ref="E339:K339" si="503">E340</f>
        <v>0</v>
      </c>
      <c r="F339" s="243">
        <f t="shared" si="503"/>
        <v>0</v>
      </c>
      <c r="G339" s="243">
        <f t="shared" si="503"/>
        <v>0</v>
      </c>
      <c r="H339" s="243">
        <f t="shared" si="503"/>
        <v>0</v>
      </c>
      <c r="I339" s="243">
        <f t="shared" si="503"/>
        <v>0</v>
      </c>
      <c r="J339" s="243">
        <f t="shared" si="503"/>
        <v>0</v>
      </c>
      <c r="K339" s="243">
        <f t="shared" si="503"/>
        <v>0</v>
      </c>
      <c r="L339" s="244" t="str">
        <f t="shared" si="377"/>
        <v>-</v>
      </c>
      <c r="M339" s="244" t="str">
        <f t="shared" si="378"/>
        <v>-</v>
      </c>
      <c r="N339" s="243">
        <f t="shared" ref="N339" si="504">N340</f>
        <v>0</v>
      </c>
      <c r="O339" s="244" t="str">
        <f t="shared" si="379"/>
        <v>-</v>
      </c>
      <c r="P339" s="244" t="str">
        <f t="shared" si="380"/>
        <v>-</v>
      </c>
      <c r="Q339" s="243">
        <f t="shared" ref="Q339" si="505">Q340</f>
        <v>0</v>
      </c>
      <c r="R339" s="244" t="str">
        <f t="shared" si="381"/>
        <v>-</v>
      </c>
      <c r="S339" s="245">
        <f t="shared" ref="S339" si="506">S340</f>
        <v>0</v>
      </c>
      <c r="T339" s="246"/>
      <c r="U339" s="10" t="str">
        <f t="shared" si="494"/>
        <v>-</v>
      </c>
      <c r="V339"/>
    </row>
    <row r="340" spans="1:22" ht="20.149999999999999" hidden="1" customHeight="1" outlineLevel="1">
      <c r="A340" s="296"/>
      <c r="B340" s="293"/>
      <c r="C340" s="248">
        <v>69021</v>
      </c>
      <c r="D340" s="249" t="s">
        <v>607</v>
      </c>
      <c r="E340" s="250"/>
      <c r="F340" s="250"/>
      <c r="G340" s="250"/>
      <c r="H340" s="250"/>
      <c r="I340" s="250"/>
      <c r="J340" s="250"/>
      <c r="K340" s="250">
        <f>SUM(I340:J340)</f>
        <v>0</v>
      </c>
      <c r="L340" s="252" t="str">
        <f>IFERROR(K340/F340,"-")</f>
        <v>-</v>
      </c>
      <c r="M340" s="252" t="str">
        <f>IFERROR(K340/H340,"-")</f>
        <v>-</v>
      </c>
      <c r="N340" s="250">
        <f>[1]PB8!E340</f>
        <v>0</v>
      </c>
      <c r="O340" s="252" t="str">
        <f>IFERROR(N340/F340,"-")</f>
        <v>-</v>
      </c>
      <c r="P340" s="252" t="str">
        <f>IFERROR(N340/H340,"-")</f>
        <v>-</v>
      </c>
      <c r="Q340" s="250">
        <f>N340-F340</f>
        <v>0</v>
      </c>
      <c r="R340" s="252" t="str">
        <f t="shared" si="381"/>
        <v>-</v>
      </c>
      <c r="S340" s="253">
        <f>[1]PB8!W340</f>
        <v>0</v>
      </c>
      <c r="T340" s="257"/>
      <c r="U340" s="10" t="str">
        <f t="shared" si="494"/>
        <v>-</v>
      </c>
      <c r="V340"/>
    </row>
    <row r="341" spans="1:22" ht="20.149999999999999" hidden="1" customHeight="1" outlineLevel="1">
      <c r="A341" s="296"/>
      <c r="B341" s="293">
        <v>6908</v>
      </c>
      <c r="C341" s="293"/>
      <c r="D341" s="295" t="s">
        <v>608</v>
      </c>
      <c r="E341" s="243">
        <f t="shared" ref="E341:K341" si="507">E342</f>
        <v>0</v>
      </c>
      <c r="F341" s="243">
        <f t="shared" si="507"/>
        <v>0</v>
      </c>
      <c r="G341" s="243">
        <f t="shared" si="507"/>
        <v>0</v>
      </c>
      <c r="H341" s="243">
        <f t="shared" si="507"/>
        <v>0</v>
      </c>
      <c r="I341" s="243">
        <f t="shared" si="507"/>
        <v>0</v>
      </c>
      <c r="J341" s="243">
        <f t="shared" si="507"/>
        <v>0</v>
      </c>
      <c r="K341" s="243">
        <f t="shared" si="507"/>
        <v>0</v>
      </c>
      <c r="L341" s="244" t="str">
        <f t="shared" si="377"/>
        <v>-</v>
      </c>
      <c r="M341" s="244" t="str">
        <f t="shared" si="378"/>
        <v>-</v>
      </c>
      <c r="N341" s="243">
        <f t="shared" ref="N341" si="508">N342</f>
        <v>0</v>
      </c>
      <c r="O341" s="244" t="str">
        <f t="shared" si="379"/>
        <v>-</v>
      </c>
      <c r="P341" s="244" t="str">
        <f t="shared" si="380"/>
        <v>-</v>
      </c>
      <c r="Q341" s="243">
        <f t="shared" ref="Q341" si="509">Q342</f>
        <v>0</v>
      </c>
      <c r="R341" s="244" t="str">
        <f t="shared" si="381"/>
        <v>-</v>
      </c>
      <c r="S341" s="245">
        <f t="shared" ref="S341" si="510">S342</f>
        <v>0</v>
      </c>
      <c r="T341" s="246"/>
      <c r="U341" s="10" t="str">
        <f t="shared" si="494"/>
        <v>-</v>
      </c>
      <c r="V341"/>
    </row>
    <row r="342" spans="1:22" ht="20.149999999999999" hidden="1" customHeight="1" outlineLevel="1">
      <c r="A342" s="296"/>
      <c r="B342" s="293"/>
      <c r="C342" s="248">
        <v>69081</v>
      </c>
      <c r="D342" s="249" t="s">
        <v>608</v>
      </c>
      <c r="E342" s="250"/>
      <c r="F342" s="250"/>
      <c r="G342" s="250"/>
      <c r="H342" s="250"/>
      <c r="I342" s="250"/>
      <c r="J342" s="250"/>
      <c r="K342" s="250">
        <f>SUM(I342:J342)</f>
        <v>0</v>
      </c>
      <c r="L342" s="252" t="str">
        <f>IFERROR(K342/F342,"-")</f>
        <v>-</v>
      </c>
      <c r="M342" s="252" t="str">
        <f>IFERROR(K342/H342,"-")</f>
        <v>-</v>
      </c>
      <c r="N342" s="250">
        <f>[1]PB8!E342</f>
        <v>0</v>
      </c>
      <c r="O342" s="252" t="str">
        <f>IFERROR(N342/F342,"-")</f>
        <v>-</v>
      </c>
      <c r="P342" s="252" t="str">
        <f>IFERROR(N342/H342,"-")</f>
        <v>-</v>
      </c>
      <c r="Q342" s="250">
        <f>N342-F342</f>
        <v>0</v>
      </c>
      <c r="R342" s="252" t="str">
        <f t="shared" ref="R342:R405" si="511">IFERROR(Q342/F342,"-")</f>
        <v>-</v>
      </c>
      <c r="S342" s="253">
        <f>[1]PB8!W342</f>
        <v>0</v>
      </c>
      <c r="T342" s="257"/>
      <c r="U342" s="10" t="str">
        <f t="shared" si="494"/>
        <v>-</v>
      </c>
      <c r="V342"/>
    </row>
    <row r="343" spans="1:22" s="60" customFormat="1" ht="20.149999999999999" hidden="1" customHeight="1" outlineLevel="1">
      <c r="A343" s="215" t="s">
        <v>609</v>
      </c>
      <c r="B343" s="216"/>
      <c r="C343" s="216"/>
      <c r="D343" s="217"/>
      <c r="E343" s="297">
        <f t="shared" ref="E343:K343" si="512">E344+E460</f>
        <v>0</v>
      </c>
      <c r="F343" s="297">
        <f t="shared" si="512"/>
        <v>0</v>
      </c>
      <c r="G343" s="297">
        <f t="shared" si="512"/>
        <v>0</v>
      </c>
      <c r="H343" s="297">
        <f t="shared" si="512"/>
        <v>0</v>
      </c>
      <c r="I343" s="297">
        <f t="shared" si="512"/>
        <v>0</v>
      </c>
      <c r="J343" s="297">
        <f t="shared" si="512"/>
        <v>0</v>
      </c>
      <c r="K343" s="297">
        <f t="shared" si="512"/>
        <v>0</v>
      </c>
      <c r="L343" s="219" t="str">
        <f t="shared" ref="L343:L407" si="513">IFERROR(K343/F343,"-")</f>
        <v>-</v>
      </c>
      <c r="M343" s="219" t="str">
        <f t="shared" ref="M343:M407" si="514">IFERROR(K343/H343,"-")</f>
        <v>-</v>
      </c>
      <c r="N343" s="297">
        <f t="shared" ref="N343" si="515">N344+N460</f>
        <v>0</v>
      </c>
      <c r="O343" s="219" t="str">
        <f t="shared" ref="O343:O407" si="516">IFERROR(N343/F343,"-")</f>
        <v>-</v>
      </c>
      <c r="P343" s="219" t="str">
        <f t="shared" ref="P343:P407" si="517">IFERROR(N343/H343,"-")</f>
        <v>-</v>
      </c>
      <c r="Q343" s="297">
        <f t="shared" ref="Q343" si="518">Q344+Q460</f>
        <v>0</v>
      </c>
      <c r="R343" s="219" t="str">
        <f t="shared" si="511"/>
        <v>-</v>
      </c>
      <c r="S343" s="298">
        <f t="shared" ref="S343" si="519">S344+S460</f>
        <v>0</v>
      </c>
      <c r="T343" s="221"/>
      <c r="U343" s="60" t="str">
        <f t="shared" si="494"/>
        <v>-</v>
      </c>
      <c r="V343"/>
    </row>
    <row r="344" spans="1:22" ht="20.149999999999999" hidden="1" customHeight="1" outlineLevel="1">
      <c r="A344" s="299" t="s">
        <v>610</v>
      </c>
      <c r="B344" s="300"/>
      <c r="C344" s="300"/>
      <c r="D344" s="301"/>
      <c r="E344" s="302">
        <f t="shared" ref="E344:K344" si="520">E345+E357</f>
        <v>0</v>
      </c>
      <c r="F344" s="302">
        <f t="shared" si="520"/>
        <v>0</v>
      </c>
      <c r="G344" s="302">
        <f t="shared" si="520"/>
        <v>0</v>
      </c>
      <c r="H344" s="302">
        <f t="shared" si="520"/>
        <v>0</v>
      </c>
      <c r="I344" s="302">
        <f t="shared" si="520"/>
        <v>0</v>
      </c>
      <c r="J344" s="302">
        <f t="shared" si="520"/>
        <v>0</v>
      </c>
      <c r="K344" s="302">
        <f t="shared" si="520"/>
        <v>0</v>
      </c>
      <c r="L344" s="226" t="str">
        <f t="shared" si="513"/>
        <v>-</v>
      </c>
      <c r="M344" s="226" t="str">
        <f t="shared" si="514"/>
        <v>-</v>
      </c>
      <c r="N344" s="302">
        <f t="shared" ref="N344" si="521">N345+N357</f>
        <v>0</v>
      </c>
      <c r="O344" s="226" t="str">
        <f t="shared" si="516"/>
        <v>-</v>
      </c>
      <c r="P344" s="226" t="str">
        <f t="shared" si="517"/>
        <v>-</v>
      </c>
      <c r="Q344" s="302">
        <f t="shared" ref="Q344" si="522">Q345+Q357</f>
        <v>0</v>
      </c>
      <c r="R344" s="226" t="str">
        <f t="shared" si="511"/>
        <v>-</v>
      </c>
      <c r="S344" s="303">
        <f t="shared" ref="S344" si="523">S345+S357</f>
        <v>0</v>
      </c>
      <c r="T344" s="228"/>
      <c r="U344" s="10" t="str">
        <f t="shared" si="494"/>
        <v>-</v>
      </c>
      <c r="V344"/>
    </row>
    <row r="345" spans="1:22" s="137" customFormat="1" ht="20.149999999999999" hidden="1" customHeight="1" outlineLevel="1">
      <c r="A345" s="229" t="s">
        <v>611</v>
      </c>
      <c r="B345" s="229"/>
      <c r="C345" s="229"/>
      <c r="D345" s="229"/>
      <c r="E345" s="230">
        <f t="shared" ref="E345:K345" si="524">E346</f>
        <v>0</v>
      </c>
      <c r="F345" s="230">
        <f t="shared" si="524"/>
        <v>0</v>
      </c>
      <c r="G345" s="230">
        <f t="shared" si="524"/>
        <v>0</v>
      </c>
      <c r="H345" s="230">
        <f t="shared" si="524"/>
        <v>0</v>
      </c>
      <c r="I345" s="230">
        <f t="shared" si="524"/>
        <v>0</v>
      </c>
      <c r="J345" s="230">
        <f t="shared" si="524"/>
        <v>0</v>
      </c>
      <c r="K345" s="230">
        <f t="shared" si="524"/>
        <v>0</v>
      </c>
      <c r="L345" s="231" t="str">
        <f t="shared" si="513"/>
        <v>-</v>
      </c>
      <c r="M345" s="231" t="str">
        <f t="shared" si="514"/>
        <v>-</v>
      </c>
      <c r="N345" s="230">
        <f t="shared" ref="N345" si="525">N346</f>
        <v>0</v>
      </c>
      <c r="O345" s="231" t="str">
        <f t="shared" si="516"/>
        <v>-</v>
      </c>
      <c r="P345" s="231" t="str">
        <f t="shared" si="517"/>
        <v>-</v>
      </c>
      <c r="Q345" s="230">
        <f t="shared" ref="Q345" si="526">Q346</f>
        <v>0</v>
      </c>
      <c r="R345" s="231" t="str">
        <f t="shared" si="511"/>
        <v>-</v>
      </c>
      <c r="S345" s="232">
        <f t="shared" ref="S345" si="527">S346</f>
        <v>0</v>
      </c>
      <c r="T345" s="233"/>
      <c r="U345" s="137" t="str">
        <f t="shared" si="494"/>
        <v>-</v>
      </c>
      <c r="V345"/>
    </row>
    <row r="346" spans="1:22" ht="20.149999999999999" hidden="1" customHeight="1" outlineLevel="1">
      <c r="A346" s="234">
        <v>50</v>
      </c>
      <c r="B346" s="234"/>
      <c r="C346" s="235"/>
      <c r="D346" s="236" t="s">
        <v>612</v>
      </c>
      <c r="E346" s="304">
        <f t="shared" ref="E346:K346" si="528">E347+E351+E354</f>
        <v>0</v>
      </c>
      <c r="F346" s="304">
        <f t="shared" si="528"/>
        <v>0</v>
      </c>
      <c r="G346" s="304">
        <f t="shared" si="528"/>
        <v>0</v>
      </c>
      <c r="H346" s="304">
        <f t="shared" si="528"/>
        <v>0</v>
      </c>
      <c r="I346" s="304">
        <f t="shared" si="528"/>
        <v>0</v>
      </c>
      <c r="J346" s="304">
        <f t="shared" si="528"/>
        <v>0</v>
      </c>
      <c r="K346" s="304">
        <f t="shared" si="528"/>
        <v>0</v>
      </c>
      <c r="L346" s="238" t="str">
        <f t="shared" si="513"/>
        <v>-</v>
      </c>
      <c r="M346" s="238" t="str">
        <f t="shared" si="514"/>
        <v>-</v>
      </c>
      <c r="N346" s="304">
        <f t="shared" ref="N346" si="529">N347+N351+N354</f>
        <v>0</v>
      </c>
      <c r="O346" s="238" t="str">
        <f t="shared" si="516"/>
        <v>-</v>
      </c>
      <c r="P346" s="238" t="str">
        <f t="shared" si="517"/>
        <v>-</v>
      </c>
      <c r="Q346" s="304">
        <f t="shared" ref="Q346" si="530">Q347+Q351+Q354</f>
        <v>0</v>
      </c>
      <c r="R346" s="238" t="str">
        <f t="shared" si="511"/>
        <v>-</v>
      </c>
      <c r="S346" s="305">
        <f t="shared" ref="S346" si="531">S347+S351+S354</f>
        <v>0</v>
      </c>
      <c r="T346" s="240"/>
      <c r="U346" s="10" t="str">
        <f t="shared" si="494"/>
        <v>-</v>
      </c>
      <c r="V346"/>
    </row>
    <row r="347" spans="1:22" ht="20.149999999999999" hidden="1" customHeight="1" outlineLevel="1">
      <c r="A347" s="296"/>
      <c r="B347" s="293">
        <v>5001</v>
      </c>
      <c r="C347" s="293"/>
      <c r="D347" s="295" t="s">
        <v>613</v>
      </c>
      <c r="E347" s="243">
        <f t="shared" ref="E347" si="532">SUM(E348:E350)</f>
        <v>0</v>
      </c>
      <c r="F347" s="243">
        <f t="shared" ref="F347:K347" si="533">SUM(F348:F350)</f>
        <v>0</v>
      </c>
      <c r="G347" s="243">
        <f t="shared" si="533"/>
        <v>0</v>
      </c>
      <c r="H347" s="243">
        <f t="shared" si="533"/>
        <v>0</v>
      </c>
      <c r="I347" s="243">
        <f t="shared" si="533"/>
        <v>0</v>
      </c>
      <c r="J347" s="243">
        <f t="shared" si="533"/>
        <v>0</v>
      </c>
      <c r="K347" s="243">
        <f t="shared" si="533"/>
        <v>0</v>
      </c>
      <c r="L347" s="244" t="str">
        <f t="shared" si="513"/>
        <v>-</v>
      </c>
      <c r="M347" s="244" t="str">
        <f t="shared" si="514"/>
        <v>-</v>
      </c>
      <c r="N347" s="243">
        <f t="shared" ref="N347" si="534">SUM(N348:N350)</f>
        <v>0</v>
      </c>
      <c r="O347" s="244" t="str">
        <f t="shared" si="516"/>
        <v>-</v>
      </c>
      <c r="P347" s="244" t="str">
        <f t="shared" si="517"/>
        <v>-</v>
      </c>
      <c r="Q347" s="243">
        <f t="shared" ref="Q347" si="535">SUM(Q348:Q350)</f>
        <v>0</v>
      </c>
      <c r="R347" s="244" t="str">
        <f t="shared" si="511"/>
        <v>-</v>
      </c>
      <c r="S347" s="245">
        <f t="shared" ref="S347" si="536">SUM(S348:S350)</f>
        <v>0</v>
      </c>
      <c r="T347" s="246"/>
      <c r="U347" s="10" t="str">
        <f t="shared" si="494"/>
        <v>-</v>
      </c>
      <c r="V347"/>
    </row>
    <row r="348" spans="1:22" ht="20.149999999999999" hidden="1" customHeight="1" outlineLevel="1">
      <c r="A348" s="296"/>
      <c r="B348" s="293"/>
      <c r="C348" s="248">
        <v>50011</v>
      </c>
      <c r="D348" s="249" t="s">
        <v>277</v>
      </c>
      <c r="E348" s="250"/>
      <c r="F348" s="250"/>
      <c r="G348" s="250"/>
      <c r="H348" s="250"/>
      <c r="I348" s="250"/>
      <c r="J348" s="250"/>
      <c r="K348" s="250">
        <f t="shared" ref="K348:K350" si="537">SUM(I348:J348)</f>
        <v>0</v>
      </c>
      <c r="L348" s="252" t="str">
        <f t="shared" si="513"/>
        <v>-</v>
      </c>
      <c r="M348" s="252" t="str">
        <f t="shared" si="514"/>
        <v>-</v>
      </c>
      <c r="N348" s="250">
        <f>[1]PB8!E348</f>
        <v>0</v>
      </c>
      <c r="O348" s="252" t="str">
        <f t="shared" si="516"/>
        <v>-</v>
      </c>
      <c r="P348" s="252" t="str">
        <f t="shared" si="517"/>
        <v>-</v>
      </c>
      <c r="Q348" s="250">
        <f t="shared" ref="Q348:Q350" si="538">N348-F348</f>
        <v>0</v>
      </c>
      <c r="R348" s="252" t="str">
        <f t="shared" si="511"/>
        <v>-</v>
      </c>
      <c r="S348" s="253">
        <f>[1]PB8!W348</f>
        <v>0</v>
      </c>
      <c r="T348" s="257"/>
      <c r="U348" s="10" t="str">
        <f t="shared" si="494"/>
        <v>-</v>
      </c>
      <c r="V348"/>
    </row>
    <row r="349" spans="1:22" ht="20.149999999999999" hidden="1" customHeight="1" outlineLevel="1">
      <c r="A349" s="296"/>
      <c r="B349" s="293"/>
      <c r="C349" s="248">
        <v>50012</v>
      </c>
      <c r="D349" s="249" t="s">
        <v>278</v>
      </c>
      <c r="E349" s="250"/>
      <c r="F349" s="250"/>
      <c r="G349" s="250"/>
      <c r="H349" s="250"/>
      <c r="I349" s="250"/>
      <c r="J349" s="250"/>
      <c r="K349" s="250">
        <f t="shared" si="537"/>
        <v>0</v>
      </c>
      <c r="L349" s="252" t="str">
        <f t="shared" si="513"/>
        <v>-</v>
      </c>
      <c r="M349" s="252" t="str">
        <f t="shared" si="514"/>
        <v>-</v>
      </c>
      <c r="N349" s="250">
        <f>[1]PB8!E349</f>
        <v>0</v>
      </c>
      <c r="O349" s="252" t="str">
        <f t="shared" si="516"/>
        <v>-</v>
      </c>
      <c r="P349" s="252" t="str">
        <f t="shared" si="517"/>
        <v>-</v>
      </c>
      <c r="Q349" s="250">
        <f t="shared" si="538"/>
        <v>0</v>
      </c>
      <c r="R349" s="252" t="str">
        <f t="shared" si="511"/>
        <v>-</v>
      </c>
      <c r="S349" s="253">
        <f>[1]PB8!W349</f>
        <v>0</v>
      </c>
      <c r="T349" s="257"/>
      <c r="U349" s="10" t="str">
        <f t="shared" si="494"/>
        <v>-</v>
      </c>
      <c r="V349"/>
    </row>
    <row r="350" spans="1:22" ht="20.149999999999999" hidden="1" customHeight="1" outlineLevel="1">
      <c r="A350" s="296"/>
      <c r="B350" s="293"/>
      <c r="C350" s="248">
        <v>50018</v>
      </c>
      <c r="D350" s="249" t="s">
        <v>50</v>
      </c>
      <c r="E350" s="250"/>
      <c r="F350" s="250"/>
      <c r="G350" s="250"/>
      <c r="H350" s="250"/>
      <c r="I350" s="250"/>
      <c r="J350" s="250"/>
      <c r="K350" s="250">
        <f t="shared" si="537"/>
        <v>0</v>
      </c>
      <c r="L350" s="252" t="str">
        <f t="shared" si="513"/>
        <v>-</v>
      </c>
      <c r="M350" s="252" t="str">
        <f t="shared" si="514"/>
        <v>-</v>
      </c>
      <c r="N350" s="250">
        <f>[1]PB8!E350</f>
        <v>0</v>
      </c>
      <c r="O350" s="252" t="str">
        <f t="shared" si="516"/>
        <v>-</v>
      </c>
      <c r="P350" s="252" t="str">
        <f t="shared" si="517"/>
        <v>-</v>
      </c>
      <c r="Q350" s="250">
        <f t="shared" si="538"/>
        <v>0</v>
      </c>
      <c r="R350" s="252" t="str">
        <f t="shared" si="511"/>
        <v>-</v>
      </c>
      <c r="S350" s="253">
        <f>[1]PB8!W350</f>
        <v>0</v>
      </c>
      <c r="T350" s="257"/>
      <c r="U350" s="10" t="str">
        <f t="shared" si="494"/>
        <v>-</v>
      </c>
      <c r="V350"/>
    </row>
    <row r="351" spans="1:22" ht="20.149999999999999" hidden="1" customHeight="1" outlineLevel="1">
      <c r="A351" s="296"/>
      <c r="B351" s="293">
        <v>5002</v>
      </c>
      <c r="C351" s="293"/>
      <c r="D351" s="295" t="s">
        <v>279</v>
      </c>
      <c r="E351" s="243">
        <f t="shared" ref="E351" si="539">SUM(E352:E353)</f>
        <v>0</v>
      </c>
      <c r="F351" s="243">
        <f t="shared" ref="F351:K351" si="540">SUM(F352:F353)</f>
        <v>0</v>
      </c>
      <c r="G351" s="243">
        <f t="shared" si="540"/>
        <v>0</v>
      </c>
      <c r="H351" s="243">
        <f t="shared" si="540"/>
        <v>0</v>
      </c>
      <c r="I351" s="243">
        <f t="shared" si="540"/>
        <v>0</v>
      </c>
      <c r="J351" s="243">
        <f t="shared" si="540"/>
        <v>0</v>
      </c>
      <c r="K351" s="243">
        <f t="shared" si="540"/>
        <v>0</v>
      </c>
      <c r="L351" s="244" t="str">
        <f t="shared" si="513"/>
        <v>-</v>
      </c>
      <c r="M351" s="244" t="str">
        <f t="shared" si="514"/>
        <v>-</v>
      </c>
      <c r="N351" s="243">
        <f t="shared" ref="N351" si="541">SUM(N352:N353)</f>
        <v>0</v>
      </c>
      <c r="O351" s="244" t="str">
        <f t="shared" si="516"/>
        <v>-</v>
      </c>
      <c r="P351" s="244" t="str">
        <f t="shared" si="517"/>
        <v>-</v>
      </c>
      <c r="Q351" s="243">
        <f t="shared" ref="Q351" si="542">SUM(Q352:Q353)</f>
        <v>0</v>
      </c>
      <c r="R351" s="244" t="str">
        <f t="shared" si="511"/>
        <v>-</v>
      </c>
      <c r="S351" s="245">
        <f t="shared" ref="S351" si="543">SUM(S352:S353)</f>
        <v>0</v>
      </c>
      <c r="T351" s="246"/>
      <c r="U351" s="10" t="str">
        <f t="shared" si="494"/>
        <v>-</v>
      </c>
      <c r="V351"/>
    </row>
    <row r="352" spans="1:22" ht="20.149999999999999" hidden="1" customHeight="1" outlineLevel="1">
      <c r="A352" s="296"/>
      <c r="B352" s="293"/>
      <c r="C352" s="248">
        <v>50021</v>
      </c>
      <c r="D352" s="249" t="s">
        <v>280</v>
      </c>
      <c r="E352" s="250"/>
      <c r="F352" s="250"/>
      <c r="G352" s="250"/>
      <c r="H352" s="250"/>
      <c r="I352" s="250"/>
      <c r="J352" s="250"/>
      <c r="K352" s="250">
        <f t="shared" ref="K352:K353" si="544">SUM(I352:J352)</f>
        <v>0</v>
      </c>
      <c r="L352" s="252" t="str">
        <f t="shared" si="513"/>
        <v>-</v>
      </c>
      <c r="M352" s="252" t="str">
        <f t="shared" si="514"/>
        <v>-</v>
      </c>
      <c r="N352" s="250">
        <f>[1]PB8!E352</f>
        <v>0</v>
      </c>
      <c r="O352" s="252" t="str">
        <f t="shared" si="516"/>
        <v>-</v>
      </c>
      <c r="P352" s="252" t="str">
        <f t="shared" si="517"/>
        <v>-</v>
      </c>
      <c r="Q352" s="250">
        <f t="shared" ref="Q352:Q353" si="545">N352-F352</f>
        <v>0</v>
      </c>
      <c r="R352" s="252" t="str">
        <f t="shared" si="511"/>
        <v>-</v>
      </c>
      <c r="S352" s="253">
        <f>[1]PB8!W352</f>
        <v>0</v>
      </c>
      <c r="T352" s="257"/>
      <c r="U352" s="10" t="str">
        <f t="shared" si="494"/>
        <v>-</v>
      </c>
      <c r="V352"/>
    </row>
    <row r="353" spans="1:22" ht="20.149999999999999" hidden="1" customHeight="1" outlineLevel="1">
      <c r="A353" s="296"/>
      <c r="B353" s="293"/>
      <c r="C353" s="248">
        <v>50022</v>
      </c>
      <c r="D353" s="249" t="s">
        <v>281</v>
      </c>
      <c r="E353" s="250"/>
      <c r="F353" s="250"/>
      <c r="G353" s="250"/>
      <c r="H353" s="250"/>
      <c r="I353" s="250"/>
      <c r="J353" s="250"/>
      <c r="K353" s="250">
        <f t="shared" si="544"/>
        <v>0</v>
      </c>
      <c r="L353" s="252" t="str">
        <f t="shared" si="513"/>
        <v>-</v>
      </c>
      <c r="M353" s="252" t="str">
        <f t="shared" si="514"/>
        <v>-</v>
      </c>
      <c r="N353" s="250">
        <f>[1]PB8!E353</f>
        <v>0</v>
      </c>
      <c r="O353" s="252" t="str">
        <f t="shared" si="516"/>
        <v>-</v>
      </c>
      <c r="P353" s="252" t="str">
        <f t="shared" si="517"/>
        <v>-</v>
      </c>
      <c r="Q353" s="250">
        <f t="shared" si="545"/>
        <v>0</v>
      </c>
      <c r="R353" s="252" t="str">
        <f t="shared" si="511"/>
        <v>-</v>
      </c>
      <c r="S353" s="253">
        <f>[1]PB8!W353</f>
        <v>0</v>
      </c>
      <c r="T353" s="257"/>
      <c r="U353" s="10" t="str">
        <f t="shared" si="494"/>
        <v>-</v>
      </c>
      <c r="V353"/>
    </row>
    <row r="354" spans="1:22" ht="20.149999999999999" hidden="1" customHeight="1" outlineLevel="1">
      <c r="A354" s="296"/>
      <c r="B354" s="293">
        <v>5004</v>
      </c>
      <c r="C354" s="293"/>
      <c r="D354" s="295" t="s">
        <v>614</v>
      </c>
      <c r="E354" s="243">
        <f t="shared" ref="E354:K354" si="546">SUM(E355:E356)</f>
        <v>0</v>
      </c>
      <c r="F354" s="243">
        <f t="shared" si="546"/>
        <v>0</v>
      </c>
      <c r="G354" s="243">
        <f t="shared" si="546"/>
        <v>0</v>
      </c>
      <c r="H354" s="243">
        <f t="shared" si="546"/>
        <v>0</v>
      </c>
      <c r="I354" s="243">
        <f t="shared" si="546"/>
        <v>0</v>
      </c>
      <c r="J354" s="243">
        <f t="shared" si="546"/>
        <v>0</v>
      </c>
      <c r="K354" s="243">
        <f t="shared" si="546"/>
        <v>0</v>
      </c>
      <c r="L354" s="244" t="str">
        <f t="shared" si="513"/>
        <v>-</v>
      </c>
      <c r="M354" s="244" t="str">
        <f t="shared" si="514"/>
        <v>-</v>
      </c>
      <c r="N354" s="243">
        <f t="shared" ref="N354" si="547">SUM(N355:N356)</f>
        <v>0</v>
      </c>
      <c r="O354" s="244" t="str">
        <f t="shared" si="516"/>
        <v>-</v>
      </c>
      <c r="P354" s="244" t="str">
        <f t="shared" si="517"/>
        <v>-</v>
      </c>
      <c r="Q354" s="243">
        <f t="shared" ref="Q354" si="548">SUM(Q355:Q356)</f>
        <v>0</v>
      </c>
      <c r="R354" s="244" t="str">
        <f t="shared" si="511"/>
        <v>-</v>
      </c>
      <c r="S354" s="245">
        <f t="shared" ref="S354" si="549">SUM(S355:S356)</f>
        <v>0</v>
      </c>
      <c r="T354" s="246"/>
      <c r="U354" s="10" t="str">
        <f t="shared" si="494"/>
        <v>-</v>
      </c>
      <c r="V354"/>
    </row>
    <row r="355" spans="1:22" ht="20.149999999999999" hidden="1" customHeight="1" outlineLevel="1">
      <c r="A355" s="296"/>
      <c r="B355" s="293"/>
      <c r="C355" s="248">
        <v>50041</v>
      </c>
      <c r="D355" s="249" t="s">
        <v>283</v>
      </c>
      <c r="E355" s="250"/>
      <c r="F355" s="250"/>
      <c r="G355" s="250"/>
      <c r="H355" s="250"/>
      <c r="I355" s="250"/>
      <c r="J355" s="250"/>
      <c r="K355" s="250">
        <f t="shared" ref="K355:K356" si="550">SUM(I355:J355)</f>
        <v>0</v>
      </c>
      <c r="L355" s="252" t="str">
        <f t="shared" si="513"/>
        <v>-</v>
      </c>
      <c r="M355" s="252" t="str">
        <f t="shared" si="514"/>
        <v>-</v>
      </c>
      <c r="N355" s="250">
        <f>[1]PB8!E355</f>
        <v>0</v>
      </c>
      <c r="O355" s="252" t="str">
        <f t="shared" si="516"/>
        <v>-</v>
      </c>
      <c r="P355" s="252" t="str">
        <f t="shared" si="517"/>
        <v>-</v>
      </c>
      <c r="Q355" s="250">
        <f t="shared" ref="Q355:Q356" si="551">N355-F355</f>
        <v>0</v>
      </c>
      <c r="R355" s="252" t="str">
        <f t="shared" si="511"/>
        <v>-</v>
      </c>
      <c r="S355" s="253">
        <f>[1]PB8!W355</f>
        <v>0</v>
      </c>
      <c r="T355" s="257"/>
      <c r="U355" s="10" t="str">
        <f t="shared" si="494"/>
        <v>-</v>
      </c>
      <c r="V355"/>
    </row>
    <row r="356" spans="1:22" ht="20.149999999999999" hidden="1" customHeight="1" outlineLevel="1">
      <c r="A356" s="296"/>
      <c r="B356" s="293"/>
      <c r="C356" s="306">
        <v>50042</v>
      </c>
      <c r="D356" s="307" t="s">
        <v>284</v>
      </c>
      <c r="E356" s="250"/>
      <c r="F356" s="250"/>
      <c r="G356" s="250"/>
      <c r="H356" s="250"/>
      <c r="I356" s="250"/>
      <c r="J356" s="250"/>
      <c r="K356" s="250">
        <f t="shared" si="550"/>
        <v>0</v>
      </c>
      <c r="L356" s="252" t="str">
        <f t="shared" si="513"/>
        <v>-</v>
      </c>
      <c r="M356" s="252" t="str">
        <f t="shared" si="514"/>
        <v>-</v>
      </c>
      <c r="N356" s="250">
        <f>[1]PB8!E356</f>
        <v>0</v>
      </c>
      <c r="O356" s="252" t="str">
        <f t="shared" si="516"/>
        <v>-</v>
      </c>
      <c r="P356" s="252" t="str">
        <f t="shared" si="517"/>
        <v>-</v>
      </c>
      <c r="Q356" s="250">
        <f t="shared" si="551"/>
        <v>0</v>
      </c>
      <c r="R356" s="252" t="str">
        <f t="shared" si="511"/>
        <v>-</v>
      </c>
      <c r="S356" s="253">
        <f>[1]PB8!W356</f>
        <v>0</v>
      </c>
      <c r="T356" s="257"/>
      <c r="U356" s="10" t="str">
        <f t="shared" si="494"/>
        <v>-</v>
      </c>
      <c r="V356"/>
    </row>
    <row r="357" spans="1:22" s="137" customFormat="1" ht="20.149999999999999" hidden="1" customHeight="1" outlineLevel="1">
      <c r="A357" s="229" t="s">
        <v>615</v>
      </c>
      <c r="B357" s="229"/>
      <c r="C357" s="229"/>
      <c r="D357" s="229"/>
      <c r="E357" s="230">
        <f t="shared" ref="E357:K357" si="552">E358+E368+E412+E416+E442+E451</f>
        <v>0</v>
      </c>
      <c r="F357" s="230">
        <f t="shared" si="552"/>
        <v>0</v>
      </c>
      <c r="G357" s="230">
        <f t="shared" si="552"/>
        <v>0</v>
      </c>
      <c r="H357" s="230">
        <f t="shared" si="552"/>
        <v>0</v>
      </c>
      <c r="I357" s="230">
        <f t="shared" si="552"/>
        <v>0</v>
      </c>
      <c r="J357" s="230">
        <f t="shared" si="552"/>
        <v>0</v>
      </c>
      <c r="K357" s="230">
        <f t="shared" si="552"/>
        <v>0</v>
      </c>
      <c r="L357" s="231" t="str">
        <f t="shared" si="513"/>
        <v>-</v>
      </c>
      <c r="M357" s="231" t="str">
        <f t="shared" si="514"/>
        <v>-</v>
      </c>
      <c r="N357" s="230">
        <f t="shared" ref="N357" si="553">N358+N368+N412+N416+N442+N451</f>
        <v>0</v>
      </c>
      <c r="O357" s="231" t="str">
        <f t="shared" si="516"/>
        <v>-</v>
      </c>
      <c r="P357" s="231" t="str">
        <f t="shared" si="517"/>
        <v>-</v>
      </c>
      <c r="Q357" s="230">
        <f t="shared" ref="Q357" si="554">Q358+Q368+Q412+Q416+Q442+Q451</f>
        <v>0</v>
      </c>
      <c r="R357" s="231" t="str">
        <f t="shared" si="511"/>
        <v>-</v>
      </c>
      <c r="S357" s="232">
        <f t="shared" ref="S357" si="555">S358+S368+S412+S416+S442+S451</f>
        <v>0</v>
      </c>
      <c r="T357" s="233"/>
      <c r="U357" s="137" t="str">
        <f t="shared" si="494"/>
        <v>-</v>
      </c>
      <c r="V357"/>
    </row>
    <row r="358" spans="1:22" ht="20.149999999999999" hidden="1" customHeight="1" outlineLevel="1">
      <c r="A358" s="234">
        <v>20</v>
      </c>
      <c r="B358" s="234"/>
      <c r="C358" s="235"/>
      <c r="D358" s="236" t="s">
        <v>616</v>
      </c>
      <c r="E358" s="237">
        <f t="shared" ref="E358:K358" si="556">E359+E362</f>
        <v>0</v>
      </c>
      <c r="F358" s="237">
        <f t="shared" si="556"/>
        <v>0</v>
      </c>
      <c r="G358" s="237">
        <f t="shared" si="556"/>
        <v>0</v>
      </c>
      <c r="H358" s="237">
        <f t="shared" si="556"/>
        <v>0</v>
      </c>
      <c r="I358" s="237">
        <f t="shared" si="556"/>
        <v>0</v>
      </c>
      <c r="J358" s="237">
        <f t="shared" si="556"/>
        <v>0</v>
      </c>
      <c r="K358" s="237">
        <f t="shared" si="556"/>
        <v>0</v>
      </c>
      <c r="L358" s="238" t="str">
        <f t="shared" si="513"/>
        <v>-</v>
      </c>
      <c r="M358" s="238" t="str">
        <f t="shared" si="514"/>
        <v>-</v>
      </c>
      <c r="N358" s="237">
        <f t="shared" ref="N358" si="557">N359+N362</f>
        <v>0</v>
      </c>
      <c r="O358" s="238" t="str">
        <f t="shared" si="516"/>
        <v>-</v>
      </c>
      <c r="P358" s="238" t="str">
        <f t="shared" si="517"/>
        <v>-</v>
      </c>
      <c r="Q358" s="237">
        <f t="shared" ref="Q358" si="558">Q359+Q362</f>
        <v>0</v>
      </c>
      <c r="R358" s="238" t="str">
        <f t="shared" si="511"/>
        <v>-</v>
      </c>
      <c r="S358" s="239">
        <f t="shared" ref="S358" si="559">S359+S362</f>
        <v>0</v>
      </c>
      <c r="T358" s="240"/>
      <c r="U358" s="10" t="str">
        <f t="shared" si="494"/>
        <v>-</v>
      </c>
      <c r="V358"/>
    </row>
    <row r="359" spans="1:22" ht="20.149999999999999" hidden="1" customHeight="1" outlineLevel="1">
      <c r="A359" s="296"/>
      <c r="B359" s="290">
        <v>2003</v>
      </c>
      <c r="C359" s="290"/>
      <c r="D359" s="291" t="s">
        <v>617</v>
      </c>
      <c r="E359" s="243">
        <f t="shared" ref="E359" si="560">SUM(E360:E361)</f>
        <v>0</v>
      </c>
      <c r="F359" s="243">
        <f t="shared" ref="F359:K359" si="561">SUM(F360:F361)</f>
        <v>0</v>
      </c>
      <c r="G359" s="243">
        <f t="shared" si="561"/>
        <v>0</v>
      </c>
      <c r="H359" s="243">
        <f t="shared" si="561"/>
        <v>0</v>
      </c>
      <c r="I359" s="243">
        <f t="shared" si="561"/>
        <v>0</v>
      </c>
      <c r="J359" s="243">
        <f t="shared" si="561"/>
        <v>0</v>
      </c>
      <c r="K359" s="243">
        <f t="shared" si="561"/>
        <v>0</v>
      </c>
      <c r="L359" s="244" t="str">
        <f t="shared" si="513"/>
        <v>-</v>
      </c>
      <c r="M359" s="244" t="str">
        <f t="shared" si="514"/>
        <v>-</v>
      </c>
      <c r="N359" s="243">
        <f t="shared" ref="N359" si="562">SUM(N360:N361)</f>
        <v>0</v>
      </c>
      <c r="O359" s="244" t="str">
        <f t="shared" si="516"/>
        <v>-</v>
      </c>
      <c r="P359" s="244" t="str">
        <f t="shared" si="517"/>
        <v>-</v>
      </c>
      <c r="Q359" s="243">
        <f t="shared" ref="Q359" si="563">SUM(Q360:Q361)</f>
        <v>0</v>
      </c>
      <c r="R359" s="244" t="str">
        <f t="shared" si="511"/>
        <v>-</v>
      </c>
      <c r="S359" s="245">
        <f t="shared" ref="S359" si="564">SUM(S360:S361)</f>
        <v>0</v>
      </c>
      <c r="T359" s="246"/>
      <c r="U359" s="10" t="str">
        <f t="shared" si="494"/>
        <v>-</v>
      </c>
      <c r="V359"/>
    </row>
    <row r="360" spans="1:22" ht="20.149999999999999" hidden="1" customHeight="1" outlineLevel="1">
      <c r="A360" s="296"/>
      <c r="B360" s="293"/>
      <c r="C360" s="248">
        <v>20031</v>
      </c>
      <c r="D360" s="249" t="s">
        <v>617</v>
      </c>
      <c r="E360" s="250"/>
      <c r="F360" s="250"/>
      <c r="G360" s="250"/>
      <c r="H360" s="250"/>
      <c r="I360" s="250"/>
      <c r="J360" s="250"/>
      <c r="K360" s="250">
        <f t="shared" ref="K360:K361" si="565">SUM(I360:J360)</f>
        <v>0</v>
      </c>
      <c r="L360" s="252" t="str">
        <f t="shared" si="513"/>
        <v>-</v>
      </c>
      <c r="M360" s="252" t="str">
        <f t="shared" si="514"/>
        <v>-</v>
      </c>
      <c r="N360" s="250">
        <f>[1]PB8!E360</f>
        <v>0</v>
      </c>
      <c r="O360" s="252" t="str">
        <f t="shared" si="516"/>
        <v>-</v>
      </c>
      <c r="P360" s="252" t="str">
        <f t="shared" si="517"/>
        <v>-</v>
      </c>
      <c r="Q360" s="250">
        <f t="shared" ref="Q360:Q361" si="566">N360-F360</f>
        <v>0</v>
      </c>
      <c r="R360" s="252" t="str">
        <f t="shared" si="511"/>
        <v>-</v>
      </c>
      <c r="S360" s="253">
        <f>[1]PB8!W360</f>
        <v>0</v>
      </c>
      <c r="T360" s="257"/>
      <c r="U360" s="10" t="str">
        <f t="shared" si="494"/>
        <v>-</v>
      </c>
      <c r="V360"/>
    </row>
    <row r="361" spans="1:22" ht="20.149999999999999" hidden="1" customHeight="1" outlineLevel="1">
      <c r="A361" s="296"/>
      <c r="B361" s="293"/>
      <c r="C361" s="248">
        <v>20038</v>
      </c>
      <c r="D361" s="249" t="s">
        <v>50</v>
      </c>
      <c r="E361" s="250"/>
      <c r="F361" s="250"/>
      <c r="G361" s="250"/>
      <c r="H361" s="250"/>
      <c r="I361" s="250"/>
      <c r="J361" s="250"/>
      <c r="K361" s="250">
        <f t="shared" si="565"/>
        <v>0</v>
      </c>
      <c r="L361" s="252" t="str">
        <f t="shared" si="513"/>
        <v>-</v>
      </c>
      <c r="M361" s="252" t="str">
        <f t="shared" si="514"/>
        <v>-</v>
      </c>
      <c r="N361" s="250">
        <f>[1]PB8!E361</f>
        <v>0</v>
      </c>
      <c r="O361" s="252" t="str">
        <f t="shared" si="516"/>
        <v>-</v>
      </c>
      <c r="P361" s="252" t="str">
        <f t="shared" si="517"/>
        <v>-</v>
      </c>
      <c r="Q361" s="250">
        <f t="shared" si="566"/>
        <v>0</v>
      </c>
      <c r="R361" s="252" t="str">
        <f t="shared" si="511"/>
        <v>-</v>
      </c>
      <c r="S361" s="253">
        <f>[1]PB8!W361</f>
        <v>0</v>
      </c>
      <c r="T361" s="257"/>
      <c r="U361" s="10" t="str">
        <f t="shared" si="494"/>
        <v>-</v>
      </c>
      <c r="V361"/>
    </row>
    <row r="362" spans="1:22" ht="20.149999999999999" hidden="1" customHeight="1" outlineLevel="1">
      <c r="A362" s="296"/>
      <c r="B362" s="290">
        <v>2005</v>
      </c>
      <c r="C362" s="290"/>
      <c r="D362" s="291" t="s">
        <v>618</v>
      </c>
      <c r="E362" s="243">
        <f t="shared" ref="E362:K362" si="567">SUM(E363:E367)</f>
        <v>0</v>
      </c>
      <c r="F362" s="243">
        <f t="shared" si="567"/>
        <v>0</v>
      </c>
      <c r="G362" s="243">
        <f t="shared" si="567"/>
        <v>0</v>
      </c>
      <c r="H362" s="243">
        <f t="shared" si="567"/>
        <v>0</v>
      </c>
      <c r="I362" s="243">
        <f t="shared" si="567"/>
        <v>0</v>
      </c>
      <c r="J362" s="243">
        <f t="shared" si="567"/>
        <v>0</v>
      </c>
      <c r="K362" s="243">
        <f t="shared" si="567"/>
        <v>0</v>
      </c>
      <c r="L362" s="244" t="str">
        <f t="shared" si="513"/>
        <v>-</v>
      </c>
      <c r="M362" s="244" t="str">
        <f t="shared" si="514"/>
        <v>-</v>
      </c>
      <c r="N362" s="243">
        <f t="shared" ref="N362" si="568">SUM(N363:N367)</f>
        <v>0</v>
      </c>
      <c r="O362" s="244" t="str">
        <f t="shared" si="516"/>
        <v>-</v>
      </c>
      <c r="P362" s="244" t="str">
        <f t="shared" si="517"/>
        <v>-</v>
      </c>
      <c r="Q362" s="243">
        <f t="shared" ref="Q362" si="569">SUM(Q363:Q367)</f>
        <v>0</v>
      </c>
      <c r="R362" s="244" t="str">
        <f t="shared" si="511"/>
        <v>-</v>
      </c>
      <c r="S362" s="245">
        <f t="shared" ref="S362" si="570">SUM(S363:S367)</f>
        <v>0</v>
      </c>
      <c r="T362" s="246"/>
      <c r="U362" s="10" t="str">
        <f t="shared" si="494"/>
        <v>-</v>
      </c>
      <c r="V362"/>
    </row>
    <row r="363" spans="1:22" ht="20.149999999999999" hidden="1" customHeight="1" outlineLevel="1">
      <c r="A363" s="296"/>
      <c r="B363" s="293"/>
      <c r="C363" s="248">
        <v>20051</v>
      </c>
      <c r="D363" s="249" t="s">
        <v>619</v>
      </c>
      <c r="E363" s="250"/>
      <c r="F363" s="250"/>
      <c r="G363" s="250"/>
      <c r="H363" s="250"/>
      <c r="I363" s="250"/>
      <c r="J363" s="250"/>
      <c r="K363" s="250">
        <f t="shared" ref="K363:K367" si="571">SUM(I363:J363)</f>
        <v>0</v>
      </c>
      <c r="L363" s="252" t="str">
        <f t="shared" si="513"/>
        <v>-</v>
      </c>
      <c r="M363" s="252" t="str">
        <f t="shared" si="514"/>
        <v>-</v>
      </c>
      <c r="N363" s="250">
        <f>[1]PB8!E363</f>
        <v>0</v>
      </c>
      <c r="O363" s="252" t="str">
        <f t="shared" si="516"/>
        <v>-</v>
      </c>
      <c r="P363" s="252" t="str">
        <f t="shared" si="517"/>
        <v>-</v>
      </c>
      <c r="Q363" s="250">
        <f t="shared" ref="Q363:Q367" si="572">N363-F363</f>
        <v>0</v>
      </c>
      <c r="R363" s="252" t="str">
        <f t="shared" si="511"/>
        <v>-</v>
      </c>
      <c r="S363" s="253">
        <f>[1]PB8!W363</f>
        <v>0</v>
      </c>
      <c r="T363" s="257"/>
      <c r="U363" s="10" t="str">
        <f t="shared" si="494"/>
        <v>-</v>
      </c>
      <c r="V363"/>
    </row>
    <row r="364" spans="1:22" ht="20.149999999999999" hidden="1" customHeight="1" outlineLevel="1">
      <c r="A364" s="296"/>
      <c r="B364" s="293"/>
      <c r="C364" s="248">
        <v>20052</v>
      </c>
      <c r="D364" s="249" t="s">
        <v>620</v>
      </c>
      <c r="E364" s="250"/>
      <c r="F364" s="250"/>
      <c r="G364" s="250"/>
      <c r="H364" s="250"/>
      <c r="I364" s="250"/>
      <c r="J364" s="250"/>
      <c r="K364" s="250">
        <f t="shared" si="571"/>
        <v>0</v>
      </c>
      <c r="L364" s="252" t="str">
        <f t="shared" si="513"/>
        <v>-</v>
      </c>
      <c r="M364" s="252" t="str">
        <f t="shared" si="514"/>
        <v>-</v>
      </c>
      <c r="N364" s="250">
        <f>[1]PB8!E364</f>
        <v>0</v>
      </c>
      <c r="O364" s="252" t="str">
        <f t="shared" si="516"/>
        <v>-</v>
      </c>
      <c r="P364" s="252" t="str">
        <f t="shared" si="517"/>
        <v>-</v>
      </c>
      <c r="Q364" s="250">
        <f t="shared" si="572"/>
        <v>0</v>
      </c>
      <c r="R364" s="252" t="str">
        <f t="shared" si="511"/>
        <v>-</v>
      </c>
      <c r="S364" s="253">
        <f>[1]PB8!W364</f>
        <v>0</v>
      </c>
      <c r="T364" s="257"/>
      <c r="U364" s="10" t="str">
        <f t="shared" si="494"/>
        <v>-</v>
      </c>
      <c r="V364"/>
    </row>
    <row r="365" spans="1:22" ht="20.149999999999999" hidden="1" customHeight="1" outlineLevel="1">
      <c r="A365" s="296"/>
      <c r="B365" s="293"/>
      <c r="C365" s="248">
        <v>20053</v>
      </c>
      <c r="D365" s="249" t="s">
        <v>621</v>
      </c>
      <c r="E365" s="250"/>
      <c r="F365" s="250"/>
      <c r="G365" s="250"/>
      <c r="H365" s="250"/>
      <c r="I365" s="250"/>
      <c r="J365" s="250"/>
      <c r="K365" s="250">
        <f t="shared" si="571"/>
        <v>0</v>
      </c>
      <c r="L365" s="252" t="str">
        <f t="shared" si="513"/>
        <v>-</v>
      </c>
      <c r="M365" s="252" t="str">
        <f t="shared" si="514"/>
        <v>-</v>
      </c>
      <c r="N365" s="250">
        <f>[1]PB8!E365</f>
        <v>0</v>
      </c>
      <c r="O365" s="252" t="str">
        <f t="shared" si="516"/>
        <v>-</v>
      </c>
      <c r="P365" s="252" t="str">
        <f t="shared" si="517"/>
        <v>-</v>
      </c>
      <c r="Q365" s="250">
        <f t="shared" si="572"/>
        <v>0</v>
      </c>
      <c r="R365" s="252" t="str">
        <f t="shared" si="511"/>
        <v>-</v>
      </c>
      <c r="S365" s="253">
        <f>[1]PB8!W365</f>
        <v>0</v>
      </c>
      <c r="T365" s="257"/>
      <c r="U365" s="10" t="str">
        <f t="shared" si="494"/>
        <v>-</v>
      </c>
      <c r="V365"/>
    </row>
    <row r="366" spans="1:22" ht="20.149999999999999" hidden="1" customHeight="1" outlineLevel="1">
      <c r="A366" s="296"/>
      <c r="B366" s="293"/>
      <c r="C366" s="248">
        <v>20054</v>
      </c>
      <c r="D366" s="249" t="s">
        <v>622</v>
      </c>
      <c r="E366" s="250"/>
      <c r="F366" s="250"/>
      <c r="G366" s="250"/>
      <c r="H366" s="250"/>
      <c r="I366" s="250"/>
      <c r="J366" s="250"/>
      <c r="K366" s="250">
        <f t="shared" si="571"/>
        <v>0</v>
      </c>
      <c r="L366" s="252" t="str">
        <f t="shared" si="513"/>
        <v>-</v>
      </c>
      <c r="M366" s="252" t="str">
        <f t="shared" si="514"/>
        <v>-</v>
      </c>
      <c r="N366" s="250">
        <f>[1]PB8!E366</f>
        <v>0</v>
      </c>
      <c r="O366" s="252" t="str">
        <f t="shared" si="516"/>
        <v>-</v>
      </c>
      <c r="P366" s="252" t="str">
        <f t="shared" si="517"/>
        <v>-</v>
      </c>
      <c r="Q366" s="250">
        <f t="shared" si="572"/>
        <v>0</v>
      </c>
      <c r="R366" s="252" t="str">
        <f t="shared" si="511"/>
        <v>-</v>
      </c>
      <c r="S366" s="253">
        <f>[1]PB8!W366</f>
        <v>0</v>
      </c>
      <c r="T366" s="257"/>
      <c r="U366" s="10" t="str">
        <f t="shared" si="494"/>
        <v>-</v>
      </c>
      <c r="V366"/>
    </row>
    <row r="367" spans="1:22" ht="20.149999999999999" hidden="1" customHeight="1" outlineLevel="1">
      <c r="A367" s="296"/>
      <c r="B367" s="293"/>
      <c r="C367" s="248">
        <v>20058</v>
      </c>
      <c r="D367" s="249" t="s">
        <v>50</v>
      </c>
      <c r="E367" s="250"/>
      <c r="F367" s="250"/>
      <c r="G367" s="250"/>
      <c r="H367" s="250"/>
      <c r="I367" s="250"/>
      <c r="J367" s="250"/>
      <c r="K367" s="250">
        <f t="shared" si="571"/>
        <v>0</v>
      </c>
      <c r="L367" s="252" t="str">
        <f t="shared" si="513"/>
        <v>-</v>
      </c>
      <c r="M367" s="252" t="str">
        <f t="shared" si="514"/>
        <v>-</v>
      </c>
      <c r="N367" s="250">
        <f>[1]PB8!E367</f>
        <v>0</v>
      </c>
      <c r="O367" s="252" t="str">
        <f t="shared" si="516"/>
        <v>-</v>
      </c>
      <c r="P367" s="252" t="str">
        <f t="shared" si="517"/>
        <v>-</v>
      </c>
      <c r="Q367" s="250">
        <f t="shared" si="572"/>
        <v>0</v>
      </c>
      <c r="R367" s="252" t="str">
        <f t="shared" si="511"/>
        <v>-</v>
      </c>
      <c r="S367" s="253">
        <f>[1]PB8!W367</f>
        <v>0</v>
      </c>
      <c r="T367" s="257"/>
      <c r="U367" s="10" t="str">
        <f t="shared" si="494"/>
        <v>-</v>
      </c>
      <c r="V367"/>
    </row>
    <row r="368" spans="1:22" ht="20.149999999999999" hidden="1" customHeight="1" outlineLevel="1">
      <c r="A368" s="234">
        <v>21</v>
      </c>
      <c r="B368" s="234"/>
      <c r="C368" s="235"/>
      <c r="D368" s="236" t="s">
        <v>623</v>
      </c>
      <c r="E368" s="258">
        <f t="shared" ref="E368:K368" si="573">E369+E373+E377+E381+E390+E395+E397+E403</f>
        <v>0</v>
      </c>
      <c r="F368" s="258">
        <f t="shared" si="573"/>
        <v>0</v>
      </c>
      <c r="G368" s="258">
        <f t="shared" si="573"/>
        <v>0</v>
      </c>
      <c r="H368" s="258">
        <f t="shared" si="573"/>
        <v>0</v>
      </c>
      <c r="I368" s="258">
        <f t="shared" si="573"/>
        <v>0</v>
      </c>
      <c r="J368" s="258">
        <f t="shared" si="573"/>
        <v>0</v>
      </c>
      <c r="K368" s="258">
        <f t="shared" si="573"/>
        <v>0</v>
      </c>
      <c r="L368" s="259" t="str">
        <f t="shared" si="513"/>
        <v>-</v>
      </c>
      <c r="M368" s="259" t="str">
        <f t="shared" si="514"/>
        <v>-</v>
      </c>
      <c r="N368" s="258">
        <f t="shared" ref="N368" si="574">N369+N373+N377+N381+N390+N395+N397+N403</f>
        <v>0</v>
      </c>
      <c r="O368" s="259" t="str">
        <f t="shared" si="516"/>
        <v>-</v>
      </c>
      <c r="P368" s="259" t="str">
        <f t="shared" si="517"/>
        <v>-</v>
      </c>
      <c r="Q368" s="258">
        <f t="shared" ref="Q368" si="575">Q369+Q373+Q377+Q381+Q390+Q395+Q397+Q403</f>
        <v>0</v>
      </c>
      <c r="R368" s="259" t="str">
        <f t="shared" si="511"/>
        <v>-</v>
      </c>
      <c r="S368" s="260">
        <f t="shared" ref="S368" si="576">S369+S373+S377+S381+S390+S395+S397+S403</f>
        <v>0</v>
      </c>
      <c r="T368" s="261"/>
      <c r="U368" s="10" t="str">
        <f t="shared" si="494"/>
        <v>-</v>
      </c>
      <c r="V368"/>
    </row>
    <row r="369" spans="1:22" ht="20.149999999999999" hidden="1" customHeight="1" outlineLevel="1">
      <c r="A369" s="290"/>
      <c r="B369" s="290">
        <v>2101</v>
      </c>
      <c r="C369" s="290"/>
      <c r="D369" s="291" t="s">
        <v>624</v>
      </c>
      <c r="E369" s="243">
        <f t="shared" ref="E369" si="577">SUM(E370:E372)</f>
        <v>0</v>
      </c>
      <c r="F369" s="243">
        <f t="shared" ref="F369:K369" si="578">SUM(F370:F372)</f>
        <v>0</v>
      </c>
      <c r="G369" s="243">
        <f t="shared" si="578"/>
        <v>0</v>
      </c>
      <c r="H369" s="243">
        <f t="shared" si="578"/>
        <v>0</v>
      </c>
      <c r="I369" s="243">
        <f t="shared" si="578"/>
        <v>0</v>
      </c>
      <c r="J369" s="243">
        <f t="shared" si="578"/>
        <v>0</v>
      </c>
      <c r="K369" s="243">
        <f t="shared" si="578"/>
        <v>0</v>
      </c>
      <c r="L369" s="244" t="str">
        <f t="shared" si="513"/>
        <v>-</v>
      </c>
      <c r="M369" s="244" t="str">
        <f t="shared" si="514"/>
        <v>-</v>
      </c>
      <c r="N369" s="243">
        <f t="shared" ref="N369" si="579">SUM(N370:N372)</f>
        <v>0</v>
      </c>
      <c r="O369" s="244" t="str">
        <f t="shared" si="516"/>
        <v>-</v>
      </c>
      <c r="P369" s="244" t="str">
        <f t="shared" si="517"/>
        <v>-</v>
      </c>
      <c r="Q369" s="243">
        <f t="shared" ref="Q369" si="580">SUM(Q370:Q372)</f>
        <v>0</v>
      </c>
      <c r="R369" s="244" t="str">
        <f t="shared" si="511"/>
        <v>-</v>
      </c>
      <c r="S369" s="245">
        <f t="shared" ref="S369" si="581">SUM(S370:S372)</f>
        <v>0</v>
      </c>
      <c r="T369" s="246"/>
      <c r="U369" s="10" t="str">
        <f t="shared" si="494"/>
        <v>-</v>
      </c>
      <c r="V369"/>
    </row>
    <row r="370" spans="1:22" ht="20.149999999999999" hidden="1" customHeight="1" outlineLevel="1">
      <c r="A370" s="308"/>
      <c r="B370" s="308"/>
      <c r="C370" s="309">
        <v>21011</v>
      </c>
      <c r="D370" s="310" t="s">
        <v>625</v>
      </c>
      <c r="E370" s="250"/>
      <c r="F370" s="250"/>
      <c r="G370" s="250"/>
      <c r="H370" s="250"/>
      <c r="I370" s="250"/>
      <c r="J370" s="250"/>
      <c r="K370" s="250">
        <f t="shared" ref="K370:K372" si="582">SUM(I370:J370)</f>
        <v>0</v>
      </c>
      <c r="L370" s="252" t="str">
        <f t="shared" si="513"/>
        <v>-</v>
      </c>
      <c r="M370" s="252" t="str">
        <f t="shared" si="514"/>
        <v>-</v>
      </c>
      <c r="N370" s="250">
        <f>[1]PB8!E370</f>
        <v>0</v>
      </c>
      <c r="O370" s="252" t="str">
        <f t="shared" si="516"/>
        <v>-</v>
      </c>
      <c r="P370" s="252" t="str">
        <f t="shared" si="517"/>
        <v>-</v>
      </c>
      <c r="Q370" s="250">
        <f t="shared" ref="Q370:Q372" si="583">N370-F370</f>
        <v>0</v>
      </c>
      <c r="R370" s="252" t="str">
        <f t="shared" si="511"/>
        <v>-</v>
      </c>
      <c r="S370" s="253">
        <f>[1]PB8!W370</f>
        <v>0</v>
      </c>
      <c r="T370" s="257"/>
      <c r="U370" s="10" t="str">
        <f t="shared" si="494"/>
        <v>-</v>
      </c>
      <c r="V370"/>
    </row>
    <row r="371" spans="1:22" ht="20.149999999999999" hidden="1" customHeight="1" outlineLevel="1">
      <c r="A371" s="308"/>
      <c r="B371" s="308"/>
      <c r="C371" s="309">
        <v>21012</v>
      </c>
      <c r="D371" s="310" t="s">
        <v>626</v>
      </c>
      <c r="E371" s="250"/>
      <c r="F371" s="250"/>
      <c r="G371" s="250"/>
      <c r="H371" s="250"/>
      <c r="I371" s="250"/>
      <c r="J371" s="250"/>
      <c r="K371" s="250">
        <f t="shared" si="582"/>
        <v>0</v>
      </c>
      <c r="L371" s="252" t="str">
        <f t="shared" si="513"/>
        <v>-</v>
      </c>
      <c r="M371" s="252" t="str">
        <f t="shared" si="514"/>
        <v>-</v>
      </c>
      <c r="N371" s="250">
        <f>[1]PB8!E371</f>
        <v>0</v>
      </c>
      <c r="O371" s="252" t="str">
        <f t="shared" si="516"/>
        <v>-</v>
      </c>
      <c r="P371" s="252" t="str">
        <f t="shared" si="517"/>
        <v>-</v>
      </c>
      <c r="Q371" s="250">
        <f t="shared" si="583"/>
        <v>0</v>
      </c>
      <c r="R371" s="252" t="str">
        <f t="shared" si="511"/>
        <v>-</v>
      </c>
      <c r="S371" s="253">
        <f>[1]PB8!W371</f>
        <v>0</v>
      </c>
      <c r="T371" s="257"/>
      <c r="U371" s="10" t="str">
        <f t="shared" si="494"/>
        <v>-</v>
      </c>
      <c r="V371"/>
    </row>
    <row r="372" spans="1:22" ht="20.149999999999999" hidden="1" customHeight="1" outlineLevel="1">
      <c r="A372" s="308"/>
      <c r="B372" s="308"/>
      <c r="C372" s="309">
        <v>21018</v>
      </c>
      <c r="D372" s="310" t="s">
        <v>627</v>
      </c>
      <c r="E372" s="250"/>
      <c r="F372" s="250"/>
      <c r="G372" s="250"/>
      <c r="H372" s="250"/>
      <c r="I372" s="250"/>
      <c r="J372" s="250"/>
      <c r="K372" s="250">
        <f t="shared" si="582"/>
        <v>0</v>
      </c>
      <c r="L372" s="252" t="str">
        <f t="shared" si="513"/>
        <v>-</v>
      </c>
      <c r="M372" s="252" t="str">
        <f t="shared" si="514"/>
        <v>-</v>
      </c>
      <c r="N372" s="250">
        <f>[1]PB8!E372</f>
        <v>0</v>
      </c>
      <c r="O372" s="252" t="str">
        <f t="shared" si="516"/>
        <v>-</v>
      </c>
      <c r="P372" s="252" t="str">
        <f t="shared" si="517"/>
        <v>-</v>
      </c>
      <c r="Q372" s="250">
        <f t="shared" si="583"/>
        <v>0</v>
      </c>
      <c r="R372" s="252" t="str">
        <f t="shared" si="511"/>
        <v>-</v>
      </c>
      <c r="S372" s="253">
        <f>[1]PB8!W372</f>
        <v>0</v>
      </c>
      <c r="T372" s="257"/>
      <c r="U372" s="10" t="str">
        <f t="shared" si="494"/>
        <v>-</v>
      </c>
      <c r="V372"/>
    </row>
    <row r="373" spans="1:22" ht="20.149999999999999" hidden="1" customHeight="1" outlineLevel="1">
      <c r="A373" s="290"/>
      <c r="B373" s="290">
        <v>2102</v>
      </c>
      <c r="C373" s="290"/>
      <c r="D373" s="291" t="s">
        <v>628</v>
      </c>
      <c r="E373" s="243">
        <f t="shared" ref="E373:K373" si="584">SUM(E374:E376)</f>
        <v>0</v>
      </c>
      <c r="F373" s="243">
        <f t="shared" si="584"/>
        <v>0</v>
      </c>
      <c r="G373" s="243">
        <f t="shared" si="584"/>
        <v>0</v>
      </c>
      <c r="H373" s="243">
        <f t="shared" si="584"/>
        <v>0</v>
      </c>
      <c r="I373" s="243">
        <f t="shared" si="584"/>
        <v>0</v>
      </c>
      <c r="J373" s="243">
        <f t="shared" si="584"/>
        <v>0</v>
      </c>
      <c r="K373" s="243">
        <f t="shared" si="584"/>
        <v>0</v>
      </c>
      <c r="L373" s="244" t="str">
        <f t="shared" si="513"/>
        <v>-</v>
      </c>
      <c r="M373" s="244" t="str">
        <f t="shared" si="514"/>
        <v>-</v>
      </c>
      <c r="N373" s="243">
        <f t="shared" ref="N373" si="585">SUM(N374:N376)</f>
        <v>0</v>
      </c>
      <c r="O373" s="244" t="str">
        <f t="shared" si="516"/>
        <v>-</v>
      </c>
      <c r="P373" s="244" t="str">
        <f t="shared" si="517"/>
        <v>-</v>
      </c>
      <c r="Q373" s="243">
        <f t="shared" ref="Q373" si="586">SUM(Q374:Q376)</f>
        <v>0</v>
      </c>
      <c r="R373" s="244" t="str">
        <f t="shared" si="511"/>
        <v>-</v>
      </c>
      <c r="S373" s="245">
        <f t="shared" ref="S373" si="587">SUM(S374:S376)</f>
        <v>0</v>
      </c>
      <c r="T373" s="246"/>
      <c r="U373" s="10" t="str">
        <f t="shared" si="494"/>
        <v>-</v>
      </c>
      <c r="V373"/>
    </row>
    <row r="374" spans="1:22" ht="20.149999999999999" hidden="1" customHeight="1" outlineLevel="1">
      <c r="A374" s="308"/>
      <c r="B374" s="308"/>
      <c r="C374" s="309">
        <v>21021</v>
      </c>
      <c r="D374" s="310" t="s">
        <v>629</v>
      </c>
      <c r="E374" s="250"/>
      <c r="F374" s="250"/>
      <c r="G374" s="250"/>
      <c r="H374" s="250"/>
      <c r="I374" s="250"/>
      <c r="J374" s="250"/>
      <c r="K374" s="250">
        <f t="shared" ref="K374:K376" si="588">SUM(I374:J374)</f>
        <v>0</v>
      </c>
      <c r="L374" s="252" t="str">
        <f t="shared" si="513"/>
        <v>-</v>
      </c>
      <c r="M374" s="252" t="str">
        <f t="shared" si="514"/>
        <v>-</v>
      </c>
      <c r="N374" s="250">
        <f>[1]PB8!E374</f>
        <v>0</v>
      </c>
      <c r="O374" s="252" t="str">
        <f t="shared" si="516"/>
        <v>-</v>
      </c>
      <c r="P374" s="252" t="str">
        <f t="shared" si="517"/>
        <v>-</v>
      </c>
      <c r="Q374" s="250">
        <f t="shared" ref="Q374:Q376" si="589">N374-F374</f>
        <v>0</v>
      </c>
      <c r="R374" s="252" t="str">
        <f t="shared" si="511"/>
        <v>-</v>
      </c>
      <c r="S374" s="253">
        <f>[1]PB8!W374</f>
        <v>0</v>
      </c>
      <c r="T374" s="257"/>
      <c r="U374" s="10" t="str">
        <f t="shared" si="494"/>
        <v>-</v>
      </c>
      <c r="V374"/>
    </row>
    <row r="375" spans="1:22" ht="20.149999999999999" hidden="1" customHeight="1" outlineLevel="1">
      <c r="A375" s="308"/>
      <c r="B375" s="308"/>
      <c r="C375" s="309">
        <v>21022</v>
      </c>
      <c r="D375" s="310" t="s">
        <v>630</v>
      </c>
      <c r="E375" s="250"/>
      <c r="F375" s="250"/>
      <c r="G375" s="250"/>
      <c r="H375" s="250"/>
      <c r="I375" s="250"/>
      <c r="J375" s="250"/>
      <c r="K375" s="250">
        <f t="shared" si="588"/>
        <v>0</v>
      </c>
      <c r="L375" s="252" t="str">
        <f t="shared" si="513"/>
        <v>-</v>
      </c>
      <c r="M375" s="252" t="str">
        <f t="shared" si="514"/>
        <v>-</v>
      </c>
      <c r="N375" s="250">
        <f>[1]PB8!E375</f>
        <v>0</v>
      </c>
      <c r="O375" s="252" t="str">
        <f t="shared" si="516"/>
        <v>-</v>
      </c>
      <c r="P375" s="252" t="str">
        <f t="shared" si="517"/>
        <v>-</v>
      </c>
      <c r="Q375" s="250">
        <f t="shared" si="589"/>
        <v>0</v>
      </c>
      <c r="R375" s="252" t="str">
        <f t="shared" si="511"/>
        <v>-</v>
      </c>
      <c r="S375" s="253">
        <f>[1]PB8!W375</f>
        <v>0</v>
      </c>
      <c r="T375" s="257"/>
      <c r="U375" s="10" t="str">
        <f t="shared" si="494"/>
        <v>-</v>
      </c>
      <c r="V375"/>
    </row>
    <row r="376" spans="1:22" ht="20.149999999999999" hidden="1" customHeight="1" outlineLevel="1">
      <c r="A376" s="308"/>
      <c r="B376" s="308"/>
      <c r="C376" s="309">
        <v>21028</v>
      </c>
      <c r="D376" s="310" t="s">
        <v>631</v>
      </c>
      <c r="E376" s="250"/>
      <c r="F376" s="250"/>
      <c r="G376" s="250"/>
      <c r="H376" s="250"/>
      <c r="I376" s="250"/>
      <c r="J376" s="250"/>
      <c r="K376" s="250">
        <f t="shared" si="588"/>
        <v>0</v>
      </c>
      <c r="L376" s="252" t="str">
        <f t="shared" si="513"/>
        <v>-</v>
      </c>
      <c r="M376" s="252" t="str">
        <f t="shared" si="514"/>
        <v>-</v>
      </c>
      <c r="N376" s="250">
        <f>[1]PB8!E376</f>
        <v>0</v>
      </c>
      <c r="O376" s="252" t="str">
        <f t="shared" si="516"/>
        <v>-</v>
      </c>
      <c r="P376" s="252" t="str">
        <f t="shared" si="517"/>
        <v>-</v>
      </c>
      <c r="Q376" s="250">
        <f t="shared" si="589"/>
        <v>0</v>
      </c>
      <c r="R376" s="252" t="str">
        <f t="shared" si="511"/>
        <v>-</v>
      </c>
      <c r="S376" s="253">
        <f>[1]PB8!W376</f>
        <v>0</v>
      </c>
      <c r="T376" s="257"/>
      <c r="U376" s="10" t="str">
        <f t="shared" si="494"/>
        <v>-</v>
      </c>
      <c r="V376"/>
    </row>
    <row r="377" spans="1:22" ht="20.149999999999999" hidden="1" customHeight="1" outlineLevel="1">
      <c r="A377" s="290"/>
      <c r="B377" s="290">
        <v>2103</v>
      </c>
      <c r="C377" s="290"/>
      <c r="D377" s="291" t="s">
        <v>632</v>
      </c>
      <c r="E377" s="243">
        <f t="shared" ref="E377:K377" si="590">SUM(E378:E380)</f>
        <v>0</v>
      </c>
      <c r="F377" s="243">
        <f t="shared" si="590"/>
        <v>0</v>
      </c>
      <c r="G377" s="243">
        <f t="shared" si="590"/>
        <v>0</v>
      </c>
      <c r="H377" s="243">
        <f t="shared" si="590"/>
        <v>0</v>
      </c>
      <c r="I377" s="243">
        <f t="shared" si="590"/>
        <v>0</v>
      </c>
      <c r="J377" s="243">
        <f t="shared" si="590"/>
        <v>0</v>
      </c>
      <c r="K377" s="243">
        <f t="shared" si="590"/>
        <v>0</v>
      </c>
      <c r="L377" s="244" t="str">
        <f t="shared" si="513"/>
        <v>-</v>
      </c>
      <c r="M377" s="244" t="str">
        <f t="shared" si="514"/>
        <v>-</v>
      </c>
      <c r="N377" s="243">
        <f t="shared" ref="N377" si="591">SUM(N378:N380)</f>
        <v>0</v>
      </c>
      <c r="O377" s="244" t="str">
        <f t="shared" si="516"/>
        <v>-</v>
      </c>
      <c r="P377" s="244" t="str">
        <f t="shared" si="517"/>
        <v>-</v>
      </c>
      <c r="Q377" s="243">
        <f t="shared" ref="Q377" si="592">SUM(Q378:Q380)</f>
        <v>0</v>
      </c>
      <c r="R377" s="244" t="str">
        <f t="shared" si="511"/>
        <v>-</v>
      </c>
      <c r="S377" s="245">
        <f t="shared" ref="S377" si="593">SUM(S378:S380)</f>
        <v>0</v>
      </c>
      <c r="T377" s="246"/>
      <c r="U377" s="10" t="str">
        <f t="shared" si="494"/>
        <v>-</v>
      </c>
      <c r="V377"/>
    </row>
    <row r="378" spans="1:22" ht="20.149999999999999" hidden="1" customHeight="1" outlineLevel="1">
      <c r="A378" s="308"/>
      <c r="B378" s="308"/>
      <c r="C378" s="309">
        <v>21031</v>
      </c>
      <c r="D378" s="310" t="s">
        <v>633</v>
      </c>
      <c r="E378" s="250"/>
      <c r="F378" s="250"/>
      <c r="G378" s="250"/>
      <c r="H378" s="250"/>
      <c r="I378" s="250"/>
      <c r="J378" s="250"/>
      <c r="K378" s="250">
        <f t="shared" ref="K378:K380" si="594">SUM(I378:J378)</f>
        <v>0</v>
      </c>
      <c r="L378" s="252" t="str">
        <f t="shared" si="513"/>
        <v>-</v>
      </c>
      <c r="M378" s="252" t="str">
        <f t="shared" si="514"/>
        <v>-</v>
      </c>
      <c r="N378" s="250">
        <f>[1]PB8!E378</f>
        <v>0</v>
      </c>
      <c r="O378" s="252" t="str">
        <f t="shared" si="516"/>
        <v>-</v>
      </c>
      <c r="P378" s="252" t="str">
        <f t="shared" si="517"/>
        <v>-</v>
      </c>
      <c r="Q378" s="250">
        <f t="shared" ref="Q378:Q380" si="595">N378-F378</f>
        <v>0</v>
      </c>
      <c r="R378" s="252" t="str">
        <f t="shared" si="511"/>
        <v>-</v>
      </c>
      <c r="S378" s="253">
        <f>[1]PB8!W378</f>
        <v>0</v>
      </c>
      <c r="T378" s="257"/>
      <c r="U378" s="10" t="str">
        <f t="shared" si="494"/>
        <v>-</v>
      </c>
      <c r="V378"/>
    </row>
    <row r="379" spans="1:22" ht="20.149999999999999" hidden="1" customHeight="1" outlineLevel="1">
      <c r="A379" s="308"/>
      <c r="B379" s="308"/>
      <c r="C379" s="309">
        <v>21032</v>
      </c>
      <c r="D379" s="310" t="s">
        <v>634</v>
      </c>
      <c r="E379" s="250"/>
      <c r="F379" s="250"/>
      <c r="G379" s="250"/>
      <c r="H379" s="250"/>
      <c r="I379" s="250"/>
      <c r="J379" s="250"/>
      <c r="K379" s="250">
        <f t="shared" si="594"/>
        <v>0</v>
      </c>
      <c r="L379" s="252" t="str">
        <f t="shared" si="513"/>
        <v>-</v>
      </c>
      <c r="M379" s="252" t="str">
        <f t="shared" si="514"/>
        <v>-</v>
      </c>
      <c r="N379" s="250">
        <f>[1]PB8!E379</f>
        <v>0</v>
      </c>
      <c r="O379" s="252" t="str">
        <f t="shared" si="516"/>
        <v>-</v>
      </c>
      <c r="P379" s="252" t="str">
        <f t="shared" si="517"/>
        <v>-</v>
      </c>
      <c r="Q379" s="250">
        <f t="shared" si="595"/>
        <v>0</v>
      </c>
      <c r="R379" s="252" t="str">
        <f t="shared" si="511"/>
        <v>-</v>
      </c>
      <c r="S379" s="253">
        <f>[1]PB8!W379</f>
        <v>0</v>
      </c>
      <c r="T379" s="257"/>
      <c r="U379" s="10" t="str">
        <f t="shared" si="494"/>
        <v>-</v>
      </c>
      <c r="V379"/>
    </row>
    <row r="380" spans="1:22" ht="20.149999999999999" hidden="1" customHeight="1" outlineLevel="1">
      <c r="A380" s="308"/>
      <c r="B380" s="308"/>
      <c r="C380" s="309">
        <v>21038</v>
      </c>
      <c r="D380" s="310" t="s">
        <v>635</v>
      </c>
      <c r="E380" s="250"/>
      <c r="F380" s="250"/>
      <c r="G380" s="250"/>
      <c r="H380" s="250"/>
      <c r="I380" s="250"/>
      <c r="J380" s="250"/>
      <c r="K380" s="250">
        <f t="shared" si="594"/>
        <v>0</v>
      </c>
      <c r="L380" s="252" t="str">
        <f t="shared" si="513"/>
        <v>-</v>
      </c>
      <c r="M380" s="252" t="str">
        <f t="shared" si="514"/>
        <v>-</v>
      </c>
      <c r="N380" s="250">
        <f>[1]PB8!E380</f>
        <v>0</v>
      </c>
      <c r="O380" s="252" t="str">
        <f t="shared" si="516"/>
        <v>-</v>
      </c>
      <c r="P380" s="252" t="str">
        <f t="shared" si="517"/>
        <v>-</v>
      </c>
      <c r="Q380" s="250">
        <f t="shared" si="595"/>
        <v>0</v>
      </c>
      <c r="R380" s="252" t="str">
        <f t="shared" si="511"/>
        <v>-</v>
      </c>
      <c r="S380" s="253">
        <f>[1]PB8!W380</f>
        <v>0</v>
      </c>
      <c r="T380" s="257"/>
      <c r="U380" s="10" t="str">
        <f t="shared" si="494"/>
        <v>-</v>
      </c>
      <c r="V380"/>
    </row>
    <row r="381" spans="1:22" ht="20.149999999999999" hidden="1" customHeight="1" outlineLevel="1">
      <c r="A381" s="308"/>
      <c r="B381" s="290">
        <v>2104</v>
      </c>
      <c r="C381" s="290"/>
      <c r="D381" s="291" t="s">
        <v>636</v>
      </c>
      <c r="E381" s="243">
        <f t="shared" ref="E381:K381" si="596">SUM(E382:E389)</f>
        <v>0</v>
      </c>
      <c r="F381" s="243">
        <f t="shared" si="596"/>
        <v>0</v>
      </c>
      <c r="G381" s="243">
        <f t="shared" si="596"/>
        <v>0</v>
      </c>
      <c r="H381" s="243">
        <f t="shared" si="596"/>
        <v>0</v>
      </c>
      <c r="I381" s="243">
        <f t="shared" si="596"/>
        <v>0</v>
      </c>
      <c r="J381" s="243">
        <f t="shared" si="596"/>
        <v>0</v>
      </c>
      <c r="K381" s="243">
        <f t="shared" si="596"/>
        <v>0</v>
      </c>
      <c r="L381" s="244" t="str">
        <f t="shared" si="513"/>
        <v>-</v>
      </c>
      <c r="M381" s="244" t="str">
        <f t="shared" si="514"/>
        <v>-</v>
      </c>
      <c r="N381" s="243">
        <f t="shared" ref="N381" si="597">SUM(N382:N389)</f>
        <v>0</v>
      </c>
      <c r="O381" s="244" t="str">
        <f t="shared" si="516"/>
        <v>-</v>
      </c>
      <c r="P381" s="244" t="str">
        <f t="shared" si="517"/>
        <v>-</v>
      </c>
      <c r="Q381" s="243">
        <f t="shared" ref="Q381" si="598">SUM(Q382:Q389)</f>
        <v>0</v>
      </c>
      <c r="R381" s="244" t="str">
        <f t="shared" si="511"/>
        <v>-</v>
      </c>
      <c r="S381" s="245">
        <f t="shared" ref="S381" si="599">SUM(S382:S389)</f>
        <v>0</v>
      </c>
      <c r="T381" s="246"/>
      <c r="U381" s="10" t="str">
        <f t="shared" si="494"/>
        <v>-</v>
      </c>
      <c r="V381"/>
    </row>
    <row r="382" spans="1:22" ht="20.149999999999999" hidden="1" customHeight="1" outlineLevel="1">
      <c r="A382" s="308"/>
      <c r="B382" s="308"/>
      <c r="C382" s="309">
        <v>21041</v>
      </c>
      <c r="D382" s="310" t="s">
        <v>438</v>
      </c>
      <c r="E382" s="250"/>
      <c r="F382" s="250"/>
      <c r="G382" s="250"/>
      <c r="H382" s="250"/>
      <c r="I382" s="250"/>
      <c r="J382" s="250"/>
      <c r="K382" s="250">
        <f t="shared" ref="K382:K389" si="600">SUM(I382:J382)</f>
        <v>0</v>
      </c>
      <c r="L382" s="252" t="str">
        <f t="shared" si="513"/>
        <v>-</v>
      </c>
      <c r="M382" s="252" t="str">
        <f t="shared" si="514"/>
        <v>-</v>
      </c>
      <c r="N382" s="250">
        <f>[1]PB8!E382</f>
        <v>0</v>
      </c>
      <c r="O382" s="252" t="str">
        <f t="shared" si="516"/>
        <v>-</v>
      </c>
      <c r="P382" s="252" t="str">
        <f t="shared" si="517"/>
        <v>-</v>
      </c>
      <c r="Q382" s="250">
        <f t="shared" ref="Q382:Q389" si="601">N382-F382</f>
        <v>0</v>
      </c>
      <c r="R382" s="252" t="str">
        <f t="shared" si="511"/>
        <v>-</v>
      </c>
      <c r="S382" s="253">
        <f>[1]PB8!W382</f>
        <v>0</v>
      </c>
      <c r="T382" s="257"/>
      <c r="U382" s="10" t="str">
        <f t="shared" si="494"/>
        <v>-</v>
      </c>
      <c r="V382"/>
    </row>
    <row r="383" spans="1:22" ht="20.149999999999999" hidden="1" customHeight="1" outlineLevel="1">
      <c r="A383" s="308"/>
      <c r="B383" s="308"/>
      <c r="C383" s="309">
        <v>21042</v>
      </c>
      <c r="D383" s="310" t="s">
        <v>439</v>
      </c>
      <c r="E383" s="250"/>
      <c r="F383" s="250"/>
      <c r="G383" s="250"/>
      <c r="H383" s="250"/>
      <c r="I383" s="250"/>
      <c r="J383" s="250"/>
      <c r="K383" s="250">
        <f t="shared" si="600"/>
        <v>0</v>
      </c>
      <c r="L383" s="252" t="str">
        <f t="shared" si="513"/>
        <v>-</v>
      </c>
      <c r="M383" s="252" t="str">
        <f t="shared" si="514"/>
        <v>-</v>
      </c>
      <c r="N383" s="250">
        <f>[1]PB8!E383</f>
        <v>0</v>
      </c>
      <c r="O383" s="252" t="str">
        <f t="shared" si="516"/>
        <v>-</v>
      </c>
      <c r="P383" s="252" t="str">
        <f t="shared" si="517"/>
        <v>-</v>
      </c>
      <c r="Q383" s="250">
        <f t="shared" si="601"/>
        <v>0</v>
      </c>
      <c r="R383" s="252" t="str">
        <f t="shared" si="511"/>
        <v>-</v>
      </c>
      <c r="S383" s="253">
        <f>[1]PB8!W383</f>
        <v>0</v>
      </c>
      <c r="T383" s="257"/>
      <c r="U383" s="10" t="str">
        <f t="shared" si="494"/>
        <v>-</v>
      </c>
      <c r="V383"/>
    </row>
    <row r="384" spans="1:22" ht="20.149999999999999" hidden="1" customHeight="1" outlineLevel="1">
      <c r="A384" s="308"/>
      <c r="B384" s="308"/>
      <c r="C384" s="309">
        <v>21043</v>
      </c>
      <c r="D384" s="310" t="s">
        <v>440</v>
      </c>
      <c r="E384" s="250"/>
      <c r="F384" s="250"/>
      <c r="G384" s="250"/>
      <c r="H384" s="250"/>
      <c r="I384" s="250"/>
      <c r="J384" s="250"/>
      <c r="K384" s="250">
        <f t="shared" si="600"/>
        <v>0</v>
      </c>
      <c r="L384" s="252" t="str">
        <f t="shared" si="513"/>
        <v>-</v>
      </c>
      <c r="M384" s="252" t="str">
        <f t="shared" si="514"/>
        <v>-</v>
      </c>
      <c r="N384" s="250">
        <f>[1]PB8!E384</f>
        <v>0</v>
      </c>
      <c r="O384" s="252" t="str">
        <f t="shared" si="516"/>
        <v>-</v>
      </c>
      <c r="P384" s="252" t="str">
        <f t="shared" si="517"/>
        <v>-</v>
      </c>
      <c r="Q384" s="250">
        <f t="shared" si="601"/>
        <v>0</v>
      </c>
      <c r="R384" s="252" t="str">
        <f t="shared" si="511"/>
        <v>-</v>
      </c>
      <c r="S384" s="253">
        <f>[1]PB8!W384</f>
        <v>0</v>
      </c>
      <c r="T384" s="257"/>
      <c r="U384" s="10" t="str">
        <f t="shared" si="494"/>
        <v>-</v>
      </c>
      <c r="V384"/>
    </row>
    <row r="385" spans="1:22" ht="20.149999999999999" hidden="1" customHeight="1" outlineLevel="1">
      <c r="A385" s="308"/>
      <c r="B385" s="308"/>
      <c r="C385" s="309">
        <v>21044</v>
      </c>
      <c r="D385" s="310" t="s">
        <v>441</v>
      </c>
      <c r="E385" s="250"/>
      <c r="F385" s="250"/>
      <c r="G385" s="250"/>
      <c r="H385" s="250"/>
      <c r="I385" s="250"/>
      <c r="J385" s="250"/>
      <c r="K385" s="250">
        <f t="shared" si="600"/>
        <v>0</v>
      </c>
      <c r="L385" s="252" t="str">
        <f t="shared" si="513"/>
        <v>-</v>
      </c>
      <c r="M385" s="252" t="str">
        <f t="shared" si="514"/>
        <v>-</v>
      </c>
      <c r="N385" s="250">
        <f>[1]PB8!E385</f>
        <v>0</v>
      </c>
      <c r="O385" s="252" t="str">
        <f t="shared" si="516"/>
        <v>-</v>
      </c>
      <c r="P385" s="252" t="str">
        <f t="shared" si="517"/>
        <v>-</v>
      </c>
      <c r="Q385" s="250">
        <f t="shared" si="601"/>
        <v>0</v>
      </c>
      <c r="R385" s="252" t="str">
        <f t="shared" si="511"/>
        <v>-</v>
      </c>
      <c r="S385" s="253">
        <f>[1]PB8!W385</f>
        <v>0</v>
      </c>
      <c r="T385" s="257"/>
      <c r="U385" s="10" t="str">
        <f t="shared" si="494"/>
        <v>-</v>
      </c>
      <c r="V385"/>
    </row>
    <row r="386" spans="1:22" ht="20.149999999999999" hidden="1" customHeight="1" outlineLevel="1">
      <c r="A386" s="308"/>
      <c r="B386" s="308"/>
      <c r="C386" s="309">
        <v>21045</v>
      </c>
      <c r="D386" s="310" t="s">
        <v>442</v>
      </c>
      <c r="E386" s="250"/>
      <c r="F386" s="250"/>
      <c r="G386" s="250"/>
      <c r="H386" s="250"/>
      <c r="I386" s="250"/>
      <c r="J386" s="250"/>
      <c r="K386" s="250">
        <f t="shared" si="600"/>
        <v>0</v>
      </c>
      <c r="L386" s="252" t="str">
        <f t="shared" si="513"/>
        <v>-</v>
      </c>
      <c r="M386" s="252" t="str">
        <f t="shared" si="514"/>
        <v>-</v>
      </c>
      <c r="N386" s="250">
        <f>[1]PB8!E386</f>
        <v>0</v>
      </c>
      <c r="O386" s="252" t="str">
        <f t="shared" si="516"/>
        <v>-</v>
      </c>
      <c r="P386" s="252" t="str">
        <f t="shared" si="517"/>
        <v>-</v>
      </c>
      <c r="Q386" s="250">
        <f t="shared" si="601"/>
        <v>0</v>
      </c>
      <c r="R386" s="252" t="str">
        <f t="shared" si="511"/>
        <v>-</v>
      </c>
      <c r="S386" s="253">
        <f>[1]PB8!W386</f>
        <v>0</v>
      </c>
      <c r="T386" s="257"/>
      <c r="U386" s="10" t="str">
        <f t="shared" si="494"/>
        <v>-</v>
      </c>
      <c r="V386"/>
    </row>
    <row r="387" spans="1:22" ht="20.149999999999999" hidden="1" customHeight="1" outlineLevel="1">
      <c r="A387" s="308"/>
      <c r="B387" s="308"/>
      <c r="C387" s="309">
        <v>21046</v>
      </c>
      <c r="D387" s="310" t="s">
        <v>355</v>
      </c>
      <c r="E387" s="250"/>
      <c r="F387" s="250"/>
      <c r="G387" s="250"/>
      <c r="H387" s="250"/>
      <c r="I387" s="250"/>
      <c r="J387" s="250"/>
      <c r="K387" s="250">
        <f t="shared" si="600"/>
        <v>0</v>
      </c>
      <c r="L387" s="252" t="str">
        <f t="shared" si="513"/>
        <v>-</v>
      </c>
      <c r="M387" s="252" t="str">
        <f t="shared" si="514"/>
        <v>-</v>
      </c>
      <c r="N387" s="250">
        <f>[1]PB8!E387</f>
        <v>0</v>
      </c>
      <c r="O387" s="252" t="str">
        <f t="shared" si="516"/>
        <v>-</v>
      </c>
      <c r="P387" s="252" t="str">
        <f t="shared" si="517"/>
        <v>-</v>
      </c>
      <c r="Q387" s="250">
        <f t="shared" si="601"/>
        <v>0</v>
      </c>
      <c r="R387" s="252" t="str">
        <f t="shared" si="511"/>
        <v>-</v>
      </c>
      <c r="S387" s="253">
        <f>[1]PB8!W387</f>
        <v>0</v>
      </c>
      <c r="T387" s="257"/>
      <c r="U387" s="10" t="str">
        <f t="shared" si="494"/>
        <v>-</v>
      </c>
      <c r="V387"/>
    </row>
    <row r="388" spans="1:22" ht="20.149999999999999" hidden="1" customHeight="1" outlineLevel="1">
      <c r="A388" s="308"/>
      <c r="B388" s="308"/>
      <c r="C388" s="309">
        <v>21047</v>
      </c>
      <c r="D388" s="310" t="s">
        <v>443</v>
      </c>
      <c r="E388" s="250"/>
      <c r="F388" s="250"/>
      <c r="G388" s="250"/>
      <c r="H388" s="250"/>
      <c r="I388" s="250"/>
      <c r="J388" s="250"/>
      <c r="K388" s="250">
        <f t="shared" si="600"/>
        <v>0</v>
      </c>
      <c r="L388" s="252" t="str">
        <f t="shared" si="513"/>
        <v>-</v>
      </c>
      <c r="M388" s="252" t="str">
        <f t="shared" si="514"/>
        <v>-</v>
      </c>
      <c r="N388" s="250">
        <f>[1]PB8!E388</f>
        <v>0</v>
      </c>
      <c r="O388" s="252" t="str">
        <f t="shared" si="516"/>
        <v>-</v>
      </c>
      <c r="P388" s="252" t="str">
        <f t="shared" si="517"/>
        <v>-</v>
      </c>
      <c r="Q388" s="250">
        <f t="shared" si="601"/>
        <v>0</v>
      </c>
      <c r="R388" s="252" t="str">
        <f t="shared" si="511"/>
        <v>-</v>
      </c>
      <c r="S388" s="253">
        <f>[1]PB8!W388</f>
        <v>0</v>
      </c>
      <c r="T388" s="257"/>
      <c r="U388" s="10" t="str">
        <f t="shared" si="494"/>
        <v>-</v>
      </c>
      <c r="V388"/>
    </row>
    <row r="389" spans="1:22" ht="20.149999999999999" hidden="1" customHeight="1" outlineLevel="1">
      <c r="A389" s="308"/>
      <c r="B389" s="308"/>
      <c r="C389" s="309">
        <v>21048</v>
      </c>
      <c r="D389" s="310" t="s">
        <v>444</v>
      </c>
      <c r="E389" s="250"/>
      <c r="F389" s="250"/>
      <c r="G389" s="250"/>
      <c r="H389" s="250"/>
      <c r="I389" s="250"/>
      <c r="J389" s="250"/>
      <c r="K389" s="250">
        <f t="shared" si="600"/>
        <v>0</v>
      </c>
      <c r="L389" s="252" t="str">
        <f t="shared" si="513"/>
        <v>-</v>
      </c>
      <c r="M389" s="252" t="str">
        <f t="shared" si="514"/>
        <v>-</v>
      </c>
      <c r="N389" s="250">
        <f>[1]PB8!E389</f>
        <v>0</v>
      </c>
      <c r="O389" s="252" t="str">
        <f t="shared" si="516"/>
        <v>-</v>
      </c>
      <c r="P389" s="252" t="str">
        <f t="shared" si="517"/>
        <v>-</v>
      </c>
      <c r="Q389" s="250">
        <f t="shared" si="601"/>
        <v>0</v>
      </c>
      <c r="R389" s="252" t="str">
        <f t="shared" si="511"/>
        <v>-</v>
      </c>
      <c r="S389" s="253">
        <f>[1]PB8!W389</f>
        <v>0</v>
      </c>
      <c r="T389" s="257"/>
      <c r="U389" s="10" t="str">
        <f t="shared" si="494"/>
        <v>-</v>
      </c>
      <c r="V389"/>
    </row>
    <row r="390" spans="1:22" ht="20.149999999999999" hidden="1" customHeight="1" outlineLevel="1">
      <c r="A390" s="308"/>
      <c r="B390" s="290">
        <v>2105</v>
      </c>
      <c r="C390" s="290"/>
      <c r="D390" s="291" t="s">
        <v>637</v>
      </c>
      <c r="E390" s="243">
        <f t="shared" ref="E390:K390" si="602">SUM(E391:E394)</f>
        <v>0</v>
      </c>
      <c r="F390" s="243">
        <f t="shared" si="602"/>
        <v>0</v>
      </c>
      <c r="G390" s="243">
        <f t="shared" si="602"/>
        <v>0</v>
      </c>
      <c r="H390" s="243">
        <f t="shared" si="602"/>
        <v>0</v>
      </c>
      <c r="I390" s="243">
        <f t="shared" si="602"/>
        <v>0</v>
      </c>
      <c r="J390" s="243">
        <f t="shared" si="602"/>
        <v>0</v>
      </c>
      <c r="K390" s="243">
        <f t="shared" si="602"/>
        <v>0</v>
      </c>
      <c r="L390" s="244" t="str">
        <f t="shared" si="513"/>
        <v>-</v>
      </c>
      <c r="M390" s="244" t="str">
        <f t="shared" si="514"/>
        <v>-</v>
      </c>
      <c r="N390" s="243">
        <f t="shared" ref="N390" si="603">SUM(N391:N394)</f>
        <v>0</v>
      </c>
      <c r="O390" s="244" t="str">
        <f t="shared" si="516"/>
        <v>-</v>
      </c>
      <c r="P390" s="244" t="str">
        <f t="shared" si="517"/>
        <v>-</v>
      </c>
      <c r="Q390" s="243">
        <f t="shared" ref="Q390" si="604">SUM(Q391:Q394)</f>
        <v>0</v>
      </c>
      <c r="R390" s="244" t="str">
        <f t="shared" si="511"/>
        <v>-</v>
      </c>
      <c r="S390" s="245">
        <f t="shared" ref="S390" si="605">SUM(S391:S394)</f>
        <v>0</v>
      </c>
      <c r="T390" s="246"/>
      <c r="U390" s="10" t="str">
        <f t="shared" si="494"/>
        <v>-</v>
      </c>
      <c r="V390"/>
    </row>
    <row r="391" spans="1:22" ht="20.149999999999999" hidden="1" customHeight="1" outlineLevel="1">
      <c r="A391" s="308"/>
      <c r="B391" s="308"/>
      <c r="C391" s="309">
        <v>21051</v>
      </c>
      <c r="D391" s="310" t="s">
        <v>638</v>
      </c>
      <c r="E391" s="250"/>
      <c r="F391" s="250"/>
      <c r="G391" s="250"/>
      <c r="H391" s="250"/>
      <c r="I391" s="250"/>
      <c r="J391" s="250"/>
      <c r="K391" s="250">
        <f t="shared" ref="K391:K394" si="606">SUM(I391:J391)</f>
        <v>0</v>
      </c>
      <c r="L391" s="252" t="str">
        <f t="shared" si="513"/>
        <v>-</v>
      </c>
      <c r="M391" s="252" t="str">
        <f t="shared" si="514"/>
        <v>-</v>
      </c>
      <c r="N391" s="250">
        <f>[1]PB8!E391</f>
        <v>0</v>
      </c>
      <c r="O391" s="252" t="str">
        <f t="shared" si="516"/>
        <v>-</v>
      </c>
      <c r="P391" s="252" t="str">
        <f t="shared" si="517"/>
        <v>-</v>
      </c>
      <c r="Q391" s="250">
        <f t="shared" ref="Q391:Q394" si="607">N391-F391</f>
        <v>0</v>
      </c>
      <c r="R391" s="252" t="str">
        <f t="shared" si="511"/>
        <v>-</v>
      </c>
      <c r="S391" s="253">
        <f>[1]PB8!W391</f>
        <v>0</v>
      </c>
      <c r="T391" s="257"/>
      <c r="U391" s="10" t="str">
        <f t="shared" si="494"/>
        <v>-</v>
      </c>
      <c r="V391"/>
    </row>
    <row r="392" spans="1:22" ht="20.149999999999999" hidden="1" customHeight="1" outlineLevel="1">
      <c r="A392" s="308"/>
      <c r="B392" s="308"/>
      <c r="C392" s="309">
        <v>21052</v>
      </c>
      <c r="D392" s="310" t="s">
        <v>639</v>
      </c>
      <c r="E392" s="250"/>
      <c r="F392" s="250"/>
      <c r="G392" s="250"/>
      <c r="H392" s="250"/>
      <c r="I392" s="250"/>
      <c r="J392" s="250"/>
      <c r="K392" s="250">
        <f t="shared" si="606"/>
        <v>0</v>
      </c>
      <c r="L392" s="252" t="str">
        <f t="shared" si="513"/>
        <v>-</v>
      </c>
      <c r="M392" s="252" t="str">
        <f t="shared" si="514"/>
        <v>-</v>
      </c>
      <c r="N392" s="250">
        <f>[1]PB8!E392</f>
        <v>0</v>
      </c>
      <c r="O392" s="252" t="str">
        <f t="shared" si="516"/>
        <v>-</v>
      </c>
      <c r="P392" s="252" t="str">
        <f t="shared" si="517"/>
        <v>-</v>
      </c>
      <c r="Q392" s="250">
        <f t="shared" si="607"/>
        <v>0</v>
      </c>
      <c r="R392" s="252" t="str">
        <f t="shared" si="511"/>
        <v>-</v>
      </c>
      <c r="S392" s="253">
        <f>[1]PB8!W392</f>
        <v>0</v>
      </c>
      <c r="T392" s="257"/>
      <c r="U392" s="10" t="str">
        <f t="shared" si="494"/>
        <v>-</v>
      </c>
      <c r="V392"/>
    </row>
    <row r="393" spans="1:22" ht="20.149999999999999" hidden="1" customHeight="1" outlineLevel="1">
      <c r="A393" s="308"/>
      <c r="B393" s="308"/>
      <c r="C393" s="309">
        <v>21053</v>
      </c>
      <c r="D393" s="310" t="s">
        <v>640</v>
      </c>
      <c r="E393" s="250"/>
      <c r="F393" s="250"/>
      <c r="G393" s="250"/>
      <c r="H393" s="250"/>
      <c r="I393" s="250"/>
      <c r="J393" s="250"/>
      <c r="K393" s="250">
        <f t="shared" si="606"/>
        <v>0</v>
      </c>
      <c r="L393" s="252" t="str">
        <f t="shared" si="513"/>
        <v>-</v>
      </c>
      <c r="M393" s="252" t="str">
        <f t="shared" si="514"/>
        <v>-</v>
      </c>
      <c r="N393" s="250">
        <f>[1]PB8!E393</f>
        <v>0</v>
      </c>
      <c r="O393" s="252" t="str">
        <f t="shared" si="516"/>
        <v>-</v>
      </c>
      <c r="P393" s="252" t="str">
        <f t="shared" si="517"/>
        <v>-</v>
      </c>
      <c r="Q393" s="250">
        <f t="shared" si="607"/>
        <v>0</v>
      </c>
      <c r="R393" s="252" t="str">
        <f t="shared" si="511"/>
        <v>-</v>
      </c>
      <c r="S393" s="253">
        <f>[1]PB8!W393</f>
        <v>0</v>
      </c>
      <c r="T393" s="257"/>
      <c r="U393" s="10" t="str">
        <f t="shared" si="494"/>
        <v>-</v>
      </c>
      <c r="V393"/>
    </row>
    <row r="394" spans="1:22" ht="20.149999999999999" hidden="1" customHeight="1" outlineLevel="1">
      <c r="A394" s="308"/>
      <c r="B394" s="308"/>
      <c r="C394" s="309">
        <v>21058</v>
      </c>
      <c r="D394" s="310" t="s">
        <v>50</v>
      </c>
      <c r="E394" s="250"/>
      <c r="F394" s="250"/>
      <c r="G394" s="250"/>
      <c r="H394" s="250"/>
      <c r="I394" s="250"/>
      <c r="J394" s="250"/>
      <c r="K394" s="250">
        <f t="shared" si="606"/>
        <v>0</v>
      </c>
      <c r="L394" s="252" t="str">
        <f t="shared" si="513"/>
        <v>-</v>
      </c>
      <c r="M394" s="252" t="str">
        <f t="shared" si="514"/>
        <v>-</v>
      </c>
      <c r="N394" s="250">
        <f>[1]PB8!E394</f>
        <v>0</v>
      </c>
      <c r="O394" s="252" t="str">
        <f t="shared" si="516"/>
        <v>-</v>
      </c>
      <c r="P394" s="252" t="str">
        <f t="shared" si="517"/>
        <v>-</v>
      </c>
      <c r="Q394" s="250">
        <f t="shared" si="607"/>
        <v>0</v>
      </c>
      <c r="R394" s="252" t="str">
        <f t="shared" si="511"/>
        <v>-</v>
      </c>
      <c r="S394" s="253">
        <f>[1]PB8!W394</f>
        <v>0</v>
      </c>
      <c r="T394" s="257"/>
      <c r="U394" s="10" t="str">
        <f t="shared" si="494"/>
        <v>-</v>
      </c>
      <c r="V394"/>
    </row>
    <row r="395" spans="1:22" ht="20.149999999999999" hidden="1" customHeight="1" outlineLevel="1">
      <c r="A395" s="308"/>
      <c r="B395" s="290">
        <v>2106</v>
      </c>
      <c r="C395" s="290"/>
      <c r="D395" s="291" t="s">
        <v>641</v>
      </c>
      <c r="E395" s="243">
        <f t="shared" ref="E395:K395" si="608">E396</f>
        <v>0</v>
      </c>
      <c r="F395" s="243">
        <f t="shared" si="608"/>
        <v>0</v>
      </c>
      <c r="G395" s="243">
        <f t="shared" si="608"/>
        <v>0</v>
      </c>
      <c r="H395" s="243">
        <f t="shared" si="608"/>
        <v>0</v>
      </c>
      <c r="I395" s="243">
        <f t="shared" si="608"/>
        <v>0</v>
      </c>
      <c r="J395" s="243">
        <f t="shared" si="608"/>
        <v>0</v>
      </c>
      <c r="K395" s="243">
        <f t="shared" si="608"/>
        <v>0</v>
      </c>
      <c r="L395" s="244" t="str">
        <f t="shared" si="513"/>
        <v>-</v>
      </c>
      <c r="M395" s="244" t="str">
        <f t="shared" si="514"/>
        <v>-</v>
      </c>
      <c r="N395" s="243">
        <f t="shared" ref="N395" si="609">N396</f>
        <v>0</v>
      </c>
      <c r="O395" s="244" t="str">
        <f t="shared" si="516"/>
        <v>-</v>
      </c>
      <c r="P395" s="244" t="str">
        <f t="shared" si="517"/>
        <v>-</v>
      </c>
      <c r="Q395" s="243">
        <f t="shared" ref="Q395" si="610">Q396</f>
        <v>0</v>
      </c>
      <c r="R395" s="244" t="str">
        <f t="shared" si="511"/>
        <v>-</v>
      </c>
      <c r="S395" s="245">
        <f t="shared" ref="S395" si="611">S396</f>
        <v>0</v>
      </c>
      <c r="T395" s="246"/>
      <c r="U395" s="10" t="str">
        <f t="shared" si="494"/>
        <v>-</v>
      </c>
      <c r="V395"/>
    </row>
    <row r="396" spans="1:22" ht="20.149999999999999" hidden="1" customHeight="1" outlineLevel="1">
      <c r="A396" s="308"/>
      <c r="B396" s="308"/>
      <c r="C396" s="309">
        <v>21061</v>
      </c>
      <c r="D396" s="310" t="s">
        <v>641</v>
      </c>
      <c r="E396" s="250"/>
      <c r="F396" s="250"/>
      <c r="G396" s="250"/>
      <c r="H396" s="250"/>
      <c r="I396" s="250"/>
      <c r="J396" s="250"/>
      <c r="K396" s="250">
        <f>SUM(I396:J396)</f>
        <v>0</v>
      </c>
      <c r="L396" s="252" t="str">
        <f>IFERROR(K396/F396,"-")</f>
        <v>-</v>
      </c>
      <c r="M396" s="252" t="str">
        <f>IFERROR(K396/H396,"-")</f>
        <v>-</v>
      </c>
      <c r="N396" s="250">
        <f>[1]PB8!E396</f>
        <v>0</v>
      </c>
      <c r="O396" s="252" t="str">
        <f>IFERROR(N396/F396,"-")</f>
        <v>-</v>
      </c>
      <c r="P396" s="252" t="str">
        <f>IFERROR(N396/H396,"-")</f>
        <v>-</v>
      </c>
      <c r="Q396" s="250">
        <f>N396-F396</f>
        <v>0</v>
      </c>
      <c r="R396" s="252" t="str">
        <f t="shared" si="511"/>
        <v>-</v>
      </c>
      <c r="S396" s="253">
        <f>[1]PB8!W396</f>
        <v>0</v>
      </c>
      <c r="T396" s="257"/>
      <c r="U396" s="10" t="str">
        <f t="shared" si="494"/>
        <v>-</v>
      </c>
      <c r="V396"/>
    </row>
    <row r="397" spans="1:22" ht="20.149999999999999" hidden="1" customHeight="1" outlineLevel="1">
      <c r="A397" s="308"/>
      <c r="B397" s="290">
        <v>2108</v>
      </c>
      <c r="C397" s="290"/>
      <c r="D397" s="291" t="s">
        <v>642</v>
      </c>
      <c r="E397" s="243">
        <f t="shared" ref="E397" si="612">SUM(E398:E402)</f>
        <v>0</v>
      </c>
      <c r="F397" s="243">
        <f t="shared" ref="F397:K397" si="613">SUM(F398:F402)</f>
        <v>0</v>
      </c>
      <c r="G397" s="243">
        <f t="shared" si="613"/>
        <v>0</v>
      </c>
      <c r="H397" s="243">
        <f t="shared" si="613"/>
        <v>0</v>
      </c>
      <c r="I397" s="243">
        <f t="shared" si="613"/>
        <v>0</v>
      </c>
      <c r="J397" s="243">
        <f t="shared" si="613"/>
        <v>0</v>
      </c>
      <c r="K397" s="243">
        <f t="shared" si="613"/>
        <v>0</v>
      </c>
      <c r="L397" s="244" t="str">
        <f t="shared" si="513"/>
        <v>-</v>
      </c>
      <c r="M397" s="244" t="str">
        <f t="shared" si="514"/>
        <v>-</v>
      </c>
      <c r="N397" s="243">
        <f t="shared" ref="N397" si="614">SUM(N398:N402)</f>
        <v>0</v>
      </c>
      <c r="O397" s="244" t="str">
        <f t="shared" si="516"/>
        <v>-</v>
      </c>
      <c r="P397" s="244" t="str">
        <f t="shared" si="517"/>
        <v>-</v>
      </c>
      <c r="Q397" s="243">
        <f t="shared" ref="Q397" si="615">SUM(Q398:Q402)</f>
        <v>0</v>
      </c>
      <c r="R397" s="244" t="str">
        <f t="shared" si="511"/>
        <v>-</v>
      </c>
      <c r="S397" s="245">
        <f t="shared" ref="S397" si="616">SUM(S398:S402)</f>
        <v>0</v>
      </c>
      <c r="T397" s="246"/>
      <c r="U397" s="10" t="str">
        <f t="shared" si="494"/>
        <v>-</v>
      </c>
      <c r="V397"/>
    </row>
    <row r="398" spans="1:22" ht="20.149999999999999" hidden="1" customHeight="1" outlineLevel="1">
      <c r="A398" s="308"/>
      <c r="B398" s="308"/>
      <c r="C398" s="309">
        <v>21081</v>
      </c>
      <c r="D398" s="310" t="s">
        <v>643</v>
      </c>
      <c r="E398" s="250"/>
      <c r="F398" s="250"/>
      <c r="G398" s="250"/>
      <c r="H398" s="250"/>
      <c r="I398" s="250"/>
      <c r="J398" s="250"/>
      <c r="K398" s="250">
        <f t="shared" ref="K398:K402" si="617">SUM(I398:J398)</f>
        <v>0</v>
      </c>
      <c r="L398" s="252" t="str">
        <f t="shared" si="513"/>
        <v>-</v>
      </c>
      <c r="M398" s="252" t="str">
        <f t="shared" si="514"/>
        <v>-</v>
      </c>
      <c r="N398" s="250">
        <f>[1]PB8!E398</f>
        <v>0</v>
      </c>
      <c r="O398" s="252" t="str">
        <f t="shared" si="516"/>
        <v>-</v>
      </c>
      <c r="P398" s="252" t="str">
        <f t="shared" si="517"/>
        <v>-</v>
      </c>
      <c r="Q398" s="250">
        <f t="shared" ref="Q398:Q402" si="618">N398-F398</f>
        <v>0</v>
      </c>
      <c r="R398" s="252" t="str">
        <f t="shared" si="511"/>
        <v>-</v>
      </c>
      <c r="S398" s="253">
        <f>[1]PB8!W398</f>
        <v>0</v>
      </c>
      <c r="T398" s="257"/>
      <c r="U398" s="10" t="str">
        <f t="shared" si="494"/>
        <v>-</v>
      </c>
      <c r="V398"/>
    </row>
    <row r="399" spans="1:22" ht="20.149999999999999" hidden="1" customHeight="1" outlineLevel="1">
      <c r="A399" s="308"/>
      <c r="B399" s="308"/>
      <c r="C399" s="309">
        <v>21082</v>
      </c>
      <c r="D399" s="310" t="s">
        <v>644</v>
      </c>
      <c r="E399" s="250"/>
      <c r="F399" s="250"/>
      <c r="G399" s="250"/>
      <c r="H399" s="250"/>
      <c r="I399" s="250"/>
      <c r="J399" s="250"/>
      <c r="K399" s="250">
        <f t="shared" si="617"/>
        <v>0</v>
      </c>
      <c r="L399" s="252" t="str">
        <f t="shared" si="513"/>
        <v>-</v>
      </c>
      <c r="M399" s="252" t="str">
        <f t="shared" si="514"/>
        <v>-</v>
      </c>
      <c r="N399" s="250">
        <f>[1]PB8!E399</f>
        <v>0</v>
      </c>
      <c r="O399" s="252" t="str">
        <f t="shared" si="516"/>
        <v>-</v>
      </c>
      <c r="P399" s="252" t="str">
        <f t="shared" si="517"/>
        <v>-</v>
      </c>
      <c r="Q399" s="250">
        <f t="shared" si="618"/>
        <v>0</v>
      </c>
      <c r="R399" s="252" t="str">
        <f t="shared" si="511"/>
        <v>-</v>
      </c>
      <c r="S399" s="253">
        <f>[1]PB8!W399</f>
        <v>0</v>
      </c>
      <c r="T399" s="257"/>
      <c r="U399" s="10" t="str">
        <f t="shared" ref="U399:U462" si="619">IF(OR(F399&gt;0,H399&gt;0,N399&gt;0),"ok","-")</f>
        <v>-</v>
      </c>
      <c r="V399"/>
    </row>
    <row r="400" spans="1:22" ht="20.149999999999999" hidden="1" customHeight="1" outlineLevel="1">
      <c r="A400" s="308"/>
      <c r="B400" s="308"/>
      <c r="C400" s="309">
        <v>21083</v>
      </c>
      <c r="D400" s="310" t="s">
        <v>645</v>
      </c>
      <c r="E400" s="250"/>
      <c r="F400" s="250"/>
      <c r="G400" s="250"/>
      <c r="H400" s="250"/>
      <c r="I400" s="250"/>
      <c r="J400" s="250"/>
      <c r="K400" s="250">
        <f t="shared" si="617"/>
        <v>0</v>
      </c>
      <c r="L400" s="252" t="str">
        <f t="shared" si="513"/>
        <v>-</v>
      </c>
      <c r="M400" s="252" t="str">
        <f t="shared" si="514"/>
        <v>-</v>
      </c>
      <c r="N400" s="250">
        <f>[1]PB8!E400</f>
        <v>0</v>
      </c>
      <c r="O400" s="252" t="str">
        <f t="shared" si="516"/>
        <v>-</v>
      </c>
      <c r="P400" s="252" t="str">
        <f t="shared" si="517"/>
        <v>-</v>
      </c>
      <c r="Q400" s="250">
        <f t="shared" si="618"/>
        <v>0</v>
      </c>
      <c r="R400" s="252" t="str">
        <f t="shared" si="511"/>
        <v>-</v>
      </c>
      <c r="S400" s="253">
        <f>[1]PB8!W400</f>
        <v>0</v>
      </c>
      <c r="T400" s="257"/>
      <c r="U400" s="10" t="str">
        <f t="shared" si="619"/>
        <v>-</v>
      </c>
      <c r="V400"/>
    </row>
    <row r="401" spans="1:22" ht="20.149999999999999" hidden="1" customHeight="1" outlineLevel="1">
      <c r="A401" s="308"/>
      <c r="B401" s="308"/>
      <c r="C401" s="309">
        <v>21084</v>
      </c>
      <c r="D401" s="310" t="s">
        <v>347</v>
      </c>
      <c r="E401" s="250"/>
      <c r="F401" s="250"/>
      <c r="G401" s="250"/>
      <c r="H401" s="250"/>
      <c r="I401" s="250"/>
      <c r="J401" s="250"/>
      <c r="K401" s="250">
        <f t="shared" si="617"/>
        <v>0</v>
      </c>
      <c r="L401" s="252" t="str">
        <f t="shared" si="513"/>
        <v>-</v>
      </c>
      <c r="M401" s="252" t="str">
        <f t="shared" si="514"/>
        <v>-</v>
      </c>
      <c r="N401" s="250">
        <f>[1]PB8!E401</f>
        <v>0</v>
      </c>
      <c r="O401" s="252" t="str">
        <f t="shared" si="516"/>
        <v>-</v>
      </c>
      <c r="P401" s="252" t="str">
        <f t="shared" si="517"/>
        <v>-</v>
      </c>
      <c r="Q401" s="250">
        <f t="shared" si="618"/>
        <v>0</v>
      </c>
      <c r="R401" s="252" t="str">
        <f t="shared" si="511"/>
        <v>-</v>
      </c>
      <c r="S401" s="253">
        <f>[1]PB8!W401</f>
        <v>0</v>
      </c>
      <c r="T401" s="257"/>
      <c r="U401" s="10" t="str">
        <f t="shared" si="619"/>
        <v>-</v>
      </c>
      <c r="V401"/>
    </row>
    <row r="402" spans="1:22" ht="20.149999999999999" hidden="1" customHeight="1" outlineLevel="1">
      <c r="A402" s="308"/>
      <c r="B402" s="308"/>
      <c r="C402" s="309">
        <v>21088</v>
      </c>
      <c r="D402" s="310" t="s">
        <v>646</v>
      </c>
      <c r="E402" s="250"/>
      <c r="F402" s="250"/>
      <c r="G402" s="250"/>
      <c r="H402" s="250"/>
      <c r="I402" s="250"/>
      <c r="J402" s="250"/>
      <c r="K402" s="250">
        <f t="shared" si="617"/>
        <v>0</v>
      </c>
      <c r="L402" s="252" t="str">
        <f t="shared" si="513"/>
        <v>-</v>
      </c>
      <c r="M402" s="252" t="str">
        <f t="shared" si="514"/>
        <v>-</v>
      </c>
      <c r="N402" s="250">
        <f>[1]PB8!E402</f>
        <v>0</v>
      </c>
      <c r="O402" s="252" t="str">
        <f t="shared" si="516"/>
        <v>-</v>
      </c>
      <c r="P402" s="252" t="str">
        <f t="shared" si="517"/>
        <v>-</v>
      </c>
      <c r="Q402" s="250">
        <f t="shared" si="618"/>
        <v>0</v>
      </c>
      <c r="R402" s="252" t="str">
        <f t="shared" si="511"/>
        <v>-</v>
      </c>
      <c r="S402" s="253">
        <f>[1]PB8!W402</f>
        <v>0</v>
      </c>
      <c r="T402" s="257"/>
      <c r="U402" s="10" t="str">
        <f t="shared" si="619"/>
        <v>-</v>
      </c>
      <c r="V402"/>
    </row>
    <row r="403" spans="1:22" ht="20.149999999999999" hidden="1" customHeight="1" outlineLevel="1">
      <c r="A403" s="308"/>
      <c r="B403" s="290">
        <v>2109</v>
      </c>
      <c r="C403" s="290"/>
      <c r="D403" s="291" t="s">
        <v>647</v>
      </c>
      <c r="E403" s="243">
        <f t="shared" ref="E403" si="620">SUM(E404:E411)</f>
        <v>0</v>
      </c>
      <c r="F403" s="243">
        <f t="shared" ref="F403:K403" si="621">SUM(F404:F411)</f>
        <v>0</v>
      </c>
      <c r="G403" s="243">
        <f t="shared" si="621"/>
        <v>0</v>
      </c>
      <c r="H403" s="243">
        <f t="shared" si="621"/>
        <v>0</v>
      </c>
      <c r="I403" s="243">
        <f t="shared" si="621"/>
        <v>0</v>
      </c>
      <c r="J403" s="243">
        <f t="shared" si="621"/>
        <v>0</v>
      </c>
      <c r="K403" s="243">
        <f t="shared" si="621"/>
        <v>0</v>
      </c>
      <c r="L403" s="244" t="str">
        <f t="shared" si="513"/>
        <v>-</v>
      </c>
      <c r="M403" s="244" t="str">
        <f t="shared" si="514"/>
        <v>-</v>
      </c>
      <c r="N403" s="243">
        <f t="shared" ref="N403" si="622">SUM(N404:N411)</f>
        <v>0</v>
      </c>
      <c r="O403" s="244" t="str">
        <f t="shared" si="516"/>
        <v>-</v>
      </c>
      <c r="P403" s="244" t="str">
        <f t="shared" si="517"/>
        <v>-</v>
      </c>
      <c r="Q403" s="243">
        <f t="shared" ref="Q403" si="623">SUM(Q404:Q411)</f>
        <v>0</v>
      </c>
      <c r="R403" s="244" t="str">
        <f t="shared" si="511"/>
        <v>-</v>
      </c>
      <c r="S403" s="245">
        <f t="shared" ref="S403" si="624">SUM(S404:S411)</f>
        <v>0</v>
      </c>
      <c r="T403" s="246"/>
      <c r="U403" s="10" t="str">
        <f t="shared" si="619"/>
        <v>-</v>
      </c>
      <c r="V403"/>
    </row>
    <row r="404" spans="1:22" ht="20.149999999999999" hidden="1" customHeight="1" outlineLevel="1">
      <c r="A404" s="308"/>
      <c r="B404" s="308"/>
      <c r="C404" s="309">
        <v>21091</v>
      </c>
      <c r="D404" s="310" t="s">
        <v>438</v>
      </c>
      <c r="E404" s="250"/>
      <c r="F404" s="250"/>
      <c r="G404" s="250"/>
      <c r="H404" s="250"/>
      <c r="I404" s="250"/>
      <c r="J404" s="250"/>
      <c r="K404" s="250">
        <f t="shared" ref="K404:K411" si="625">SUM(I404:J404)</f>
        <v>0</v>
      </c>
      <c r="L404" s="252" t="str">
        <f t="shared" si="513"/>
        <v>-</v>
      </c>
      <c r="M404" s="252" t="str">
        <f t="shared" si="514"/>
        <v>-</v>
      </c>
      <c r="N404" s="250">
        <f>[1]PB8!E404</f>
        <v>0</v>
      </c>
      <c r="O404" s="252" t="str">
        <f t="shared" si="516"/>
        <v>-</v>
      </c>
      <c r="P404" s="252" t="str">
        <f t="shared" si="517"/>
        <v>-</v>
      </c>
      <c r="Q404" s="250">
        <f t="shared" ref="Q404:Q411" si="626">N404-F404</f>
        <v>0</v>
      </c>
      <c r="R404" s="252" t="str">
        <f t="shared" si="511"/>
        <v>-</v>
      </c>
      <c r="S404" s="253">
        <f>[1]PB8!W404</f>
        <v>0</v>
      </c>
      <c r="T404" s="257"/>
      <c r="U404" s="10" t="str">
        <f t="shared" si="619"/>
        <v>-</v>
      </c>
      <c r="V404"/>
    </row>
    <row r="405" spans="1:22" ht="20.149999999999999" hidden="1" customHeight="1" outlineLevel="1">
      <c r="A405" s="308"/>
      <c r="B405" s="308"/>
      <c r="C405" s="309">
        <v>21092</v>
      </c>
      <c r="D405" s="310" t="s">
        <v>439</v>
      </c>
      <c r="E405" s="250"/>
      <c r="F405" s="250"/>
      <c r="G405" s="250"/>
      <c r="H405" s="250"/>
      <c r="I405" s="250"/>
      <c r="J405" s="250"/>
      <c r="K405" s="250">
        <f t="shared" si="625"/>
        <v>0</v>
      </c>
      <c r="L405" s="252" t="str">
        <f t="shared" si="513"/>
        <v>-</v>
      </c>
      <c r="M405" s="252" t="str">
        <f t="shared" si="514"/>
        <v>-</v>
      </c>
      <c r="N405" s="250">
        <f>[1]PB8!E405</f>
        <v>0</v>
      </c>
      <c r="O405" s="252" t="str">
        <f t="shared" si="516"/>
        <v>-</v>
      </c>
      <c r="P405" s="252" t="str">
        <f t="shared" si="517"/>
        <v>-</v>
      </c>
      <c r="Q405" s="250">
        <f t="shared" si="626"/>
        <v>0</v>
      </c>
      <c r="R405" s="252" t="str">
        <f t="shared" si="511"/>
        <v>-</v>
      </c>
      <c r="S405" s="253">
        <f>[1]PB8!W405</f>
        <v>0</v>
      </c>
      <c r="T405" s="257"/>
      <c r="U405" s="10" t="str">
        <f t="shared" si="619"/>
        <v>-</v>
      </c>
      <c r="V405"/>
    </row>
    <row r="406" spans="1:22" ht="20.149999999999999" hidden="1" customHeight="1" outlineLevel="1">
      <c r="A406" s="308"/>
      <c r="B406" s="308"/>
      <c r="C406" s="309">
        <v>21093</v>
      </c>
      <c r="D406" s="310" t="s">
        <v>440</v>
      </c>
      <c r="E406" s="250"/>
      <c r="F406" s="250"/>
      <c r="G406" s="250"/>
      <c r="H406" s="250"/>
      <c r="I406" s="250"/>
      <c r="J406" s="250"/>
      <c r="K406" s="250">
        <f t="shared" si="625"/>
        <v>0</v>
      </c>
      <c r="L406" s="252" t="str">
        <f t="shared" si="513"/>
        <v>-</v>
      </c>
      <c r="M406" s="252" t="str">
        <f t="shared" si="514"/>
        <v>-</v>
      </c>
      <c r="N406" s="250">
        <f>[1]PB8!E406</f>
        <v>0</v>
      </c>
      <c r="O406" s="252" t="str">
        <f t="shared" si="516"/>
        <v>-</v>
      </c>
      <c r="P406" s="252" t="str">
        <f t="shared" si="517"/>
        <v>-</v>
      </c>
      <c r="Q406" s="250">
        <f t="shared" si="626"/>
        <v>0</v>
      </c>
      <c r="R406" s="252" t="str">
        <f t="shared" ref="R406:R462" si="627">IFERROR(Q406/F406,"-")</f>
        <v>-</v>
      </c>
      <c r="S406" s="253">
        <f>[1]PB8!W406</f>
        <v>0</v>
      </c>
      <c r="T406" s="257"/>
      <c r="U406" s="10" t="str">
        <f t="shared" si="619"/>
        <v>-</v>
      </c>
      <c r="V406"/>
    </row>
    <row r="407" spans="1:22" ht="20.149999999999999" hidden="1" customHeight="1" outlineLevel="1">
      <c r="A407" s="308"/>
      <c r="B407" s="308"/>
      <c r="C407" s="309">
        <v>21094</v>
      </c>
      <c r="D407" s="310" t="s">
        <v>441</v>
      </c>
      <c r="E407" s="250"/>
      <c r="F407" s="250"/>
      <c r="G407" s="250"/>
      <c r="H407" s="250"/>
      <c r="I407" s="250"/>
      <c r="J407" s="250"/>
      <c r="K407" s="250">
        <f t="shared" si="625"/>
        <v>0</v>
      </c>
      <c r="L407" s="252" t="str">
        <f t="shared" si="513"/>
        <v>-</v>
      </c>
      <c r="M407" s="252" t="str">
        <f t="shared" si="514"/>
        <v>-</v>
      </c>
      <c r="N407" s="250">
        <f>[1]PB8!E407</f>
        <v>0</v>
      </c>
      <c r="O407" s="252" t="str">
        <f t="shared" si="516"/>
        <v>-</v>
      </c>
      <c r="P407" s="252" t="str">
        <f t="shared" si="517"/>
        <v>-</v>
      </c>
      <c r="Q407" s="250">
        <f t="shared" si="626"/>
        <v>0</v>
      </c>
      <c r="R407" s="252" t="str">
        <f t="shared" si="627"/>
        <v>-</v>
      </c>
      <c r="S407" s="253">
        <f>[1]PB8!W407</f>
        <v>0</v>
      </c>
      <c r="T407" s="257"/>
      <c r="U407" s="10" t="str">
        <f t="shared" si="619"/>
        <v>-</v>
      </c>
      <c r="V407"/>
    </row>
    <row r="408" spans="1:22" ht="20.149999999999999" hidden="1" customHeight="1" outlineLevel="1">
      <c r="A408" s="308"/>
      <c r="B408" s="308"/>
      <c r="C408" s="309">
        <v>21095</v>
      </c>
      <c r="D408" s="310" t="s">
        <v>442</v>
      </c>
      <c r="E408" s="250"/>
      <c r="F408" s="250"/>
      <c r="G408" s="250"/>
      <c r="H408" s="250"/>
      <c r="I408" s="250"/>
      <c r="J408" s="250"/>
      <c r="K408" s="250">
        <f t="shared" si="625"/>
        <v>0</v>
      </c>
      <c r="L408" s="252" t="str">
        <f t="shared" ref="L408:L468" si="628">IFERROR(K408/F408,"-")</f>
        <v>-</v>
      </c>
      <c r="M408" s="252" t="str">
        <f t="shared" ref="M408:M468" si="629">IFERROR(K408/H408,"-")</f>
        <v>-</v>
      </c>
      <c r="N408" s="250">
        <f>[1]PB8!E408</f>
        <v>0</v>
      </c>
      <c r="O408" s="252" t="str">
        <f t="shared" ref="O408:O468" si="630">IFERROR(N408/F408,"-")</f>
        <v>-</v>
      </c>
      <c r="P408" s="252" t="str">
        <f t="shared" ref="P408:P468" si="631">IFERROR(N408/H408,"-")</f>
        <v>-</v>
      </c>
      <c r="Q408" s="250">
        <f t="shared" si="626"/>
        <v>0</v>
      </c>
      <c r="R408" s="252" t="str">
        <f t="shared" si="627"/>
        <v>-</v>
      </c>
      <c r="S408" s="253">
        <f>[1]PB8!W408</f>
        <v>0</v>
      </c>
      <c r="T408" s="257"/>
      <c r="U408" s="10" t="str">
        <f t="shared" si="619"/>
        <v>-</v>
      </c>
      <c r="V408"/>
    </row>
    <row r="409" spans="1:22" ht="20.149999999999999" hidden="1" customHeight="1" outlineLevel="1">
      <c r="A409" s="308"/>
      <c r="B409" s="308"/>
      <c r="C409" s="309">
        <v>21096</v>
      </c>
      <c r="D409" s="310" t="s">
        <v>355</v>
      </c>
      <c r="E409" s="250"/>
      <c r="F409" s="250"/>
      <c r="G409" s="250"/>
      <c r="H409" s="250"/>
      <c r="I409" s="250"/>
      <c r="J409" s="250"/>
      <c r="K409" s="250">
        <f t="shared" si="625"/>
        <v>0</v>
      </c>
      <c r="L409" s="252" t="str">
        <f t="shared" si="628"/>
        <v>-</v>
      </c>
      <c r="M409" s="252" t="str">
        <f t="shared" si="629"/>
        <v>-</v>
      </c>
      <c r="N409" s="250">
        <f>[1]PB8!E409</f>
        <v>0</v>
      </c>
      <c r="O409" s="252" t="str">
        <f t="shared" si="630"/>
        <v>-</v>
      </c>
      <c r="P409" s="252" t="str">
        <f t="shared" si="631"/>
        <v>-</v>
      </c>
      <c r="Q409" s="250">
        <f t="shared" si="626"/>
        <v>0</v>
      </c>
      <c r="R409" s="252" t="str">
        <f t="shared" si="627"/>
        <v>-</v>
      </c>
      <c r="S409" s="253">
        <f>[1]PB8!W409</f>
        <v>0</v>
      </c>
      <c r="T409" s="257"/>
      <c r="U409" s="10" t="str">
        <f t="shared" si="619"/>
        <v>-</v>
      </c>
      <c r="V409"/>
    </row>
    <row r="410" spans="1:22" ht="20.149999999999999" hidden="1" customHeight="1" outlineLevel="1">
      <c r="A410" s="308"/>
      <c r="B410" s="308"/>
      <c r="C410" s="309">
        <v>21097</v>
      </c>
      <c r="D410" s="310" t="s">
        <v>443</v>
      </c>
      <c r="E410" s="250"/>
      <c r="F410" s="250"/>
      <c r="G410" s="250"/>
      <c r="H410" s="250"/>
      <c r="I410" s="250"/>
      <c r="J410" s="250"/>
      <c r="K410" s="250">
        <f t="shared" si="625"/>
        <v>0</v>
      </c>
      <c r="L410" s="252" t="str">
        <f t="shared" si="628"/>
        <v>-</v>
      </c>
      <c r="M410" s="252" t="str">
        <f t="shared" si="629"/>
        <v>-</v>
      </c>
      <c r="N410" s="250">
        <f>[1]PB8!E410</f>
        <v>0</v>
      </c>
      <c r="O410" s="252" t="str">
        <f t="shared" si="630"/>
        <v>-</v>
      </c>
      <c r="P410" s="252" t="str">
        <f t="shared" si="631"/>
        <v>-</v>
      </c>
      <c r="Q410" s="250">
        <f t="shared" si="626"/>
        <v>0</v>
      </c>
      <c r="R410" s="252" t="str">
        <f t="shared" si="627"/>
        <v>-</v>
      </c>
      <c r="S410" s="253">
        <f>[1]PB8!W410</f>
        <v>0</v>
      </c>
      <c r="T410" s="257"/>
      <c r="U410" s="10" t="str">
        <f t="shared" si="619"/>
        <v>-</v>
      </c>
      <c r="V410"/>
    </row>
    <row r="411" spans="1:22" ht="20.149999999999999" hidden="1" customHeight="1" outlineLevel="1">
      <c r="A411" s="308"/>
      <c r="B411" s="308"/>
      <c r="C411" s="309">
        <v>21098</v>
      </c>
      <c r="D411" s="310" t="s">
        <v>444</v>
      </c>
      <c r="E411" s="250"/>
      <c r="F411" s="250"/>
      <c r="G411" s="250"/>
      <c r="H411" s="250"/>
      <c r="I411" s="250"/>
      <c r="J411" s="250"/>
      <c r="K411" s="250">
        <f t="shared" si="625"/>
        <v>0</v>
      </c>
      <c r="L411" s="252" t="str">
        <f t="shared" si="628"/>
        <v>-</v>
      </c>
      <c r="M411" s="252" t="str">
        <f t="shared" si="629"/>
        <v>-</v>
      </c>
      <c r="N411" s="250">
        <f>[1]PB8!E411</f>
        <v>0</v>
      </c>
      <c r="O411" s="252" t="str">
        <f t="shared" si="630"/>
        <v>-</v>
      </c>
      <c r="P411" s="252" t="str">
        <f t="shared" si="631"/>
        <v>-</v>
      </c>
      <c r="Q411" s="250">
        <f t="shared" si="626"/>
        <v>0</v>
      </c>
      <c r="R411" s="252" t="str">
        <f t="shared" si="627"/>
        <v>-</v>
      </c>
      <c r="S411" s="253">
        <f>[1]PB8!W411</f>
        <v>0</v>
      </c>
      <c r="T411" s="257"/>
      <c r="U411" s="10" t="str">
        <f t="shared" si="619"/>
        <v>-</v>
      </c>
      <c r="V411"/>
    </row>
    <row r="412" spans="1:22" ht="20.149999999999999" hidden="1" customHeight="1" outlineLevel="1">
      <c r="A412" s="234">
        <v>22</v>
      </c>
      <c r="B412" s="234"/>
      <c r="C412" s="235"/>
      <c r="D412" s="236" t="s">
        <v>648</v>
      </c>
      <c r="E412" s="258">
        <f t="shared" ref="E412:K412" si="632">E413</f>
        <v>0</v>
      </c>
      <c r="F412" s="258">
        <f t="shared" si="632"/>
        <v>0</v>
      </c>
      <c r="G412" s="258">
        <f t="shared" si="632"/>
        <v>0</v>
      </c>
      <c r="H412" s="258">
        <f t="shared" si="632"/>
        <v>0</v>
      </c>
      <c r="I412" s="258">
        <f t="shared" si="632"/>
        <v>0</v>
      </c>
      <c r="J412" s="258">
        <f t="shared" si="632"/>
        <v>0</v>
      </c>
      <c r="K412" s="258">
        <f t="shared" si="632"/>
        <v>0</v>
      </c>
      <c r="L412" s="259" t="str">
        <f t="shared" si="628"/>
        <v>-</v>
      </c>
      <c r="M412" s="259" t="str">
        <f t="shared" si="629"/>
        <v>-</v>
      </c>
      <c r="N412" s="258">
        <f t="shared" ref="N412" si="633">N413</f>
        <v>0</v>
      </c>
      <c r="O412" s="259" t="str">
        <f t="shared" si="630"/>
        <v>-</v>
      </c>
      <c r="P412" s="259" t="str">
        <f t="shared" si="631"/>
        <v>-</v>
      </c>
      <c r="Q412" s="258">
        <f t="shared" ref="Q412" si="634">Q413</f>
        <v>0</v>
      </c>
      <c r="R412" s="259" t="str">
        <f t="shared" si="627"/>
        <v>-</v>
      </c>
      <c r="S412" s="260">
        <f t="shared" ref="S412" si="635">S413</f>
        <v>0</v>
      </c>
      <c r="T412" s="261"/>
      <c r="U412" s="10" t="str">
        <f t="shared" si="619"/>
        <v>-</v>
      </c>
      <c r="V412"/>
    </row>
    <row r="413" spans="1:22" ht="20.149999999999999" hidden="1" customHeight="1" outlineLevel="1">
      <c r="A413" s="308"/>
      <c r="B413" s="290">
        <v>2201</v>
      </c>
      <c r="C413" s="290"/>
      <c r="D413" s="291" t="s">
        <v>648</v>
      </c>
      <c r="E413" s="243">
        <f t="shared" ref="E413" si="636">SUM(E414:E415)</f>
        <v>0</v>
      </c>
      <c r="F413" s="243">
        <f t="shared" ref="F413:K413" si="637">SUM(F414:F415)</f>
        <v>0</v>
      </c>
      <c r="G413" s="243">
        <f t="shared" si="637"/>
        <v>0</v>
      </c>
      <c r="H413" s="243">
        <f t="shared" si="637"/>
        <v>0</v>
      </c>
      <c r="I413" s="243">
        <f t="shared" si="637"/>
        <v>0</v>
      </c>
      <c r="J413" s="243">
        <f t="shared" si="637"/>
        <v>0</v>
      </c>
      <c r="K413" s="243">
        <f t="shared" si="637"/>
        <v>0</v>
      </c>
      <c r="L413" s="244" t="str">
        <f t="shared" si="628"/>
        <v>-</v>
      </c>
      <c r="M413" s="244" t="str">
        <f t="shared" si="629"/>
        <v>-</v>
      </c>
      <c r="N413" s="243">
        <f t="shared" ref="N413" si="638">SUM(N414:N415)</f>
        <v>0</v>
      </c>
      <c r="O413" s="244" t="str">
        <f t="shared" si="630"/>
        <v>-</v>
      </c>
      <c r="P413" s="244" t="str">
        <f t="shared" si="631"/>
        <v>-</v>
      </c>
      <c r="Q413" s="243">
        <f t="shared" ref="Q413" si="639">SUM(Q414:Q415)</f>
        <v>0</v>
      </c>
      <c r="R413" s="244" t="str">
        <f t="shared" si="627"/>
        <v>-</v>
      </c>
      <c r="S413" s="245">
        <f t="shared" ref="S413" si="640">SUM(S414:S415)</f>
        <v>0</v>
      </c>
      <c r="T413" s="246"/>
      <c r="U413" s="10" t="str">
        <f t="shared" si="619"/>
        <v>-</v>
      </c>
      <c r="V413"/>
    </row>
    <row r="414" spans="1:22" ht="20.149999999999999" hidden="1" customHeight="1" outlineLevel="1">
      <c r="A414" s="308"/>
      <c r="B414" s="308"/>
      <c r="C414" s="309">
        <v>22011</v>
      </c>
      <c r="D414" s="310" t="s">
        <v>649</v>
      </c>
      <c r="E414" s="250"/>
      <c r="F414" s="250"/>
      <c r="G414" s="250"/>
      <c r="H414" s="250"/>
      <c r="I414" s="250"/>
      <c r="J414" s="250"/>
      <c r="K414" s="250">
        <f t="shared" ref="K414:K415" si="641">SUM(I414:J414)</f>
        <v>0</v>
      </c>
      <c r="L414" s="252" t="str">
        <f t="shared" si="628"/>
        <v>-</v>
      </c>
      <c r="M414" s="252" t="str">
        <f t="shared" si="629"/>
        <v>-</v>
      </c>
      <c r="N414" s="250">
        <f>[1]PB8!E414</f>
        <v>0</v>
      </c>
      <c r="O414" s="252" t="str">
        <f t="shared" si="630"/>
        <v>-</v>
      </c>
      <c r="P414" s="252" t="str">
        <f t="shared" si="631"/>
        <v>-</v>
      </c>
      <c r="Q414" s="250">
        <f t="shared" ref="Q414:Q415" si="642">N414-F414</f>
        <v>0</v>
      </c>
      <c r="R414" s="252" t="str">
        <f t="shared" si="627"/>
        <v>-</v>
      </c>
      <c r="S414" s="253">
        <f>[1]PB8!W414</f>
        <v>0</v>
      </c>
      <c r="T414" s="257"/>
      <c r="U414" s="10" t="str">
        <f t="shared" si="619"/>
        <v>-</v>
      </c>
      <c r="V414"/>
    </row>
    <row r="415" spans="1:22" ht="20.149999999999999" hidden="1" customHeight="1" outlineLevel="1">
      <c r="A415" s="308"/>
      <c r="B415" s="308"/>
      <c r="C415" s="309">
        <v>22012</v>
      </c>
      <c r="D415" s="310" t="s">
        <v>650</v>
      </c>
      <c r="E415" s="250"/>
      <c r="F415" s="250"/>
      <c r="G415" s="250"/>
      <c r="H415" s="250"/>
      <c r="I415" s="250"/>
      <c r="J415" s="250"/>
      <c r="K415" s="250">
        <f t="shared" si="641"/>
        <v>0</v>
      </c>
      <c r="L415" s="252" t="str">
        <f t="shared" si="628"/>
        <v>-</v>
      </c>
      <c r="M415" s="252" t="str">
        <f t="shared" si="629"/>
        <v>-</v>
      </c>
      <c r="N415" s="250">
        <f>[1]PB8!E415</f>
        <v>0</v>
      </c>
      <c r="O415" s="252" t="str">
        <f t="shared" si="630"/>
        <v>-</v>
      </c>
      <c r="P415" s="252" t="str">
        <f t="shared" si="631"/>
        <v>-</v>
      </c>
      <c r="Q415" s="250">
        <f t="shared" si="642"/>
        <v>0</v>
      </c>
      <c r="R415" s="252" t="str">
        <f t="shared" si="627"/>
        <v>-</v>
      </c>
      <c r="S415" s="253">
        <f>[1]PB8!W415</f>
        <v>0</v>
      </c>
      <c r="T415" s="257"/>
      <c r="U415" s="10" t="str">
        <f t="shared" si="619"/>
        <v>-</v>
      </c>
      <c r="V415"/>
    </row>
    <row r="416" spans="1:22" ht="20.149999999999999" hidden="1" customHeight="1" outlineLevel="1">
      <c r="A416" s="234">
        <v>23</v>
      </c>
      <c r="B416" s="234"/>
      <c r="C416" s="235"/>
      <c r="D416" s="236" t="s">
        <v>651</v>
      </c>
      <c r="E416" s="258">
        <f t="shared" ref="E416:K416" si="643">E417+E420+E424+E428+E437</f>
        <v>0</v>
      </c>
      <c r="F416" s="258">
        <f t="shared" si="643"/>
        <v>0</v>
      </c>
      <c r="G416" s="258">
        <f t="shared" si="643"/>
        <v>0</v>
      </c>
      <c r="H416" s="258">
        <f t="shared" si="643"/>
        <v>0</v>
      </c>
      <c r="I416" s="258">
        <f t="shared" si="643"/>
        <v>0</v>
      </c>
      <c r="J416" s="258">
        <f t="shared" si="643"/>
        <v>0</v>
      </c>
      <c r="K416" s="258">
        <f t="shared" si="643"/>
        <v>0</v>
      </c>
      <c r="L416" s="259" t="str">
        <f t="shared" si="628"/>
        <v>-</v>
      </c>
      <c r="M416" s="259" t="str">
        <f t="shared" si="629"/>
        <v>-</v>
      </c>
      <c r="N416" s="258">
        <f t="shared" ref="N416" si="644">N417+N420+N424+N428+N437</f>
        <v>0</v>
      </c>
      <c r="O416" s="259" t="str">
        <f t="shared" si="630"/>
        <v>-</v>
      </c>
      <c r="P416" s="259" t="str">
        <f t="shared" si="631"/>
        <v>-</v>
      </c>
      <c r="Q416" s="258">
        <f t="shared" ref="Q416" si="645">Q417+Q420+Q424+Q428+Q437</f>
        <v>0</v>
      </c>
      <c r="R416" s="259" t="str">
        <f t="shared" si="627"/>
        <v>-</v>
      </c>
      <c r="S416" s="260">
        <f t="shared" ref="S416" si="646">S417+S420+S424+S428+S437</f>
        <v>0</v>
      </c>
      <c r="T416" s="261"/>
      <c r="U416" s="10" t="str">
        <f t="shared" si="619"/>
        <v>-</v>
      </c>
      <c r="V416"/>
    </row>
    <row r="417" spans="1:22" ht="20.149999999999999" hidden="1" customHeight="1" outlineLevel="1">
      <c r="A417" s="308"/>
      <c r="B417" s="290">
        <v>2300</v>
      </c>
      <c r="C417" s="290"/>
      <c r="D417" s="291" t="s">
        <v>652</v>
      </c>
      <c r="E417" s="243">
        <f t="shared" ref="E417" si="647">SUM(E418:E419)</f>
        <v>0</v>
      </c>
      <c r="F417" s="243">
        <f t="shared" ref="F417:K417" si="648">SUM(F418:F419)</f>
        <v>0</v>
      </c>
      <c r="G417" s="243">
        <f t="shared" si="648"/>
        <v>0</v>
      </c>
      <c r="H417" s="243">
        <f t="shared" si="648"/>
        <v>0</v>
      </c>
      <c r="I417" s="243">
        <f t="shared" si="648"/>
        <v>0</v>
      </c>
      <c r="J417" s="243">
        <f t="shared" si="648"/>
        <v>0</v>
      </c>
      <c r="K417" s="243">
        <f t="shared" si="648"/>
        <v>0</v>
      </c>
      <c r="L417" s="244" t="str">
        <f t="shared" si="628"/>
        <v>-</v>
      </c>
      <c r="M417" s="244" t="str">
        <f t="shared" si="629"/>
        <v>-</v>
      </c>
      <c r="N417" s="243">
        <f t="shared" ref="N417" si="649">SUM(N418:N419)</f>
        <v>0</v>
      </c>
      <c r="O417" s="244" t="str">
        <f t="shared" si="630"/>
        <v>-</v>
      </c>
      <c r="P417" s="244" t="str">
        <f t="shared" si="631"/>
        <v>-</v>
      </c>
      <c r="Q417" s="243">
        <f t="shared" ref="Q417" si="650">SUM(Q418:Q419)</f>
        <v>0</v>
      </c>
      <c r="R417" s="244" t="str">
        <f t="shared" si="627"/>
        <v>-</v>
      </c>
      <c r="S417" s="245">
        <f t="shared" ref="S417" si="651">SUM(S418:S419)</f>
        <v>0</v>
      </c>
      <c r="T417" s="246"/>
      <c r="U417" s="10" t="str">
        <f t="shared" si="619"/>
        <v>-</v>
      </c>
      <c r="V417"/>
    </row>
    <row r="418" spans="1:22" ht="20.149999999999999" hidden="1" customHeight="1" outlineLevel="1">
      <c r="A418" s="308"/>
      <c r="B418" s="308"/>
      <c r="C418" s="309">
        <v>23003</v>
      </c>
      <c r="D418" s="310" t="s">
        <v>653</v>
      </c>
      <c r="E418" s="250"/>
      <c r="F418" s="250"/>
      <c r="G418" s="250"/>
      <c r="H418" s="250"/>
      <c r="I418" s="250"/>
      <c r="J418" s="250"/>
      <c r="K418" s="250">
        <f t="shared" ref="K418:K419" si="652">SUM(I418:J418)</f>
        <v>0</v>
      </c>
      <c r="L418" s="252" t="str">
        <f t="shared" si="628"/>
        <v>-</v>
      </c>
      <c r="M418" s="252" t="str">
        <f t="shared" si="629"/>
        <v>-</v>
      </c>
      <c r="N418" s="250">
        <f>[1]PB8!E418</f>
        <v>0</v>
      </c>
      <c r="O418" s="252" t="str">
        <f t="shared" si="630"/>
        <v>-</v>
      </c>
      <c r="P418" s="252" t="str">
        <f t="shared" si="631"/>
        <v>-</v>
      </c>
      <c r="Q418" s="250">
        <f t="shared" ref="Q418:Q419" si="653">N418-F418</f>
        <v>0</v>
      </c>
      <c r="R418" s="252" t="str">
        <f t="shared" si="627"/>
        <v>-</v>
      </c>
      <c r="S418" s="253">
        <f>[1]PB8!W418</f>
        <v>0</v>
      </c>
      <c r="T418" s="257"/>
      <c r="U418" s="10" t="str">
        <f t="shared" si="619"/>
        <v>-</v>
      </c>
      <c r="V418"/>
    </row>
    <row r="419" spans="1:22" ht="20.149999999999999" hidden="1" customHeight="1" outlineLevel="1">
      <c r="A419" s="308"/>
      <c r="B419" s="308"/>
      <c r="C419" s="309">
        <v>23005</v>
      </c>
      <c r="D419" s="310" t="s">
        <v>654</v>
      </c>
      <c r="E419" s="250"/>
      <c r="F419" s="250"/>
      <c r="G419" s="250"/>
      <c r="H419" s="250"/>
      <c r="I419" s="250"/>
      <c r="J419" s="250"/>
      <c r="K419" s="250">
        <f t="shared" si="652"/>
        <v>0</v>
      </c>
      <c r="L419" s="252" t="str">
        <f t="shared" si="628"/>
        <v>-</v>
      </c>
      <c r="M419" s="252" t="str">
        <f t="shared" si="629"/>
        <v>-</v>
      </c>
      <c r="N419" s="250">
        <f>[1]PB8!E419</f>
        <v>0</v>
      </c>
      <c r="O419" s="252" t="str">
        <f t="shared" si="630"/>
        <v>-</v>
      </c>
      <c r="P419" s="252" t="str">
        <f t="shared" si="631"/>
        <v>-</v>
      </c>
      <c r="Q419" s="250">
        <f t="shared" si="653"/>
        <v>0</v>
      </c>
      <c r="R419" s="252" t="str">
        <f t="shared" si="627"/>
        <v>-</v>
      </c>
      <c r="S419" s="253">
        <f>[1]PB8!W419</f>
        <v>0</v>
      </c>
      <c r="T419" s="257"/>
      <c r="U419" s="10" t="str">
        <f t="shared" si="619"/>
        <v>-</v>
      </c>
      <c r="V419"/>
    </row>
    <row r="420" spans="1:22" ht="20.149999999999999" hidden="1" customHeight="1" outlineLevel="1">
      <c r="A420" s="308"/>
      <c r="B420" s="290">
        <v>2302</v>
      </c>
      <c r="C420" s="290"/>
      <c r="D420" s="291" t="s">
        <v>655</v>
      </c>
      <c r="E420" s="243">
        <f t="shared" ref="E420:K420" si="654">SUM(E421:E423)</f>
        <v>0</v>
      </c>
      <c r="F420" s="243">
        <f t="shared" si="654"/>
        <v>0</v>
      </c>
      <c r="G420" s="243">
        <f t="shared" si="654"/>
        <v>0</v>
      </c>
      <c r="H420" s="243">
        <f t="shared" si="654"/>
        <v>0</v>
      </c>
      <c r="I420" s="243">
        <f t="shared" si="654"/>
        <v>0</v>
      </c>
      <c r="J420" s="243">
        <f t="shared" si="654"/>
        <v>0</v>
      </c>
      <c r="K420" s="243">
        <f t="shared" si="654"/>
        <v>0</v>
      </c>
      <c r="L420" s="244" t="str">
        <f t="shared" si="628"/>
        <v>-</v>
      </c>
      <c r="M420" s="244" t="str">
        <f t="shared" si="629"/>
        <v>-</v>
      </c>
      <c r="N420" s="243">
        <f t="shared" ref="N420" si="655">SUM(N421:N423)</f>
        <v>0</v>
      </c>
      <c r="O420" s="244" t="str">
        <f t="shared" si="630"/>
        <v>-</v>
      </c>
      <c r="P420" s="244" t="str">
        <f t="shared" si="631"/>
        <v>-</v>
      </c>
      <c r="Q420" s="243">
        <f t="shared" ref="Q420" si="656">SUM(Q421:Q423)</f>
        <v>0</v>
      </c>
      <c r="R420" s="244" t="str">
        <f t="shared" si="627"/>
        <v>-</v>
      </c>
      <c r="S420" s="245">
        <f t="shared" ref="S420" si="657">SUM(S421:S423)</f>
        <v>0</v>
      </c>
      <c r="T420" s="246"/>
      <c r="U420" s="10" t="str">
        <f t="shared" si="619"/>
        <v>-</v>
      </c>
      <c r="V420"/>
    </row>
    <row r="421" spans="1:22" ht="20.149999999999999" hidden="1" customHeight="1" outlineLevel="1">
      <c r="A421" s="308"/>
      <c r="B421" s="308"/>
      <c r="C421" s="309">
        <v>23021</v>
      </c>
      <c r="D421" s="310" t="s">
        <v>656</v>
      </c>
      <c r="E421" s="250"/>
      <c r="F421" s="250"/>
      <c r="G421" s="250"/>
      <c r="H421" s="250"/>
      <c r="I421" s="250"/>
      <c r="J421" s="250"/>
      <c r="K421" s="250">
        <f t="shared" ref="K421:K423" si="658">SUM(I421:J421)</f>
        <v>0</v>
      </c>
      <c r="L421" s="252" t="str">
        <f t="shared" si="628"/>
        <v>-</v>
      </c>
      <c r="M421" s="252" t="str">
        <f t="shared" si="629"/>
        <v>-</v>
      </c>
      <c r="N421" s="250">
        <f>[1]PB8!E421</f>
        <v>0</v>
      </c>
      <c r="O421" s="252" t="str">
        <f t="shared" si="630"/>
        <v>-</v>
      </c>
      <c r="P421" s="252" t="str">
        <f t="shared" si="631"/>
        <v>-</v>
      </c>
      <c r="Q421" s="250">
        <f t="shared" ref="Q421:Q423" si="659">N421-F421</f>
        <v>0</v>
      </c>
      <c r="R421" s="252" t="str">
        <f t="shared" si="627"/>
        <v>-</v>
      </c>
      <c r="S421" s="253">
        <f>[1]PB8!W421</f>
        <v>0</v>
      </c>
      <c r="T421" s="257"/>
      <c r="U421" s="10" t="str">
        <f t="shared" si="619"/>
        <v>-</v>
      </c>
      <c r="V421"/>
    </row>
    <row r="422" spans="1:22" ht="20.149999999999999" hidden="1" customHeight="1" outlineLevel="1">
      <c r="A422" s="308"/>
      <c r="B422" s="308"/>
      <c r="C422" s="309">
        <v>23022</v>
      </c>
      <c r="D422" s="310" t="s">
        <v>657</v>
      </c>
      <c r="E422" s="250"/>
      <c r="F422" s="250"/>
      <c r="G422" s="250"/>
      <c r="H422" s="250"/>
      <c r="I422" s="250"/>
      <c r="J422" s="250"/>
      <c r="K422" s="250">
        <f t="shared" si="658"/>
        <v>0</v>
      </c>
      <c r="L422" s="252" t="str">
        <f t="shared" si="628"/>
        <v>-</v>
      </c>
      <c r="M422" s="252" t="str">
        <f t="shared" si="629"/>
        <v>-</v>
      </c>
      <c r="N422" s="250">
        <f>[1]PB8!E422</f>
        <v>0</v>
      </c>
      <c r="O422" s="252" t="str">
        <f t="shared" si="630"/>
        <v>-</v>
      </c>
      <c r="P422" s="252" t="str">
        <f t="shared" si="631"/>
        <v>-</v>
      </c>
      <c r="Q422" s="250">
        <f t="shared" si="659"/>
        <v>0</v>
      </c>
      <c r="R422" s="252" t="str">
        <f t="shared" si="627"/>
        <v>-</v>
      </c>
      <c r="S422" s="253">
        <f>[1]PB8!W422</f>
        <v>0</v>
      </c>
      <c r="T422" s="257"/>
      <c r="U422" s="10" t="str">
        <f t="shared" si="619"/>
        <v>-</v>
      </c>
      <c r="V422"/>
    </row>
    <row r="423" spans="1:22" ht="20.149999999999999" hidden="1" customHeight="1" outlineLevel="1">
      <c r="A423" s="308"/>
      <c r="B423" s="308"/>
      <c r="C423" s="309">
        <v>23028</v>
      </c>
      <c r="D423" s="310" t="s">
        <v>658</v>
      </c>
      <c r="E423" s="250"/>
      <c r="F423" s="250"/>
      <c r="G423" s="250"/>
      <c r="H423" s="250"/>
      <c r="I423" s="250"/>
      <c r="J423" s="250"/>
      <c r="K423" s="250">
        <f t="shared" si="658"/>
        <v>0</v>
      </c>
      <c r="L423" s="252" t="str">
        <f t="shared" si="628"/>
        <v>-</v>
      </c>
      <c r="M423" s="252" t="str">
        <f t="shared" si="629"/>
        <v>-</v>
      </c>
      <c r="N423" s="250">
        <f>[1]PB8!E423</f>
        <v>0</v>
      </c>
      <c r="O423" s="252" t="str">
        <f t="shared" si="630"/>
        <v>-</v>
      </c>
      <c r="P423" s="252" t="str">
        <f t="shared" si="631"/>
        <v>-</v>
      </c>
      <c r="Q423" s="250">
        <f t="shared" si="659"/>
        <v>0</v>
      </c>
      <c r="R423" s="252" t="str">
        <f t="shared" si="627"/>
        <v>-</v>
      </c>
      <c r="S423" s="253">
        <f>[1]PB8!W423</f>
        <v>0</v>
      </c>
      <c r="T423" s="257"/>
      <c r="U423" s="10" t="str">
        <f t="shared" si="619"/>
        <v>-</v>
      </c>
      <c r="V423"/>
    </row>
    <row r="424" spans="1:22" ht="20.149999999999999" hidden="1" customHeight="1" outlineLevel="1">
      <c r="A424" s="308"/>
      <c r="B424" s="290">
        <v>2303</v>
      </c>
      <c r="C424" s="290"/>
      <c r="D424" s="291" t="s">
        <v>659</v>
      </c>
      <c r="E424" s="243">
        <f t="shared" ref="E424:K424" si="660">SUM(E425:E427)</f>
        <v>0</v>
      </c>
      <c r="F424" s="243">
        <f t="shared" si="660"/>
        <v>0</v>
      </c>
      <c r="G424" s="243">
        <f t="shared" si="660"/>
        <v>0</v>
      </c>
      <c r="H424" s="243">
        <f t="shared" si="660"/>
        <v>0</v>
      </c>
      <c r="I424" s="243">
        <f t="shared" si="660"/>
        <v>0</v>
      </c>
      <c r="J424" s="243">
        <f t="shared" si="660"/>
        <v>0</v>
      </c>
      <c r="K424" s="243">
        <f t="shared" si="660"/>
        <v>0</v>
      </c>
      <c r="L424" s="244" t="str">
        <f t="shared" si="628"/>
        <v>-</v>
      </c>
      <c r="M424" s="244" t="str">
        <f t="shared" si="629"/>
        <v>-</v>
      </c>
      <c r="N424" s="243">
        <f t="shared" ref="N424" si="661">SUM(N425:N427)</f>
        <v>0</v>
      </c>
      <c r="O424" s="244" t="str">
        <f t="shared" si="630"/>
        <v>-</v>
      </c>
      <c r="P424" s="244" t="str">
        <f t="shared" si="631"/>
        <v>-</v>
      </c>
      <c r="Q424" s="243">
        <f t="shared" ref="Q424" si="662">SUM(Q425:Q427)</f>
        <v>0</v>
      </c>
      <c r="R424" s="244" t="str">
        <f t="shared" si="627"/>
        <v>-</v>
      </c>
      <c r="S424" s="245">
        <f t="shared" ref="S424" si="663">SUM(S425:S427)</f>
        <v>0</v>
      </c>
      <c r="T424" s="246"/>
      <c r="U424" s="10" t="str">
        <f t="shared" si="619"/>
        <v>-</v>
      </c>
      <c r="V424"/>
    </row>
    <row r="425" spans="1:22" ht="20.149999999999999" hidden="1" customHeight="1" outlineLevel="1">
      <c r="A425" s="308"/>
      <c r="B425" s="308"/>
      <c r="C425" s="309">
        <v>23031</v>
      </c>
      <c r="D425" s="310" t="s">
        <v>660</v>
      </c>
      <c r="E425" s="250"/>
      <c r="F425" s="250"/>
      <c r="G425" s="250"/>
      <c r="H425" s="250"/>
      <c r="I425" s="250"/>
      <c r="J425" s="250"/>
      <c r="K425" s="250">
        <f t="shared" ref="K425:K427" si="664">SUM(I425:J425)</f>
        <v>0</v>
      </c>
      <c r="L425" s="252" t="str">
        <f t="shared" si="628"/>
        <v>-</v>
      </c>
      <c r="M425" s="252" t="str">
        <f t="shared" si="629"/>
        <v>-</v>
      </c>
      <c r="N425" s="250">
        <f>[1]PB8!E425</f>
        <v>0</v>
      </c>
      <c r="O425" s="252" t="str">
        <f t="shared" si="630"/>
        <v>-</v>
      </c>
      <c r="P425" s="252" t="str">
        <f t="shared" si="631"/>
        <v>-</v>
      </c>
      <c r="Q425" s="250">
        <f t="shared" ref="Q425:Q427" si="665">N425-F425</f>
        <v>0</v>
      </c>
      <c r="R425" s="252" t="str">
        <f t="shared" si="627"/>
        <v>-</v>
      </c>
      <c r="S425" s="253">
        <f>[1]PB8!W425</f>
        <v>0</v>
      </c>
      <c r="T425" s="257"/>
      <c r="U425" s="10" t="str">
        <f t="shared" si="619"/>
        <v>-</v>
      </c>
      <c r="V425"/>
    </row>
    <row r="426" spans="1:22" ht="20.149999999999999" hidden="1" customHeight="1" outlineLevel="1">
      <c r="A426" s="308"/>
      <c r="B426" s="308"/>
      <c r="C426" s="309">
        <v>23032</v>
      </c>
      <c r="D426" s="310" t="s">
        <v>661</v>
      </c>
      <c r="E426" s="250"/>
      <c r="F426" s="250"/>
      <c r="G426" s="250"/>
      <c r="H426" s="250"/>
      <c r="I426" s="250"/>
      <c r="J426" s="250"/>
      <c r="K426" s="250">
        <f t="shared" si="664"/>
        <v>0</v>
      </c>
      <c r="L426" s="252" t="str">
        <f t="shared" si="628"/>
        <v>-</v>
      </c>
      <c r="M426" s="252" t="str">
        <f t="shared" si="629"/>
        <v>-</v>
      </c>
      <c r="N426" s="250">
        <f>[1]PB8!E426</f>
        <v>0</v>
      </c>
      <c r="O426" s="252" t="str">
        <f t="shared" si="630"/>
        <v>-</v>
      </c>
      <c r="P426" s="252" t="str">
        <f t="shared" si="631"/>
        <v>-</v>
      </c>
      <c r="Q426" s="250">
        <f t="shared" si="665"/>
        <v>0</v>
      </c>
      <c r="R426" s="252" t="str">
        <f t="shared" si="627"/>
        <v>-</v>
      </c>
      <c r="S426" s="253">
        <f>[1]PB8!W426</f>
        <v>0</v>
      </c>
      <c r="T426" s="257"/>
      <c r="U426" s="10" t="str">
        <f t="shared" si="619"/>
        <v>-</v>
      </c>
      <c r="V426"/>
    </row>
    <row r="427" spans="1:22" ht="20.149999999999999" hidden="1" customHeight="1" outlineLevel="1">
      <c r="A427" s="308"/>
      <c r="B427" s="308"/>
      <c r="C427" s="309">
        <v>23038</v>
      </c>
      <c r="D427" s="310" t="s">
        <v>662</v>
      </c>
      <c r="E427" s="250"/>
      <c r="F427" s="250"/>
      <c r="G427" s="250"/>
      <c r="H427" s="250"/>
      <c r="I427" s="250"/>
      <c r="J427" s="250"/>
      <c r="K427" s="250">
        <f t="shared" si="664"/>
        <v>0</v>
      </c>
      <c r="L427" s="252" t="str">
        <f t="shared" si="628"/>
        <v>-</v>
      </c>
      <c r="M427" s="252" t="str">
        <f t="shared" si="629"/>
        <v>-</v>
      </c>
      <c r="N427" s="250">
        <f>[1]PB8!E427</f>
        <v>0</v>
      </c>
      <c r="O427" s="252" t="str">
        <f t="shared" si="630"/>
        <v>-</v>
      </c>
      <c r="P427" s="252" t="str">
        <f t="shared" si="631"/>
        <v>-</v>
      </c>
      <c r="Q427" s="250">
        <f t="shared" si="665"/>
        <v>0</v>
      </c>
      <c r="R427" s="252" t="str">
        <f t="shared" si="627"/>
        <v>-</v>
      </c>
      <c r="S427" s="253">
        <f>[1]PB8!W427</f>
        <v>0</v>
      </c>
      <c r="T427" s="257"/>
      <c r="U427" s="10" t="str">
        <f t="shared" si="619"/>
        <v>-</v>
      </c>
      <c r="V427"/>
    </row>
    <row r="428" spans="1:22" ht="20.149999999999999" hidden="1" customHeight="1" outlineLevel="1">
      <c r="A428" s="308"/>
      <c r="B428" s="290">
        <v>2304</v>
      </c>
      <c r="C428" s="290"/>
      <c r="D428" s="291" t="s">
        <v>663</v>
      </c>
      <c r="E428" s="243">
        <f t="shared" ref="E428:K428" si="666">SUM(E429:E436)</f>
        <v>0</v>
      </c>
      <c r="F428" s="243">
        <f t="shared" si="666"/>
        <v>0</v>
      </c>
      <c r="G428" s="243">
        <f t="shared" si="666"/>
        <v>0</v>
      </c>
      <c r="H428" s="243">
        <f t="shared" si="666"/>
        <v>0</v>
      </c>
      <c r="I428" s="243">
        <f t="shared" si="666"/>
        <v>0</v>
      </c>
      <c r="J428" s="243">
        <f t="shared" si="666"/>
        <v>0</v>
      </c>
      <c r="K428" s="243">
        <f t="shared" si="666"/>
        <v>0</v>
      </c>
      <c r="L428" s="244" t="str">
        <f t="shared" si="628"/>
        <v>-</v>
      </c>
      <c r="M428" s="244" t="str">
        <f t="shared" si="629"/>
        <v>-</v>
      </c>
      <c r="N428" s="243">
        <f t="shared" ref="N428" si="667">SUM(N429:N436)</f>
        <v>0</v>
      </c>
      <c r="O428" s="244" t="str">
        <f t="shared" si="630"/>
        <v>-</v>
      </c>
      <c r="P428" s="244" t="str">
        <f t="shared" si="631"/>
        <v>-</v>
      </c>
      <c r="Q428" s="243">
        <f t="shared" ref="Q428" si="668">SUM(Q429:Q436)</f>
        <v>0</v>
      </c>
      <c r="R428" s="244" t="str">
        <f t="shared" si="627"/>
        <v>-</v>
      </c>
      <c r="S428" s="245">
        <f t="shared" ref="S428" si="669">SUM(S429:S436)</f>
        <v>0</v>
      </c>
      <c r="T428" s="246"/>
      <c r="U428" s="10" t="str">
        <f t="shared" si="619"/>
        <v>-</v>
      </c>
      <c r="V428"/>
    </row>
    <row r="429" spans="1:22" ht="20.149999999999999" hidden="1" customHeight="1" outlineLevel="1">
      <c r="A429" s="308"/>
      <c r="B429" s="308"/>
      <c r="C429" s="309">
        <v>23041</v>
      </c>
      <c r="D429" s="310" t="s">
        <v>664</v>
      </c>
      <c r="E429" s="250"/>
      <c r="F429" s="250"/>
      <c r="G429" s="250"/>
      <c r="H429" s="250"/>
      <c r="I429" s="250"/>
      <c r="J429" s="250"/>
      <c r="K429" s="250">
        <f t="shared" ref="K429:K436" si="670">SUM(I429:J429)</f>
        <v>0</v>
      </c>
      <c r="L429" s="252" t="str">
        <f t="shared" si="628"/>
        <v>-</v>
      </c>
      <c r="M429" s="252" t="str">
        <f t="shared" si="629"/>
        <v>-</v>
      </c>
      <c r="N429" s="250">
        <f>[1]PB8!E429</f>
        <v>0</v>
      </c>
      <c r="O429" s="252" t="str">
        <f t="shared" si="630"/>
        <v>-</v>
      </c>
      <c r="P429" s="252" t="str">
        <f t="shared" si="631"/>
        <v>-</v>
      </c>
      <c r="Q429" s="250">
        <f t="shared" ref="Q429:Q436" si="671">N429-F429</f>
        <v>0</v>
      </c>
      <c r="R429" s="252" t="str">
        <f t="shared" si="627"/>
        <v>-</v>
      </c>
      <c r="S429" s="253">
        <f>[1]PB8!W429</f>
        <v>0</v>
      </c>
      <c r="T429" s="257"/>
      <c r="U429" s="10" t="str">
        <f t="shared" si="619"/>
        <v>-</v>
      </c>
      <c r="V429"/>
    </row>
    <row r="430" spans="1:22" ht="20.149999999999999" hidden="1" customHeight="1" outlineLevel="1">
      <c r="A430" s="308"/>
      <c r="B430" s="308"/>
      <c r="C430" s="309">
        <v>23042</v>
      </c>
      <c r="D430" s="310" t="s">
        <v>665</v>
      </c>
      <c r="E430" s="250"/>
      <c r="F430" s="250"/>
      <c r="G430" s="250"/>
      <c r="H430" s="250"/>
      <c r="I430" s="250"/>
      <c r="J430" s="250"/>
      <c r="K430" s="250">
        <f t="shared" si="670"/>
        <v>0</v>
      </c>
      <c r="L430" s="252" t="str">
        <f t="shared" si="628"/>
        <v>-</v>
      </c>
      <c r="M430" s="252" t="str">
        <f t="shared" si="629"/>
        <v>-</v>
      </c>
      <c r="N430" s="250">
        <f>[1]PB8!E430</f>
        <v>0</v>
      </c>
      <c r="O430" s="252" t="str">
        <f t="shared" si="630"/>
        <v>-</v>
      </c>
      <c r="P430" s="252" t="str">
        <f t="shared" si="631"/>
        <v>-</v>
      </c>
      <c r="Q430" s="250">
        <f t="shared" si="671"/>
        <v>0</v>
      </c>
      <c r="R430" s="252" t="str">
        <f t="shared" si="627"/>
        <v>-</v>
      </c>
      <c r="S430" s="253">
        <f>[1]PB8!W430</f>
        <v>0</v>
      </c>
      <c r="T430" s="257"/>
      <c r="U430" s="10" t="str">
        <f t="shared" si="619"/>
        <v>-</v>
      </c>
      <c r="V430"/>
    </row>
    <row r="431" spans="1:22" ht="20.149999999999999" hidden="1" customHeight="1" outlineLevel="1">
      <c r="A431" s="308"/>
      <c r="B431" s="308"/>
      <c r="C431" s="309">
        <v>23043</v>
      </c>
      <c r="D431" s="310" t="s">
        <v>666</v>
      </c>
      <c r="E431" s="250"/>
      <c r="F431" s="250"/>
      <c r="G431" s="250"/>
      <c r="H431" s="250"/>
      <c r="I431" s="250"/>
      <c r="J431" s="250"/>
      <c r="K431" s="250">
        <f t="shared" si="670"/>
        <v>0</v>
      </c>
      <c r="L431" s="252" t="str">
        <f t="shared" si="628"/>
        <v>-</v>
      </c>
      <c r="M431" s="252" t="str">
        <f t="shared" si="629"/>
        <v>-</v>
      </c>
      <c r="N431" s="250">
        <f>[1]PB8!E431</f>
        <v>0</v>
      </c>
      <c r="O431" s="252" t="str">
        <f t="shared" si="630"/>
        <v>-</v>
      </c>
      <c r="P431" s="252" t="str">
        <f t="shared" si="631"/>
        <v>-</v>
      </c>
      <c r="Q431" s="250">
        <f t="shared" si="671"/>
        <v>0</v>
      </c>
      <c r="R431" s="252" t="str">
        <f t="shared" si="627"/>
        <v>-</v>
      </c>
      <c r="S431" s="253">
        <f>[1]PB8!W431</f>
        <v>0</v>
      </c>
      <c r="T431" s="257"/>
      <c r="U431" s="10" t="str">
        <f t="shared" si="619"/>
        <v>-</v>
      </c>
      <c r="V431"/>
    </row>
    <row r="432" spans="1:22" ht="20.149999999999999" hidden="1" customHeight="1" outlineLevel="1">
      <c r="A432" s="308"/>
      <c r="B432" s="308"/>
      <c r="C432" s="309">
        <v>23044</v>
      </c>
      <c r="D432" s="310" t="s">
        <v>667</v>
      </c>
      <c r="E432" s="250"/>
      <c r="F432" s="250"/>
      <c r="G432" s="250"/>
      <c r="H432" s="250"/>
      <c r="I432" s="250"/>
      <c r="J432" s="250"/>
      <c r="K432" s="250">
        <f t="shared" si="670"/>
        <v>0</v>
      </c>
      <c r="L432" s="252" t="str">
        <f t="shared" si="628"/>
        <v>-</v>
      </c>
      <c r="M432" s="252" t="str">
        <f t="shared" si="629"/>
        <v>-</v>
      </c>
      <c r="N432" s="250">
        <f>[1]PB8!E432</f>
        <v>0</v>
      </c>
      <c r="O432" s="252" t="str">
        <f t="shared" si="630"/>
        <v>-</v>
      </c>
      <c r="P432" s="252" t="str">
        <f t="shared" si="631"/>
        <v>-</v>
      </c>
      <c r="Q432" s="250">
        <f t="shared" si="671"/>
        <v>0</v>
      </c>
      <c r="R432" s="252" t="str">
        <f t="shared" si="627"/>
        <v>-</v>
      </c>
      <c r="S432" s="253">
        <f>[1]PB8!W432</f>
        <v>0</v>
      </c>
      <c r="T432" s="257"/>
      <c r="U432" s="10" t="str">
        <f t="shared" si="619"/>
        <v>-</v>
      </c>
      <c r="V432"/>
    </row>
    <row r="433" spans="1:22" ht="20.149999999999999" hidden="1" customHeight="1" outlineLevel="1">
      <c r="A433" s="308"/>
      <c r="B433" s="308"/>
      <c r="C433" s="309">
        <v>23045</v>
      </c>
      <c r="D433" s="310" t="s">
        <v>668</v>
      </c>
      <c r="E433" s="250"/>
      <c r="F433" s="250"/>
      <c r="G433" s="250"/>
      <c r="H433" s="250"/>
      <c r="I433" s="250"/>
      <c r="J433" s="250"/>
      <c r="K433" s="250">
        <f t="shared" si="670"/>
        <v>0</v>
      </c>
      <c r="L433" s="252" t="str">
        <f t="shared" si="628"/>
        <v>-</v>
      </c>
      <c r="M433" s="252" t="str">
        <f t="shared" si="629"/>
        <v>-</v>
      </c>
      <c r="N433" s="250">
        <f>[1]PB8!E433</f>
        <v>0</v>
      </c>
      <c r="O433" s="252" t="str">
        <f t="shared" si="630"/>
        <v>-</v>
      </c>
      <c r="P433" s="252" t="str">
        <f t="shared" si="631"/>
        <v>-</v>
      </c>
      <c r="Q433" s="250">
        <f t="shared" si="671"/>
        <v>0</v>
      </c>
      <c r="R433" s="252" t="str">
        <f t="shared" si="627"/>
        <v>-</v>
      </c>
      <c r="S433" s="253">
        <f>[1]PB8!W433</f>
        <v>0</v>
      </c>
      <c r="T433" s="257"/>
      <c r="U433" s="10" t="str">
        <f t="shared" si="619"/>
        <v>-</v>
      </c>
      <c r="V433"/>
    </row>
    <row r="434" spans="1:22" ht="20.149999999999999" hidden="1" customHeight="1" outlineLevel="1">
      <c r="A434" s="308"/>
      <c r="B434" s="308"/>
      <c r="C434" s="309">
        <v>23046</v>
      </c>
      <c r="D434" s="310" t="s">
        <v>669</v>
      </c>
      <c r="E434" s="250"/>
      <c r="F434" s="250"/>
      <c r="G434" s="250"/>
      <c r="H434" s="250"/>
      <c r="I434" s="250"/>
      <c r="J434" s="250"/>
      <c r="K434" s="250">
        <f t="shared" si="670"/>
        <v>0</v>
      </c>
      <c r="L434" s="252" t="str">
        <f t="shared" si="628"/>
        <v>-</v>
      </c>
      <c r="M434" s="252" t="str">
        <f t="shared" si="629"/>
        <v>-</v>
      </c>
      <c r="N434" s="250">
        <f>[1]PB8!E434</f>
        <v>0</v>
      </c>
      <c r="O434" s="252" t="str">
        <f t="shared" si="630"/>
        <v>-</v>
      </c>
      <c r="P434" s="252" t="str">
        <f t="shared" si="631"/>
        <v>-</v>
      </c>
      <c r="Q434" s="250">
        <f t="shared" si="671"/>
        <v>0</v>
      </c>
      <c r="R434" s="252" t="str">
        <f t="shared" si="627"/>
        <v>-</v>
      </c>
      <c r="S434" s="253">
        <f>[1]PB8!W434</f>
        <v>0</v>
      </c>
      <c r="T434" s="257"/>
      <c r="U434" s="10" t="str">
        <f t="shared" si="619"/>
        <v>-</v>
      </c>
      <c r="V434"/>
    </row>
    <row r="435" spans="1:22" ht="20.149999999999999" hidden="1" customHeight="1" outlineLevel="1">
      <c r="A435" s="308"/>
      <c r="B435" s="308"/>
      <c r="C435" s="309">
        <v>23047</v>
      </c>
      <c r="D435" s="310" t="s">
        <v>670</v>
      </c>
      <c r="E435" s="250"/>
      <c r="F435" s="250"/>
      <c r="G435" s="250"/>
      <c r="H435" s="250"/>
      <c r="I435" s="250"/>
      <c r="J435" s="250"/>
      <c r="K435" s="250">
        <f t="shared" si="670"/>
        <v>0</v>
      </c>
      <c r="L435" s="252" t="str">
        <f t="shared" si="628"/>
        <v>-</v>
      </c>
      <c r="M435" s="252" t="str">
        <f t="shared" si="629"/>
        <v>-</v>
      </c>
      <c r="N435" s="250">
        <f>[1]PB8!E435</f>
        <v>0</v>
      </c>
      <c r="O435" s="252" t="str">
        <f t="shared" si="630"/>
        <v>-</v>
      </c>
      <c r="P435" s="252" t="str">
        <f t="shared" si="631"/>
        <v>-</v>
      </c>
      <c r="Q435" s="250">
        <f t="shared" si="671"/>
        <v>0</v>
      </c>
      <c r="R435" s="252" t="str">
        <f t="shared" si="627"/>
        <v>-</v>
      </c>
      <c r="S435" s="253">
        <f>[1]PB8!W435</f>
        <v>0</v>
      </c>
      <c r="T435" s="257"/>
      <c r="U435" s="10" t="str">
        <f t="shared" si="619"/>
        <v>-</v>
      </c>
      <c r="V435"/>
    </row>
    <row r="436" spans="1:22" ht="20.149999999999999" hidden="1" customHeight="1" outlineLevel="1">
      <c r="A436" s="308"/>
      <c r="B436" s="308"/>
      <c r="C436" s="309">
        <v>23048</v>
      </c>
      <c r="D436" s="310" t="s">
        <v>671</v>
      </c>
      <c r="E436" s="250"/>
      <c r="F436" s="250"/>
      <c r="G436" s="250"/>
      <c r="H436" s="250"/>
      <c r="I436" s="250"/>
      <c r="J436" s="250"/>
      <c r="K436" s="250">
        <f t="shared" si="670"/>
        <v>0</v>
      </c>
      <c r="L436" s="252" t="str">
        <f t="shared" si="628"/>
        <v>-</v>
      </c>
      <c r="M436" s="252" t="str">
        <f t="shared" si="629"/>
        <v>-</v>
      </c>
      <c r="N436" s="250">
        <f>[1]PB8!E436</f>
        <v>0</v>
      </c>
      <c r="O436" s="252" t="str">
        <f t="shared" si="630"/>
        <v>-</v>
      </c>
      <c r="P436" s="252" t="str">
        <f t="shared" si="631"/>
        <v>-</v>
      </c>
      <c r="Q436" s="250">
        <f t="shared" si="671"/>
        <v>0</v>
      </c>
      <c r="R436" s="252" t="str">
        <f t="shared" si="627"/>
        <v>-</v>
      </c>
      <c r="S436" s="253">
        <f>[1]PB8!W436</f>
        <v>0</v>
      </c>
      <c r="T436" s="257"/>
      <c r="U436" s="10" t="str">
        <f t="shared" si="619"/>
        <v>-</v>
      </c>
      <c r="V436"/>
    </row>
    <row r="437" spans="1:22" ht="20.149999999999999" hidden="1" customHeight="1" outlineLevel="1">
      <c r="A437" s="308"/>
      <c r="B437" s="290">
        <v>2305</v>
      </c>
      <c r="C437" s="290"/>
      <c r="D437" s="291" t="s">
        <v>672</v>
      </c>
      <c r="E437" s="243">
        <f t="shared" ref="E437:K437" si="672">SUM(E438:E441)</f>
        <v>0</v>
      </c>
      <c r="F437" s="243">
        <f t="shared" si="672"/>
        <v>0</v>
      </c>
      <c r="G437" s="243">
        <f t="shared" si="672"/>
        <v>0</v>
      </c>
      <c r="H437" s="243">
        <f t="shared" si="672"/>
        <v>0</v>
      </c>
      <c r="I437" s="243">
        <f t="shared" si="672"/>
        <v>0</v>
      </c>
      <c r="J437" s="243">
        <f t="shared" si="672"/>
        <v>0</v>
      </c>
      <c r="K437" s="243">
        <f t="shared" si="672"/>
        <v>0</v>
      </c>
      <c r="L437" s="244" t="str">
        <f t="shared" si="628"/>
        <v>-</v>
      </c>
      <c r="M437" s="244" t="str">
        <f t="shared" si="629"/>
        <v>-</v>
      </c>
      <c r="N437" s="243">
        <f t="shared" ref="N437" si="673">SUM(N438:N441)</f>
        <v>0</v>
      </c>
      <c r="O437" s="244" t="str">
        <f t="shared" si="630"/>
        <v>-</v>
      </c>
      <c r="P437" s="244" t="str">
        <f t="shared" si="631"/>
        <v>-</v>
      </c>
      <c r="Q437" s="243">
        <f t="shared" ref="Q437" si="674">SUM(Q438:Q441)</f>
        <v>0</v>
      </c>
      <c r="R437" s="244" t="str">
        <f t="shared" si="627"/>
        <v>-</v>
      </c>
      <c r="S437" s="245">
        <f t="shared" ref="S437" si="675">SUM(S438:S441)</f>
        <v>0</v>
      </c>
      <c r="T437" s="246"/>
      <c r="U437" s="10" t="str">
        <f t="shared" si="619"/>
        <v>-</v>
      </c>
      <c r="V437"/>
    </row>
    <row r="438" spans="1:22" ht="20.149999999999999" hidden="1" customHeight="1" outlineLevel="1">
      <c r="A438" s="308"/>
      <c r="B438" s="308"/>
      <c r="C438" s="309">
        <v>23051</v>
      </c>
      <c r="D438" s="310" t="s">
        <v>673</v>
      </c>
      <c r="E438" s="250"/>
      <c r="F438" s="250"/>
      <c r="G438" s="250"/>
      <c r="H438" s="250"/>
      <c r="I438" s="250"/>
      <c r="J438" s="250"/>
      <c r="K438" s="250">
        <f t="shared" ref="K438:K441" si="676">SUM(I438:J438)</f>
        <v>0</v>
      </c>
      <c r="L438" s="252" t="str">
        <f t="shared" si="628"/>
        <v>-</v>
      </c>
      <c r="M438" s="252" t="str">
        <f t="shared" si="629"/>
        <v>-</v>
      </c>
      <c r="N438" s="250">
        <f>[1]PB8!E438</f>
        <v>0</v>
      </c>
      <c r="O438" s="252" t="str">
        <f t="shared" si="630"/>
        <v>-</v>
      </c>
      <c r="P438" s="252" t="str">
        <f t="shared" si="631"/>
        <v>-</v>
      </c>
      <c r="Q438" s="250">
        <f t="shared" ref="Q438:Q441" si="677">N438-F438</f>
        <v>0</v>
      </c>
      <c r="R438" s="252" t="str">
        <f t="shared" si="627"/>
        <v>-</v>
      </c>
      <c r="S438" s="253">
        <f>[1]PB8!W438</f>
        <v>0</v>
      </c>
      <c r="T438" s="257"/>
      <c r="U438" s="10" t="str">
        <f t="shared" si="619"/>
        <v>-</v>
      </c>
      <c r="V438"/>
    </row>
    <row r="439" spans="1:22" ht="20.149999999999999" hidden="1" customHeight="1" outlineLevel="1">
      <c r="A439" s="308"/>
      <c r="B439" s="308"/>
      <c r="C439" s="309">
        <v>23052</v>
      </c>
      <c r="D439" s="310" t="s">
        <v>674</v>
      </c>
      <c r="E439" s="250"/>
      <c r="F439" s="250"/>
      <c r="G439" s="250"/>
      <c r="H439" s="250"/>
      <c r="I439" s="250"/>
      <c r="J439" s="250"/>
      <c r="K439" s="250">
        <f t="shared" si="676"/>
        <v>0</v>
      </c>
      <c r="L439" s="252" t="str">
        <f t="shared" si="628"/>
        <v>-</v>
      </c>
      <c r="M439" s="252" t="str">
        <f t="shared" si="629"/>
        <v>-</v>
      </c>
      <c r="N439" s="250">
        <f>[1]PB8!E439</f>
        <v>0</v>
      </c>
      <c r="O439" s="252" t="str">
        <f t="shared" si="630"/>
        <v>-</v>
      </c>
      <c r="P439" s="252" t="str">
        <f t="shared" si="631"/>
        <v>-</v>
      </c>
      <c r="Q439" s="250">
        <f t="shared" si="677"/>
        <v>0</v>
      </c>
      <c r="R439" s="252" t="str">
        <f t="shared" si="627"/>
        <v>-</v>
      </c>
      <c r="S439" s="253">
        <f>[1]PB8!W439</f>
        <v>0</v>
      </c>
      <c r="T439" s="257"/>
      <c r="U439" s="10" t="str">
        <f t="shared" si="619"/>
        <v>-</v>
      </c>
      <c r="V439"/>
    </row>
    <row r="440" spans="1:22" ht="20.149999999999999" hidden="1" customHeight="1" outlineLevel="1">
      <c r="A440" s="308"/>
      <c r="B440" s="308"/>
      <c r="C440" s="309">
        <v>23053</v>
      </c>
      <c r="D440" s="310" t="s">
        <v>675</v>
      </c>
      <c r="E440" s="250"/>
      <c r="F440" s="250"/>
      <c r="G440" s="250"/>
      <c r="H440" s="250"/>
      <c r="I440" s="250"/>
      <c r="J440" s="250"/>
      <c r="K440" s="250">
        <f t="shared" si="676"/>
        <v>0</v>
      </c>
      <c r="L440" s="252" t="str">
        <f t="shared" si="628"/>
        <v>-</v>
      </c>
      <c r="M440" s="252" t="str">
        <f t="shared" si="629"/>
        <v>-</v>
      </c>
      <c r="N440" s="250">
        <f>[1]PB8!E440</f>
        <v>0</v>
      </c>
      <c r="O440" s="252" t="str">
        <f t="shared" si="630"/>
        <v>-</v>
      </c>
      <c r="P440" s="252" t="str">
        <f t="shared" si="631"/>
        <v>-</v>
      </c>
      <c r="Q440" s="250">
        <f t="shared" si="677"/>
        <v>0</v>
      </c>
      <c r="R440" s="252" t="str">
        <f t="shared" si="627"/>
        <v>-</v>
      </c>
      <c r="S440" s="253">
        <f>[1]PB8!W440</f>
        <v>0</v>
      </c>
      <c r="T440" s="257"/>
      <c r="U440" s="10" t="str">
        <f t="shared" si="619"/>
        <v>-</v>
      </c>
      <c r="V440"/>
    </row>
    <row r="441" spans="1:22" ht="20.149999999999999" hidden="1" customHeight="1" outlineLevel="1">
      <c r="A441" s="308"/>
      <c r="B441" s="308"/>
      <c r="C441" s="309">
        <v>23058</v>
      </c>
      <c r="D441" s="310" t="s">
        <v>676</v>
      </c>
      <c r="E441" s="250"/>
      <c r="F441" s="250"/>
      <c r="G441" s="250"/>
      <c r="H441" s="250"/>
      <c r="I441" s="250"/>
      <c r="J441" s="250"/>
      <c r="K441" s="250">
        <f t="shared" si="676"/>
        <v>0</v>
      </c>
      <c r="L441" s="252" t="str">
        <f t="shared" si="628"/>
        <v>-</v>
      </c>
      <c r="M441" s="252" t="str">
        <f t="shared" si="629"/>
        <v>-</v>
      </c>
      <c r="N441" s="250">
        <f>[1]PB8!E441</f>
        <v>0</v>
      </c>
      <c r="O441" s="252" t="str">
        <f t="shared" si="630"/>
        <v>-</v>
      </c>
      <c r="P441" s="252" t="str">
        <f t="shared" si="631"/>
        <v>-</v>
      </c>
      <c r="Q441" s="250">
        <f t="shared" si="677"/>
        <v>0</v>
      </c>
      <c r="R441" s="252" t="str">
        <f t="shared" si="627"/>
        <v>-</v>
      </c>
      <c r="S441" s="253">
        <f>[1]PB8!W441</f>
        <v>0</v>
      </c>
      <c r="T441" s="257"/>
      <c r="U441" s="10" t="str">
        <f t="shared" si="619"/>
        <v>-</v>
      </c>
      <c r="V441"/>
    </row>
    <row r="442" spans="1:22" ht="20.149999999999999" hidden="1" customHeight="1" outlineLevel="1">
      <c r="A442" s="234">
        <v>26</v>
      </c>
      <c r="B442" s="234"/>
      <c r="C442" s="235"/>
      <c r="D442" s="236" t="s">
        <v>263</v>
      </c>
      <c r="E442" s="258">
        <f t="shared" ref="E442:K442" si="678">E443+E447</f>
        <v>0</v>
      </c>
      <c r="F442" s="258">
        <f t="shared" si="678"/>
        <v>0</v>
      </c>
      <c r="G442" s="258">
        <f t="shared" si="678"/>
        <v>0</v>
      </c>
      <c r="H442" s="258">
        <f t="shared" si="678"/>
        <v>0</v>
      </c>
      <c r="I442" s="258">
        <f t="shared" si="678"/>
        <v>0</v>
      </c>
      <c r="J442" s="258">
        <f t="shared" si="678"/>
        <v>0</v>
      </c>
      <c r="K442" s="258">
        <f t="shared" si="678"/>
        <v>0</v>
      </c>
      <c r="L442" s="259" t="str">
        <f t="shared" si="628"/>
        <v>-</v>
      </c>
      <c r="M442" s="259" t="str">
        <f t="shared" si="629"/>
        <v>-</v>
      </c>
      <c r="N442" s="258">
        <f t="shared" ref="N442" si="679">N443+N447</f>
        <v>0</v>
      </c>
      <c r="O442" s="259" t="str">
        <f t="shared" si="630"/>
        <v>-</v>
      </c>
      <c r="P442" s="259" t="str">
        <f t="shared" si="631"/>
        <v>-</v>
      </c>
      <c r="Q442" s="258">
        <f t="shared" ref="Q442" si="680">Q443+Q447</f>
        <v>0</v>
      </c>
      <c r="R442" s="259" t="str">
        <f t="shared" si="627"/>
        <v>-</v>
      </c>
      <c r="S442" s="260">
        <f t="shared" ref="S442" si="681">S443+S447</f>
        <v>0</v>
      </c>
      <c r="T442" s="261"/>
      <c r="U442" s="10" t="str">
        <f t="shared" si="619"/>
        <v>-</v>
      </c>
      <c r="V442"/>
    </row>
    <row r="443" spans="1:22" ht="20.149999999999999" hidden="1" customHeight="1" outlineLevel="1">
      <c r="A443" s="308"/>
      <c r="B443" s="290">
        <v>2601</v>
      </c>
      <c r="C443" s="290"/>
      <c r="D443" s="291" t="s">
        <v>264</v>
      </c>
      <c r="E443" s="243">
        <f t="shared" ref="E443:K443" si="682">SUM(E444:E446)</f>
        <v>0</v>
      </c>
      <c r="F443" s="243">
        <f t="shared" si="682"/>
        <v>0</v>
      </c>
      <c r="G443" s="243">
        <f t="shared" si="682"/>
        <v>0</v>
      </c>
      <c r="H443" s="243">
        <f t="shared" si="682"/>
        <v>0</v>
      </c>
      <c r="I443" s="243">
        <f t="shared" si="682"/>
        <v>0</v>
      </c>
      <c r="J443" s="243">
        <f t="shared" si="682"/>
        <v>0</v>
      </c>
      <c r="K443" s="243">
        <f t="shared" si="682"/>
        <v>0</v>
      </c>
      <c r="L443" s="244" t="str">
        <f t="shared" si="628"/>
        <v>-</v>
      </c>
      <c r="M443" s="244" t="str">
        <f t="shared" si="629"/>
        <v>-</v>
      </c>
      <c r="N443" s="243">
        <f t="shared" ref="N443" si="683">SUM(N444:N446)</f>
        <v>0</v>
      </c>
      <c r="O443" s="244" t="str">
        <f t="shared" si="630"/>
        <v>-</v>
      </c>
      <c r="P443" s="244" t="str">
        <f t="shared" si="631"/>
        <v>-</v>
      </c>
      <c r="Q443" s="243">
        <f t="shared" ref="Q443" si="684">SUM(Q444:Q446)</f>
        <v>0</v>
      </c>
      <c r="R443" s="244" t="str">
        <f t="shared" si="627"/>
        <v>-</v>
      </c>
      <c r="S443" s="245">
        <f t="shared" ref="S443" si="685">SUM(S444:S446)</f>
        <v>0</v>
      </c>
      <c r="T443" s="246"/>
      <c r="U443" s="10" t="str">
        <f t="shared" si="619"/>
        <v>-</v>
      </c>
      <c r="V443"/>
    </row>
    <row r="444" spans="1:22" ht="20.149999999999999" hidden="1" customHeight="1" outlineLevel="1">
      <c r="A444" s="308"/>
      <c r="B444" s="308"/>
      <c r="C444" s="309">
        <v>26011</v>
      </c>
      <c r="D444" s="310" t="s">
        <v>677</v>
      </c>
      <c r="E444" s="250"/>
      <c r="F444" s="250"/>
      <c r="G444" s="250"/>
      <c r="H444" s="250"/>
      <c r="I444" s="250"/>
      <c r="J444" s="250"/>
      <c r="K444" s="250">
        <f t="shared" ref="K444:K446" si="686">SUM(I444:J444)</f>
        <v>0</v>
      </c>
      <c r="L444" s="252" t="str">
        <f t="shared" si="628"/>
        <v>-</v>
      </c>
      <c r="M444" s="252" t="str">
        <f t="shared" si="629"/>
        <v>-</v>
      </c>
      <c r="N444" s="250">
        <f>[1]PB8!E444</f>
        <v>0</v>
      </c>
      <c r="O444" s="252" t="str">
        <f t="shared" si="630"/>
        <v>-</v>
      </c>
      <c r="P444" s="252" t="str">
        <f t="shared" si="631"/>
        <v>-</v>
      </c>
      <c r="Q444" s="250">
        <f t="shared" ref="Q444:Q446" si="687">N444-F444</f>
        <v>0</v>
      </c>
      <c r="R444" s="252" t="str">
        <f t="shared" si="627"/>
        <v>-</v>
      </c>
      <c r="S444" s="253">
        <f>[1]PB8!W444</f>
        <v>0</v>
      </c>
      <c r="T444" s="257"/>
      <c r="U444" s="10" t="str">
        <f t="shared" si="619"/>
        <v>-</v>
      </c>
      <c r="V444"/>
    </row>
    <row r="445" spans="1:22" ht="20.149999999999999" hidden="1" customHeight="1" outlineLevel="1">
      <c r="A445" s="308"/>
      <c r="B445" s="308"/>
      <c r="C445" s="309">
        <v>26012</v>
      </c>
      <c r="D445" s="310" t="s">
        <v>266</v>
      </c>
      <c r="E445" s="250"/>
      <c r="F445" s="250"/>
      <c r="G445" s="250"/>
      <c r="H445" s="250"/>
      <c r="I445" s="250"/>
      <c r="J445" s="250"/>
      <c r="K445" s="250">
        <f t="shared" si="686"/>
        <v>0</v>
      </c>
      <c r="L445" s="252" t="str">
        <f t="shared" si="628"/>
        <v>-</v>
      </c>
      <c r="M445" s="252" t="str">
        <f t="shared" si="629"/>
        <v>-</v>
      </c>
      <c r="N445" s="250">
        <f>[1]PB8!E445</f>
        <v>0</v>
      </c>
      <c r="O445" s="252" t="str">
        <f t="shared" si="630"/>
        <v>-</v>
      </c>
      <c r="P445" s="252" t="str">
        <f t="shared" si="631"/>
        <v>-</v>
      </c>
      <c r="Q445" s="250">
        <f t="shared" si="687"/>
        <v>0</v>
      </c>
      <c r="R445" s="252" t="str">
        <f t="shared" si="627"/>
        <v>-</v>
      </c>
      <c r="S445" s="253">
        <f>[1]PB8!W445</f>
        <v>0</v>
      </c>
      <c r="T445" s="257"/>
      <c r="U445" s="10" t="str">
        <f t="shared" si="619"/>
        <v>-</v>
      </c>
      <c r="V445"/>
    </row>
    <row r="446" spans="1:22" ht="20.149999999999999" hidden="1" customHeight="1" outlineLevel="1">
      <c r="A446" s="308"/>
      <c r="B446" s="308"/>
      <c r="C446" s="309">
        <v>26013</v>
      </c>
      <c r="D446" s="310" t="s">
        <v>267</v>
      </c>
      <c r="E446" s="250"/>
      <c r="F446" s="250"/>
      <c r="G446" s="250"/>
      <c r="H446" s="250"/>
      <c r="I446" s="250"/>
      <c r="J446" s="250"/>
      <c r="K446" s="250">
        <f t="shared" si="686"/>
        <v>0</v>
      </c>
      <c r="L446" s="252" t="str">
        <f t="shared" si="628"/>
        <v>-</v>
      </c>
      <c r="M446" s="252" t="str">
        <f t="shared" si="629"/>
        <v>-</v>
      </c>
      <c r="N446" s="250">
        <f>[1]PB8!E446</f>
        <v>0</v>
      </c>
      <c r="O446" s="252" t="str">
        <f t="shared" si="630"/>
        <v>-</v>
      </c>
      <c r="P446" s="252" t="str">
        <f t="shared" si="631"/>
        <v>-</v>
      </c>
      <c r="Q446" s="250">
        <f t="shared" si="687"/>
        <v>0</v>
      </c>
      <c r="R446" s="252" t="str">
        <f t="shared" si="627"/>
        <v>-</v>
      </c>
      <c r="S446" s="253">
        <f>[1]PB8!W446</f>
        <v>0</v>
      </c>
      <c r="T446" s="257"/>
      <c r="U446" s="10" t="str">
        <f t="shared" si="619"/>
        <v>-</v>
      </c>
      <c r="V446"/>
    </row>
    <row r="447" spans="1:22" ht="20.149999999999999" hidden="1" customHeight="1" outlineLevel="1">
      <c r="A447" s="308"/>
      <c r="B447" s="290">
        <v>2602</v>
      </c>
      <c r="C447" s="290"/>
      <c r="D447" s="291" t="s">
        <v>678</v>
      </c>
      <c r="E447" s="243">
        <f t="shared" ref="E447:K447" si="688">SUM(E448:E450)</f>
        <v>0</v>
      </c>
      <c r="F447" s="243">
        <f t="shared" si="688"/>
        <v>0</v>
      </c>
      <c r="G447" s="243">
        <f t="shared" si="688"/>
        <v>0</v>
      </c>
      <c r="H447" s="243">
        <f t="shared" si="688"/>
        <v>0</v>
      </c>
      <c r="I447" s="243">
        <f t="shared" si="688"/>
        <v>0</v>
      </c>
      <c r="J447" s="243">
        <f t="shared" si="688"/>
        <v>0</v>
      </c>
      <c r="K447" s="243">
        <f t="shared" si="688"/>
        <v>0</v>
      </c>
      <c r="L447" s="244" t="str">
        <f t="shared" si="628"/>
        <v>-</v>
      </c>
      <c r="M447" s="244" t="str">
        <f t="shared" si="629"/>
        <v>-</v>
      </c>
      <c r="N447" s="243">
        <f t="shared" ref="N447" si="689">SUM(N448:N450)</f>
        <v>0</v>
      </c>
      <c r="O447" s="244" t="str">
        <f t="shared" si="630"/>
        <v>-</v>
      </c>
      <c r="P447" s="244" t="str">
        <f t="shared" si="631"/>
        <v>-</v>
      </c>
      <c r="Q447" s="243">
        <f t="shared" ref="Q447" si="690">SUM(Q448:Q450)</f>
        <v>0</v>
      </c>
      <c r="R447" s="244" t="str">
        <f t="shared" si="627"/>
        <v>-</v>
      </c>
      <c r="S447" s="245">
        <f t="shared" ref="S447" si="691">SUM(S448:S450)</f>
        <v>0</v>
      </c>
      <c r="T447" s="246"/>
      <c r="U447" s="10" t="str">
        <f t="shared" si="619"/>
        <v>-</v>
      </c>
      <c r="V447"/>
    </row>
    <row r="448" spans="1:22" ht="20.149999999999999" hidden="1" customHeight="1" outlineLevel="1">
      <c r="A448" s="308"/>
      <c r="B448" s="308"/>
      <c r="C448" s="309">
        <v>26021</v>
      </c>
      <c r="D448" s="310" t="s">
        <v>679</v>
      </c>
      <c r="E448" s="250"/>
      <c r="F448" s="250"/>
      <c r="G448" s="250"/>
      <c r="H448" s="250"/>
      <c r="I448" s="250"/>
      <c r="J448" s="250"/>
      <c r="K448" s="250">
        <f t="shared" ref="K448:K450" si="692">SUM(I448:J448)</f>
        <v>0</v>
      </c>
      <c r="L448" s="252" t="str">
        <f t="shared" si="628"/>
        <v>-</v>
      </c>
      <c r="M448" s="252" t="str">
        <f t="shared" si="629"/>
        <v>-</v>
      </c>
      <c r="N448" s="250">
        <f>[1]PB8!E448</f>
        <v>0</v>
      </c>
      <c r="O448" s="252" t="str">
        <f t="shared" si="630"/>
        <v>-</v>
      </c>
      <c r="P448" s="252" t="str">
        <f t="shared" si="631"/>
        <v>-</v>
      </c>
      <c r="Q448" s="250">
        <f t="shared" ref="Q448:Q450" si="693">N448-F448</f>
        <v>0</v>
      </c>
      <c r="R448" s="252" t="str">
        <f t="shared" si="627"/>
        <v>-</v>
      </c>
      <c r="S448" s="253">
        <f>[1]PB8!W448</f>
        <v>0</v>
      </c>
      <c r="T448" s="257"/>
      <c r="U448" s="10" t="str">
        <f t="shared" si="619"/>
        <v>-</v>
      </c>
      <c r="V448"/>
    </row>
    <row r="449" spans="1:22" ht="20.149999999999999" hidden="1" customHeight="1" outlineLevel="1">
      <c r="A449" s="308"/>
      <c r="B449" s="308"/>
      <c r="C449" s="309">
        <v>26022</v>
      </c>
      <c r="D449" s="310" t="s">
        <v>680</v>
      </c>
      <c r="E449" s="250"/>
      <c r="F449" s="250"/>
      <c r="G449" s="250"/>
      <c r="H449" s="250"/>
      <c r="I449" s="250"/>
      <c r="J449" s="250"/>
      <c r="K449" s="250">
        <f t="shared" si="692"/>
        <v>0</v>
      </c>
      <c r="L449" s="252" t="str">
        <f t="shared" si="628"/>
        <v>-</v>
      </c>
      <c r="M449" s="252" t="str">
        <f t="shared" si="629"/>
        <v>-</v>
      </c>
      <c r="N449" s="250">
        <f>[1]PB8!E449</f>
        <v>0</v>
      </c>
      <c r="O449" s="252" t="str">
        <f t="shared" si="630"/>
        <v>-</v>
      </c>
      <c r="P449" s="252" t="str">
        <f t="shared" si="631"/>
        <v>-</v>
      </c>
      <c r="Q449" s="250">
        <f t="shared" si="693"/>
        <v>0</v>
      </c>
      <c r="R449" s="252" t="str">
        <f t="shared" si="627"/>
        <v>-</v>
      </c>
      <c r="S449" s="253">
        <f>[1]PB8!W449</f>
        <v>0</v>
      </c>
      <c r="T449" s="257"/>
      <c r="U449" s="10" t="str">
        <f t="shared" si="619"/>
        <v>-</v>
      </c>
      <c r="V449"/>
    </row>
    <row r="450" spans="1:22" ht="20.149999999999999" hidden="1" customHeight="1" outlineLevel="1">
      <c r="A450" s="308"/>
      <c r="B450" s="308"/>
      <c r="C450" s="309">
        <v>26023</v>
      </c>
      <c r="D450" s="310" t="s">
        <v>681</v>
      </c>
      <c r="E450" s="250"/>
      <c r="F450" s="250"/>
      <c r="G450" s="250"/>
      <c r="H450" s="250"/>
      <c r="I450" s="250"/>
      <c r="J450" s="250"/>
      <c r="K450" s="250">
        <f t="shared" si="692"/>
        <v>0</v>
      </c>
      <c r="L450" s="252" t="str">
        <f t="shared" si="628"/>
        <v>-</v>
      </c>
      <c r="M450" s="252" t="str">
        <f t="shared" si="629"/>
        <v>-</v>
      </c>
      <c r="N450" s="250">
        <f>[1]PB8!E450</f>
        <v>0</v>
      </c>
      <c r="O450" s="252" t="str">
        <f t="shared" si="630"/>
        <v>-</v>
      </c>
      <c r="P450" s="252" t="str">
        <f t="shared" si="631"/>
        <v>-</v>
      </c>
      <c r="Q450" s="250">
        <f t="shared" si="693"/>
        <v>0</v>
      </c>
      <c r="R450" s="252" t="str">
        <f t="shared" si="627"/>
        <v>-</v>
      </c>
      <c r="S450" s="253">
        <f>[1]PB8!W450</f>
        <v>0</v>
      </c>
      <c r="T450" s="257"/>
      <c r="U450" s="10" t="str">
        <f t="shared" si="619"/>
        <v>-</v>
      </c>
      <c r="V450"/>
    </row>
    <row r="451" spans="1:22" ht="20.149999999999999" hidden="1" customHeight="1" outlineLevel="1">
      <c r="A451" s="234">
        <v>27</v>
      </c>
      <c r="B451" s="234"/>
      <c r="C451" s="235"/>
      <c r="D451" s="236" t="s">
        <v>268</v>
      </c>
      <c r="E451" s="258">
        <f t="shared" ref="E451:K451" si="694">E452+E457</f>
        <v>0</v>
      </c>
      <c r="F451" s="258">
        <f t="shared" si="694"/>
        <v>0</v>
      </c>
      <c r="G451" s="258">
        <f t="shared" si="694"/>
        <v>0</v>
      </c>
      <c r="H451" s="258">
        <f t="shared" si="694"/>
        <v>0</v>
      </c>
      <c r="I451" s="258">
        <f t="shared" si="694"/>
        <v>0</v>
      </c>
      <c r="J451" s="258">
        <f t="shared" si="694"/>
        <v>0</v>
      </c>
      <c r="K451" s="258">
        <f t="shared" si="694"/>
        <v>0</v>
      </c>
      <c r="L451" s="259" t="str">
        <f t="shared" si="628"/>
        <v>-</v>
      </c>
      <c r="M451" s="259" t="str">
        <f t="shared" si="629"/>
        <v>-</v>
      </c>
      <c r="N451" s="258">
        <f t="shared" ref="N451" si="695">N452+N457</f>
        <v>0</v>
      </c>
      <c r="O451" s="259" t="str">
        <f t="shared" si="630"/>
        <v>-</v>
      </c>
      <c r="P451" s="259" t="str">
        <f t="shared" si="631"/>
        <v>-</v>
      </c>
      <c r="Q451" s="258">
        <f t="shared" ref="Q451" si="696">Q452+Q457</f>
        <v>0</v>
      </c>
      <c r="R451" s="259" t="str">
        <f t="shared" si="627"/>
        <v>-</v>
      </c>
      <c r="S451" s="260">
        <f t="shared" ref="S451" si="697">S452+S457</f>
        <v>0</v>
      </c>
      <c r="T451" s="261"/>
      <c r="U451" s="10" t="str">
        <f t="shared" si="619"/>
        <v>-</v>
      </c>
      <c r="V451"/>
    </row>
    <row r="452" spans="1:22" ht="20.149999999999999" hidden="1" customHeight="1" outlineLevel="1">
      <c r="A452" s="308"/>
      <c r="B452" s="290">
        <v>2701</v>
      </c>
      <c r="C452" s="290"/>
      <c r="D452" s="291" t="s">
        <v>682</v>
      </c>
      <c r="E452" s="243">
        <f t="shared" ref="E452:K452" si="698">SUM(E453:E456)</f>
        <v>0</v>
      </c>
      <c r="F452" s="243">
        <f t="shared" si="698"/>
        <v>0</v>
      </c>
      <c r="G452" s="243">
        <f t="shared" si="698"/>
        <v>0</v>
      </c>
      <c r="H452" s="243">
        <f t="shared" si="698"/>
        <v>0</v>
      </c>
      <c r="I452" s="243">
        <f t="shared" si="698"/>
        <v>0</v>
      </c>
      <c r="J452" s="243">
        <f t="shared" si="698"/>
        <v>0</v>
      </c>
      <c r="K452" s="243">
        <f t="shared" si="698"/>
        <v>0</v>
      </c>
      <c r="L452" s="244" t="str">
        <f t="shared" si="628"/>
        <v>-</v>
      </c>
      <c r="M452" s="244" t="str">
        <f t="shared" si="629"/>
        <v>-</v>
      </c>
      <c r="N452" s="243">
        <f t="shared" ref="N452" si="699">SUM(N453:N456)</f>
        <v>0</v>
      </c>
      <c r="O452" s="244" t="str">
        <f t="shared" si="630"/>
        <v>-</v>
      </c>
      <c r="P452" s="244" t="str">
        <f t="shared" si="631"/>
        <v>-</v>
      </c>
      <c r="Q452" s="243">
        <f t="shared" ref="Q452" si="700">SUM(Q453:Q456)</f>
        <v>0</v>
      </c>
      <c r="R452" s="244" t="str">
        <f t="shared" si="627"/>
        <v>-</v>
      </c>
      <c r="S452" s="245">
        <f t="shared" ref="S452" si="701">SUM(S453:S456)</f>
        <v>0</v>
      </c>
      <c r="T452" s="246"/>
      <c r="U452" s="10" t="str">
        <f t="shared" si="619"/>
        <v>-</v>
      </c>
      <c r="V452"/>
    </row>
    <row r="453" spans="1:22" ht="20.149999999999999" hidden="1" customHeight="1" outlineLevel="1">
      <c r="A453" s="308"/>
      <c r="B453" s="308"/>
      <c r="C453" s="309">
        <v>27011</v>
      </c>
      <c r="D453" s="310" t="s">
        <v>683</v>
      </c>
      <c r="E453" s="250"/>
      <c r="F453" s="250"/>
      <c r="G453" s="250"/>
      <c r="H453" s="250"/>
      <c r="I453" s="250"/>
      <c r="J453" s="250"/>
      <c r="K453" s="250">
        <f t="shared" ref="K453:K456" si="702">SUM(I453:J453)</f>
        <v>0</v>
      </c>
      <c r="L453" s="252" t="str">
        <f t="shared" si="628"/>
        <v>-</v>
      </c>
      <c r="M453" s="252" t="str">
        <f t="shared" si="629"/>
        <v>-</v>
      </c>
      <c r="N453" s="250">
        <f>[1]PB8!E453</f>
        <v>0</v>
      </c>
      <c r="O453" s="252" t="str">
        <f t="shared" si="630"/>
        <v>-</v>
      </c>
      <c r="P453" s="252" t="str">
        <f t="shared" si="631"/>
        <v>-</v>
      </c>
      <c r="Q453" s="250">
        <f t="shared" ref="Q453:Q456" si="703">N453-F453</f>
        <v>0</v>
      </c>
      <c r="R453" s="252" t="str">
        <f t="shared" si="627"/>
        <v>-</v>
      </c>
      <c r="S453" s="253">
        <f>[1]PB8!W453</f>
        <v>0</v>
      </c>
      <c r="T453" s="257"/>
      <c r="U453" s="10" t="str">
        <f t="shared" si="619"/>
        <v>-</v>
      </c>
      <c r="V453"/>
    </row>
    <row r="454" spans="1:22" ht="20.149999999999999" hidden="1" customHeight="1" outlineLevel="1">
      <c r="A454" s="308"/>
      <c r="B454" s="308"/>
      <c r="C454" s="309">
        <v>27012</v>
      </c>
      <c r="D454" s="310" t="s">
        <v>684</v>
      </c>
      <c r="E454" s="250"/>
      <c r="F454" s="250"/>
      <c r="G454" s="250"/>
      <c r="H454" s="250"/>
      <c r="I454" s="250"/>
      <c r="J454" s="250"/>
      <c r="K454" s="250">
        <f t="shared" si="702"/>
        <v>0</v>
      </c>
      <c r="L454" s="252" t="str">
        <f t="shared" si="628"/>
        <v>-</v>
      </c>
      <c r="M454" s="252" t="str">
        <f t="shared" si="629"/>
        <v>-</v>
      </c>
      <c r="N454" s="250">
        <f>[1]PB8!E454</f>
        <v>0</v>
      </c>
      <c r="O454" s="252" t="str">
        <f t="shared" si="630"/>
        <v>-</v>
      </c>
      <c r="P454" s="252" t="str">
        <f t="shared" si="631"/>
        <v>-</v>
      </c>
      <c r="Q454" s="250">
        <f t="shared" si="703"/>
        <v>0</v>
      </c>
      <c r="R454" s="252" t="str">
        <f t="shared" si="627"/>
        <v>-</v>
      </c>
      <c r="S454" s="253">
        <f>[1]PB8!W454</f>
        <v>0</v>
      </c>
      <c r="T454" s="257"/>
      <c r="U454" s="10" t="str">
        <f t="shared" si="619"/>
        <v>-</v>
      </c>
      <c r="V454"/>
    </row>
    <row r="455" spans="1:22" ht="20.149999999999999" hidden="1" customHeight="1" outlineLevel="1">
      <c r="A455" s="308"/>
      <c r="B455" s="308"/>
      <c r="C455" s="309">
        <v>27013</v>
      </c>
      <c r="D455" s="310" t="s">
        <v>685</v>
      </c>
      <c r="E455" s="250"/>
      <c r="F455" s="250"/>
      <c r="G455" s="250"/>
      <c r="H455" s="250"/>
      <c r="I455" s="250"/>
      <c r="J455" s="250"/>
      <c r="K455" s="250">
        <f t="shared" si="702"/>
        <v>0</v>
      </c>
      <c r="L455" s="252" t="str">
        <f t="shared" si="628"/>
        <v>-</v>
      </c>
      <c r="M455" s="252" t="str">
        <f t="shared" si="629"/>
        <v>-</v>
      </c>
      <c r="N455" s="250">
        <f>[1]PB8!E455</f>
        <v>0</v>
      </c>
      <c r="O455" s="252" t="str">
        <f t="shared" si="630"/>
        <v>-</v>
      </c>
      <c r="P455" s="252" t="str">
        <f t="shared" si="631"/>
        <v>-</v>
      </c>
      <c r="Q455" s="250">
        <f t="shared" si="703"/>
        <v>0</v>
      </c>
      <c r="R455" s="252" t="str">
        <f t="shared" si="627"/>
        <v>-</v>
      </c>
      <c r="S455" s="253">
        <f>[1]PB8!W455</f>
        <v>0</v>
      </c>
      <c r="T455" s="257"/>
      <c r="U455" s="10" t="str">
        <f t="shared" si="619"/>
        <v>-</v>
      </c>
      <c r="V455"/>
    </row>
    <row r="456" spans="1:22" ht="20.149999999999999" hidden="1" customHeight="1" outlineLevel="1">
      <c r="A456" s="308"/>
      <c r="B456" s="308"/>
      <c r="C456" s="309">
        <v>27018</v>
      </c>
      <c r="D456" s="310" t="s">
        <v>273</v>
      </c>
      <c r="E456" s="250"/>
      <c r="F456" s="250"/>
      <c r="G456" s="250"/>
      <c r="H456" s="250"/>
      <c r="I456" s="250"/>
      <c r="J456" s="250"/>
      <c r="K456" s="250">
        <f t="shared" si="702"/>
        <v>0</v>
      </c>
      <c r="L456" s="252" t="str">
        <f t="shared" si="628"/>
        <v>-</v>
      </c>
      <c r="M456" s="252" t="str">
        <f t="shared" si="629"/>
        <v>-</v>
      </c>
      <c r="N456" s="250">
        <f>[1]PB8!E456</f>
        <v>0</v>
      </c>
      <c r="O456" s="252" t="str">
        <f t="shared" si="630"/>
        <v>-</v>
      </c>
      <c r="P456" s="252" t="str">
        <f t="shared" si="631"/>
        <v>-</v>
      </c>
      <c r="Q456" s="250">
        <f t="shared" si="703"/>
        <v>0</v>
      </c>
      <c r="R456" s="252" t="str">
        <f t="shared" si="627"/>
        <v>-</v>
      </c>
      <c r="S456" s="253">
        <f>[1]PB8!W456</f>
        <v>0</v>
      </c>
      <c r="T456" s="257"/>
      <c r="U456" s="10" t="str">
        <f t="shared" si="619"/>
        <v>-</v>
      </c>
      <c r="V456"/>
    </row>
    <row r="457" spans="1:22" ht="20.149999999999999" hidden="1" customHeight="1" outlineLevel="1">
      <c r="A457" s="308"/>
      <c r="B457" s="290">
        <v>2702</v>
      </c>
      <c r="C457" s="290"/>
      <c r="D457" s="291" t="s">
        <v>686</v>
      </c>
      <c r="E457" s="243">
        <f t="shared" ref="E457:K457" si="704">SUM(E458:E459)</f>
        <v>0</v>
      </c>
      <c r="F457" s="243">
        <f t="shared" si="704"/>
        <v>0</v>
      </c>
      <c r="G457" s="243">
        <f t="shared" si="704"/>
        <v>0</v>
      </c>
      <c r="H457" s="243">
        <f t="shared" si="704"/>
        <v>0</v>
      </c>
      <c r="I457" s="243">
        <f t="shared" si="704"/>
        <v>0</v>
      </c>
      <c r="J457" s="243">
        <f t="shared" si="704"/>
        <v>0</v>
      </c>
      <c r="K457" s="243">
        <f t="shared" si="704"/>
        <v>0</v>
      </c>
      <c r="L457" s="244" t="str">
        <f t="shared" si="628"/>
        <v>-</v>
      </c>
      <c r="M457" s="244" t="str">
        <f t="shared" si="629"/>
        <v>-</v>
      </c>
      <c r="N457" s="243">
        <f t="shared" ref="N457" si="705">SUM(N458:N459)</f>
        <v>0</v>
      </c>
      <c r="O457" s="244" t="str">
        <f t="shared" si="630"/>
        <v>-</v>
      </c>
      <c r="P457" s="244" t="str">
        <f t="shared" si="631"/>
        <v>-</v>
      </c>
      <c r="Q457" s="243">
        <f t="shared" ref="Q457" si="706">SUM(Q458:Q459)</f>
        <v>0</v>
      </c>
      <c r="R457" s="244" t="str">
        <f t="shared" si="627"/>
        <v>-</v>
      </c>
      <c r="S457" s="245">
        <f t="shared" ref="S457" si="707">SUM(S458:S459)</f>
        <v>0</v>
      </c>
      <c r="T457" s="246"/>
      <c r="U457" s="10" t="str">
        <f t="shared" si="619"/>
        <v>-</v>
      </c>
      <c r="V457"/>
    </row>
    <row r="458" spans="1:22" ht="20.149999999999999" hidden="1" customHeight="1" outlineLevel="1">
      <c r="A458" s="308"/>
      <c r="B458" s="308"/>
      <c r="C458" s="309">
        <v>27022</v>
      </c>
      <c r="D458" s="310" t="s">
        <v>687</v>
      </c>
      <c r="E458" s="250"/>
      <c r="F458" s="250"/>
      <c r="G458" s="250"/>
      <c r="H458" s="250"/>
      <c r="I458" s="250"/>
      <c r="J458" s="250"/>
      <c r="K458" s="250">
        <f t="shared" ref="K458:K459" si="708">SUM(I458:J458)</f>
        <v>0</v>
      </c>
      <c r="L458" s="252" t="str">
        <f t="shared" si="628"/>
        <v>-</v>
      </c>
      <c r="M458" s="252" t="str">
        <f t="shared" si="629"/>
        <v>-</v>
      </c>
      <c r="N458" s="250">
        <f>[1]PB8!E458</f>
        <v>0</v>
      </c>
      <c r="O458" s="252" t="str">
        <f t="shared" si="630"/>
        <v>-</v>
      </c>
      <c r="P458" s="252" t="str">
        <f t="shared" si="631"/>
        <v>-</v>
      </c>
      <c r="Q458" s="250">
        <f t="shared" ref="Q458:Q459" si="709">N458-F458</f>
        <v>0</v>
      </c>
      <c r="R458" s="252" t="str">
        <f t="shared" si="627"/>
        <v>-</v>
      </c>
      <c r="S458" s="253">
        <f>[1]PB8!W458</f>
        <v>0</v>
      </c>
      <c r="T458" s="257"/>
      <c r="U458" s="10" t="str">
        <f t="shared" si="619"/>
        <v>-</v>
      </c>
      <c r="V458"/>
    </row>
    <row r="459" spans="1:22" ht="20.149999999999999" hidden="1" customHeight="1" outlineLevel="1">
      <c r="A459" s="311"/>
      <c r="B459" s="311"/>
      <c r="C459" s="312">
        <v>27028</v>
      </c>
      <c r="D459" s="313" t="s">
        <v>50</v>
      </c>
      <c r="E459" s="250"/>
      <c r="F459" s="250"/>
      <c r="G459" s="250"/>
      <c r="H459" s="250"/>
      <c r="I459" s="250"/>
      <c r="J459" s="250"/>
      <c r="K459" s="250">
        <f t="shared" si="708"/>
        <v>0</v>
      </c>
      <c r="L459" s="252" t="str">
        <f t="shared" si="628"/>
        <v>-</v>
      </c>
      <c r="M459" s="252" t="str">
        <f t="shared" si="629"/>
        <v>-</v>
      </c>
      <c r="N459" s="250">
        <f>[1]PB8!E459</f>
        <v>0</v>
      </c>
      <c r="O459" s="252" t="str">
        <f t="shared" si="630"/>
        <v>-</v>
      </c>
      <c r="P459" s="252" t="str">
        <f t="shared" si="631"/>
        <v>-</v>
      </c>
      <c r="Q459" s="250">
        <f t="shared" si="709"/>
        <v>0</v>
      </c>
      <c r="R459" s="252" t="str">
        <f t="shared" si="627"/>
        <v>-</v>
      </c>
      <c r="S459" s="253">
        <f>[1]PB8!W459</f>
        <v>0</v>
      </c>
      <c r="T459" s="257"/>
      <c r="U459" s="10" t="str">
        <f t="shared" si="619"/>
        <v>-</v>
      </c>
      <c r="V459"/>
    </row>
    <row r="460" spans="1:22" ht="20.149999999999999" hidden="1" customHeight="1" outlineLevel="1">
      <c r="A460" s="314" t="s">
        <v>688</v>
      </c>
      <c r="B460" s="315"/>
      <c r="C460" s="315"/>
      <c r="D460" s="316"/>
      <c r="E460" s="225">
        <f t="shared" ref="E460:K460" si="710">E461</f>
        <v>0</v>
      </c>
      <c r="F460" s="225">
        <f t="shared" si="710"/>
        <v>0</v>
      </c>
      <c r="G460" s="225">
        <f t="shared" si="710"/>
        <v>0</v>
      </c>
      <c r="H460" s="225">
        <f t="shared" si="710"/>
        <v>0</v>
      </c>
      <c r="I460" s="225">
        <f t="shared" si="710"/>
        <v>0</v>
      </c>
      <c r="J460" s="225">
        <f t="shared" si="710"/>
        <v>0</v>
      </c>
      <c r="K460" s="225">
        <f t="shared" si="710"/>
        <v>0</v>
      </c>
      <c r="L460" s="226" t="str">
        <f t="shared" si="628"/>
        <v>-</v>
      </c>
      <c r="M460" s="226" t="str">
        <f t="shared" si="629"/>
        <v>-</v>
      </c>
      <c r="N460" s="225">
        <f t="shared" ref="N460" si="711">N461</f>
        <v>0</v>
      </c>
      <c r="O460" s="226" t="str">
        <f t="shared" si="630"/>
        <v>-</v>
      </c>
      <c r="P460" s="226" t="str">
        <f t="shared" si="631"/>
        <v>-</v>
      </c>
      <c r="Q460" s="225">
        <f t="shared" ref="Q460" si="712">Q461</f>
        <v>0</v>
      </c>
      <c r="R460" s="226" t="str">
        <f t="shared" si="627"/>
        <v>-</v>
      </c>
      <c r="S460" s="227">
        <f t="shared" ref="S460" si="713">S461</f>
        <v>0</v>
      </c>
      <c r="T460" s="228"/>
      <c r="U460" s="10" t="str">
        <f t="shared" si="619"/>
        <v>-</v>
      </c>
      <c r="V460"/>
    </row>
    <row r="461" spans="1:22" s="137" customFormat="1" ht="20.149999999999999" hidden="1" customHeight="1" outlineLevel="1">
      <c r="A461" s="229" t="s">
        <v>689</v>
      </c>
      <c r="B461" s="229"/>
      <c r="C461" s="229"/>
      <c r="D461" s="229"/>
      <c r="E461" s="230"/>
      <c r="F461" s="230"/>
      <c r="G461" s="230"/>
      <c r="H461" s="230"/>
      <c r="I461" s="230"/>
      <c r="J461" s="230"/>
      <c r="K461" s="230"/>
      <c r="L461" s="231" t="str">
        <f t="shared" si="628"/>
        <v>-</v>
      </c>
      <c r="M461" s="231" t="str">
        <f t="shared" si="629"/>
        <v>-</v>
      </c>
      <c r="N461" s="230"/>
      <c r="O461" s="231" t="str">
        <f t="shared" si="630"/>
        <v>-</v>
      </c>
      <c r="P461" s="231" t="str">
        <f t="shared" si="631"/>
        <v>-</v>
      </c>
      <c r="Q461" s="230"/>
      <c r="R461" s="231" t="str">
        <f t="shared" si="627"/>
        <v>-</v>
      </c>
      <c r="S461" s="232"/>
      <c r="T461" s="233"/>
      <c r="U461" s="137" t="str">
        <f t="shared" si="619"/>
        <v>-</v>
      </c>
      <c r="V461"/>
    </row>
    <row r="462" spans="1:22" s="324" customFormat="1" ht="20.149999999999999" customHeight="1" collapsed="1">
      <c r="A462" s="317" t="s">
        <v>289</v>
      </c>
      <c r="B462" s="318"/>
      <c r="C462" s="317"/>
      <c r="D462" s="319"/>
      <c r="E462" s="320">
        <f t="shared" ref="E462:K462" si="714">E15+E343</f>
        <v>21633.012999999999</v>
      </c>
      <c r="F462" s="320">
        <f t="shared" si="714"/>
        <v>2069.3989999999999</v>
      </c>
      <c r="G462" s="320">
        <f t="shared" si="714"/>
        <v>0</v>
      </c>
      <c r="H462" s="320">
        <f t="shared" si="714"/>
        <v>2069.3989999999999</v>
      </c>
      <c r="I462" s="320">
        <f t="shared" si="714"/>
        <v>992.87000000000012</v>
      </c>
      <c r="J462" s="320">
        <f t="shared" si="714"/>
        <v>1076.529</v>
      </c>
      <c r="K462" s="320">
        <f t="shared" si="714"/>
        <v>2069.3989999999999</v>
      </c>
      <c r="L462" s="321">
        <f t="shared" si="628"/>
        <v>1</v>
      </c>
      <c r="M462" s="321">
        <f t="shared" si="629"/>
        <v>1</v>
      </c>
      <c r="N462" s="320">
        <f t="shared" ref="N462" si="715">N15+N343</f>
        <v>3110.7</v>
      </c>
      <c r="O462" s="321">
        <f t="shared" si="630"/>
        <v>1.5031900566299683</v>
      </c>
      <c r="P462" s="321">
        <f t="shared" si="631"/>
        <v>1.5031900566299683</v>
      </c>
      <c r="Q462" s="320">
        <f t="shared" ref="Q462" si="716">Q15+Q343</f>
        <v>1041.3009999999999</v>
      </c>
      <c r="R462" s="321">
        <f t="shared" si="627"/>
        <v>0.50319005662996841</v>
      </c>
      <c r="S462" s="322">
        <f t="shared" ref="S462" si="717">S15+S343</f>
        <v>52.2</v>
      </c>
      <c r="T462" s="323"/>
      <c r="U462" s="324" t="str">
        <f t="shared" si="619"/>
        <v>ok</v>
      </c>
      <c r="V462"/>
    </row>
  </sheetData>
  <autoFilter ref="U12:U14" xr:uid="{00000000-0009-0000-0000-000006000000}"/>
  <mergeCells count="22">
    <mergeCell ref="K13:M13"/>
    <mergeCell ref="N13:N14"/>
    <mergeCell ref="O13:O14"/>
    <mergeCell ref="P13:P14"/>
    <mergeCell ref="Q13:Q14"/>
    <mergeCell ref="R13:R14"/>
    <mergeCell ref="I12:M12"/>
    <mergeCell ref="N12:P12"/>
    <mergeCell ref="Q12:R12"/>
    <mergeCell ref="S12:S14"/>
    <mergeCell ref="T12:T14"/>
    <mergeCell ref="F13:F14"/>
    <mergeCell ref="G13:G14"/>
    <mergeCell ref="H13:H14"/>
    <mergeCell ref="I13:I14"/>
    <mergeCell ref="J13:J14"/>
    <mergeCell ref="A12:A14"/>
    <mergeCell ref="B12:B14"/>
    <mergeCell ref="C12:C14"/>
    <mergeCell ref="D12:D14"/>
    <mergeCell ref="E12:E14"/>
    <mergeCell ref="F12:H12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4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PB1-Rev</vt:lpstr>
      <vt:lpstr>PB2-Exp</vt:lpstr>
      <vt:lpstr>Sheet1</vt:lpstr>
      <vt:lpstr>'PB1-Rev'!Print_Area</vt:lpstr>
      <vt:lpstr>'PB2-Exp'!Print_Area</vt:lpstr>
      <vt:lpstr>'PB1-Rev'!Print_Titles</vt:lpstr>
      <vt:lpstr>'PB2-Exp'!Print_Titles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 sim</cp:lastModifiedBy>
  <dcterms:created xsi:type="dcterms:W3CDTF">2015-06-05T18:17:20Z</dcterms:created>
  <dcterms:modified xsi:type="dcterms:W3CDTF">2024-02-05T05:39:08Z</dcterms:modified>
</cp:coreProperties>
</file>